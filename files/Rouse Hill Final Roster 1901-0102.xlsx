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0C276CBD-3C30-3446-AF20-1DDC81A5BDF5}" xr6:coauthVersionLast="47" xr6:coauthVersionMax="47" xr10:uidLastSave="{00000000-0000-0000-0000-000000000000}"/>
  <bookViews>
    <workbookView xWindow="0" yWindow="740" windowWidth="28620" windowHeight="1704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N86" i="18"/>
  <c r="BN85" i="18"/>
  <c r="BN84" i="18"/>
  <c r="BN83" i="18"/>
  <c r="BN82" i="18"/>
  <c r="BN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BY100" i="18"/>
  <c r="BX100" i="18"/>
  <c r="BV100" i="18"/>
  <c r="BU100" i="18"/>
  <c r="BT100" i="18"/>
  <c r="BS100" i="18"/>
  <c r="BP100" i="18"/>
  <c r="BO100" i="18"/>
  <c r="BK100" i="18"/>
  <c r="BL100" i="18" s="1"/>
  <c r="BJ100" i="18"/>
  <c r="BI100" i="18"/>
  <c r="BG100" i="18"/>
  <c r="I100" i="18" s="1"/>
  <c r="BF100" i="18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T99" i="18"/>
  <c r="BS99" i="18"/>
  <c r="BQ99" i="18"/>
  <c r="BP99" i="18"/>
  <c r="BO99" i="18"/>
  <c r="BK99" i="18"/>
  <c r="BJ99" i="18"/>
  <c r="BI99" i="18"/>
  <c r="BF99" i="18"/>
  <c r="BG99" i="18" s="1"/>
  <c r="BE99" i="18"/>
  <c r="BD99" i="18"/>
  <c r="BB99" i="18"/>
  <c r="BA99" i="18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O98" i="18"/>
  <c r="BL98" i="18"/>
  <c r="BK98" i="18"/>
  <c r="BJ98" i="18"/>
  <c r="BI98" i="18"/>
  <c r="BF98" i="18"/>
  <c r="BE98" i="18"/>
  <c r="BD98" i="18"/>
  <c r="BA98" i="18"/>
  <c r="BB98" i="18" s="1"/>
  <c r="F98" i="18" s="1"/>
  <c r="CI97" i="18"/>
  <c r="CH97" i="18"/>
  <c r="CE97" i="18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E96" i="18"/>
  <c r="BD96" i="18"/>
  <c r="BA96" i="18"/>
  <c r="BB96" i="18" s="1"/>
  <c r="F96" i="18" s="1"/>
  <c r="CI95" i="18"/>
  <c r="CH95" i="18"/>
  <c r="CE95" i="18"/>
  <c r="CD95" i="18"/>
  <c r="CC95" i="18"/>
  <c r="BZ95" i="18"/>
  <c r="CA95" i="18" s="1"/>
  <c r="U95" i="18" s="1"/>
  <c r="BY95" i="18"/>
  <c r="BX95" i="18"/>
  <c r="BU95" i="18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CI94" i="18"/>
  <c r="CH94" i="18"/>
  <c r="CE94" i="18"/>
  <c r="CF94" i="18" s="1"/>
  <c r="CG94" i="18" s="1"/>
  <c r="CD94" i="18"/>
  <c r="CC94" i="18"/>
  <c r="BZ94" i="18"/>
  <c r="BY94" i="18"/>
  <c r="BX94" i="18"/>
  <c r="BU94" i="18"/>
  <c r="BV94" i="18" s="1"/>
  <c r="R94" i="18" s="1"/>
  <c r="BT94" i="18"/>
  <c r="BS94" i="18"/>
  <c r="BP94" i="18"/>
  <c r="BQ94" i="18" s="1"/>
  <c r="O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D93" i="18"/>
  <c r="CC93" i="18"/>
  <c r="BZ93" i="18"/>
  <c r="CA93" i="18" s="1"/>
  <c r="BY93" i="18"/>
  <c r="BX93" i="18"/>
  <c r="BU93" i="18"/>
  <c r="BT93" i="18"/>
  <c r="BS93" i="18"/>
  <c r="BP93" i="18"/>
  <c r="BQ93" i="18" s="1"/>
  <c r="O93" i="18" s="1"/>
  <c r="BO93" i="18"/>
  <c r="BL93" i="18"/>
  <c r="BK93" i="18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BY92" i="18"/>
  <c r="BX92" i="18"/>
  <c r="BU92" i="18"/>
  <c r="BT92" i="18"/>
  <c r="BS92" i="18"/>
  <c r="BP92" i="18"/>
  <c r="BO92" i="18"/>
  <c r="BK92" i="18"/>
  <c r="BL92" i="18" s="1"/>
  <c r="L92" i="18" s="1"/>
  <c r="BJ92" i="18"/>
  <c r="BI92" i="18"/>
  <c r="BF92" i="18"/>
  <c r="BG92" i="18" s="1"/>
  <c r="I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P91" i="18"/>
  <c r="O91" i="18" s="1"/>
  <c r="BO91" i="18"/>
  <c r="BK91" i="18"/>
  <c r="BJ91" i="18"/>
  <c r="BI91" i="18"/>
  <c r="BF91" i="18"/>
  <c r="BG91" i="18" s="1"/>
  <c r="I91" i="18" s="1"/>
  <c r="BE91" i="18"/>
  <c r="BD91" i="18"/>
  <c r="BA91" i="18"/>
  <c r="CI90" i="18"/>
  <c r="CH90" i="18"/>
  <c r="CE90" i="18"/>
  <c r="CF90" i="18" s="1"/>
  <c r="X90" i="18" s="1"/>
  <c r="CD90" i="18"/>
  <c r="CC90" i="18"/>
  <c r="BZ90" i="18"/>
  <c r="CA90" i="18" s="1"/>
  <c r="BY90" i="18"/>
  <c r="BX90" i="18"/>
  <c r="BU90" i="18"/>
  <c r="BT90" i="18"/>
  <c r="BS90" i="18"/>
  <c r="BP90" i="18"/>
  <c r="BQ90" i="18" s="1"/>
  <c r="BO90" i="18"/>
  <c r="BL90" i="18"/>
  <c r="BK90" i="18"/>
  <c r="BJ90" i="18"/>
  <c r="BI90" i="18"/>
  <c r="BF90" i="18"/>
  <c r="BE90" i="18"/>
  <c r="BD90" i="18"/>
  <c r="BA90" i="18"/>
  <c r="BB90" i="18" s="1"/>
  <c r="F90" i="18" s="1"/>
  <c r="CI89" i="18"/>
  <c r="CH89" i="18"/>
  <c r="CE89" i="18"/>
  <c r="CD89" i="18"/>
  <c r="CC89" i="18"/>
  <c r="BZ89" i="18"/>
  <c r="BY89" i="18"/>
  <c r="BX89" i="18"/>
  <c r="BU89" i="18"/>
  <c r="BT89" i="18"/>
  <c r="BS89" i="18"/>
  <c r="BP89" i="18"/>
  <c r="BO89" i="18"/>
  <c r="BK89" i="18"/>
  <c r="BL89" i="18" s="1"/>
  <c r="BJ89" i="18"/>
  <c r="BI89" i="18"/>
  <c r="BF89" i="18"/>
  <c r="BG89" i="18" s="1"/>
  <c r="BE89" i="18"/>
  <c r="BD89" i="18"/>
  <c r="BA89" i="18"/>
  <c r="CI88" i="18"/>
  <c r="CH88" i="18"/>
  <c r="CE88" i="18"/>
  <c r="CF88" i="18" s="1"/>
  <c r="X88" i="18" s="1"/>
  <c r="CD88" i="18"/>
  <c r="CC88" i="18"/>
  <c r="CA88" i="18"/>
  <c r="U88" i="18" s="1"/>
  <c r="BZ88" i="18"/>
  <c r="BY88" i="18"/>
  <c r="BX88" i="18"/>
  <c r="BU88" i="18"/>
  <c r="BT88" i="18"/>
  <c r="BS88" i="18"/>
  <c r="BP88" i="18"/>
  <c r="BQ88" i="18" s="1"/>
  <c r="BO88" i="18"/>
  <c r="BK88" i="18"/>
  <c r="BL88" i="18" s="1"/>
  <c r="L88" i="18" s="1"/>
  <c r="BJ88" i="18"/>
  <c r="BI88" i="18"/>
  <c r="BF88" i="18"/>
  <c r="BG88" i="18" s="1"/>
  <c r="BE88" i="18"/>
  <c r="BD88" i="18"/>
  <c r="BA88" i="18"/>
  <c r="CI87" i="18"/>
  <c r="CH87" i="18"/>
  <c r="CE87" i="18"/>
  <c r="CD87" i="18"/>
  <c r="CC87" i="18"/>
  <c r="BZ87" i="18"/>
  <c r="CA87" i="18" s="1"/>
  <c r="BY87" i="18"/>
  <c r="BX87" i="18"/>
  <c r="BU87" i="18"/>
  <c r="BV87" i="18" s="1"/>
  <c r="BT87" i="18"/>
  <c r="BS87" i="18"/>
  <c r="BQ87" i="18"/>
  <c r="BP87" i="18"/>
  <c r="BO87" i="18"/>
  <c r="BK87" i="18"/>
  <c r="BL87" i="18" s="1"/>
  <c r="BJ87" i="18"/>
  <c r="BI87" i="18"/>
  <c r="BF87" i="18"/>
  <c r="BE87" i="18"/>
  <c r="BD87" i="18"/>
  <c r="BA87" i="18"/>
  <c r="BB87" i="18" s="1"/>
  <c r="CI86" i="18"/>
  <c r="CH86" i="18"/>
  <c r="CE86" i="18"/>
  <c r="CF86" i="18" s="1"/>
  <c r="X86" i="18" s="1"/>
  <c r="CD86" i="18"/>
  <c r="CC86" i="18"/>
  <c r="BZ86" i="18"/>
  <c r="BY86" i="18"/>
  <c r="BX86" i="18"/>
  <c r="BU86" i="18"/>
  <c r="BV86" i="18" s="1"/>
  <c r="R86" i="18" s="1"/>
  <c r="BT86" i="18"/>
  <c r="BS86" i="18"/>
  <c r="BP86" i="18"/>
  <c r="BO86" i="18"/>
  <c r="BK86" i="18"/>
  <c r="BL86" i="18" s="1"/>
  <c r="L86" i="18" s="1"/>
  <c r="BJ86" i="18"/>
  <c r="BI86" i="18"/>
  <c r="BF86" i="18"/>
  <c r="BG86" i="18" s="1"/>
  <c r="BE86" i="18"/>
  <c r="BD86" i="18"/>
  <c r="BA86" i="18"/>
  <c r="BB86" i="18" s="1"/>
  <c r="F86" i="18" s="1"/>
  <c r="CI85" i="18"/>
  <c r="CH85" i="18"/>
  <c r="CE85" i="18"/>
  <c r="CF85" i="18" s="1"/>
  <c r="CD85" i="18"/>
  <c r="CC85" i="18"/>
  <c r="BZ85" i="18"/>
  <c r="BY85" i="18"/>
  <c r="BX85" i="18"/>
  <c r="BU85" i="18"/>
  <c r="BT85" i="18"/>
  <c r="BS85" i="18"/>
  <c r="BP85" i="18"/>
  <c r="BQ85" i="18" s="1"/>
  <c r="O85" i="18" s="1"/>
  <c r="BO85" i="18"/>
  <c r="BK85" i="18"/>
  <c r="BJ85" i="18"/>
  <c r="BI85" i="18"/>
  <c r="BG85" i="18"/>
  <c r="BF85" i="18"/>
  <c r="BE85" i="18"/>
  <c r="BD85" i="18"/>
  <c r="BA85" i="18"/>
  <c r="BB85" i="18" s="1"/>
  <c r="CI84" i="18"/>
  <c r="CH84" i="18"/>
  <c r="CE84" i="18"/>
  <c r="CD84" i="18"/>
  <c r="CC84" i="18"/>
  <c r="BZ84" i="18"/>
  <c r="CA84" i="18" s="1"/>
  <c r="BY84" i="18"/>
  <c r="BX84" i="18"/>
  <c r="BV84" i="18"/>
  <c r="BU84" i="18"/>
  <c r="BT84" i="18"/>
  <c r="BS84" i="18"/>
  <c r="BP84" i="18"/>
  <c r="BO84" i="18"/>
  <c r="BL84" i="18"/>
  <c r="L84" i="18" s="1"/>
  <c r="BK84" i="18"/>
  <c r="BJ84" i="18"/>
  <c r="BI84" i="18"/>
  <c r="BG84" i="18"/>
  <c r="BF84" i="18"/>
  <c r="BE84" i="18"/>
  <c r="BD84" i="18"/>
  <c r="BA84" i="18"/>
  <c r="BB84" i="18" s="1"/>
  <c r="F84" i="18" s="1"/>
  <c r="CI83" i="18"/>
  <c r="CH83" i="18"/>
  <c r="CE83" i="18"/>
  <c r="CF83" i="18" s="1"/>
  <c r="CD83" i="18"/>
  <c r="CC83" i="18"/>
  <c r="BZ83" i="18"/>
  <c r="CA83" i="18" s="1"/>
  <c r="U83" i="18" s="1"/>
  <c r="BY83" i="18"/>
  <c r="BX83" i="18"/>
  <c r="BU83" i="18"/>
  <c r="BV83" i="18" s="1"/>
  <c r="BT83" i="18"/>
  <c r="BS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O82" i="18"/>
  <c r="BK82" i="18"/>
  <c r="BL82" i="18" s="1"/>
  <c r="BJ82" i="18"/>
  <c r="BI82" i="18"/>
  <c r="BF82" i="18"/>
  <c r="BE82" i="18"/>
  <c r="BD82" i="18"/>
  <c r="BA82" i="18"/>
  <c r="BB82" i="18" s="1"/>
  <c r="F82" i="18" s="1"/>
  <c r="CI81" i="18"/>
  <c r="CH81" i="18"/>
  <c r="CE81" i="18"/>
  <c r="CD81" i="18"/>
  <c r="CC81" i="18"/>
  <c r="BZ81" i="18"/>
  <c r="CA81" i="18" s="1"/>
  <c r="U81" i="18" s="1"/>
  <c r="BY81" i="18"/>
  <c r="BX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F81" i="18"/>
  <c r="BE81" i="18"/>
  <c r="BD81" i="18"/>
  <c r="BA81" i="18"/>
  <c r="CI80" i="18"/>
  <c r="CH80" i="18"/>
  <c r="CE80" i="18"/>
  <c r="CF80" i="18" s="1"/>
  <c r="X80" i="18" s="1"/>
  <c r="CD80" i="18"/>
  <c r="CC80" i="18"/>
  <c r="BZ80" i="18"/>
  <c r="CA80" i="18" s="1"/>
  <c r="BY80" i="18"/>
  <c r="BX80" i="18"/>
  <c r="BU80" i="18"/>
  <c r="BT80" i="18"/>
  <c r="BS80" i="18"/>
  <c r="BP80" i="18"/>
  <c r="BO80" i="18"/>
  <c r="BK80" i="18"/>
  <c r="BJ80" i="18"/>
  <c r="BI80" i="18"/>
  <c r="BF80" i="18"/>
  <c r="BG80" i="18" s="1"/>
  <c r="BE80" i="18"/>
  <c r="BD80" i="18"/>
  <c r="BA80" i="18"/>
  <c r="BB80" i="18" s="1"/>
  <c r="CI79" i="18"/>
  <c r="CH79" i="18"/>
  <c r="CE79" i="18"/>
  <c r="CD79" i="18"/>
  <c r="CC79" i="18"/>
  <c r="BZ79" i="18"/>
  <c r="BY79" i="18"/>
  <c r="BX79" i="18"/>
  <c r="BV79" i="18"/>
  <c r="BU79" i="18"/>
  <c r="BT79" i="18"/>
  <c r="BS79" i="18"/>
  <c r="BQ79" i="18"/>
  <c r="BP79" i="18"/>
  <c r="BO79" i="18"/>
  <c r="BK79" i="18"/>
  <c r="BL79" i="18" s="1"/>
  <c r="BJ79" i="18"/>
  <c r="BI79" i="18"/>
  <c r="BF79" i="18"/>
  <c r="BG79" i="18" s="1"/>
  <c r="I79" i="18" s="1"/>
  <c r="BE79" i="18"/>
  <c r="BD79" i="18"/>
  <c r="BA79" i="18"/>
  <c r="BB79" i="18" s="1"/>
  <c r="CI78" i="18"/>
  <c r="CH78" i="18"/>
  <c r="CE78" i="18"/>
  <c r="CF78" i="18" s="1"/>
  <c r="CD78" i="18"/>
  <c r="CC78" i="18"/>
  <c r="BZ78" i="18"/>
  <c r="BY78" i="18"/>
  <c r="BX78" i="18"/>
  <c r="BU78" i="18"/>
  <c r="BV78" i="18" s="1"/>
  <c r="BT78" i="18"/>
  <c r="BS78" i="18"/>
  <c r="BP78" i="18"/>
  <c r="BO78" i="18"/>
  <c r="BL78" i="18"/>
  <c r="BK78" i="18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K77" i="18"/>
  <c r="BL77" i="18" s="1"/>
  <c r="BJ77" i="18"/>
  <c r="BI77" i="18"/>
  <c r="BF77" i="18"/>
  <c r="BG77" i="18" s="1"/>
  <c r="BE77" i="18"/>
  <c r="BD77" i="18"/>
  <c r="BA77" i="18"/>
  <c r="BB77" i="18" s="1"/>
  <c r="CI76" i="18"/>
  <c r="CH76" i="18"/>
  <c r="CE76" i="18"/>
  <c r="CF76" i="18" s="1"/>
  <c r="X76" i="18" s="1"/>
  <c r="CD76" i="18"/>
  <c r="CC76" i="18"/>
  <c r="BZ76" i="18"/>
  <c r="CA76" i="18" s="1"/>
  <c r="BY76" i="18"/>
  <c r="BX76" i="18"/>
  <c r="BU76" i="18"/>
  <c r="BT76" i="18"/>
  <c r="BS76" i="18"/>
  <c r="BP76" i="18"/>
  <c r="BO76" i="18"/>
  <c r="BK76" i="18"/>
  <c r="BL76" i="18" s="1"/>
  <c r="L76" i="18" s="1"/>
  <c r="BJ76" i="18"/>
  <c r="BI76" i="18"/>
  <c r="BF76" i="18"/>
  <c r="BE76" i="18"/>
  <c r="BD76" i="18"/>
  <c r="BA76" i="18"/>
  <c r="BB76" i="18" s="1"/>
  <c r="F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T75" i="18"/>
  <c r="BS75" i="18"/>
  <c r="BQ75" i="18"/>
  <c r="BP75" i="18"/>
  <c r="BO75" i="18"/>
  <c r="BK75" i="18"/>
  <c r="BJ75" i="18"/>
  <c r="BI75" i="18"/>
  <c r="BF75" i="18"/>
  <c r="BG75" i="18" s="1"/>
  <c r="I75" i="18" s="1"/>
  <c r="BE75" i="18"/>
  <c r="BD75" i="18"/>
  <c r="BA75" i="18"/>
  <c r="CI74" i="18"/>
  <c r="CH74" i="18"/>
  <c r="CE74" i="18"/>
  <c r="CF74" i="18" s="1"/>
  <c r="X74" i="18" s="1"/>
  <c r="CD74" i="18"/>
  <c r="CC74" i="18"/>
  <c r="BZ74" i="18"/>
  <c r="CA74" i="18" s="1"/>
  <c r="BY74" i="18"/>
  <c r="BX74" i="18"/>
  <c r="BV74" i="18"/>
  <c r="R74" i="18" s="1"/>
  <c r="BU74" i="18"/>
  <c r="BT74" i="18"/>
  <c r="BS74" i="18"/>
  <c r="BR74" i="18"/>
  <c r="BP74" i="18"/>
  <c r="BQ74" i="18" s="1"/>
  <c r="BO74" i="18"/>
  <c r="BK74" i="18"/>
  <c r="BL74" i="18" s="1"/>
  <c r="BJ74" i="18"/>
  <c r="BI74" i="18"/>
  <c r="BF74" i="18"/>
  <c r="BE74" i="18"/>
  <c r="BD74" i="18"/>
  <c r="BA74" i="18"/>
  <c r="BB74" i="18" s="1"/>
  <c r="CI73" i="18"/>
  <c r="CH73" i="18"/>
  <c r="CE73" i="18"/>
  <c r="CD73" i="18"/>
  <c r="CC73" i="18"/>
  <c r="BZ73" i="18"/>
  <c r="CA73" i="18" s="1"/>
  <c r="U73" i="18" s="1"/>
  <c r="BY73" i="18"/>
  <c r="BX73" i="18"/>
  <c r="BU73" i="18"/>
  <c r="BT73" i="18"/>
  <c r="BS73" i="18"/>
  <c r="BP73" i="18"/>
  <c r="BO73" i="18"/>
  <c r="BK73" i="18"/>
  <c r="BL73" i="18" s="1"/>
  <c r="BJ73" i="18"/>
  <c r="BI73" i="18"/>
  <c r="BF73" i="18"/>
  <c r="BG73" i="18" s="1"/>
  <c r="BE73" i="18"/>
  <c r="BD73" i="18"/>
  <c r="BA73" i="18"/>
  <c r="CI72" i="18"/>
  <c r="CH72" i="18"/>
  <c r="CE72" i="18"/>
  <c r="CF72" i="18" s="1"/>
  <c r="X72" i="18" s="1"/>
  <c r="CD72" i="18"/>
  <c r="CC72" i="18"/>
  <c r="CA72" i="18"/>
  <c r="BZ72" i="18"/>
  <c r="BY72" i="18"/>
  <c r="BX72" i="18"/>
  <c r="BV72" i="18"/>
  <c r="BU72" i="18"/>
  <c r="BT72" i="18"/>
  <c r="BS72" i="18"/>
  <c r="BP72" i="18"/>
  <c r="BQ72" i="18" s="1"/>
  <c r="BO72" i="18"/>
  <c r="BK72" i="18"/>
  <c r="BL72" i="18" s="1"/>
  <c r="L72" i="18" s="1"/>
  <c r="BJ72" i="18"/>
  <c r="BI72" i="18"/>
  <c r="BF72" i="18"/>
  <c r="BG72" i="18" s="1"/>
  <c r="BE72" i="18"/>
  <c r="BD72" i="18"/>
  <c r="BB72" i="18"/>
  <c r="BA72" i="18"/>
  <c r="CI71" i="18"/>
  <c r="CH71" i="18"/>
  <c r="CE71" i="18"/>
  <c r="CD71" i="18"/>
  <c r="CC71" i="18"/>
  <c r="BZ71" i="18"/>
  <c r="CA71" i="18" s="1"/>
  <c r="BY71" i="18"/>
  <c r="BX71" i="18"/>
  <c r="BU71" i="18"/>
  <c r="BT71" i="18"/>
  <c r="BS71" i="18"/>
  <c r="BP71" i="18"/>
  <c r="BQ71" i="18" s="1"/>
  <c r="O71" i="18" s="1"/>
  <c r="BO71" i="18"/>
  <c r="BK71" i="18"/>
  <c r="BL71" i="18" s="1"/>
  <c r="BJ71" i="18"/>
  <c r="BI71" i="18"/>
  <c r="BF71" i="18"/>
  <c r="BE71" i="18"/>
  <c r="BD71" i="18"/>
  <c r="BA71" i="18"/>
  <c r="BB71" i="18" s="1"/>
  <c r="CI70" i="18"/>
  <c r="CH70" i="18"/>
  <c r="CE70" i="18"/>
  <c r="CF70" i="18" s="1"/>
  <c r="CD70" i="18"/>
  <c r="CC70" i="18"/>
  <c r="BZ70" i="18"/>
  <c r="BY70" i="18"/>
  <c r="BX70" i="18"/>
  <c r="BV70" i="18"/>
  <c r="BU70" i="18"/>
  <c r="R70" i="18" s="1"/>
  <c r="BT70" i="18"/>
  <c r="BS70" i="18"/>
  <c r="BQ70" i="18"/>
  <c r="BP70" i="18"/>
  <c r="BO70" i="18"/>
  <c r="BK70" i="18"/>
  <c r="BL70" i="18" s="1"/>
  <c r="L70" i="18" s="1"/>
  <c r="BJ70" i="18"/>
  <c r="BI70" i="18"/>
  <c r="BF70" i="18"/>
  <c r="BG70" i="18" s="1"/>
  <c r="BE70" i="18"/>
  <c r="BD70" i="18"/>
  <c r="BB70" i="18"/>
  <c r="BA70" i="18"/>
  <c r="CI69" i="18"/>
  <c r="CH69" i="18"/>
  <c r="CE69" i="18"/>
  <c r="CF69" i="18" s="1"/>
  <c r="CD69" i="18"/>
  <c r="CC69" i="18"/>
  <c r="CA69" i="18"/>
  <c r="BZ69" i="18"/>
  <c r="BY69" i="18"/>
  <c r="BX69" i="18"/>
  <c r="BU69" i="18"/>
  <c r="BT69" i="18"/>
  <c r="BS69" i="18"/>
  <c r="BQ69" i="18"/>
  <c r="BP69" i="18"/>
  <c r="BO69" i="18"/>
  <c r="BK69" i="18"/>
  <c r="BJ69" i="18"/>
  <c r="BI69" i="18"/>
  <c r="BF69" i="18"/>
  <c r="BE69" i="18"/>
  <c r="BD69" i="18"/>
  <c r="BA69" i="18"/>
  <c r="BB69" i="18" s="1"/>
  <c r="CI68" i="18"/>
  <c r="CH68" i="18"/>
  <c r="CE68" i="18"/>
  <c r="CD68" i="18"/>
  <c r="CC68" i="18"/>
  <c r="BZ68" i="18"/>
  <c r="CA68" i="18" s="1"/>
  <c r="BY68" i="18"/>
  <c r="BX68" i="18"/>
  <c r="BU68" i="18"/>
  <c r="BV68" i="18" s="1"/>
  <c r="BT68" i="18"/>
  <c r="BS68" i="18"/>
  <c r="BP68" i="18"/>
  <c r="BO68" i="18"/>
  <c r="BK68" i="18"/>
  <c r="BL68" i="18" s="1"/>
  <c r="L68" i="18" s="1"/>
  <c r="BJ68" i="18"/>
  <c r="BI68" i="18"/>
  <c r="BG68" i="18"/>
  <c r="BF68" i="18"/>
  <c r="BE68" i="18"/>
  <c r="BD68" i="18"/>
  <c r="BA68" i="18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I67" i="18"/>
  <c r="BF67" i="18"/>
  <c r="BG67" i="18" s="1"/>
  <c r="BE67" i="18"/>
  <c r="BD67" i="18"/>
  <c r="BB67" i="18"/>
  <c r="BA67" i="18"/>
  <c r="CI66" i="18"/>
  <c r="CH66" i="18"/>
  <c r="CE66" i="18"/>
  <c r="CF66" i="18" s="1"/>
  <c r="X66" i="18" s="1"/>
  <c r="CD66" i="18"/>
  <c r="CC66" i="18"/>
  <c r="CB66" i="18" s="1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A66" i="18"/>
  <c r="BB66" i="18" s="1"/>
  <c r="CI65" i="18"/>
  <c r="CH65" i="18"/>
  <c r="CE65" i="18"/>
  <c r="CD65" i="18"/>
  <c r="CC65" i="18"/>
  <c r="BZ65" i="18"/>
  <c r="BY65" i="18"/>
  <c r="BX65" i="18"/>
  <c r="BU65" i="18"/>
  <c r="BV65" i="18" s="1"/>
  <c r="BT65" i="18"/>
  <c r="BS65" i="18"/>
  <c r="BP65" i="18"/>
  <c r="BQ65" i="18" s="1"/>
  <c r="O65" i="18" s="1"/>
  <c r="BO65" i="18"/>
  <c r="BK65" i="18"/>
  <c r="BL65" i="18" s="1"/>
  <c r="BJ65" i="18"/>
  <c r="BI65" i="18"/>
  <c r="BF65" i="18"/>
  <c r="BG65" i="18" s="1"/>
  <c r="BE65" i="18"/>
  <c r="BD65" i="18"/>
  <c r="BA65" i="18"/>
  <c r="CI64" i="18"/>
  <c r="CH64" i="18"/>
  <c r="CE64" i="18"/>
  <c r="CD64" i="18"/>
  <c r="CC64" i="18"/>
  <c r="BZ64" i="18"/>
  <c r="BY64" i="18"/>
  <c r="BX64" i="18"/>
  <c r="BU64" i="18"/>
  <c r="BT64" i="18"/>
  <c r="BS64" i="18"/>
  <c r="BP64" i="18"/>
  <c r="BO64" i="18"/>
  <c r="BK64" i="18"/>
  <c r="BL64" i="18" s="1"/>
  <c r="L64" i="18" s="1"/>
  <c r="BJ64" i="18"/>
  <c r="BI64" i="18"/>
  <c r="BF64" i="18"/>
  <c r="BE64" i="18"/>
  <c r="BD64" i="18"/>
  <c r="BA64" i="18"/>
  <c r="BB64" i="18" s="1"/>
  <c r="CI63" i="18"/>
  <c r="CH63" i="18"/>
  <c r="CG63" i="18"/>
  <c r="CE63" i="18"/>
  <c r="CF63" i="18" s="1"/>
  <c r="CD63" i="18"/>
  <c r="CC63" i="18"/>
  <c r="CA63" i="18"/>
  <c r="BZ63" i="18"/>
  <c r="BY63" i="18"/>
  <c r="BX63" i="18"/>
  <c r="BU63" i="18"/>
  <c r="BT63" i="18"/>
  <c r="BS63" i="18"/>
  <c r="BQ63" i="18"/>
  <c r="BP63" i="18"/>
  <c r="BO63" i="18"/>
  <c r="BK63" i="18"/>
  <c r="BL63" i="18" s="1"/>
  <c r="L63" i="18" s="1"/>
  <c r="BJ63" i="18"/>
  <c r="BI63" i="18"/>
  <c r="BF63" i="18"/>
  <c r="BE63" i="18"/>
  <c r="BD63" i="18"/>
  <c r="BA63" i="18"/>
  <c r="BB63" i="18" s="1"/>
  <c r="CI62" i="18"/>
  <c r="CH62" i="18"/>
  <c r="CE62" i="18"/>
  <c r="CF62" i="18" s="1"/>
  <c r="X62" i="18" s="1"/>
  <c r="CD62" i="18"/>
  <c r="CC62" i="18"/>
  <c r="BZ62" i="18"/>
  <c r="CA62" i="18" s="1"/>
  <c r="BY62" i="18"/>
  <c r="BX62" i="18"/>
  <c r="BU62" i="18"/>
  <c r="BV62" i="18" s="1"/>
  <c r="BT62" i="18"/>
  <c r="BS62" i="18"/>
  <c r="BP62" i="18"/>
  <c r="BO62" i="18"/>
  <c r="BL62" i="18"/>
  <c r="L62" i="18" s="1"/>
  <c r="BK62" i="18"/>
  <c r="BJ62" i="18"/>
  <c r="BI62" i="18"/>
  <c r="BF62" i="18"/>
  <c r="BE62" i="18"/>
  <c r="BD62" i="18"/>
  <c r="BA62" i="18"/>
  <c r="BB62" i="18" s="1"/>
  <c r="F62" i="18" s="1"/>
  <c r="CI61" i="18"/>
  <c r="CH61" i="18"/>
  <c r="CE61" i="18"/>
  <c r="CD61" i="18"/>
  <c r="CC61" i="18"/>
  <c r="BZ61" i="18"/>
  <c r="CA61" i="18" s="1"/>
  <c r="BY61" i="18"/>
  <c r="BX61" i="18"/>
  <c r="BU61" i="18"/>
  <c r="BV61" i="18" s="1"/>
  <c r="BT61" i="18"/>
  <c r="BS61" i="18"/>
  <c r="BP61" i="18"/>
  <c r="BO61" i="18"/>
  <c r="BK61" i="18"/>
  <c r="BJ61" i="18"/>
  <c r="BI61" i="18"/>
  <c r="BF61" i="18"/>
  <c r="BG61" i="18" s="1"/>
  <c r="I61" i="18" s="1"/>
  <c r="BE61" i="18"/>
  <c r="BD61" i="18"/>
  <c r="BA61" i="18"/>
  <c r="CI60" i="18"/>
  <c r="CH60" i="18"/>
  <c r="CE60" i="18"/>
  <c r="CD60" i="18"/>
  <c r="CC60" i="18"/>
  <c r="BZ60" i="18"/>
  <c r="CA60" i="18" s="1"/>
  <c r="BY60" i="18"/>
  <c r="BX60" i="18"/>
  <c r="BU60" i="18"/>
  <c r="BT60" i="18"/>
  <c r="BS60" i="18"/>
  <c r="BR60" i="18" s="1"/>
  <c r="BP60" i="18"/>
  <c r="BQ60" i="18" s="1"/>
  <c r="BO60" i="18"/>
  <c r="BK60" i="18"/>
  <c r="BJ60" i="18"/>
  <c r="BI60" i="18"/>
  <c r="BG60" i="18"/>
  <c r="BF60" i="18"/>
  <c r="BE60" i="18"/>
  <c r="BD60" i="18"/>
  <c r="BA60" i="18"/>
  <c r="BB60" i="18" s="1"/>
  <c r="CI59" i="18"/>
  <c r="CH59" i="18"/>
  <c r="CE59" i="18"/>
  <c r="CD59" i="18"/>
  <c r="CC59" i="18"/>
  <c r="BZ59" i="18"/>
  <c r="BY59" i="18"/>
  <c r="BX59" i="18"/>
  <c r="BU59" i="18"/>
  <c r="BT59" i="18"/>
  <c r="BS59" i="18"/>
  <c r="BP59" i="18"/>
  <c r="BQ59" i="18" s="1"/>
  <c r="BO59" i="18"/>
  <c r="BK59" i="18"/>
  <c r="BL59" i="18" s="1"/>
  <c r="BJ59" i="18"/>
  <c r="BI59" i="18"/>
  <c r="BG59" i="18"/>
  <c r="BF59" i="18"/>
  <c r="BE59" i="18"/>
  <c r="BD59" i="18"/>
  <c r="BA59" i="18"/>
  <c r="CI58" i="18"/>
  <c r="CH58" i="18"/>
  <c r="CE58" i="18"/>
  <c r="CD58" i="18"/>
  <c r="CC58" i="18"/>
  <c r="CA58" i="18"/>
  <c r="BZ58" i="18"/>
  <c r="U58" i="18" s="1"/>
  <c r="BY58" i="18"/>
  <c r="BX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E57" i="18"/>
  <c r="BD57" i="18"/>
  <c r="BA57" i="18"/>
  <c r="BB57" i="18" s="1"/>
  <c r="CI56" i="18"/>
  <c r="CH56" i="18"/>
  <c r="CE56" i="18"/>
  <c r="CF56" i="18" s="1"/>
  <c r="CD56" i="18"/>
  <c r="CC56" i="18"/>
  <c r="BZ56" i="18"/>
  <c r="BY56" i="18"/>
  <c r="BX56" i="18"/>
  <c r="BU56" i="18"/>
  <c r="BT56" i="18"/>
  <c r="BS56" i="18"/>
  <c r="BQ56" i="18"/>
  <c r="BP56" i="18"/>
  <c r="O56" i="18" s="1"/>
  <c r="BO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BZ55" i="18"/>
  <c r="BY55" i="18"/>
  <c r="BX55" i="18"/>
  <c r="BU55" i="18"/>
  <c r="BV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E54" i="18"/>
  <c r="CF54" i="18" s="1"/>
  <c r="X54" i="18" s="1"/>
  <c r="CD54" i="18"/>
  <c r="CC54" i="18"/>
  <c r="BZ54" i="18"/>
  <c r="CA54" i="18" s="1"/>
  <c r="BY54" i="18"/>
  <c r="BX54" i="18"/>
  <c r="BU54" i="18"/>
  <c r="BV54" i="18" s="1"/>
  <c r="R54" i="18" s="1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P53" i="18"/>
  <c r="BQ53" i="18" s="1"/>
  <c r="BO53" i="18"/>
  <c r="BM53" i="18" s="1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BZ52" i="18"/>
  <c r="CA52" i="18" s="1"/>
  <c r="BY52" i="18"/>
  <c r="BX52" i="18"/>
  <c r="BU52" i="18"/>
  <c r="BV52" i="18" s="1"/>
  <c r="BT52" i="18"/>
  <c r="BS52" i="18"/>
  <c r="BP52" i="18"/>
  <c r="BQ52" i="18" s="1"/>
  <c r="BO52" i="18"/>
  <c r="BL52" i="18"/>
  <c r="BK52" i="18"/>
  <c r="BJ52" i="18"/>
  <c r="BI52" i="18"/>
  <c r="BF52" i="18"/>
  <c r="BE52" i="18"/>
  <c r="BD52" i="18"/>
  <c r="BA52" i="18"/>
  <c r="BB52" i="18" s="1"/>
  <c r="CI51" i="18"/>
  <c r="CH51" i="18"/>
  <c r="CE51" i="18"/>
  <c r="CF51" i="18" s="1"/>
  <c r="CD51" i="18"/>
  <c r="CC51" i="18"/>
  <c r="BZ51" i="18"/>
  <c r="BY51" i="18"/>
  <c r="BX51" i="18"/>
  <c r="BU51" i="18"/>
  <c r="BT51" i="18"/>
  <c r="BS51" i="18"/>
  <c r="BP51" i="18"/>
  <c r="BQ51" i="18" s="1"/>
  <c r="BO51" i="18"/>
  <c r="BK51" i="18"/>
  <c r="BL51" i="18" s="1"/>
  <c r="BJ51" i="18"/>
  <c r="BI51" i="18"/>
  <c r="BF51" i="18"/>
  <c r="BG51" i="18" s="1"/>
  <c r="I51" i="18" s="1"/>
  <c r="BE51" i="18"/>
  <c r="BD51" i="18"/>
  <c r="BA51" i="18"/>
  <c r="CI50" i="18"/>
  <c r="CH50" i="18"/>
  <c r="CE50" i="18"/>
  <c r="CF50" i="18" s="1"/>
  <c r="CG50" i="18" s="1"/>
  <c r="CD50" i="18"/>
  <c r="CC50" i="18"/>
  <c r="BZ50" i="18"/>
  <c r="CA50" i="18" s="1"/>
  <c r="BY50" i="18"/>
  <c r="BX50" i="18"/>
  <c r="BU50" i="18"/>
  <c r="BT50" i="18"/>
  <c r="BS50" i="18"/>
  <c r="BP50" i="18"/>
  <c r="BQ50" i="18" s="1"/>
  <c r="BO50" i="18"/>
  <c r="BL50" i="18"/>
  <c r="BK50" i="18"/>
  <c r="BJ50" i="18"/>
  <c r="BI50" i="18"/>
  <c r="BF50" i="18"/>
  <c r="BG50" i="18" s="1"/>
  <c r="BE50" i="18"/>
  <c r="BD50" i="18"/>
  <c r="BA50" i="18"/>
  <c r="BB50" i="18" s="1"/>
  <c r="F50" i="18" s="1"/>
  <c r="CI49" i="18"/>
  <c r="CH49" i="18"/>
  <c r="CE49" i="18"/>
  <c r="CD49" i="18"/>
  <c r="CC49" i="18"/>
  <c r="BZ49" i="18"/>
  <c r="BY49" i="18"/>
  <c r="BX49" i="18"/>
  <c r="BU49" i="18"/>
  <c r="BV49" i="18" s="1"/>
  <c r="BT49" i="18"/>
  <c r="BS49" i="18"/>
  <c r="BP49" i="18"/>
  <c r="BO49" i="18"/>
  <c r="BK49" i="18"/>
  <c r="BJ49" i="18"/>
  <c r="BI49" i="18"/>
  <c r="BF49" i="18"/>
  <c r="BG49" i="18" s="1"/>
  <c r="BE49" i="18"/>
  <c r="BD49" i="18"/>
  <c r="BA49" i="18"/>
  <c r="BB49" i="18" s="1"/>
  <c r="CI48" i="18"/>
  <c r="CH48" i="18"/>
  <c r="CE48" i="18"/>
  <c r="CF48" i="18" s="1"/>
  <c r="X48" i="18" s="1"/>
  <c r="CD48" i="18"/>
  <c r="CC48" i="18"/>
  <c r="BZ48" i="18"/>
  <c r="BY48" i="18"/>
  <c r="BX48" i="18"/>
  <c r="BU48" i="18"/>
  <c r="BV48" i="18" s="1"/>
  <c r="BT48" i="18"/>
  <c r="BS48" i="18"/>
  <c r="BP48" i="18"/>
  <c r="BQ48" i="18" s="1"/>
  <c r="BO48" i="18"/>
  <c r="BK48" i="18"/>
  <c r="BJ48" i="18"/>
  <c r="BI48" i="18"/>
  <c r="BF48" i="18"/>
  <c r="BG48" i="18" s="1"/>
  <c r="I48" i="18" s="1"/>
  <c r="BE48" i="18"/>
  <c r="BD48" i="18"/>
  <c r="BB48" i="18"/>
  <c r="F48" i="18" s="1"/>
  <c r="BA48" i="18"/>
  <c r="CI47" i="18"/>
  <c r="CH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P47" i="18"/>
  <c r="BO47" i="18"/>
  <c r="BK47" i="18"/>
  <c r="BL47" i="18" s="1"/>
  <c r="BJ47" i="18"/>
  <c r="BI47" i="18"/>
  <c r="BF47" i="18"/>
  <c r="BG47" i="18" s="1"/>
  <c r="I47" i="18" s="1"/>
  <c r="BE47" i="18"/>
  <c r="BD47" i="18"/>
  <c r="BA47" i="18"/>
  <c r="BB47" i="18" s="1"/>
  <c r="CI46" i="18"/>
  <c r="CH46" i="18"/>
  <c r="CE46" i="18"/>
  <c r="CF46" i="18" s="1"/>
  <c r="X46" i="18" s="1"/>
  <c r="CD46" i="18"/>
  <c r="CC46" i="18"/>
  <c r="BZ46" i="18"/>
  <c r="CA46" i="18" s="1"/>
  <c r="BY46" i="18"/>
  <c r="BX46" i="18"/>
  <c r="BU46" i="18"/>
  <c r="BT46" i="18"/>
  <c r="BS46" i="18"/>
  <c r="BP46" i="18"/>
  <c r="BO46" i="18"/>
  <c r="BL46" i="18"/>
  <c r="BM46" i="18" s="1"/>
  <c r="BK46" i="18"/>
  <c r="BJ46" i="18"/>
  <c r="BI46" i="18"/>
  <c r="BF46" i="18"/>
  <c r="BE46" i="18"/>
  <c r="BD46" i="18"/>
  <c r="BB46" i="18"/>
  <c r="BA46" i="18"/>
  <c r="CI45" i="18"/>
  <c r="CH45" i="18"/>
  <c r="CE45" i="18"/>
  <c r="CF45" i="18" s="1"/>
  <c r="X45" i="18" s="1"/>
  <c r="CD45" i="18"/>
  <c r="CC45" i="18"/>
  <c r="CA45" i="18"/>
  <c r="BZ45" i="18"/>
  <c r="U45" i="18" s="1"/>
  <c r="BY45" i="18"/>
  <c r="BX45" i="18"/>
  <c r="BU45" i="18"/>
  <c r="BV45" i="18" s="1"/>
  <c r="BT45" i="18"/>
  <c r="BS45" i="18"/>
  <c r="BP45" i="18"/>
  <c r="BO45" i="18"/>
  <c r="BK45" i="18"/>
  <c r="BJ45" i="18"/>
  <c r="BI45" i="18"/>
  <c r="BG45" i="18"/>
  <c r="BF45" i="18"/>
  <c r="BE45" i="18"/>
  <c r="BD45" i="18"/>
  <c r="BA45" i="18"/>
  <c r="BB45" i="18" s="1"/>
  <c r="CI44" i="18"/>
  <c r="CH44" i="18"/>
  <c r="CE44" i="18"/>
  <c r="CD44" i="18"/>
  <c r="CC44" i="18"/>
  <c r="BZ44" i="18"/>
  <c r="CA44" i="18" s="1"/>
  <c r="U44" i="18" s="1"/>
  <c r="BY44" i="18"/>
  <c r="BX44" i="18"/>
  <c r="BU44" i="18"/>
  <c r="BV44" i="18" s="1"/>
  <c r="BT44" i="18"/>
  <c r="BS44" i="18"/>
  <c r="BP44" i="18"/>
  <c r="BQ44" i="18" s="1"/>
  <c r="BO44" i="18"/>
  <c r="BK44" i="18"/>
  <c r="BJ44" i="18"/>
  <c r="BI44" i="18"/>
  <c r="BF44" i="18"/>
  <c r="BE44" i="18"/>
  <c r="BD44" i="18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P43" i="18"/>
  <c r="BQ43" i="18" s="1"/>
  <c r="BO43" i="18"/>
  <c r="BK43" i="18"/>
  <c r="BL43" i="18" s="1"/>
  <c r="BJ43" i="18"/>
  <c r="BI43" i="18"/>
  <c r="BF43" i="18"/>
  <c r="BE43" i="18"/>
  <c r="BD43" i="18"/>
  <c r="BA43" i="18"/>
  <c r="CI42" i="18"/>
  <c r="CH42" i="18"/>
  <c r="CE42" i="18"/>
  <c r="CF42" i="18" s="1"/>
  <c r="X42" i="18" s="1"/>
  <c r="CD42" i="18"/>
  <c r="CC42" i="18"/>
  <c r="BZ42" i="18"/>
  <c r="CA42" i="18" s="1"/>
  <c r="BY42" i="18"/>
  <c r="BX42" i="18"/>
  <c r="BU42" i="18"/>
  <c r="BT42" i="18"/>
  <c r="BS42" i="18"/>
  <c r="BP42" i="18"/>
  <c r="BO42" i="18"/>
  <c r="BK42" i="18"/>
  <c r="BL42" i="18" s="1"/>
  <c r="BJ42" i="18"/>
  <c r="BI42" i="18"/>
  <c r="BF42" i="18"/>
  <c r="BG42" i="18" s="1"/>
  <c r="BE42" i="18"/>
  <c r="BD42" i="18"/>
  <c r="BB42" i="18"/>
  <c r="BA42" i="18"/>
  <c r="CI41" i="18"/>
  <c r="CH41" i="18"/>
  <c r="CE41" i="18"/>
  <c r="CD41" i="18"/>
  <c r="CC41" i="18"/>
  <c r="CA41" i="18"/>
  <c r="BZ41" i="18"/>
  <c r="BY41" i="18"/>
  <c r="BX41" i="18"/>
  <c r="BU41" i="18"/>
  <c r="BV41" i="18" s="1"/>
  <c r="BT41" i="18"/>
  <c r="BS41" i="18"/>
  <c r="BP41" i="18"/>
  <c r="BO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BZ40" i="18"/>
  <c r="BY40" i="18"/>
  <c r="BX40" i="18"/>
  <c r="BU40" i="18"/>
  <c r="BV40" i="18" s="1"/>
  <c r="BT40" i="18"/>
  <c r="BS40" i="18"/>
  <c r="BP40" i="18"/>
  <c r="BO40" i="18"/>
  <c r="BK40" i="18"/>
  <c r="BJ40" i="18"/>
  <c r="BI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U39" i="18"/>
  <c r="BV39" i="18" s="1"/>
  <c r="R39" i="18" s="1"/>
  <c r="BT39" i="18"/>
  <c r="BS39" i="18"/>
  <c r="BP39" i="18"/>
  <c r="BQ39" i="18" s="1"/>
  <c r="O39" i="18" s="1"/>
  <c r="BO39" i="18"/>
  <c r="BK39" i="18"/>
  <c r="BJ39" i="18"/>
  <c r="BI39" i="18"/>
  <c r="BF39" i="18"/>
  <c r="BE39" i="18"/>
  <c r="BD39" i="18"/>
  <c r="BA39" i="18"/>
  <c r="BB39" i="18" s="1"/>
  <c r="F39" i="18" s="1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P38" i="18"/>
  <c r="BO38" i="18"/>
  <c r="BK38" i="18"/>
  <c r="BL38" i="18" s="1"/>
  <c r="BJ38" i="18"/>
  <c r="BI38" i="18"/>
  <c r="BF38" i="18"/>
  <c r="BE38" i="18"/>
  <c r="BD38" i="18"/>
  <c r="BA38" i="18"/>
  <c r="CI37" i="18"/>
  <c r="CH37" i="18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K37" i="18"/>
  <c r="BJ37" i="18"/>
  <c r="BI37" i="18"/>
  <c r="BF37" i="18"/>
  <c r="BG37" i="18" s="1"/>
  <c r="BE37" i="18"/>
  <c r="BD37" i="18"/>
  <c r="BA37" i="18"/>
  <c r="CI36" i="18"/>
  <c r="CH36" i="18"/>
  <c r="CE36" i="18"/>
  <c r="CD36" i="18"/>
  <c r="CC36" i="18"/>
  <c r="BZ36" i="18"/>
  <c r="CA36" i="18" s="1"/>
  <c r="CB36" i="18" s="1"/>
  <c r="BY36" i="18"/>
  <c r="BX36" i="18"/>
  <c r="BU36" i="18"/>
  <c r="BV36" i="18" s="1"/>
  <c r="BT36" i="18"/>
  <c r="BS36" i="18"/>
  <c r="BP36" i="18"/>
  <c r="BO36" i="18"/>
  <c r="BK36" i="18"/>
  <c r="BJ36" i="18"/>
  <c r="BI36" i="18"/>
  <c r="BF36" i="18"/>
  <c r="BG36" i="18" s="1"/>
  <c r="I36" i="18" s="1"/>
  <c r="BE36" i="18"/>
  <c r="BD36" i="18"/>
  <c r="BC36" i="18" s="1"/>
  <c r="BB36" i="18"/>
  <c r="BA36" i="18"/>
  <c r="CI35" i="18"/>
  <c r="CH35" i="18"/>
  <c r="CF35" i="18"/>
  <c r="CE35" i="18"/>
  <c r="CD35" i="18"/>
  <c r="CC35" i="18"/>
  <c r="BZ35" i="18"/>
  <c r="BY35" i="18"/>
  <c r="BX35" i="18"/>
  <c r="BU35" i="18"/>
  <c r="BV35" i="18" s="1"/>
  <c r="BT35" i="18"/>
  <c r="BS35" i="18"/>
  <c r="BP35" i="18"/>
  <c r="BQ35" i="18" s="1"/>
  <c r="BO35" i="18"/>
  <c r="BK35" i="18"/>
  <c r="BJ35" i="18"/>
  <c r="BI35" i="18"/>
  <c r="BF35" i="18"/>
  <c r="BE35" i="18"/>
  <c r="BD35" i="18"/>
  <c r="BA35" i="18"/>
  <c r="BB35" i="18" s="1"/>
  <c r="F35" i="18" s="1"/>
  <c r="CI34" i="18"/>
  <c r="CH34" i="18"/>
  <c r="CE34" i="18"/>
  <c r="CD34" i="18"/>
  <c r="CC34" i="18"/>
  <c r="BZ34" i="18"/>
  <c r="BY34" i="18"/>
  <c r="BX34" i="18"/>
  <c r="BU34" i="18"/>
  <c r="BT34" i="18"/>
  <c r="BS34" i="18"/>
  <c r="BQ34" i="18"/>
  <c r="BP34" i="18"/>
  <c r="BO34" i="18"/>
  <c r="BM34" i="18" s="1"/>
  <c r="BK34" i="18"/>
  <c r="BL34" i="18" s="1"/>
  <c r="BJ34" i="18"/>
  <c r="BI34" i="18"/>
  <c r="BF34" i="18"/>
  <c r="BE34" i="18"/>
  <c r="BD34" i="18"/>
  <c r="BB34" i="18"/>
  <c r="F34" i="18" s="1"/>
  <c r="BA34" i="18"/>
  <c r="CI33" i="18"/>
  <c r="CH33" i="18"/>
  <c r="CF33" i="18"/>
  <c r="CE33" i="18"/>
  <c r="CD33" i="18"/>
  <c r="CC33" i="18"/>
  <c r="BZ33" i="18"/>
  <c r="CA33" i="18" s="1"/>
  <c r="BY33" i="18"/>
  <c r="BX33" i="18"/>
  <c r="BU33" i="18"/>
  <c r="BT33" i="18"/>
  <c r="BS33" i="18"/>
  <c r="BP33" i="18"/>
  <c r="BO33" i="18"/>
  <c r="BK33" i="18"/>
  <c r="BL33" i="18" s="1"/>
  <c r="BJ33" i="18"/>
  <c r="BI33" i="18"/>
  <c r="BF33" i="18"/>
  <c r="BG33" i="18" s="1"/>
  <c r="BE33" i="18"/>
  <c r="BD33" i="18"/>
  <c r="BA33" i="18"/>
  <c r="CI32" i="18"/>
  <c r="CH32" i="18"/>
  <c r="CF32" i="18"/>
  <c r="CE32" i="18"/>
  <c r="CD32" i="18"/>
  <c r="CC32" i="18"/>
  <c r="BZ32" i="18"/>
  <c r="CA32" i="18" s="1"/>
  <c r="U32" i="18" s="1"/>
  <c r="BY32" i="18"/>
  <c r="BX32" i="18"/>
  <c r="BU32" i="18"/>
  <c r="BV32" i="18" s="1"/>
  <c r="BT32" i="18"/>
  <c r="BS32" i="18"/>
  <c r="BP32" i="18"/>
  <c r="BO32" i="18"/>
  <c r="BK32" i="18"/>
  <c r="BJ32" i="18"/>
  <c r="BI32" i="18"/>
  <c r="BF32" i="18"/>
  <c r="BG32" i="18" s="1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U31" i="18"/>
  <c r="BV31" i="18" s="1"/>
  <c r="R31" i="18" s="1"/>
  <c r="BT31" i="18"/>
  <c r="BS31" i="18"/>
  <c r="BP31" i="18"/>
  <c r="BQ31" i="18" s="1"/>
  <c r="O31" i="18" s="1"/>
  <c r="BO31" i="18"/>
  <c r="BK31" i="18"/>
  <c r="BJ31" i="18"/>
  <c r="BI31" i="18"/>
  <c r="BF31" i="18"/>
  <c r="BE31" i="18"/>
  <c r="BD31" i="18"/>
  <c r="BB31" i="18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P30" i="18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E29" i="18"/>
  <c r="CD29" i="18"/>
  <c r="CC29" i="18"/>
  <c r="BZ29" i="18"/>
  <c r="BY29" i="18"/>
  <c r="BX29" i="18"/>
  <c r="BU29" i="18"/>
  <c r="BT29" i="18"/>
  <c r="BS29" i="18"/>
  <c r="BP29" i="18"/>
  <c r="BO29" i="18"/>
  <c r="BK29" i="18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BZ28" i="18"/>
  <c r="BY28" i="18"/>
  <c r="BX28" i="18"/>
  <c r="BU28" i="18"/>
  <c r="BT28" i="18"/>
  <c r="BS28" i="18"/>
  <c r="BQ28" i="18"/>
  <c r="O28" i="18" s="1"/>
  <c r="BP28" i="18"/>
  <c r="BO28" i="18"/>
  <c r="BL28" i="18"/>
  <c r="BK28" i="18"/>
  <c r="BJ28" i="18"/>
  <c r="BI28" i="18"/>
  <c r="BG28" i="18"/>
  <c r="BF28" i="18"/>
  <c r="BE28" i="18"/>
  <c r="BD28" i="18"/>
  <c r="BA28" i="18"/>
  <c r="BB28" i="18" s="1"/>
  <c r="CI27" i="18"/>
  <c r="CH27" i="18"/>
  <c r="CE27" i="18"/>
  <c r="CD27" i="18"/>
  <c r="CC27" i="18"/>
  <c r="BZ27" i="18"/>
  <c r="BY27" i="18"/>
  <c r="BX27" i="18"/>
  <c r="BU27" i="18"/>
  <c r="BV27" i="18" s="1"/>
  <c r="BT27" i="18"/>
  <c r="BS27" i="18"/>
  <c r="BP27" i="18"/>
  <c r="BQ27" i="18" s="1"/>
  <c r="BO27" i="18"/>
  <c r="BK27" i="18"/>
  <c r="BJ27" i="18"/>
  <c r="BI27" i="18"/>
  <c r="BF27" i="18"/>
  <c r="BG27" i="18" s="1"/>
  <c r="BE27" i="18"/>
  <c r="BD27" i="18"/>
  <c r="BA27" i="18"/>
  <c r="BB27" i="18" s="1"/>
  <c r="F27" i="18" s="1"/>
  <c r="CI26" i="18"/>
  <c r="CH26" i="18"/>
  <c r="CE26" i="18"/>
  <c r="CF26" i="18" s="1"/>
  <c r="CD26" i="18"/>
  <c r="CC26" i="18"/>
  <c r="BZ26" i="18"/>
  <c r="BY26" i="18"/>
  <c r="BX26" i="18"/>
  <c r="BU26" i="18"/>
  <c r="BT26" i="18"/>
  <c r="BS26" i="18"/>
  <c r="BP26" i="18"/>
  <c r="BQ26" i="18" s="1"/>
  <c r="BO26" i="18"/>
  <c r="BK26" i="18"/>
  <c r="BL26" i="18" s="1"/>
  <c r="BJ26" i="18"/>
  <c r="BI26" i="18"/>
  <c r="BF26" i="18"/>
  <c r="BE26" i="18"/>
  <c r="BD26" i="18"/>
  <c r="BA26" i="18"/>
  <c r="BB26" i="18" s="1"/>
  <c r="CI25" i="18"/>
  <c r="CH25" i="18"/>
  <c r="CE25" i="18"/>
  <c r="CF25" i="18" s="1"/>
  <c r="X25" i="18" s="1"/>
  <c r="CD25" i="18"/>
  <c r="CC25" i="18"/>
  <c r="BZ25" i="18"/>
  <c r="CA25" i="18" s="1"/>
  <c r="BY25" i="18"/>
  <c r="BX25" i="18"/>
  <c r="BU25" i="18"/>
  <c r="BT25" i="18"/>
  <c r="BS25" i="18"/>
  <c r="BP25" i="18"/>
  <c r="BO25" i="18"/>
  <c r="BK25" i="18"/>
  <c r="BL25" i="18" s="1"/>
  <c r="L25" i="18" s="1"/>
  <c r="BJ25" i="18"/>
  <c r="BI25" i="18"/>
  <c r="BF25" i="18"/>
  <c r="BG25" i="18" s="1"/>
  <c r="BE25" i="18"/>
  <c r="BD25" i="18"/>
  <c r="BA25" i="18"/>
  <c r="CI24" i="18"/>
  <c r="CH24" i="18"/>
  <c r="CE24" i="18"/>
  <c r="CF24" i="18" s="1"/>
  <c r="CD24" i="18"/>
  <c r="CC24" i="18"/>
  <c r="BZ24" i="18"/>
  <c r="BY24" i="18"/>
  <c r="BX24" i="18"/>
  <c r="BU24" i="18"/>
  <c r="BV24" i="18" s="1"/>
  <c r="BT24" i="18"/>
  <c r="BS24" i="18"/>
  <c r="BP24" i="18"/>
  <c r="BO24" i="18"/>
  <c r="BK24" i="18"/>
  <c r="BJ24" i="18"/>
  <c r="BI24" i="18"/>
  <c r="BF24" i="18"/>
  <c r="BG24" i="18" s="1"/>
  <c r="BE24" i="18"/>
  <c r="BD24" i="18"/>
  <c r="BC24" i="18" s="1"/>
  <c r="BA24" i="18"/>
  <c r="BB24" i="18" s="1"/>
  <c r="CI23" i="18"/>
  <c r="CH23" i="18"/>
  <c r="CE23" i="18"/>
  <c r="CF23" i="18" s="1"/>
  <c r="CD23" i="18"/>
  <c r="CC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O23" i="18"/>
  <c r="BL23" i="18"/>
  <c r="BK23" i="18"/>
  <c r="BJ23" i="18"/>
  <c r="BI23" i="18"/>
  <c r="BF23" i="18"/>
  <c r="BE23" i="18"/>
  <c r="BD23" i="18"/>
  <c r="BA23" i="18"/>
  <c r="BB23" i="18" s="1"/>
  <c r="F23" i="18" s="1"/>
  <c r="CI22" i="18"/>
  <c r="CH22" i="18"/>
  <c r="CE22" i="18"/>
  <c r="CF22" i="18" s="1"/>
  <c r="CD22" i="18"/>
  <c r="CC22" i="18"/>
  <c r="BZ22" i="18"/>
  <c r="BY22" i="18"/>
  <c r="BX22" i="18"/>
  <c r="BU22" i="18"/>
  <c r="BV22" i="18" s="1"/>
  <c r="BT22" i="18"/>
  <c r="BS22" i="18"/>
  <c r="BP22" i="18"/>
  <c r="BQ22" i="18" s="1"/>
  <c r="BO22" i="18"/>
  <c r="BM22" i="18"/>
  <c r="BL22" i="18"/>
  <c r="L22" i="18" s="1"/>
  <c r="BK22" i="18"/>
  <c r="BJ22" i="18"/>
  <c r="BI22" i="18"/>
  <c r="BF22" i="18"/>
  <c r="BE22" i="18"/>
  <c r="BD22" i="18"/>
  <c r="BA22" i="18"/>
  <c r="CI21" i="18"/>
  <c r="CH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K21" i="18"/>
  <c r="BL21" i="18" s="1"/>
  <c r="L21" i="18" s="1"/>
  <c r="BJ21" i="18"/>
  <c r="BI21" i="18"/>
  <c r="BF21" i="18"/>
  <c r="BG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F20" i="18"/>
  <c r="BG20" i="18" s="1"/>
  <c r="I20" i="18" s="1"/>
  <c r="BE20" i="18"/>
  <c r="BD20" i="18"/>
  <c r="BA20" i="18"/>
  <c r="BB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A19" i="18"/>
  <c r="BB19" i="18" s="1"/>
  <c r="F19" i="18" s="1"/>
  <c r="CI18" i="18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X17" i="18" s="1"/>
  <c r="CE17" i="18"/>
  <c r="CD17" i="18"/>
  <c r="CC17" i="18"/>
  <c r="BZ17" i="18"/>
  <c r="CA17" i="18" s="1"/>
  <c r="BY17" i="18"/>
  <c r="BX17" i="18"/>
  <c r="BU17" i="18"/>
  <c r="BV17" i="18" s="1"/>
  <c r="R17" i="18" s="1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BZ16" i="18"/>
  <c r="CA16" i="18" s="1"/>
  <c r="U16" i="18" s="1"/>
  <c r="BY16" i="18"/>
  <c r="BX16" i="18"/>
  <c r="BU16" i="18"/>
  <c r="BV16" i="18" s="1"/>
  <c r="BT16" i="18"/>
  <c r="BS16" i="18"/>
  <c r="BP16" i="18"/>
  <c r="BQ16" i="18" s="1"/>
  <c r="O16" i="18" s="1"/>
  <c r="BO16" i="18"/>
  <c r="BK16" i="18"/>
  <c r="BJ16" i="18"/>
  <c r="BI16" i="18"/>
  <c r="BF16" i="18"/>
  <c r="BG16" i="18" s="1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P14" i="18"/>
  <c r="BQ14" i="18" s="1"/>
  <c r="O14" i="18" s="1"/>
  <c r="BO14" i="18"/>
  <c r="BK14" i="18"/>
  <c r="BL14" i="18" s="1"/>
  <c r="BJ14" i="18"/>
  <c r="BI14" i="18"/>
  <c r="BF14" i="18"/>
  <c r="BG14" i="18" s="1"/>
  <c r="I14" i="18" s="1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K13" i="18"/>
  <c r="BL13" i="18" s="1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L12" i="18" s="1"/>
  <c r="BJ12" i="18"/>
  <c r="BI12" i="18"/>
  <c r="BF12" i="18"/>
  <c r="BE12" i="18"/>
  <c r="BD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R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C53" i="2"/>
  <c r="CD52" i="2"/>
  <c r="CC52" i="2"/>
  <c r="CD51" i="2"/>
  <c r="CC51" i="2"/>
  <c r="CD50" i="2"/>
  <c r="CC50" i="2"/>
  <c r="CD49" i="2"/>
  <c r="CC49" i="2"/>
  <c r="CD48" i="2"/>
  <c r="CC48" i="2"/>
  <c r="CD47" i="2"/>
  <c r="CC47" i="2"/>
  <c r="CD46" i="2"/>
  <c r="CC46" i="2"/>
  <c r="CD45" i="2"/>
  <c r="CC45" i="2"/>
  <c r="CD44" i="2"/>
  <c r="CC44" i="2"/>
  <c r="CD43" i="2"/>
  <c r="CC43" i="2"/>
  <c r="CD42" i="2"/>
  <c r="CC42" i="2"/>
  <c r="CD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CI100" i="2"/>
  <c r="CE100" i="2"/>
  <c r="BZ100" i="2"/>
  <c r="CA100" i="2" s="1"/>
  <c r="BX100" i="2"/>
  <c r="BU100" i="2"/>
  <c r="BT100" i="2"/>
  <c r="BS100" i="2"/>
  <c r="BP100" i="2"/>
  <c r="BO100" i="2"/>
  <c r="BK100" i="2"/>
  <c r="BJ100" i="2"/>
  <c r="BI100" i="2"/>
  <c r="BF100" i="2"/>
  <c r="BE100" i="2"/>
  <c r="BD100" i="2"/>
  <c r="BA100" i="2"/>
  <c r="BB100" i="2" s="1"/>
  <c r="BC100" i="2" s="1"/>
  <c r="CI99" i="2"/>
  <c r="CE99" i="2"/>
  <c r="CF99" i="2" s="1"/>
  <c r="CG99" i="2" s="1"/>
  <c r="BZ99" i="2"/>
  <c r="CA99" i="2" s="1"/>
  <c r="BX99" i="2"/>
  <c r="BU99" i="2"/>
  <c r="BV99" i="2" s="1"/>
  <c r="BT99" i="2"/>
  <c r="BS99" i="2"/>
  <c r="BQ99" i="2"/>
  <c r="BP99" i="2"/>
  <c r="O99" i="2" s="1"/>
  <c r="BO99" i="2"/>
  <c r="BK99" i="2"/>
  <c r="BJ99" i="2"/>
  <c r="BI99" i="2"/>
  <c r="BF99" i="2"/>
  <c r="BE99" i="2"/>
  <c r="BD99" i="2"/>
  <c r="BA99" i="2"/>
  <c r="CI98" i="2"/>
  <c r="CF98" i="2"/>
  <c r="CE98" i="2"/>
  <c r="X98" i="2" s="1"/>
  <c r="BZ98" i="2"/>
  <c r="BX98" i="2"/>
  <c r="BU98" i="2"/>
  <c r="BV98" i="2" s="1"/>
  <c r="BT98" i="2"/>
  <c r="BS98" i="2"/>
  <c r="BP98" i="2"/>
  <c r="BQ98" i="2" s="1"/>
  <c r="BO98" i="2"/>
  <c r="BL98" i="2"/>
  <c r="BM98" i="2" s="1"/>
  <c r="BK98" i="2"/>
  <c r="BJ98" i="2"/>
  <c r="BI98" i="2"/>
  <c r="BF98" i="2"/>
  <c r="BE98" i="2"/>
  <c r="BD98" i="2"/>
  <c r="BA98" i="2"/>
  <c r="BB98" i="2" s="1"/>
  <c r="CI97" i="2"/>
  <c r="CE97" i="2"/>
  <c r="BZ97" i="2"/>
  <c r="CA97" i="2" s="1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E97" i="2"/>
  <c r="BD97" i="2"/>
  <c r="BA97" i="2"/>
  <c r="CI96" i="2"/>
  <c r="CF96" i="2"/>
  <c r="CE96" i="2"/>
  <c r="CG96" i="2" s="1"/>
  <c r="BZ96" i="2"/>
  <c r="CA96" i="2" s="1"/>
  <c r="BX96" i="2"/>
  <c r="BU96" i="2"/>
  <c r="BV96" i="2" s="1"/>
  <c r="R96" i="2" s="1"/>
  <c r="BT96" i="2"/>
  <c r="BS96" i="2"/>
  <c r="BQ96" i="2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BZ95" i="2"/>
  <c r="CA95" i="2" s="1"/>
  <c r="BX95" i="2"/>
  <c r="BU95" i="2"/>
  <c r="BV95" i="2" s="1"/>
  <c r="BW95" i="2" s="1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U94" i="2"/>
  <c r="BV94" i="2" s="1"/>
  <c r="BT94" i="2"/>
  <c r="BS94" i="2"/>
  <c r="BP94" i="2"/>
  <c r="BO94" i="2"/>
  <c r="BK94" i="2"/>
  <c r="BL94" i="2" s="1"/>
  <c r="L94" i="2" s="1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BZ93" i="2"/>
  <c r="BX93" i="2"/>
  <c r="BU93" i="2"/>
  <c r="BT93" i="2"/>
  <c r="BS93" i="2"/>
  <c r="BP93" i="2"/>
  <c r="BQ93" i="2" s="1"/>
  <c r="O93" i="2" s="1"/>
  <c r="BO93" i="2"/>
  <c r="BK93" i="2"/>
  <c r="BJ93" i="2"/>
  <c r="BI93" i="2"/>
  <c r="BF93" i="2"/>
  <c r="BG93" i="2" s="1"/>
  <c r="BE93" i="2"/>
  <c r="BD93" i="2"/>
  <c r="BB93" i="2"/>
  <c r="BC93" i="2" s="1"/>
  <c r="BA93" i="2"/>
  <c r="CI92" i="2"/>
  <c r="CE92" i="2"/>
  <c r="BZ92" i="2"/>
  <c r="CA92" i="2" s="1"/>
  <c r="BX92" i="2"/>
  <c r="BU92" i="2"/>
  <c r="BV92" i="2" s="1"/>
  <c r="BT92" i="2"/>
  <c r="BS92" i="2"/>
  <c r="BP92" i="2"/>
  <c r="BO92" i="2"/>
  <c r="BL92" i="2"/>
  <c r="BK92" i="2"/>
  <c r="BM92" i="2" s="1"/>
  <c r="BJ92" i="2"/>
  <c r="BI92" i="2"/>
  <c r="BF92" i="2"/>
  <c r="BE92" i="2"/>
  <c r="BD92" i="2"/>
  <c r="BA92" i="2"/>
  <c r="BB92" i="2" s="1"/>
  <c r="F92" i="2" s="1"/>
  <c r="CI91" i="2"/>
  <c r="CF91" i="2"/>
  <c r="CE91" i="2"/>
  <c r="BZ91" i="2"/>
  <c r="BX91" i="2"/>
  <c r="BU91" i="2"/>
  <c r="BV91" i="2" s="1"/>
  <c r="BT91" i="2"/>
  <c r="BS91" i="2"/>
  <c r="BP91" i="2"/>
  <c r="BO91" i="2"/>
  <c r="BK91" i="2"/>
  <c r="BJ91" i="2"/>
  <c r="BI91" i="2"/>
  <c r="BG91" i="2"/>
  <c r="BF91" i="2"/>
  <c r="BE91" i="2"/>
  <c r="BD91" i="2"/>
  <c r="BB91" i="2"/>
  <c r="BC91" i="2" s="1"/>
  <c r="BA91" i="2"/>
  <c r="CI90" i="2"/>
  <c r="CE90" i="2"/>
  <c r="CF90" i="2" s="1"/>
  <c r="BZ90" i="2"/>
  <c r="CA90" i="2" s="1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A90" i="2"/>
  <c r="CI89" i="2"/>
  <c r="CE89" i="2"/>
  <c r="CA89" i="2"/>
  <c r="BZ89" i="2"/>
  <c r="BX89" i="2"/>
  <c r="BU89" i="2"/>
  <c r="BV89" i="2" s="1"/>
  <c r="BT89" i="2"/>
  <c r="BS89" i="2"/>
  <c r="BQ89" i="2"/>
  <c r="BP89" i="2"/>
  <c r="O89" i="2" s="1"/>
  <c r="BO89" i="2"/>
  <c r="BK89" i="2"/>
  <c r="BL89" i="2" s="1"/>
  <c r="BJ89" i="2"/>
  <c r="BI89" i="2"/>
  <c r="BG89" i="2"/>
  <c r="BF89" i="2"/>
  <c r="BE89" i="2"/>
  <c r="BD89" i="2"/>
  <c r="BA89" i="2"/>
  <c r="CI88" i="2"/>
  <c r="CE88" i="2"/>
  <c r="BZ88" i="2"/>
  <c r="BX88" i="2"/>
  <c r="BV88" i="2"/>
  <c r="BU88" i="2"/>
  <c r="BT88" i="2"/>
  <c r="BS88" i="2"/>
  <c r="BP88" i="2"/>
  <c r="BQ88" i="2" s="1"/>
  <c r="BO88" i="2"/>
  <c r="BK88" i="2"/>
  <c r="BJ88" i="2"/>
  <c r="BI88" i="2"/>
  <c r="BF88" i="2"/>
  <c r="BG88" i="2" s="1"/>
  <c r="BE88" i="2"/>
  <c r="BD88" i="2"/>
  <c r="BA88" i="2"/>
  <c r="BB88" i="2" s="1"/>
  <c r="CI87" i="2"/>
  <c r="CE87" i="2"/>
  <c r="BZ87" i="2"/>
  <c r="CA87" i="2" s="1"/>
  <c r="U87" i="2" s="1"/>
  <c r="BX87" i="2"/>
  <c r="BV87" i="2"/>
  <c r="BU87" i="2"/>
  <c r="BT87" i="2"/>
  <c r="BS87" i="2"/>
  <c r="BP87" i="2"/>
  <c r="BQ87" i="2" s="1"/>
  <c r="O87" i="2" s="1"/>
  <c r="BO87" i="2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U86" i="2"/>
  <c r="BV86" i="2" s="1"/>
  <c r="R86" i="2" s="1"/>
  <c r="BT86" i="2"/>
  <c r="BS86" i="2"/>
  <c r="BR86" i="2"/>
  <c r="BQ86" i="2"/>
  <c r="BP86" i="2"/>
  <c r="BO86" i="2"/>
  <c r="BL86" i="2"/>
  <c r="BK86" i="2"/>
  <c r="BJ86" i="2"/>
  <c r="BI86" i="2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P85" i="2"/>
  <c r="BO85" i="2"/>
  <c r="BK85" i="2"/>
  <c r="BJ85" i="2"/>
  <c r="BI85" i="2"/>
  <c r="BG85" i="2"/>
  <c r="BF85" i="2"/>
  <c r="I85" i="2" s="1"/>
  <c r="BE85" i="2"/>
  <c r="BD85" i="2"/>
  <c r="BA85" i="2"/>
  <c r="CI84" i="2"/>
  <c r="CE84" i="2"/>
  <c r="CF84" i="2" s="1"/>
  <c r="BZ84" i="2"/>
  <c r="CA84" i="2" s="1"/>
  <c r="CB84" i="2" s="1"/>
  <c r="BX84" i="2"/>
  <c r="BV84" i="2"/>
  <c r="BU84" i="2"/>
  <c r="BW84" i="2" s="1"/>
  <c r="BT84" i="2"/>
  <c r="BS84" i="2"/>
  <c r="BP84" i="2"/>
  <c r="BO84" i="2"/>
  <c r="BK84" i="2"/>
  <c r="BJ84" i="2"/>
  <c r="BI84" i="2"/>
  <c r="BF84" i="2"/>
  <c r="BE84" i="2"/>
  <c r="BD84" i="2"/>
  <c r="BA84" i="2"/>
  <c r="CI83" i="2"/>
  <c r="CF83" i="2"/>
  <c r="CG83" i="2" s="1"/>
  <c r="CE83" i="2"/>
  <c r="BZ83" i="2"/>
  <c r="CA83" i="2" s="1"/>
  <c r="BX83" i="2"/>
  <c r="BU83" i="2"/>
  <c r="BV83" i="2" s="1"/>
  <c r="BT83" i="2"/>
  <c r="BS83" i="2"/>
  <c r="BR83" i="2" s="1"/>
  <c r="BQ83" i="2"/>
  <c r="BP83" i="2"/>
  <c r="BO83" i="2"/>
  <c r="BK83" i="2"/>
  <c r="BJ83" i="2"/>
  <c r="BI83" i="2"/>
  <c r="BF83" i="2"/>
  <c r="BG83" i="2" s="1"/>
  <c r="I83" i="2" s="1"/>
  <c r="BE83" i="2"/>
  <c r="BD83" i="2"/>
  <c r="BA83" i="2"/>
  <c r="CI82" i="2"/>
  <c r="CF82" i="2"/>
  <c r="CE82" i="2"/>
  <c r="X82" i="2" s="1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A82" i="2"/>
  <c r="BB82" i="2" s="1"/>
  <c r="F82" i="2" s="1"/>
  <c r="CI81" i="2"/>
  <c r="CF81" i="2"/>
  <c r="CE81" i="2"/>
  <c r="CG81" i="2" s="1"/>
  <c r="BZ81" i="2"/>
  <c r="BX81" i="2"/>
  <c r="BU81" i="2"/>
  <c r="BV81" i="2" s="1"/>
  <c r="BT81" i="2"/>
  <c r="BS81" i="2"/>
  <c r="BP81" i="2"/>
  <c r="BQ81" i="2" s="1"/>
  <c r="BO81" i="2"/>
  <c r="BK81" i="2"/>
  <c r="BL81" i="2" s="1"/>
  <c r="BJ81" i="2"/>
  <c r="BI81" i="2"/>
  <c r="BG81" i="2"/>
  <c r="BF81" i="2"/>
  <c r="BE81" i="2"/>
  <c r="BD81" i="2"/>
  <c r="BA81" i="2"/>
  <c r="CI80" i="2"/>
  <c r="CE80" i="2"/>
  <c r="CF80" i="2" s="1"/>
  <c r="X80" i="2" s="1"/>
  <c r="BZ80" i="2"/>
  <c r="BX80" i="2"/>
  <c r="BV80" i="2"/>
  <c r="BU80" i="2"/>
  <c r="R80" i="2" s="1"/>
  <c r="BT80" i="2"/>
  <c r="BS80" i="2"/>
  <c r="BP80" i="2"/>
  <c r="BQ80" i="2" s="1"/>
  <c r="BO80" i="2"/>
  <c r="BL80" i="2"/>
  <c r="L80" i="2" s="1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BZ79" i="2"/>
  <c r="CA79" i="2" s="1"/>
  <c r="BX79" i="2"/>
  <c r="BU79" i="2"/>
  <c r="BT79" i="2"/>
  <c r="BS79" i="2"/>
  <c r="BP79" i="2"/>
  <c r="BQ79" i="2" s="1"/>
  <c r="O79" i="2" s="1"/>
  <c r="BO79" i="2"/>
  <c r="BK79" i="2"/>
  <c r="BL79" i="2" s="1"/>
  <c r="BJ79" i="2"/>
  <c r="BI79" i="2"/>
  <c r="BF79" i="2"/>
  <c r="BG79" i="2" s="1"/>
  <c r="BE79" i="2"/>
  <c r="BD79" i="2"/>
  <c r="BA79" i="2"/>
  <c r="BB79" i="2" s="1"/>
  <c r="BC79" i="2" s="1"/>
  <c r="CI78" i="2"/>
  <c r="CG78" i="2"/>
  <c r="CF78" i="2"/>
  <c r="CE78" i="2"/>
  <c r="BZ78" i="2"/>
  <c r="BX78" i="2"/>
  <c r="BU78" i="2"/>
  <c r="BV78" i="2" s="1"/>
  <c r="R78" i="2" s="1"/>
  <c r="BT78" i="2"/>
  <c r="BS78" i="2"/>
  <c r="BP78" i="2"/>
  <c r="BQ78" i="2" s="1"/>
  <c r="BR78" i="2" s="1"/>
  <c r="BO78" i="2"/>
  <c r="BK78" i="2"/>
  <c r="BL78" i="2" s="1"/>
  <c r="L78" i="2" s="1"/>
  <c r="BJ78" i="2"/>
  <c r="BI78" i="2"/>
  <c r="BG78" i="2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P77" i="2"/>
  <c r="BQ77" i="2" s="1"/>
  <c r="BO77" i="2"/>
  <c r="BK77" i="2"/>
  <c r="BJ77" i="2"/>
  <c r="BI77" i="2"/>
  <c r="BF77" i="2"/>
  <c r="BG77" i="2" s="1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K76" i="2"/>
  <c r="BL76" i="2" s="1"/>
  <c r="BJ76" i="2"/>
  <c r="BI76" i="2"/>
  <c r="BF76" i="2"/>
  <c r="BE76" i="2"/>
  <c r="BD76" i="2"/>
  <c r="BB76" i="2"/>
  <c r="BA76" i="2"/>
  <c r="CI75" i="2"/>
  <c r="CF75" i="2"/>
  <c r="CE75" i="2"/>
  <c r="CA75" i="2"/>
  <c r="BZ75" i="2"/>
  <c r="BX75" i="2"/>
  <c r="BU75" i="2"/>
  <c r="BV75" i="2" s="1"/>
  <c r="BT75" i="2"/>
  <c r="BS75" i="2"/>
  <c r="BP75" i="2"/>
  <c r="BQ75" i="2" s="1"/>
  <c r="BO75" i="2"/>
  <c r="BK75" i="2"/>
  <c r="BJ75" i="2"/>
  <c r="BI75" i="2"/>
  <c r="BF75" i="2"/>
  <c r="BG75" i="2" s="1"/>
  <c r="I75" i="2" s="1"/>
  <c r="BE75" i="2"/>
  <c r="BD75" i="2"/>
  <c r="BA75" i="2"/>
  <c r="CI74" i="2"/>
  <c r="CF74" i="2"/>
  <c r="CE74" i="2"/>
  <c r="BZ74" i="2"/>
  <c r="CA74" i="2" s="1"/>
  <c r="BX74" i="2"/>
  <c r="BU74" i="2"/>
  <c r="BV74" i="2" s="1"/>
  <c r="BT74" i="2"/>
  <c r="BS74" i="2"/>
  <c r="BP74" i="2"/>
  <c r="BQ74" i="2" s="1"/>
  <c r="BO74" i="2"/>
  <c r="BK74" i="2"/>
  <c r="BJ74" i="2"/>
  <c r="BI74" i="2"/>
  <c r="BF74" i="2"/>
  <c r="BE74" i="2"/>
  <c r="BD74" i="2"/>
  <c r="BB74" i="2"/>
  <c r="BA74" i="2"/>
  <c r="CI73" i="2"/>
  <c r="CE73" i="2"/>
  <c r="BZ73" i="2"/>
  <c r="CA73" i="2" s="1"/>
  <c r="U73" i="2" s="1"/>
  <c r="BX73" i="2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 s="1"/>
  <c r="CF72" i="2"/>
  <c r="CE72" i="2"/>
  <c r="CB72" i="2"/>
  <c r="CA72" i="2"/>
  <c r="BZ72" i="2"/>
  <c r="BX72" i="2"/>
  <c r="BU72" i="2"/>
  <c r="BV72" i="2" s="1"/>
  <c r="BT72" i="2"/>
  <c r="BS72" i="2"/>
  <c r="BQ72" i="2"/>
  <c r="BP72" i="2"/>
  <c r="BO72" i="2"/>
  <c r="BL72" i="2"/>
  <c r="BK72" i="2"/>
  <c r="BJ72" i="2"/>
  <c r="BI72" i="2"/>
  <c r="BF72" i="2"/>
  <c r="BG72" i="2" s="1"/>
  <c r="BE72" i="2"/>
  <c r="BD72" i="2"/>
  <c r="BA72" i="2"/>
  <c r="CI71" i="2"/>
  <c r="CE71" i="2"/>
  <c r="BZ71" i="2"/>
  <c r="CA71" i="2" s="1"/>
  <c r="BX71" i="2"/>
  <c r="BU71" i="2"/>
  <c r="BT71" i="2"/>
  <c r="BS71" i="2"/>
  <c r="BQ71" i="2"/>
  <c r="BR71" i="2" s="1"/>
  <c r="BP71" i="2"/>
  <c r="O71" i="2" s="1"/>
  <c r="BO71" i="2"/>
  <c r="BL71" i="2"/>
  <c r="BM71" i="2" s="1"/>
  <c r="BK71" i="2"/>
  <c r="BJ71" i="2"/>
  <c r="BI71" i="2"/>
  <c r="BF71" i="2"/>
  <c r="BE71" i="2"/>
  <c r="BD71" i="2"/>
  <c r="BA71" i="2"/>
  <c r="BB71" i="2" s="1"/>
  <c r="F71" i="2" s="1"/>
  <c r="CI70" i="2"/>
  <c r="CE70" i="2"/>
  <c r="CF70" i="2" s="1"/>
  <c r="BZ70" i="2"/>
  <c r="BX70" i="2"/>
  <c r="BU70" i="2"/>
  <c r="BV70" i="2" s="1"/>
  <c r="R70" i="2" s="1"/>
  <c r="BT70" i="2"/>
  <c r="BS70" i="2"/>
  <c r="BP70" i="2"/>
  <c r="BO70" i="2"/>
  <c r="BL70" i="2"/>
  <c r="BK70" i="2"/>
  <c r="L70" i="2" s="1"/>
  <c r="BJ70" i="2"/>
  <c r="BI70" i="2"/>
  <c r="BG70" i="2"/>
  <c r="BF70" i="2"/>
  <c r="BE70" i="2"/>
  <c r="BD70" i="2"/>
  <c r="BA70" i="2"/>
  <c r="CI69" i="2"/>
  <c r="CE69" i="2"/>
  <c r="CF69" i="2" s="1"/>
  <c r="X69" i="2" s="1"/>
  <c r="BZ69" i="2"/>
  <c r="BX69" i="2"/>
  <c r="BU69" i="2"/>
  <c r="BT69" i="2"/>
  <c r="BS69" i="2"/>
  <c r="BQ69" i="2"/>
  <c r="BP69" i="2"/>
  <c r="BO69" i="2"/>
  <c r="BK69" i="2"/>
  <c r="BJ69" i="2"/>
  <c r="BI69" i="2"/>
  <c r="BH69" i="2" s="1"/>
  <c r="BG69" i="2"/>
  <c r="BF69" i="2"/>
  <c r="BE69" i="2"/>
  <c r="BD69" i="2"/>
  <c r="BA69" i="2"/>
  <c r="BB69" i="2" s="1"/>
  <c r="F69" i="2" s="1"/>
  <c r="CI68" i="2"/>
  <c r="CF68" i="2"/>
  <c r="CE68" i="2"/>
  <c r="BZ68" i="2"/>
  <c r="CA68" i="2" s="1"/>
  <c r="U68" i="2" s="1"/>
  <c r="BX68" i="2"/>
  <c r="BU68" i="2"/>
  <c r="BV68" i="2" s="1"/>
  <c r="BW68" i="2" s="1"/>
  <c r="BT68" i="2"/>
  <c r="BS68" i="2"/>
  <c r="BP68" i="2"/>
  <c r="BO68" i="2"/>
  <c r="BL68" i="2"/>
  <c r="BK68" i="2"/>
  <c r="BM68" i="2" s="1"/>
  <c r="BJ68" i="2"/>
  <c r="BI68" i="2"/>
  <c r="BF68" i="2"/>
  <c r="BE68" i="2"/>
  <c r="BD68" i="2"/>
  <c r="BA68" i="2"/>
  <c r="BB68" i="2" s="1"/>
  <c r="CI67" i="2"/>
  <c r="CE67" i="2"/>
  <c r="BZ67" i="2"/>
  <c r="CA67" i="2" s="1"/>
  <c r="U67" i="2" s="1"/>
  <c r="BX67" i="2"/>
  <c r="BU67" i="2"/>
  <c r="BV67" i="2" s="1"/>
  <c r="R67" i="2" s="1"/>
  <c r="BT67" i="2"/>
  <c r="BS67" i="2"/>
  <c r="BP67" i="2"/>
  <c r="BQ67" i="2" s="1"/>
  <c r="BO67" i="2"/>
  <c r="BK67" i="2"/>
  <c r="BJ67" i="2"/>
  <c r="BI67" i="2"/>
  <c r="BF67" i="2"/>
  <c r="BG67" i="2" s="1"/>
  <c r="I67" i="2" s="1"/>
  <c r="BE67" i="2"/>
  <c r="BD67" i="2"/>
  <c r="BB67" i="2"/>
  <c r="BA67" i="2"/>
  <c r="CI66" i="2"/>
  <c r="CF66" i="2"/>
  <c r="X66" i="2" s="1"/>
  <c r="CE66" i="2"/>
  <c r="BZ66" i="2"/>
  <c r="BX66" i="2"/>
  <c r="BU66" i="2"/>
  <c r="BT66" i="2"/>
  <c r="BS66" i="2"/>
  <c r="BQ66" i="2"/>
  <c r="BP66" i="2"/>
  <c r="BR66" i="2" s="1"/>
  <c r="BO66" i="2"/>
  <c r="BK66" i="2"/>
  <c r="BJ66" i="2"/>
  <c r="BI66" i="2"/>
  <c r="BF66" i="2"/>
  <c r="BE66" i="2"/>
  <c r="BD66" i="2"/>
  <c r="BA66" i="2"/>
  <c r="BB66" i="2" s="1"/>
  <c r="CI65" i="2"/>
  <c r="CE65" i="2"/>
  <c r="BZ65" i="2"/>
  <c r="CA65" i="2" s="1"/>
  <c r="U65" i="2" s="1"/>
  <c r="BX65" i="2"/>
  <c r="BU65" i="2"/>
  <c r="BT65" i="2"/>
  <c r="BS65" i="2"/>
  <c r="BP65" i="2"/>
  <c r="BQ65" i="2" s="1"/>
  <c r="BO65" i="2"/>
  <c r="BK65" i="2"/>
  <c r="BL65" i="2" s="1"/>
  <c r="BJ65" i="2"/>
  <c r="BI65" i="2"/>
  <c r="BG65" i="2"/>
  <c r="BF65" i="2"/>
  <c r="I65" i="2" s="1"/>
  <c r="BE65" i="2"/>
  <c r="BD65" i="2"/>
  <c r="BA65" i="2"/>
  <c r="CI64" i="2"/>
  <c r="CE64" i="2"/>
  <c r="CF64" i="2" s="1"/>
  <c r="BZ64" i="2"/>
  <c r="BX64" i="2"/>
  <c r="BV64" i="2"/>
  <c r="BU64" i="2"/>
  <c r="R64" i="2" s="1"/>
  <c r="BT64" i="2"/>
  <c r="BS64" i="2"/>
  <c r="BQ64" i="2"/>
  <c r="O64" i="2" s="1"/>
  <c r="BP64" i="2"/>
  <c r="BO64" i="2"/>
  <c r="BK64" i="2"/>
  <c r="BJ64" i="2"/>
  <c r="BI64" i="2"/>
  <c r="BF64" i="2"/>
  <c r="BG64" i="2" s="1"/>
  <c r="I64" i="2" s="1"/>
  <c r="BE64" i="2"/>
  <c r="BD64" i="2"/>
  <c r="BA64" i="2"/>
  <c r="CI63" i="2"/>
  <c r="CE63" i="2"/>
  <c r="BZ63" i="2"/>
  <c r="BX63" i="2"/>
  <c r="BU63" i="2"/>
  <c r="BT63" i="2"/>
  <c r="BS63" i="2"/>
  <c r="BP63" i="2"/>
  <c r="BQ63" i="2" s="1"/>
  <c r="O63" i="2" s="1"/>
  <c r="BO63" i="2"/>
  <c r="BK63" i="2"/>
  <c r="BJ63" i="2"/>
  <c r="BI63" i="2"/>
  <c r="BG63" i="2"/>
  <c r="BF63" i="2"/>
  <c r="BE63" i="2"/>
  <c r="BD63" i="2"/>
  <c r="BA63" i="2"/>
  <c r="BB63" i="2" s="1"/>
  <c r="CI62" i="2"/>
  <c r="CE62" i="2"/>
  <c r="BZ62" i="2"/>
  <c r="BX62" i="2"/>
  <c r="BU62" i="2"/>
  <c r="BT62" i="2"/>
  <c r="BS62" i="2"/>
  <c r="BP62" i="2"/>
  <c r="BQ62" i="2" s="1"/>
  <c r="BO62" i="2"/>
  <c r="BL62" i="2"/>
  <c r="BK62" i="2"/>
  <c r="BM62" i="2" s="1"/>
  <c r="BJ62" i="2"/>
  <c r="BI62" i="2"/>
  <c r="BH62" i="2" s="1"/>
  <c r="BG62" i="2"/>
  <c r="BF62" i="2"/>
  <c r="BE62" i="2"/>
  <c r="BD62" i="2"/>
  <c r="BA62" i="2"/>
  <c r="CI61" i="2"/>
  <c r="CE61" i="2"/>
  <c r="CF61" i="2" s="1"/>
  <c r="BZ61" i="2"/>
  <c r="CA61" i="2" s="1"/>
  <c r="U61" i="2" s="1"/>
  <c r="BX61" i="2"/>
  <c r="BU61" i="2"/>
  <c r="BT61" i="2"/>
  <c r="BS61" i="2"/>
  <c r="BQ61" i="2"/>
  <c r="BP61" i="2"/>
  <c r="BO61" i="2"/>
  <c r="BK61" i="2"/>
  <c r="BL61" i="2" s="1"/>
  <c r="L61" i="2" s="1"/>
  <c r="BJ61" i="2"/>
  <c r="BI61" i="2"/>
  <c r="BG61" i="2"/>
  <c r="BF61" i="2"/>
  <c r="BE61" i="2"/>
  <c r="BD61" i="2"/>
  <c r="BA61" i="2"/>
  <c r="BB61" i="2" s="1"/>
  <c r="CI60" i="2"/>
  <c r="CE60" i="2"/>
  <c r="BZ60" i="2"/>
  <c r="CA60" i="2" s="1"/>
  <c r="CB60" i="2" s="1"/>
  <c r="BX60" i="2"/>
  <c r="BU60" i="2"/>
  <c r="BV60" i="2" s="1"/>
  <c r="R60" i="2" s="1"/>
  <c r="BT60" i="2"/>
  <c r="BS60" i="2"/>
  <c r="BP60" i="2"/>
  <c r="BQ60" i="2" s="1"/>
  <c r="BO60" i="2"/>
  <c r="BM60" i="2" s="1"/>
  <c r="BL60" i="2"/>
  <c r="L60" i="2" s="1"/>
  <c r="BK60" i="2"/>
  <c r="BJ60" i="2"/>
  <c r="BI60" i="2"/>
  <c r="BF60" i="2"/>
  <c r="BE60" i="2"/>
  <c r="BD60" i="2"/>
  <c r="BB60" i="2"/>
  <c r="BC60" i="2" s="1"/>
  <c r="BA60" i="2"/>
  <c r="CI59" i="2"/>
  <c r="CE59" i="2"/>
  <c r="BZ59" i="2"/>
  <c r="CA59" i="2" s="1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D59" i="2"/>
  <c r="BA59" i="2"/>
  <c r="BB59" i="2" s="1"/>
  <c r="CI58" i="2"/>
  <c r="CE58" i="2"/>
  <c r="CF58" i="2" s="1"/>
  <c r="BZ58" i="2"/>
  <c r="BX58" i="2"/>
  <c r="BU58" i="2"/>
  <c r="BT58" i="2"/>
  <c r="BS58" i="2"/>
  <c r="BP58" i="2"/>
  <c r="BO58" i="2"/>
  <c r="BK58" i="2"/>
  <c r="BJ58" i="2"/>
  <c r="BI58" i="2"/>
  <c r="BF58" i="2"/>
  <c r="BG58" i="2" s="1"/>
  <c r="BE58" i="2"/>
  <c r="BD58" i="2"/>
  <c r="BA58" i="2"/>
  <c r="CI57" i="2"/>
  <c r="CE57" i="2"/>
  <c r="BZ57" i="2"/>
  <c r="CA57" i="2" s="1"/>
  <c r="BX57" i="2"/>
  <c r="BU57" i="2"/>
  <c r="BT57" i="2"/>
  <c r="BS57" i="2"/>
  <c r="BP57" i="2"/>
  <c r="BQ57" i="2" s="1"/>
  <c r="BO57" i="2"/>
  <c r="BL57" i="2"/>
  <c r="BM57" i="2" s="1"/>
  <c r="BK57" i="2"/>
  <c r="BJ57" i="2"/>
  <c r="BI57" i="2"/>
  <c r="BF57" i="2"/>
  <c r="BE57" i="2"/>
  <c r="BD57" i="2"/>
  <c r="BA57" i="2"/>
  <c r="BB57" i="2" s="1"/>
  <c r="CI56" i="2"/>
  <c r="CF56" i="2"/>
  <c r="CE56" i="2"/>
  <c r="X56" i="2" s="1"/>
  <c r="BZ56" i="2"/>
  <c r="BX56" i="2"/>
  <c r="BU56" i="2"/>
  <c r="BV56" i="2" s="1"/>
  <c r="R56" i="2" s="1"/>
  <c r="BT56" i="2"/>
  <c r="BS56" i="2"/>
  <c r="BP56" i="2"/>
  <c r="BQ56" i="2" s="1"/>
  <c r="BR56" i="2" s="1"/>
  <c r="BO56" i="2"/>
  <c r="BK56" i="2"/>
  <c r="BJ56" i="2"/>
  <c r="BI56" i="2"/>
  <c r="BG56" i="2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P55" i="2"/>
  <c r="BQ55" i="2" s="1"/>
  <c r="O55" i="2" s="1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K54" i="2"/>
  <c r="BJ54" i="2"/>
  <c r="BI54" i="2"/>
  <c r="BF54" i="2"/>
  <c r="BE54" i="2"/>
  <c r="BD54" i="2"/>
  <c r="BA54" i="2"/>
  <c r="BB54" i="2" s="1"/>
  <c r="F54" i="2" s="1"/>
  <c r="CI53" i="2"/>
  <c r="CE53" i="2"/>
  <c r="CA53" i="2"/>
  <c r="BZ53" i="2"/>
  <c r="U53" i="2" s="1"/>
  <c r="BX53" i="2"/>
  <c r="BU53" i="2"/>
  <c r="BV53" i="2" s="1"/>
  <c r="BT53" i="2"/>
  <c r="BS53" i="2"/>
  <c r="BP53" i="2"/>
  <c r="BQ53" i="2" s="1"/>
  <c r="O53" i="2" s="1"/>
  <c r="BO53" i="2"/>
  <c r="BK53" i="2"/>
  <c r="BL53" i="2" s="1"/>
  <c r="BJ53" i="2"/>
  <c r="BI53" i="2"/>
  <c r="BG53" i="2"/>
  <c r="BH53" i="2" s="1"/>
  <c r="BF53" i="2"/>
  <c r="I53" i="2" s="1"/>
  <c r="BE53" i="2"/>
  <c r="BD53" i="2"/>
  <c r="BB53" i="2"/>
  <c r="BA53" i="2"/>
  <c r="CI52" i="2"/>
  <c r="CE52" i="2"/>
  <c r="BZ52" i="2"/>
  <c r="CA52" i="2" s="1"/>
  <c r="U52" i="2" s="1"/>
  <c r="BX52" i="2"/>
  <c r="BU52" i="2"/>
  <c r="BT52" i="2"/>
  <c r="BS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BZ51" i="2"/>
  <c r="CA51" i="2" s="1"/>
  <c r="BX51" i="2"/>
  <c r="BV51" i="2"/>
  <c r="BU51" i="2"/>
  <c r="BT51" i="2"/>
  <c r="BS51" i="2"/>
  <c r="BP51" i="2"/>
  <c r="BQ51" i="2" s="1"/>
  <c r="BO51" i="2"/>
  <c r="BK51" i="2"/>
  <c r="BJ51" i="2"/>
  <c r="BI51" i="2"/>
  <c r="BF51" i="2"/>
  <c r="BE51" i="2"/>
  <c r="BD51" i="2"/>
  <c r="BA51" i="2"/>
  <c r="BB51" i="2" s="1"/>
  <c r="BC51" i="2" s="1"/>
  <c r="CI50" i="2"/>
  <c r="CE50" i="2"/>
  <c r="BZ50" i="2"/>
  <c r="CA50" i="2" s="1"/>
  <c r="U50" i="2" s="1"/>
  <c r="BX50" i="2"/>
  <c r="BU50" i="2"/>
  <c r="BT50" i="2"/>
  <c r="BS50" i="2"/>
  <c r="BQ50" i="2"/>
  <c r="BR50" i="2" s="1"/>
  <c r="BP50" i="2"/>
  <c r="BO50" i="2"/>
  <c r="BK50" i="2"/>
  <c r="BL50" i="2" s="1"/>
  <c r="BM50" i="2" s="1"/>
  <c r="BJ50" i="2"/>
  <c r="BI50" i="2"/>
  <c r="BF50" i="2"/>
  <c r="BE50" i="2"/>
  <c r="BD50" i="2"/>
  <c r="BA50" i="2"/>
  <c r="CI49" i="2"/>
  <c r="CE49" i="2"/>
  <c r="CF49" i="2" s="1"/>
  <c r="BZ49" i="2"/>
  <c r="CA49" i="2" s="1"/>
  <c r="BX49" i="2"/>
  <c r="BU49" i="2"/>
  <c r="BV49" i="2" s="1"/>
  <c r="BT49" i="2"/>
  <c r="BS49" i="2"/>
  <c r="BP49" i="2"/>
  <c r="BO49" i="2"/>
  <c r="BK49" i="2"/>
  <c r="BJ49" i="2"/>
  <c r="BI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F48" i="2"/>
  <c r="BG48" i="2" s="1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A47" i="2"/>
  <c r="BB47" i="2" s="1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F46" i="2"/>
  <c r="BG46" i="2" s="1"/>
  <c r="BE46" i="2"/>
  <c r="BD46" i="2"/>
  <c r="BB46" i="2"/>
  <c r="BC46" i="2" s="1"/>
  <c r="BA46" i="2"/>
  <c r="CI45" i="2"/>
  <c r="CF45" i="2"/>
  <c r="CG45" i="2" s="1"/>
  <c r="CE45" i="2"/>
  <c r="BZ45" i="2"/>
  <c r="CA45" i="2" s="1"/>
  <c r="BX45" i="2"/>
  <c r="BU45" i="2"/>
  <c r="BT45" i="2"/>
  <c r="BS45" i="2"/>
  <c r="BQ45" i="2"/>
  <c r="BP45" i="2"/>
  <c r="O45" i="2" s="1"/>
  <c r="BO45" i="2"/>
  <c r="BL45" i="2"/>
  <c r="BK45" i="2"/>
  <c r="BJ45" i="2"/>
  <c r="BI45" i="2"/>
  <c r="BF45" i="2"/>
  <c r="BG45" i="2" s="1"/>
  <c r="BE45" i="2"/>
  <c r="BD45" i="2"/>
  <c r="BA45" i="2"/>
  <c r="BB45" i="2" s="1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F44" i="2"/>
  <c r="BG44" i="2" s="1"/>
  <c r="BE44" i="2"/>
  <c r="BD44" i="2"/>
  <c r="BA44" i="2"/>
  <c r="CI43" i="2"/>
  <c r="CE43" i="2"/>
  <c r="CF43" i="2" s="1"/>
  <c r="BZ43" i="2"/>
  <c r="CA43" i="2" s="1"/>
  <c r="BX43" i="2"/>
  <c r="BU43" i="2"/>
  <c r="BV43" i="2" s="1"/>
  <c r="BT43" i="2"/>
  <c r="BS43" i="2"/>
  <c r="BP43" i="2"/>
  <c r="BO43" i="2"/>
  <c r="BK43" i="2"/>
  <c r="BJ43" i="2"/>
  <c r="BI43" i="2"/>
  <c r="BF43" i="2"/>
  <c r="BG43" i="2" s="1"/>
  <c r="BH43" i="2" s="1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U42" i="2"/>
  <c r="BT42" i="2"/>
  <c r="BS42" i="2"/>
  <c r="BP42" i="2"/>
  <c r="BQ42" i="2" s="1"/>
  <c r="BR42" i="2" s="1"/>
  <c r="BO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U41" i="2"/>
  <c r="BV41" i="2" s="1"/>
  <c r="BT41" i="2"/>
  <c r="BS41" i="2"/>
  <c r="BP41" i="2"/>
  <c r="BO41" i="2"/>
  <c r="BK41" i="2"/>
  <c r="BJ41" i="2"/>
  <c r="BI41" i="2"/>
  <c r="BF41" i="2"/>
  <c r="BE41" i="2"/>
  <c r="BD41" i="2"/>
  <c r="BA41" i="2"/>
  <c r="CI40" i="2"/>
  <c r="CE40" i="2"/>
  <c r="CF40" i="2" s="1"/>
  <c r="BZ40" i="2"/>
  <c r="BX40" i="2"/>
  <c r="BU40" i="2"/>
  <c r="BT40" i="2"/>
  <c r="BS40" i="2"/>
  <c r="BP40" i="2"/>
  <c r="BQ40" i="2" s="1"/>
  <c r="O40" i="2" s="1"/>
  <c r="BO40" i="2"/>
  <c r="BK40" i="2"/>
  <c r="BL40" i="2" s="1"/>
  <c r="BM40" i="2" s="1"/>
  <c r="BJ40" i="2"/>
  <c r="BI40" i="2"/>
  <c r="BF40" i="2"/>
  <c r="BE40" i="2"/>
  <c r="BD40" i="2"/>
  <c r="BA40" i="2"/>
  <c r="BB40" i="2" s="1"/>
  <c r="CI39" i="2"/>
  <c r="CE39" i="2"/>
  <c r="CB39" i="2"/>
  <c r="BZ39" i="2"/>
  <c r="CA39" i="2" s="1"/>
  <c r="BX39" i="2"/>
  <c r="BU39" i="2"/>
  <c r="BT39" i="2"/>
  <c r="BS39" i="2"/>
  <c r="BP39" i="2"/>
  <c r="BQ39" i="2" s="1"/>
  <c r="BO39" i="2"/>
  <c r="BK39" i="2"/>
  <c r="BL39" i="2" s="1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P38" i="2"/>
  <c r="BQ38" i="2" s="1"/>
  <c r="BO38" i="2"/>
  <c r="BK38" i="2"/>
  <c r="BJ38" i="2"/>
  <c r="BI38" i="2"/>
  <c r="BG38" i="2"/>
  <c r="I38" i="2" s="1"/>
  <c r="BF38" i="2"/>
  <c r="BE38" i="2"/>
  <c r="BD38" i="2"/>
  <c r="BA38" i="2"/>
  <c r="CI37" i="2"/>
  <c r="CE37" i="2"/>
  <c r="BZ37" i="2"/>
  <c r="BX37" i="2"/>
  <c r="BU37" i="2"/>
  <c r="BT37" i="2"/>
  <c r="BS37" i="2"/>
  <c r="BP37" i="2"/>
  <c r="BQ37" i="2" s="1"/>
  <c r="BO37" i="2"/>
  <c r="BK37" i="2"/>
  <c r="BJ37" i="2"/>
  <c r="BI37" i="2"/>
  <c r="BG37" i="2"/>
  <c r="BF37" i="2"/>
  <c r="I37" i="2" s="1"/>
  <c r="BE37" i="2"/>
  <c r="BD37" i="2"/>
  <c r="BA37" i="2"/>
  <c r="BB37" i="2" s="1"/>
  <c r="CI36" i="2"/>
  <c r="CE36" i="2"/>
  <c r="BZ36" i="2"/>
  <c r="BX36" i="2"/>
  <c r="BU36" i="2"/>
  <c r="BT36" i="2"/>
  <c r="BS36" i="2"/>
  <c r="BP36" i="2"/>
  <c r="BQ36" i="2" s="1"/>
  <c r="BR36" i="2" s="1"/>
  <c r="BO36" i="2"/>
  <c r="BK36" i="2"/>
  <c r="BL36" i="2" s="1"/>
  <c r="BJ36" i="2"/>
  <c r="BI36" i="2"/>
  <c r="BF36" i="2"/>
  <c r="BG36" i="2" s="1"/>
  <c r="I36" i="2" s="1"/>
  <c r="BE36" i="2"/>
  <c r="BD36" i="2"/>
  <c r="BA36" i="2"/>
  <c r="CI35" i="2"/>
  <c r="CE35" i="2"/>
  <c r="CF35" i="2" s="1"/>
  <c r="BZ35" i="2"/>
  <c r="CA35" i="2" s="1"/>
  <c r="CB35" i="2" s="1"/>
  <c r="BX35" i="2"/>
  <c r="BU35" i="2"/>
  <c r="BT35" i="2"/>
  <c r="BS35" i="2"/>
  <c r="BP35" i="2"/>
  <c r="BQ35" i="2" s="1"/>
  <c r="BO35" i="2"/>
  <c r="BK35" i="2"/>
  <c r="BJ35" i="2"/>
  <c r="BI35" i="2"/>
  <c r="BF35" i="2"/>
  <c r="BG35" i="2" s="1"/>
  <c r="BE35" i="2"/>
  <c r="BD35" i="2"/>
  <c r="BA35" i="2"/>
  <c r="CI34" i="2"/>
  <c r="CE34" i="2"/>
  <c r="CF34" i="2" s="1"/>
  <c r="BZ34" i="2"/>
  <c r="CA34" i="2" s="1"/>
  <c r="U34" i="2" s="1"/>
  <c r="BX34" i="2"/>
  <c r="BU34" i="2"/>
  <c r="BT34" i="2"/>
  <c r="BS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BZ33" i="2"/>
  <c r="CA33" i="2" s="1"/>
  <c r="U33" i="2" s="1"/>
  <c r="BX33" i="2"/>
  <c r="BV33" i="2"/>
  <c r="BU33" i="2"/>
  <c r="BT33" i="2"/>
  <c r="BS33" i="2"/>
  <c r="BP33" i="2"/>
  <c r="BQ33" i="2" s="1"/>
  <c r="BO33" i="2"/>
  <c r="BK33" i="2"/>
  <c r="BL33" i="2" s="1"/>
  <c r="L33" i="2" s="1"/>
  <c r="BJ33" i="2"/>
  <c r="BI33" i="2"/>
  <c r="BF33" i="2"/>
  <c r="BE33" i="2"/>
  <c r="BD33" i="2"/>
  <c r="BA33" i="2"/>
  <c r="CI32" i="2"/>
  <c r="CE32" i="2"/>
  <c r="CF32" i="2" s="1"/>
  <c r="BZ32" i="2"/>
  <c r="CA32" i="2" s="1"/>
  <c r="BX32" i="2"/>
  <c r="BU32" i="2"/>
  <c r="BT32" i="2"/>
  <c r="BS32" i="2"/>
  <c r="BQ32" i="2"/>
  <c r="BR32" i="2" s="1"/>
  <c r="BP32" i="2"/>
  <c r="BO32" i="2"/>
  <c r="BK32" i="2"/>
  <c r="BL32" i="2" s="1"/>
  <c r="BM32" i="2" s="1"/>
  <c r="BJ32" i="2"/>
  <c r="BI32" i="2"/>
  <c r="BF32" i="2"/>
  <c r="BE32" i="2"/>
  <c r="BD32" i="2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L31" i="2"/>
  <c r="BM31" i="2" s="1"/>
  <c r="BK31" i="2"/>
  <c r="BJ31" i="2"/>
  <c r="BI31" i="2"/>
  <c r="BF31" i="2"/>
  <c r="BE31" i="2"/>
  <c r="BD31" i="2"/>
  <c r="BA31" i="2"/>
  <c r="CI30" i="2"/>
  <c r="CE30" i="2"/>
  <c r="BZ30" i="2"/>
  <c r="BX30" i="2"/>
  <c r="BU30" i="2"/>
  <c r="BV30" i="2" s="1"/>
  <c r="BT30" i="2"/>
  <c r="BS30" i="2"/>
  <c r="BP30" i="2"/>
  <c r="BO30" i="2"/>
  <c r="BK30" i="2"/>
  <c r="BL30" i="2" s="1"/>
  <c r="BJ30" i="2"/>
  <c r="BI30" i="2"/>
  <c r="BF30" i="2"/>
  <c r="BG30" i="2" s="1"/>
  <c r="BH30" i="2" s="1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P29" i="2"/>
  <c r="BQ29" i="2" s="1"/>
  <c r="BO29" i="2"/>
  <c r="BK29" i="2"/>
  <c r="BJ29" i="2"/>
  <c r="BI29" i="2"/>
  <c r="BG29" i="2"/>
  <c r="BF29" i="2"/>
  <c r="BE29" i="2"/>
  <c r="BD29" i="2"/>
  <c r="BB29" i="2"/>
  <c r="BC29" i="2" s="1"/>
  <c r="BA29" i="2"/>
  <c r="CI28" i="2"/>
  <c r="CE28" i="2"/>
  <c r="CF28" i="2" s="1"/>
  <c r="CG28" i="2" s="1"/>
  <c r="BZ28" i="2"/>
  <c r="CA28" i="2" s="1"/>
  <c r="U28" i="2" s="1"/>
  <c r="BX28" i="2"/>
  <c r="BU28" i="2"/>
  <c r="BT28" i="2"/>
  <c r="BS28" i="2"/>
  <c r="BP28" i="2"/>
  <c r="BQ28" i="2" s="1"/>
  <c r="BO28" i="2"/>
  <c r="BK28" i="2"/>
  <c r="BL28" i="2" s="1"/>
  <c r="BJ28" i="2"/>
  <c r="BI28" i="2"/>
  <c r="BG28" i="2"/>
  <c r="BH28" i="2" s="1"/>
  <c r="BF28" i="2"/>
  <c r="I28" i="2" s="1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O27" i="2"/>
  <c r="BL27" i="2"/>
  <c r="BK27" i="2"/>
  <c r="BJ27" i="2"/>
  <c r="BI27" i="2"/>
  <c r="BF27" i="2"/>
  <c r="BE27" i="2"/>
  <c r="BD27" i="2"/>
  <c r="BA27" i="2"/>
  <c r="CI26" i="2"/>
  <c r="CE26" i="2"/>
  <c r="BZ26" i="2"/>
  <c r="BX26" i="2"/>
  <c r="BU26" i="2"/>
  <c r="BV26" i="2" s="1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E25" i="2"/>
  <c r="CF25" i="2" s="1"/>
  <c r="BZ25" i="2"/>
  <c r="BX25" i="2"/>
  <c r="BU25" i="2"/>
  <c r="BT25" i="2"/>
  <c r="BS25" i="2"/>
  <c r="BQ25" i="2"/>
  <c r="BR25" i="2" s="1"/>
  <c r="BP25" i="2"/>
  <c r="O25" i="2" s="1"/>
  <c r="BO25" i="2"/>
  <c r="BK25" i="2"/>
  <c r="BJ25" i="2"/>
  <c r="BI25" i="2"/>
  <c r="BF25" i="2"/>
  <c r="BG25" i="2" s="1"/>
  <c r="BE25" i="2"/>
  <c r="BD25" i="2"/>
  <c r="BA25" i="2"/>
  <c r="BB25" i="2" s="1"/>
  <c r="BC25" i="2" s="1"/>
  <c r="CI24" i="2"/>
  <c r="CE24" i="2"/>
  <c r="BZ24" i="2"/>
  <c r="BX24" i="2"/>
  <c r="BU24" i="2"/>
  <c r="BT24" i="2"/>
  <c r="BS24" i="2"/>
  <c r="BP24" i="2"/>
  <c r="BO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U23" i="2"/>
  <c r="BV23" i="2" s="1"/>
  <c r="R23" i="2" s="1"/>
  <c r="BT23" i="2"/>
  <c r="BS23" i="2"/>
  <c r="BQ23" i="2"/>
  <c r="BP23" i="2"/>
  <c r="BO23" i="2"/>
  <c r="BK23" i="2"/>
  <c r="BJ23" i="2"/>
  <c r="BI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K16" i="2"/>
  <c r="BL16" i="2" s="1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U66" i="18"/>
  <c r="X91" i="2"/>
  <c r="U82" i="2"/>
  <c r="I62" i="2"/>
  <c r="O54" i="2"/>
  <c r="I41" i="18"/>
  <c r="E1" i="2"/>
  <c r="F32" i="18"/>
  <c r="L50" i="18"/>
  <c r="L46" i="18"/>
  <c r="I45" i="18"/>
  <c r="O47" i="18"/>
  <c r="R48" i="2"/>
  <c r="AX1" i="12"/>
  <c r="O27" i="18"/>
  <c r="U69" i="18"/>
  <c r="O66" i="18"/>
  <c r="O35" i="18"/>
  <c r="G1" i="2"/>
  <c r="J1" i="2" s="1"/>
  <c r="I96" i="2"/>
  <c r="L27" i="2"/>
  <c r="L97" i="2"/>
  <c r="L31" i="2"/>
  <c r="O98" i="2"/>
  <c r="F95" i="2"/>
  <c r="F32" i="2"/>
  <c r="R24" i="18"/>
  <c r="O15" i="18"/>
  <c r="L81" i="18"/>
  <c r="L14" i="18"/>
  <c r="I65" i="18"/>
  <c r="U68" i="18"/>
  <c r="I68" i="18"/>
  <c r="X18" i="18"/>
  <c r="I33" i="18"/>
  <c r="U33" i="18"/>
  <c r="L34" i="18"/>
  <c r="U37" i="18"/>
  <c r="F44" i="18"/>
  <c r="L65" i="18"/>
  <c r="F70" i="18"/>
  <c r="L71" i="18"/>
  <c r="R72" i="18"/>
  <c r="I72" i="18"/>
  <c r="U72" i="18"/>
  <c r="L73" i="18"/>
  <c r="U74" i="18"/>
  <c r="I57" i="18"/>
  <c r="O75" i="18"/>
  <c r="R16" i="18"/>
  <c r="F36" i="18"/>
  <c r="F40" i="18"/>
  <c r="R40" i="18"/>
  <c r="F99" i="18"/>
  <c r="R67" i="18"/>
  <c r="R75" i="18"/>
  <c r="I84" i="18"/>
  <c r="O98" i="18"/>
  <c r="L89" i="18"/>
  <c r="L95" i="18"/>
  <c r="X82" i="18"/>
  <c r="R83" i="18"/>
  <c r="F87" i="18"/>
  <c r="F93" i="18"/>
  <c r="U23" i="18"/>
  <c r="O23" i="18"/>
  <c r="F28" i="18"/>
  <c r="R33" i="2"/>
  <c r="O69" i="2"/>
  <c r="L53" i="2"/>
  <c r="R49" i="2"/>
  <c r="X55" i="2"/>
  <c r="X72" i="2"/>
  <c r="X93" i="2"/>
  <c r="L87" i="2"/>
  <c r="F57" i="2"/>
  <c r="U92" i="2"/>
  <c r="U98" i="18"/>
  <c r="X26" i="18"/>
  <c r="X96" i="18"/>
  <c r="F74" i="2"/>
  <c r="X83" i="2"/>
  <c r="F53" i="2"/>
  <c r="U100" i="2"/>
  <c r="U38" i="2"/>
  <c r="U92" i="18"/>
  <c r="L26" i="18"/>
  <c r="U76" i="18"/>
  <c r="I63" i="2"/>
  <c r="L68" i="2"/>
  <c r="G1" i="12"/>
  <c r="F1" i="12"/>
  <c r="AW1" i="12"/>
  <c r="F1" i="2"/>
  <c r="BC1" i="2" s="1"/>
  <c r="BD1" i="2" s="1"/>
  <c r="I55" i="2"/>
  <c r="F52" i="2"/>
  <c r="I91" i="2"/>
  <c r="I70" i="2"/>
  <c r="O74" i="2"/>
  <c r="X75" i="2"/>
  <c r="F77" i="2"/>
  <c r="O72" i="2"/>
  <c r="R92" i="2"/>
  <c r="L98" i="2"/>
  <c r="R55" i="18"/>
  <c r="U28" i="18"/>
  <c r="U52" i="18"/>
  <c r="O63" i="18"/>
  <c r="O18" i="18"/>
  <c r="L57" i="18"/>
  <c r="F72" i="18"/>
  <c r="U60" i="18"/>
  <c r="X67" i="18"/>
  <c r="I86" i="18"/>
  <c r="L78" i="18"/>
  <c r="O79" i="18"/>
  <c r="X91" i="18"/>
  <c r="F95" i="18"/>
  <c r="U77" i="18"/>
  <c r="R97" i="18"/>
  <c r="I85" i="18"/>
  <c r="U100" i="18"/>
  <c r="R84" i="18"/>
  <c r="R91" i="18"/>
  <c r="O88" i="18"/>
  <c r="X92" i="18"/>
  <c r="X99" i="18"/>
  <c r="R79" i="18"/>
  <c r="I81" i="18"/>
  <c r="O82" i="18"/>
  <c r="X93" i="18"/>
  <c r="U96" i="18"/>
  <c r="O96" i="18"/>
  <c r="F79" i="18"/>
  <c r="L93" i="18"/>
  <c r="I96" i="18"/>
  <c r="O77" i="18"/>
  <c r="U91" i="18"/>
  <c r="I25" i="2"/>
  <c r="X43" i="2"/>
  <c r="L97" i="18"/>
  <c r="O90" i="18"/>
  <c r="O13" i="18"/>
  <c r="O34" i="18"/>
  <c r="X42" i="2"/>
  <c r="F24" i="2"/>
  <c r="I45" i="2"/>
  <c r="X22" i="2"/>
  <c r="I17" i="2"/>
  <c r="O95" i="2"/>
  <c r="X68" i="2"/>
  <c r="X48" i="2"/>
  <c r="L46" i="2"/>
  <c r="L72" i="2"/>
  <c r="O61" i="2"/>
  <c r="F63" i="18"/>
  <c r="F67" i="18"/>
  <c r="X69" i="18"/>
  <c r="O70" i="18"/>
  <c r="X77" i="18"/>
  <c r="R99" i="18"/>
  <c r="O11" i="18"/>
  <c r="I28" i="18"/>
  <c r="X33" i="18"/>
  <c r="O58" i="18"/>
  <c r="O74" i="18"/>
  <c r="F47" i="18"/>
  <c r="L53" i="18"/>
  <c r="X53" i="18"/>
  <c r="I80" i="18"/>
  <c r="L79" i="18"/>
  <c r="R81" i="18"/>
  <c r="X83" i="18"/>
  <c r="F85" i="18"/>
  <c r="L87" i="18"/>
  <c r="I94" i="18"/>
  <c r="U13" i="18"/>
  <c r="X14" i="18"/>
  <c r="F16" i="18"/>
  <c r="O19" i="18"/>
  <c r="R20" i="18"/>
  <c r="U21" i="18"/>
  <c r="F17" i="18"/>
  <c r="F46" i="18"/>
  <c r="L56" i="18"/>
  <c r="R58" i="18"/>
  <c r="L23" i="18"/>
  <c r="X32" i="18"/>
  <c r="F42" i="18"/>
  <c r="U47" i="18"/>
  <c r="L52" i="18"/>
  <c r="U55" i="18"/>
  <c r="I59" i="18"/>
  <c r="U63" i="18"/>
  <c r="O69" i="18"/>
  <c r="L90" i="18"/>
  <c r="I97" i="18"/>
  <c r="O99" i="18"/>
  <c r="O87" i="18"/>
  <c r="X35" i="18"/>
  <c r="R41" i="18"/>
  <c r="I42" i="18"/>
  <c r="U42" i="18"/>
  <c r="L43" i="18"/>
  <c r="O44" i="18"/>
  <c r="F45" i="18"/>
  <c r="R45" i="18"/>
  <c r="L47" i="18"/>
  <c r="X47" i="18"/>
  <c r="O48" i="18"/>
  <c r="F49" i="18"/>
  <c r="I50" i="18"/>
  <c r="U50" i="18"/>
  <c r="L51" i="18"/>
  <c r="O52" i="18"/>
  <c r="I54" i="18"/>
  <c r="U54" i="18"/>
  <c r="X55" i="18"/>
  <c r="F57" i="18"/>
  <c r="L59" i="18"/>
  <c r="O60" i="18"/>
  <c r="R61" i="18"/>
  <c r="U62" i="18"/>
  <c r="X63" i="18"/>
  <c r="L98" i="18"/>
  <c r="R100" i="18"/>
  <c r="F60" i="2"/>
  <c r="I61" i="2"/>
  <c r="L62" i="2"/>
  <c r="X78" i="2"/>
  <c r="I81" i="2"/>
  <c r="O83" i="2"/>
  <c r="F88" i="2"/>
  <c r="I89" i="2"/>
  <c r="U27" i="2"/>
  <c r="X28" i="2"/>
  <c r="R30" i="2"/>
  <c r="X32" i="2"/>
  <c r="F34" i="2"/>
  <c r="O37" i="2"/>
  <c r="O50" i="2"/>
  <c r="R51" i="2"/>
  <c r="I56" i="2"/>
  <c r="L57" i="2"/>
  <c r="I69" i="2"/>
  <c r="X74" i="2"/>
  <c r="F76" i="2"/>
  <c r="R88" i="2"/>
  <c r="U89" i="2"/>
  <c r="I94" i="2"/>
  <c r="O96" i="2"/>
  <c r="R97" i="2"/>
  <c r="O66" i="2"/>
  <c r="I72" i="2"/>
  <c r="R75" i="2"/>
  <c r="U76" i="2"/>
  <c r="I80" i="2"/>
  <c r="L81" i="2"/>
  <c r="X81" i="2"/>
  <c r="O82" i="2"/>
  <c r="R83" i="2"/>
  <c r="X85" i="2"/>
  <c r="I88" i="2"/>
  <c r="R91" i="2"/>
  <c r="L92" i="2"/>
  <c r="X96" i="2"/>
  <c r="I60" i="18"/>
  <c r="X47" i="2"/>
  <c r="BW68" i="18" l="1"/>
  <c r="R68" i="18"/>
  <c r="BM82" i="18"/>
  <c r="L82" i="18"/>
  <c r="BR26" i="18"/>
  <c r="O26" i="18"/>
  <c r="I40" i="18"/>
  <c r="F91" i="18"/>
  <c r="BH33" i="18"/>
  <c r="CG83" i="18"/>
  <c r="I77" i="18"/>
  <c r="L38" i="18"/>
  <c r="F31" i="18"/>
  <c r="BR44" i="18"/>
  <c r="U20" i="18"/>
  <c r="BC31" i="18"/>
  <c r="BC12" i="18"/>
  <c r="BC20" i="18"/>
  <c r="BR34" i="18"/>
  <c r="CB46" i="18"/>
  <c r="BR99" i="18"/>
  <c r="BM42" i="18"/>
  <c r="CB45" i="18"/>
  <c r="BW100" i="18"/>
  <c r="BG40" i="18"/>
  <c r="BC49" i="18"/>
  <c r="BQ61" i="18"/>
  <c r="O61" i="18" s="1"/>
  <c r="BV76" i="18"/>
  <c r="BW76" i="18" s="1"/>
  <c r="U84" i="18"/>
  <c r="I49" i="18"/>
  <c r="R5" i="18"/>
  <c r="I25" i="18"/>
  <c r="R36" i="18"/>
  <c r="BH40" i="18"/>
  <c r="BH50" i="18"/>
  <c r="O4" i="18"/>
  <c r="BC48" i="18"/>
  <c r="BM51" i="18"/>
  <c r="U46" i="18"/>
  <c r="X31" i="18"/>
  <c r="I78" i="18"/>
  <c r="F12" i="18"/>
  <c r="X10" i="18"/>
  <c r="CG24" i="18"/>
  <c r="CB63" i="18"/>
  <c r="BB91" i="18"/>
  <c r="U25" i="18"/>
  <c r="CB62" i="18"/>
  <c r="CF64" i="18"/>
  <c r="X64" i="18" s="1"/>
  <c r="BL69" i="18"/>
  <c r="L69" i="18" s="1"/>
  <c r="I21" i="18"/>
  <c r="F69" i="18"/>
  <c r="CF34" i="18"/>
  <c r="X34" i="18" s="1"/>
  <c r="CB42" i="18"/>
  <c r="CB74" i="18"/>
  <c r="BR70" i="18"/>
  <c r="CB41" i="18"/>
  <c r="BH16" i="18"/>
  <c r="BH37" i="18"/>
  <c r="BH25" i="18"/>
  <c r="BM56" i="18"/>
  <c r="BR48" i="18"/>
  <c r="BM26" i="18"/>
  <c r="F24" i="18"/>
  <c r="X85" i="18"/>
  <c r="I9" i="18"/>
  <c r="F71" i="18"/>
  <c r="BR27" i="18"/>
  <c r="X22" i="18"/>
  <c r="CB50" i="18"/>
  <c r="CB69" i="18"/>
  <c r="BM89" i="18"/>
  <c r="CB93" i="18"/>
  <c r="U93" i="18"/>
  <c r="BM100" i="18"/>
  <c r="L100" i="18"/>
  <c r="BM77" i="18"/>
  <c r="L77" i="18"/>
  <c r="CG70" i="18"/>
  <c r="X70" i="18"/>
  <c r="BM33" i="18"/>
  <c r="L33" i="18"/>
  <c r="BR43" i="18"/>
  <c r="O43" i="18"/>
  <c r="BR53" i="18"/>
  <c r="O53" i="18"/>
  <c r="L74" i="18"/>
  <c r="BM74" i="18"/>
  <c r="BH73" i="18"/>
  <c r="I73" i="18"/>
  <c r="BW78" i="18"/>
  <c r="R78" i="18"/>
  <c r="BW87" i="18"/>
  <c r="R87" i="18"/>
  <c r="BR51" i="18"/>
  <c r="O51" i="18"/>
  <c r="CG78" i="18"/>
  <c r="X78" i="18"/>
  <c r="O59" i="18"/>
  <c r="BR59" i="18"/>
  <c r="BC80" i="18"/>
  <c r="F80" i="18"/>
  <c r="CB87" i="18"/>
  <c r="U87" i="18"/>
  <c r="BC66" i="18"/>
  <c r="F66" i="18"/>
  <c r="CB61" i="18"/>
  <c r="U61" i="18"/>
  <c r="BR83" i="18"/>
  <c r="CG23" i="18"/>
  <c r="X23" i="18"/>
  <c r="CB85" i="18"/>
  <c r="BH89" i="18"/>
  <c r="I89" i="18"/>
  <c r="BC64" i="18"/>
  <c r="F64" i="18"/>
  <c r="BH24" i="18"/>
  <c r="I24" i="18"/>
  <c r="BC74" i="18"/>
  <c r="F74" i="18"/>
  <c r="BC52" i="18"/>
  <c r="F52" i="18"/>
  <c r="I37" i="18"/>
  <c r="U71" i="18"/>
  <c r="L42" i="18"/>
  <c r="I67" i="18"/>
  <c r="X57" i="18"/>
  <c r="O22" i="18"/>
  <c r="F20" i="18"/>
  <c r="BH21" i="18"/>
  <c r="BL60" i="18"/>
  <c r="L60" i="18" s="1"/>
  <c r="BM62" i="18"/>
  <c r="BH67" i="18"/>
  <c r="BH77" i="18"/>
  <c r="BB88" i="18"/>
  <c r="F88" i="18" s="1"/>
  <c r="BC95" i="18"/>
  <c r="U41" i="18"/>
  <c r="CG18" i="18"/>
  <c r="BR31" i="18"/>
  <c r="CG42" i="18"/>
  <c r="BC79" i="18"/>
  <c r="BC87" i="18"/>
  <c r="BH97" i="18"/>
  <c r="BC19" i="18"/>
  <c r="BH20" i="18"/>
  <c r="BL29" i="18"/>
  <c r="L29" i="18" s="1"/>
  <c r="BQ30" i="18"/>
  <c r="O30" i="18" s="1"/>
  <c r="BC44" i="18"/>
  <c r="BH48" i="18"/>
  <c r="BM65" i="18"/>
  <c r="BH81" i="18"/>
  <c r="BH85" i="18"/>
  <c r="BC91" i="18"/>
  <c r="BH96" i="18"/>
  <c r="BM81" i="18"/>
  <c r="BM21" i="18"/>
  <c r="BM28" i="18"/>
  <c r="CB32" i="18"/>
  <c r="BH45" i="18"/>
  <c r="BH49" i="18"/>
  <c r="BR69" i="18"/>
  <c r="BR71" i="18"/>
  <c r="BM73" i="18"/>
  <c r="BM78" i="18"/>
  <c r="BH80" i="18"/>
  <c r="BH84" i="18"/>
  <c r="BM76" i="18"/>
  <c r="BR23" i="18"/>
  <c r="BR28" i="18"/>
  <c r="CB33" i="18"/>
  <c r="BR72" i="18"/>
  <c r="BH88" i="18"/>
  <c r="BH92" i="18"/>
  <c r="BR98" i="18"/>
  <c r="BM49" i="18"/>
  <c r="F58" i="18"/>
  <c r="O50" i="18"/>
  <c r="U36" i="18"/>
  <c r="I88" i="18"/>
  <c r="O72" i="18"/>
  <c r="AB72" i="18" s="1"/>
  <c r="CF37" i="18"/>
  <c r="CG37" i="18" s="1"/>
  <c r="BH42" i="18"/>
  <c r="BL49" i="18"/>
  <c r="L49" i="18" s="1"/>
  <c r="BQ78" i="18"/>
  <c r="O78" i="18" s="1"/>
  <c r="BQ83" i="18"/>
  <c r="O83" i="18" s="1"/>
  <c r="BR87" i="18"/>
  <c r="BW99" i="18"/>
  <c r="X43" i="18"/>
  <c r="F77" i="18"/>
  <c r="X56" i="18"/>
  <c r="R22" i="18"/>
  <c r="F60" i="18"/>
  <c r="I70" i="18"/>
  <c r="CG32" i="18"/>
  <c r="CG33" i="18"/>
  <c r="BC39" i="18"/>
  <c r="BR47" i="18"/>
  <c r="BR75" i="18"/>
  <c r="BR79" i="18"/>
  <c r="BR82" i="18"/>
  <c r="BM93" i="18"/>
  <c r="BM87" i="18"/>
  <c r="I32" i="18"/>
  <c r="X24" i="18"/>
  <c r="CK72" i="18"/>
  <c r="AP72" i="18" s="1"/>
  <c r="CB58" i="18"/>
  <c r="BR85" i="18"/>
  <c r="BM90" i="18"/>
  <c r="BR94" i="18"/>
  <c r="CB100" i="18"/>
  <c r="I99" i="18"/>
  <c r="BL41" i="18"/>
  <c r="L41" i="18" s="1"/>
  <c r="CB68" i="18"/>
  <c r="BW75" i="18"/>
  <c r="BW81" i="18"/>
  <c r="CB23" i="18"/>
  <c r="CA24" i="18"/>
  <c r="U24" i="18" s="1"/>
  <c r="CB25" i="18"/>
  <c r="BR52" i="18"/>
  <c r="CA65" i="18"/>
  <c r="U65" i="18" s="1"/>
  <c r="CB72" i="18"/>
  <c r="BV80" i="18"/>
  <c r="R80" i="18" s="1"/>
  <c r="BW83" i="18"/>
  <c r="BR88" i="18"/>
  <c r="BR90" i="18"/>
  <c r="BV95" i="18"/>
  <c r="R95" i="18" s="1"/>
  <c r="BR18" i="18"/>
  <c r="CB28" i="18"/>
  <c r="BC34" i="18"/>
  <c r="CG62" i="18"/>
  <c r="BW79" i="18"/>
  <c r="BR91" i="18"/>
  <c r="CB96" i="18"/>
  <c r="CG29" i="18"/>
  <c r="CB55" i="18"/>
  <c r="CB76" i="18"/>
  <c r="CA49" i="18"/>
  <c r="U49" i="18" s="1"/>
  <c r="CB54" i="18"/>
  <c r="BB59" i="18"/>
  <c r="F59" i="18" s="1"/>
  <c r="BB68" i="18"/>
  <c r="F68" i="18" s="1"/>
  <c r="CG69" i="18"/>
  <c r="CA85" i="18"/>
  <c r="U85" i="18" s="1"/>
  <c r="BV88" i="18"/>
  <c r="BW88" i="18" s="1"/>
  <c r="BV92" i="18"/>
  <c r="R92" i="18" s="1"/>
  <c r="CF97" i="18"/>
  <c r="X97" i="18" s="1"/>
  <c r="BM47" i="18"/>
  <c r="CF21" i="18"/>
  <c r="X21" i="18" s="1"/>
  <c r="BH36" i="18"/>
  <c r="BB58" i="18"/>
  <c r="BC58" i="18" s="1"/>
  <c r="BB61" i="18"/>
  <c r="BC61" i="18" s="1"/>
  <c r="CA79" i="18"/>
  <c r="CB79" i="18" s="1"/>
  <c r="CB84" i="18"/>
  <c r="BC99" i="18"/>
  <c r="CG25" i="18"/>
  <c r="X51" i="18"/>
  <c r="BM37" i="18"/>
  <c r="BR38" i="18"/>
  <c r="BC72" i="18"/>
  <c r="CG81" i="18"/>
  <c r="CG26" i="18"/>
  <c r="X94" i="18"/>
  <c r="L18" i="18"/>
  <c r="X29" i="18"/>
  <c r="U80" i="18"/>
  <c r="R88" i="18"/>
  <c r="L28" i="18"/>
  <c r="I17" i="18"/>
  <c r="X38" i="18"/>
  <c r="X50" i="18"/>
  <c r="BR15" i="18"/>
  <c r="BC27" i="18"/>
  <c r="BC28" i="18"/>
  <c r="BL37" i="18"/>
  <c r="L37" i="18" s="1"/>
  <c r="BQ38" i="18"/>
  <c r="O38" i="18" s="1"/>
  <c r="BR39" i="18"/>
  <c r="CG47" i="18"/>
  <c r="CB52" i="18"/>
  <c r="BC57" i="18"/>
  <c r="BH60" i="18"/>
  <c r="BG69" i="18"/>
  <c r="I69" i="18" s="1"/>
  <c r="BC71" i="18"/>
  <c r="CF81" i="18"/>
  <c r="X81" i="18" s="1"/>
  <c r="CA89" i="18"/>
  <c r="U89" i="18" s="1"/>
  <c r="CB90" i="18"/>
  <c r="CB92" i="18"/>
  <c r="BH100" i="18"/>
  <c r="L13" i="18"/>
  <c r="BM14" i="18"/>
  <c r="BC23" i="18"/>
  <c r="CG54" i="18"/>
  <c r="BH68" i="18"/>
  <c r="BC76" i="18"/>
  <c r="CG86" i="18"/>
  <c r="CB88" i="18"/>
  <c r="BH28" i="18"/>
  <c r="CA40" i="18"/>
  <c r="CB40" i="18" s="1"/>
  <c r="CG51" i="18"/>
  <c r="BH57" i="18"/>
  <c r="BH65" i="18"/>
  <c r="BH72" i="18"/>
  <c r="BB75" i="18"/>
  <c r="F75" i="18" s="1"/>
  <c r="CG93" i="18"/>
  <c r="BW65" i="18"/>
  <c r="R65" i="18"/>
  <c r="R12" i="18"/>
  <c r="U79" i="2"/>
  <c r="CB79" i="2"/>
  <c r="R94" i="2"/>
  <c r="BW94" i="2"/>
  <c r="BH77" i="2"/>
  <c r="I77" i="2"/>
  <c r="BR35" i="2"/>
  <c r="O35" i="2"/>
  <c r="BC37" i="2"/>
  <c r="F37" i="2"/>
  <c r="F84" i="2"/>
  <c r="BR28" i="2"/>
  <c r="O28" i="2"/>
  <c r="L100" i="2"/>
  <c r="L58" i="2"/>
  <c r="BR62" i="2"/>
  <c r="O62" i="2"/>
  <c r="CG90" i="2"/>
  <c r="X90" i="2"/>
  <c r="BC47" i="2"/>
  <c r="F47" i="2"/>
  <c r="X25" i="2"/>
  <c r="CG25" i="2"/>
  <c r="BC40" i="2"/>
  <c r="F40" i="2"/>
  <c r="CB74" i="2"/>
  <c r="U74" i="2"/>
  <c r="CB32" i="2"/>
  <c r="U32" i="2"/>
  <c r="F50" i="2"/>
  <c r="L65" i="2"/>
  <c r="BM65" i="2"/>
  <c r="I57" i="2"/>
  <c r="L84" i="2"/>
  <c r="BW89" i="2"/>
  <c r="R89" i="2"/>
  <c r="O34" i="2"/>
  <c r="BR88" i="2"/>
  <c r="O88" i="2"/>
  <c r="L76" i="2"/>
  <c r="BM76" i="2"/>
  <c r="BR80" i="2"/>
  <c r="O80" i="2"/>
  <c r="CG58" i="2"/>
  <c r="X58" i="2"/>
  <c r="I71" i="2"/>
  <c r="BM79" i="2"/>
  <c r="L79" i="2"/>
  <c r="BH46" i="2"/>
  <c r="I46" i="2"/>
  <c r="BC66" i="2"/>
  <c r="F66" i="2"/>
  <c r="BW72" i="2"/>
  <c r="R72" i="2"/>
  <c r="BW26" i="2"/>
  <c r="R26" i="2"/>
  <c r="BM39" i="2"/>
  <c r="L39" i="2"/>
  <c r="BC45" i="2"/>
  <c r="F45" i="2"/>
  <c r="BR75" i="2"/>
  <c r="O75" i="2"/>
  <c r="CB95" i="2"/>
  <c r="U95" i="2"/>
  <c r="CG64" i="2"/>
  <c r="X64" i="2"/>
  <c r="F87" i="2"/>
  <c r="F68" i="2"/>
  <c r="X45" i="2"/>
  <c r="X35" i="2"/>
  <c r="O39" i="2"/>
  <c r="BH38" i="2"/>
  <c r="BL58" i="2"/>
  <c r="BG71" i="2"/>
  <c r="BB85" i="2"/>
  <c r="BC85" i="2" s="1"/>
  <c r="BH86" i="2"/>
  <c r="BM87" i="2"/>
  <c r="BH78" i="2"/>
  <c r="O32" i="2"/>
  <c r="U85" i="2"/>
  <c r="R43" i="2"/>
  <c r="O27" i="2"/>
  <c r="BR53" i="2"/>
  <c r="BH56" i="2"/>
  <c r="BM58" i="2"/>
  <c r="U84" i="2"/>
  <c r="F93" i="2"/>
  <c r="R84" i="2"/>
  <c r="O42" i="2"/>
  <c r="I93" i="2"/>
  <c r="O36" i="2"/>
  <c r="BB33" i="2"/>
  <c r="BC33" i="2" s="1"/>
  <c r="CG49" i="2"/>
  <c r="CF67" i="2"/>
  <c r="CG67" i="2" s="1"/>
  <c r="BB84" i="2"/>
  <c r="BL100" i="2"/>
  <c r="BW86" i="2"/>
  <c r="BH29" i="2"/>
  <c r="U44" i="2"/>
  <c r="BR64" i="2"/>
  <c r="BC69" i="2"/>
  <c r="BH70" i="2"/>
  <c r="CG75" i="2"/>
  <c r="BM86" i="2"/>
  <c r="BR93" i="2"/>
  <c r="BM100" i="2"/>
  <c r="F80" i="2"/>
  <c r="BQ34" i="2"/>
  <c r="BB41" i="2"/>
  <c r="BC41" i="2" s="1"/>
  <c r="BM42" i="2"/>
  <c r="BB50" i="2"/>
  <c r="BC50" i="2" s="1"/>
  <c r="BQ52" i="2"/>
  <c r="O52" i="2" s="1"/>
  <c r="BL63" i="2"/>
  <c r="L63" i="2" s="1"/>
  <c r="BR72" i="2"/>
  <c r="BV73" i="2"/>
  <c r="BW73" i="2" s="1"/>
  <c r="CA81" i="2"/>
  <c r="CB81" i="2" s="1"/>
  <c r="CF88" i="2"/>
  <c r="X88" i="2" s="1"/>
  <c r="BB90" i="2"/>
  <c r="BC90" i="2" s="1"/>
  <c r="BH97" i="2"/>
  <c r="BR99" i="2"/>
  <c r="CG56" i="2"/>
  <c r="CG80" i="2"/>
  <c r="BW87" i="2"/>
  <c r="BR98" i="2"/>
  <c r="L26" i="2"/>
  <c r="BV57" i="2"/>
  <c r="R57" i="2" s="1"/>
  <c r="BL77" i="2"/>
  <c r="BM77" i="2" s="1"/>
  <c r="BL84" i="2"/>
  <c r="BR38" i="2"/>
  <c r="BW30" i="2"/>
  <c r="F79" i="2"/>
  <c r="I48" i="2"/>
  <c r="F63" i="2"/>
  <c r="BG23" i="2"/>
  <c r="BH23" i="2" s="1"/>
  <c r="BH61" i="2"/>
  <c r="BH91" i="2"/>
  <c r="CA93" i="2"/>
  <c r="CB93" i="2" s="1"/>
  <c r="BR29" i="2"/>
  <c r="R20" i="2"/>
  <c r="L77" i="2"/>
  <c r="X40" i="2"/>
  <c r="X70" i="2"/>
  <c r="U97" i="2"/>
  <c r="X84" i="2"/>
  <c r="U71" i="2"/>
  <c r="BR63" i="2"/>
  <c r="BL69" i="2"/>
  <c r="L69" i="2" s="1"/>
  <c r="BM84" i="2"/>
  <c r="BQ85" i="2"/>
  <c r="O85" i="2" s="1"/>
  <c r="BW70" i="2"/>
  <c r="BC32" i="2"/>
  <c r="BB27" i="2"/>
  <c r="BC27" i="2" s="1"/>
  <c r="O19" i="2"/>
  <c r="X77" i="2"/>
  <c r="X61" i="2"/>
  <c r="O77" i="2"/>
  <c r="R53" i="2"/>
  <c r="AB53" i="2" s="1"/>
  <c r="R68" i="2"/>
  <c r="CG34" i="2"/>
  <c r="CG43" i="2"/>
  <c r="BR51" i="2"/>
  <c r="CB71" i="2"/>
  <c r="BL24" i="2"/>
  <c r="L24" i="2" s="1"/>
  <c r="CB92" i="2"/>
  <c r="L86" i="2"/>
  <c r="L36" i="2"/>
  <c r="O67" i="2"/>
  <c r="BW42" i="2"/>
  <c r="BC82" i="2"/>
  <c r="BC88" i="2"/>
  <c r="BH89" i="2"/>
  <c r="BW23" i="2"/>
  <c r="F98" i="2"/>
  <c r="L73" i="2"/>
  <c r="I35" i="2"/>
  <c r="L30" i="2"/>
  <c r="U57" i="2"/>
  <c r="R29" i="2"/>
  <c r="BH36" i="2"/>
  <c r="BR37" i="2"/>
  <c r="BH49" i="2"/>
  <c r="CA98" i="2"/>
  <c r="CB98" i="2" s="1"/>
  <c r="BW48" i="2"/>
  <c r="BW20" i="2"/>
  <c r="BM36" i="2"/>
  <c r="BR61" i="2"/>
  <c r="BR77" i="2"/>
  <c r="BW91" i="2"/>
  <c r="BM27" i="2"/>
  <c r="BM45" i="2"/>
  <c r="BW51" i="2"/>
  <c r="BC53" i="2"/>
  <c r="BC59" i="2"/>
  <c r="BR69" i="2"/>
  <c r="BH81" i="2"/>
  <c r="BM89" i="2"/>
  <c r="BR96" i="2"/>
  <c r="CG98" i="2"/>
  <c r="BR27" i="2"/>
  <c r="BH35" i="2"/>
  <c r="BL49" i="2"/>
  <c r="L49" i="2" s="1"/>
  <c r="BL54" i="2"/>
  <c r="BM54" i="2" s="1"/>
  <c r="BB58" i="2"/>
  <c r="BC58" i="2" s="1"/>
  <c r="BB72" i="2"/>
  <c r="F72" i="2" s="1"/>
  <c r="BW53" i="2"/>
  <c r="BR67" i="2"/>
  <c r="BW83" i="2"/>
  <c r="CG91" i="2"/>
  <c r="CG69" i="2"/>
  <c r="BH65" i="2"/>
  <c r="BL74" i="2"/>
  <c r="BM74" i="2" s="1"/>
  <c r="CG46" i="2"/>
  <c r="CG70" i="2"/>
  <c r="R99" i="2"/>
  <c r="I97" i="2"/>
  <c r="BH48" i="2"/>
  <c r="BM53" i="2"/>
  <c r="BG57" i="2"/>
  <c r="BC63" i="2"/>
  <c r="BH64" i="2"/>
  <c r="CB96" i="2"/>
  <c r="BG99" i="2"/>
  <c r="I99" i="2" s="1"/>
  <c r="BG100" i="2"/>
  <c r="I100" i="2" s="1"/>
  <c r="L10" i="2"/>
  <c r="L42" i="2"/>
  <c r="L71" i="2"/>
  <c r="U5" i="2"/>
  <c r="X14" i="2"/>
  <c r="O90" i="2"/>
  <c r="F61" i="2"/>
  <c r="L89" i="2"/>
  <c r="BH57" i="2"/>
  <c r="BW67" i="2"/>
  <c r="BR74" i="2"/>
  <c r="BW75" i="2"/>
  <c r="BC98" i="2"/>
  <c r="CB41" i="2"/>
  <c r="CB53" i="2"/>
  <c r="CB43" i="2"/>
  <c r="CA66" i="2"/>
  <c r="CB66" i="2" s="1"/>
  <c r="U41" i="2"/>
  <c r="CB45" i="2"/>
  <c r="U60" i="2"/>
  <c r="CB34" i="2"/>
  <c r="CA40" i="2"/>
  <c r="CB40" i="2" s="1"/>
  <c r="U49" i="2"/>
  <c r="CB50" i="2"/>
  <c r="BW44" i="18"/>
  <c r="R44" i="18"/>
  <c r="BW52" i="18"/>
  <c r="R52" i="18"/>
  <c r="R32" i="18"/>
  <c r="BW32" i="18"/>
  <c r="BW62" i="18"/>
  <c r="R62" i="18"/>
  <c r="BW27" i="18"/>
  <c r="R27" i="18"/>
  <c r="BW49" i="18"/>
  <c r="BW55" i="18"/>
  <c r="BV56" i="18"/>
  <c r="R56" i="18" s="1"/>
  <c r="BV60" i="18"/>
  <c r="R60" i="18" s="1"/>
  <c r="BW61" i="18"/>
  <c r="BV51" i="18"/>
  <c r="R51" i="18" s="1"/>
  <c r="BV64" i="18"/>
  <c r="R64" i="18" s="1"/>
  <c r="BW31" i="18"/>
  <c r="BW39" i="18"/>
  <c r="BW24" i="18"/>
  <c r="BW22" i="18"/>
  <c r="R49" i="18"/>
  <c r="BW45" i="18"/>
  <c r="BW58" i="18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I27" i="18"/>
  <c r="BH27" i="18"/>
  <c r="BQ29" i="18"/>
  <c r="BR29" i="18" s="1"/>
  <c r="CF30" i="18"/>
  <c r="X30" i="18" s="1"/>
  <c r="CG30" i="18"/>
  <c r="R35" i="18"/>
  <c r="BW35" i="18"/>
  <c r="CF60" i="18"/>
  <c r="X60" i="18" s="1"/>
  <c r="BG82" i="18"/>
  <c r="BH82" i="18" s="1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 s="1"/>
  <c r="U6" i="18"/>
  <c r="CB6" i="18"/>
  <c r="U8" i="18"/>
  <c r="CB8" i="18"/>
  <c r="BQ9" i="18"/>
  <c r="O9" i="18" s="1"/>
  <c r="X13" i="18"/>
  <c r="CG13" i="18"/>
  <c r="BV30" i="18"/>
  <c r="R30" i="18" s="1"/>
  <c r="BG52" i="18"/>
  <c r="BH52" i="18" s="1"/>
  <c r="BQ54" i="18"/>
  <c r="O54" i="18" s="1"/>
  <c r="CA3" i="18"/>
  <c r="U3" i="18" s="1"/>
  <c r="CB5" i="18"/>
  <c r="L17" i="18"/>
  <c r="BM17" i="18"/>
  <c r="BC26" i="18"/>
  <c r="F26" i="18"/>
  <c r="L30" i="18"/>
  <c r="BM30" i="18"/>
  <c r="BB37" i="18"/>
  <c r="F37" i="18" s="1"/>
  <c r="BQ42" i="18"/>
  <c r="O42" i="18" s="1"/>
  <c r="BG7" i="18"/>
  <c r="I7" i="18" s="1"/>
  <c r="BQ25" i="18"/>
  <c r="O25" i="18" s="1"/>
  <c r="BV28" i="18"/>
  <c r="R28" i="18" s="1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 s="1"/>
  <c r="BW40" i="18"/>
  <c r="BL8" i="18"/>
  <c r="L8" i="18" s="1"/>
  <c r="BM10" i="18"/>
  <c r="BL24" i="18"/>
  <c r="L24" i="18" s="1"/>
  <c r="BH32" i="18"/>
  <c r="BL39" i="18"/>
  <c r="L39" i="18" s="1"/>
  <c r="BM43" i="18"/>
  <c r="CF28" i="18"/>
  <c r="X28" i="18" s="1"/>
  <c r="BB30" i="18"/>
  <c r="F30" i="18" s="1"/>
  <c r="BG31" i="18"/>
  <c r="I31" i="18" s="1"/>
  <c r="BR40" i="18"/>
  <c r="CF41" i="18"/>
  <c r="X41" i="18" s="1"/>
  <c r="BL45" i="18"/>
  <c r="L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L32" i="18"/>
  <c r="L32" i="18" s="1"/>
  <c r="BQ40" i="18"/>
  <c r="O40" i="18" s="1"/>
  <c r="BW41" i="18"/>
  <c r="CB44" i="18"/>
  <c r="BC45" i="18"/>
  <c r="BR50" i="18"/>
  <c r="BB51" i="18"/>
  <c r="F51" i="18" s="1"/>
  <c r="BG56" i="18"/>
  <c r="I56" i="18" s="1"/>
  <c r="BQ57" i="18"/>
  <c r="O57" i="18" s="1"/>
  <c r="CA59" i="18"/>
  <c r="U59" i="18" s="1"/>
  <c r="CA11" i="18"/>
  <c r="U11" i="18" s="1"/>
  <c r="CF12" i="18"/>
  <c r="X12" i="18" s="1"/>
  <c r="CB22" i="18"/>
  <c r="BR24" i="18"/>
  <c r="BQ33" i="18"/>
  <c r="O33" i="18" s="1"/>
  <c r="BV34" i="18"/>
  <c r="R34" i="18" s="1"/>
  <c r="CF49" i="18"/>
  <c r="X49" i="18" s="1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L16" i="18"/>
  <c r="L16" i="18" s="1"/>
  <c r="CF16" i="18"/>
  <c r="X16" i="18" s="1"/>
  <c r="BH17" i="18"/>
  <c r="BQ17" i="18"/>
  <c r="O17" i="18" s="1"/>
  <c r="BQ24" i="18"/>
  <c r="O24" i="18" s="1"/>
  <c r="BV25" i="18"/>
  <c r="R25" i="18" s="1"/>
  <c r="CA26" i="18"/>
  <c r="U26" i="18" s="1"/>
  <c r="CF27" i="18"/>
  <c r="X27" i="18" s="1"/>
  <c r="BG35" i="18"/>
  <c r="I35" i="18" s="1"/>
  <c r="BR35" i="18"/>
  <c r="CA35" i="18"/>
  <c r="U35" i="18" s="1"/>
  <c r="BG44" i="18"/>
  <c r="I44" i="18" s="1"/>
  <c r="CB48" i="18"/>
  <c r="CA48" i="18"/>
  <c r="U48" i="18" s="1"/>
  <c r="BV53" i="18"/>
  <c r="R53" i="18" s="1"/>
  <c r="CG55" i="18"/>
  <c r="CF58" i="18"/>
  <c r="X58" i="18" s="1"/>
  <c r="BG63" i="18"/>
  <c r="I63" i="18" s="1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G30" i="18"/>
  <c r="I30" i="18" s="1"/>
  <c r="BL31" i="18"/>
  <c r="L31" i="18" s="1"/>
  <c r="BL36" i="18"/>
  <c r="L36" i="18" s="1"/>
  <c r="BW36" i="18"/>
  <c r="CF36" i="18"/>
  <c r="X36" i="18" s="1"/>
  <c r="BQ37" i="18"/>
  <c r="O37" i="18" s="1"/>
  <c r="CB37" i="18"/>
  <c r="BB38" i="18"/>
  <c r="F38" i="18" s="1"/>
  <c r="BV38" i="18"/>
  <c r="R38" i="18" s="1"/>
  <c r="CG38" i="18"/>
  <c r="BG39" i="18"/>
  <c r="I39" i="18" s="1"/>
  <c r="CG43" i="18"/>
  <c r="BC47" i="18"/>
  <c r="BV47" i="18"/>
  <c r="R47" i="18" s="1"/>
  <c r="CK47" i="18" s="1"/>
  <c r="AP47" i="18" s="1"/>
  <c r="BB54" i="18"/>
  <c r="F54" i="18" s="1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F40" i="18"/>
  <c r="X40" i="18" s="1"/>
  <c r="BH41" i="18"/>
  <c r="BQ41" i="18"/>
  <c r="O41" i="18" s="1"/>
  <c r="BV43" i="18"/>
  <c r="R43" i="18" s="1"/>
  <c r="BB53" i="18"/>
  <c r="F53" i="18" s="1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BH70" i="18"/>
  <c r="BH59" i="18"/>
  <c r="BC62" i="18"/>
  <c r="BM64" i="18"/>
  <c r="BC67" i="18"/>
  <c r="BG71" i="18"/>
  <c r="I71" i="18" s="1"/>
  <c r="BV73" i="18"/>
  <c r="R73" i="18" s="1"/>
  <c r="BM98" i="18"/>
  <c r="CF68" i="18"/>
  <c r="X68" i="18" s="1"/>
  <c r="CK68" i="18" s="1"/>
  <c r="AP68" i="18" s="1"/>
  <c r="CA75" i="18"/>
  <c r="U75" i="18" s="1"/>
  <c r="BQ46" i="18"/>
  <c r="O46" i="18" s="1"/>
  <c r="CG56" i="18"/>
  <c r="BR66" i="18"/>
  <c r="BC77" i="18"/>
  <c r="BB78" i="18"/>
  <c r="F78" i="18" s="1"/>
  <c r="BQ80" i="18"/>
  <c r="O80" i="18" s="1"/>
  <c r="CB80" i="18"/>
  <c r="BC96" i="18"/>
  <c r="CF59" i="18"/>
  <c r="X59" i="18" s="1"/>
  <c r="BB73" i="18"/>
  <c r="F73" i="18" s="1"/>
  <c r="BB83" i="18"/>
  <c r="F83" i="18" s="1"/>
  <c r="CF89" i="18"/>
  <c r="X89" i="18" s="1"/>
  <c r="BC42" i="18"/>
  <c r="BL54" i="18"/>
  <c r="L54" i="18" s="1"/>
  <c r="BQ55" i="18"/>
  <c r="O55" i="18" s="1"/>
  <c r="CG57" i="18"/>
  <c r="BG58" i="18"/>
  <c r="I58" i="18" s="1"/>
  <c r="BM59" i="18"/>
  <c r="BV59" i="18"/>
  <c r="R59" i="18" s="1"/>
  <c r="CK59" i="18" s="1"/>
  <c r="AP59" i="18" s="1"/>
  <c r="CB60" i="18"/>
  <c r="BL61" i="18"/>
  <c r="L61" i="18" s="1"/>
  <c r="BG62" i="18"/>
  <c r="I62" i="18" s="1"/>
  <c r="BC63" i="18"/>
  <c r="BV63" i="18"/>
  <c r="R63" i="18" s="1"/>
  <c r="BQ64" i="18"/>
  <c r="O64" i="18" s="1"/>
  <c r="CF65" i="18"/>
  <c r="X65" i="18" s="1"/>
  <c r="BG66" i="18"/>
  <c r="I66" i="18" s="1"/>
  <c r="BM71" i="18"/>
  <c r="BV71" i="18"/>
  <c r="R71" i="18" s="1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G43" i="18"/>
  <c r="I43" i="18" s="1"/>
  <c r="BL44" i="18"/>
  <c r="L44" i="18" s="1"/>
  <c r="BQ45" i="18"/>
  <c r="O45" i="18" s="1"/>
  <c r="AB45" i="18" s="1"/>
  <c r="BC46" i="18"/>
  <c r="CG46" i="18"/>
  <c r="CA53" i="18"/>
  <c r="U53" i="18" s="1"/>
  <c r="BW54" i="18"/>
  <c r="BG55" i="18"/>
  <c r="I55" i="18" s="1"/>
  <c r="BV57" i="18"/>
  <c r="R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G90" i="18"/>
  <c r="I90" i="18" s="1"/>
  <c r="BL91" i="18"/>
  <c r="L91" i="18" s="1"/>
  <c r="AB91" i="18" s="1"/>
  <c r="BQ92" i="18"/>
  <c r="O92" i="18" s="1"/>
  <c r="BV93" i="18"/>
  <c r="R93" i="18" s="1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Q84" i="18"/>
  <c r="O84" i="18" s="1"/>
  <c r="BH61" i="18"/>
  <c r="BR63" i="18"/>
  <c r="BL67" i="18"/>
  <c r="L67" i="18" s="1"/>
  <c r="BW70" i="18"/>
  <c r="BM72" i="18"/>
  <c r="BW72" i="18"/>
  <c r="CG75" i="18"/>
  <c r="BG76" i="18"/>
  <c r="I76" i="18" s="1"/>
  <c r="BQ76" i="18"/>
  <c r="O76" i="18" s="1"/>
  <c r="BL80" i="18"/>
  <c r="L80" i="18" s="1"/>
  <c r="CB81" i="18"/>
  <c r="BC85" i="18"/>
  <c r="BL85" i="18"/>
  <c r="L85" i="18" s="1"/>
  <c r="BV85" i="18"/>
  <c r="R85" i="18" s="1"/>
  <c r="CG88" i="18"/>
  <c r="BQ89" i="18"/>
  <c r="O89" i="18" s="1"/>
  <c r="CG90" i="18"/>
  <c r="BV42" i="18"/>
  <c r="R42" i="18" s="1"/>
  <c r="CA43" i="18"/>
  <c r="U43" i="18" s="1"/>
  <c r="CF44" i="18"/>
  <c r="X44" i="18" s="1"/>
  <c r="BL48" i="18"/>
  <c r="L48" i="18" s="1"/>
  <c r="BQ49" i="18"/>
  <c r="O49" i="18" s="1"/>
  <c r="BV50" i="18"/>
  <c r="R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CG67" i="18"/>
  <c r="BQ68" i="18"/>
  <c r="O68" i="18" s="1"/>
  <c r="CB71" i="18"/>
  <c r="CB73" i="18"/>
  <c r="BV77" i="18"/>
  <c r="R77" i="18" s="1"/>
  <c r="AB77" i="18" s="1"/>
  <c r="CG80" i="18"/>
  <c r="BQ81" i="18"/>
  <c r="O81" i="18" s="1"/>
  <c r="CG82" i="18"/>
  <c r="BH86" i="18"/>
  <c r="BQ86" i="18"/>
  <c r="O86" i="18" s="1"/>
  <c r="CA86" i="18"/>
  <c r="U86" i="18" s="1"/>
  <c r="BC90" i="18"/>
  <c r="BV90" i="18"/>
  <c r="R90" i="18" s="1"/>
  <c r="CB91" i="18"/>
  <c r="BC92" i="18"/>
  <c r="CG92" i="18"/>
  <c r="BC94" i="18"/>
  <c r="BG53" i="18"/>
  <c r="I53" i="18" s="1"/>
  <c r="CG53" i="18"/>
  <c r="CA57" i="18"/>
  <c r="U57" i="18" s="1"/>
  <c r="BR58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L11" i="2"/>
  <c r="BM11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BM30" i="2"/>
  <c r="BB39" i="2"/>
  <c r="F39" i="2" s="1"/>
  <c r="BG42" i="2"/>
  <c r="I42" i="2" s="1"/>
  <c r="BB44" i="2"/>
  <c r="F44" i="2" s="1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BB36" i="2"/>
  <c r="F36" i="2" s="1"/>
  <c r="BV40" i="2"/>
  <c r="R40" i="2" s="1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H26" i="2" s="1"/>
  <c r="BV31" i="2"/>
  <c r="R31" i="2" s="1"/>
  <c r="CF31" i="2"/>
  <c r="X31" i="2" s="1"/>
  <c r="BM33" i="2"/>
  <c r="BL37" i="2"/>
  <c r="BM37" i="2" s="1"/>
  <c r="CF41" i="2"/>
  <c r="CG41" i="2" s="1"/>
  <c r="BQ43" i="2"/>
  <c r="O43" i="2" s="1"/>
  <c r="BR46" i="2"/>
  <c r="BQ47" i="2"/>
  <c r="O47" i="2" s="1"/>
  <c r="BR47" i="2"/>
  <c r="BQ49" i="2"/>
  <c r="BR49" i="2" s="1"/>
  <c r="CF5" i="2"/>
  <c r="X5" i="2" s="1"/>
  <c r="BB15" i="2"/>
  <c r="BC15" i="2" s="1"/>
  <c r="BG24" i="2"/>
  <c r="I24" i="2" s="1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BB28" i="2"/>
  <c r="F28" i="2" s="1"/>
  <c r="BL34" i="2"/>
  <c r="L34" i="2" s="1"/>
  <c r="CA36" i="2"/>
  <c r="U36" i="2" s="1"/>
  <c r="BL41" i="2"/>
  <c r="L41" i="2" s="1"/>
  <c r="BG47" i="2"/>
  <c r="I47" i="2" s="1"/>
  <c r="CG48" i="2"/>
  <c r="BC55" i="2"/>
  <c r="CA56" i="2"/>
  <c r="CB56" i="2" s="1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A62" i="2"/>
  <c r="CB62" i="2" s="1"/>
  <c r="BB64" i="2"/>
  <c r="F64" i="2" s="1"/>
  <c r="BH67" i="2"/>
  <c r="BC77" i="2"/>
  <c r="BB78" i="2"/>
  <c r="BC78" i="2" s="1"/>
  <c r="CA86" i="2"/>
  <c r="CB86" i="2" s="1"/>
  <c r="BG87" i="2"/>
  <c r="I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L67" i="2"/>
  <c r="BM67" i="2" s="1"/>
  <c r="BH75" i="2"/>
  <c r="CA77" i="2"/>
  <c r="U77" i="2" s="1"/>
  <c r="BR81" i="2"/>
  <c r="BL82" i="2"/>
  <c r="L82" i="2" s="1"/>
  <c r="BH83" i="2"/>
  <c r="BG95" i="2"/>
  <c r="BH95" i="2" s="1"/>
  <c r="CG62" i="2"/>
  <c r="CF76" i="2"/>
  <c r="X76" i="2" s="1"/>
  <c r="BG59" i="2"/>
  <c r="I59" i="2" s="1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BQ100" i="2"/>
  <c r="BR100" i="2" s="1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A42" i="2"/>
  <c r="U42" i="2" s="1"/>
  <c r="BV50" i="2"/>
  <c r="BW50" i="2" s="1"/>
  <c r="BC52" i="2"/>
  <c r="BB55" i="2"/>
  <c r="F55" i="2" s="1"/>
  <c r="BL55" i="2"/>
  <c r="BM55" i="2" s="1"/>
  <c r="BV58" i="2"/>
  <c r="BW58" i="2" s="1"/>
  <c r="CA64" i="2"/>
  <c r="U64" i="2" s="1"/>
  <c r="BB65" i="2"/>
  <c r="BC65" i="2" s="1"/>
  <c r="BV65" i="2"/>
  <c r="R65" i="2" s="1"/>
  <c r="CF73" i="2"/>
  <c r="X73" i="2" s="1"/>
  <c r="BH74" i="2"/>
  <c r="BG74" i="2"/>
  <c r="I74" i="2" s="1"/>
  <c r="BB75" i="2"/>
  <c r="BV76" i="2"/>
  <c r="R76" i="2" s="1"/>
  <c r="BB83" i="2"/>
  <c r="F83" i="2" s="1"/>
  <c r="BL90" i="2"/>
  <c r="L90" i="2" s="1"/>
  <c r="BV90" i="2"/>
  <c r="R90" i="2" s="1"/>
  <c r="CF97" i="2"/>
  <c r="CG97" i="2" s="1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CG27" i="2" s="1"/>
  <c r="BV28" i="2"/>
  <c r="R28" i="2" s="1"/>
  <c r="CK28" i="2" s="1"/>
  <c r="AP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R41" i="2" s="1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F87" i="2"/>
  <c r="CG87" i="2" s="1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B73" i="2"/>
  <c r="F73" i="2" s="1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F100" i="2"/>
  <c r="CG100" i="2" s="1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V82" i="2"/>
  <c r="BW82" i="2" s="1"/>
  <c r="BB86" i="2"/>
  <c r="BC86" i="2" s="1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G98" i="2"/>
  <c r="I98" i="2" s="1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R71" i="2" s="1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B99" i="2"/>
  <c r="F99" i="2" s="1"/>
  <c r="BH55" i="2"/>
  <c r="CB59" i="2"/>
  <c r="BH63" i="2"/>
  <c r="CF63" i="2"/>
  <c r="CG63" i="2" s="1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V85" i="2"/>
  <c r="BW85" i="2" s="1"/>
  <c r="CG85" i="2"/>
  <c r="BL88" i="2"/>
  <c r="L88" i="2" s="1"/>
  <c r="BG90" i="2"/>
  <c r="BH90" i="2" s="1"/>
  <c r="BR90" i="2"/>
  <c r="CF92" i="2"/>
  <c r="X92" i="2" s="1"/>
  <c r="CA94" i="2"/>
  <c r="CB94" i="2" s="1"/>
  <c r="BQ97" i="2"/>
  <c r="O97" i="2" s="1"/>
  <c r="BL99" i="2"/>
  <c r="BM99" i="2" s="1"/>
  <c r="BW99" i="2"/>
  <c r="BC95" i="2"/>
  <c r="CB100" i="2"/>
  <c r="I2" i="2"/>
  <c r="L32" i="2"/>
  <c r="F100" i="2"/>
  <c r="F20" i="2"/>
  <c r="O29" i="2"/>
  <c r="L51" i="2"/>
  <c r="U31" i="2"/>
  <c r="U6" i="2"/>
  <c r="I43" i="2"/>
  <c r="X30" i="2"/>
  <c r="U40" i="2"/>
  <c r="O81" i="2"/>
  <c r="F91" i="2"/>
  <c r="X15" i="2"/>
  <c r="F3" i="2"/>
  <c r="F25" i="2"/>
  <c r="I66" i="2"/>
  <c r="U66" i="2"/>
  <c r="F75" i="2"/>
  <c r="O46" i="2"/>
  <c r="F51" i="2"/>
  <c r="U90" i="2"/>
  <c r="R4" i="2"/>
  <c r="I58" i="2"/>
  <c r="U99" i="2"/>
  <c r="F11" i="2"/>
  <c r="X27" i="2"/>
  <c r="L37" i="2"/>
  <c r="U39" i="2"/>
  <c r="L45" i="2"/>
  <c r="X49" i="2"/>
  <c r="O56" i="2"/>
  <c r="R81" i="2"/>
  <c r="O100" i="2"/>
  <c r="F29" i="2"/>
  <c r="U96" i="2"/>
  <c r="I18" i="2"/>
  <c r="X29" i="2"/>
  <c r="I30" i="2"/>
  <c r="U30" i="2"/>
  <c r="R36" i="2"/>
  <c r="R38" i="2"/>
  <c r="U54" i="2"/>
  <c r="O78" i="2"/>
  <c r="R98" i="2"/>
  <c r="X16" i="2"/>
  <c r="U35" i="2"/>
  <c r="X38" i="2"/>
  <c r="L67" i="2"/>
  <c r="O86" i="2"/>
  <c r="O33" i="2"/>
  <c r="R47" i="2"/>
  <c r="I52" i="2"/>
  <c r="O60" i="2"/>
  <c r="F67" i="2"/>
  <c r="I95" i="2"/>
  <c r="R39" i="2"/>
  <c r="I44" i="2"/>
  <c r="O76" i="2"/>
  <c r="CK76" i="2" s="1"/>
  <c r="AP76" i="2" s="1"/>
  <c r="I78" i="2"/>
  <c r="R87" i="2"/>
  <c r="X99" i="2"/>
  <c r="X100" i="2"/>
  <c r="F78" i="2"/>
  <c r="O84" i="2"/>
  <c r="L85" i="2"/>
  <c r="I86" i="2"/>
  <c r="R95" i="2"/>
  <c r="O38" i="2"/>
  <c r="F43" i="2"/>
  <c r="U45" i="2"/>
  <c r="X46" i="2"/>
  <c r="F48" i="2"/>
  <c r="I49" i="2"/>
  <c r="L50" i="2"/>
  <c r="O51" i="2"/>
  <c r="R52" i="2"/>
  <c r="U55" i="2"/>
  <c r="R58" i="2"/>
  <c r="U59" i="2"/>
  <c r="L95" i="2"/>
  <c r="O92" i="2"/>
  <c r="X87" i="2"/>
  <c r="F97" i="2"/>
  <c r="L40" i="2"/>
  <c r="O41" i="2"/>
  <c r="R42" i="2"/>
  <c r="U43" i="2"/>
  <c r="F46" i="2"/>
  <c r="L48" i="2"/>
  <c r="O49" i="2"/>
  <c r="R50" i="2"/>
  <c r="U51" i="2"/>
  <c r="F56" i="2"/>
  <c r="U56" i="2"/>
  <c r="O57" i="2"/>
  <c r="F59" i="2"/>
  <c r="L59" i="2"/>
  <c r="X60" i="2"/>
  <c r="O65" i="2"/>
  <c r="U72" i="2"/>
  <c r="R74" i="2"/>
  <c r="X79" i="2"/>
  <c r="R82" i="2"/>
  <c r="F89" i="2"/>
  <c r="X97" i="2"/>
  <c r="U75" i="2"/>
  <c r="U83" i="2"/>
  <c r="BC2" i="2"/>
  <c r="O23" i="2"/>
  <c r="X2" i="2"/>
  <c r="CB2" i="2"/>
  <c r="U2" i="2"/>
  <c r="O3" i="2"/>
  <c r="BL2" i="2"/>
  <c r="L2" i="2" s="1"/>
  <c r="A2" i="12" a="1"/>
  <c r="CG58" i="18" l="1"/>
  <c r="BH66" i="18"/>
  <c r="CB29" i="18"/>
  <c r="BM36" i="18"/>
  <c r="BW92" i="18"/>
  <c r="CG49" i="18"/>
  <c r="CG97" i="18"/>
  <c r="AB58" i="18"/>
  <c r="BH69" i="18"/>
  <c r="BW95" i="18"/>
  <c r="AB68" i="18"/>
  <c r="AB24" i="18"/>
  <c r="I52" i="18"/>
  <c r="I82" i="18"/>
  <c r="BC68" i="18"/>
  <c r="CG52" i="18"/>
  <c r="BW57" i="18"/>
  <c r="CG27" i="18"/>
  <c r="BC59" i="18"/>
  <c r="BW80" i="18"/>
  <c r="R76" i="18"/>
  <c r="CG64" i="18"/>
  <c r="BR61" i="18"/>
  <c r="BW42" i="18"/>
  <c r="CB65" i="18"/>
  <c r="CG34" i="18"/>
  <c r="BM60" i="18"/>
  <c r="BM69" i="18"/>
  <c r="BC65" i="18"/>
  <c r="CG60" i="18"/>
  <c r="AB50" i="18"/>
  <c r="BR84" i="18"/>
  <c r="CG71" i="18"/>
  <c r="CB64" i="18"/>
  <c r="BW43" i="18"/>
  <c r="CG65" i="18"/>
  <c r="AB28" i="18"/>
  <c r="BR55" i="18"/>
  <c r="CK84" i="18"/>
  <c r="AP84" i="18" s="1"/>
  <c r="BH93" i="18"/>
  <c r="F55" i="18"/>
  <c r="CK55" i="18" s="1"/>
  <c r="AP55" i="18" s="1"/>
  <c r="CG21" i="18"/>
  <c r="BC88" i="18"/>
  <c r="BR95" i="18"/>
  <c r="U79" i="18"/>
  <c r="AB79" i="18" s="1"/>
  <c r="BC78" i="18"/>
  <c r="BW47" i="18"/>
  <c r="BR17" i="18"/>
  <c r="BM67" i="18"/>
  <c r="BH58" i="18"/>
  <c r="BC37" i="18"/>
  <c r="CK39" i="18"/>
  <c r="AP39" i="18" s="1"/>
  <c r="BM16" i="18"/>
  <c r="CK45" i="18"/>
  <c r="AP45" i="18" s="1"/>
  <c r="BM45" i="18"/>
  <c r="CB75" i="18"/>
  <c r="CB86" i="18"/>
  <c r="U40" i="18"/>
  <c r="CK40" i="18" s="1"/>
  <c r="AP40" i="18" s="1"/>
  <c r="BC75" i="18"/>
  <c r="CK42" i="18"/>
  <c r="AP42" i="18" s="1"/>
  <c r="CG68" i="18"/>
  <c r="BC38" i="18"/>
  <c r="CK77" i="18"/>
  <c r="AP77" i="18" s="1"/>
  <c r="CB94" i="18"/>
  <c r="CB53" i="18"/>
  <c r="BR57" i="18"/>
  <c r="BH31" i="18"/>
  <c r="CB24" i="18"/>
  <c r="CG87" i="18"/>
  <c r="BW90" i="18"/>
  <c r="CB49" i="18"/>
  <c r="BW73" i="18"/>
  <c r="BC51" i="18"/>
  <c r="BH22" i="18"/>
  <c r="CB67" i="18"/>
  <c r="CK36" i="18"/>
  <c r="AP36" i="18" s="1"/>
  <c r="BH44" i="18"/>
  <c r="CG19" i="18"/>
  <c r="BR30" i="18"/>
  <c r="BW77" i="18"/>
  <c r="BH90" i="18"/>
  <c r="BC73" i="18"/>
  <c r="BH71" i="18"/>
  <c r="BH18" i="18"/>
  <c r="O29" i="18"/>
  <c r="BM29" i="18"/>
  <c r="F61" i="18"/>
  <c r="AB61" i="18" s="1"/>
  <c r="BR78" i="18"/>
  <c r="BM61" i="18"/>
  <c r="CK24" i="18"/>
  <c r="AP24" i="18" s="1"/>
  <c r="BM58" i="18"/>
  <c r="BH30" i="18"/>
  <c r="BM39" i="18"/>
  <c r="AB88" i="18"/>
  <c r="BM41" i="18"/>
  <c r="BR68" i="18"/>
  <c r="BM83" i="18"/>
  <c r="BM27" i="18"/>
  <c r="BM32" i="18"/>
  <c r="CK88" i="18"/>
  <c r="AP88" i="18" s="1"/>
  <c r="BR81" i="18"/>
  <c r="BR64" i="18"/>
  <c r="AB57" i="18"/>
  <c r="BM24" i="18"/>
  <c r="CB39" i="18"/>
  <c r="CK49" i="18"/>
  <c r="AP49" i="18" s="1"/>
  <c r="CG59" i="18"/>
  <c r="BM55" i="18"/>
  <c r="BW98" i="18"/>
  <c r="CB97" i="18"/>
  <c r="BR80" i="18"/>
  <c r="BC54" i="18"/>
  <c r="BM75" i="18"/>
  <c r="BR21" i="18"/>
  <c r="BM48" i="18"/>
  <c r="CB89" i="18"/>
  <c r="X37" i="18"/>
  <c r="CK37" i="18" s="1"/>
  <c r="AP37" i="18" s="1"/>
  <c r="BW56" i="18"/>
  <c r="CK62" i="18"/>
  <c r="AP62" i="18" s="1"/>
  <c r="BW31" i="2"/>
  <c r="BC72" i="2"/>
  <c r="BC73" i="2"/>
  <c r="I26" i="2"/>
  <c r="L54" i="2"/>
  <c r="AB54" i="2" s="1"/>
  <c r="F90" i="2"/>
  <c r="X36" i="2"/>
  <c r="BH98" i="2"/>
  <c r="BC62" i="2"/>
  <c r="BC44" i="2"/>
  <c r="L74" i="2"/>
  <c r="BH99" i="2"/>
  <c r="BM49" i="2"/>
  <c r="AB72" i="2"/>
  <c r="X63" i="2"/>
  <c r="R22" i="2"/>
  <c r="BW24" i="2"/>
  <c r="F86" i="2"/>
  <c r="BW55" i="2"/>
  <c r="L83" i="2"/>
  <c r="R27" i="2"/>
  <c r="AB27" i="2" s="1"/>
  <c r="U94" i="2"/>
  <c r="AB94" i="2" s="1"/>
  <c r="U86" i="2"/>
  <c r="R63" i="2"/>
  <c r="CK63" i="2" s="1"/>
  <c r="AP63" i="2" s="1"/>
  <c r="X95" i="2"/>
  <c r="X41" i="2"/>
  <c r="BR24" i="2"/>
  <c r="F65" i="2"/>
  <c r="AB32" i="2"/>
  <c r="AB42" i="2"/>
  <c r="CK53" i="2"/>
  <c r="AP53" i="2" s="1"/>
  <c r="X67" i="2"/>
  <c r="F85" i="2"/>
  <c r="R73" i="2"/>
  <c r="BH100" i="2"/>
  <c r="U98" i="2"/>
  <c r="BM82" i="2"/>
  <c r="BM24" i="2"/>
  <c r="U81" i="2"/>
  <c r="X24" i="2"/>
  <c r="CK24" i="2" s="1"/>
  <c r="AP24" i="2" s="1"/>
  <c r="BH20" i="2"/>
  <c r="F33" i="2"/>
  <c r="F27" i="2"/>
  <c r="R77" i="2"/>
  <c r="AB77" i="2" s="1"/>
  <c r="BW28" i="2"/>
  <c r="BR43" i="2"/>
  <c r="BW57" i="2"/>
  <c r="BR85" i="2"/>
  <c r="R85" i="2"/>
  <c r="CG88" i="2"/>
  <c r="I23" i="2"/>
  <c r="CK57" i="2"/>
  <c r="AP57" i="2" s="1"/>
  <c r="L91" i="2"/>
  <c r="R61" i="2"/>
  <c r="CK61" i="2" s="1"/>
  <c r="AP61" i="2" s="1"/>
  <c r="AB28" i="2"/>
  <c r="CG26" i="2"/>
  <c r="U93" i="2"/>
  <c r="BM69" i="2"/>
  <c r="AB85" i="2"/>
  <c r="L99" i="2"/>
  <c r="BR97" i="2"/>
  <c r="BH41" i="2"/>
  <c r="X44" i="2"/>
  <c r="I31" i="2"/>
  <c r="CK31" i="2" s="1"/>
  <c r="AP31" i="2" s="1"/>
  <c r="X19" i="2"/>
  <c r="CK60" i="2"/>
  <c r="AP60" i="2" s="1"/>
  <c r="BC99" i="2"/>
  <c r="BM38" i="2"/>
  <c r="F58" i="2"/>
  <c r="CK58" i="2" s="1"/>
  <c r="AP58" i="2" s="1"/>
  <c r="AB87" i="2"/>
  <c r="X52" i="2"/>
  <c r="CK27" i="2"/>
  <c r="AP27" i="2" s="1"/>
  <c r="CG33" i="2"/>
  <c r="CG31" i="2"/>
  <c r="F41" i="2"/>
  <c r="AB41" i="2" s="1"/>
  <c r="CB47" i="2"/>
  <c r="U58" i="2"/>
  <c r="CB42" i="2"/>
  <c r="U62" i="2"/>
  <c r="AB62" i="2" s="1"/>
  <c r="CB36" i="2"/>
  <c r="CK42" i="2"/>
  <c r="AP42" i="2" s="1"/>
  <c r="BW28" i="18"/>
  <c r="BW64" i="18"/>
  <c r="BW51" i="18"/>
  <c r="BW53" i="18"/>
  <c r="BW60" i="18"/>
  <c r="AB19" i="18"/>
  <c r="BW66" i="18"/>
  <c r="CK46" i="18"/>
  <c r="AP46" i="18" s="1"/>
  <c r="BW29" i="18"/>
  <c r="BW46" i="18"/>
  <c r="L9" i="2"/>
  <c r="BH21" i="2"/>
  <c r="I22" i="2"/>
  <c r="AB22" i="2" s="1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AB15" i="2" s="1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AB34" i="2" s="1"/>
  <c r="L23" i="2"/>
  <c r="CK23" i="2" s="1"/>
  <c r="AP23" i="2" s="1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AB45" i="2" s="1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BM66" i="2"/>
  <c r="CG94" i="2"/>
  <c r="BH50" i="2"/>
  <c r="BM35" i="2"/>
  <c r="CG8" i="2"/>
  <c r="BH47" i="2"/>
  <c r="CK49" i="2"/>
  <c r="AP49" i="2" s="1"/>
  <c r="CK87" i="2"/>
  <c r="AP87" i="2" s="1"/>
  <c r="AB88" i="2"/>
  <c r="AB14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60" i="2"/>
  <c r="AB57" i="2"/>
  <c r="AB49" i="2"/>
  <c r="CK92" i="2"/>
  <c r="AP92" i="2" s="1"/>
  <c r="AB31" i="2"/>
  <c r="AB50" i="2"/>
  <c r="CK50" i="2"/>
  <c r="AP50" i="2" s="1"/>
  <c r="CK22" i="2"/>
  <c r="AP22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17" i="2"/>
  <c r="AB30" i="2"/>
  <c r="AB23" i="2"/>
  <c r="BS1" i="2"/>
  <c r="BO1" i="2"/>
  <c r="AB2" i="2"/>
  <c r="CK2" i="2"/>
  <c r="AP2" i="2" s="1"/>
  <c r="BM2" i="2"/>
  <c r="CK79" i="18" l="1"/>
  <c r="AP79" i="18" s="1"/>
  <c r="AB37" i="18"/>
  <c r="CK61" i="18"/>
  <c r="AP61" i="18" s="1"/>
  <c r="CK9" i="2"/>
  <c r="AP9" i="2" s="1"/>
  <c r="CK34" i="2"/>
  <c r="AP34" i="2" s="1"/>
  <c r="AB63" i="2"/>
  <c r="CK45" i="2"/>
  <c r="AP45" i="2" s="1"/>
  <c r="CK26" i="2"/>
  <c r="AP26" i="2" s="1"/>
  <c r="CK15" i="2"/>
  <c r="AP15" i="2" s="1"/>
  <c r="AB58" i="2"/>
  <c r="CK70" i="2"/>
  <c r="AP70" i="2" s="1"/>
  <c r="AB61" i="2"/>
  <c r="CK54" i="2"/>
  <c r="AP54" i="2" s="1"/>
  <c r="AB11" i="2"/>
  <c r="CK94" i="2"/>
  <c r="AP94" i="2" s="1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Z3" i="12" l="1"/>
  <c r="AS3" i="12"/>
  <c r="AH3" i="12"/>
  <c r="V3" i="12" s="1"/>
  <c r="AG3" i="12"/>
  <c r="AE3" i="12"/>
  <c r="J3" i="12"/>
  <c r="AR3" i="12"/>
  <c r="E3" i="12"/>
  <c r="G3" i="12" s="1"/>
  <c r="I3" i="12"/>
  <c r="C3" i="12"/>
  <c r="AF3" i="12"/>
  <c r="D3" i="12"/>
  <c r="AQ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 a="1"/>
  <c r="A4" i="12" l="1"/>
  <c r="S3" i="12"/>
  <c r="U3" i="12"/>
  <c r="T3" i="12"/>
  <c r="F3" i="12"/>
  <c r="H3" i="12" s="1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V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T238" i="12" l="1"/>
  <c r="R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V297" i="12" l="1"/>
  <c r="U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U298" i="12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<sst xmlns="http://schemas.openxmlformats.org/spreadsheetml/2006/main" count="2530" uniqueCount="1511">
  <si>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</si>
  <si>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</si>
  <si>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</si>
  <si>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</si>
  <si>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</si>
  <si>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</si>
  <si>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</si>
  <si>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</si>
  <si>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</si>
  <si>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</si>
  <si>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</si>
  <si>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</si>
  <si>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</si>
  <si>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</si>
  <si>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</si>
  <si>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</si>
  <si>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</si>
  <si>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</si>
  <si>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</si>
  <si>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</si>
  <si>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</si>
  <si>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</si>
  <si>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</si>
  <si>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</si>
  <si>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</si>
  <si>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</si>
  <si>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</si>
  <si>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</si>
  <si>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</si>
  <si>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</si>
  <si>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</si>
  <si>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</si>
  <si>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</si>
  <si>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</si>
  <si>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</si>
  <si>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</si>
  <si>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</si>
  <si>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</si>
  <si>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</si>
  <si>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</si>
  <si>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</si>
  <si>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</si>
  <si>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</si>
  <si>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</si>
  <si>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</si>
  <si>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</si>
  <si>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</si>
  <si>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</si>
  <si>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</si>
  <si>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</si>
  <si>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</si>
  <si>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</si>
  <si>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</si>
  <si>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</si>
  <si>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</si>
  <si>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</si>
  <si>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</si>
  <si>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</si>
  <si>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</si>
  <si>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</si>
  <si>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</si>
  <si>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</si>
  <si>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</si>
  <si>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</si>
  <si>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</si>
  <si>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</si>
  <si>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</si>
  <si>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</si>
  <si>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</si>
  <si>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</si>
  <si>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</si>
  <si>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</si>
  <si>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</si>
  <si>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</si>
  <si>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</si>
  <si>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</si>
  <si>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</si>
  <si>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</si>
  <si>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</si>
  <si>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</si>
  <si>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</si>
  <si>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</si>
  <si>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</si>
  <si>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</si>
  <si>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</si>
  <si>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</si>
  <si>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</si>
  <si>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</si>
  <si>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</si>
  <si>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</si>
  <si>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</si>
  <si>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</si>
  <si>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</si>
  <si>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</si>
  <si>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</si>
  <si>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</si>
  <si>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</si>
  <si>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</si>
  <si>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</si>
  <si>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</si>
  <si>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</si>
  <si>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</si>
  <si>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</si>
  <si>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</si>
  <si>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</si>
  <si>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</si>
  <si>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</si>
  <si>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</si>
  <si>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</si>
  <si>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</si>
  <si>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</si>
  <si>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</si>
  <si>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</si>
  <si>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</si>
  <si>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</si>
  <si>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</si>
  <si>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</si>
  <si>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</si>
  <si>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</si>
  <si>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</si>
  <si>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</si>
  <si>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</si>
  <si>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</si>
  <si>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</si>
  <si>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</si>
  <si>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</si>
  <si>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</si>
  <si>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</si>
  <si>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</si>
  <si>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</si>
  <si>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</si>
  <si>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</si>
  <si>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</si>
  <si>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</si>
  <si>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</si>
  <si>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</si>
  <si>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</si>
  <si>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</si>
  <si>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</si>
  <si>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</si>
  <si>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</si>
  <si>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</si>
  <si>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</si>
  <si>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</si>
  <si>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</si>
  <si>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</si>
  <si>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</si>
  <si>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</si>
  <si>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</si>
  <si>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</si>
  <si>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</si>
  <si>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</si>
  <si>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</si>
  <si>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</si>
  <si>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</si>
  <si>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</si>
  <si>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</si>
  <si>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</si>
  <si>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</si>
  <si>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</si>
  <si>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</si>
  <si>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</si>
  <si>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</si>
  <si>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</si>
  <si>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</si>
  <si>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</si>
  <si>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</si>
  <si>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</si>
  <si>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</si>
  <si>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</si>
  <si>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</si>
  <si>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</si>
  <si>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</si>
  <si>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</si>
  <si>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</si>
  <si>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</si>
  <si>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</si>
  <si>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</si>
  <si>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</si>
  <si>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</si>
  <si>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</si>
  <si>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</si>
  <si>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</si>
  <si>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</si>
  <si>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</si>
  <si>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</si>
  <si>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</si>
  <si>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</si>
  <si>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</si>
  <si>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</si>
  <si>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</si>
  <si>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</si>
  <si>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</si>
  <si>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</si>
  <si>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</si>
  <si>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</si>
  <si>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</si>
  <si>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</si>
  <si>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</si>
  <si>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</si>
  <si>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</si>
  <si>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</si>
  <si>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</si>
  <si>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</si>
  <si>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</si>
  <si>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</si>
  <si>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</si>
  <si>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</si>
  <si>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</si>
  <si>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</si>
  <si>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</si>
  <si>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</si>
  <si>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</si>
  <si>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</si>
  <si>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</si>
  <si>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</si>
  <si>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</si>
  <si>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</si>
  <si>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</si>
  <si>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</si>
  <si>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</si>
  <si>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</si>
  <si>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</si>
  <si>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</si>
  <si>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</si>
  <si>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</si>
  <si>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</si>
  <si>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</si>
  <si>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</si>
  <si>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</si>
  <si>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</si>
  <si>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</si>
  <si>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</si>
  <si>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</si>
  <si>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</si>
  <si>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</si>
  <si>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</si>
  <si>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</si>
  <si>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</si>
  <si>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</si>
  <si>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</si>
  <si>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</si>
  <si>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</si>
  <si>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</si>
  <si>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</si>
  <si>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</si>
  <si>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</si>
  <si>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</si>
  <si>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</si>
  <si>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</si>
  <si>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</si>
  <si>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</si>
  <si>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</si>
  <si>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</si>
  <si>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</si>
  <si>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</si>
  <si>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</si>
  <si>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</si>
  <si>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</si>
  <si>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</si>
  <si>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</si>
  <si>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</si>
  <si>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</si>
  <si>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</si>
  <si>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</si>
  <si>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</si>
  <si>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</si>
  <si>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</si>
  <si>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</si>
  <si>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</si>
  <si>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</si>
  <si>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</si>
  <si>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</si>
  <si>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</si>
  <si>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</si>
  <si>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</si>
  <si>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</si>
  <si>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</si>
  <si>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</si>
  <si>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</si>
  <si>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</si>
  <si>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</si>
  <si>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</si>
  <si>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</si>
  <si>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</si>
  <si>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</si>
  <si>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</si>
  <si>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</si>
  <si>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</si>
  <si>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</si>
  <si>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</si>
  <si>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</si>
  <si>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</si>
  <si>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</si>
  <si>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</si>
  <si>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</si>
  <si>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</si>
  <si>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</si>
  <si>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</si>
  <si>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</si>
  <si>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</si>
  <si>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</si>
  <si>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</si>
  <si>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</si>
  <si>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</si>
  <si>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</si>
  <si>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</si>
  <si>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</si>
  <si>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</si>
  <si>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</si>
  <si>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</si>
  <si>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</si>
  <si>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</si>
  <si>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</si>
  <si>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</si>
  <si>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</si>
  <si>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</si>
  <si>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</si>
  <si>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</si>
  <si>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</si>
  <si>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</si>
  <si>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</si>
  <si>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</si>
  <si>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</si>
  <si>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</si>
  <si>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</si>
  <si>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</si>
  <si>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</si>
  <si>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</si>
  <si>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</si>
  <si>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</si>
  <si>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</si>
  <si>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</si>
  <si>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</si>
  <si>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</si>
  <si>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</si>
  <si>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</si>
  <si>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</si>
  <si>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</si>
  <si>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</si>
  <si>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</si>
  <si>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</si>
  <si>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</si>
  <si>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</si>
  <si>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</si>
  <si>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</si>
  <si>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</si>
  <si>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</si>
  <si>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</si>
  <si>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</si>
  <si>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</si>
  <si>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</si>
  <si>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</si>
  <si>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</si>
  <si>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</si>
  <si>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</si>
  <si>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</si>
  <si>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</si>
  <si>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</si>
  <si>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</si>
  <si>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</si>
  <si>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</si>
  <si>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</si>
  <si>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</si>
  <si>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</si>
  <si>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</si>
  <si>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</si>
  <si>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</si>
  <si>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</si>
  <si>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</si>
  <si>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</si>
  <si>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</si>
  <si>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</si>
  <si>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</si>
  <si>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</si>
  <si>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</si>
  <si>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</si>
  <si>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</si>
  <si>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</si>
  <si>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</si>
  <si>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</si>
  <si>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</si>
  <si>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</si>
  <si>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</si>
  <si>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</si>
  <si>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</si>
  <si>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</si>
  <si>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</si>
  <si>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</si>
  <si>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</si>
  <si>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</si>
  <si>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</si>
  <si>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</si>
  <si>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</si>
  <si>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</si>
  <si>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</si>
  <si>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</si>
  <si>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</si>
  <si>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</si>
  <si>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</si>
  <si>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</si>
  <si>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</si>
  <si>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</si>
  <si>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</si>
  <si>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</si>
  <si>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</si>
  <si>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</si>
  <si>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</si>
  <si>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</si>
  <si>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</si>
  <si>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</si>
  <si>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</si>
  <si>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</si>
  <si>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</si>
  <si>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</si>
  <si>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</si>
  <si>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</si>
  <si>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</si>
  <si>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</si>
  <si>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</si>
  <si>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</si>
  <si>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</si>
  <si>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</si>
  <si>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</si>
  <si>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</si>
  <si>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</si>
  <si>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</si>
  <si>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</si>
  <si>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</si>
  <si>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</si>
  <si>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</si>
  <si>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</si>
  <si>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</si>
  <si>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</si>
  <si>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</si>
  <si>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</si>
  <si>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</si>
  <si>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</si>
  <si>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</si>
  <si>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</si>
  <si>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</si>
  <si>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</si>
  <si>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</si>
  <si>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</si>
  <si>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</si>
  <si>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</si>
  <si>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</si>
  <si>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</si>
  <si>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</si>
  <si>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</si>
  <si>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</si>
  <si>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</si>
  <si>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</si>
  <si>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</si>
  <si>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</si>
  <si>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</si>
  <si>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</si>
  <si>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</si>
  <si>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</si>
  <si>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</si>
  <si>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</si>
  <si>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</si>
  <si>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</si>
  <si>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</si>
  <si>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</si>
  <si>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</si>
  <si>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</si>
  <si>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</si>
  <si>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</si>
  <si>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</si>
  <si>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</si>
  <si>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</si>
  <si>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</si>
  <si>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</si>
  <si>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</si>
  <si>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</si>
  <si>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</si>
  <si>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</si>
  <si>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</si>
  <si>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</si>
  <si>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</si>
  <si>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</si>
  <si>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</si>
  <si>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</si>
  <si>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</si>
  <si>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</si>
  <si>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</si>
  <si>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</si>
  <si>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</si>
  <si>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</si>
  <si>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</si>
  <si>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</si>
  <si>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</si>
  <si>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</si>
  <si>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</si>
  <si>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</si>
  <si>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</si>
  <si>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</si>
  <si>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</si>
  <si>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</si>
  <si>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</si>
  <si>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</si>
  <si>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</si>
  <si>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</si>
  <si>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</si>
  <si>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</si>
  <si>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</si>
  <si>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</si>
  <si>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</si>
  <si>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</si>
  <si>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</si>
  <si>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</si>
  <si>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</si>
  <si>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</si>
  <si>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</si>
  <si>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</si>
  <si>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</si>
  <si>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</si>
  <si>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</si>
  <si>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</si>
  <si>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</si>
  <si>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</si>
  <si>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</si>
  <si>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</si>
  <si>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</si>
  <si>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</si>
  <si>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</si>
  <si>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</si>
  <si>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</si>
  <si>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</si>
  <si>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</si>
  <si>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</si>
  <si>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</si>
  <si>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</si>
  <si>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</si>
  <si>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</si>
  <si>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</si>
  <si>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</si>
  <si>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</si>
  <si>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</si>
  <si>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</si>
  <si>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</si>
  <si>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</si>
  <si>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</si>
  <si>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</si>
  <si>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</si>
  <si>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</si>
  <si>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</si>
  <si>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</si>
  <si>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</si>
  <si>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</si>
  <si>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</si>
  <si>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</si>
  <si>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</si>
  <si>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</si>
  <si>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</si>
  <si>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</si>
  <si>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</si>
  <si>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</si>
  <si>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</si>
  <si>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</si>
  <si>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</si>
  <si>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</si>
  <si>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</si>
  <si>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</si>
  <si>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</si>
  <si>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</si>
  <si>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</si>
  <si>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</si>
  <si>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</si>
  <si>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</si>
  <si>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</si>
  <si>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</si>
  <si>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</si>
  <si>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</si>
  <si>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</si>
  <si>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</si>
  <si>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</si>
  <si>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</si>
  <si>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</si>
  <si>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</si>
  <si>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</si>
  <si>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</si>
  <si>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</si>
  <si>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</si>
  <si>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</si>
  <si>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</si>
  <si>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</si>
  <si>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</si>
  <si>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</si>
  <si>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</si>
  <si>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</si>
  <si>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</si>
  <si>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</si>
  <si>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</si>
  <si>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</si>
  <si>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</si>
  <si>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</si>
  <si>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</si>
  <si>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</si>
  <si>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</si>
  <si>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</si>
  <si>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</si>
  <si>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</si>
  <si>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</si>
  <si>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</si>
  <si>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</si>
  <si>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</si>
  <si>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</si>
  <si>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</si>
  <si>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</si>
  <si>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</si>
  <si>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</si>
  <si>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</si>
  <si>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</si>
  <si>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</si>
  <si>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</si>
  <si>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</si>
  <si>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</si>
  <si>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</si>
  <si>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</si>
  <si>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</si>
  <si>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</si>
  <si>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</si>
  <si>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</si>
  <si>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</si>
  <si>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</si>
  <si>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</si>
  <si>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</si>
  <si>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</si>
  <si>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</si>
  <si>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</si>
  <si>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</si>
  <si>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</si>
  <si>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</si>
  <si>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</si>
  <si>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</si>
  <si>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</si>
  <si>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</si>
  <si>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</si>
  <si>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</si>
  <si>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</si>
  <si>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</si>
  <si>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</si>
  <si>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</si>
  <si>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</si>
  <si>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</si>
  <si>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</si>
  <si>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</si>
  <si>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</si>
  <si>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</si>
  <si>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</si>
  <si>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</si>
  <si>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</si>
  <si>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</si>
  <si>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</si>
  <si>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</si>
  <si>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</si>
  <si>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</si>
  <si>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</si>
  <si>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</si>
  <si>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</si>
  <si>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</si>
  <si>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</si>
  <si>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</si>
  <si>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</si>
  <si>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</si>
  <si>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</si>
  <si>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</si>
  <si>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</si>
  <si>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</si>
  <si>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</si>
  <si>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</si>
  <si>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</si>
  <si>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</si>
  <si>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</si>
  <si>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</si>
  <si>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</si>
  <si>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</si>
  <si>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</si>
  <si>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</si>
  <si>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</si>
  <si>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</si>
  <si>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</si>
  <si>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</si>
  <si>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</si>
  <si>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</si>
  <si>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</si>
  <si>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</si>
  <si>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</si>
  <si>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</si>
  <si>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</si>
  <si>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</si>
  <si>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</si>
  <si>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</si>
  <si>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</si>
  <si>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</si>
  <si>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</si>
  <si>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</si>
  <si>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</si>
  <si>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</si>
  <si>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</si>
  <si>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</si>
  <si>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</si>
  <si>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</si>
  <si>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</si>
  <si>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</si>
  <si>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</si>
  <si>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</si>
  <si>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</si>
  <si>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</si>
  <si>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</si>
  <si>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</si>
  <si>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</si>
  <si>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</si>
  <si>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</si>
  <si>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</si>
  <si>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</si>
  <si>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</si>
  <si>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</si>
  <si>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</si>
  <si>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</si>
  <si>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</si>
  <si>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</si>
  <si>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</si>
  <si>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</si>
  <si>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</si>
  <si>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</si>
  <si>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</si>
  <si>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</si>
  <si>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</si>
  <si>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</si>
  <si>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</si>
  <si>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</si>
  <si>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</si>
  <si>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</si>
  <si>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</si>
  <si>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</si>
  <si>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</si>
  <si>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</si>
  <si>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</si>
  <si>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</si>
  <si>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</si>
  <si>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</si>
  <si>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</si>
  <si>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</si>
  <si>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</si>
  <si>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</si>
  <si>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</si>
  <si>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</si>
  <si>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</si>
  <si>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</si>
  <si>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</si>
  <si>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</si>
  <si>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</si>
  <si>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</si>
  <si>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</si>
  <si>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</si>
  <si>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</si>
  <si>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</si>
  <si>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</si>
  <si>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</si>
  <si>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</si>
  <si>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</si>
  <si>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</si>
  <si>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</si>
  <si>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</si>
  <si>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</si>
  <si>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</si>
  <si>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</si>
  <si>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</si>
  <si>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</si>
  <si>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</si>
  <si>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</si>
  <si>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</si>
  <si>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</si>
  <si>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</si>
  <si>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</si>
  <si>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</si>
  <si>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</si>
  <si>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</si>
  <si>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</si>
  <si>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</si>
  <si>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</si>
  <si>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</si>
  <si>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</si>
  <si>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</si>
  <si>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</si>
  <si>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</si>
  <si>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</si>
  <si>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</si>
  <si>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</si>
  <si>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</si>
  <si>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</si>
  <si>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</si>
  <si>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</si>
  <si>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</si>
  <si>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</si>
  <si>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</si>
  <si>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</si>
  <si>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</si>
  <si>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</si>
  <si>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</si>
  <si>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</si>
  <si>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</si>
  <si>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</si>
  <si>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</si>
  <si>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</si>
  <si>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</si>
  <si>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</si>
  <si>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</si>
  <si>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</si>
  <si>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</si>
  <si>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</si>
  <si>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</si>
  <si>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</si>
  <si>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</si>
  <si>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</si>
  <si>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</si>
  <si>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</si>
  <si>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</si>
  <si>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</si>
  <si>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</si>
  <si>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</si>
  <si>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</si>
  <si>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</si>
  <si>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</si>
  <si>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</si>
  <si>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</si>
  <si>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</si>
  <si>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</si>
  <si>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</si>
  <si>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</si>
  <si>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</si>
  <si>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</si>
  <si>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</si>
  <si>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</si>
  <si>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</si>
  <si>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</si>
  <si>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</si>
  <si>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</si>
  <si>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</si>
  <si>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</si>
  <si>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</si>
  <si>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</si>
  <si>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</si>
  <si>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</si>
  <si>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</si>
  <si>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</si>
  <si>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</si>
  <si>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</si>
  <si>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</si>
  <si>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</si>
  <si>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</si>
  <si>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</si>
  <si>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</si>
  <si>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</si>
  <si>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</si>
  <si>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</si>
  <si>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</si>
  <si>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</si>
  <si>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</si>
  <si>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</si>
  <si>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</si>
  <si>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</si>
  <si>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</si>
  <si>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</si>
  <si>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</si>
  <si>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</si>
  <si>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</si>
  <si>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</si>
  <si>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</si>
  <si>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</si>
  <si>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</si>
  <si>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</si>
  <si>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</si>
  <si>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</si>
  <si>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</si>
  <si>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</si>
  <si>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</si>
  <si>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</si>
  <si>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</si>
  <si>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</si>
  <si>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</si>
  <si>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</si>
  <si>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</si>
  <si>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</si>
  <si>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</si>
  <si>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</si>
  <si>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</si>
  <si>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</si>
  <si>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</si>
  <si>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</si>
  <si>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</si>
  <si>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</si>
  <si>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</si>
  <si>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</si>
  <si>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</si>
  <si>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</si>
  <si>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</si>
  <si>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</si>
  <si>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</si>
  <si>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</si>
  <si>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</si>
  <si>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</si>
  <si>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</si>
  <si>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</si>
  <si>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</si>
  <si>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</si>
  <si>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</si>
  <si>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</si>
  <si>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</si>
  <si>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</si>
  <si>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</si>
  <si>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</si>
  <si>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</si>
  <si>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</si>
  <si>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</si>
  <si>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</si>
  <si>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</si>
  <si>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</si>
  <si>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</si>
  <si>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</si>
  <si>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</si>
  <si>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</si>
  <si>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</si>
  <si>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</si>
  <si>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</si>
  <si>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</si>
  <si>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</si>
  <si>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</si>
  <si>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</si>
  <si>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</si>
  <si>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</si>
  <si>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</si>
  <si>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</si>
  <si>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</si>
  <si>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</si>
  <si>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</si>
  <si>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</si>
  <si>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</si>
  <si>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</si>
  <si>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</si>
  <si>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</si>
  <si>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</si>
  <si>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</si>
  <si>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</si>
  <si>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</si>
  <si>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</si>
  <si>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</si>
  <si>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</si>
  <si>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</si>
  <si>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</si>
  <si>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</si>
  <si>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</si>
  <si>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</si>
  <si>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</si>
  <si>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</si>
  <si>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</si>
  <si>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</si>
  <si>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</si>
  <si>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</si>
  <si>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</si>
  <si>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</si>
  <si>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</si>
  <si>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</si>
  <si>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</si>
  <si>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</si>
  <si>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</si>
  <si>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</si>
  <si>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</si>
  <si>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</si>
  <si>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</si>
  <si>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</si>
  <si>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</si>
  <si>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</si>
  <si>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</si>
  <si>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</si>
  <si>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</si>
  <si>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</si>
  <si>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</si>
  <si>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</si>
  <si>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</si>
  <si>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</si>
  <si>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</si>
  <si>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</si>
  <si>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</si>
  <si>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</si>
  <si>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</si>
  <si>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</si>
  <si>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</si>
  <si>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</si>
  <si>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</si>
  <si>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</si>
  <si>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</si>
  <si>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</si>
  <si>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</si>
  <si>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</si>
  <si>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</si>
  <si>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</si>
  <si>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</si>
  <si>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</si>
  <si>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</si>
  <si>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</si>
  <si>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</si>
  <si>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</si>
  <si>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</si>
  <si>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</si>
  <si>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</si>
  <si>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</si>
  <si>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</si>
  <si>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</si>
  <si>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</si>
  <si>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</si>
  <si>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</si>
  <si>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</si>
  <si>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</si>
  <si>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</si>
  <si>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</si>
  <si>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</si>
  <si>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</si>
  <si>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</si>
  <si>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</si>
  <si>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</si>
  <si>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</si>
  <si>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</si>
  <si>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</si>
  <si>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</si>
  <si>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</si>
  <si>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</si>
  <si>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</si>
  <si>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</si>
  <si>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</si>
  <si>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</si>
  <si>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</si>
  <si>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</si>
  <si>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</si>
  <si>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</si>
  <si>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</si>
  <si>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</si>
  <si>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</si>
  <si>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</si>
  <si>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</si>
  <si>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</si>
  <si>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</si>
  <si>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</si>
  <si>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</si>
  <si>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</si>
  <si>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</si>
  <si>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</si>
  <si>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</si>
  <si>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</si>
  <si>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</si>
  <si>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</si>
  <si>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</si>
  <si>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</si>
  <si>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</si>
  <si>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</si>
  <si>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</si>
  <si>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</si>
  <si>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</si>
  <si>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</si>
  <si>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</si>
  <si>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</si>
  <si>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</si>
  <si>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</si>
  <si>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</si>
  <si>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</si>
  <si>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</si>
  <si>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</si>
  <si>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</si>
  <si>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</si>
  <si>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</si>
  <si>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</si>
  <si>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</si>
  <si>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</si>
  <si>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</si>
  <si>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</si>
  <si>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</si>
  <si>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</si>
  <si>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</si>
  <si>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</si>
  <si>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</si>
  <si>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</si>
  <si>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</si>
  <si>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</si>
  <si>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</si>
  <si>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</si>
  <si>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</si>
  <si>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</si>
  <si>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</si>
  <si>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</si>
  <si>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</si>
  <si>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</si>
  <si>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</si>
  <si>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</si>
  <si>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</si>
  <si>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</si>
  <si>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</si>
  <si>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</si>
  <si>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</si>
  <si>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</si>
  <si>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</si>
  <si>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</si>
  <si>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</si>
  <si>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</si>
  <si>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</si>
  <si>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</si>
  <si>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</si>
  <si>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</si>
  <si>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</si>
  <si>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</si>
  <si>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</si>
  <si>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</si>
  <si>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</si>
  <si>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</si>
  <si>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</si>
  <si>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</si>
  <si>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</si>
  <si>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</si>
  <si>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</si>
  <si>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</si>
  <si>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</si>
  <si>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</si>
  <si>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</si>
  <si>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</si>
  <si>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</si>
  <si>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</si>
  <si>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</si>
  <si>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</si>
  <si>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</si>
  <si>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</si>
  <si>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</si>
  <si>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</si>
  <si>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</si>
  <si>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</si>
  <si>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</si>
  <si>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</si>
  <si>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</si>
  <si>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</si>
  <si>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</si>
  <si>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</si>
  <si>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</si>
  <si>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</si>
  <si>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</si>
  <si>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</si>
  <si>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</si>
  <si>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</si>
  <si>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</si>
  <si>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</si>
  <si>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</si>
  <si>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</si>
  <si>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</si>
  <si>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</si>
  <si>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</si>
  <si>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</si>
  <si>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</si>
  <si>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</si>
  <si>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</si>
  <si>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</si>
  <si>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</si>
  <si>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</si>
  <si>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</si>
  <si>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</si>
  <si>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</si>
  <si>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</si>
  <si>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</si>
  <si>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</si>
  <si>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</si>
  <si>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</si>
  <si>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</si>
  <si>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</si>
  <si>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</si>
  <si>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</si>
  <si>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</si>
  <si>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</si>
  <si>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</si>
  <si>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</si>
  <si>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</si>
  <si>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</si>
  <si>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</si>
  <si>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</si>
  <si>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</si>
  <si>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</si>
  <si>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</si>
  <si>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</si>
  <si>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</si>
  <si>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</si>
  <si>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</si>
  <si>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</si>
  <si>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</si>
  <si>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</si>
  <si>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</si>
  <si>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</si>
  <si>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</si>
  <si>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</si>
  <si>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</si>
  <si>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</si>
  <si>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</si>
  <si>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</si>
  <si>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</si>
  <si>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</si>
  <si>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</si>
  <si>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</si>
  <si>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</si>
  <si>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</si>
  <si>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</si>
  <si>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</si>
  <si>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</si>
  <si>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</si>
  <si>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</si>
  <si>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</si>
  <si>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</si>
  <si>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</si>
  <si>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</si>
  <si>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</si>
  <si>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</si>
  <si>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</si>
  <si>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</si>
  <si>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</si>
  <si>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</si>
  <si>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</si>
  <si>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</si>
  <si>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</si>
  <si>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</si>
  <si>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</si>
  <si>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</si>
  <si>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</si>
  <si>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</si>
  <si>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</si>
  <si>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</si>
  <si>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</si>
  <si>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</si>
  <si>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</si>
  <si>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</si>
  <si>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</si>
  <si>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</si>
  <si>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</si>
  <si>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</si>
  <si>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</si>
  <si>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</si>
  <si>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</si>
  <si>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</si>
  <si>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</si>
  <si>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</si>
  <si>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</si>
  <si>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</si>
  <si>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</si>
  <si>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</si>
  <si>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</si>
  <si>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</si>
  <si>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</si>
  <si>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</si>
  <si>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</si>
  <si>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</si>
  <si>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</si>
  <si>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</si>
  <si>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</si>
  <si>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</si>
  <si>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</si>
  <si>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</si>
  <si>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</si>
  <si>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</si>
  <si>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</si>
  <si>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</si>
  <si>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</si>
  <si>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</si>
  <si>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</si>
  <si>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</si>
  <si>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</si>
  <si>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</si>
  <si>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</si>
  <si>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</si>
  <si>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</si>
  <si>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</si>
  <si>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</si>
  <si>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</si>
  <si>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</si>
  <si>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</si>
  <si>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</si>
  <si>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</si>
  <si>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</si>
  <si>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</si>
  <si>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</si>
  <si>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</si>
  <si>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</si>
  <si>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</si>
  <si>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</si>
  <si>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</si>
  <si>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</si>
  <si>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</si>
  <si>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</si>
  <si>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</si>
  <si>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</si>
  <si>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</si>
  <si>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</si>
  <si>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</si>
  <si>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</si>
  <si>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</si>
  <si>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</si>
  <si>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</si>
  <si>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</si>
  <si>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</si>
  <si>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</si>
  <si>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</si>
  <si>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</si>
  <si>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</si>
  <si>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</si>
  <si>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</si>
  <si>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</si>
  <si>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</si>
  <si>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</si>
  <si>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</si>
  <si>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</si>
  <si>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</si>
  <si>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</si>
  <si>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</si>
  <si>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</si>
  <si>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</si>
  <si>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</si>
  <si>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</si>
  <si>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</si>
  <si>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</si>
  <si>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</si>
  <si>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</si>
  <si>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</si>
  <si>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</si>
  <si>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</si>
  <si>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</si>
  <si>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</si>
  <si>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</si>
  <si>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</si>
  <si>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</si>
  <si>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</si>
  <si>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</si>
  <si>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</si>
  <si>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</si>
  <si>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</si>
  <si>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</si>
  <si>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</si>
  <si>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</si>
  <si>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</si>
  <si>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</si>
  <si>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</si>
  <si>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</si>
  <si>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</si>
  <si>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</si>
  <si>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</si>
  <si>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</si>
  <si>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</si>
  <si>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</si>
  <si>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</si>
  <si>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</si>
  <si>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</si>
  <si>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</si>
  <si>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</si>
  <si>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</si>
  <si>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</si>
  <si>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</si>
  <si>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</si>
  <si>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</si>
  <si>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</si>
  <si>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</si>
  <si>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</si>
  <si>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</si>
  <si>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</si>
  <si>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</si>
  <si>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</si>
  <si>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</si>
  <si>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</si>
  <si>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</si>
  <si>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</si>
  <si>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</si>
  <si>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</si>
  <si>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</si>
  <si>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</si>
  <si>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</si>
  <si>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</si>
  <si>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</si>
  <si>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</si>
  <si>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</si>
  <si>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</si>
  <si>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</si>
  <si>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</si>
  <si>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</si>
  <si>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</si>
  <si>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</si>
  <si>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</si>
  <si>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</si>
  <si>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</si>
  <si>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</si>
  <si>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</si>
  <si>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</si>
  <si>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</si>
  <si>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</si>
  <si>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</si>
  <si>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</si>
  <si>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</si>
  <si>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</si>
  <si>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</si>
  <si>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</si>
  <si>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</si>
  <si>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</si>
  <si>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</si>
  <si>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</si>
  <si>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</si>
  <si>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</si>
  <si>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</si>
  <si>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</si>
  <si>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</si>
  <si>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</si>
  <si>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</si>
  <si>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</si>
  <si>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</si>
  <si>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</si>
  <si>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</si>
  <si>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</si>
  <si>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</si>
  <si>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</si>
  <si>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</si>
  <si>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</si>
  <si>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</si>
  <si>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</si>
  <si>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</si>
  <si>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</si>
  <si>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</si>
  <si>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</si>
  <si>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</si>
  <si>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</si>
  <si>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</si>
  <si>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</si>
  <si>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</si>
  <si>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</si>
  <si>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</si>
  <si>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</si>
  <si>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</si>
  <si>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</si>
  <si>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</si>
  <si>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</si>
  <si>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</si>
  <si>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</si>
  <si>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</si>
  <si>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</si>
  <si>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</si>
  <si>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</si>
  <si>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</si>
  <si>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</si>
  <si>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</si>
  <si>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</si>
  <si>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</si>
  <si>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</si>
  <si>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</si>
  <si>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</si>
  <si>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</si>
  <si>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</si>
  <si>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</si>
  <si>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</si>
  <si>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</si>
  <si>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</si>
  <si>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</si>
  <si>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</si>
  <si>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</si>
  <si>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</si>
  <si>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</si>
  <si>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</si>
  <si>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</si>
  <si>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</si>
  <si>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</si>
  <si>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</si>
  <si>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</si>
  <si>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</si>
  <si>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</si>
  <si>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</si>
  <si>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</si>
  <si>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</si>
  <si>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</si>
  <si>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</si>
  <si>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</si>
  <si>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</si>
  <si>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</si>
  <si>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</si>
  <si>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</si>
  <si>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</si>
  <si>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</si>
  <si>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</si>
  <si>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</si>
  <si>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</si>
  <si>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</si>
  <si>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</si>
  <si>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</si>
  <si>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</si>
  <si>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</si>
  <si>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</si>
  <si>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</si>
  <si>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</si>
  <si>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</si>
  <si>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</si>
  <si>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</si>
  <si>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</si>
  <si>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</si>
  <si>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</si>
  <si>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</si>
  <si>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</si>
  <si>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</si>
  <si>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</si>
  <si>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</si>
  <si>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</si>
  <si>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</si>
  <si>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No break on Friday, Saturday stay until 6 because need to complete stock take</t>
  </si>
  <si>
    <t xml:space="preserve">Annual Leave 48 for both forthnight </t>
  </si>
  <si>
    <t>sick leave on Fri to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</si>
</sst>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0"/>
      <color theme="1"/>
      <name val="Arial"/>
      <family val="2"/>
    </font>
    <font>
      <sz val="2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2" fillId="0" borderId="0" xfId="0" applyFont="1" applyProtection="1">
      <protection locked="0"/>
    </xf>
    <xf numFmtId="0" fontId="43" fillId="0" borderId="0" xfId="0" applyFont="1" applyProtection="1"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43" zoomScaleNormal="60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AQ20" sqref="AQ20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10185</v>
      </c>
      <c r="B2" s="81" t="s">
        <v>51</v>
      </c>
      <c r="C2" s="103" t="s">
        <v>555</v>
      </c>
      <c r="D2" s="100"/>
      <c r="E2" s="84"/>
      <c r="F2" s="91">
        <f>BA2-BB2</f>
        <v>0</v>
      </c>
      <c r="G2" s="84"/>
      <c r="H2" s="84"/>
      <c r="I2" s="91">
        <f>BF2-BG2</f>
        <v>0</v>
      </c>
      <c r="J2" s="84"/>
      <c r="K2" s="84"/>
      <c r="L2" s="91">
        <f>BK2-BL2</f>
        <v>0</v>
      </c>
      <c r="M2" s="84"/>
      <c r="N2" s="100"/>
      <c r="O2" s="91">
        <f>BP2-BQ2</f>
        <v>0</v>
      </c>
      <c r="P2" s="100"/>
      <c r="Q2" s="84"/>
      <c r="R2" s="91">
        <f>BU2-BV2</f>
        <v>0</v>
      </c>
      <c r="S2" s="84"/>
      <c r="T2" s="84"/>
      <c r="U2" s="91">
        <f>BZ2-CA2</f>
        <v>0</v>
      </c>
      <c r="V2" s="84"/>
      <c r="W2" s="84"/>
      <c r="X2" s="91">
        <f>CE2-CF2</f>
        <v>0</v>
      </c>
      <c r="Y2" s="91"/>
      <c r="Z2" s="91"/>
      <c r="AA2" s="91"/>
      <c r="AB2" s="91">
        <f>SUM(F2,I2,L2,O2,R2,U2,X2)</f>
        <v>0</v>
      </c>
      <c r="AC2" s="92"/>
      <c r="AD2" s="77">
        <v>1</v>
      </c>
      <c r="AE2" s="93">
        <f t="shared" ref="AE2:AE40" si="1">SUMIF($BC$1:$CI$1,AE$1,$BC2:$CI2)+AD2</f>
        <v>1</v>
      </c>
      <c r="AF2" s="77"/>
      <c r="AG2" s="93">
        <f t="shared" ref="AG2:AG40" si="2">SUMIF($BC$1:$CI$1,AG$1,$BC2:$CI2)+AF2</f>
        <v>0</v>
      </c>
      <c r="AH2" s="78"/>
      <c r="AI2" s="93">
        <f t="shared" ref="AI2:AI40" si="3">SUMIF($BC$1:$CI$1,AI$1,$BC2:$CI2)+AH2</f>
        <v>0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0</v>
      </c>
      <c r="AQ2" s="77"/>
      <c r="AR2" s="77">
        <v>23</v>
      </c>
      <c r="AS2" s="77"/>
      <c r="AT2" s="44">
        <f>AE2+AG2+AI2+AK2+AM2+AO2+SUM(AQ2:AS2)</f>
        <v>24</v>
      </c>
      <c r="AU2" s="78"/>
      <c r="AV2" s="5"/>
      <c r="AW2" s="5"/>
      <c r="AX2" s="5"/>
      <c r="AY2" s="5"/>
      <c r="AZ2" s="24">
        <f>VLOOKUP(C2,Employees!D:I,6,FALSE)</f>
        <v>10185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2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3">SUM(IF(F2&gt;0,1,0),IF(I2&gt;0,1,0),IF(L2&gt;0,1,0),IF(O2&gt;0,1,0),IF(R2&gt;0,1,0),IF(U2&gt;0,1,0),IF(X2&gt;0,1,0))</f>
        <v>0</v>
      </c>
    </row>
    <row r="3" spans="1:89" ht="38" customHeight="1">
      <c r="A3" s="74">
        <f t="shared" si="0"/>
        <v>10138</v>
      </c>
      <c r="B3" s="81" t="s">
        <v>51</v>
      </c>
      <c r="C3" s="103" t="s">
        <v>282</v>
      </c>
      <c r="D3" s="100">
        <v>0.375</v>
      </c>
      <c r="E3" s="84">
        <v>0.70833333333333337</v>
      </c>
      <c r="F3" s="91">
        <f t="shared" ref="F3:F69" si="14">BA3-BB3</f>
        <v>7.5</v>
      </c>
      <c r="G3" s="84"/>
      <c r="H3" s="84"/>
      <c r="I3" s="91">
        <f t="shared" ref="I3:I69" si="15">BF3-BG3</f>
        <v>0</v>
      </c>
      <c r="J3" s="100">
        <v>0.38680555555555557</v>
      </c>
      <c r="K3" s="84">
        <v>0.70833333333333337</v>
      </c>
      <c r="L3" s="91">
        <f t="shared" ref="L3:L69" si="16">BK3-BL3</f>
        <v>7.2166666666666668</v>
      </c>
      <c r="M3" s="84">
        <v>0.39305555555555555</v>
      </c>
      <c r="N3" s="100">
        <v>0.70833333333333337</v>
      </c>
      <c r="O3" s="91">
        <f t="shared" ref="O3:O69" si="17">BP3-BQ3</f>
        <v>7.0666666666666682</v>
      </c>
      <c r="P3" s="100"/>
      <c r="Q3" s="84"/>
      <c r="R3" s="91">
        <f t="shared" ref="R3:R69" si="18">BU3-BV3</f>
        <v>0</v>
      </c>
      <c r="S3" s="84"/>
      <c r="T3" s="84"/>
      <c r="U3" s="91">
        <f t="shared" ref="U3:U69" si="19">BZ3-CA3</f>
        <v>0</v>
      </c>
      <c r="V3" s="84"/>
      <c r="W3" s="84"/>
      <c r="X3" s="91">
        <f t="shared" ref="X3:X69" si="20">CE3-CF3</f>
        <v>0</v>
      </c>
      <c r="Y3" s="91"/>
      <c r="Z3" s="91"/>
      <c r="AA3" s="91"/>
      <c r="AB3" s="91">
        <f t="shared" ref="AB3:AB69" si="21">SUM(F3,I3,L3,O3,R3,U3,X3)</f>
        <v>21.783333333333335</v>
      </c>
      <c r="AC3" s="92"/>
      <c r="AD3" s="77"/>
      <c r="AE3" s="93">
        <f t="shared" si="1"/>
        <v>21.783333333333335</v>
      </c>
      <c r="AF3" s="77"/>
      <c r="AG3" s="93">
        <f t="shared" si="2"/>
        <v>0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2">CK3</f>
        <v>3</v>
      </c>
      <c r="AQ3" s="77"/>
      <c r="AR3" s="77"/>
      <c r="AS3" s="77"/>
      <c r="AT3" s="44">
        <f t="shared" ref="AT3:AT69" si="23">AE3+AG3+AI3+AK3+AM3+AO3+SUM(AQ3:AS3)</f>
        <v>21.783333333333335</v>
      </c>
      <c r="AU3" s="78"/>
      <c r="AV3" s="5"/>
      <c r="AW3" s="5"/>
      <c r="AX3" s="5"/>
      <c r="AY3" s="5"/>
      <c r="AZ3" s="24">
        <f>VLOOKUP(C3,Employees!D:I,6,FALSE)</f>
        <v>10138</v>
      </c>
      <c r="BA3" s="5">
        <f t="shared" ref="BA3:BA66" si="24">IF(ISBLANK(D3),0,(E3-D3)*24)</f>
        <v>8</v>
      </c>
      <c r="BB3" s="5">
        <f t="shared" ref="BB3:BB66" si="25">IF(BA3&gt;$AY$1,1,IF(BA3&gt;=$AX$1,0.5,0))</f>
        <v>0.5</v>
      </c>
      <c r="BC3" s="5">
        <f t="shared" ref="BC3:BC66" si="26">BA3-BB3-BD3-BE3</f>
        <v>7.5</v>
      </c>
      <c r="BD3" s="5">
        <f>IF(AND(E3&gt;$AV$1, D3&lt;$AW$1),(MIN(E3,$AW$1)-MAX(D3,$AV$1))*24,0)</f>
        <v>0</v>
      </c>
      <c r="BE3" s="5">
        <f t="shared" ref="BE3:BE66" si="27">IF(E3&gt;$AW$1,(E3-MAX(D3,$AW$1))*24,0)</f>
        <v>0</v>
      </c>
      <c r="BF3" s="5">
        <f t="shared" ref="BF3:BF66" si="28">IF(ISBLANK(G3),0,(H3-G3)*24)</f>
        <v>0</v>
      </c>
      <c r="BG3" s="5">
        <f t="shared" ref="BG3:BG66" si="29">IF(BF3&gt;$AY$1,1,IF(BF3&gt;=$AX$1,0.5,0))</f>
        <v>0</v>
      </c>
      <c r="BH3" s="5">
        <f t="shared" ref="BH3:BH66" si="30">BF3-BG3-BI3-BJ3</f>
        <v>0</v>
      </c>
      <c r="BI3" s="5">
        <f t="shared" ref="BI3:BI66" si="31">IF(AND(H3&gt;$AV$1,G3&lt;$AW$1),(MIN(H3,$AW$1)-MAX(G3,$AV$1))*24,0)</f>
        <v>0</v>
      </c>
      <c r="BJ3" s="5">
        <f t="shared" ref="BJ3:BJ66" si="32">IF(H3&gt;$AW$1,(H3-MAX(G3,$AW$1))*24,0)</f>
        <v>0</v>
      </c>
      <c r="BK3" s="5">
        <f t="shared" ref="BK3:BK66" si="33">IF(ISBLANK(J3),0,(K3-J3)*24)</f>
        <v>7.7166666666666668</v>
      </c>
      <c r="BL3" s="5">
        <f t="shared" ref="BL3:BL66" si="34">IF(BK3&gt;$AY$1,1,IF(BK3&gt;=$AX$1,0.5,0))</f>
        <v>0.5</v>
      </c>
      <c r="BM3" s="5">
        <f t="shared" ref="BM3:BM66" si="35">BK3-BL3-BN3-BO3</f>
        <v>7.2166666666666668</v>
      </c>
      <c r="BN3" s="5">
        <f t="shared" ref="BN3:BN66" si="36">IF(AND(K3&gt;$AV$1, J3&lt;$AW$1),(MIN(K3,$AW$1)-MAX(J3,$AV$1))*24,0)</f>
        <v>0</v>
      </c>
      <c r="BO3" s="5">
        <f t="shared" ref="BO3:BO66" si="37">IF(K3&gt;$AW$1,(K3-MAX(J3,$AW$1))*24,0)</f>
        <v>0</v>
      </c>
      <c r="BP3" s="5">
        <f t="shared" ref="BP3:BP66" si="38">IF(ISBLANK(M3),0,(N3-M3)*24)</f>
        <v>7.5666666666666682</v>
      </c>
      <c r="BQ3" s="5">
        <f t="shared" ref="BQ3:BQ66" si="39">IF(BP3&gt;$AY$1,1,IF(BP3&gt;=$AX$1,0.5,0))</f>
        <v>0.5</v>
      </c>
      <c r="BR3" s="5">
        <f t="shared" ref="BR3:BR66" si="40">BP3-BQ3-BS3-BT3</f>
        <v>7.0666666666666682</v>
      </c>
      <c r="BS3" s="5">
        <f t="shared" ref="BS3:BS66" si="41">IF(AND(N3&gt;$AV$1, M3&lt;$AW$1),(MIN(N3,$AW$1)-MAX(M3,$AV$1))*24,0)</f>
        <v>0</v>
      </c>
      <c r="BT3" s="5">
        <f t="shared" ref="BT3:BT66" si="42">IF(N3&gt;$AW$1,(N3-MAX(M3,$AW$1))*24,0)</f>
        <v>0</v>
      </c>
      <c r="BU3" s="5">
        <f t="shared" ref="BU3:BU66" si="43">IF(ISBLANK(P3),0,(Q3-P3)*24)</f>
        <v>0</v>
      </c>
      <c r="BV3" s="5">
        <f t="shared" ref="BV3:BV66" si="44">IF(BU3&gt;$AY$1,1,IF(BU3&gt;=$AX$1,0.5,0))</f>
        <v>0</v>
      </c>
      <c r="BW3" s="5">
        <f t="shared" ref="BW3:BW66" si="45">BU3-BV3-BX3-BY3</f>
        <v>0</v>
      </c>
      <c r="BX3" s="5">
        <f t="shared" ref="BX3:BX66" si="46">IF(AND(Q3&gt;$AV$1, P3&lt;$AW$1),(MIN(Q3,$AW$1)-MAX(P3,$AV$1))*24,0)</f>
        <v>0</v>
      </c>
      <c r="BY3" s="5">
        <f t="shared" si="11"/>
        <v>0</v>
      </c>
      <c r="BZ3" s="5">
        <f>IF(ISBLANK(S3),0,(T3-S3)*24)</f>
        <v>0</v>
      </c>
      <c r="CA3" s="5">
        <f t="shared" ref="CA3:CA66" si="47">IF(BZ3&gt;$AY$1,1,IF(BZ3&gt;=$AX$1,0.5,0))</f>
        <v>0</v>
      </c>
      <c r="CB3" s="5">
        <f t="shared" ref="CB3:CB66" si="48">BZ3-CA3-CC3-CD3</f>
        <v>0</v>
      </c>
      <c r="CC3" s="5">
        <f>IF(AND(T3&gt;$AV$1, S3&lt;$AW$1),(MIN(T3,$AW$1)-MAX(S3,$AV$1))*24,0)</f>
        <v>0</v>
      </c>
      <c r="CD3" s="5">
        <f>IF(T3&gt;$AW$1,(T3-MAX(S3,$AW$1))*24,0)</f>
        <v>0</v>
      </c>
      <c r="CE3" s="5">
        <f t="shared" ref="CE3:CE66" si="49">IF(ISBLANK(V3),0,(W3-V3)*24)</f>
        <v>0</v>
      </c>
      <c r="CF3" s="5">
        <f t="shared" ref="CF3:CF66" si="50">IF(CE3&gt;$AY$1,1,IF(CE3&gt;=$AX$1,0.5,0))</f>
        <v>0</v>
      </c>
      <c r="CG3" s="5">
        <f t="shared" ref="CG3:CG66" si="51">CE3-CF3-CH3-CI3</f>
        <v>0</v>
      </c>
      <c r="CH3" s="5">
        <f t="shared" ref="CH3:CH66" si="52">IF(AND(W3&gt;$AV$1, V3&lt;$AW$1),(MIN(W3,$AW$1)-MAX(V3,$AV$1))*24,0)</f>
        <v>0</v>
      </c>
      <c r="CI3" s="5">
        <f t="shared" ref="CI3:CI66" si="53">IF(W3&gt;$AW$1,(W3-MAX(V3,$AW$1))*24,0)</f>
        <v>0</v>
      </c>
      <c r="CJ3" s="5"/>
      <c r="CK3" s="4">
        <f t="shared" si="13"/>
        <v>3</v>
      </c>
    </row>
    <row r="4" spans="1:89" ht="38" customHeight="1">
      <c r="A4" s="74">
        <f t="shared" si="0"/>
        <v>10335</v>
      </c>
      <c r="B4" s="81" t="s">
        <v>51</v>
      </c>
      <c r="C4" s="103" t="s">
        <v>929</v>
      </c>
      <c r="D4" s="84"/>
      <c r="E4" s="84"/>
      <c r="F4" s="91">
        <f t="shared" si="14"/>
        <v>0</v>
      </c>
      <c r="G4" s="84"/>
      <c r="H4" s="84"/>
      <c r="I4" s="91">
        <f t="shared" si="15"/>
        <v>0</v>
      </c>
      <c r="J4" s="84"/>
      <c r="K4" s="84"/>
      <c r="L4" s="91">
        <f t="shared" si="16"/>
        <v>0</v>
      </c>
      <c r="M4" s="84"/>
      <c r="N4" s="84"/>
      <c r="O4" s="91">
        <f t="shared" si="17"/>
        <v>0</v>
      </c>
      <c r="P4" s="75">
        <v>0.47013888888888888</v>
      </c>
      <c r="Q4" s="75">
        <v>0.79166666666666663</v>
      </c>
      <c r="R4" s="91">
        <f t="shared" si="18"/>
        <v>7.2166666666666659</v>
      </c>
      <c r="S4" s="75">
        <v>0.38124999999999998</v>
      </c>
      <c r="T4" s="75">
        <v>0.70833333333333337</v>
      </c>
      <c r="U4" s="91">
        <f t="shared" si="19"/>
        <v>7.3500000000000014</v>
      </c>
      <c r="V4" s="84">
        <v>0.375</v>
      </c>
      <c r="W4" s="84">
        <v>0.70833333333333337</v>
      </c>
      <c r="X4" s="91">
        <f t="shared" si="20"/>
        <v>7.5</v>
      </c>
      <c r="Y4" s="91"/>
      <c r="Z4" s="91"/>
      <c r="AA4" s="91"/>
      <c r="AB4" s="91">
        <f t="shared" si="21"/>
        <v>22.066666666666666</v>
      </c>
      <c r="AC4" s="92"/>
      <c r="AD4" s="77"/>
      <c r="AE4" s="93">
        <f t="shared" si="1"/>
        <v>7.2166666666666659</v>
      </c>
      <c r="AF4" s="77"/>
      <c r="AG4" s="93">
        <f t="shared" si="2"/>
        <v>7.3500000000000014</v>
      </c>
      <c r="AH4" s="78"/>
      <c r="AI4" s="93">
        <f t="shared" si="3"/>
        <v>7.5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2"/>
        <v>3</v>
      </c>
      <c r="AQ4" s="77"/>
      <c r="AR4" s="77"/>
      <c r="AS4" s="77"/>
      <c r="AT4" s="44">
        <f t="shared" si="23"/>
        <v>22.066666666666666</v>
      </c>
      <c r="AU4" s="78"/>
      <c r="AV4" s="5"/>
      <c r="AW4" s="5"/>
      <c r="AX4" s="5"/>
      <c r="AY4" s="5"/>
      <c r="AZ4" s="24">
        <f>VLOOKUP(C4,Employees!D:I,6,FALSE)</f>
        <v>10335</v>
      </c>
      <c r="BA4" s="5">
        <f t="shared" si="24"/>
        <v>0</v>
      </c>
      <c r="BB4" s="5">
        <f t="shared" si="25"/>
        <v>0</v>
      </c>
      <c r="BC4" s="5">
        <f t="shared" si="26"/>
        <v>0</v>
      </c>
      <c r="BD4" s="5">
        <f t="shared" ref="BD4:BD66" si="54">IF(AND(E4&gt;$AV$1, D4&lt;$AW$1),(MIN(E4,$AW$1)-MAX(D4,$AV$1))*24,0)</f>
        <v>0</v>
      </c>
      <c r="BE4" s="5">
        <f t="shared" si="27"/>
        <v>0</v>
      </c>
      <c r="BF4" s="5">
        <f t="shared" si="28"/>
        <v>0</v>
      </c>
      <c r="BG4" s="5">
        <f t="shared" si="29"/>
        <v>0</v>
      </c>
      <c r="BH4" s="5">
        <f t="shared" si="30"/>
        <v>0</v>
      </c>
      <c r="BI4" s="5">
        <f t="shared" si="31"/>
        <v>0</v>
      </c>
      <c r="BJ4" s="5">
        <f t="shared" si="32"/>
        <v>0</v>
      </c>
      <c r="BK4" s="5">
        <f t="shared" si="33"/>
        <v>0</v>
      </c>
      <c r="BL4" s="5">
        <f t="shared" si="34"/>
        <v>0</v>
      </c>
      <c r="BM4" s="5">
        <f t="shared" si="35"/>
        <v>0</v>
      </c>
      <c r="BN4" s="5">
        <f t="shared" si="36"/>
        <v>0</v>
      </c>
      <c r="BO4" s="5">
        <f t="shared" si="37"/>
        <v>0</v>
      </c>
      <c r="BP4" s="5">
        <f t="shared" si="38"/>
        <v>0</v>
      </c>
      <c r="BQ4" s="5">
        <f t="shared" si="39"/>
        <v>0</v>
      </c>
      <c r="BR4" s="5">
        <f t="shared" si="40"/>
        <v>0</v>
      </c>
      <c r="BS4" s="5">
        <f t="shared" si="41"/>
        <v>0</v>
      </c>
      <c r="BT4" s="5">
        <f t="shared" si="42"/>
        <v>0</v>
      </c>
      <c r="BU4" s="5">
        <f t="shared" si="43"/>
        <v>7.7166666666666659</v>
      </c>
      <c r="BV4" s="5">
        <f t="shared" si="44"/>
        <v>0.5</v>
      </c>
      <c r="BW4" s="5">
        <f t="shared" si="45"/>
        <v>7.2166666666666659</v>
      </c>
      <c r="BX4" s="5">
        <f t="shared" si="46"/>
        <v>0</v>
      </c>
      <c r="BY4" s="5">
        <f t="shared" si="11"/>
        <v>0</v>
      </c>
      <c r="BZ4" s="5">
        <f t="shared" ref="BZ4:BZ66" si="55">IF(ISBLANK(S4),0,(T4-S4)*24)</f>
        <v>7.8500000000000014</v>
      </c>
      <c r="CA4" s="5">
        <f t="shared" si="47"/>
        <v>0.5</v>
      </c>
      <c r="CB4" s="5">
        <f t="shared" si="48"/>
        <v>7.3500000000000014</v>
      </c>
      <c r="CC4" s="5">
        <f t="shared" ref="CC4:CC66" si="56">IF(AND(T4&gt;$AV$1, S4&lt;$AW$1),(MIN(T4,$AW$1)-MAX(S4,$AV$1))*24,0)</f>
        <v>0</v>
      </c>
      <c r="CD4" s="5">
        <f t="shared" ref="CD4:CD66" si="57">IF(T4&gt;$AW$1,(T4-MAX(S4,$AW$1))*24,0)</f>
        <v>0</v>
      </c>
      <c r="CE4" s="5">
        <f t="shared" si="49"/>
        <v>8</v>
      </c>
      <c r="CF4" s="5">
        <f t="shared" si="50"/>
        <v>0.5</v>
      </c>
      <c r="CG4" s="5">
        <f t="shared" si="51"/>
        <v>7.5</v>
      </c>
      <c r="CH4" s="5">
        <f t="shared" si="52"/>
        <v>0</v>
      </c>
      <c r="CI4" s="5">
        <f t="shared" si="53"/>
        <v>0</v>
      </c>
      <c r="CJ4" s="5"/>
      <c r="CK4" s="4">
        <f t="shared" si="13"/>
        <v>3</v>
      </c>
    </row>
    <row r="5" spans="1:89" ht="38" customHeight="1">
      <c r="A5" s="74">
        <f t="shared" si="0"/>
        <v>10125</v>
      </c>
      <c r="B5" s="81" t="s">
        <v>51</v>
      </c>
      <c r="C5" s="103" t="s">
        <v>247</v>
      </c>
      <c r="D5" s="75"/>
      <c r="E5" s="75"/>
      <c r="F5" s="91">
        <f t="shared" si="14"/>
        <v>0</v>
      </c>
      <c r="G5" s="84"/>
      <c r="H5" s="84"/>
      <c r="I5" s="91">
        <f t="shared" si="15"/>
        <v>0</v>
      </c>
      <c r="J5" s="84"/>
      <c r="K5" s="84"/>
      <c r="L5" s="91">
        <f t="shared" si="16"/>
        <v>0</v>
      </c>
      <c r="M5" s="75"/>
      <c r="N5" s="75"/>
      <c r="O5" s="91">
        <f t="shared" si="17"/>
        <v>0</v>
      </c>
      <c r="P5" s="75"/>
      <c r="Q5" s="75"/>
      <c r="R5" s="91">
        <f t="shared" si="18"/>
        <v>0</v>
      </c>
      <c r="S5" s="75"/>
      <c r="T5" s="75"/>
      <c r="U5" s="91">
        <f t="shared" si="19"/>
        <v>0</v>
      </c>
      <c r="V5" s="84"/>
      <c r="W5" s="84"/>
      <c r="X5" s="91">
        <f t="shared" si="20"/>
        <v>0</v>
      </c>
      <c r="Y5" s="91"/>
      <c r="Z5" s="91"/>
      <c r="AA5" s="91"/>
      <c r="AB5" s="91">
        <f t="shared" si="21"/>
        <v>0</v>
      </c>
      <c r="AC5" s="92"/>
      <c r="AD5" s="78"/>
      <c r="AE5" s="93">
        <f t="shared" si="1"/>
        <v>0</v>
      </c>
      <c r="AF5" s="77"/>
      <c r="AG5" s="93">
        <f t="shared" si="2"/>
        <v>0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2"/>
        <v>0</v>
      </c>
      <c r="AQ5" s="77">
        <v>7</v>
      </c>
      <c r="AR5" s="77"/>
      <c r="AS5" s="77"/>
      <c r="AT5" s="44">
        <f t="shared" si="23"/>
        <v>7</v>
      </c>
      <c r="AU5" s="78"/>
      <c r="AV5" s="5"/>
      <c r="AW5" s="5"/>
      <c r="AX5" s="5"/>
      <c r="AY5" s="5"/>
      <c r="AZ5" s="24">
        <f>VLOOKUP(C5,Employees!D:I,6,FALSE)</f>
        <v>10125</v>
      </c>
      <c r="BA5" s="5">
        <f t="shared" si="24"/>
        <v>0</v>
      </c>
      <c r="BB5" s="5">
        <f t="shared" si="25"/>
        <v>0</v>
      </c>
      <c r="BC5" s="5">
        <f t="shared" si="26"/>
        <v>0</v>
      </c>
      <c r="BD5" s="5">
        <f t="shared" si="54"/>
        <v>0</v>
      </c>
      <c r="BE5" s="5">
        <f t="shared" si="27"/>
        <v>0</v>
      </c>
      <c r="BF5" s="5">
        <f t="shared" si="28"/>
        <v>0</v>
      </c>
      <c r="BG5" s="5">
        <f t="shared" si="29"/>
        <v>0</v>
      </c>
      <c r="BH5" s="5">
        <f t="shared" si="30"/>
        <v>0</v>
      </c>
      <c r="BI5" s="5">
        <f t="shared" si="31"/>
        <v>0</v>
      </c>
      <c r="BJ5" s="5">
        <f t="shared" si="32"/>
        <v>0</v>
      </c>
      <c r="BK5" s="5">
        <f t="shared" si="33"/>
        <v>0</v>
      </c>
      <c r="BL5" s="5">
        <f t="shared" si="34"/>
        <v>0</v>
      </c>
      <c r="BM5" s="5">
        <f t="shared" si="35"/>
        <v>0</v>
      </c>
      <c r="BN5" s="5">
        <f t="shared" si="36"/>
        <v>0</v>
      </c>
      <c r="BO5" s="5">
        <f t="shared" si="37"/>
        <v>0</v>
      </c>
      <c r="BP5" s="5">
        <f t="shared" si="38"/>
        <v>0</v>
      </c>
      <c r="BQ5" s="5">
        <f t="shared" si="39"/>
        <v>0</v>
      </c>
      <c r="BR5" s="5">
        <f t="shared" si="40"/>
        <v>0</v>
      </c>
      <c r="BS5" s="5">
        <f t="shared" si="41"/>
        <v>0</v>
      </c>
      <c r="BT5" s="5">
        <f t="shared" si="42"/>
        <v>0</v>
      </c>
      <c r="BU5" s="5">
        <f t="shared" si="43"/>
        <v>0</v>
      </c>
      <c r="BV5" s="5">
        <f t="shared" si="44"/>
        <v>0</v>
      </c>
      <c r="BW5" s="5">
        <f t="shared" si="45"/>
        <v>0</v>
      </c>
      <c r="BX5" s="5">
        <f t="shared" si="46"/>
        <v>0</v>
      </c>
      <c r="BY5" s="5">
        <f t="shared" si="11"/>
        <v>0</v>
      </c>
      <c r="BZ5" s="5">
        <f t="shared" si="55"/>
        <v>0</v>
      </c>
      <c r="CA5" s="5">
        <f t="shared" si="47"/>
        <v>0</v>
      </c>
      <c r="CB5" s="5">
        <f t="shared" si="48"/>
        <v>0</v>
      </c>
      <c r="CC5" s="5">
        <f t="shared" si="56"/>
        <v>0</v>
      </c>
      <c r="CD5" s="5">
        <f t="shared" si="57"/>
        <v>0</v>
      </c>
      <c r="CE5" s="5">
        <f t="shared" si="49"/>
        <v>0</v>
      </c>
      <c r="CF5" s="5">
        <f t="shared" si="50"/>
        <v>0</v>
      </c>
      <c r="CG5" s="5">
        <f t="shared" si="51"/>
        <v>0</v>
      </c>
      <c r="CH5" s="5">
        <f t="shared" si="52"/>
        <v>0</v>
      </c>
      <c r="CI5" s="5">
        <f t="shared" si="53"/>
        <v>0</v>
      </c>
      <c r="CJ5" s="5"/>
      <c r="CK5" s="4">
        <f t="shared" si="13"/>
        <v>0</v>
      </c>
    </row>
    <row r="6" spans="1:89" ht="38" customHeight="1">
      <c r="A6" s="74">
        <f t="shared" si="0"/>
        <v>210443</v>
      </c>
      <c r="B6" s="81" t="s">
        <v>51</v>
      </c>
      <c r="C6" s="104" t="s">
        <v>1211</v>
      </c>
      <c r="D6" s="84">
        <v>0.45833333333333331</v>
      </c>
      <c r="E6" s="84">
        <v>0.8125</v>
      </c>
      <c r="F6" s="91">
        <f t="shared" si="14"/>
        <v>8</v>
      </c>
      <c r="G6" s="84">
        <v>0.45833333333333331</v>
      </c>
      <c r="H6" s="84">
        <v>0.80972222222222223</v>
      </c>
      <c r="I6" s="91">
        <f t="shared" si="15"/>
        <v>7.9333333333333336</v>
      </c>
      <c r="J6" s="84"/>
      <c r="K6" s="84"/>
      <c r="L6" s="91">
        <f t="shared" si="16"/>
        <v>0</v>
      </c>
      <c r="M6" s="75"/>
      <c r="N6" s="75"/>
      <c r="O6" s="91">
        <f t="shared" si="17"/>
        <v>0</v>
      </c>
      <c r="P6" s="75"/>
      <c r="Q6" s="75"/>
      <c r="R6" s="91">
        <f t="shared" si="18"/>
        <v>0</v>
      </c>
      <c r="S6" s="75">
        <v>0.45833333333333331</v>
      </c>
      <c r="T6" s="75">
        <v>0.79166666666666663</v>
      </c>
      <c r="U6" s="91">
        <f t="shared" si="19"/>
        <v>7.5</v>
      </c>
      <c r="V6" s="84">
        <v>0.45833333333333331</v>
      </c>
      <c r="W6" s="84">
        <v>0.79166666666666663</v>
      </c>
      <c r="X6" s="91">
        <f t="shared" si="20"/>
        <v>7.5</v>
      </c>
      <c r="Y6" s="91"/>
      <c r="Z6" s="91"/>
      <c r="AA6" s="91"/>
      <c r="AB6" s="91">
        <f t="shared" si="21"/>
        <v>30.933333333333334</v>
      </c>
      <c r="AC6" s="92"/>
      <c r="AD6" s="78"/>
      <c r="AE6" s="93">
        <f t="shared" si="1"/>
        <v>15.933333333333334</v>
      </c>
      <c r="AF6" s="77"/>
      <c r="AG6" s="93">
        <f t="shared" si="2"/>
        <v>7.5</v>
      </c>
      <c r="AH6" s="78"/>
      <c r="AI6" s="93">
        <f t="shared" si="3"/>
        <v>7.5</v>
      </c>
      <c r="AJ6" s="77"/>
      <c r="AK6" s="93">
        <f t="shared" si="4"/>
        <v>0</v>
      </c>
      <c r="AL6" s="77"/>
      <c r="AM6" s="93">
        <f t="shared" si="5"/>
        <v>0</v>
      </c>
      <c r="AN6" s="77"/>
      <c r="AO6" s="93">
        <f t="shared" si="6"/>
        <v>0</v>
      </c>
      <c r="AP6" s="94">
        <f t="shared" si="22"/>
        <v>4</v>
      </c>
      <c r="AQ6" s="77"/>
      <c r="AR6" s="77"/>
      <c r="AS6" s="77"/>
      <c r="AT6" s="44">
        <f t="shared" si="23"/>
        <v>30.933333333333334</v>
      </c>
      <c r="AU6" s="78"/>
      <c r="AV6" s="5"/>
      <c r="AW6" s="5"/>
      <c r="AX6" s="5"/>
      <c r="AY6" s="5"/>
      <c r="AZ6" s="24">
        <f>VLOOKUP(C6,Employees!D:I,6,FALSE)</f>
        <v>210443</v>
      </c>
      <c r="BA6" s="5">
        <f t="shared" si="24"/>
        <v>8.5</v>
      </c>
      <c r="BB6" s="5">
        <f t="shared" si="25"/>
        <v>0.5</v>
      </c>
      <c r="BC6" s="5">
        <f t="shared" si="26"/>
        <v>8</v>
      </c>
      <c r="BD6" s="5">
        <f t="shared" si="54"/>
        <v>0</v>
      </c>
      <c r="BE6" s="5">
        <f t="shared" si="27"/>
        <v>0</v>
      </c>
      <c r="BF6" s="5">
        <f t="shared" si="28"/>
        <v>8.4333333333333336</v>
      </c>
      <c r="BG6" s="5">
        <f t="shared" si="29"/>
        <v>0.5</v>
      </c>
      <c r="BH6" s="5">
        <f t="shared" si="30"/>
        <v>7.9333333333333336</v>
      </c>
      <c r="BI6" s="5">
        <f t="shared" si="31"/>
        <v>0</v>
      </c>
      <c r="BJ6" s="5">
        <f t="shared" si="32"/>
        <v>0</v>
      </c>
      <c r="BK6" s="5">
        <f t="shared" si="33"/>
        <v>0</v>
      </c>
      <c r="BL6" s="5">
        <f t="shared" si="34"/>
        <v>0</v>
      </c>
      <c r="BM6" s="5">
        <f t="shared" si="35"/>
        <v>0</v>
      </c>
      <c r="BN6" s="5">
        <f t="shared" si="36"/>
        <v>0</v>
      </c>
      <c r="BO6" s="5">
        <f t="shared" si="37"/>
        <v>0</v>
      </c>
      <c r="BP6" s="5">
        <f t="shared" si="38"/>
        <v>0</v>
      </c>
      <c r="BQ6" s="5">
        <f t="shared" si="39"/>
        <v>0</v>
      </c>
      <c r="BR6" s="5">
        <f t="shared" si="40"/>
        <v>0</v>
      </c>
      <c r="BS6" s="5">
        <f t="shared" si="41"/>
        <v>0</v>
      </c>
      <c r="BT6" s="5">
        <f t="shared" si="42"/>
        <v>0</v>
      </c>
      <c r="BU6" s="5">
        <f t="shared" si="43"/>
        <v>0</v>
      </c>
      <c r="BV6" s="5">
        <f t="shared" si="44"/>
        <v>0</v>
      </c>
      <c r="BW6" s="5">
        <f t="shared" si="45"/>
        <v>0</v>
      </c>
      <c r="BX6" s="5">
        <f t="shared" si="46"/>
        <v>0</v>
      </c>
      <c r="BY6" s="5">
        <f t="shared" si="11"/>
        <v>0</v>
      </c>
      <c r="BZ6" s="5">
        <f t="shared" si="55"/>
        <v>8</v>
      </c>
      <c r="CA6" s="5">
        <f t="shared" si="47"/>
        <v>0.5</v>
      </c>
      <c r="CB6" s="5">
        <f t="shared" si="48"/>
        <v>7.5</v>
      </c>
      <c r="CC6" s="5">
        <f t="shared" si="56"/>
        <v>0</v>
      </c>
      <c r="CD6" s="5">
        <f t="shared" si="57"/>
        <v>0</v>
      </c>
      <c r="CE6" s="5">
        <f t="shared" si="49"/>
        <v>8</v>
      </c>
      <c r="CF6" s="5">
        <f t="shared" si="50"/>
        <v>0.5</v>
      </c>
      <c r="CG6" s="5">
        <f t="shared" si="51"/>
        <v>7.5</v>
      </c>
      <c r="CH6" s="5">
        <f t="shared" si="52"/>
        <v>0</v>
      </c>
      <c r="CI6" s="5">
        <f t="shared" si="53"/>
        <v>0</v>
      </c>
      <c r="CJ6" s="5"/>
      <c r="CK6" s="4">
        <f t="shared" si="13"/>
        <v>4</v>
      </c>
    </row>
    <row r="7" spans="1:89" ht="38" customHeight="1">
      <c r="A7" s="74">
        <f t="shared" si="0"/>
        <v>210456</v>
      </c>
      <c r="B7" s="81" t="s">
        <v>51</v>
      </c>
      <c r="C7" s="104" t="s">
        <v>1243</v>
      </c>
      <c r="D7" s="75"/>
      <c r="E7" s="75"/>
      <c r="F7" s="91">
        <f t="shared" si="14"/>
        <v>0</v>
      </c>
      <c r="G7" s="100">
        <v>0.375</v>
      </c>
      <c r="H7" s="84">
        <v>0.70833333333333337</v>
      </c>
      <c r="I7" s="91">
        <f t="shared" si="15"/>
        <v>7.5</v>
      </c>
      <c r="J7" s="84"/>
      <c r="K7" s="84"/>
      <c r="L7" s="91">
        <f t="shared" si="16"/>
        <v>0</v>
      </c>
      <c r="M7" s="84">
        <v>0.625</v>
      </c>
      <c r="N7" s="84">
        <v>0.88263888888888886</v>
      </c>
      <c r="O7" s="91">
        <f t="shared" si="17"/>
        <v>5.6833333333333327</v>
      </c>
      <c r="P7" s="75">
        <v>0.54166666666666663</v>
      </c>
      <c r="Q7" s="75">
        <v>0.8041666666666667</v>
      </c>
      <c r="R7" s="91">
        <f t="shared" si="18"/>
        <v>5.8000000000000016</v>
      </c>
      <c r="S7" s="75"/>
      <c r="T7" s="75"/>
      <c r="U7" s="91">
        <f t="shared" si="19"/>
        <v>0</v>
      </c>
      <c r="V7" s="84"/>
      <c r="W7" s="84"/>
      <c r="X7" s="91">
        <f t="shared" si="20"/>
        <v>0</v>
      </c>
      <c r="Y7" s="91"/>
      <c r="Z7" s="91"/>
      <c r="AA7" s="91"/>
      <c r="AB7" s="91">
        <f t="shared" si="21"/>
        <v>18.983333333333334</v>
      </c>
      <c r="AC7" s="92"/>
      <c r="AD7" s="78"/>
      <c r="AE7" s="93">
        <f t="shared" si="1"/>
        <v>18.983333333333334</v>
      </c>
      <c r="AF7" s="77"/>
      <c r="AG7" s="93">
        <f t="shared" si="2"/>
        <v>0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2"/>
        <v>3</v>
      </c>
      <c r="AQ7" s="77"/>
      <c r="AR7" s="77"/>
      <c r="AS7" s="77"/>
      <c r="AT7" s="44">
        <f t="shared" si="23"/>
        <v>18.983333333333334</v>
      </c>
      <c r="AU7" s="78"/>
      <c r="AV7" s="5"/>
      <c r="AW7" s="5"/>
      <c r="AX7" s="5"/>
      <c r="AY7" s="5"/>
      <c r="AZ7" s="24">
        <f>VLOOKUP(C7,Employees!D:I,6,FALSE)</f>
        <v>210456</v>
      </c>
      <c r="BA7" s="5">
        <f t="shared" si="24"/>
        <v>0</v>
      </c>
      <c r="BB7" s="5">
        <f t="shared" si="25"/>
        <v>0</v>
      </c>
      <c r="BC7" s="5">
        <f t="shared" si="26"/>
        <v>0</v>
      </c>
      <c r="BD7" s="5">
        <f t="shared" si="54"/>
        <v>0</v>
      </c>
      <c r="BE7" s="5">
        <f t="shared" si="27"/>
        <v>0</v>
      </c>
      <c r="BF7" s="5">
        <f t="shared" si="28"/>
        <v>8</v>
      </c>
      <c r="BG7" s="5">
        <f t="shared" si="29"/>
        <v>0.5</v>
      </c>
      <c r="BH7" s="5">
        <f t="shared" si="30"/>
        <v>7.5</v>
      </c>
      <c r="BI7" s="5">
        <f t="shared" si="31"/>
        <v>0</v>
      </c>
      <c r="BJ7" s="5">
        <f t="shared" si="32"/>
        <v>0</v>
      </c>
      <c r="BK7" s="5">
        <f t="shared" si="33"/>
        <v>0</v>
      </c>
      <c r="BL7" s="5">
        <f t="shared" si="34"/>
        <v>0</v>
      </c>
      <c r="BM7" s="5">
        <f t="shared" si="35"/>
        <v>0</v>
      </c>
      <c r="BN7" s="5">
        <f t="shared" si="36"/>
        <v>0</v>
      </c>
      <c r="BO7" s="5">
        <f t="shared" si="37"/>
        <v>0</v>
      </c>
      <c r="BP7" s="5">
        <f t="shared" si="38"/>
        <v>6.1833333333333327</v>
      </c>
      <c r="BQ7" s="5">
        <f t="shared" si="39"/>
        <v>0.5</v>
      </c>
      <c r="BR7" s="5">
        <f t="shared" si="40"/>
        <v>5.6833333333333327</v>
      </c>
      <c r="BS7" s="5">
        <f t="shared" si="41"/>
        <v>0</v>
      </c>
      <c r="BT7" s="5">
        <f t="shared" si="42"/>
        <v>0</v>
      </c>
      <c r="BU7" s="5">
        <f t="shared" si="43"/>
        <v>6.3000000000000016</v>
      </c>
      <c r="BV7" s="5">
        <f t="shared" si="44"/>
        <v>0.5</v>
      </c>
      <c r="BW7" s="5">
        <f t="shared" si="45"/>
        <v>5.8000000000000016</v>
      </c>
      <c r="BX7" s="5">
        <f t="shared" si="46"/>
        <v>0</v>
      </c>
      <c r="BY7" s="5">
        <f t="shared" si="11"/>
        <v>0</v>
      </c>
      <c r="BZ7" s="5">
        <f t="shared" si="55"/>
        <v>0</v>
      </c>
      <c r="CA7" s="5">
        <f t="shared" si="47"/>
        <v>0</v>
      </c>
      <c r="CB7" s="5">
        <f t="shared" si="48"/>
        <v>0</v>
      </c>
      <c r="CC7" s="5">
        <f t="shared" si="56"/>
        <v>0</v>
      </c>
      <c r="CD7" s="5">
        <f t="shared" si="57"/>
        <v>0</v>
      </c>
      <c r="CE7" s="5">
        <f t="shared" si="49"/>
        <v>0</v>
      </c>
      <c r="CF7" s="5">
        <f t="shared" si="50"/>
        <v>0</v>
      </c>
      <c r="CG7" s="5">
        <f t="shared" si="51"/>
        <v>0</v>
      </c>
      <c r="CH7" s="5">
        <f t="shared" si="52"/>
        <v>0</v>
      </c>
      <c r="CI7" s="5">
        <f t="shared" si="53"/>
        <v>0</v>
      </c>
      <c r="CJ7" s="5"/>
      <c r="CK7" s="4">
        <f t="shared" si="13"/>
        <v>3</v>
      </c>
    </row>
    <row r="8" spans="1:89" ht="38" customHeight="1">
      <c r="A8" s="74">
        <f t="shared" si="0"/>
        <v>10085</v>
      </c>
      <c r="B8" s="81" t="s">
        <v>51</v>
      </c>
      <c r="C8" s="103" t="s">
        <v>142</v>
      </c>
      <c r="D8" s="75"/>
      <c r="E8" s="75"/>
      <c r="F8" s="91">
        <f t="shared" si="14"/>
        <v>0</v>
      </c>
      <c r="G8" s="75"/>
      <c r="H8" s="75"/>
      <c r="I8" s="91">
        <f t="shared" si="15"/>
        <v>0</v>
      </c>
      <c r="J8" s="76"/>
      <c r="K8" s="75"/>
      <c r="L8" s="91">
        <f t="shared" si="16"/>
        <v>0</v>
      </c>
      <c r="M8" s="75">
        <v>0.50486111111111109</v>
      </c>
      <c r="N8" s="75">
        <v>0.875</v>
      </c>
      <c r="O8" s="91">
        <f t="shared" si="17"/>
        <v>8.3833333333333329</v>
      </c>
      <c r="P8" s="84"/>
      <c r="Q8" s="84"/>
      <c r="R8" s="91">
        <f t="shared" si="18"/>
        <v>0</v>
      </c>
      <c r="S8" s="84">
        <v>0.5</v>
      </c>
      <c r="T8" s="84">
        <v>0.79166666666666663</v>
      </c>
      <c r="U8" s="91">
        <f t="shared" si="19"/>
        <v>6.4999999999999991</v>
      </c>
      <c r="V8" s="75">
        <v>0.5</v>
      </c>
      <c r="W8" s="75">
        <v>0.79166666666666663</v>
      </c>
      <c r="X8" s="91">
        <f t="shared" si="20"/>
        <v>6.4999999999999991</v>
      </c>
      <c r="Y8" s="91"/>
      <c r="Z8" s="91"/>
      <c r="AA8" s="91"/>
      <c r="AB8" s="91">
        <f t="shared" si="21"/>
        <v>21.383333333333333</v>
      </c>
      <c r="AC8" s="92"/>
      <c r="AD8" s="78"/>
      <c r="AE8" s="93">
        <f t="shared" si="1"/>
        <v>8.3833333333333329</v>
      </c>
      <c r="AF8" s="77"/>
      <c r="AG8" s="93">
        <f t="shared" si="2"/>
        <v>6.4999999999999991</v>
      </c>
      <c r="AH8" s="77"/>
      <c r="AI8" s="93">
        <f t="shared" si="3"/>
        <v>6.4999999999999991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2"/>
        <v>3</v>
      </c>
      <c r="AQ8" s="77"/>
      <c r="AR8" s="77"/>
      <c r="AS8" s="77"/>
      <c r="AT8" s="44">
        <f t="shared" si="23"/>
        <v>21.383333333333333</v>
      </c>
      <c r="AU8" s="78"/>
      <c r="AV8" s="5"/>
      <c r="AW8" s="5"/>
      <c r="AX8" s="5"/>
      <c r="AY8" s="5"/>
      <c r="AZ8" s="24">
        <f>VLOOKUP(C8,Employees!D:I,6,FALSE)</f>
        <v>10085</v>
      </c>
      <c r="BA8" s="5">
        <f t="shared" si="24"/>
        <v>0</v>
      </c>
      <c r="BB8" s="5">
        <f t="shared" si="25"/>
        <v>0</v>
      </c>
      <c r="BC8" s="5">
        <f t="shared" si="26"/>
        <v>0</v>
      </c>
      <c r="BD8" s="5">
        <f t="shared" si="54"/>
        <v>0</v>
      </c>
      <c r="BE8" s="5">
        <f t="shared" si="27"/>
        <v>0</v>
      </c>
      <c r="BF8" s="5">
        <f t="shared" si="28"/>
        <v>0</v>
      </c>
      <c r="BG8" s="5">
        <f t="shared" si="29"/>
        <v>0</v>
      </c>
      <c r="BH8" s="5">
        <f t="shared" si="30"/>
        <v>0</v>
      </c>
      <c r="BI8" s="5">
        <f t="shared" si="31"/>
        <v>0</v>
      </c>
      <c r="BJ8" s="5">
        <f t="shared" si="32"/>
        <v>0</v>
      </c>
      <c r="BK8" s="5">
        <f t="shared" si="33"/>
        <v>0</v>
      </c>
      <c r="BL8" s="5">
        <f t="shared" si="34"/>
        <v>0</v>
      </c>
      <c r="BM8" s="5">
        <f t="shared" si="35"/>
        <v>0</v>
      </c>
      <c r="BN8" s="5">
        <f t="shared" si="36"/>
        <v>0</v>
      </c>
      <c r="BO8" s="5">
        <f t="shared" si="37"/>
        <v>0</v>
      </c>
      <c r="BP8" s="5">
        <f t="shared" si="38"/>
        <v>8.8833333333333329</v>
      </c>
      <c r="BQ8" s="5">
        <f t="shared" si="39"/>
        <v>0.5</v>
      </c>
      <c r="BR8" s="5">
        <f t="shared" si="40"/>
        <v>8.3833333333333329</v>
      </c>
      <c r="BS8" s="5">
        <f t="shared" si="41"/>
        <v>0</v>
      </c>
      <c r="BT8" s="5">
        <f t="shared" si="42"/>
        <v>0</v>
      </c>
      <c r="BU8" s="5">
        <f t="shared" si="43"/>
        <v>0</v>
      </c>
      <c r="BV8" s="5">
        <f t="shared" si="44"/>
        <v>0</v>
      </c>
      <c r="BW8" s="5">
        <f t="shared" si="45"/>
        <v>0</v>
      </c>
      <c r="BX8" s="5">
        <f t="shared" si="46"/>
        <v>0</v>
      </c>
      <c r="BY8" s="5">
        <f t="shared" si="11"/>
        <v>0</v>
      </c>
      <c r="BZ8" s="5">
        <f t="shared" si="55"/>
        <v>6.9999999999999991</v>
      </c>
      <c r="CA8" s="5">
        <f t="shared" si="47"/>
        <v>0.5</v>
      </c>
      <c r="CB8" s="5">
        <f t="shared" si="48"/>
        <v>6.4999999999999991</v>
      </c>
      <c r="CC8" s="5">
        <f t="shared" si="56"/>
        <v>0</v>
      </c>
      <c r="CD8" s="5">
        <f t="shared" si="57"/>
        <v>0</v>
      </c>
      <c r="CE8" s="5">
        <f t="shared" si="49"/>
        <v>6.9999999999999991</v>
      </c>
      <c r="CF8" s="5">
        <f t="shared" si="50"/>
        <v>0.5</v>
      </c>
      <c r="CG8" s="5">
        <f t="shared" si="51"/>
        <v>6.4999999999999991</v>
      </c>
      <c r="CH8" s="5">
        <f t="shared" si="52"/>
        <v>0</v>
      </c>
      <c r="CI8" s="5">
        <f t="shared" si="53"/>
        <v>0</v>
      </c>
      <c r="CJ8" s="5"/>
      <c r="CK8" s="4">
        <f t="shared" si="13"/>
        <v>3</v>
      </c>
    </row>
    <row r="9" spans="1:89" ht="38" customHeight="1">
      <c r="A9" s="74">
        <f t="shared" si="0"/>
        <v>10074</v>
      </c>
      <c r="B9" s="81" t="s">
        <v>51</v>
      </c>
      <c r="C9" s="103" t="s">
        <v>112</v>
      </c>
      <c r="D9" s="84"/>
      <c r="E9" s="84"/>
      <c r="F9" s="91">
        <f t="shared" si="14"/>
        <v>0</v>
      </c>
      <c r="G9" s="84"/>
      <c r="H9" s="84"/>
      <c r="I9" s="91">
        <f t="shared" si="15"/>
        <v>0</v>
      </c>
      <c r="J9" s="75"/>
      <c r="K9" s="75"/>
      <c r="L9" s="91">
        <f t="shared" si="16"/>
        <v>0</v>
      </c>
      <c r="M9" s="84"/>
      <c r="N9" s="84"/>
      <c r="O9" s="91">
        <f t="shared" si="17"/>
        <v>0</v>
      </c>
      <c r="P9" s="75">
        <v>0.375</v>
      </c>
      <c r="Q9" s="75">
        <v>0.64583333333333337</v>
      </c>
      <c r="R9" s="91">
        <f t="shared" si="18"/>
        <v>6.0000000000000009</v>
      </c>
      <c r="S9" s="76"/>
      <c r="T9" s="75"/>
      <c r="U9" s="91">
        <f t="shared" si="19"/>
        <v>0</v>
      </c>
      <c r="V9" s="75"/>
      <c r="W9" s="75"/>
      <c r="X9" s="91">
        <f t="shared" si="20"/>
        <v>0</v>
      </c>
      <c r="Y9" s="91"/>
      <c r="Z9" s="91"/>
      <c r="AA9" s="91"/>
      <c r="AB9" s="91">
        <f t="shared" si="21"/>
        <v>6.0000000000000009</v>
      </c>
      <c r="AC9" s="92"/>
      <c r="AD9" s="78"/>
      <c r="AE9" s="93">
        <f t="shared" si="1"/>
        <v>6.0000000000000009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2"/>
        <v>1</v>
      </c>
      <c r="AQ9" s="77"/>
      <c r="AR9" s="77"/>
      <c r="AS9" s="77"/>
      <c r="AT9" s="44">
        <f t="shared" si="23"/>
        <v>6.0000000000000009</v>
      </c>
      <c r="AU9" s="78"/>
      <c r="AV9" s="5"/>
      <c r="AW9" s="5"/>
      <c r="AX9" s="5"/>
      <c r="AY9" s="5"/>
      <c r="AZ9" s="24">
        <f>VLOOKUP(C9,Employees!D:I,6,FALSE)</f>
        <v>10074</v>
      </c>
      <c r="BA9" s="5">
        <f t="shared" si="24"/>
        <v>0</v>
      </c>
      <c r="BB9" s="5">
        <f t="shared" si="25"/>
        <v>0</v>
      </c>
      <c r="BC9" s="5">
        <f t="shared" si="26"/>
        <v>0</v>
      </c>
      <c r="BD9" s="5">
        <f t="shared" si="54"/>
        <v>0</v>
      </c>
      <c r="BE9" s="5">
        <f t="shared" si="27"/>
        <v>0</v>
      </c>
      <c r="BF9" s="5">
        <f t="shared" si="28"/>
        <v>0</v>
      </c>
      <c r="BG9" s="5">
        <f t="shared" si="29"/>
        <v>0</v>
      </c>
      <c r="BH9" s="5">
        <f t="shared" si="30"/>
        <v>0</v>
      </c>
      <c r="BI9" s="5">
        <f t="shared" si="31"/>
        <v>0</v>
      </c>
      <c r="BJ9" s="5">
        <f t="shared" si="32"/>
        <v>0</v>
      </c>
      <c r="BK9" s="5">
        <f t="shared" si="33"/>
        <v>0</v>
      </c>
      <c r="BL9" s="5">
        <f t="shared" si="34"/>
        <v>0</v>
      </c>
      <c r="BM9" s="5">
        <f t="shared" si="35"/>
        <v>0</v>
      </c>
      <c r="BN9" s="5">
        <f t="shared" si="36"/>
        <v>0</v>
      </c>
      <c r="BO9" s="5">
        <f t="shared" si="37"/>
        <v>0</v>
      </c>
      <c r="BP9" s="5">
        <f t="shared" si="38"/>
        <v>0</v>
      </c>
      <c r="BQ9" s="5">
        <f t="shared" si="39"/>
        <v>0</v>
      </c>
      <c r="BR9" s="5">
        <f t="shared" si="40"/>
        <v>0</v>
      </c>
      <c r="BS9" s="5">
        <f t="shared" si="41"/>
        <v>0</v>
      </c>
      <c r="BT9" s="5">
        <f t="shared" si="42"/>
        <v>0</v>
      </c>
      <c r="BU9" s="5">
        <f t="shared" si="43"/>
        <v>6.5000000000000009</v>
      </c>
      <c r="BV9" s="5">
        <f t="shared" si="44"/>
        <v>0.5</v>
      </c>
      <c r="BW9" s="5">
        <f t="shared" si="45"/>
        <v>6.0000000000000009</v>
      </c>
      <c r="BX9" s="5">
        <f t="shared" si="46"/>
        <v>0</v>
      </c>
      <c r="BY9" s="5">
        <f t="shared" si="11"/>
        <v>0</v>
      </c>
      <c r="BZ9" s="5">
        <f t="shared" si="55"/>
        <v>0</v>
      </c>
      <c r="CA9" s="5">
        <f t="shared" si="47"/>
        <v>0</v>
      </c>
      <c r="CB9" s="5">
        <f t="shared" si="48"/>
        <v>0</v>
      </c>
      <c r="CC9" s="5">
        <f t="shared" si="56"/>
        <v>0</v>
      </c>
      <c r="CD9" s="5">
        <f t="shared" si="57"/>
        <v>0</v>
      </c>
      <c r="CE9" s="5">
        <f t="shared" si="49"/>
        <v>0</v>
      </c>
      <c r="CF9" s="5">
        <f t="shared" si="50"/>
        <v>0</v>
      </c>
      <c r="CG9" s="5">
        <f t="shared" si="51"/>
        <v>0</v>
      </c>
      <c r="CH9" s="5">
        <f t="shared" si="52"/>
        <v>0</v>
      </c>
      <c r="CI9" s="5">
        <f t="shared" si="53"/>
        <v>0</v>
      </c>
      <c r="CJ9" s="5"/>
      <c r="CK9" s="4">
        <f t="shared" si="13"/>
        <v>1</v>
      </c>
    </row>
    <row r="10" spans="1:89" ht="38" customHeight="1">
      <c r="A10" s="74">
        <f t="shared" si="0"/>
        <v>210548</v>
      </c>
      <c r="B10" s="81" t="s">
        <v>51</v>
      </c>
      <c r="C10" s="104" t="s">
        <v>1494</v>
      </c>
      <c r="D10" s="75"/>
      <c r="E10" s="75"/>
      <c r="F10" s="91">
        <f t="shared" si="14"/>
        <v>0</v>
      </c>
      <c r="G10" s="75"/>
      <c r="H10" s="75"/>
      <c r="I10" s="91">
        <f t="shared" si="15"/>
        <v>0</v>
      </c>
      <c r="J10" s="76">
        <v>0.46458333333333335</v>
      </c>
      <c r="K10" s="75">
        <v>0.8125</v>
      </c>
      <c r="L10" s="91">
        <f t="shared" si="16"/>
        <v>7.85</v>
      </c>
      <c r="M10" s="75"/>
      <c r="N10" s="75"/>
      <c r="O10" s="91">
        <f t="shared" si="17"/>
        <v>0</v>
      </c>
      <c r="P10" s="75"/>
      <c r="Q10" s="75"/>
      <c r="R10" s="91">
        <f t="shared" si="18"/>
        <v>0</v>
      </c>
      <c r="S10" s="75"/>
      <c r="T10" s="75"/>
      <c r="U10" s="91">
        <f t="shared" si="19"/>
        <v>0</v>
      </c>
      <c r="V10" s="75"/>
      <c r="W10" s="75"/>
      <c r="X10" s="91">
        <f t="shared" si="20"/>
        <v>0</v>
      </c>
      <c r="Y10" s="91"/>
      <c r="Z10" s="91"/>
      <c r="AA10" s="91"/>
      <c r="AB10" s="91">
        <f t="shared" si="21"/>
        <v>7.85</v>
      </c>
      <c r="AC10" s="92"/>
      <c r="AD10" s="78"/>
      <c r="AE10" s="93">
        <f t="shared" si="1"/>
        <v>7.85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2"/>
        <v>1</v>
      </c>
      <c r="AQ10" s="77"/>
      <c r="AR10" s="77"/>
      <c r="AS10" s="77"/>
      <c r="AT10" s="44">
        <f t="shared" si="23"/>
        <v>7.85</v>
      </c>
      <c r="AU10" s="78"/>
      <c r="AV10" s="5"/>
      <c r="AW10" s="5"/>
      <c r="AX10" s="5"/>
      <c r="AY10" s="5"/>
      <c r="AZ10" s="24">
        <f>VLOOKUP(C10,Employees!D:I,6,FALSE)</f>
        <v>210548</v>
      </c>
      <c r="BA10" s="5">
        <f t="shared" si="24"/>
        <v>0</v>
      </c>
      <c r="BB10" s="5">
        <f t="shared" si="25"/>
        <v>0</v>
      </c>
      <c r="BC10" s="5">
        <f t="shared" si="26"/>
        <v>0</v>
      </c>
      <c r="BD10" s="5">
        <f t="shared" si="54"/>
        <v>0</v>
      </c>
      <c r="BE10" s="5">
        <f t="shared" si="27"/>
        <v>0</v>
      </c>
      <c r="BF10" s="5">
        <f t="shared" si="28"/>
        <v>0</v>
      </c>
      <c r="BG10" s="5">
        <f t="shared" si="29"/>
        <v>0</v>
      </c>
      <c r="BH10" s="5">
        <f t="shared" si="30"/>
        <v>0</v>
      </c>
      <c r="BI10" s="5">
        <f t="shared" si="31"/>
        <v>0</v>
      </c>
      <c r="BJ10" s="5">
        <f t="shared" si="32"/>
        <v>0</v>
      </c>
      <c r="BK10" s="5">
        <f t="shared" si="33"/>
        <v>8.35</v>
      </c>
      <c r="BL10" s="5">
        <f t="shared" si="34"/>
        <v>0.5</v>
      </c>
      <c r="BM10" s="5">
        <f t="shared" si="35"/>
        <v>7.85</v>
      </c>
      <c r="BN10" s="5">
        <f t="shared" si="36"/>
        <v>0</v>
      </c>
      <c r="BO10" s="5">
        <f t="shared" si="37"/>
        <v>0</v>
      </c>
      <c r="BP10" s="5">
        <f t="shared" si="38"/>
        <v>0</v>
      </c>
      <c r="BQ10" s="5">
        <f t="shared" si="39"/>
        <v>0</v>
      </c>
      <c r="BR10" s="5">
        <f t="shared" si="40"/>
        <v>0</v>
      </c>
      <c r="BS10" s="5">
        <f t="shared" si="41"/>
        <v>0</v>
      </c>
      <c r="BT10" s="5">
        <f t="shared" si="42"/>
        <v>0</v>
      </c>
      <c r="BU10" s="5">
        <f t="shared" si="43"/>
        <v>0</v>
      </c>
      <c r="BV10" s="5">
        <f t="shared" si="44"/>
        <v>0</v>
      </c>
      <c r="BW10" s="5">
        <f t="shared" si="45"/>
        <v>0</v>
      </c>
      <c r="BX10" s="5">
        <f t="shared" si="46"/>
        <v>0</v>
      </c>
      <c r="BY10" s="5">
        <f t="shared" si="11"/>
        <v>0</v>
      </c>
      <c r="BZ10" s="5">
        <f t="shared" si="55"/>
        <v>0</v>
      </c>
      <c r="CA10" s="5">
        <f t="shared" si="47"/>
        <v>0</v>
      </c>
      <c r="CB10" s="5">
        <f t="shared" si="48"/>
        <v>0</v>
      </c>
      <c r="CC10" s="5">
        <f t="shared" si="56"/>
        <v>0</v>
      </c>
      <c r="CD10" s="5">
        <f t="shared" si="57"/>
        <v>0</v>
      </c>
      <c r="CE10" s="5">
        <f t="shared" si="49"/>
        <v>0</v>
      </c>
      <c r="CF10" s="5">
        <f t="shared" si="50"/>
        <v>0</v>
      </c>
      <c r="CG10" s="5">
        <f t="shared" si="51"/>
        <v>0</v>
      </c>
      <c r="CH10" s="5">
        <f t="shared" si="52"/>
        <v>0</v>
      </c>
      <c r="CI10" s="5">
        <f t="shared" si="53"/>
        <v>0</v>
      </c>
      <c r="CJ10" s="5"/>
      <c r="CK10" s="4">
        <f t="shared" si="13"/>
        <v>1</v>
      </c>
    </row>
    <row r="11" spans="1:89" ht="38" customHeight="1">
      <c r="A11" s="74" t="str">
        <f t="shared" si="0"/>
        <v/>
      </c>
      <c r="B11" s="73"/>
      <c r="C11" s="85"/>
      <c r="D11" s="75"/>
      <c r="E11" s="75"/>
      <c r="F11" s="91">
        <f t="shared" si="14"/>
        <v>0</v>
      </c>
      <c r="G11" s="75"/>
      <c r="H11" s="75"/>
      <c r="I11" s="91">
        <f t="shared" si="15"/>
        <v>0</v>
      </c>
      <c r="J11" s="76"/>
      <c r="K11" s="75"/>
      <c r="L11" s="91">
        <f t="shared" si="16"/>
        <v>0</v>
      </c>
      <c r="M11" s="75"/>
      <c r="N11" s="75"/>
      <c r="O11" s="91">
        <f t="shared" si="17"/>
        <v>0</v>
      </c>
      <c r="P11" s="75"/>
      <c r="Q11" s="75"/>
      <c r="R11" s="91">
        <f t="shared" si="18"/>
        <v>0</v>
      </c>
      <c r="S11" s="75"/>
      <c r="T11" s="75"/>
      <c r="U11" s="91">
        <f t="shared" si="19"/>
        <v>0</v>
      </c>
      <c r="V11" s="75"/>
      <c r="W11" s="75"/>
      <c r="X11" s="91">
        <f t="shared" si="20"/>
        <v>0</v>
      </c>
      <c r="Y11" s="91"/>
      <c r="Z11" s="91"/>
      <c r="AA11" s="91"/>
      <c r="AB11" s="91">
        <f t="shared" si="21"/>
        <v>0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2"/>
        <v>0</v>
      </c>
      <c r="AQ11" s="77"/>
      <c r="AR11" s="77"/>
      <c r="AS11" s="77"/>
      <c r="AT11" s="44">
        <f t="shared" si="23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4"/>
        <v>0</v>
      </c>
      <c r="BB11" s="5">
        <f t="shared" si="25"/>
        <v>0</v>
      </c>
      <c r="BC11" s="5">
        <f t="shared" si="26"/>
        <v>0</v>
      </c>
      <c r="BD11" s="5">
        <f t="shared" si="54"/>
        <v>0</v>
      </c>
      <c r="BE11" s="5">
        <f t="shared" si="27"/>
        <v>0</v>
      </c>
      <c r="BF11" s="5">
        <f t="shared" si="28"/>
        <v>0</v>
      </c>
      <c r="BG11" s="5">
        <f t="shared" si="29"/>
        <v>0</v>
      </c>
      <c r="BH11" s="5">
        <f t="shared" si="30"/>
        <v>0</v>
      </c>
      <c r="BI11" s="5">
        <f t="shared" si="31"/>
        <v>0</v>
      </c>
      <c r="BJ11" s="5">
        <f t="shared" si="32"/>
        <v>0</v>
      </c>
      <c r="BK11" s="5">
        <f t="shared" si="33"/>
        <v>0</v>
      </c>
      <c r="BL11" s="5">
        <f t="shared" si="34"/>
        <v>0</v>
      </c>
      <c r="BM11" s="5">
        <f t="shared" si="35"/>
        <v>0</v>
      </c>
      <c r="BN11" s="5">
        <f t="shared" si="36"/>
        <v>0</v>
      </c>
      <c r="BO11" s="5">
        <f t="shared" si="37"/>
        <v>0</v>
      </c>
      <c r="BP11" s="5">
        <f t="shared" si="38"/>
        <v>0</v>
      </c>
      <c r="BQ11" s="5">
        <f t="shared" si="39"/>
        <v>0</v>
      </c>
      <c r="BR11" s="5">
        <f t="shared" si="40"/>
        <v>0</v>
      </c>
      <c r="BS11" s="5">
        <f t="shared" si="41"/>
        <v>0</v>
      </c>
      <c r="BT11" s="5">
        <f t="shared" si="42"/>
        <v>0</v>
      </c>
      <c r="BU11" s="5">
        <f t="shared" si="43"/>
        <v>0</v>
      </c>
      <c r="BV11" s="5">
        <f t="shared" si="44"/>
        <v>0</v>
      </c>
      <c r="BW11" s="5">
        <f t="shared" si="45"/>
        <v>0</v>
      </c>
      <c r="BX11" s="5">
        <f t="shared" si="46"/>
        <v>0</v>
      </c>
      <c r="BY11" s="5">
        <f t="shared" si="11"/>
        <v>0</v>
      </c>
      <c r="BZ11" s="5">
        <f t="shared" si="55"/>
        <v>0</v>
      </c>
      <c r="CA11" s="5">
        <f t="shared" si="47"/>
        <v>0</v>
      </c>
      <c r="CB11" s="5">
        <f t="shared" si="48"/>
        <v>0</v>
      </c>
      <c r="CC11" s="5">
        <f t="shared" si="56"/>
        <v>0</v>
      </c>
      <c r="CD11" s="5">
        <f t="shared" si="57"/>
        <v>0</v>
      </c>
      <c r="CE11" s="5">
        <f t="shared" si="49"/>
        <v>0</v>
      </c>
      <c r="CF11" s="5">
        <f t="shared" si="50"/>
        <v>0</v>
      </c>
      <c r="CG11" s="5">
        <f t="shared" si="51"/>
        <v>0</v>
      </c>
      <c r="CH11" s="5">
        <f t="shared" si="52"/>
        <v>0</v>
      </c>
      <c r="CI11" s="5">
        <f t="shared" si="53"/>
        <v>0</v>
      </c>
      <c r="CJ11" s="5"/>
      <c r="CK11" s="4">
        <f t="shared" si="13"/>
        <v>0</v>
      </c>
    </row>
    <row r="12" spans="1:89" ht="38" customHeight="1">
      <c r="A12" s="74" t="str">
        <f t="shared" si="0"/>
        <v/>
      </c>
      <c r="B12" s="73"/>
      <c r="C12" s="99"/>
      <c r="D12" s="75"/>
      <c r="E12" s="75"/>
      <c r="F12" s="91">
        <f t="shared" si="14"/>
        <v>0</v>
      </c>
      <c r="G12" s="75"/>
      <c r="H12" s="75"/>
      <c r="I12" s="91">
        <f t="shared" si="15"/>
        <v>0</v>
      </c>
      <c r="J12" s="76"/>
      <c r="K12" s="75"/>
      <c r="L12" s="91">
        <f t="shared" si="16"/>
        <v>0</v>
      </c>
      <c r="M12" s="75"/>
      <c r="N12" s="75"/>
      <c r="O12" s="91">
        <f t="shared" si="17"/>
        <v>0</v>
      </c>
      <c r="P12" s="75"/>
      <c r="Q12" s="75"/>
      <c r="R12" s="91">
        <f t="shared" si="18"/>
        <v>0</v>
      </c>
      <c r="S12" s="75"/>
      <c r="T12" s="75"/>
      <c r="U12" s="91">
        <f t="shared" si="19"/>
        <v>0</v>
      </c>
      <c r="V12" s="75"/>
      <c r="W12" s="75"/>
      <c r="X12" s="91">
        <f t="shared" si="20"/>
        <v>0</v>
      </c>
      <c r="Y12" s="91"/>
      <c r="Z12" s="91"/>
      <c r="AA12" s="91"/>
      <c r="AB12" s="91">
        <f t="shared" si="21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2"/>
        <v>0</v>
      </c>
      <c r="AQ12" s="77"/>
      <c r="AR12" s="77"/>
      <c r="AS12" s="77"/>
      <c r="AT12" s="44">
        <f t="shared" si="23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4"/>
        <v>0</v>
      </c>
      <c r="BB12" s="5">
        <f t="shared" si="25"/>
        <v>0</v>
      </c>
      <c r="BC12" s="5">
        <f t="shared" si="26"/>
        <v>0</v>
      </c>
      <c r="BD12" s="5">
        <f t="shared" si="54"/>
        <v>0</v>
      </c>
      <c r="BE12" s="5">
        <f t="shared" si="27"/>
        <v>0</v>
      </c>
      <c r="BF12" s="5">
        <f t="shared" si="28"/>
        <v>0</v>
      </c>
      <c r="BG12" s="5">
        <f t="shared" si="29"/>
        <v>0</v>
      </c>
      <c r="BH12" s="5">
        <f t="shared" si="30"/>
        <v>0</v>
      </c>
      <c r="BI12" s="5">
        <f t="shared" si="31"/>
        <v>0</v>
      </c>
      <c r="BJ12" s="5">
        <f t="shared" si="32"/>
        <v>0</v>
      </c>
      <c r="BK12" s="5">
        <f t="shared" si="33"/>
        <v>0</v>
      </c>
      <c r="BL12" s="5">
        <f t="shared" si="34"/>
        <v>0</v>
      </c>
      <c r="BM12" s="5">
        <f t="shared" si="35"/>
        <v>0</v>
      </c>
      <c r="BN12" s="5">
        <f t="shared" si="36"/>
        <v>0</v>
      </c>
      <c r="BO12" s="5">
        <f t="shared" si="37"/>
        <v>0</v>
      </c>
      <c r="BP12" s="5">
        <f t="shared" si="38"/>
        <v>0</v>
      </c>
      <c r="BQ12" s="5">
        <f t="shared" si="39"/>
        <v>0</v>
      </c>
      <c r="BR12" s="5">
        <f t="shared" si="40"/>
        <v>0</v>
      </c>
      <c r="BS12" s="5">
        <f t="shared" si="41"/>
        <v>0</v>
      </c>
      <c r="BT12" s="5">
        <f t="shared" si="42"/>
        <v>0</v>
      </c>
      <c r="BU12" s="5">
        <f t="shared" si="43"/>
        <v>0</v>
      </c>
      <c r="BV12" s="5">
        <f t="shared" si="44"/>
        <v>0</v>
      </c>
      <c r="BW12" s="5">
        <f t="shared" si="45"/>
        <v>0</v>
      </c>
      <c r="BX12" s="5">
        <f t="shared" si="46"/>
        <v>0</v>
      </c>
      <c r="BY12" s="5">
        <f t="shared" si="11"/>
        <v>0</v>
      </c>
      <c r="BZ12" s="5">
        <f t="shared" si="55"/>
        <v>0</v>
      </c>
      <c r="CA12" s="5">
        <f t="shared" si="47"/>
        <v>0</v>
      </c>
      <c r="CB12" s="5">
        <f t="shared" si="48"/>
        <v>0</v>
      </c>
      <c r="CC12" s="5">
        <f t="shared" si="56"/>
        <v>0</v>
      </c>
      <c r="CD12" s="5">
        <f t="shared" si="57"/>
        <v>0</v>
      </c>
      <c r="CE12" s="5">
        <f t="shared" si="49"/>
        <v>0</v>
      </c>
      <c r="CF12" s="5">
        <f t="shared" si="50"/>
        <v>0</v>
      </c>
      <c r="CG12" s="5">
        <f t="shared" si="51"/>
        <v>0</v>
      </c>
      <c r="CH12" s="5">
        <f t="shared" si="52"/>
        <v>0</v>
      </c>
      <c r="CI12" s="5">
        <f t="shared" si="53"/>
        <v>0</v>
      </c>
      <c r="CJ12" s="5"/>
      <c r="CK12" s="4">
        <f t="shared" si="13"/>
        <v>0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4"/>
        <v>0</v>
      </c>
      <c r="G13" s="75"/>
      <c r="H13" s="75"/>
      <c r="I13" s="91">
        <f t="shared" si="15"/>
        <v>0</v>
      </c>
      <c r="J13" s="84"/>
      <c r="K13" s="84"/>
      <c r="L13" s="91">
        <f t="shared" si="16"/>
        <v>0</v>
      </c>
      <c r="M13" s="75"/>
      <c r="N13" s="75"/>
      <c r="O13" s="91">
        <f t="shared" si="17"/>
        <v>0</v>
      </c>
      <c r="P13" s="75"/>
      <c r="Q13" s="75"/>
      <c r="R13" s="91">
        <f t="shared" si="18"/>
        <v>0</v>
      </c>
      <c r="S13" s="75"/>
      <c r="T13" s="75"/>
      <c r="U13" s="91">
        <f t="shared" si="19"/>
        <v>0</v>
      </c>
      <c r="V13" s="75"/>
      <c r="W13" s="75"/>
      <c r="X13" s="91">
        <f t="shared" si="20"/>
        <v>0</v>
      </c>
      <c r="Y13" s="91"/>
      <c r="Z13" s="91"/>
      <c r="AA13" s="91"/>
      <c r="AB13" s="91">
        <f t="shared" si="21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2"/>
        <v>0</v>
      </c>
      <c r="AQ13" s="77"/>
      <c r="AR13" s="77"/>
      <c r="AS13" s="77"/>
      <c r="AT13" s="44">
        <f t="shared" si="23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4"/>
        <v>0</v>
      </c>
      <c r="BB13" s="5">
        <f t="shared" si="25"/>
        <v>0</v>
      </c>
      <c r="BC13" s="5">
        <f t="shared" si="26"/>
        <v>0</v>
      </c>
      <c r="BD13" s="5">
        <f t="shared" si="54"/>
        <v>0</v>
      </c>
      <c r="BE13" s="5">
        <f t="shared" si="27"/>
        <v>0</v>
      </c>
      <c r="BF13" s="5">
        <f t="shared" si="28"/>
        <v>0</v>
      </c>
      <c r="BG13" s="5">
        <f t="shared" si="29"/>
        <v>0</v>
      </c>
      <c r="BH13" s="5">
        <f t="shared" si="30"/>
        <v>0</v>
      </c>
      <c r="BI13" s="5">
        <f t="shared" si="31"/>
        <v>0</v>
      </c>
      <c r="BJ13" s="5">
        <f t="shared" si="32"/>
        <v>0</v>
      </c>
      <c r="BK13" s="5">
        <f t="shared" si="33"/>
        <v>0</v>
      </c>
      <c r="BL13" s="5">
        <f t="shared" si="34"/>
        <v>0</v>
      </c>
      <c r="BM13" s="5">
        <f t="shared" si="35"/>
        <v>0</v>
      </c>
      <c r="BN13" s="5">
        <f t="shared" si="36"/>
        <v>0</v>
      </c>
      <c r="BO13" s="5">
        <f t="shared" si="37"/>
        <v>0</v>
      </c>
      <c r="BP13" s="5">
        <f t="shared" si="38"/>
        <v>0</v>
      </c>
      <c r="BQ13" s="5">
        <f t="shared" si="39"/>
        <v>0</v>
      </c>
      <c r="BR13" s="5">
        <f t="shared" si="40"/>
        <v>0</v>
      </c>
      <c r="BS13" s="5">
        <f t="shared" si="41"/>
        <v>0</v>
      </c>
      <c r="BT13" s="5">
        <f t="shared" si="42"/>
        <v>0</v>
      </c>
      <c r="BU13" s="5">
        <f t="shared" si="43"/>
        <v>0</v>
      </c>
      <c r="BV13" s="5">
        <f t="shared" si="44"/>
        <v>0</v>
      </c>
      <c r="BW13" s="5">
        <f t="shared" si="45"/>
        <v>0</v>
      </c>
      <c r="BX13" s="5">
        <f t="shared" si="46"/>
        <v>0</v>
      </c>
      <c r="BY13" s="5">
        <f t="shared" si="11"/>
        <v>0</v>
      </c>
      <c r="BZ13" s="5">
        <f t="shared" si="55"/>
        <v>0</v>
      </c>
      <c r="CA13" s="5">
        <f t="shared" si="47"/>
        <v>0</v>
      </c>
      <c r="CB13" s="5">
        <f t="shared" si="48"/>
        <v>0</v>
      </c>
      <c r="CC13" s="5">
        <f t="shared" si="56"/>
        <v>0</v>
      </c>
      <c r="CD13" s="5">
        <f t="shared" si="57"/>
        <v>0</v>
      </c>
      <c r="CE13" s="5">
        <f t="shared" si="49"/>
        <v>0</v>
      </c>
      <c r="CF13" s="5">
        <f t="shared" si="50"/>
        <v>0</v>
      </c>
      <c r="CG13" s="5">
        <f t="shared" si="51"/>
        <v>0</v>
      </c>
      <c r="CH13" s="5">
        <f t="shared" si="52"/>
        <v>0</v>
      </c>
      <c r="CI13" s="5">
        <f t="shared" si="53"/>
        <v>0</v>
      </c>
      <c r="CJ13" s="5"/>
      <c r="CK13" s="4">
        <f t="shared" si="13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4"/>
        <v>0</v>
      </c>
      <c r="G14" s="75"/>
      <c r="H14" s="75"/>
      <c r="I14" s="91">
        <f t="shared" si="15"/>
        <v>0</v>
      </c>
      <c r="J14" s="75"/>
      <c r="K14" s="75"/>
      <c r="L14" s="91">
        <f t="shared" si="16"/>
        <v>0</v>
      </c>
      <c r="M14" s="75"/>
      <c r="N14" s="75"/>
      <c r="O14" s="91">
        <f t="shared" si="17"/>
        <v>0</v>
      </c>
      <c r="P14" s="75"/>
      <c r="Q14" s="75"/>
      <c r="R14" s="91">
        <f t="shared" si="18"/>
        <v>0</v>
      </c>
      <c r="S14" s="75"/>
      <c r="T14" s="75"/>
      <c r="U14" s="91">
        <f t="shared" si="19"/>
        <v>0</v>
      </c>
      <c r="V14" s="75"/>
      <c r="W14" s="75"/>
      <c r="X14" s="91">
        <f t="shared" si="20"/>
        <v>0</v>
      </c>
      <c r="Y14" s="91"/>
      <c r="Z14" s="91"/>
      <c r="AA14" s="91"/>
      <c r="AB14" s="91">
        <f t="shared" si="21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2"/>
        <v>0</v>
      </c>
      <c r="AQ14" s="77"/>
      <c r="AR14" s="77"/>
      <c r="AS14" s="77"/>
      <c r="AT14" s="44">
        <f t="shared" si="23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4"/>
        <v>0</v>
      </c>
      <c r="BB14" s="5">
        <f t="shared" si="25"/>
        <v>0</v>
      </c>
      <c r="BC14" s="5">
        <f t="shared" si="26"/>
        <v>0</v>
      </c>
      <c r="BD14" s="5">
        <f t="shared" si="54"/>
        <v>0</v>
      </c>
      <c r="BE14" s="5">
        <f t="shared" si="27"/>
        <v>0</v>
      </c>
      <c r="BF14" s="5">
        <f t="shared" si="28"/>
        <v>0</v>
      </c>
      <c r="BG14" s="5">
        <f t="shared" si="29"/>
        <v>0</v>
      </c>
      <c r="BH14" s="5">
        <f t="shared" si="30"/>
        <v>0</v>
      </c>
      <c r="BI14" s="5">
        <f t="shared" si="31"/>
        <v>0</v>
      </c>
      <c r="BJ14" s="5">
        <f t="shared" si="32"/>
        <v>0</v>
      </c>
      <c r="BK14" s="5">
        <f t="shared" si="33"/>
        <v>0</v>
      </c>
      <c r="BL14" s="5">
        <f t="shared" si="34"/>
        <v>0</v>
      </c>
      <c r="BM14" s="5">
        <f t="shared" si="35"/>
        <v>0</v>
      </c>
      <c r="BN14" s="5">
        <f t="shared" si="36"/>
        <v>0</v>
      </c>
      <c r="BO14" s="5">
        <f t="shared" si="37"/>
        <v>0</v>
      </c>
      <c r="BP14" s="5">
        <f t="shared" si="38"/>
        <v>0</v>
      </c>
      <c r="BQ14" s="5">
        <f t="shared" si="39"/>
        <v>0</v>
      </c>
      <c r="BR14" s="5">
        <f t="shared" si="40"/>
        <v>0</v>
      </c>
      <c r="BS14" s="5">
        <f t="shared" si="41"/>
        <v>0</v>
      </c>
      <c r="BT14" s="5">
        <f t="shared" si="42"/>
        <v>0</v>
      </c>
      <c r="BU14" s="5">
        <f t="shared" si="43"/>
        <v>0</v>
      </c>
      <c r="BV14" s="5">
        <f t="shared" si="44"/>
        <v>0</v>
      </c>
      <c r="BW14" s="5">
        <f t="shared" si="45"/>
        <v>0</v>
      </c>
      <c r="BX14" s="5">
        <f t="shared" si="46"/>
        <v>0</v>
      </c>
      <c r="BY14" s="5">
        <f t="shared" si="11"/>
        <v>0</v>
      </c>
      <c r="BZ14" s="5">
        <f t="shared" si="55"/>
        <v>0</v>
      </c>
      <c r="CA14" s="5">
        <f t="shared" si="47"/>
        <v>0</v>
      </c>
      <c r="CB14" s="5">
        <f t="shared" si="48"/>
        <v>0</v>
      </c>
      <c r="CC14" s="5">
        <f t="shared" si="56"/>
        <v>0</v>
      </c>
      <c r="CD14" s="5">
        <f t="shared" si="57"/>
        <v>0</v>
      </c>
      <c r="CE14" s="5">
        <f t="shared" si="49"/>
        <v>0</v>
      </c>
      <c r="CF14" s="5">
        <f t="shared" si="50"/>
        <v>0</v>
      </c>
      <c r="CG14" s="5">
        <f t="shared" si="51"/>
        <v>0</v>
      </c>
      <c r="CH14" s="5">
        <f t="shared" si="52"/>
        <v>0</v>
      </c>
      <c r="CI14" s="5">
        <f t="shared" si="53"/>
        <v>0</v>
      </c>
      <c r="CJ14" s="5"/>
      <c r="CK14" s="4">
        <f t="shared" si="13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4"/>
        <v>0</v>
      </c>
      <c r="G15" s="75"/>
      <c r="H15" s="75"/>
      <c r="I15" s="91">
        <f t="shared" si="15"/>
        <v>0</v>
      </c>
      <c r="J15" s="75"/>
      <c r="K15" s="75"/>
      <c r="L15" s="91">
        <f t="shared" si="16"/>
        <v>0</v>
      </c>
      <c r="M15" s="75"/>
      <c r="N15" s="75"/>
      <c r="O15" s="91">
        <f t="shared" si="17"/>
        <v>0</v>
      </c>
      <c r="P15" s="75"/>
      <c r="Q15" s="75"/>
      <c r="R15" s="91">
        <f t="shared" si="18"/>
        <v>0</v>
      </c>
      <c r="S15" s="75"/>
      <c r="T15" s="75"/>
      <c r="U15" s="91">
        <f t="shared" si="19"/>
        <v>0</v>
      </c>
      <c r="V15" s="75"/>
      <c r="W15" s="75"/>
      <c r="X15" s="91">
        <f t="shared" si="20"/>
        <v>0</v>
      </c>
      <c r="Y15" s="91"/>
      <c r="Z15" s="91"/>
      <c r="AA15" s="91"/>
      <c r="AB15" s="91">
        <f t="shared" si="21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2"/>
        <v>0</v>
      </c>
      <c r="AQ15" s="77"/>
      <c r="AR15" s="77"/>
      <c r="AS15" s="77"/>
      <c r="AT15" s="44">
        <f t="shared" si="23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4"/>
        <v>0</v>
      </c>
      <c r="BB15" s="5">
        <f t="shared" si="25"/>
        <v>0</v>
      </c>
      <c r="BC15" s="5">
        <f t="shared" si="26"/>
        <v>0</v>
      </c>
      <c r="BD15" s="5">
        <f t="shared" si="54"/>
        <v>0</v>
      </c>
      <c r="BE15" s="5">
        <f t="shared" si="27"/>
        <v>0</v>
      </c>
      <c r="BF15" s="5">
        <f t="shared" si="28"/>
        <v>0</v>
      </c>
      <c r="BG15" s="5">
        <f t="shared" si="29"/>
        <v>0</v>
      </c>
      <c r="BH15" s="5">
        <f t="shared" si="30"/>
        <v>0</v>
      </c>
      <c r="BI15" s="5">
        <f t="shared" si="31"/>
        <v>0</v>
      </c>
      <c r="BJ15" s="5">
        <f t="shared" si="32"/>
        <v>0</v>
      </c>
      <c r="BK15" s="5">
        <f t="shared" si="33"/>
        <v>0</v>
      </c>
      <c r="BL15" s="5">
        <f t="shared" si="34"/>
        <v>0</v>
      </c>
      <c r="BM15" s="5">
        <f t="shared" si="35"/>
        <v>0</v>
      </c>
      <c r="BN15" s="5">
        <f t="shared" si="36"/>
        <v>0</v>
      </c>
      <c r="BO15" s="5">
        <f t="shared" si="37"/>
        <v>0</v>
      </c>
      <c r="BP15" s="5">
        <f t="shared" si="38"/>
        <v>0</v>
      </c>
      <c r="BQ15" s="5">
        <f t="shared" si="39"/>
        <v>0</v>
      </c>
      <c r="BR15" s="5">
        <f t="shared" si="40"/>
        <v>0</v>
      </c>
      <c r="BS15" s="5">
        <f t="shared" si="41"/>
        <v>0</v>
      </c>
      <c r="BT15" s="5">
        <f t="shared" si="42"/>
        <v>0</v>
      </c>
      <c r="BU15" s="5">
        <f t="shared" si="43"/>
        <v>0</v>
      </c>
      <c r="BV15" s="5">
        <f t="shared" si="44"/>
        <v>0</v>
      </c>
      <c r="BW15" s="5">
        <f t="shared" si="45"/>
        <v>0</v>
      </c>
      <c r="BX15" s="5">
        <f t="shared" si="46"/>
        <v>0</v>
      </c>
      <c r="BY15" s="5">
        <f t="shared" si="11"/>
        <v>0</v>
      </c>
      <c r="BZ15" s="5">
        <f t="shared" si="55"/>
        <v>0</v>
      </c>
      <c r="CA15" s="5">
        <f t="shared" si="47"/>
        <v>0</v>
      </c>
      <c r="CB15" s="5">
        <f t="shared" si="48"/>
        <v>0</v>
      </c>
      <c r="CC15" s="5">
        <f t="shared" si="56"/>
        <v>0</v>
      </c>
      <c r="CD15" s="5">
        <f t="shared" si="57"/>
        <v>0</v>
      </c>
      <c r="CE15" s="5">
        <f t="shared" si="49"/>
        <v>0</v>
      </c>
      <c r="CF15" s="5">
        <f t="shared" si="50"/>
        <v>0</v>
      </c>
      <c r="CG15" s="5">
        <f t="shared" si="51"/>
        <v>0</v>
      </c>
      <c r="CH15" s="5">
        <f t="shared" si="52"/>
        <v>0</v>
      </c>
      <c r="CI15" s="5">
        <f t="shared" si="53"/>
        <v>0</v>
      </c>
      <c r="CJ15" s="5"/>
      <c r="CK15" s="4">
        <f t="shared" si="13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4"/>
        <v>0</v>
      </c>
      <c r="G16" s="84"/>
      <c r="H16" s="84"/>
      <c r="I16" s="91">
        <f t="shared" si="15"/>
        <v>0</v>
      </c>
      <c r="J16" s="84"/>
      <c r="K16" s="84"/>
      <c r="L16" s="91">
        <f t="shared" si="16"/>
        <v>0</v>
      </c>
      <c r="M16" s="84"/>
      <c r="N16" s="84"/>
      <c r="O16" s="91">
        <f t="shared" si="17"/>
        <v>0</v>
      </c>
      <c r="P16" s="75"/>
      <c r="Q16" s="75"/>
      <c r="R16" s="91">
        <f t="shared" si="18"/>
        <v>0</v>
      </c>
      <c r="S16" s="75"/>
      <c r="T16" s="75"/>
      <c r="U16" s="91">
        <f t="shared" si="19"/>
        <v>0</v>
      </c>
      <c r="V16" s="84"/>
      <c r="W16" s="84"/>
      <c r="X16" s="91">
        <f t="shared" si="20"/>
        <v>0</v>
      </c>
      <c r="Y16" s="91"/>
      <c r="Z16" s="91"/>
      <c r="AA16" s="91"/>
      <c r="AB16" s="91">
        <f t="shared" si="21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2"/>
        <v>0</v>
      </c>
      <c r="AQ16" s="77"/>
      <c r="AR16" s="77"/>
      <c r="AS16" s="77"/>
      <c r="AT16" s="44">
        <f t="shared" si="23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4"/>
        <v>0</v>
      </c>
      <c r="BB16" s="5">
        <f t="shared" si="25"/>
        <v>0</v>
      </c>
      <c r="BC16" s="5">
        <f t="shared" si="26"/>
        <v>0</v>
      </c>
      <c r="BD16" s="5">
        <f t="shared" si="54"/>
        <v>0</v>
      </c>
      <c r="BE16" s="5">
        <f t="shared" si="27"/>
        <v>0</v>
      </c>
      <c r="BF16" s="5">
        <f t="shared" si="28"/>
        <v>0</v>
      </c>
      <c r="BG16" s="5">
        <f t="shared" si="29"/>
        <v>0</v>
      </c>
      <c r="BH16" s="5">
        <f t="shared" si="30"/>
        <v>0</v>
      </c>
      <c r="BI16" s="5">
        <f t="shared" si="31"/>
        <v>0</v>
      </c>
      <c r="BJ16" s="5">
        <f t="shared" si="32"/>
        <v>0</v>
      </c>
      <c r="BK16" s="5">
        <f t="shared" si="33"/>
        <v>0</v>
      </c>
      <c r="BL16" s="5">
        <f t="shared" si="34"/>
        <v>0</v>
      </c>
      <c r="BM16" s="5">
        <f t="shared" si="35"/>
        <v>0</v>
      </c>
      <c r="BN16" s="5">
        <f t="shared" si="36"/>
        <v>0</v>
      </c>
      <c r="BO16" s="5">
        <f t="shared" si="37"/>
        <v>0</v>
      </c>
      <c r="BP16" s="5">
        <f t="shared" si="38"/>
        <v>0</v>
      </c>
      <c r="BQ16" s="5">
        <f t="shared" si="39"/>
        <v>0</v>
      </c>
      <c r="BR16" s="5">
        <f t="shared" si="40"/>
        <v>0</v>
      </c>
      <c r="BS16" s="5">
        <f t="shared" si="41"/>
        <v>0</v>
      </c>
      <c r="BT16" s="5">
        <f t="shared" si="42"/>
        <v>0</v>
      </c>
      <c r="BU16" s="5">
        <f t="shared" si="43"/>
        <v>0</v>
      </c>
      <c r="BV16" s="5">
        <f t="shared" si="44"/>
        <v>0</v>
      </c>
      <c r="BW16" s="5">
        <f t="shared" si="45"/>
        <v>0</v>
      </c>
      <c r="BX16" s="5">
        <f t="shared" si="46"/>
        <v>0</v>
      </c>
      <c r="BY16" s="5">
        <f t="shared" si="11"/>
        <v>0</v>
      </c>
      <c r="BZ16" s="5">
        <f t="shared" si="55"/>
        <v>0</v>
      </c>
      <c r="CA16" s="5">
        <f t="shared" si="47"/>
        <v>0</v>
      </c>
      <c r="CB16" s="5">
        <f t="shared" si="48"/>
        <v>0</v>
      </c>
      <c r="CC16" s="5">
        <f t="shared" si="56"/>
        <v>0</v>
      </c>
      <c r="CD16" s="5">
        <f t="shared" si="57"/>
        <v>0</v>
      </c>
      <c r="CE16" s="5">
        <f t="shared" si="49"/>
        <v>0</v>
      </c>
      <c r="CF16" s="5">
        <f t="shared" si="50"/>
        <v>0</v>
      </c>
      <c r="CG16" s="5">
        <f t="shared" si="51"/>
        <v>0</v>
      </c>
      <c r="CH16" s="5">
        <f t="shared" si="52"/>
        <v>0</v>
      </c>
      <c r="CI16" s="5">
        <f t="shared" si="53"/>
        <v>0</v>
      </c>
      <c r="CJ16" s="5"/>
      <c r="CK16" s="4">
        <f t="shared" si="13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4"/>
        <v>0</v>
      </c>
      <c r="G17" s="75"/>
      <c r="H17" s="75"/>
      <c r="I17" s="91">
        <f t="shared" si="15"/>
        <v>0</v>
      </c>
      <c r="J17" s="75"/>
      <c r="K17" s="75"/>
      <c r="L17" s="91">
        <f t="shared" si="16"/>
        <v>0</v>
      </c>
      <c r="M17" s="75"/>
      <c r="N17" s="75"/>
      <c r="O17" s="91">
        <f t="shared" si="17"/>
        <v>0</v>
      </c>
      <c r="P17" s="75"/>
      <c r="Q17" s="75"/>
      <c r="R17" s="91">
        <f t="shared" si="18"/>
        <v>0</v>
      </c>
      <c r="S17" s="84"/>
      <c r="T17" s="84"/>
      <c r="U17" s="91">
        <f t="shared" si="19"/>
        <v>0</v>
      </c>
      <c r="V17" s="75"/>
      <c r="W17" s="75"/>
      <c r="X17" s="91">
        <f t="shared" si="20"/>
        <v>0</v>
      </c>
      <c r="Y17" s="91"/>
      <c r="Z17" s="91"/>
      <c r="AA17" s="91"/>
      <c r="AB17" s="91">
        <f t="shared" si="21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2"/>
        <v>0</v>
      </c>
      <c r="AQ17" s="77"/>
      <c r="AR17" s="77"/>
      <c r="AS17" s="77"/>
      <c r="AT17" s="44">
        <f t="shared" si="23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4"/>
        <v>0</v>
      </c>
      <c r="BB17" s="5">
        <f t="shared" si="25"/>
        <v>0</v>
      </c>
      <c r="BC17" s="5">
        <f t="shared" si="26"/>
        <v>0</v>
      </c>
      <c r="BD17" s="5">
        <f t="shared" si="54"/>
        <v>0</v>
      </c>
      <c r="BE17" s="5">
        <f t="shared" si="27"/>
        <v>0</v>
      </c>
      <c r="BF17" s="5">
        <f t="shared" si="28"/>
        <v>0</v>
      </c>
      <c r="BG17" s="5">
        <f t="shared" si="29"/>
        <v>0</v>
      </c>
      <c r="BH17" s="5">
        <f t="shared" si="30"/>
        <v>0</v>
      </c>
      <c r="BI17" s="5">
        <f t="shared" si="31"/>
        <v>0</v>
      </c>
      <c r="BJ17" s="5">
        <f t="shared" si="32"/>
        <v>0</v>
      </c>
      <c r="BK17" s="5">
        <f t="shared" si="33"/>
        <v>0</v>
      </c>
      <c r="BL17" s="5">
        <f t="shared" si="34"/>
        <v>0</v>
      </c>
      <c r="BM17" s="5">
        <f t="shared" si="35"/>
        <v>0</v>
      </c>
      <c r="BN17" s="5">
        <f t="shared" si="36"/>
        <v>0</v>
      </c>
      <c r="BO17" s="5">
        <f t="shared" si="37"/>
        <v>0</v>
      </c>
      <c r="BP17" s="5">
        <f t="shared" si="38"/>
        <v>0</v>
      </c>
      <c r="BQ17" s="5">
        <f t="shared" si="39"/>
        <v>0</v>
      </c>
      <c r="BR17" s="5">
        <f t="shared" si="40"/>
        <v>0</v>
      </c>
      <c r="BS17" s="5">
        <f t="shared" si="41"/>
        <v>0</v>
      </c>
      <c r="BT17" s="5">
        <f t="shared" si="42"/>
        <v>0</v>
      </c>
      <c r="BU17" s="5">
        <f t="shared" si="43"/>
        <v>0</v>
      </c>
      <c r="BV17" s="5">
        <f t="shared" si="44"/>
        <v>0</v>
      </c>
      <c r="BW17" s="5">
        <f t="shared" si="45"/>
        <v>0</v>
      </c>
      <c r="BX17" s="5">
        <f t="shared" si="46"/>
        <v>0</v>
      </c>
      <c r="BY17" s="5">
        <f t="shared" si="11"/>
        <v>0</v>
      </c>
      <c r="BZ17" s="5">
        <f t="shared" si="55"/>
        <v>0</v>
      </c>
      <c r="CA17" s="5">
        <f t="shared" si="47"/>
        <v>0</v>
      </c>
      <c r="CB17" s="5">
        <f t="shared" si="48"/>
        <v>0</v>
      </c>
      <c r="CC17" s="5">
        <f t="shared" si="56"/>
        <v>0</v>
      </c>
      <c r="CD17" s="5">
        <f t="shared" si="57"/>
        <v>0</v>
      </c>
      <c r="CE17" s="5">
        <f t="shared" si="49"/>
        <v>0</v>
      </c>
      <c r="CF17" s="5">
        <f t="shared" si="50"/>
        <v>0</v>
      </c>
      <c r="CG17" s="5">
        <f t="shared" si="51"/>
        <v>0</v>
      </c>
      <c r="CH17" s="5">
        <f t="shared" si="52"/>
        <v>0</v>
      </c>
      <c r="CI17" s="5">
        <f t="shared" si="53"/>
        <v>0</v>
      </c>
      <c r="CJ17" s="5"/>
      <c r="CK17" s="4">
        <f t="shared" si="13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4"/>
        <v>0</v>
      </c>
      <c r="G18" s="75"/>
      <c r="H18" s="75"/>
      <c r="I18" s="91">
        <f t="shared" si="15"/>
        <v>0</v>
      </c>
      <c r="J18" s="75"/>
      <c r="K18" s="75"/>
      <c r="L18" s="91">
        <f t="shared" si="16"/>
        <v>0</v>
      </c>
      <c r="M18" s="75"/>
      <c r="N18" s="75"/>
      <c r="O18" s="91">
        <f t="shared" si="17"/>
        <v>0</v>
      </c>
      <c r="P18" s="75"/>
      <c r="Q18" s="75"/>
      <c r="R18" s="91">
        <f t="shared" si="18"/>
        <v>0</v>
      </c>
      <c r="S18" s="75"/>
      <c r="T18" s="75"/>
      <c r="U18" s="91">
        <f t="shared" si="19"/>
        <v>0</v>
      </c>
      <c r="V18" s="75"/>
      <c r="W18" s="75"/>
      <c r="X18" s="91">
        <f t="shared" si="20"/>
        <v>0</v>
      </c>
      <c r="Y18" s="91"/>
      <c r="Z18" s="91"/>
      <c r="AA18" s="91"/>
      <c r="AB18" s="91">
        <f t="shared" si="21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2"/>
        <v>0</v>
      </c>
      <c r="AQ18" s="77"/>
      <c r="AR18" s="77"/>
      <c r="AS18" s="77"/>
      <c r="AT18" s="44">
        <f t="shared" si="23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4"/>
        <v>0</v>
      </c>
      <c r="BB18" s="5">
        <f t="shared" si="25"/>
        <v>0</v>
      </c>
      <c r="BC18" s="5">
        <f t="shared" si="26"/>
        <v>0</v>
      </c>
      <c r="BD18" s="5">
        <f t="shared" si="54"/>
        <v>0</v>
      </c>
      <c r="BE18" s="5">
        <f t="shared" si="27"/>
        <v>0</v>
      </c>
      <c r="BF18" s="5">
        <f t="shared" si="28"/>
        <v>0</v>
      </c>
      <c r="BG18" s="5">
        <f t="shared" si="29"/>
        <v>0</v>
      </c>
      <c r="BH18" s="5">
        <f t="shared" si="30"/>
        <v>0</v>
      </c>
      <c r="BI18" s="5">
        <f t="shared" si="31"/>
        <v>0</v>
      </c>
      <c r="BJ18" s="5">
        <f t="shared" si="32"/>
        <v>0</v>
      </c>
      <c r="BK18" s="5">
        <f t="shared" si="33"/>
        <v>0</v>
      </c>
      <c r="BL18" s="5">
        <f t="shared" si="34"/>
        <v>0</v>
      </c>
      <c r="BM18" s="5">
        <f t="shared" si="35"/>
        <v>0</v>
      </c>
      <c r="BN18" s="5">
        <f t="shared" si="36"/>
        <v>0</v>
      </c>
      <c r="BO18" s="5">
        <f t="shared" si="37"/>
        <v>0</v>
      </c>
      <c r="BP18" s="5">
        <f t="shared" si="38"/>
        <v>0</v>
      </c>
      <c r="BQ18" s="5">
        <f t="shared" si="39"/>
        <v>0</v>
      </c>
      <c r="BR18" s="5">
        <f t="shared" si="40"/>
        <v>0</v>
      </c>
      <c r="BS18" s="5">
        <f t="shared" si="41"/>
        <v>0</v>
      </c>
      <c r="BT18" s="5">
        <f t="shared" si="42"/>
        <v>0</v>
      </c>
      <c r="BU18" s="5">
        <f t="shared" si="43"/>
        <v>0</v>
      </c>
      <c r="BV18" s="5">
        <f t="shared" si="44"/>
        <v>0</v>
      </c>
      <c r="BW18" s="5">
        <f t="shared" si="45"/>
        <v>0</v>
      </c>
      <c r="BX18" s="5">
        <f t="shared" si="46"/>
        <v>0</v>
      </c>
      <c r="BY18" s="5">
        <f t="shared" si="11"/>
        <v>0</v>
      </c>
      <c r="BZ18" s="5">
        <f t="shared" si="55"/>
        <v>0</v>
      </c>
      <c r="CA18" s="5">
        <f t="shared" si="47"/>
        <v>0</v>
      </c>
      <c r="CB18" s="5">
        <f t="shared" si="48"/>
        <v>0</v>
      </c>
      <c r="CC18" s="5">
        <f t="shared" si="56"/>
        <v>0</v>
      </c>
      <c r="CD18" s="5">
        <f t="shared" si="57"/>
        <v>0</v>
      </c>
      <c r="CE18" s="5">
        <f t="shared" si="49"/>
        <v>0</v>
      </c>
      <c r="CF18" s="5">
        <f t="shared" si="50"/>
        <v>0</v>
      </c>
      <c r="CG18" s="5">
        <f t="shared" si="51"/>
        <v>0</v>
      </c>
      <c r="CH18" s="5">
        <f t="shared" si="52"/>
        <v>0</v>
      </c>
      <c r="CI18" s="5">
        <f t="shared" si="53"/>
        <v>0</v>
      </c>
      <c r="CJ18" s="5"/>
      <c r="CK18" s="4">
        <f t="shared" si="13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4"/>
        <v>0</v>
      </c>
      <c r="G19" s="75"/>
      <c r="H19" s="75"/>
      <c r="I19" s="91">
        <f t="shared" si="15"/>
        <v>0</v>
      </c>
      <c r="J19" s="75"/>
      <c r="K19" s="75"/>
      <c r="L19" s="91">
        <f t="shared" si="16"/>
        <v>0</v>
      </c>
      <c r="M19" s="75"/>
      <c r="N19" s="75"/>
      <c r="O19" s="91">
        <f t="shared" si="17"/>
        <v>0</v>
      </c>
      <c r="P19" s="75"/>
      <c r="Q19" s="75"/>
      <c r="R19" s="91">
        <f t="shared" si="18"/>
        <v>0</v>
      </c>
      <c r="S19" s="75"/>
      <c r="T19" s="75"/>
      <c r="U19" s="91">
        <f t="shared" si="19"/>
        <v>0</v>
      </c>
      <c r="V19" s="75"/>
      <c r="W19" s="75"/>
      <c r="X19" s="91">
        <f t="shared" si="20"/>
        <v>0</v>
      </c>
      <c r="Y19" s="91"/>
      <c r="Z19" s="91"/>
      <c r="AA19" s="91"/>
      <c r="AB19" s="91">
        <f t="shared" si="21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2"/>
        <v>0</v>
      </c>
      <c r="AQ19" s="77"/>
      <c r="AR19" s="77"/>
      <c r="AS19" s="77"/>
      <c r="AT19" s="44">
        <f t="shared" si="23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4"/>
        <v>0</v>
      </c>
      <c r="BB19" s="5">
        <f t="shared" si="25"/>
        <v>0</v>
      </c>
      <c r="BC19" s="5">
        <f t="shared" si="26"/>
        <v>0</v>
      </c>
      <c r="BD19" s="5">
        <f t="shared" si="54"/>
        <v>0</v>
      </c>
      <c r="BE19" s="5">
        <f t="shared" si="27"/>
        <v>0</v>
      </c>
      <c r="BF19" s="5">
        <f t="shared" si="28"/>
        <v>0</v>
      </c>
      <c r="BG19" s="5">
        <f t="shared" si="29"/>
        <v>0</v>
      </c>
      <c r="BH19" s="5">
        <f t="shared" si="30"/>
        <v>0</v>
      </c>
      <c r="BI19" s="5">
        <f t="shared" si="31"/>
        <v>0</v>
      </c>
      <c r="BJ19" s="5">
        <f t="shared" si="32"/>
        <v>0</v>
      </c>
      <c r="BK19" s="5">
        <f t="shared" si="33"/>
        <v>0</v>
      </c>
      <c r="BL19" s="5">
        <f t="shared" si="34"/>
        <v>0</v>
      </c>
      <c r="BM19" s="5">
        <f t="shared" si="35"/>
        <v>0</v>
      </c>
      <c r="BN19" s="5">
        <f t="shared" si="36"/>
        <v>0</v>
      </c>
      <c r="BO19" s="5">
        <f t="shared" si="37"/>
        <v>0</v>
      </c>
      <c r="BP19" s="5">
        <f t="shared" si="38"/>
        <v>0</v>
      </c>
      <c r="BQ19" s="5">
        <f t="shared" si="39"/>
        <v>0</v>
      </c>
      <c r="BR19" s="5">
        <f t="shared" si="40"/>
        <v>0</v>
      </c>
      <c r="BS19" s="5">
        <f t="shared" si="41"/>
        <v>0</v>
      </c>
      <c r="BT19" s="5">
        <f t="shared" si="42"/>
        <v>0</v>
      </c>
      <c r="BU19" s="5">
        <f t="shared" si="43"/>
        <v>0</v>
      </c>
      <c r="BV19" s="5">
        <f t="shared" si="44"/>
        <v>0</v>
      </c>
      <c r="BW19" s="5">
        <f t="shared" si="45"/>
        <v>0</v>
      </c>
      <c r="BX19" s="5">
        <f t="shared" si="46"/>
        <v>0</v>
      </c>
      <c r="BY19" s="5">
        <f t="shared" si="11"/>
        <v>0</v>
      </c>
      <c r="BZ19" s="5">
        <f t="shared" si="55"/>
        <v>0</v>
      </c>
      <c r="CA19" s="5">
        <f t="shared" si="47"/>
        <v>0</v>
      </c>
      <c r="CB19" s="5">
        <f t="shared" si="48"/>
        <v>0</v>
      </c>
      <c r="CC19" s="5">
        <f t="shared" si="56"/>
        <v>0</v>
      </c>
      <c r="CD19" s="5">
        <f t="shared" si="57"/>
        <v>0</v>
      </c>
      <c r="CE19" s="5">
        <f t="shared" si="49"/>
        <v>0</v>
      </c>
      <c r="CF19" s="5">
        <f t="shared" si="50"/>
        <v>0</v>
      </c>
      <c r="CG19" s="5">
        <f t="shared" si="51"/>
        <v>0</v>
      </c>
      <c r="CH19" s="5">
        <f t="shared" si="52"/>
        <v>0</v>
      </c>
      <c r="CI19" s="5">
        <f t="shared" si="53"/>
        <v>0</v>
      </c>
      <c r="CJ19" s="5"/>
      <c r="CK19" s="4">
        <f t="shared" si="13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4"/>
        <v>0</v>
      </c>
      <c r="G20" s="75"/>
      <c r="H20" s="75"/>
      <c r="I20" s="91">
        <f t="shared" si="15"/>
        <v>0</v>
      </c>
      <c r="J20" s="75"/>
      <c r="K20" s="75"/>
      <c r="L20" s="91">
        <f t="shared" si="16"/>
        <v>0</v>
      </c>
      <c r="M20" s="75"/>
      <c r="N20" s="75"/>
      <c r="O20" s="91">
        <f t="shared" si="17"/>
        <v>0</v>
      </c>
      <c r="P20" s="75"/>
      <c r="Q20" s="75"/>
      <c r="R20" s="91">
        <f t="shared" si="18"/>
        <v>0</v>
      </c>
      <c r="S20" s="75"/>
      <c r="T20" s="75"/>
      <c r="U20" s="91">
        <f t="shared" si="19"/>
        <v>0</v>
      </c>
      <c r="V20" s="75"/>
      <c r="W20" s="75"/>
      <c r="X20" s="91">
        <f t="shared" si="20"/>
        <v>0</v>
      </c>
      <c r="Y20" s="91"/>
      <c r="Z20" s="91"/>
      <c r="AA20" s="91"/>
      <c r="AB20" s="91">
        <f t="shared" si="21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2"/>
        <v>0</v>
      </c>
      <c r="AQ20" s="77"/>
      <c r="AR20" s="77"/>
      <c r="AS20" s="77"/>
      <c r="AT20" s="44">
        <f t="shared" si="23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4"/>
        <v>0</v>
      </c>
      <c r="BB20" s="5">
        <f t="shared" si="25"/>
        <v>0</v>
      </c>
      <c r="BC20" s="5">
        <f t="shared" si="26"/>
        <v>0</v>
      </c>
      <c r="BD20" s="5">
        <f t="shared" si="54"/>
        <v>0</v>
      </c>
      <c r="BE20" s="5">
        <f t="shared" si="27"/>
        <v>0</v>
      </c>
      <c r="BF20" s="5">
        <f t="shared" si="28"/>
        <v>0</v>
      </c>
      <c r="BG20" s="5">
        <f t="shared" si="29"/>
        <v>0</v>
      </c>
      <c r="BH20" s="5">
        <f t="shared" si="30"/>
        <v>0</v>
      </c>
      <c r="BI20" s="5">
        <f t="shared" si="31"/>
        <v>0</v>
      </c>
      <c r="BJ20" s="5">
        <f t="shared" si="32"/>
        <v>0</v>
      </c>
      <c r="BK20" s="5">
        <f t="shared" si="33"/>
        <v>0</v>
      </c>
      <c r="BL20" s="5">
        <f t="shared" si="34"/>
        <v>0</v>
      </c>
      <c r="BM20" s="5">
        <f t="shared" si="35"/>
        <v>0</v>
      </c>
      <c r="BN20" s="5">
        <f t="shared" si="36"/>
        <v>0</v>
      </c>
      <c r="BO20" s="5">
        <f t="shared" si="37"/>
        <v>0</v>
      </c>
      <c r="BP20" s="5">
        <f t="shared" si="38"/>
        <v>0</v>
      </c>
      <c r="BQ20" s="5">
        <f t="shared" si="39"/>
        <v>0</v>
      </c>
      <c r="BR20" s="5">
        <f t="shared" si="40"/>
        <v>0</v>
      </c>
      <c r="BS20" s="5">
        <f t="shared" si="41"/>
        <v>0</v>
      </c>
      <c r="BT20" s="5">
        <f t="shared" si="42"/>
        <v>0</v>
      </c>
      <c r="BU20" s="5">
        <f t="shared" si="43"/>
        <v>0</v>
      </c>
      <c r="BV20" s="5">
        <f t="shared" si="44"/>
        <v>0</v>
      </c>
      <c r="BW20" s="5">
        <f t="shared" si="45"/>
        <v>0</v>
      </c>
      <c r="BX20" s="5">
        <f t="shared" si="46"/>
        <v>0</v>
      </c>
      <c r="BY20" s="5">
        <f t="shared" si="11"/>
        <v>0</v>
      </c>
      <c r="BZ20" s="5">
        <f t="shared" si="55"/>
        <v>0</v>
      </c>
      <c r="CA20" s="5">
        <f t="shared" si="47"/>
        <v>0</v>
      </c>
      <c r="CB20" s="5">
        <f t="shared" si="48"/>
        <v>0</v>
      </c>
      <c r="CC20" s="5">
        <f t="shared" si="56"/>
        <v>0</v>
      </c>
      <c r="CD20" s="5">
        <f t="shared" si="57"/>
        <v>0</v>
      </c>
      <c r="CE20" s="5">
        <f t="shared" si="49"/>
        <v>0</v>
      </c>
      <c r="CF20" s="5">
        <f t="shared" si="50"/>
        <v>0</v>
      </c>
      <c r="CG20" s="5">
        <f t="shared" si="51"/>
        <v>0</v>
      </c>
      <c r="CH20" s="5">
        <f t="shared" si="52"/>
        <v>0</v>
      </c>
      <c r="CI20" s="5">
        <f t="shared" si="53"/>
        <v>0</v>
      </c>
      <c r="CJ20" s="5"/>
      <c r="CK20" s="4">
        <f t="shared" si="13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8">BA21-BB21</f>
        <v>0</v>
      </c>
      <c r="G21" s="75"/>
      <c r="H21" s="75"/>
      <c r="I21" s="91">
        <f t="shared" ref="I21:I29" si="59">BF21-BG21</f>
        <v>0</v>
      </c>
      <c r="J21" s="75"/>
      <c r="K21" s="75"/>
      <c r="L21" s="91">
        <f t="shared" ref="L21:L29" si="60">BK21-BL21</f>
        <v>0</v>
      </c>
      <c r="M21" s="75"/>
      <c r="N21" s="75"/>
      <c r="O21" s="91">
        <f t="shared" ref="O21:O29" si="61">BP21-BQ21</f>
        <v>0</v>
      </c>
      <c r="P21" s="75"/>
      <c r="Q21" s="75"/>
      <c r="R21" s="91">
        <f t="shared" ref="R21:R29" si="62">BU21-BV21</f>
        <v>0</v>
      </c>
      <c r="S21" s="75"/>
      <c r="T21" s="75"/>
      <c r="U21" s="91">
        <f t="shared" ref="U21:U29" si="63">BZ21-CA21</f>
        <v>0</v>
      </c>
      <c r="V21" s="75"/>
      <c r="W21" s="75"/>
      <c r="X21" s="91">
        <f t="shared" ref="X21:X29" si="64">CE21-CF21</f>
        <v>0</v>
      </c>
      <c r="Y21" s="91"/>
      <c r="Z21" s="91"/>
      <c r="AA21" s="91"/>
      <c r="AB21" s="91">
        <f t="shared" ref="AB21:AB29" si="65">SUM(F21,I21,L21,O21,R21,U21,X21)</f>
        <v>0</v>
      </c>
      <c r="AC21" s="92"/>
      <c r="AD21" s="77"/>
      <c r="AE21" s="93">
        <f t="shared" ref="AE21:AE29" si="66">SUMIF($BC$1:$CI$1,AE$1,$BC21:$CI21)+AD21</f>
        <v>0</v>
      </c>
      <c r="AF21" s="77"/>
      <c r="AG21" s="93">
        <f t="shared" ref="AG21:AG29" si="67">SUMIF($BC$1:$CI$1,AG$1,$BC21:$CI21)+AF21</f>
        <v>0</v>
      </c>
      <c r="AH21" s="77"/>
      <c r="AI21" s="93">
        <f t="shared" ref="AI21:AI29" si="68">SUMIF($BC$1:$CI$1,AI$1,$BC21:$CI21)+AH21</f>
        <v>0</v>
      </c>
      <c r="AJ21" s="77"/>
      <c r="AK21" s="93">
        <f t="shared" ref="AK21:AK29" si="69">SUMIF($BC$1:$CI$1,AK$1,$BC21:$CI21)+AJ21</f>
        <v>0</v>
      </c>
      <c r="AL21" s="77"/>
      <c r="AM21" s="93">
        <f t="shared" ref="AM21:AM29" si="70">SUMIF($BC$1:$CI$1,AM$1,$BC21:$CI21)+AL21</f>
        <v>0</v>
      </c>
      <c r="AN21" s="77"/>
      <c r="AO21" s="93">
        <f t="shared" ref="AO21:AO29" si="71">SUMIF($BC$1:$CI$1,AO$1,$BC21:$CI21)+AN21</f>
        <v>0</v>
      </c>
      <c r="AP21" s="94">
        <f t="shared" ref="AP21:AP29" si="72">CK21</f>
        <v>0</v>
      </c>
      <c r="AQ21" s="77"/>
      <c r="AR21" s="77"/>
      <c r="AS21" s="77"/>
      <c r="AT21" s="44">
        <f t="shared" ref="AT21:AT29" si="73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4"/>
        <v>0</v>
      </c>
      <c r="BB21" s="5">
        <f t="shared" si="25"/>
        <v>0</v>
      </c>
      <c r="BC21" s="5">
        <f t="shared" si="26"/>
        <v>0</v>
      </c>
      <c r="BD21" s="5">
        <f t="shared" si="54"/>
        <v>0</v>
      </c>
      <c r="BE21" s="5">
        <f t="shared" si="27"/>
        <v>0</v>
      </c>
      <c r="BF21" s="5">
        <f t="shared" si="28"/>
        <v>0</v>
      </c>
      <c r="BG21" s="5">
        <f t="shared" si="29"/>
        <v>0</v>
      </c>
      <c r="BH21" s="5">
        <f t="shared" si="30"/>
        <v>0</v>
      </c>
      <c r="BI21" s="5">
        <f t="shared" si="31"/>
        <v>0</v>
      </c>
      <c r="BJ21" s="5">
        <f t="shared" si="32"/>
        <v>0</v>
      </c>
      <c r="BK21" s="5">
        <f t="shared" si="33"/>
        <v>0</v>
      </c>
      <c r="BL21" s="5">
        <f t="shared" si="34"/>
        <v>0</v>
      </c>
      <c r="BM21" s="5">
        <f t="shared" si="35"/>
        <v>0</v>
      </c>
      <c r="BN21" s="5">
        <f t="shared" si="36"/>
        <v>0</v>
      </c>
      <c r="BO21" s="5">
        <f t="shared" si="37"/>
        <v>0</v>
      </c>
      <c r="BP21" s="5">
        <f t="shared" si="38"/>
        <v>0</v>
      </c>
      <c r="BQ21" s="5">
        <f t="shared" si="39"/>
        <v>0</v>
      </c>
      <c r="BR21" s="5">
        <f t="shared" si="40"/>
        <v>0</v>
      </c>
      <c r="BS21" s="5">
        <f t="shared" si="41"/>
        <v>0</v>
      </c>
      <c r="BT21" s="5">
        <f t="shared" si="42"/>
        <v>0</v>
      </c>
      <c r="BU21" s="5">
        <f t="shared" si="43"/>
        <v>0</v>
      </c>
      <c r="BV21" s="5">
        <f t="shared" si="44"/>
        <v>0</v>
      </c>
      <c r="BW21" s="5">
        <f t="shared" si="45"/>
        <v>0</v>
      </c>
      <c r="BX21" s="5">
        <f t="shared" si="46"/>
        <v>0</v>
      </c>
      <c r="BY21" s="5">
        <f t="shared" si="11"/>
        <v>0</v>
      </c>
      <c r="BZ21" s="5">
        <f t="shared" si="55"/>
        <v>0</v>
      </c>
      <c r="CA21" s="5">
        <f t="shared" si="47"/>
        <v>0</v>
      </c>
      <c r="CB21" s="5">
        <f t="shared" si="48"/>
        <v>0</v>
      </c>
      <c r="CC21" s="5">
        <f t="shared" si="56"/>
        <v>0</v>
      </c>
      <c r="CD21" s="5">
        <f t="shared" si="57"/>
        <v>0</v>
      </c>
      <c r="CE21" s="5">
        <f t="shared" si="49"/>
        <v>0</v>
      </c>
      <c r="CF21" s="5">
        <f t="shared" si="50"/>
        <v>0</v>
      </c>
      <c r="CG21" s="5">
        <f t="shared" si="51"/>
        <v>0</v>
      </c>
      <c r="CH21" s="5">
        <f t="shared" si="52"/>
        <v>0</v>
      </c>
      <c r="CI21" s="5">
        <f t="shared" si="53"/>
        <v>0</v>
      </c>
      <c r="CJ21" s="5"/>
      <c r="CK21" s="4">
        <f t="shared" si="13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8"/>
        <v>0</v>
      </c>
      <c r="G22" s="75"/>
      <c r="H22" s="75"/>
      <c r="I22" s="91">
        <f t="shared" si="59"/>
        <v>0</v>
      </c>
      <c r="J22" s="75"/>
      <c r="K22" s="75"/>
      <c r="L22" s="91">
        <f t="shared" si="60"/>
        <v>0</v>
      </c>
      <c r="M22" s="75"/>
      <c r="N22" s="75"/>
      <c r="O22" s="91">
        <f t="shared" si="61"/>
        <v>0</v>
      </c>
      <c r="P22" s="75"/>
      <c r="Q22" s="75"/>
      <c r="R22" s="91">
        <f t="shared" si="62"/>
        <v>0</v>
      </c>
      <c r="S22" s="75"/>
      <c r="T22" s="75"/>
      <c r="U22" s="91">
        <f t="shared" si="63"/>
        <v>0</v>
      </c>
      <c r="V22" s="75"/>
      <c r="W22" s="75"/>
      <c r="X22" s="91">
        <f t="shared" si="64"/>
        <v>0</v>
      </c>
      <c r="Y22" s="91"/>
      <c r="Z22" s="91"/>
      <c r="AA22" s="91"/>
      <c r="AB22" s="91">
        <f t="shared" si="65"/>
        <v>0</v>
      </c>
      <c r="AC22" s="92"/>
      <c r="AD22" s="77"/>
      <c r="AE22" s="93">
        <f t="shared" si="66"/>
        <v>0</v>
      </c>
      <c r="AF22" s="77"/>
      <c r="AG22" s="93">
        <f t="shared" si="67"/>
        <v>0</v>
      </c>
      <c r="AH22" s="77"/>
      <c r="AI22" s="93">
        <f t="shared" si="68"/>
        <v>0</v>
      </c>
      <c r="AJ22" s="77"/>
      <c r="AK22" s="93">
        <f t="shared" si="69"/>
        <v>0</v>
      </c>
      <c r="AL22" s="77"/>
      <c r="AM22" s="93">
        <f t="shared" si="70"/>
        <v>0</v>
      </c>
      <c r="AN22" s="77"/>
      <c r="AO22" s="93">
        <f t="shared" si="71"/>
        <v>0</v>
      </c>
      <c r="AP22" s="94">
        <f t="shared" si="72"/>
        <v>0</v>
      </c>
      <c r="AQ22" s="77"/>
      <c r="AR22" s="77"/>
      <c r="AS22" s="77"/>
      <c r="AT22" s="44">
        <f t="shared" si="73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4"/>
        <v>0</v>
      </c>
      <c r="BB22" s="5">
        <f t="shared" si="25"/>
        <v>0</v>
      </c>
      <c r="BC22" s="5">
        <f t="shared" si="26"/>
        <v>0</v>
      </c>
      <c r="BD22" s="5">
        <f t="shared" si="54"/>
        <v>0</v>
      </c>
      <c r="BE22" s="5">
        <f t="shared" si="27"/>
        <v>0</v>
      </c>
      <c r="BF22" s="5">
        <f t="shared" si="28"/>
        <v>0</v>
      </c>
      <c r="BG22" s="5">
        <f t="shared" si="29"/>
        <v>0</v>
      </c>
      <c r="BH22" s="5">
        <f t="shared" si="30"/>
        <v>0</v>
      </c>
      <c r="BI22" s="5">
        <f t="shared" si="31"/>
        <v>0</v>
      </c>
      <c r="BJ22" s="5">
        <f t="shared" si="32"/>
        <v>0</v>
      </c>
      <c r="BK22" s="5">
        <f t="shared" si="33"/>
        <v>0</v>
      </c>
      <c r="BL22" s="5">
        <f t="shared" si="34"/>
        <v>0</v>
      </c>
      <c r="BM22" s="5">
        <f t="shared" si="35"/>
        <v>0</v>
      </c>
      <c r="BN22" s="5">
        <f t="shared" si="36"/>
        <v>0</v>
      </c>
      <c r="BO22" s="5">
        <f t="shared" si="37"/>
        <v>0</v>
      </c>
      <c r="BP22" s="5">
        <f t="shared" si="38"/>
        <v>0</v>
      </c>
      <c r="BQ22" s="5">
        <f t="shared" si="39"/>
        <v>0</v>
      </c>
      <c r="BR22" s="5">
        <f t="shared" si="40"/>
        <v>0</v>
      </c>
      <c r="BS22" s="5">
        <f t="shared" si="41"/>
        <v>0</v>
      </c>
      <c r="BT22" s="5">
        <f t="shared" si="42"/>
        <v>0</v>
      </c>
      <c r="BU22" s="5">
        <f t="shared" si="43"/>
        <v>0</v>
      </c>
      <c r="BV22" s="5">
        <f t="shared" si="44"/>
        <v>0</v>
      </c>
      <c r="BW22" s="5">
        <f t="shared" si="45"/>
        <v>0</v>
      </c>
      <c r="BX22" s="5">
        <f t="shared" si="46"/>
        <v>0</v>
      </c>
      <c r="BY22" s="5">
        <f t="shared" si="11"/>
        <v>0</v>
      </c>
      <c r="BZ22" s="5">
        <f t="shared" si="55"/>
        <v>0</v>
      </c>
      <c r="CA22" s="5">
        <f t="shared" si="47"/>
        <v>0</v>
      </c>
      <c r="CB22" s="5">
        <f t="shared" si="48"/>
        <v>0</v>
      </c>
      <c r="CC22" s="5">
        <f t="shared" si="56"/>
        <v>0</v>
      </c>
      <c r="CD22" s="5">
        <f t="shared" si="57"/>
        <v>0</v>
      </c>
      <c r="CE22" s="5">
        <f t="shared" si="49"/>
        <v>0</v>
      </c>
      <c r="CF22" s="5">
        <f t="shared" si="50"/>
        <v>0</v>
      </c>
      <c r="CG22" s="5">
        <f t="shared" si="51"/>
        <v>0</v>
      </c>
      <c r="CH22" s="5">
        <f t="shared" si="52"/>
        <v>0</v>
      </c>
      <c r="CI22" s="5">
        <f t="shared" si="53"/>
        <v>0</v>
      </c>
      <c r="CJ22" s="5"/>
      <c r="CK22" s="4">
        <f t="shared" si="13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8"/>
        <v>0</v>
      </c>
      <c r="G23" s="75"/>
      <c r="H23" s="75"/>
      <c r="I23" s="91">
        <f t="shared" si="59"/>
        <v>0</v>
      </c>
      <c r="J23" s="76"/>
      <c r="K23" s="75"/>
      <c r="L23" s="91">
        <f t="shared" si="60"/>
        <v>0</v>
      </c>
      <c r="M23" s="75"/>
      <c r="N23" s="75"/>
      <c r="O23" s="91">
        <f t="shared" si="61"/>
        <v>0</v>
      </c>
      <c r="P23" s="75"/>
      <c r="Q23" s="75"/>
      <c r="R23" s="91">
        <f t="shared" si="62"/>
        <v>0</v>
      </c>
      <c r="S23" s="75"/>
      <c r="T23" s="75"/>
      <c r="U23" s="91">
        <f t="shared" si="63"/>
        <v>0</v>
      </c>
      <c r="V23" s="75"/>
      <c r="W23" s="75"/>
      <c r="X23" s="91">
        <f t="shared" si="64"/>
        <v>0</v>
      </c>
      <c r="Y23" s="91"/>
      <c r="Z23" s="91"/>
      <c r="AA23" s="91"/>
      <c r="AB23" s="91">
        <f t="shared" si="65"/>
        <v>0</v>
      </c>
      <c r="AC23" s="92"/>
      <c r="AD23" s="77"/>
      <c r="AE23" s="93">
        <f t="shared" si="66"/>
        <v>0</v>
      </c>
      <c r="AF23" s="77"/>
      <c r="AG23" s="93">
        <f t="shared" si="67"/>
        <v>0</v>
      </c>
      <c r="AH23" s="77"/>
      <c r="AI23" s="93">
        <f t="shared" si="68"/>
        <v>0</v>
      </c>
      <c r="AJ23" s="77"/>
      <c r="AK23" s="93">
        <f t="shared" si="69"/>
        <v>0</v>
      </c>
      <c r="AL23" s="77"/>
      <c r="AM23" s="93">
        <f t="shared" si="70"/>
        <v>0</v>
      </c>
      <c r="AN23" s="77"/>
      <c r="AO23" s="93">
        <f t="shared" si="71"/>
        <v>0</v>
      </c>
      <c r="AP23" s="94">
        <f t="shared" si="72"/>
        <v>0</v>
      </c>
      <c r="AQ23" s="77"/>
      <c r="AR23" s="77"/>
      <c r="AS23" s="77"/>
      <c r="AT23" s="44">
        <f t="shared" si="73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4"/>
        <v>0</v>
      </c>
      <c r="BB23" s="5">
        <f t="shared" si="25"/>
        <v>0</v>
      </c>
      <c r="BC23" s="5">
        <f t="shared" si="26"/>
        <v>0</v>
      </c>
      <c r="BD23" s="5">
        <f t="shared" si="54"/>
        <v>0</v>
      </c>
      <c r="BE23" s="5">
        <f t="shared" si="27"/>
        <v>0</v>
      </c>
      <c r="BF23" s="5">
        <f t="shared" si="28"/>
        <v>0</v>
      </c>
      <c r="BG23" s="5">
        <f t="shared" si="29"/>
        <v>0</v>
      </c>
      <c r="BH23" s="5">
        <f t="shared" si="30"/>
        <v>0</v>
      </c>
      <c r="BI23" s="5">
        <f t="shared" si="31"/>
        <v>0</v>
      </c>
      <c r="BJ23" s="5">
        <f t="shared" si="32"/>
        <v>0</v>
      </c>
      <c r="BK23" s="5">
        <f t="shared" si="33"/>
        <v>0</v>
      </c>
      <c r="BL23" s="5">
        <f t="shared" si="34"/>
        <v>0</v>
      </c>
      <c r="BM23" s="5">
        <f t="shared" si="35"/>
        <v>0</v>
      </c>
      <c r="BN23" s="5">
        <f t="shared" si="36"/>
        <v>0</v>
      </c>
      <c r="BO23" s="5">
        <f t="shared" si="37"/>
        <v>0</v>
      </c>
      <c r="BP23" s="5">
        <f t="shared" si="38"/>
        <v>0</v>
      </c>
      <c r="BQ23" s="5">
        <f t="shared" si="39"/>
        <v>0</v>
      </c>
      <c r="BR23" s="5">
        <f t="shared" si="40"/>
        <v>0</v>
      </c>
      <c r="BS23" s="5">
        <f t="shared" si="41"/>
        <v>0</v>
      </c>
      <c r="BT23" s="5">
        <f t="shared" si="42"/>
        <v>0</v>
      </c>
      <c r="BU23" s="5">
        <f t="shared" si="43"/>
        <v>0</v>
      </c>
      <c r="BV23" s="5">
        <f t="shared" si="44"/>
        <v>0</v>
      </c>
      <c r="BW23" s="5">
        <f t="shared" si="45"/>
        <v>0</v>
      </c>
      <c r="BX23" s="5">
        <f t="shared" si="46"/>
        <v>0</v>
      </c>
      <c r="BY23" s="5">
        <f t="shared" si="11"/>
        <v>0</v>
      </c>
      <c r="BZ23" s="5">
        <f t="shared" si="55"/>
        <v>0</v>
      </c>
      <c r="CA23" s="5">
        <f t="shared" si="47"/>
        <v>0</v>
      </c>
      <c r="CB23" s="5">
        <f t="shared" si="48"/>
        <v>0</v>
      </c>
      <c r="CC23" s="5">
        <f t="shared" si="56"/>
        <v>0</v>
      </c>
      <c r="CD23" s="5">
        <f t="shared" si="57"/>
        <v>0</v>
      </c>
      <c r="CE23" s="5">
        <f t="shared" si="49"/>
        <v>0</v>
      </c>
      <c r="CF23" s="5">
        <f t="shared" si="50"/>
        <v>0</v>
      </c>
      <c r="CG23" s="5">
        <f t="shared" si="51"/>
        <v>0</v>
      </c>
      <c r="CH23" s="5">
        <f t="shared" si="52"/>
        <v>0</v>
      </c>
      <c r="CI23" s="5">
        <f t="shared" si="53"/>
        <v>0</v>
      </c>
      <c r="CJ23" s="5"/>
      <c r="CK23" s="4">
        <f t="shared" si="13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8"/>
        <v>0</v>
      </c>
      <c r="G24" s="75"/>
      <c r="H24" s="75"/>
      <c r="I24" s="91">
        <f t="shared" si="59"/>
        <v>0</v>
      </c>
      <c r="J24" s="76"/>
      <c r="K24" s="75"/>
      <c r="L24" s="91">
        <f t="shared" si="60"/>
        <v>0</v>
      </c>
      <c r="M24" s="75"/>
      <c r="N24" s="75"/>
      <c r="O24" s="91">
        <f t="shared" si="61"/>
        <v>0</v>
      </c>
      <c r="P24" s="75"/>
      <c r="Q24" s="75"/>
      <c r="R24" s="91">
        <f t="shared" si="62"/>
        <v>0</v>
      </c>
      <c r="S24" s="75"/>
      <c r="T24" s="75"/>
      <c r="U24" s="91">
        <f t="shared" si="63"/>
        <v>0</v>
      </c>
      <c r="V24" s="75"/>
      <c r="W24" s="75"/>
      <c r="X24" s="91">
        <f t="shared" si="64"/>
        <v>0</v>
      </c>
      <c r="Y24" s="91"/>
      <c r="Z24" s="91"/>
      <c r="AA24" s="91"/>
      <c r="AB24" s="91">
        <f t="shared" si="65"/>
        <v>0</v>
      </c>
      <c r="AC24" s="92"/>
      <c r="AD24" s="77"/>
      <c r="AE24" s="93">
        <f t="shared" si="66"/>
        <v>0</v>
      </c>
      <c r="AF24" s="77"/>
      <c r="AG24" s="93">
        <f t="shared" si="67"/>
        <v>0</v>
      </c>
      <c r="AH24" s="77"/>
      <c r="AI24" s="93">
        <f t="shared" si="68"/>
        <v>0</v>
      </c>
      <c r="AJ24" s="77"/>
      <c r="AK24" s="93">
        <f t="shared" si="69"/>
        <v>0</v>
      </c>
      <c r="AL24" s="77"/>
      <c r="AM24" s="93">
        <f t="shared" si="70"/>
        <v>0</v>
      </c>
      <c r="AN24" s="77"/>
      <c r="AO24" s="93">
        <f t="shared" si="71"/>
        <v>0</v>
      </c>
      <c r="AP24" s="94">
        <f t="shared" si="72"/>
        <v>0</v>
      </c>
      <c r="AQ24" s="77"/>
      <c r="AR24" s="77"/>
      <c r="AS24" s="77"/>
      <c r="AT24" s="44">
        <f t="shared" si="73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4"/>
        <v>0</v>
      </c>
      <c r="BB24" s="5">
        <f t="shared" si="25"/>
        <v>0</v>
      </c>
      <c r="BC24" s="5">
        <f t="shared" si="26"/>
        <v>0</v>
      </c>
      <c r="BD24" s="5">
        <f t="shared" si="54"/>
        <v>0</v>
      </c>
      <c r="BE24" s="5">
        <f t="shared" si="27"/>
        <v>0</v>
      </c>
      <c r="BF24" s="5">
        <f t="shared" si="28"/>
        <v>0</v>
      </c>
      <c r="BG24" s="5">
        <f t="shared" si="29"/>
        <v>0</v>
      </c>
      <c r="BH24" s="5">
        <f t="shared" si="30"/>
        <v>0</v>
      </c>
      <c r="BI24" s="5">
        <f t="shared" si="31"/>
        <v>0</v>
      </c>
      <c r="BJ24" s="5">
        <f t="shared" si="32"/>
        <v>0</v>
      </c>
      <c r="BK24" s="5">
        <f t="shared" si="33"/>
        <v>0</v>
      </c>
      <c r="BL24" s="5">
        <f t="shared" si="34"/>
        <v>0</v>
      </c>
      <c r="BM24" s="5">
        <f t="shared" si="35"/>
        <v>0</v>
      </c>
      <c r="BN24" s="5">
        <f t="shared" si="36"/>
        <v>0</v>
      </c>
      <c r="BO24" s="5">
        <f t="shared" si="37"/>
        <v>0</v>
      </c>
      <c r="BP24" s="5">
        <f t="shared" si="38"/>
        <v>0</v>
      </c>
      <c r="BQ24" s="5">
        <f t="shared" si="39"/>
        <v>0</v>
      </c>
      <c r="BR24" s="5">
        <f t="shared" si="40"/>
        <v>0</v>
      </c>
      <c r="BS24" s="5">
        <f t="shared" si="41"/>
        <v>0</v>
      </c>
      <c r="BT24" s="5">
        <f t="shared" si="42"/>
        <v>0</v>
      </c>
      <c r="BU24" s="5">
        <f t="shared" si="43"/>
        <v>0</v>
      </c>
      <c r="BV24" s="5">
        <f t="shared" si="44"/>
        <v>0</v>
      </c>
      <c r="BW24" s="5">
        <f t="shared" si="45"/>
        <v>0</v>
      </c>
      <c r="BX24" s="5">
        <f t="shared" si="46"/>
        <v>0</v>
      </c>
      <c r="BY24" s="5">
        <f t="shared" si="11"/>
        <v>0</v>
      </c>
      <c r="BZ24" s="5">
        <f t="shared" si="55"/>
        <v>0</v>
      </c>
      <c r="CA24" s="5">
        <f t="shared" si="47"/>
        <v>0</v>
      </c>
      <c r="CB24" s="5">
        <f t="shared" si="48"/>
        <v>0</v>
      </c>
      <c r="CC24" s="5">
        <f t="shared" si="56"/>
        <v>0</v>
      </c>
      <c r="CD24" s="5">
        <f t="shared" si="57"/>
        <v>0</v>
      </c>
      <c r="CE24" s="5">
        <f t="shared" si="49"/>
        <v>0</v>
      </c>
      <c r="CF24" s="5">
        <f t="shared" si="50"/>
        <v>0</v>
      </c>
      <c r="CG24" s="5">
        <f t="shared" si="51"/>
        <v>0</v>
      </c>
      <c r="CH24" s="5">
        <f t="shared" si="52"/>
        <v>0</v>
      </c>
      <c r="CI24" s="5">
        <f t="shared" si="53"/>
        <v>0</v>
      </c>
      <c r="CJ24" s="5"/>
      <c r="CK24" s="4">
        <f t="shared" si="13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8"/>
        <v>0</v>
      </c>
      <c r="G25" s="75"/>
      <c r="H25" s="75"/>
      <c r="I25" s="91">
        <f t="shared" si="59"/>
        <v>0</v>
      </c>
      <c r="J25" s="76"/>
      <c r="K25" s="75"/>
      <c r="L25" s="91">
        <f t="shared" si="60"/>
        <v>0</v>
      </c>
      <c r="M25" s="75"/>
      <c r="N25" s="75"/>
      <c r="O25" s="91">
        <f t="shared" si="61"/>
        <v>0</v>
      </c>
      <c r="P25" s="75"/>
      <c r="Q25" s="75"/>
      <c r="R25" s="91">
        <f t="shared" si="62"/>
        <v>0</v>
      </c>
      <c r="S25" s="75"/>
      <c r="T25" s="75"/>
      <c r="U25" s="91">
        <f t="shared" si="63"/>
        <v>0</v>
      </c>
      <c r="V25" s="75"/>
      <c r="W25" s="75"/>
      <c r="X25" s="91">
        <f t="shared" si="64"/>
        <v>0</v>
      </c>
      <c r="Y25" s="91"/>
      <c r="Z25" s="91"/>
      <c r="AA25" s="91"/>
      <c r="AB25" s="91">
        <f t="shared" si="65"/>
        <v>0</v>
      </c>
      <c r="AC25" s="92"/>
      <c r="AD25" s="77"/>
      <c r="AE25" s="93">
        <f t="shared" si="66"/>
        <v>0</v>
      </c>
      <c r="AF25" s="77"/>
      <c r="AG25" s="93">
        <f t="shared" si="67"/>
        <v>0</v>
      </c>
      <c r="AH25" s="77"/>
      <c r="AI25" s="93">
        <f t="shared" si="68"/>
        <v>0</v>
      </c>
      <c r="AJ25" s="77"/>
      <c r="AK25" s="93">
        <f t="shared" si="69"/>
        <v>0</v>
      </c>
      <c r="AL25" s="77"/>
      <c r="AM25" s="93">
        <f t="shared" si="70"/>
        <v>0</v>
      </c>
      <c r="AN25" s="77"/>
      <c r="AO25" s="93">
        <f t="shared" si="71"/>
        <v>0</v>
      </c>
      <c r="AP25" s="94">
        <f t="shared" si="72"/>
        <v>0</v>
      </c>
      <c r="AQ25" s="77"/>
      <c r="AR25" s="77"/>
      <c r="AS25" s="77"/>
      <c r="AT25" s="44">
        <f t="shared" si="73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4"/>
        <v>0</v>
      </c>
      <c r="BB25" s="5">
        <f t="shared" si="25"/>
        <v>0</v>
      </c>
      <c r="BC25" s="5">
        <f t="shared" si="26"/>
        <v>0</v>
      </c>
      <c r="BD25" s="5">
        <f t="shared" si="54"/>
        <v>0</v>
      </c>
      <c r="BE25" s="5">
        <f t="shared" si="27"/>
        <v>0</v>
      </c>
      <c r="BF25" s="5">
        <f t="shared" si="28"/>
        <v>0</v>
      </c>
      <c r="BG25" s="5">
        <f t="shared" si="29"/>
        <v>0</v>
      </c>
      <c r="BH25" s="5">
        <f t="shared" si="30"/>
        <v>0</v>
      </c>
      <c r="BI25" s="5">
        <f t="shared" si="31"/>
        <v>0</v>
      </c>
      <c r="BJ25" s="5">
        <f t="shared" si="32"/>
        <v>0</v>
      </c>
      <c r="BK25" s="5">
        <f t="shared" si="33"/>
        <v>0</v>
      </c>
      <c r="BL25" s="5">
        <f t="shared" si="34"/>
        <v>0</v>
      </c>
      <c r="BM25" s="5">
        <f t="shared" si="35"/>
        <v>0</v>
      </c>
      <c r="BN25" s="5">
        <f t="shared" si="36"/>
        <v>0</v>
      </c>
      <c r="BO25" s="5">
        <f t="shared" si="37"/>
        <v>0</v>
      </c>
      <c r="BP25" s="5">
        <f t="shared" si="38"/>
        <v>0</v>
      </c>
      <c r="BQ25" s="5">
        <f t="shared" si="39"/>
        <v>0</v>
      </c>
      <c r="BR25" s="5">
        <f t="shared" si="40"/>
        <v>0</v>
      </c>
      <c r="BS25" s="5">
        <f t="shared" si="41"/>
        <v>0</v>
      </c>
      <c r="BT25" s="5">
        <f t="shared" si="42"/>
        <v>0</v>
      </c>
      <c r="BU25" s="5">
        <f t="shared" si="43"/>
        <v>0</v>
      </c>
      <c r="BV25" s="5">
        <f t="shared" si="44"/>
        <v>0</v>
      </c>
      <c r="BW25" s="5">
        <f t="shared" si="45"/>
        <v>0</v>
      </c>
      <c r="BX25" s="5">
        <f t="shared" si="46"/>
        <v>0</v>
      </c>
      <c r="BY25" s="5">
        <f t="shared" si="11"/>
        <v>0</v>
      </c>
      <c r="BZ25" s="5">
        <f t="shared" si="55"/>
        <v>0</v>
      </c>
      <c r="CA25" s="5">
        <f t="shared" si="47"/>
        <v>0</v>
      </c>
      <c r="CB25" s="5">
        <f t="shared" si="48"/>
        <v>0</v>
      </c>
      <c r="CC25" s="5">
        <f t="shared" si="56"/>
        <v>0</v>
      </c>
      <c r="CD25" s="5">
        <f t="shared" si="57"/>
        <v>0</v>
      </c>
      <c r="CE25" s="5">
        <f t="shared" si="49"/>
        <v>0</v>
      </c>
      <c r="CF25" s="5">
        <f t="shared" si="50"/>
        <v>0</v>
      </c>
      <c r="CG25" s="5">
        <f t="shared" si="51"/>
        <v>0</v>
      </c>
      <c r="CH25" s="5">
        <f t="shared" si="52"/>
        <v>0</v>
      </c>
      <c r="CI25" s="5">
        <f t="shared" si="53"/>
        <v>0</v>
      </c>
      <c r="CJ25" s="5"/>
      <c r="CK25" s="4">
        <f t="shared" si="13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8"/>
        <v>0</v>
      </c>
      <c r="G26" s="75"/>
      <c r="H26" s="75"/>
      <c r="I26" s="91">
        <f t="shared" si="59"/>
        <v>0</v>
      </c>
      <c r="J26" s="76"/>
      <c r="K26" s="75"/>
      <c r="L26" s="91">
        <f t="shared" si="60"/>
        <v>0</v>
      </c>
      <c r="M26" s="75"/>
      <c r="N26" s="75"/>
      <c r="O26" s="91">
        <f t="shared" si="61"/>
        <v>0</v>
      </c>
      <c r="P26" s="75"/>
      <c r="Q26" s="75"/>
      <c r="R26" s="91">
        <f t="shared" si="62"/>
        <v>0</v>
      </c>
      <c r="S26" s="75"/>
      <c r="T26" s="75"/>
      <c r="U26" s="91">
        <f t="shared" si="63"/>
        <v>0</v>
      </c>
      <c r="V26" s="75"/>
      <c r="W26" s="75"/>
      <c r="X26" s="91">
        <f t="shared" si="64"/>
        <v>0</v>
      </c>
      <c r="Y26" s="91"/>
      <c r="Z26" s="91"/>
      <c r="AA26" s="91"/>
      <c r="AB26" s="91">
        <f t="shared" si="65"/>
        <v>0</v>
      </c>
      <c r="AC26" s="92"/>
      <c r="AD26" s="77"/>
      <c r="AE26" s="93">
        <f t="shared" si="66"/>
        <v>0</v>
      </c>
      <c r="AF26" s="77"/>
      <c r="AG26" s="93">
        <f t="shared" si="67"/>
        <v>0</v>
      </c>
      <c r="AH26" s="77"/>
      <c r="AI26" s="93">
        <f t="shared" si="68"/>
        <v>0</v>
      </c>
      <c r="AJ26" s="77"/>
      <c r="AK26" s="93">
        <f t="shared" si="69"/>
        <v>0</v>
      </c>
      <c r="AL26" s="77"/>
      <c r="AM26" s="93">
        <f t="shared" si="70"/>
        <v>0</v>
      </c>
      <c r="AN26" s="77"/>
      <c r="AO26" s="93">
        <f t="shared" si="71"/>
        <v>0</v>
      </c>
      <c r="AP26" s="94">
        <f t="shared" si="72"/>
        <v>0</v>
      </c>
      <c r="AQ26" s="77"/>
      <c r="AR26" s="77"/>
      <c r="AS26" s="77"/>
      <c r="AT26" s="44">
        <f t="shared" si="73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4"/>
        <v>0</v>
      </c>
      <c r="BB26" s="5">
        <f t="shared" si="25"/>
        <v>0</v>
      </c>
      <c r="BC26" s="5">
        <f t="shared" si="26"/>
        <v>0</v>
      </c>
      <c r="BD26" s="5">
        <f t="shared" si="54"/>
        <v>0</v>
      </c>
      <c r="BE26" s="5">
        <f t="shared" si="27"/>
        <v>0</v>
      </c>
      <c r="BF26" s="5">
        <f t="shared" si="28"/>
        <v>0</v>
      </c>
      <c r="BG26" s="5">
        <f t="shared" si="29"/>
        <v>0</v>
      </c>
      <c r="BH26" s="5">
        <f t="shared" si="30"/>
        <v>0</v>
      </c>
      <c r="BI26" s="5">
        <f t="shared" si="31"/>
        <v>0</v>
      </c>
      <c r="BJ26" s="5">
        <f t="shared" si="32"/>
        <v>0</v>
      </c>
      <c r="BK26" s="5">
        <f t="shared" si="33"/>
        <v>0</v>
      </c>
      <c r="BL26" s="5">
        <f t="shared" si="34"/>
        <v>0</v>
      </c>
      <c r="BM26" s="5">
        <f t="shared" si="35"/>
        <v>0</v>
      </c>
      <c r="BN26" s="5">
        <f t="shared" si="36"/>
        <v>0</v>
      </c>
      <c r="BO26" s="5">
        <f t="shared" si="37"/>
        <v>0</v>
      </c>
      <c r="BP26" s="5">
        <f t="shared" si="38"/>
        <v>0</v>
      </c>
      <c r="BQ26" s="5">
        <f t="shared" si="39"/>
        <v>0</v>
      </c>
      <c r="BR26" s="5">
        <f t="shared" si="40"/>
        <v>0</v>
      </c>
      <c r="BS26" s="5">
        <f t="shared" si="41"/>
        <v>0</v>
      </c>
      <c r="BT26" s="5">
        <f t="shared" si="42"/>
        <v>0</v>
      </c>
      <c r="BU26" s="5">
        <f t="shared" si="43"/>
        <v>0</v>
      </c>
      <c r="BV26" s="5">
        <f t="shared" si="44"/>
        <v>0</v>
      </c>
      <c r="BW26" s="5">
        <f t="shared" si="45"/>
        <v>0</v>
      </c>
      <c r="BX26" s="5">
        <f t="shared" si="46"/>
        <v>0</v>
      </c>
      <c r="BY26" s="5">
        <f t="shared" si="11"/>
        <v>0</v>
      </c>
      <c r="BZ26" s="5">
        <f t="shared" si="55"/>
        <v>0</v>
      </c>
      <c r="CA26" s="5">
        <f t="shared" si="47"/>
        <v>0</v>
      </c>
      <c r="CB26" s="5">
        <f t="shared" si="48"/>
        <v>0</v>
      </c>
      <c r="CC26" s="5">
        <f t="shared" si="56"/>
        <v>0</v>
      </c>
      <c r="CD26" s="5">
        <f t="shared" si="57"/>
        <v>0</v>
      </c>
      <c r="CE26" s="5">
        <f t="shared" si="49"/>
        <v>0</v>
      </c>
      <c r="CF26" s="5">
        <f t="shared" si="50"/>
        <v>0</v>
      </c>
      <c r="CG26" s="5">
        <f t="shared" si="51"/>
        <v>0</v>
      </c>
      <c r="CH26" s="5">
        <f t="shared" si="52"/>
        <v>0</v>
      </c>
      <c r="CI26" s="5">
        <f t="shared" si="53"/>
        <v>0</v>
      </c>
      <c r="CJ26" s="5"/>
      <c r="CK26" s="4">
        <f t="shared" si="13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8"/>
        <v>0</v>
      </c>
      <c r="G27" s="75"/>
      <c r="H27" s="75"/>
      <c r="I27" s="91">
        <f t="shared" si="59"/>
        <v>0</v>
      </c>
      <c r="J27" s="76"/>
      <c r="K27" s="75"/>
      <c r="L27" s="91">
        <f t="shared" si="60"/>
        <v>0</v>
      </c>
      <c r="M27" s="75"/>
      <c r="N27" s="75"/>
      <c r="O27" s="91">
        <f t="shared" si="61"/>
        <v>0</v>
      </c>
      <c r="P27" s="75"/>
      <c r="Q27" s="75"/>
      <c r="R27" s="91">
        <f t="shared" si="62"/>
        <v>0</v>
      </c>
      <c r="S27" s="75"/>
      <c r="T27" s="75"/>
      <c r="U27" s="91">
        <f t="shared" si="63"/>
        <v>0</v>
      </c>
      <c r="V27" s="75"/>
      <c r="W27" s="75"/>
      <c r="X27" s="91">
        <f t="shared" si="64"/>
        <v>0</v>
      </c>
      <c r="Y27" s="91"/>
      <c r="Z27" s="91"/>
      <c r="AA27" s="91"/>
      <c r="AB27" s="91">
        <f t="shared" si="65"/>
        <v>0</v>
      </c>
      <c r="AC27" s="92"/>
      <c r="AD27" s="77"/>
      <c r="AE27" s="93">
        <f t="shared" si="66"/>
        <v>0</v>
      </c>
      <c r="AF27" s="77"/>
      <c r="AG27" s="93">
        <f t="shared" si="67"/>
        <v>0</v>
      </c>
      <c r="AH27" s="77"/>
      <c r="AI27" s="93">
        <f t="shared" si="68"/>
        <v>0</v>
      </c>
      <c r="AJ27" s="77"/>
      <c r="AK27" s="93">
        <f t="shared" si="69"/>
        <v>0</v>
      </c>
      <c r="AL27" s="77"/>
      <c r="AM27" s="93">
        <f t="shared" si="70"/>
        <v>0</v>
      </c>
      <c r="AN27" s="77"/>
      <c r="AO27" s="93">
        <f t="shared" si="71"/>
        <v>0</v>
      </c>
      <c r="AP27" s="94">
        <f t="shared" si="72"/>
        <v>0</v>
      </c>
      <c r="AQ27" s="77"/>
      <c r="AR27" s="77"/>
      <c r="AS27" s="77"/>
      <c r="AT27" s="44">
        <f t="shared" si="73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4"/>
        <v>0</v>
      </c>
      <c r="BB27" s="5">
        <f t="shared" si="25"/>
        <v>0</v>
      </c>
      <c r="BC27" s="5">
        <f t="shared" si="26"/>
        <v>0</v>
      </c>
      <c r="BD27" s="5">
        <f t="shared" si="54"/>
        <v>0</v>
      </c>
      <c r="BE27" s="5">
        <f t="shared" si="27"/>
        <v>0</v>
      </c>
      <c r="BF27" s="5">
        <f t="shared" si="28"/>
        <v>0</v>
      </c>
      <c r="BG27" s="5">
        <f t="shared" si="29"/>
        <v>0</v>
      </c>
      <c r="BH27" s="5">
        <f t="shared" si="30"/>
        <v>0</v>
      </c>
      <c r="BI27" s="5">
        <f t="shared" si="31"/>
        <v>0</v>
      </c>
      <c r="BJ27" s="5">
        <f t="shared" si="32"/>
        <v>0</v>
      </c>
      <c r="BK27" s="5">
        <f t="shared" si="33"/>
        <v>0</v>
      </c>
      <c r="BL27" s="5">
        <f t="shared" si="34"/>
        <v>0</v>
      </c>
      <c r="BM27" s="5">
        <f t="shared" si="35"/>
        <v>0</v>
      </c>
      <c r="BN27" s="5">
        <f t="shared" si="36"/>
        <v>0</v>
      </c>
      <c r="BO27" s="5">
        <f t="shared" si="37"/>
        <v>0</v>
      </c>
      <c r="BP27" s="5">
        <f t="shared" si="38"/>
        <v>0</v>
      </c>
      <c r="BQ27" s="5">
        <f t="shared" si="39"/>
        <v>0</v>
      </c>
      <c r="BR27" s="5">
        <f t="shared" si="40"/>
        <v>0</v>
      </c>
      <c r="BS27" s="5">
        <f t="shared" si="41"/>
        <v>0</v>
      </c>
      <c r="BT27" s="5">
        <f t="shared" si="42"/>
        <v>0</v>
      </c>
      <c r="BU27" s="5">
        <f t="shared" si="43"/>
        <v>0</v>
      </c>
      <c r="BV27" s="5">
        <f t="shared" si="44"/>
        <v>0</v>
      </c>
      <c r="BW27" s="5">
        <f t="shared" si="45"/>
        <v>0</v>
      </c>
      <c r="BX27" s="5">
        <f t="shared" si="46"/>
        <v>0</v>
      </c>
      <c r="BY27" s="5">
        <f t="shared" si="11"/>
        <v>0</v>
      </c>
      <c r="BZ27" s="5">
        <f t="shared" si="55"/>
        <v>0</v>
      </c>
      <c r="CA27" s="5">
        <f t="shared" si="47"/>
        <v>0</v>
      </c>
      <c r="CB27" s="5">
        <f t="shared" si="48"/>
        <v>0</v>
      </c>
      <c r="CC27" s="5">
        <f t="shared" si="56"/>
        <v>0</v>
      </c>
      <c r="CD27" s="5">
        <f t="shared" si="57"/>
        <v>0</v>
      </c>
      <c r="CE27" s="5">
        <f t="shared" si="49"/>
        <v>0</v>
      </c>
      <c r="CF27" s="5">
        <f t="shared" si="50"/>
        <v>0</v>
      </c>
      <c r="CG27" s="5">
        <f t="shared" si="51"/>
        <v>0</v>
      </c>
      <c r="CH27" s="5">
        <f t="shared" si="52"/>
        <v>0</v>
      </c>
      <c r="CI27" s="5">
        <f t="shared" si="53"/>
        <v>0</v>
      </c>
      <c r="CJ27" s="5"/>
      <c r="CK27" s="4">
        <f t="shared" si="13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8"/>
        <v>0</v>
      </c>
      <c r="G28" s="75"/>
      <c r="H28" s="75"/>
      <c r="I28" s="91">
        <f t="shared" si="59"/>
        <v>0</v>
      </c>
      <c r="J28" s="76"/>
      <c r="K28" s="75"/>
      <c r="L28" s="91">
        <f t="shared" si="60"/>
        <v>0</v>
      </c>
      <c r="M28" s="75"/>
      <c r="N28" s="75"/>
      <c r="O28" s="91">
        <f t="shared" si="61"/>
        <v>0</v>
      </c>
      <c r="P28" s="75"/>
      <c r="Q28" s="75"/>
      <c r="R28" s="91">
        <f t="shared" si="62"/>
        <v>0</v>
      </c>
      <c r="S28" s="75"/>
      <c r="T28" s="75"/>
      <c r="U28" s="91">
        <f t="shared" si="63"/>
        <v>0</v>
      </c>
      <c r="V28" s="75"/>
      <c r="W28" s="75"/>
      <c r="X28" s="91">
        <f t="shared" si="64"/>
        <v>0</v>
      </c>
      <c r="Y28" s="91"/>
      <c r="Z28" s="91"/>
      <c r="AA28" s="91"/>
      <c r="AB28" s="91">
        <f t="shared" si="65"/>
        <v>0</v>
      </c>
      <c r="AC28" s="92"/>
      <c r="AD28" s="77"/>
      <c r="AE28" s="93">
        <f t="shared" si="66"/>
        <v>0</v>
      </c>
      <c r="AF28" s="77"/>
      <c r="AG28" s="93">
        <f t="shared" si="67"/>
        <v>0</v>
      </c>
      <c r="AH28" s="77"/>
      <c r="AI28" s="93">
        <f t="shared" si="68"/>
        <v>0</v>
      </c>
      <c r="AJ28" s="77"/>
      <c r="AK28" s="93">
        <f t="shared" si="69"/>
        <v>0</v>
      </c>
      <c r="AL28" s="77"/>
      <c r="AM28" s="93">
        <f t="shared" si="70"/>
        <v>0</v>
      </c>
      <c r="AN28" s="77"/>
      <c r="AO28" s="93">
        <f t="shared" si="71"/>
        <v>0</v>
      </c>
      <c r="AP28" s="94">
        <f t="shared" si="72"/>
        <v>0</v>
      </c>
      <c r="AQ28" s="77"/>
      <c r="AR28" s="77"/>
      <c r="AS28" s="77"/>
      <c r="AT28" s="44">
        <f t="shared" si="73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4"/>
        <v>0</v>
      </c>
      <c r="BB28" s="5">
        <f t="shared" si="25"/>
        <v>0</v>
      </c>
      <c r="BC28" s="5">
        <f t="shared" si="26"/>
        <v>0</v>
      </c>
      <c r="BD28" s="5">
        <f t="shared" si="54"/>
        <v>0</v>
      </c>
      <c r="BE28" s="5">
        <f t="shared" si="27"/>
        <v>0</v>
      </c>
      <c r="BF28" s="5">
        <f t="shared" si="28"/>
        <v>0</v>
      </c>
      <c r="BG28" s="5">
        <f t="shared" si="29"/>
        <v>0</v>
      </c>
      <c r="BH28" s="5">
        <f t="shared" si="30"/>
        <v>0</v>
      </c>
      <c r="BI28" s="5">
        <f t="shared" si="31"/>
        <v>0</v>
      </c>
      <c r="BJ28" s="5">
        <f t="shared" si="32"/>
        <v>0</v>
      </c>
      <c r="BK28" s="5">
        <f t="shared" si="33"/>
        <v>0</v>
      </c>
      <c r="BL28" s="5">
        <f t="shared" si="34"/>
        <v>0</v>
      </c>
      <c r="BM28" s="5">
        <f t="shared" si="35"/>
        <v>0</v>
      </c>
      <c r="BN28" s="5">
        <f t="shared" si="36"/>
        <v>0</v>
      </c>
      <c r="BO28" s="5">
        <f t="shared" si="37"/>
        <v>0</v>
      </c>
      <c r="BP28" s="5">
        <f t="shared" si="38"/>
        <v>0</v>
      </c>
      <c r="BQ28" s="5">
        <f t="shared" si="39"/>
        <v>0</v>
      </c>
      <c r="BR28" s="5">
        <f t="shared" si="40"/>
        <v>0</v>
      </c>
      <c r="BS28" s="5">
        <f t="shared" si="41"/>
        <v>0</v>
      </c>
      <c r="BT28" s="5">
        <f t="shared" si="42"/>
        <v>0</v>
      </c>
      <c r="BU28" s="5">
        <f t="shared" si="43"/>
        <v>0</v>
      </c>
      <c r="BV28" s="5">
        <f t="shared" si="44"/>
        <v>0</v>
      </c>
      <c r="BW28" s="5">
        <f t="shared" si="45"/>
        <v>0</v>
      </c>
      <c r="BX28" s="5">
        <f t="shared" si="46"/>
        <v>0</v>
      </c>
      <c r="BY28" s="5">
        <f t="shared" si="11"/>
        <v>0</v>
      </c>
      <c r="BZ28" s="5">
        <f t="shared" si="55"/>
        <v>0</v>
      </c>
      <c r="CA28" s="5">
        <f t="shared" si="47"/>
        <v>0</v>
      </c>
      <c r="CB28" s="5">
        <f t="shared" si="48"/>
        <v>0</v>
      </c>
      <c r="CC28" s="5">
        <f t="shared" si="56"/>
        <v>0</v>
      </c>
      <c r="CD28" s="5">
        <f t="shared" si="57"/>
        <v>0</v>
      </c>
      <c r="CE28" s="5">
        <f t="shared" si="49"/>
        <v>0</v>
      </c>
      <c r="CF28" s="5">
        <f t="shared" si="50"/>
        <v>0</v>
      </c>
      <c r="CG28" s="5">
        <f t="shared" si="51"/>
        <v>0</v>
      </c>
      <c r="CH28" s="5">
        <f t="shared" si="52"/>
        <v>0</v>
      </c>
      <c r="CI28" s="5">
        <f t="shared" si="53"/>
        <v>0</v>
      </c>
      <c r="CJ28" s="5"/>
      <c r="CK28" s="4">
        <f t="shared" si="13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8"/>
        <v>0</v>
      </c>
      <c r="G29" s="75"/>
      <c r="H29" s="75"/>
      <c r="I29" s="91">
        <f t="shared" si="59"/>
        <v>0</v>
      </c>
      <c r="J29" s="76"/>
      <c r="K29" s="75"/>
      <c r="L29" s="91">
        <f t="shared" si="60"/>
        <v>0</v>
      </c>
      <c r="M29" s="75"/>
      <c r="N29" s="75"/>
      <c r="O29" s="91">
        <f t="shared" si="61"/>
        <v>0</v>
      </c>
      <c r="P29" s="75"/>
      <c r="Q29" s="75"/>
      <c r="R29" s="91">
        <f t="shared" si="62"/>
        <v>0</v>
      </c>
      <c r="S29" s="75"/>
      <c r="T29" s="75"/>
      <c r="U29" s="91">
        <f t="shared" si="63"/>
        <v>0</v>
      </c>
      <c r="V29" s="75"/>
      <c r="W29" s="75"/>
      <c r="X29" s="91">
        <f t="shared" si="64"/>
        <v>0</v>
      </c>
      <c r="Y29" s="91"/>
      <c r="Z29" s="91"/>
      <c r="AA29" s="91"/>
      <c r="AB29" s="91">
        <f t="shared" si="65"/>
        <v>0</v>
      </c>
      <c r="AC29" s="92"/>
      <c r="AD29" s="77"/>
      <c r="AE29" s="93">
        <f t="shared" si="66"/>
        <v>0</v>
      </c>
      <c r="AF29" s="77"/>
      <c r="AG29" s="93">
        <f t="shared" si="67"/>
        <v>0</v>
      </c>
      <c r="AH29" s="77"/>
      <c r="AI29" s="93">
        <f t="shared" si="68"/>
        <v>0</v>
      </c>
      <c r="AJ29" s="77"/>
      <c r="AK29" s="93">
        <f t="shared" si="69"/>
        <v>0</v>
      </c>
      <c r="AL29" s="77"/>
      <c r="AM29" s="93">
        <f t="shared" si="70"/>
        <v>0</v>
      </c>
      <c r="AN29" s="77"/>
      <c r="AO29" s="93">
        <f t="shared" si="71"/>
        <v>0</v>
      </c>
      <c r="AP29" s="94">
        <f t="shared" si="72"/>
        <v>0</v>
      </c>
      <c r="AQ29" s="77"/>
      <c r="AR29" s="77"/>
      <c r="AS29" s="77"/>
      <c r="AT29" s="44">
        <f t="shared" si="73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4"/>
        <v>0</v>
      </c>
      <c r="BB29" s="5">
        <f t="shared" si="25"/>
        <v>0</v>
      </c>
      <c r="BC29" s="5">
        <f t="shared" si="26"/>
        <v>0</v>
      </c>
      <c r="BD29" s="5">
        <f t="shared" si="54"/>
        <v>0</v>
      </c>
      <c r="BE29" s="5">
        <f t="shared" si="27"/>
        <v>0</v>
      </c>
      <c r="BF29" s="5">
        <f t="shared" si="28"/>
        <v>0</v>
      </c>
      <c r="BG29" s="5">
        <f t="shared" si="29"/>
        <v>0</v>
      </c>
      <c r="BH29" s="5">
        <f t="shared" si="30"/>
        <v>0</v>
      </c>
      <c r="BI29" s="5">
        <f t="shared" si="31"/>
        <v>0</v>
      </c>
      <c r="BJ29" s="5">
        <f t="shared" si="32"/>
        <v>0</v>
      </c>
      <c r="BK29" s="5">
        <f t="shared" si="33"/>
        <v>0</v>
      </c>
      <c r="BL29" s="5">
        <f t="shared" si="34"/>
        <v>0</v>
      </c>
      <c r="BM29" s="5">
        <f t="shared" si="35"/>
        <v>0</v>
      </c>
      <c r="BN29" s="5">
        <f t="shared" si="36"/>
        <v>0</v>
      </c>
      <c r="BO29" s="5">
        <f t="shared" si="37"/>
        <v>0</v>
      </c>
      <c r="BP29" s="5">
        <f t="shared" si="38"/>
        <v>0</v>
      </c>
      <c r="BQ29" s="5">
        <f t="shared" si="39"/>
        <v>0</v>
      </c>
      <c r="BR29" s="5">
        <f t="shared" si="40"/>
        <v>0</v>
      </c>
      <c r="BS29" s="5">
        <f t="shared" si="41"/>
        <v>0</v>
      </c>
      <c r="BT29" s="5">
        <f t="shared" si="42"/>
        <v>0</v>
      </c>
      <c r="BU29" s="5">
        <f t="shared" si="43"/>
        <v>0</v>
      </c>
      <c r="BV29" s="5">
        <f t="shared" si="44"/>
        <v>0</v>
      </c>
      <c r="BW29" s="5">
        <f t="shared" si="45"/>
        <v>0</v>
      </c>
      <c r="BX29" s="5">
        <f t="shared" si="46"/>
        <v>0</v>
      </c>
      <c r="BY29" s="5">
        <f t="shared" si="11"/>
        <v>0</v>
      </c>
      <c r="BZ29" s="5">
        <f t="shared" si="55"/>
        <v>0</v>
      </c>
      <c r="CA29" s="5">
        <f t="shared" si="47"/>
        <v>0</v>
      </c>
      <c r="CB29" s="5">
        <f t="shared" si="48"/>
        <v>0</v>
      </c>
      <c r="CC29" s="5">
        <f t="shared" si="56"/>
        <v>0</v>
      </c>
      <c r="CD29" s="5">
        <f t="shared" si="57"/>
        <v>0</v>
      </c>
      <c r="CE29" s="5">
        <f t="shared" si="49"/>
        <v>0</v>
      </c>
      <c r="CF29" s="5">
        <f t="shared" si="50"/>
        <v>0</v>
      </c>
      <c r="CG29" s="5">
        <f t="shared" si="51"/>
        <v>0</v>
      </c>
      <c r="CH29" s="5">
        <f t="shared" si="52"/>
        <v>0</v>
      </c>
      <c r="CI29" s="5">
        <f t="shared" si="53"/>
        <v>0</v>
      </c>
      <c r="CJ29" s="5"/>
      <c r="CK29" s="4">
        <f t="shared" si="13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4"/>
        <v>0</v>
      </c>
      <c r="G30" s="75"/>
      <c r="H30" s="75"/>
      <c r="I30" s="91">
        <f t="shared" si="15"/>
        <v>0</v>
      </c>
      <c r="J30" s="76"/>
      <c r="K30" s="75"/>
      <c r="L30" s="91">
        <f t="shared" si="16"/>
        <v>0</v>
      </c>
      <c r="M30" s="75"/>
      <c r="N30" s="75"/>
      <c r="O30" s="91">
        <f t="shared" si="17"/>
        <v>0</v>
      </c>
      <c r="P30" s="75"/>
      <c r="Q30" s="75"/>
      <c r="R30" s="91">
        <f t="shared" si="18"/>
        <v>0</v>
      </c>
      <c r="S30" s="75"/>
      <c r="T30" s="75"/>
      <c r="U30" s="91">
        <f t="shared" si="19"/>
        <v>0</v>
      </c>
      <c r="V30" s="75"/>
      <c r="W30" s="75"/>
      <c r="X30" s="91">
        <f t="shared" si="20"/>
        <v>0</v>
      </c>
      <c r="Y30" s="91"/>
      <c r="Z30" s="91"/>
      <c r="AA30" s="91"/>
      <c r="AB30" s="91">
        <f t="shared" si="21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2"/>
        <v>0</v>
      </c>
      <c r="AQ30" s="77"/>
      <c r="AR30" s="77"/>
      <c r="AS30" s="77"/>
      <c r="AT30" s="44">
        <f t="shared" si="23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4"/>
        <v>0</v>
      </c>
      <c r="BB30" s="5">
        <f t="shared" si="25"/>
        <v>0</v>
      </c>
      <c r="BC30" s="5">
        <f t="shared" si="26"/>
        <v>0</v>
      </c>
      <c r="BD30" s="5">
        <f t="shared" si="54"/>
        <v>0</v>
      </c>
      <c r="BE30" s="5">
        <f t="shared" si="27"/>
        <v>0</v>
      </c>
      <c r="BF30" s="5">
        <f t="shared" si="28"/>
        <v>0</v>
      </c>
      <c r="BG30" s="5">
        <f t="shared" si="29"/>
        <v>0</v>
      </c>
      <c r="BH30" s="5">
        <f t="shared" si="30"/>
        <v>0</v>
      </c>
      <c r="BI30" s="5">
        <f t="shared" si="31"/>
        <v>0</v>
      </c>
      <c r="BJ30" s="5">
        <f t="shared" si="32"/>
        <v>0</v>
      </c>
      <c r="BK30" s="5">
        <f t="shared" si="33"/>
        <v>0</v>
      </c>
      <c r="BL30" s="5">
        <f t="shared" si="34"/>
        <v>0</v>
      </c>
      <c r="BM30" s="5">
        <f t="shared" si="35"/>
        <v>0</v>
      </c>
      <c r="BN30" s="5">
        <f t="shared" si="36"/>
        <v>0</v>
      </c>
      <c r="BO30" s="5">
        <f t="shared" si="37"/>
        <v>0</v>
      </c>
      <c r="BP30" s="5">
        <f t="shared" si="38"/>
        <v>0</v>
      </c>
      <c r="BQ30" s="5">
        <f t="shared" si="39"/>
        <v>0</v>
      </c>
      <c r="BR30" s="5">
        <f t="shared" si="40"/>
        <v>0</v>
      </c>
      <c r="BS30" s="5">
        <f t="shared" si="41"/>
        <v>0</v>
      </c>
      <c r="BT30" s="5">
        <f t="shared" si="42"/>
        <v>0</v>
      </c>
      <c r="BU30" s="5">
        <f t="shared" si="43"/>
        <v>0</v>
      </c>
      <c r="BV30" s="5">
        <f t="shared" si="44"/>
        <v>0</v>
      </c>
      <c r="BW30" s="5">
        <f t="shared" si="45"/>
        <v>0</v>
      </c>
      <c r="BX30" s="5">
        <f t="shared" si="46"/>
        <v>0</v>
      </c>
      <c r="BY30" s="5">
        <f t="shared" si="11"/>
        <v>0</v>
      </c>
      <c r="BZ30" s="5">
        <f t="shared" si="55"/>
        <v>0</v>
      </c>
      <c r="CA30" s="5">
        <f t="shared" si="47"/>
        <v>0</v>
      </c>
      <c r="CB30" s="5">
        <f t="shared" si="48"/>
        <v>0</v>
      </c>
      <c r="CC30" s="5">
        <f t="shared" si="56"/>
        <v>0</v>
      </c>
      <c r="CD30" s="5">
        <f t="shared" si="57"/>
        <v>0</v>
      </c>
      <c r="CE30" s="5">
        <f t="shared" si="49"/>
        <v>0</v>
      </c>
      <c r="CF30" s="5">
        <f t="shared" si="50"/>
        <v>0</v>
      </c>
      <c r="CG30" s="5">
        <f t="shared" si="51"/>
        <v>0</v>
      </c>
      <c r="CH30" s="5">
        <f t="shared" si="52"/>
        <v>0</v>
      </c>
      <c r="CI30" s="5">
        <f t="shared" si="53"/>
        <v>0</v>
      </c>
      <c r="CJ30" s="5"/>
      <c r="CK30" s="4">
        <f t="shared" si="13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4"/>
        <v>0</v>
      </c>
      <c r="G31" s="75"/>
      <c r="H31" s="75"/>
      <c r="I31" s="91">
        <f t="shared" si="15"/>
        <v>0</v>
      </c>
      <c r="J31" s="76"/>
      <c r="K31" s="75"/>
      <c r="L31" s="91">
        <f t="shared" si="16"/>
        <v>0</v>
      </c>
      <c r="M31" s="75"/>
      <c r="N31" s="75"/>
      <c r="O31" s="91">
        <f t="shared" si="17"/>
        <v>0</v>
      </c>
      <c r="P31" s="75"/>
      <c r="Q31" s="75"/>
      <c r="R31" s="91">
        <f t="shared" si="18"/>
        <v>0</v>
      </c>
      <c r="S31" s="75"/>
      <c r="T31" s="75"/>
      <c r="U31" s="91">
        <f t="shared" si="19"/>
        <v>0</v>
      </c>
      <c r="V31" s="75"/>
      <c r="W31" s="75"/>
      <c r="X31" s="91">
        <f t="shared" si="20"/>
        <v>0</v>
      </c>
      <c r="Y31" s="91"/>
      <c r="Z31" s="91"/>
      <c r="AA31" s="91"/>
      <c r="AB31" s="91">
        <f t="shared" si="21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2"/>
        <v>0</v>
      </c>
      <c r="AQ31" s="77"/>
      <c r="AR31" s="77"/>
      <c r="AS31" s="77"/>
      <c r="AT31" s="44">
        <f t="shared" si="23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4"/>
        <v>0</v>
      </c>
      <c r="BB31" s="5">
        <f t="shared" si="25"/>
        <v>0</v>
      </c>
      <c r="BC31" s="5">
        <f t="shared" si="26"/>
        <v>0</v>
      </c>
      <c r="BD31" s="5">
        <f t="shared" si="54"/>
        <v>0</v>
      </c>
      <c r="BE31" s="5">
        <f t="shared" si="27"/>
        <v>0</v>
      </c>
      <c r="BF31" s="5">
        <f t="shared" si="28"/>
        <v>0</v>
      </c>
      <c r="BG31" s="5">
        <f t="shared" si="29"/>
        <v>0</v>
      </c>
      <c r="BH31" s="5">
        <f t="shared" si="30"/>
        <v>0</v>
      </c>
      <c r="BI31" s="5">
        <f t="shared" si="31"/>
        <v>0</v>
      </c>
      <c r="BJ31" s="5">
        <f t="shared" si="32"/>
        <v>0</v>
      </c>
      <c r="BK31" s="5">
        <f t="shared" si="33"/>
        <v>0</v>
      </c>
      <c r="BL31" s="5">
        <f t="shared" si="34"/>
        <v>0</v>
      </c>
      <c r="BM31" s="5">
        <f t="shared" si="35"/>
        <v>0</v>
      </c>
      <c r="BN31" s="5">
        <f t="shared" si="36"/>
        <v>0</v>
      </c>
      <c r="BO31" s="5">
        <f t="shared" si="37"/>
        <v>0</v>
      </c>
      <c r="BP31" s="5">
        <f t="shared" si="38"/>
        <v>0</v>
      </c>
      <c r="BQ31" s="5">
        <f t="shared" si="39"/>
        <v>0</v>
      </c>
      <c r="BR31" s="5">
        <f t="shared" si="40"/>
        <v>0</v>
      </c>
      <c r="BS31" s="5">
        <f t="shared" si="41"/>
        <v>0</v>
      </c>
      <c r="BT31" s="5">
        <f t="shared" si="42"/>
        <v>0</v>
      </c>
      <c r="BU31" s="5">
        <f t="shared" si="43"/>
        <v>0</v>
      </c>
      <c r="BV31" s="5">
        <f t="shared" si="44"/>
        <v>0</v>
      </c>
      <c r="BW31" s="5">
        <f t="shared" si="45"/>
        <v>0</v>
      </c>
      <c r="BX31" s="5">
        <f t="shared" si="46"/>
        <v>0</v>
      </c>
      <c r="BY31" s="5">
        <f t="shared" si="11"/>
        <v>0</v>
      </c>
      <c r="BZ31" s="5">
        <f t="shared" si="55"/>
        <v>0</v>
      </c>
      <c r="CA31" s="5">
        <f t="shared" si="47"/>
        <v>0</v>
      </c>
      <c r="CB31" s="5">
        <f t="shared" si="48"/>
        <v>0</v>
      </c>
      <c r="CC31" s="5">
        <f t="shared" si="56"/>
        <v>0</v>
      </c>
      <c r="CD31" s="5">
        <f t="shared" si="57"/>
        <v>0</v>
      </c>
      <c r="CE31" s="5">
        <f t="shared" si="49"/>
        <v>0</v>
      </c>
      <c r="CF31" s="5">
        <f t="shared" si="50"/>
        <v>0</v>
      </c>
      <c r="CG31" s="5">
        <f t="shared" si="51"/>
        <v>0</v>
      </c>
      <c r="CH31" s="5">
        <f t="shared" si="52"/>
        <v>0</v>
      </c>
      <c r="CI31" s="5">
        <f t="shared" si="53"/>
        <v>0</v>
      </c>
      <c r="CJ31" s="5"/>
      <c r="CK31" s="4">
        <f t="shared" si="13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4"/>
        <v>0</v>
      </c>
      <c r="G32" s="75"/>
      <c r="H32" s="75"/>
      <c r="I32" s="91">
        <f t="shared" si="15"/>
        <v>0</v>
      </c>
      <c r="J32" s="76"/>
      <c r="K32" s="75"/>
      <c r="L32" s="91">
        <f t="shared" si="16"/>
        <v>0</v>
      </c>
      <c r="M32" s="75"/>
      <c r="N32" s="75"/>
      <c r="O32" s="91">
        <f t="shared" si="17"/>
        <v>0</v>
      </c>
      <c r="P32" s="75"/>
      <c r="Q32" s="75"/>
      <c r="R32" s="91">
        <f t="shared" si="18"/>
        <v>0</v>
      </c>
      <c r="S32" s="75"/>
      <c r="T32" s="75"/>
      <c r="U32" s="91">
        <f t="shared" si="19"/>
        <v>0</v>
      </c>
      <c r="V32" s="75"/>
      <c r="W32" s="75"/>
      <c r="X32" s="91">
        <f t="shared" si="20"/>
        <v>0</v>
      </c>
      <c r="Y32" s="91"/>
      <c r="Z32" s="91"/>
      <c r="AA32" s="91"/>
      <c r="AB32" s="91">
        <f t="shared" si="21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2"/>
        <v>0</v>
      </c>
      <c r="AQ32" s="77"/>
      <c r="AR32" s="77"/>
      <c r="AS32" s="77"/>
      <c r="AT32" s="44">
        <f t="shared" si="23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4"/>
        <v>0</v>
      </c>
      <c r="BB32" s="5">
        <f t="shared" si="25"/>
        <v>0</v>
      </c>
      <c r="BC32" s="5">
        <f t="shared" si="26"/>
        <v>0</v>
      </c>
      <c r="BD32" s="5">
        <f t="shared" si="54"/>
        <v>0</v>
      </c>
      <c r="BE32" s="5">
        <f t="shared" si="27"/>
        <v>0</v>
      </c>
      <c r="BF32" s="5">
        <f t="shared" si="28"/>
        <v>0</v>
      </c>
      <c r="BG32" s="5">
        <f t="shared" si="29"/>
        <v>0</v>
      </c>
      <c r="BH32" s="5">
        <f t="shared" si="30"/>
        <v>0</v>
      </c>
      <c r="BI32" s="5">
        <f t="shared" si="31"/>
        <v>0</v>
      </c>
      <c r="BJ32" s="5">
        <f t="shared" si="32"/>
        <v>0</v>
      </c>
      <c r="BK32" s="5">
        <f t="shared" si="33"/>
        <v>0</v>
      </c>
      <c r="BL32" s="5">
        <f t="shared" si="34"/>
        <v>0</v>
      </c>
      <c r="BM32" s="5">
        <f t="shared" si="35"/>
        <v>0</v>
      </c>
      <c r="BN32" s="5">
        <f t="shared" si="36"/>
        <v>0</v>
      </c>
      <c r="BO32" s="5">
        <f t="shared" si="37"/>
        <v>0</v>
      </c>
      <c r="BP32" s="5">
        <f t="shared" si="38"/>
        <v>0</v>
      </c>
      <c r="BQ32" s="5">
        <f t="shared" si="39"/>
        <v>0</v>
      </c>
      <c r="BR32" s="5">
        <f t="shared" si="40"/>
        <v>0</v>
      </c>
      <c r="BS32" s="5">
        <f t="shared" si="41"/>
        <v>0</v>
      </c>
      <c r="BT32" s="5">
        <f t="shared" si="42"/>
        <v>0</v>
      </c>
      <c r="BU32" s="5">
        <f t="shared" si="43"/>
        <v>0</v>
      </c>
      <c r="BV32" s="5">
        <f t="shared" si="44"/>
        <v>0</v>
      </c>
      <c r="BW32" s="5">
        <f t="shared" si="45"/>
        <v>0</v>
      </c>
      <c r="BX32" s="5">
        <f t="shared" si="46"/>
        <v>0</v>
      </c>
      <c r="BY32" s="5">
        <f t="shared" si="11"/>
        <v>0</v>
      </c>
      <c r="BZ32" s="5">
        <f t="shared" si="55"/>
        <v>0</v>
      </c>
      <c r="CA32" s="5">
        <f t="shared" si="47"/>
        <v>0</v>
      </c>
      <c r="CB32" s="5">
        <f t="shared" si="48"/>
        <v>0</v>
      </c>
      <c r="CC32" s="5">
        <f t="shared" si="56"/>
        <v>0</v>
      </c>
      <c r="CD32" s="5">
        <f t="shared" si="57"/>
        <v>0</v>
      </c>
      <c r="CE32" s="5">
        <f t="shared" si="49"/>
        <v>0</v>
      </c>
      <c r="CF32" s="5">
        <f t="shared" si="50"/>
        <v>0</v>
      </c>
      <c r="CG32" s="5">
        <f t="shared" si="51"/>
        <v>0</v>
      </c>
      <c r="CH32" s="5">
        <f t="shared" si="52"/>
        <v>0</v>
      </c>
      <c r="CI32" s="5">
        <f t="shared" si="53"/>
        <v>0</v>
      </c>
      <c r="CJ32" s="5"/>
      <c r="CK32" s="4">
        <f t="shared" si="13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4"/>
        <v>0</v>
      </c>
      <c r="G33" s="75"/>
      <c r="H33" s="75"/>
      <c r="I33" s="91">
        <f t="shared" si="15"/>
        <v>0</v>
      </c>
      <c r="J33" s="76"/>
      <c r="K33" s="75"/>
      <c r="L33" s="91">
        <f t="shared" si="16"/>
        <v>0</v>
      </c>
      <c r="M33" s="75"/>
      <c r="N33" s="75"/>
      <c r="O33" s="91">
        <f t="shared" si="17"/>
        <v>0</v>
      </c>
      <c r="P33" s="75"/>
      <c r="Q33" s="75"/>
      <c r="R33" s="91">
        <f t="shared" si="18"/>
        <v>0</v>
      </c>
      <c r="S33" s="75"/>
      <c r="T33" s="75"/>
      <c r="U33" s="91">
        <f t="shared" si="19"/>
        <v>0</v>
      </c>
      <c r="V33" s="75"/>
      <c r="W33" s="75"/>
      <c r="X33" s="91">
        <f t="shared" si="20"/>
        <v>0</v>
      </c>
      <c r="Y33" s="91"/>
      <c r="Z33" s="91"/>
      <c r="AA33" s="91"/>
      <c r="AB33" s="91">
        <f t="shared" si="21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2"/>
        <v>0</v>
      </c>
      <c r="AQ33" s="77"/>
      <c r="AR33" s="77"/>
      <c r="AS33" s="77"/>
      <c r="AT33" s="44">
        <f t="shared" si="23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4"/>
        <v>0</v>
      </c>
      <c r="BB33" s="5">
        <f t="shared" si="25"/>
        <v>0</v>
      </c>
      <c r="BC33" s="5">
        <f t="shared" si="26"/>
        <v>0</v>
      </c>
      <c r="BD33" s="5">
        <f t="shared" si="54"/>
        <v>0</v>
      </c>
      <c r="BE33" s="5">
        <f t="shared" si="27"/>
        <v>0</v>
      </c>
      <c r="BF33" s="5">
        <f t="shared" si="28"/>
        <v>0</v>
      </c>
      <c r="BG33" s="5">
        <f t="shared" si="29"/>
        <v>0</v>
      </c>
      <c r="BH33" s="5">
        <f t="shared" si="30"/>
        <v>0</v>
      </c>
      <c r="BI33" s="5">
        <f t="shared" si="31"/>
        <v>0</v>
      </c>
      <c r="BJ33" s="5">
        <f t="shared" si="32"/>
        <v>0</v>
      </c>
      <c r="BK33" s="5">
        <f t="shared" si="33"/>
        <v>0</v>
      </c>
      <c r="BL33" s="5">
        <f t="shared" si="34"/>
        <v>0</v>
      </c>
      <c r="BM33" s="5">
        <f t="shared" si="35"/>
        <v>0</v>
      </c>
      <c r="BN33" s="5">
        <f t="shared" si="36"/>
        <v>0</v>
      </c>
      <c r="BO33" s="5">
        <f t="shared" si="37"/>
        <v>0</v>
      </c>
      <c r="BP33" s="5">
        <f t="shared" si="38"/>
        <v>0</v>
      </c>
      <c r="BQ33" s="5">
        <f t="shared" si="39"/>
        <v>0</v>
      </c>
      <c r="BR33" s="5">
        <f t="shared" si="40"/>
        <v>0</v>
      </c>
      <c r="BS33" s="5">
        <f t="shared" si="41"/>
        <v>0</v>
      </c>
      <c r="BT33" s="5">
        <f t="shared" si="42"/>
        <v>0</v>
      </c>
      <c r="BU33" s="5">
        <f t="shared" si="43"/>
        <v>0</v>
      </c>
      <c r="BV33" s="5">
        <f t="shared" si="44"/>
        <v>0</v>
      </c>
      <c r="BW33" s="5">
        <f t="shared" si="45"/>
        <v>0</v>
      </c>
      <c r="BX33" s="5">
        <f t="shared" si="46"/>
        <v>0</v>
      </c>
      <c r="BY33" s="5">
        <f t="shared" si="11"/>
        <v>0</v>
      </c>
      <c r="BZ33" s="5">
        <f t="shared" si="55"/>
        <v>0</v>
      </c>
      <c r="CA33" s="5">
        <f t="shared" si="47"/>
        <v>0</v>
      </c>
      <c r="CB33" s="5">
        <f t="shared" si="48"/>
        <v>0</v>
      </c>
      <c r="CC33" s="5">
        <f t="shared" si="56"/>
        <v>0</v>
      </c>
      <c r="CD33" s="5">
        <f t="shared" si="57"/>
        <v>0</v>
      </c>
      <c r="CE33" s="5">
        <f t="shared" si="49"/>
        <v>0</v>
      </c>
      <c r="CF33" s="5">
        <f t="shared" si="50"/>
        <v>0</v>
      </c>
      <c r="CG33" s="5">
        <f t="shared" si="51"/>
        <v>0</v>
      </c>
      <c r="CH33" s="5">
        <f t="shared" si="52"/>
        <v>0</v>
      </c>
      <c r="CI33" s="5">
        <f t="shared" si="53"/>
        <v>0</v>
      </c>
      <c r="CJ33" s="5"/>
      <c r="CK33" s="4">
        <f t="shared" si="13"/>
        <v>0</v>
      </c>
    </row>
    <row r="34" spans="1:89" ht="38" customHeight="1">
      <c r="A34" s="74" t="str">
        <f t="shared" ref="A34:A65" si="74">IF(ISNA(AZ34),"",AZ34)</f>
        <v/>
      </c>
      <c r="B34" s="73"/>
      <c r="C34" s="72"/>
      <c r="D34" s="75"/>
      <c r="E34" s="75"/>
      <c r="F34" s="91">
        <f t="shared" si="14"/>
        <v>0</v>
      </c>
      <c r="G34" s="75"/>
      <c r="H34" s="75"/>
      <c r="I34" s="91">
        <f t="shared" si="15"/>
        <v>0</v>
      </c>
      <c r="J34" s="76"/>
      <c r="K34" s="75"/>
      <c r="L34" s="91">
        <f t="shared" si="16"/>
        <v>0</v>
      </c>
      <c r="M34" s="75"/>
      <c r="N34" s="75"/>
      <c r="O34" s="91">
        <f t="shared" si="17"/>
        <v>0</v>
      </c>
      <c r="P34" s="75"/>
      <c r="Q34" s="75"/>
      <c r="R34" s="91">
        <f t="shared" si="18"/>
        <v>0</v>
      </c>
      <c r="S34" s="75"/>
      <c r="T34" s="75"/>
      <c r="U34" s="91">
        <f t="shared" si="19"/>
        <v>0</v>
      </c>
      <c r="V34" s="75"/>
      <c r="W34" s="75"/>
      <c r="X34" s="91">
        <f t="shared" si="20"/>
        <v>0</v>
      </c>
      <c r="Y34" s="91"/>
      <c r="Z34" s="91"/>
      <c r="AA34" s="91"/>
      <c r="AB34" s="91">
        <f t="shared" si="21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2"/>
        <v>0</v>
      </c>
      <c r="AQ34" s="77"/>
      <c r="AR34" s="77"/>
      <c r="AS34" s="77"/>
      <c r="AT34" s="44">
        <f t="shared" si="23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4"/>
        <v>0</v>
      </c>
      <c r="BB34" s="5">
        <f t="shared" si="25"/>
        <v>0</v>
      </c>
      <c r="BC34" s="5">
        <f t="shared" si="26"/>
        <v>0</v>
      </c>
      <c r="BD34" s="5">
        <f t="shared" si="54"/>
        <v>0</v>
      </c>
      <c r="BE34" s="5">
        <f t="shared" si="27"/>
        <v>0</v>
      </c>
      <c r="BF34" s="5">
        <f t="shared" si="28"/>
        <v>0</v>
      </c>
      <c r="BG34" s="5">
        <f t="shared" si="29"/>
        <v>0</v>
      </c>
      <c r="BH34" s="5">
        <f t="shared" si="30"/>
        <v>0</v>
      </c>
      <c r="BI34" s="5">
        <f t="shared" si="31"/>
        <v>0</v>
      </c>
      <c r="BJ34" s="5">
        <f t="shared" si="32"/>
        <v>0</v>
      </c>
      <c r="BK34" s="5">
        <f t="shared" si="33"/>
        <v>0</v>
      </c>
      <c r="BL34" s="5">
        <f t="shared" si="34"/>
        <v>0</v>
      </c>
      <c r="BM34" s="5">
        <f t="shared" si="35"/>
        <v>0</v>
      </c>
      <c r="BN34" s="5">
        <f t="shared" si="36"/>
        <v>0</v>
      </c>
      <c r="BO34" s="5">
        <f t="shared" si="37"/>
        <v>0</v>
      </c>
      <c r="BP34" s="5">
        <f t="shared" si="38"/>
        <v>0</v>
      </c>
      <c r="BQ34" s="5">
        <f t="shared" si="39"/>
        <v>0</v>
      </c>
      <c r="BR34" s="5">
        <f t="shared" si="40"/>
        <v>0</v>
      </c>
      <c r="BS34" s="5">
        <f t="shared" si="41"/>
        <v>0</v>
      </c>
      <c r="BT34" s="5">
        <f t="shared" si="42"/>
        <v>0</v>
      </c>
      <c r="BU34" s="5">
        <f t="shared" si="43"/>
        <v>0</v>
      </c>
      <c r="BV34" s="5">
        <f t="shared" si="44"/>
        <v>0</v>
      </c>
      <c r="BW34" s="5">
        <f t="shared" si="45"/>
        <v>0</v>
      </c>
      <c r="BX34" s="5">
        <f t="shared" si="46"/>
        <v>0</v>
      </c>
      <c r="BY34" s="5">
        <f t="shared" si="11"/>
        <v>0</v>
      </c>
      <c r="BZ34" s="5">
        <f t="shared" si="55"/>
        <v>0</v>
      </c>
      <c r="CA34" s="5">
        <f t="shared" si="47"/>
        <v>0</v>
      </c>
      <c r="CB34" s="5">
        <f t="shared" si="48"/>
        <v>0</v>
      </c>
      <c r="CC34" s="5">
        <f t="shared" si="56"/>
        <v>0</v>
      </c>
      <c r="CD34" s="5">
        <f t="shared" si="57"/>
        <v>0</v>
      </c>
      <c r="CE34" s="5">
        <f t="shared" si="49"/>
        <v>0</v>
      </c>
      <c r="CF34" s="5">
        <f t="shared" si="50"/>
        <v>0</v>
      </c>
      <c r="CG34" s="5">
        <f t="shared" si="51"/>
        <v>0</v>
      </c>
      <c r="CH34" s="5">
        <f t="shared" si="52"/>
        <v>0</v>
      </c>
      <c r="CI34" s="5">
        <f t="shared" si="53"/>
        <v>0</v>
      </c>
      <c r="CJ34" s="5"/>
      <c r="CK34" s="4">
        <f t="shared" ref="CK34:CK65" si="75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4"/>
        <v/>
      </c>
      <c r="B35" s="73"/>
      <c r="C35" s="72"/>
      <c r="D35" s="75"/>
      <c r="E35" s="75"/>
      <c r="F35" s="91">
        <f t="shared" si="14"/>
        <v>0</v>
      </c>
      <c r="G35" s="75"/>
      <c r="H35" s="75"/>
      <c r="I35" s="91">
        <f t="shared" si="15"/>
        <v>0</v>
      </c>
      <c r="J35" s="76"/>
      <c r="K35" s="75"/>
      <c r="L35" s="91">
        <f t="shared" si="16"/>
        <v>0</v>
      </c>
      <c r="M35" s="75"/>
      <c r="N35" s="75"/>
      <c r="O35" s="91">
        <f t="shared" si="17"/>
        <v>0</v>
      </c>
      <c r="P35" s="75"/>
      <c r="Q35" s="75"/>
      <c r="R35" s="91">
        <f t="shared" si="18"/>
        <v>0</v>
      </c>
      <c r="S35" s="75"/>
      <c r="T35" s="75"/>
      <c r="U35" s="91">
        <f t="shared" si="19"/>
        <v>0</v>
      </c>
      <c r="V35" s="75"/>
      <c r="W35" s="75"/>
      <c r="X35" s="91">
        <f t="shared" si="20"/>
        <v>0</v>
      </c>
      <c r="Y35" s="91"/>
      <c r="Z35" s="91"/>
      <c r="AA35" s="91"/>
      <c r="AB35" s="91">
        <f t="shared" si="21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2"/>
        <v>0</v>
      </c>
      <c r="AQ35" s="77"/>
      <c r="AR35" s="77"/>
      <c r="AS35" s="77"/>
      <c r="AT35" s="44">
        <f t="shared" si="23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4"/>
        <v>0</v>
      </c>
      <c r="BB35" s="5">
        <f t="shared" si="25"/>
        <v>0</v>
      </c>
      <c r="BC35" s="5">
        <f t="shared" si="26"/>
        <v>0</v>
      </c>
      <c r="BD35" s="5">
        <f t="shared" si="54"/>
        <v>0</v>
      </c>
      <c r="BE35" s="5">
        <f t="shared" si="27"/>
        <v>0</v>
      </c>
      <c r="BF35" s="5">
        <f t="shared" si="28"/>
        <v>0</v>
      </c>
      <c r="BG35" s="5">
        <f t="shared" si="29"/>
        <v>0</v>
      </c>
      <c r="BH35" s="5">
        <f t="shared" si="30"/>
        <v>0</v>
      </c>
      <c r="BI35" s="5">
        <f t="shared" si="31"/>
        <v>0</v>
      </c>
      <c r="BJ35" s="5">
        <f t="shared" si="32"/>
        <v>0</v>
      </c>
      <c r="BK35" s="5">
        <f t="shared" si="33"/>
        <v>0</v>
      </c>
      <c r="BL35" s="5">
        <f t="shared" si="34"/>
        <v>0</v>
      </c>
      <c r="BM35" s="5">
        <f t="shared" si="35"/>
        <v>0</v>
      </c>
      <c r="BN35" s="5">
        <f t="shared" si="36"/>
        <v>0</v>
      </c>
      <c r="BO35" s="5">
        <f t="shared" si="37"/>
        <v>0</v>
      </c>
      <c r="BP35" s="5">
        <f t="shared" si="38"/>
        <v>0</v>
      </c>
      <c r="BQ35" s="5">
        <f t="shared" si="39"/>
        <v>0</v>
      </c>
      <c r="BR35" s="5">
        <f t="shared" si="40"/>
        <v>0</v>
      </c>
      <c r="BS35" s="5">
        <f t="shared" si="41"/>
        <v>0</v>
      </c>
      <c r="BT35" s="5">
        <f t="shared" si="42"/>
        <v>0</v>
      </c>
      <c r="BU35" s="5">
        <f t="shared" si="43"/>
        <v>0</v>
      </c>
      <c r="BV35" s="5">
        <f t="shared" si="44"/>
        <v>0</v>
      </c>
      <c r="BW35" s="5">
        <f t="shared" si="45"/>
        <v>0</v>
      </c>
      <c r="BX35" s="5">
        <f t="shared" si="46"/>
        <v>0</v>
      </c>
      <c r="BY35" s="5">
        <f t="shared" si="11"/>
        <v>0</v>
      </c>
      <c r="BZ35" s="5">
        <f t="shared" si="55"/>
        <v>0</v>
      </c>
      <c r="CA35" s="5">
        <f t="shared" si="47"/>
        <v>0</v>
      </c>
      <c r="CB35" s="5">
        <f t="shared" si="48"/>
        <v>0</v>
      </c>
      <c r="CC35" s="5">
        <f t="shared" si="56"/>
        <v>0</v>
      </c>
      <c r="CD35" s="5">
        <f t="shared" si="57"/>
        <v>0</v>
      </c>
      <c r="CE35" s="5">
        <f t="shared" si="49"/>
        <v>0</v>
      </c>
      <c r="CF35" s="5">
        <f t="shared" si="50"/>
        <v>0</v>
      </c>
      <c r="CG35" s="5">
        <f t="shared" si="51"/>
        <v>0</v>
      </c>
      <c r="CH35" s="5">
        <f t="shared" si="52"/>
        <v>0</v>
      </c>
      <c r="CI35" s="5">
        <f t="shared" si="53"/>
        <v>0</v>
      </c>
      <c r="CJ35" s="5"/>
      <c r="CK35" s="4">
        <f t="shared" si="75"/>
        <v>0</v>
      </c>
    </row>
    <row r="36" spans="1:89" ht="38" customHeight="1">
      <c r="A36" s="74" t="str">
        <f t="shared" si="74"/>
        <v/>
      </c>
      <c r="B36" s="73"/>
      <c r="C36" s="72"/>
      <c r="D36" s="75"/>
      <c r="E36" s="75"/>
      <c r="F36" s="91">
        <f t="shared" si="14"/>
        <v>0</v>
      </c>
      <c r="G36" s="75"/>
      <c r="H36" s="75"/>
      <c r="I36" s="91">
        <f t="shared" si="15"/>
        <v>0</v>
      </c>
      <c r="J36" s="76"/>
      <c r="K36" s="75"/>
      <c r="L36" s="91">
        <f t="shared" si="16"/>
        <v>0</v>
      </c>
      <c r="M36" s="75"/>
      <c r="N36" s="75"/>
      <c r="O36" s="91">
        <f t="shared" si="17"/>
        <v>0</v>
      </c>
      <c r="P36" s="75"/>
      <c r="Q36" s="75"/>
      <c r="R36" s="91">
        <f t="shared" si="18"/>
        <v>0</v>
      </c>
      <c r="S36" s="75"/>
      <c r="T36" s="75"/>
      <c r="U36" s="91">
        <f t="shared" si="19"/>
        <v>0</v>
      </c>
      <c r="V36" s="75"/>
      <c r="W36" s="75"/>
      <c r="X36" s="91">
        <f t="shared" si="20"/>
        <v>0</v>
      </c>
      <c r="Y36" s="91"/>
      <c r="Z36" s="91"/>
      <c r="AA36" s="91"/>
      <c r="AB36" s="91">
        <f t="shared" si="21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2"/>
        <v>0</v>
      </c>
      <c r="AQ36" s="77"/>
      <c r="AR36" s="77"/>
      <c r="AS36" s="77"/>
      <c r="AT36" s="44">
        <f t="shared" si="23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4"/>
        <v>0</v>
      </c>
      <c r="BB36" s="5">
        <f t="shared" si="25"/>
        <v>0</v>
      </c>
      <c r="BC36" s="5">
        <f t="shared" si="26"/>
        <v>0</v>
      </c>
      <c r="BD36" s="5">
        <f t="shared" si="54"/>
        <v>0</v>
      </c>
      <c r="BE36" s="5">
        <f t="shared" si="27"/>
        <v>0</v>
      </c>
      <c r="BF36" s="5">
        <f t="shared" si="28"/>
        <v>0</v>
      </c>
      <c r="BG36" s="5">
        <f t="shared" si="29"/>
        <v>0</v>
      </c>
      <c r="BH36" s="5">
        <f t="shared" si="30"/>
        <v>0</v>
      </c>
      <c r="BI36" s="5">
        <f t="shared" si="31"/>
        <v>0</v>
      </c>
      <c r="BJ36" s="5">
        <f t="shared" si="32"/>
        <v>0</v>
      </c>
      <c r="BK36" s="5">
        <f t="shared" si="33"/>
        <v>0</v>
      </c>
      <c r="BL36" s="5">
        <f t="shared" si="34"/>
        <v>0</v>
      </c>
      <c r="BM36" s="5">
        <f t="shared" si="35"/>
        <v>0</v>
      </c>
      <c r="BN36" s="5">
        <f t="shared" si="36"/>
        <v>0</v>
      </c>
      <c r="BO36" s="5">
        <f t="shared" si="37"/>
        <v>0</v>
      </c>
      <c r="BP36" s="5">
        <f t="shared" si="38"/>
        <v>0</v>
      </c>
      <c r="BQ36" s="5">
        <f t="shared" si="39"/>
        <v>0</v>
      </c>
      <c r="BR36" s="5">
        <f t="shared" si="40"/>
        <v>0</v>
      </c>
      <c r="BS36" s="5">
        <f t="shared" si="41"/>
        <v>0</v>
      </c>
      <c r="BT36" s="5">
        <f t="shared" si="42"/>
        <v>0</v>
      </c>
      <c r="BU36" s="5">
        <f t="shared" si="43"/>
        <v>0</v>
      </c>
      <c r="BV36" s="5">
        <f t="shared" si="44"/>
        <v>0</v>
      </c>
      <c r="BW36" s="5">
        <f t="shared" si="45"/>
        <v>0</v>
      </c>
      <c r="BX36" s="5">
        <f t="shared" si="46"/>
        <v>0</v>
      </c>
      <c r="BY36" s="5">
        <f t="shared" si="11"/>
        <v>0</v>
      </c>
      <c r="BZ36" s="5">
        <f t="shared" si="55"/>
        <v>0</v>
      </c>
      <c r="CA36" s="5">
        <f t="shared" si="47"/>
        <v>0</v>
      </c>
      <c r="CB36" s="5">
        <f t="shared" si="48"/>
        <v>0</v>
      </c>
      <c r="CC36" s="5">
        <f t="shared" si="56"/>
        <v>0</v>
      </c>
      <c r="CD36" s="5">
        <f t="shared" si="57"/>
        <v>0</v>
      </c>
      <c r="CE36" s="5">
        <f t="shared" si="49"/>
        <v>0</v>
      </c>
      <c r="CF36" s="5">
        <f t="shared" si="50"/>
        <v>0</v>
      </c>
      <c r="CG36" s="5">
        <f t="shared" si="51"/>
        <v>0</v>
      </c>
      <c r="CH36" s="5">
        <f t="shared" si="52"/>
        <v>0</v>
      </c>
      <c r="CI36" s="5">
        <f t="shared" si="53"/>
        <v>0</v>
      </c>
      <c r="CJ36" s="5"/>
      <c r="CK36" s="4">
        <f t="shared" si="75"/>
        <v>0</v>
      </c>
    </row>
    <row r="37" spans="1:89" ht="38" customHeight="1">
      <c r="A37" s="33" t="str">
        <f t="shared" si="74"/>
        <v/>
      </c>
      <c r="B37" s="10"/>
      <c r="C37" s="87"/>
      <c r="D37" s="88"/>
      <c r="E37" s="88"/>
      <c r="F37" s="44">
        <f t="shared" si="14"/>
        <v>0</v>
      </c>
      <c r="G37" s="88"/>
      <c r="H37" s="88"/>
      <c r="I37" s="44">
        <f t="shared" si="15"/>
        <v>0</v>
      </c>
      <c r="J37" s="89"/>
      <c r="K37" s="90"/>
      <c r="L37" s="44">
        <f t="shared" si="16"/>
        <v>0</v>
      </c>
      <c r="M37" s="90"/>
      <c r="N37" s="90"/>
      <c r="O37" s="44">
        <f t="shared" si="17"/>
        <v>0</v>
      </c>
      <c r="P37" s="90"/>
      <c r="Q37" s="90"/>
      <c r="R37" s="44">
        <f t="shared" si="18"/>
        <v>0</v>
      </c>
      <c r="S37" s="90"/>
      <c r="T37" s="90"/>
      <c r="U37" s="44">
        <f t="shared" si="19"/>
        <v>0</v>
      </c>
      <c r="V37" s="90"/>
      <c r="W37" s="90"/>
      <c r="X37" s="44">
        <f t="shared" si="20"/>
        <v>0</v>
      </c>
      <c r="Y37" s="44"/>
      <c r="Z37" s="44"/>
      <c r="AA37" s="44"/>
      <c r="AB37" s="44">
        <f t="shared" si="21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2"/>
        <v>0</v>
      </c>
      <c r="AQ37" s="6"/>
      <c r="AR37" s="6"/>
      <c r="AS37" s="6"/>
      <c r="AT37" s="44">
        <f t="shared" si="23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4"/>
        <v>0</v>
      </c>
      <c r="BB37" s="5">
        <f t="shared" si="25"/>
        <v>0</v>
      </c>
      <c r="BC37" s="5">
        <f t="shared" si="26"/>
        <v>0</v>
      </c>
      <c r="BD37" s="5">
        <f t="shared" si="54"/>
        <v>0</v>
      </c>
      <c r="BE37" s="5">
        <f t="shared" si="27"/>
        <v>0</v>
      </c>
      <c r="BF37" s="5">
        <f t="shared" si="28"/>
        <v>0</v>
      </c>
      <c r="BG37" s="5">
        <f t="shared" si="29"/>
        <v>0</v>
      </c>
      <c r="BH37" s="5">
        <f t="shared" si="30"/>
        <v>0</v>
      </c>
      <c r="BI37" s="5">
        <f t="shared" si="31"/>
        <v>0</v>
      </c>
      <c r="BJ37" s="5">
        <f t="shared" si="32"/>
        <v>0</v>
      </c>
      <c r="BK37" s="5">
        <f t="shared" si="33"/>
        <v>0</v>
      </c>
      <c r="BL37" s="5">
        <f t="shared" si="34"/>
        <v>0</v>
      </c>
      <c r="BM37" s="5">
        <f t="shared" si="35"/>
        <v>0</v>
      </c>
      <c r="BN37" s="5">
        <f t="shared" si="36"/>
        <v>0</v>
      </c>
      <c r="BO37" s="5">
        <f t="shared" si="37"/>
        <v>0</v>
      </c>
      <c r="BP37" s="5">
        <f t="shared" si="38"/>
        <v>0</v>
      </c>
      <c r="BQ37" s="5">
        <f t="shared" si="39"/>
        <v>0</v>
      </c>
      <c r="BR37" s="5">
        <f t="shared" si="40"/>
        <v>0</v>
      </c>
      <c r="BS37" s="5">
        <f t="shared" si="41"/>
        <v>0</v>
      </c>
      <c r="BT37" s="5">
        <f t="shared" si="42"/>
        <v>0</v>
      </c>
      <c r="BU37" s="5">
        <f t="shared" si="43"/>
        <v>0</v>
      </c>
      <c r="BV37" s="5">
        <f t="shared" si="44"/>
        <v>0</v>
      </c>
      <c r="BW37" s="5">
        <f t="shared" si="45"/>
        <v>0</v>
      </c>
      <c r="BX37" s="5">
        <f t="shared" si="46"/>
        <v>0</v>
      </c>
      <c r="BY37" s="5">
        <f t="shared" si="11"/>
        <v>0</v>
      </c>
      <c r="BZ37" s="5">
        <f t="shared" si="55"/>
        <v>0</v>
      </c>
      <c r="CA37" s="5">
        <f t="shared" si="47"/>
        <v>0</v>
      </c>
      <c r="CB37" s="5">
        <f t="shared" si="48"/>
        <v>0</v>
      </c>
      <c r="CC37" s="5">
        <f t="shared" si="56"/>
        <v>0</v>
      </c>
      <c r="CD37" s="5">
        <f t="shared" si="57"/>
        <v>0</v>
      </c>
      <c r="CE37" s="5">
        <f t="shared" si="49"/>
        <v>0</v>
      </c>
      <c r="CF37" s="5">
        <f t="shared" si="50"/>
        <v>0</v>
      </c>
      <c r="CG37" s="5">
        <f t="shared" si="51"/>
        <v>0</v>
      </c>
      <c r="CH37" s="5">
        <f t="shared" si="52"/>
        <v>0</v>
      </c>
      <c r="CI37" s="5">
        <f t="shared" si="53"/>
        <v>0</v>
      </c>
      <c r="CJ37" s="5"/>
      <c r="CK37" s="4">
        <f t="shared" si="75"/>
        <v>0</v>
      </c>
    </row>
    <row r="38" spans="1:89" ht="38" customHeight="1">
      <c r="A38" s="33" t="str">
        <f t="shared" si="74"/>
        <v/>
      </c>
      <c r="B38" s="10"/>
      <c r="C38" s="87"/>
      <c r="D38" s="88"/>
      <c r="E38" s="88"/>
      <c r="F38" s="44">
        <f t="shared" si="14"/>
        <v>0</v>
      </c>
      <c r="G38" s="88"/>
      <c r="H38" s="88"/>
      <c r="I38" s="44">
        <f t="shared" si="15"/>
        <v>0</v>
      </c>
      <c r="J38" s="89"/>
      <c r="K38" s="90"/>
      <c r="L38" s="44">
        <f t="shared" si="16"/>
        <v>0</v>
      </c>
      <c r="M38" s="89"/>
      <c r="N38" s="90"/>
      <c r="O38" s="44">
        <f t="shared" si="17"/>
        <v>0</v>
      </c>
      <c r="P38" s="90"/>
      <c r="Q38" s="90"/>
      <c r="R38" s="44">
        <f t="shared" si="18"/>
        <v>0</v>
      </c>
      <c r="S38" s="90"/>
      <c r="T38" s="90"/>
      <c r="U38" s="44">
        <f t="shared" si="19"/>
        <v>0</v>
      </c>
      <c r="V38" s="90"/>
      <c r="W38" s="90"/>
      <c r="X38" s="44">
        <f t="shared" si="20"/>
        <v>0</v>
      </c>
      <c r="Y38" s="44"/>
      <c r="Z38" s="44"/>
      <c r="AA38" s="44"/>
      <c r="AB38" s="44">
        <f t="shared" si="21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2"/>
        <v>0</v>
      </c>
      <c r="AQ38" s="6"/>
      <c r="AR38" s="6"/>
      <c r="AS38" s="6"/>
      <c r="AT38" s="44">
        <f t="shared" si="23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4"/>
        <v>0</v>
      </c>
      <c r="BB38" s="5">
        <f t="shared" si="25"/>
        <v>0</v>
      </c>
      <c r="BC38" s="5">
        <f t="shared" si="26"/>
        <v>0</v>
      </c>
      <c r="BD38" s="5">
        <f t="shared" si="54"/>
        <v>0</v>
      </c>
      <c r="BE38" s="5">
        <f t="shared" si="27"/>
        <v>0</v>
      </c>
      <c r="BF38" s="5">
        <f t="shared" si="28"/>
        <v>0</v>
      </c>
      <c r="BG38" s="5">
        <f t="shared" si="29"/>
        <v>0</v>
      </c>
      <c r="BH38" s="5">
        <f t="shared" si="30"/>
        <v>0</v>
      </c>
      <c r="BI38" s="5">
        <f t="shared" si="31"/>
        <v>0</v>
      </c>
      <c r="BJ38" s="5">
        <f t="shared" si="32"/>
        <v>0</v>
      </c>
      <c r="BK38" s="5">
        <f t="shared" si="33"/>
        <v>0</v>
      </c>
      <c r="BL38" s="5">
        <f t="shared" si="34"/>
        <v>0</v>
      </c>
      <c r="BM38" s="5">
        <f t="shared" si="35"/>
        <v>0</v>
      </c>
      <c r="BN38" s="5">
        <f t="shared" si="36"/>
        <v>0</v>
      </c>
      <c r="BO38" s="5">
        <f t="shared" si="37"/>
        <v>0</v>
      </c>
      <c r="BP38" s="5">
        <f t="shared" si="38"/>
        <v>0</v>
      </c>
      <c r="BQ38" s="5">
        <f t="shared" si="39"/>
        <v>0</v>
      </c>
      <c r="BR38" s="5">
        <f t="shared" si="40"/>
        <v>0</v>
      </c>
      <c r="BS38" s="5">
        <f t="shared" si="41"/>
        <v>0</v>
      </c>
      <c r="BT38" s="5">
        <f t="shared" si="42"/>
        <v>0</v>
      </c>
      <c r="BU38" s="5">
        <f t="shared" si="43"/>
        <v>0</v>
      </c>
      <c r="BV38" s="5">
        <f t="shared" si="44"/>
        <v>0</v>
      </c>
      <c r="BW38" s="5">
        <f t="shared" si="45"/>
        <v>0</v>
      </c>
      <c r="BX38" s="5">
        <f t="shared" si="46"/>
        <v>0</v>
      </c>
      <c r="BY38" s="5">
        <f t="shared" si="11"/>
        <v>0</v>
      </c>
      <c r="BZ38" s="5">
        <f t="shared" si="55"/>
        <v>0</v>
      </c>
      <c r="CA38" s="5">
        <f t="shared" si="47"/>
        <v>0</v>
      </c>
      <c r="CB38" s="5">
        <f t="shared" si="48"/>
        <v>0</v>
      </c>
      <c r="CC38" s="5">
        <f t="shared" si="56"/>
        <v>0</v>
      </c>
      <c r="CD38" s="5">
        <f t="shared" si="57"/>
        <v>0</v>
      </c>
      <c r="CE38" s="5">
        <f t="shared" si="49"/>
        <v>0</v>
      </c>
      <c r="CF38" s="5">
        <f t="shared" si="50"/>
        <v>0</v>
      </c>
      <c r="CG38" s="5">
        <f t="shared" si="51"/>
        <v>0</v>
      </c>
      <c r="CH38" s="5">
        <f t="shared" si="52"/>
        <v>0</v>
      </c>
      <c r="CI38" s="5">
        <f t="shared" si="53"/>
        <v>0</v>
      </c>
      <c r="CJ38" s="5"/>
      <c r="CK38" s="4">
        <f t="shared" si="75"/>
        <v>0</v>
      </c>
    </row>
    <row r="39" spans="1:89" ht="38" customHeight="1">
      <c r="A39" s="33" t="str">
        <f t="shared" si="74"/>
        <v/>
      </c>
      <c r="B39" s="10"/>
      <c r="C39" s="87"/>
      <c r="D39" s="88"/>
      <c r="E39" s="88"/>
      <c r="F39" s="44">
        <f t="shared" si="14"/>
        <v>0</v>
      </c>
      <c r="G39" s="88"/>
      <c r="H39" s="88"/>
      <c r="I39" s="44">
        <f t="shared" si="15"/>
        <v>0</v>
      </c>
      <c r="J39" s="89"/>
      <c r="K39" s="90"/>
      <c r="L39" s="44">
        <f t="shared" si="16"/>
        <v>0</v>
      </c>
      <c r="M39" s="90"/>
      <c r="N39" s="90"/>
      <c r="O39" s="44">
        <f t="shared" si="17"/>
        <v>0</v>
      </c>
      <c r="P39" s="90"/>
      <c r="Q39" s="90"/>
      <c r="R39" s="44">
        <f t="shared" si="18"/>
        <v>0</v>
      </c>
      <c r="S39" s="90"/>
      <c r="T39" s="90"/>
      <c r="U39" s="44">
        <f t="shared" si="19"/>
        <v>0</v>
      </c>
      <c r="V39" s="90"/>
      <c r="W39" s="90"/>
      <c r="X39" s="44">
        <f t="shared" si="20"/>
        <v>0</v>
      </c>
      <c r="Y39" s="44"/>
      <c r="Z39" s="44"/>
      <c r="AA39" s="44"/>
      <c r="AB39" s="44">
        <f t="shared" si="21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2"/>
        <v>0</v>
      </c>
      <c r="AQ39" s="6"/>
      <c r="AR39" s="6"/>
      <c r="AS39" s="6"/>
      <c r="AT39" s="44">
        <f t="shared" si="23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4"/>
        <v>0</v>
      </c>
      <c r="BB39" s="5">
        <f t="shared" si="25"/>
        <v>0</v>
      </c>
      <c r="BC39" s="5">
        <f t="shared" si="26"/>
        <v>0</v>
      </c>
      <c r="BD39" s="5">
        <f t="shared" si="54"/>
        <v>0</v>
      </c>
      <c r="BE39" s="5">
        <f t="shared" si="27"/>
        <v>0</v>
      </c>
      <c r="BF39" s="5">
        <f t="shared" si="28"/>
        <v>0</v>
      </c>
      <c r="BG39" s="5">
        <f t="shared" si="29"/>
        <v>0</v>
      </c>
      <c r="BH39" s="5">
        <f t="shared" si="30"/>
        <v>0</v>
      </c>
      <c r="BI39" s="5">
        <f t="shared" si="31"/>
        <v>0</v>
      </c>
      <c r="BJ39" s="5">
        <f t="shared" si="32"/>
        <v>0</v>
      </c>
      <c r="BK39" s="5">
        <f t="shared" si="33"/>
        <v>0</v>
      </c>
      <c r="BL39" s="5">
        <f t="shared" si="34"/>
        <v>0</v>
      </c>
      <c r="BM39" s="5">
        <f t="shared" si="35"/>
        <v>0</v>
      </c>
      <c r="BN39" s="5">
        <f t="shared" si="36"/>
        <v>0</v>
      </c>
      <c r="BO39" s="5">
        <f t="shared" si="37"/>
        <v>0</v>
      </c>
      <c r="BP39" s="5">
        <f t="shared" si="38"/>
        <v>0</v>
      </c>
      <c r="BQ39" s="5">
        <f t="shared" si="39"/>
        <v>0</v>
      </c>
      <c r="BR39" s="5">
        <f t="shared" si="40"/>
        <v>0</v>
      </c>
      <c r="BS39" s="5">
        <f t="shared" si="41"/>
        <v>0</v>
      </c>
      <c r="BT39" s="5">
        <f t="shared" si="42"/>
        <v>0</v>
      </c>
      <c r="BU39" s="5">
        <f t="shared" si="43"/>
        <v>0</v>
      </c>
      <c r="BV39" s="5">
        <f t="shared" si="44"/>
        <v>0</v>
      </c>
      <c r="BW39" s="5">
        <f t="shared" si="45"/>
        <v>0</v>
      </c>
      <c r="BX39" s="5">
        <f t="shared" si="46"/>
        <v>0</v>
      </c>
      <c r="BY39" s="5">
        <f t="shared" si="11"/>
        <v>0</v>
      </c>
      <c r="BZ39" s="5">
        <f t="shared" si="55"/>
        <v>0</v>
      </c>
      <c r="CA39" s="5">
        <f t="shared" si="47"/>
        <v>0</v>
      </c>
      <c r="CB39" s="5">
        <f t="shared" si="48"/>
        <v>0</v>
      </c>
      <c r="CC39" s="5">
        <f t="shared" si="56"/>
        <v>0</v>
      </c>
      <c r="CD39" s="5">
        <f t="shared" si="57"/>
        <v>0</v>
      </c>
      <c r="CE39" s="5">
        <f t="shared" si="49"/>
        <v>0</v>
      </c>
      <c r="CF39" s="5">
        <f t="shared" si="50"/>
        <v>0</v>
      </c>
      <c r="CG39" s="5">
        <f t="shared" si="51"/>
        <v>0</v>
      </c>
      <c r="CH39" s="5">
        <f t="shared" si="52"/>
        <v>0</v>
      </c>
      <c r="CI39" s="5">
        <f t="shared" si="53"/>
        <v>0</v>
      </c>
      <c r="CJ39" s="5"/>
      <c r="CK39" s="4">
        <f t="shared" si="75"/>
        <v>0</v>
      </c>
    </row>
    <row r="40" spans="1:89" ht="38" customHeight="1">
      <c r="A40" s="33" t="str">
        <f t="shared" si="74"/>
        <v/>
      </c>
      <c r="B40" s="10"/>
      <c r="C40" s="87"/>
      <c r="D40" s="88"/>
      <c r="E40" s="88"/>
      <c r="F40" s="44">
        <f t="shared" si="14"/>
        <v>0</v>
      </c>
      <c r="G40" s="88"/>
      <c r="H40" s="88"/>
      <c r="I40" s="44">
        <f t="shared" si="15"/>
        <v>0</v>
      </c>
      <c r="J40" s="89"/>
      <c r="K40" s="90"/>
      <c r="L40" s="44">
        <f t="shared" si="16"/>
        <v>0</v>
      </c>
      <c r="M40" s="90"/>
      <c r="N40" s="90"/>
      <c r="O40" s="44">
        <f t="shared" si="17"/>
        <v>0</v>
      </c>
      <c r="P40" s="90"/>
      <c r="Q40" s="90"/>
      <c r="R40" s="44">
        <f t="shared" si="18"/>
        <v>0</v>
      </c>
      <c r="S40" s="90"/>
      <c r="T40" s="90"/>
      <c r="U40" s="44">
        <f t="shared" si="19"/>
        <v>0</v>
      </c>
      <c r="V40" s="90"/>
      <c r="W40" s="90"/>
      <c r="X40" s="44">
        <f t="shared" si="20"/>
        <v>0</v>
      </c>
      <c r="Y40" s="44"/>
      <c r="Z40" s="44"/>
      <c r="AA40" s="44"/>
      <c r="AB40" s="44">
        <f t="shared" si="21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2"/>
        <v>0</v>
      </c>
      <c r="AQ40" s="6"/>
      <c r="AR40" s="6"/>
      <c r="AS40" s="6"/>
      <c r="AT40" s="44">
        <f t="shared" si="23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4"/>
        <v>0</v>
      </c>
      <c r="BB40" s="5">
        <f t="shared" si="25"/>
        <v>0</v>
      </c>
      <c r="BC40" s="5">
        <f t="shared" si="26"/>
        <v>0</v>
      </c>
      <c r="BD40" s="5">
        <f t="shared" si="54"/>
        <v>0</v>
      </c>
      <c r="BE40" s="5">
        <f t="shared" si="27"/>
        <v>0</v>
      </c>
      <c r="BF40" s="5">
        <f t="shared" si="28"/>
        <v>0</v>
      </c>
      <c r="BG40" s="5">
        <f t="shared" si="29"/>
        <v>0</v>
      </c>
      <c r="BH40" s="5">
        <f t="shared" si="30"/>
        <v>0</v>
      </c>
      <c r="BI40" s="5">
        <f t="shared" si="31"/>
        <v>0</v>
      </c>
      <c r="BJ40" s="5">
        <f t="shared" si="32"/>
        <v>0</v>
      </c>
      <c r="BK40" s="5">
        <f t="shared" si="33"/>
        <v>0</v>
      </c>
      <c r="BL40" s="5">
        <f t="shared" si="34"/>
        <v>0</v>
      </c>
      <c r="BM40" s="5">
        <f t="shared" si="35"/>
        <v>0</v>
      </c>
      <c r="BN40" s="5">
        <f t="shared" si="36"/>
        <v>0</v>
      </c>
      <c r="BO40" s="5">
        <f t="shared" si="37"/>
        <v>0</v>
      </c>
      <c r="BP40" s="5">
        <f t="shared" si="38"/>
        <v>0</v>
      </c>
      <c r="BQ40" s="5">
        <f t="shared" si="39"/>
        <v>0</v>
      </c>
      <c r="BR40" s="5">
        <f t="shared" si="40"/>
        <v>0</v>
      </c>
      <c r="BS40" s="5">
        <f t="shared" si="41"/>
        <v>0</v>
      </c>
      <c r="BT40" s="5">
        <f t="shared" si="42"/>
        <v>0</v>
      </c>
      <c r="BU40" s="5">
        <f t="shared" si="43"/>
        <v>0</v>
      </c>
      <c r="BV40" s="5">
        <f t="shared" si="44"/>
        <v>0</v>
      </c>
      <c r="BW40" s="5">
        <f t="shared" si="45"/>
        <v>0</v>
      </c>
      <c r="BX40" s="5">
        <f t="shared" si="46"/>
        <v>0</v>
      </c>
      <c r="BY40" s="5">
        <f t="shared" si="11"/>
        <v>0</v>
      </c>
      <c r="BZ40" s="5">
        <f t="shared" si="55"/>
        <v>0</v>
      </c>
      <c r="CA40" s="5">
        <f t="shared" si="47"/>
        <v>0</v>
      </c>
      <c r="CB40" s="5">
        <f t="shared" si="48"/>
        <v>0</v>
      </c>
      <c r="CC40" s="5">
        <f t="shared" si="56"/>
        <v>0</v>
      </c>
      <c r="CD40" s="5">
        <f t="shared" si="57"/>
        <v>0</v>
      </c>
      <c r="CE40" s="5">
        <f t="shared" si="49"/>
        <v>0</v>
      </c>
      <c r="CF40" s="5">
        <f t="shared" si="50"/>
        <v>0</v>
      </c>
      <c r="CG40" s="5">
        <f t="shared" si="51"/>
        <v>0</v>
      </c>
      <c r="CH40" s="5">
        <f t="shared" si="52"/>
        <v>0</v>
      </c>
      <c r="CI40" s="5">
        <f t="shared" si="53"/>
        <v>0</v>
      </c>
      <c r="CJ40" s="5"/>
      <c r="CK40" s="4">
        <f t="shared" si="75"/>
        <v>0</v>
      </c>
    </row>
    <row r="41" spans="1:89" ht="38" customHeight="1">
      <c r="A41" s="33" t="str">
        <f t="shared" si="74"/>
        <v/>
      </c>
      <c r="B41" s="10"/>
      <c r="C41" s="87"/>
      <c r="D41" s="88"/>
      <c r="E41" s="88"/>
      <c r="F41" s="44">
        <f t="shared" ref="F41:F60" si="76">BA41-BB41</f>
        <v>0</v>
      </c>
      <c r="G41" s="88"/>
      <c r="H41" s="88"/>
      <c r="I41" s="44">
        <f t="shared" ref="I41:I60" si="77">BF41-BG41</f>
        <v>0</v>
      </c>
      <c r="J41" s="89"/>
      <c r="K41" s="90"/>
      <c r="L41" s="44">
        <f t="shared" ref="L41:L60" si="78">BK41-BL41</f>
        <v>0</v>
      </c>
      <c r="M41" s="90"/>
      <c r="N41" s="90"/>
      <c r="O41" s="44">
        <f t="shared" ref="O41:O60" si="79">BP41-BQ41</f>
        <v>0</v>
      </c>
      <c r="P41" s="90"/>
      <c r="Q41" s="90"/>
      <c r="R41" s="44">
        <f t="shared" ref="R41:R60" si="80">BU41-BV41</f>
        <v>0</v>
      </c>
      <c r="S41" s="90"/>
      <c r="T41" s="90"/>
      <c r="U41" s="44">
        <f t="shared" ref="U41:U60" si="81">BZ41-CA41</f>
        <v>0</v>
      </c>
      <c r="V41" s="90"/>
      <c r="W41" s="90"/>
      <c r="X41" s="44">
        <f t="shared" ref="X41:X60" si="82">CE41-CF41</f>
        <v>0</v>
      </c>
      <c r="Y41" s="44"/>
      <c r="Z41" s="44"/>
      <c r="AA41" s="44"/>
      <c r="AB41" s="44">
        <f t="shared" ref="AB41:AB60" si="83">SUM(F41,I41,L41,O41,R41,U41,X41)</f>
        <v>0</v>
      </c>
      <c r="AC41" s="23"/>
      <c r="AD41" s="6"/>
      <c r="AE41" s="7">
        <f t="shared" ref="AE41:AE60" si="84">SUMIF($BC$1:$CI$1,AE$1,$BC41:$CI41)+AD41</f>
        <v>0</v>
      </c>
      <c r="AF41" s="6"/>
      <c r="AG41" s="7">
        <f t="shared" ref="AG41:AG60" si="85">SUMIF($BC$1:$CI$1,AG$1,$BC41:$CI41)+AF41</f>
        <v>0</v>
      </c>
      <c r="AH41" s="6"/>
      <c r="AI41" s="7">
        <f t="shared" ref="AI41:AI60" si="86">SUMIF($BC$1:$CI$1,AI$1,$BC41:$CI41)+AH41</f>
        <v>0</v>
      </c>
      <c r="AJ41" s="6"/>
      <c r="AK41" s="7">
        <f t="shared" ref="AK41:AK60" si="87">SUMIF($BC$1:$CI$1,AK$1,$BC41:$CI41)+AJ41</f>
        <v>0</v>
      </c>
      <c r="AL41" s="6"/>
      <c r="AM41" s="7">
        <f t="shared" ref="AM41:AM60" si="88">SUMIF($BC$1:$CI$1,AM$1,$BC41:$CI41)+AL41</f>
        <v>0</v>
      </c>
      <c r="AN41" s="6"/>
      <c r="AO41" s="7">
        <f t="shared" ref="AO41:AO60" si="89">SUMIF($BC$1:$CI$1,AO$1,$BC41:$CI41)+AN41</f>
        <v>0</v>
      </c>
      <c r="AP41" s="30">
        <f t="shared" ref="AP41:AP60" si="90">CK41</f>
        <v>0</v>
      </c>
      <c r="AQ41" s="6"/>
      <c r="AR41" s="6"/>
      <c r="AS41" s="6"/>
      <c r="AT41" s="44">
        <f t="shared" ref="AT41:AT60" si="91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4"/>
        <v>0</v>
      </c>
      <c r="BB41" s="5">
        <f t="shared" si="25"/>
        <v>0</v>
      </c>
      <c r="BC41" s="5">
        <f t="shared" si="26"/>
        <v>0</v>
      </c>
      <c r="BD41" s="5">
        <f t="shared" si="54"/>
        <v>0</v>
      </c>
      <c r="BE41" s="5">
        <f t="shared" si="27"/>
        <v>0</v>
      </c>
      <c r="BF41" s="5">
        <f t="shared" si="28"/>
        <v>0</v>
      </c>
      <c r="BG41" s="5">
        <f t="shared" si="29"/>
        <v>0</v>
      </c>
      <c r="BH41" s="5">
        <f t="shared" si="30"/>
        <v>0</v>
      </c>
      <c r="BI41" s="5">
        <f t="shared" si="31"/>
        <v>0</v>
      </c>
      <c r="BJ41" s="5">
        <f t="shared" si="32"/>
        <v>0</v>
      </c>
      <c r="BK41" s="5">
        <f t="shared" si="33"/>
        <v>0</v>
      </c>
      <c r="BL41" s="5">
        <f t="shared" si="34"/>
        <v>0</v>
      </c>
      <c r="BM41" s="5">
        <f t="shared" si="35"/>
        <v>0</v>
      </c>
      <c r="BN41" s="5">
        <f t="shared" si="36"/>
        <v>0</v>
      </c>
      <c r="BO41" s="5">
        <f t="shared" si="37"/>
        <v>0</v>
      </c>
      <c r="BP41" s="5">
        <f t="shared" si="38"/>
        <v>0</v>
      </c>
      <c r="BQ41" s="5">
        <f t="shared" si="39"/>
        <v>0</v>
      </c>
      <c r="BR41" s="5">
        <f t="shared" si="40"/>
        <v>0</v>
      </c>
      <c r="BS41" s="5">
        <f t="shared" si="41"/>
        <v>0</v>
      </c>
      <c r="BT41" s="5">
        <f t="shared" si="42"/>
        <v>0</v>
      </c>
      <c r="BU41" s="5">
        <f t="shared" si="43"/>
        <v>0</v>
      </c>
      <c r="BV41" s="5">
        <f t="shared" si="44"/>
        <v>0</v>
      </c>
      <c r="BW41" s="5">
        <f t="shared" si="45"/>
        <v>0</v>
      </c>
      <c r="BX41" s="5">
        <f t="shared" si="46"/>
        <v>0</v>
      </c>
      <c r="BY41" s="5">
        <f t="shared" si="11"/>
        <v>0</v>
      </c>
      <c r="BZ41" s="5">
        <f t="shared" si="55"/>
        <v>0</v>
      </c>
      <c r="CA41" s="5">
        <f t="shared" si="47"/>
        <v>0</v>
      </c>
      <c r="CB41" s="5">
        <f t="shared" si="48"/>
        <v>0</v>
      </c>
      <c r="CC41" s="5">
        <f t="shared" si="56"/>
        <v>0</v>
      </c>
      <c r="CD41" s="5">
        <f t="shared" si="57"/>
        <v>0</v>
      </c>
      <c r="CE41" s="5">
        <f t="shared" si="49"/>
        <v>0</v>
      </c>
      <c r="CF41" s="5">
        <f t="shared" si="50"/>
        <v>0</v>
      </c>
      <c r="CG41" s="5">
        <f t="shared" si="51"/>
        <v>0</v>
      </c>
      <c r="CH41" s="5">
        <f t="shared" si="52"/>
        <v>0</v>
      </c>
      <c r="CI41" s="5">
        <f t="shared" si="53"/>
        <v>0</v>
      </c>
      <c r="CJ41" s="5"/>
      <c r="CK41" s="4">
        <f t="shared" si="75"/>
        <v>0</v>
      </c>
    </row>
    <row r="42" spans="1:89" ht="38" customHeight="1">
      <c r="A42" s="33" t="str">
        <f t="shared" si="74"/>
        <v/>
      </c>
      <c r="B42" s="10"/>
      <c r="C42" s="87"/>
      <c r="D42" s="88"/>
      <c r="E42" s="88"/>
      <c r="F42" s="44">
        <f t="shared" si="76"/>
        <v>0</v>
      </c>
      <c r="G42" s="88"/>
      <c r="H42" s="88"/>
      <c r="I42" s="44">
        <f t="shared" si="77"/>
        <v>0</v>
      </c>
      <c r="J42" s="89"/>
      <c r="K42" s="90"/>
      <c r="L42" s="44">
        <f t="shared" si="78"/>
        <v>0</v>
      </c>
      <c r="M42" s="90"/>
      <c r="N42" s="90"/>
      <c r="O42" s="44">
        <f t="shared" si="79"/>
        <v>0</v>
      </c>
      <c r="P42" s="90"/>
      <c r="Q42" s="90"/>
      <c r="R42" s="44">
        <f t="shared" si="80"/>
        <v>0</v>
      </c>
      <c r="S42" s="90"/>
      <c r="T42" s="90"/>
      <c r="U42" s="44">
        <f t="shared" si="81"/>
        <v>0</v>
      </c>
      <c r="V42" s="90"/>
      <c r="W42" s="90"/>
      <c r="X42" s="44">
        <f t="shared" si="82"/>
        <v>0</v>
      </c>
      <c r="Y42" s="44"/>
      <c r="Z42" s="44"/>
      <c r="AA42" s="44"/>
      <c r="AB42" s="44">
        <f t="shared" si="83"/>
        <v>0</v>
      </c>
      <c r="AC42" s="23"/>
      <c r="AD42" s="6"/>
      <c r="AE42" s="7">
        <f t="shared" si="84"/>
        <v>0</v>
      </c>
      <c r="AF42" s="6"/>
      <c r="AG42" s="7">
        <f t="shared" si="85"/>
        <v>0</v>
      </c>
      <c r="AH42" s="6"/>
      <c r="AI42" s="7">
        <f t="shared" si="86"/>
        <v>0</v>
      </c>
      <c r="AJ42" s="6"/>
      <c r="AK42" s="7">
        <f t="shared" si="87"/>
        <v>0</v>
      </c>
      <c r="AL42" s="6"/>
      <c r="AM42" s="7">
        <f t="shared" si="88"/>
        <v>0</v>
      </c>
      <c r="AN42" s="6"/>
      <c r="AO42" s="7">
        <f t="shared" si="89"/>
        <v>0</v>
      </c>
      <c r="AP42" s="30">
        <f t="shared" si="90"/>
        <v>0</v>
      </c>
      <c r="AQ42" s="6"/>
      <c r="AR42" s="6"/>
      <c r="AS42" s="6"/>
      <c r="AT42" s="44">
        <f t="shared" si="91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4"/>
        <v>0</v>
      </c>
      <c r="BB42" s="5">
        <f t="shared" si="25"/>
        <v>0</v>
      </c>
      <c r="BC42" s="5">
        <f t="shared" si="26"/>
        <v>0</v>
      </c>
      <c r="BD42" s="5">
        <f t="shared" si="54"/>
        <v>0</v>
      </c>
      <c r="BE42" s="5">
        <f t="shared" si="27"/>
        <v>0</v>
      </c>
      <c r="BF42" s="5">
        <f t="shared" si="28"/>
        <v>0</v>
      </c>
      <c r="BG42" s="5">
        <f t="shared" si="29"/>
        <v>0</v>
      </c>
      <c r="BH42" s="5">
        <f t="shared" si="30"/>
        <v>0</v>
      </c>
      <c r="BI42" s="5">
        <f t="shared" si="31"/>
        <v>0</v>
      </c>
      <c r="BJ42" s="5">
        <f t="shared" si="32"/>
        <v>0</v>
      </c>
      <c r="BK42" s="5">
        <f t="shared" si="33"/>
        <v>0</v>
      </c>
      <c r="BL42" s="5">
        <f t="shared" si="34"/>
        <v>0</v>
      </c>
      <c r="BM42" s="5">
        <f t="shared" si="35"/>
        <v>0</v>
      </c>
      <c r="BN42" s="5">
        <f t="shared" si="36"/>
        <v>0</v>
      </c>
      <c r="BO42" s="5">
        <f t="shared" si="37"/>
        <v>0</v>
      </c>
      <c r="BP42" s="5">
        <f t="shared" si="38"/>
        <v>0</v>
      </c>
      <c r="BQ42" s="5">
        <f t="shared" si="39"/>
        <v>0</v>
      </c>
      <c r="BR42" s="5">
        <f t="shared" si="40"/>
        <v>0</v>
      </c>
      <c r="BS42" s="5">
        <f t="shared" si="41"/>
        <v>0</v>
      </c>
      <c r="BT42" s="5">
        <f t="shared" si="42"/>
        <v>0</v>
      </c>
      <c r="BU42" s="5">
        <f t="shared" si="43"/>
        <v>0</v>
      </c>
      <c r="BV42" s="5">
        <f t="shared" si="44"/>
        <v>0</v>
      </c>
      <c r="BW42" s="5">
        <f t="shared" si="45"/>
        <v>0</v>
      </c>
      <c r="BX42" s="5">
        <f t="shared" si="46"/>
        <v>0</v>
      </c>
      <c r="BY42" s="5">
        <f t="shared" si="11"/>
        <v>0</v>
      </c>
      <c r="BZ42" s="5">
        <f t="shared" si="55"/>
        <v>0</v>
      </c>
      <c r="CA42" s="5">
        <f t="shared" si="47"/>
        <v>0</v>
      </c>
      <c r="CB42" s="5">
        <f t="shared" si="48"/>
        <v>0</v>
      </c>
      <c r="CC42" s="5">
        <f t="shared" si="56"/>
        <v>0</v>
      </c>
      <c r="CD42" s="5">
        <f t="shared" si="57"/>
        <v>0</v>
      </c>
      <c r="CE42" s="5">
        <f t="shared" si="49"/>
        <v>0</v>
      </c>
      <c r="CF42" s="5">
        <f t="shared" si="50"/>
        <v>0</v>
      </c>
      <c r="CG42" s="5">
        <f t="shared" si="51"/>
        <v>0</v>
      </c>
      <c r="CH42" s="5">
        <f t="shared" si="52"/>
        <v>0</v>
      </c>
      <c r="CI42" s="5">
        <f t="shared" si="53"/>
        <v>0</v>
      </c>
      <c r="CJ42" s="5"/>
      <c r="CK42" s="4">
        <f t="shared" si="75"/>
        <v>0</v>
      </c>
    </row>
    <row r="43" spans="1:89" ht="38" customHeight="1">
      <c r="A43" s="33" t="str">
        <f t="shared" si="74"/>
        <v/>
      </c>
      <c r="B43" s="10"/>
      <c r="C43" s="87"/>
      <c r="D43" s="88"/>
      <c r="E43" s="88"/>
      <c r="F43" s="44">
        <f t="shared" si="76"/>
        <v>0</v>
      </c>
      <c r="G43" s="88"/>
      <c r="H43" s="88"/>
      <c r="I43" s="44">
        <f t="shared" si="77"/>
        <v>0</v>
      </c>
      <c r="J43" s="89"/>
      <c r="K43" s="90"/>
      <c r="L43" s="44">
        <f t="shared" si="78"/>
        <v>0</v>
      </c>
      <c r="M43" s="90"/>
      <c r="N43" s="90"/>
      <c r="O43" s="44">
        <f t="shared" si="79"/>
        <v>0</v>
      </c>
      <c r="P43" s="90"/>
      <c r="Q43" s="90"/>
      <c r="R43" s="44">
        <f t="shared" si="80"/>
        <v>0</v>
      </c>
      <c r="S43" s="90"/>
      <c r="T43" s="90"/>
      <c r="U43" s="44">
        <f t="shared" si="81"/>
        <v>0</v>
      </c>
      <c r="V43" s="90"/>
      <c r="W43" s="90"/>
      <c r="X43" s="44">
        <f t="shared" si="82"/>
        <v>0</v>
      </c>
      <c r="Y43" s="44"/>
      <c r="Z43" s="44"/>
      <c r="AA43" s="44"/>
      <c r="AB43" s="44">
        <f t="shared" si="83"/>
        <v>0</v>
      </c>
      <c r="AC43" s="23"/>
      <c r="AD43" s="6"/>
      <c r="AE43" s="7">
        <f t="shared" si="84"/>
        <v>0</v>
      </c>
      <c r="AF43" s="6"/>
      <c r="AG43" s="7">
        <f t="shared" si="85"/>
        <v>0</v>
      </c>
      <c r="AH43" s="6"/>
      <c r="AI43" s="7">
        <f t="shared" si="86"/>
        <v>0</v>
      </c>
      <c r="AJ43" s="6"/>
      <c r="AK43" s="7">
        <f t="shared" si="87"/>
        <v>0</v>
      </c>
      <c r="AL43" s="6"/>
      <c r="AM43" s="7">
        <f t="shared" si="88"/>
        <v>0</v>
      </c>
      <c r="AN43" s="6"/>
      <c r="AO43" s="7">
        <f t="shared" si="89"/>
        <v>0</v>
      </c>
      <c r="AP43" s="30">
        <f t="shared" si="90"/>
        <v>0</v>
      </c>
      <c r="AQ43" s="6"/>
      <c r="AR43" s="6"/>
      <c r="AS43" s="6"/>
      <c r="AT43" s="44">
        <f t="shared" si="91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4"/>
        <v>0</v>
      </c>
      <c r="BB43" s="5">
        <f t="shared" si="25"/>
        <v>0</v>
      </c>
      <c r="BC43" s="5">
        <f t="shared" si="26"/>
        <v>0</v>
      </c>
      <c r="BD43" s="5">
        <f t="shared" si="54"/>
        <v>0</v>
      </c>
      <c r="BE43" s="5">
        <f t="shared" si="27"/>
        <v>0</v>
      </c>
      <c r="BF43" s="5">
        <f t="shared" si="28"/>
        <v>0</v>
      </c>
      <c r="BG43" s="5">
        <f t="shared" si="29"/>
        <v>0</v>
      </c>
      <c r="BH43" s="5">
        <f t="shared" si="30"/>
        <v>0</v>
      </c>
      <c r="BI43" s="5">
        <f t="shared" si="31"/>
        <v>0</v>
      </c>
      <c r="BJ43" s="5">
        <f t="shared" si="32"/>
        <v>0</v>
      </c>
      <c r="BK43" s="5">
        <f t="shared" si="33"/>
        <v>0</v>
      </c>
      <c r="BL43" s="5">
        <f t="shared" si="34"/>
        <v>0</v>
      </c>
      <c r="BM43" s="5">
        <f t="shared" si="35"/>
        <v>0</v>
      </c>
      <c r="BN43" s="5">
        <f t="shared" si="36"/>
        <v>0</v>
      </c>
      <c r="BO43" s="5">
        <f t="shared" si="37"/>
        <v>0</v>
      </c>
      <c r="BP43" s="5">
        <f t="shared" si="38"/>
        <v>0</v>
      </c>
      <c r="BQ43" s="5">
        <f t="shared" si="39"/>
        <v>0</v>
      </c>
      <c r="BR43" s="5">
        <f t="shared" si="40"/>
        <v>0</v>
      </c>
      <c r="BS43" s="5">
        <f t="shared" si="41"/>
        <v>0</v>
      </c>
      <c r="BT43" s="5">
        <f t="shared" si="42"/>
        <v>0</v>
      </c>
      <c r="BU43" s="5">
        <f t="shared" si="43"/>
        <v>0</v>
      </c>
      <c r="BV43" s="5">
        <f t="shared" si="44"/>
        <v>0</v>
      </c>
      <c r="BW43" s="5">
        <f t="shared" si="45"/>
        <v>0</v>
      </c>
      <c r="BX43" s="5">
        <f t="shared" si="46"/>
        <v>0</v>
      </c>
      <c r="BY43" s="5">
        <f t="shared" si="11"/>
        <v>0</v>
      </c>
      <c r="BZ43" s="5">
        <f t="shared" si="55"/>
        <v>0</v>
      </c>
      <c r="CA43" s="5">
        <f t="shared" si="47"/>
        <v>0</v>
      </c>
      <c r="CB43" s="5">
        <f t="shared" si="48"/>
        <v>0</v>
      </c>
      <c r="CC43" s="5">
        <f t="shared" si="56"/>
        <v>0</v>
      </c>
      <c r="CD43" s="5">
        <f t="shared" si="57"/>
        <v>0</v>
      </c>
      <c r="CE43" s="5">
        <f t="shared" si="49"/>
        <v>0</v>
      </c>
      <c r="CF43" s="5">
        <f t="shared" si="50"/>
        <v>0</v>
      </c>
      <c r="CG43" s="5">
        <f t="shared" si="51"/>
        <v>0</v>
      </c>
      <c r="CH43" s="5">
        <f t="shared" si="52"/>
        <v>0</v>
      </c>
      <c r="CI43" s="5">
        <f t="shared" si="53"/>
        <v>0</v>
      </c>
      <c r="CJ43" s="5"/>
      <c r="CK43" s="4">
        <f t="shared" si="75"/>
        <v>0</v>
      </c>
    </row>
    <row r="44" spans="1:89" ht="38" customHeight="1">
      <c r="A44" s="33" t="str">
        <f t="shared" si="74"/>
        <v/>
      </c>
      <c r="B44" s="10"/>
      <c r="C44" s="87"/>
      <c r="D44" s="88"/>
      <c r="E44" s="88"/>
      <c r="F44" s="44">
        <f t="shared" si="76"/>
        <v>0</v>
      </c>
      <c r="G44" s="88"/>
      <c r="H44" s="88"/>
      <c r="I44" s="44">
        <f t="shared" si="77"/>
        <v>0</v>
      </c>
      <c r="J44" s="89"/>
      <c r="K44" s="90"/>
      <c r="L44" s="44">
        <f t="shared" si="78"/>
        <v>0</v>
      </c>
      <c r="M44" s="90"/>
      <c r="N44" s="90"/>
      <c r="O44" s="44">
        <f t="shared" si="79"/>
        <v>0</v>
      </c>
      <c r="P44" s="90"/>
      <c r="Q44" s="90"/>
      <c r="R44" s="44">
        <f t="shared" si="80"/>
        <v>0</v>
      </c>
      <c r="S44" s="90"/>
      <c r="T44" s="90"/>
      <c r="U44" s="44">
        <f t="shared" si="81"/>
        <v>0</v>
      </c>
      <c r="V44" s="90"/>
      <c r="W44" s="90"/>
      <c r="X44" s="44">
        <f t="shared" si="82"/>
        <v>0</v>
      </c>
      <c r="Y44" s="44"/>
      <c r="Z44" s="44"/>
      <c r="AA44" s="44"/>
      <c r="AB44" s="44">
        <f t="shared" si="83"/>
        <v>0</v>
      </c>
      <c r="AC44" s="23"/>
      <c r="AD44" s="6"/>
      <c r="AE44" s="7">
        <f t="shared" si="84"/>
        <v>0</v>
      </c>
      <c r="AF44" s="6"/>
      <c r="AG44" s="7">
        <f t="shared" si="85"/>
        <v>0</v>
      </c>
      <c r="AH44" s="6"/>
      <c r="AI44" s="7">
        <f t="shared" si="86"/>
        <v>0</v>
      </c>
      <c r="AJ44" s="6"/>
      <c r="AK44" s="7">
        <f t="shared" si="87"/>
        <v>0</v>
      </c>
      <c r="AL44" s="6"/>
      <c r="AM44" s="7">
        <f t="shared" si="88"/>
        <v>0</v>
      </c>
      <c r="AN44" s="6"/>
      <c r="AO44" s="7">
        <f t="shared" si="89"/>
        <v>0</v>
      </c>
      <c r="AP44" s="30">
        <f t="shared" si="90"/>
        <v>0</v>
      </c>
      <c r="AQ44" s="6"/>
      <c r="AR44" s="6"/>
      <c r="AS44" s="6"/>
      <c r="AT44" s="44">
        <f t="shared" si="91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4"/>
        <v>0</v>
      </c>
      <c r="BB44" s="5">
        <f t="shared" si="25"/>
        <v>0</v>
      </c>
      <c r="BC44" s="5">
        <f t="shared" si="26"/>
        <v>0</v>
      </c>
      <c r="BD44" s="5">
        <f t="shared" si="54"/>
        <v>0</v>
      </c>
      <c r="BE44" s="5">
        <f t="shared" si="27"/>
        <v>0</v>
      </c>
      <c r="BF44" s="5">
        <f t="shared" si="28"/>
        <v>0</v>
      </c>
      <c r="BG44" s="5">
        <f t="shared" si="29"/>
        <v>0</v>
      </c>
      <c r="BH44" s="5">
        <f t="shared" si="30"/>
        <v>0</v>
      </c>
      <c r="BI44" s="5">
        <f t="shared" si="31"/>
        <v>0</v>
      </c>
      <c r="BJ44" s="5">
        <f t="shared" si="32"/>
        <v>0</v>
      </c>
      <c r="BK44" s="5">
        <f t="shared" si="33"/>
        <v>0</v>
      </c>
      <c r="BL44" s="5">
        <f t="shared" si="34"/>
        <v>0</v>
      </c>
      <c r="BM44" s="5">
        <f t="shared" si="35"/>
        <v>0</v>
      </c>
      <c r="BN44" s="5">
        <f t="shared" si="36"/>
        <v>0</v>
      </c>
      <c r="BO44" s="5">
        <f t="shared" si="37"/>
        <v>0</v>
      </c>
      <c r="BP44" s="5">
        <f t="shared" si="38"/>
        <v>0</v>
      </c>
      <c r="BQ44" s="5">
        <f t="shared" si="39"/>
        <v>0</v>
      </c>
      <c r="BR44" s="5">
        <f t="shared" si="40"/>
        <v>0</v>
      </c>
      <c r="BS44" s="5">
        <f t="shared" si="41"/>
        <v>0</v>
      </c>
      <c r="BT44" s="5">
        <f t="shared" si="42"/>
        <v>0</v>
      </c>
      <c r="BU44" s="5">
        <f t="shared" si="43"/>
        <v>0</v>
      </c>
      <c r="BV44" s="5">
        <f t="shared" si="44"/>
        <v>0</v>
      </c>
      <c r="BW44" s="5">
        <f t="shared" si="45"/>
        <v>0</v>
      </c>
      <c r="BX44" s="5">
        <f t="shared" si="46"/>
        <v>0</v>
      </c>
      <c r="BY44" s="5">
        <f t="shared" si="11"/>
        <v>0</v>
      </c>
      <c r="BZ44" s="5">
        <f t="shared" si="55"/>
        <v>0</v>
      </c>
      <c r="CA44" s="5">
        <f t="shared" si="47"/>
        <v>0</v>
      </c>
      <c r="CB44" s="5">
        <f t="shared" si="48"/>
        <v>0</v>
      </c>
      <c r="CC44" s="5">
        <f t="shared" si="56"/>
        <v>0</v>
      </c>
      <c r="CD44" s="5">
        <f t="shared" si="57"/>
        <v>0</v>
      </c>
      <c r="CE44" s="5">
        <f t="shared" si="49"/>
        <v>0</v>
      </c>
      <c r="CF44" s="5">
        <f t="shared" si="50"/>
        <v>0</v>
      </c>
      <c r="CG44" s="5">
        <f t="shared" si="51"/>
        <v>0</v>
      </c>
      <c r="CH44" s="5">
        <f t="shared" si="52"/>
        <v>0</v>
      </c>
      <c r="CI44" s="5">
        <f t="shared" si="53"/>
        <v>0</v>
      </c>
      <c r="CJ44" s="5"/>
      <c r="CK44" s="4">
        <f t="shared" si="75"/>
        <v>0</v>
      </c>
    </row>
    <row r="45" spans="1:89" ht="38" customHeight="1">
      <c r="A45" s="33" t="str">
        <f t="shared" si="74"/>
        <v/>
      </c>
      <c r="B45" s="10"/>
      <c r="C45" s="87"/>
      <c r="D45" s="88"/>
      <c r="E45" s="88"/>
      <c r="F45" s="44">
        <f t="shared" si="76"/>
        <v>0</v>
      </c>
      <c r="G45" s="88"/>
      <c r="H45" s="88"/>
      <c r="I45" s="44">
        <f t="shared" si="77"/>
        <v>0</v>
      </c>
      <c r="J45" s="89"/>
      <c r="K45" s="90"/>
      <c r="L45" s="44">
        <f t="shared" si="78"/>
        <v>0</v>
      </c>
      <c r="M45" s="90"/>
      <c r="N45" s="90"/>
      <c r="O45" s="44">
        <f t="shared" si="79"/>
        <v>0</v>
      </c>
      <c r="P45" s="90"/>
      <c r="Q45" s="90"/>
      <c r="R45" s="44">
        <f t="shared" si="80"/>
        <v>0</v>
      </c>
      <c r="S45" s="90"/>
      <c r="T45" s="90"/>
      <c r="U45" s="44">
        <f t="shared" si="81"/>
        <v>0</v>
      </c>
      <c r="V45" s="90"/>
      <c r="W45" s="90"/>
      <c r="X45" s="44">
        <f t="shared" si="82"/>
        <v>0</v>
      </c>
      <c r="Y45" s="44"/>
      <c r="Z45" s="44"/>
      <c r="AA45" s="44"/>
      <c r="AB45" s="44">
        <f t="shared" si="83"/>
        <v>0</v>
      </c>
      <c r="AC45" s="23"/>
      <c r="AD45" s="6"/>
      <c r="AE45" s="7">
        <f t="shared" si="84"/>
        <v>0</v>
      </c>
      <c r="AF45" s="6"/>
      <c r="AG45" s="7">
        <f t="shared" si="85"/>
        <v>0</v>
      </c>
      <c r="AH45" s="6"/>
      <c r="AI45" s="7">
        <f t="shared" si="86"/>
        <v>0</v>
      </c>
      <c r="AJ45" s="6"/>
      <c r="AK45" s="7">
        <f t="shared" si="87"/>
        <v>0</v>
      </c>
      <c r="AL45" s="6"/>
      <c r="AM45" s="7">
        <f t="shared" si="88"/>
        <v>0</v>
      </c>
      <c r="AN45" s="6"/>
      <c r="AO45" s="7">
        <f t="shared" si="89"/>
        <v>0</v>
      </c>
      <c r="AP45" s="30">
        <f t="shared" si="90"/>
        <v>0</v>
      </c>
      <c r="AQ45" s="6"/>
      <c r="AR45" s="6"/>
      <c r="AS45" s="6"/>
      <c r="AT45" s="44">
        <f t="shared" si="91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4"/>
        <v>0</v>
      </c>
      <c r="BB45" s="5">
        <f t="shared" si="25"/>
        <v>0</v>
      </c>
      <c r="BC45" s="5">
        <f t="shared" si="26"/>
        <v>0</v>
      </c>
      <c r="BD45" s="5">
        <f t="shared" si="54"/>
        <v>0</v>
      </c>
      <c r="BE45" s="5">
        <f t="shared" si="27"/>
        <v>0</v>
      </c>
      <c r="BF45" s="5">
        <f t="shared" si="28"/>
        <v>0</v>
      </c>
      <c r="BG45" s="5">
        <f t="shared" si="29"/>
        <v>0</v>
      </c>
      <c r="BH45" s="5">
        <f t="shared" si="30"/>
        <v>0</v>
      </c>
      <c r="BI45" s="5">
        <f t="shared" si="31"/>
        <v>0</v>
      </c>
      <c r="BJ45" s="5">
        <f t="shared" si="32"/>
        <v>0</v>
      </c>
      <c r="BK45" s="5">
        <f t="shared" si="33"/>
        <v>0</v>
      </c>
      <c r="BL45" s="5">
        <f t="shared" si="34"/>
        <v>0</v>
      </c>
      <c r="BM45" s="5">
        <f t="shared" si="35"/>
        <v>0</v>
      </c>
      <c r="BN45" s="5">
        <f t="shared" si="36"/>
        <v>0</v>
      </c>
      <c r="BO45" s="5">
        <f t="shared" si="37"/>
        <v>0</v>
      </c>
      <c r="BP45" s="5">
        <f t="shared" si="38"/>
        <v>0</v>
      </c>
      <c r="BQ45" s="5">
        <f t="shared" si="39"/>
        <v>0</v>
      </c>
      <c r="BR45" s="5">
        <f t="shared" si="40"/>
        <v>0</v>
      </c>
      <c r="BS45" s="5">
        <f t="shared" si="41"/>
        <v>0</v>
      </c>
      <c r="BT45" s="5">
        <f t="shared" si="42"/>
        <v>0</v>
      </c>
      <c r="BU45" s="5">
        <f t="shared" si="43"/>
        <v>0</v>
      </c>
      <c r="BV45" s="5">
        <f t="shared" si="44"/>
        <v>0</v>
      </c>
      <c r="BW45" s="5">
        <f t="shared" si="45"/>
        <v>0</v>
      </c>
      <c r="BX45" s="5">
        <f t="shared" si="46"/>
        <v>0</v>
      </c>
      <c r="BY45" s="5">
        <f t="shared" si="11"/>
        <v>0</v>
      </c>
      <c r="BZ45" s="5">
        <f t="shared" si="55"/>
        <v>0</v>
      </c>
      <c r="CA45" s="5">
        <f t="shared" si="47"/>
        <v>0</v>
      </c>
      <c r="CB45" s="5">
        <f t="shared" si="48"/>
        <v>0</v>
      </c>
      <c r="CC45" s="5">
        <f t="shared" si="56"/>
        <v>0</v>
      </c>
      <c r="CD45" s="5">
        <f t="shared" si="57"/>
        <v>0</v>
      </c>
      <c r="CE45" s="5">
        <f t="shared" si="49"/>
        <v>0</v>
      </c>
      <c r="CF45" s="5">
        <f t="shared" si="50"/>
        <v>0</v>
      </c>
      <c r="CG45" s="5">
        <f t="shared" si="51"/>
        <v>0</v>
      </c>
      <c r="CH45" s="5">
        <f t="shared" si="52"/>
        <v>0</v>
      </c>
      <c r="CI45" s="5">
        <f t="shared" si="53"/>
        <v>0</v>
      </c>
      <c r="CJ45" s="5"/>
      <c r="CK45" s="4">
        <f t="shared" si="75"/>
        <v>0</v>
      </c>
    </row>
    <row r="46" spans="1:89" ht="38" customHeight="1">
      <c r="A46" s="33" t="str">
        <f t="shared" si="74"/>
        <v/>
      </c>
      <c r="B46" s="10"/>
      <c r="C46" s="87"/>
      <c r="D46" s="88"/>
      <c r="E46" s="88"/>
      <c r="F46" s="44">
        <f t="shared" si="76"/>
        <v>0</v>
      </c>
      <c r="G46" s="88"/>
      <c r="H46" s="88"/>
      <c r="I46" s="44">
        <f t="shared" si="77"/>
        <v>0</v>
      </c>
      <c r="J46" s="89"/>
      <c r="K46" s="90"/>
      <c r="L46" s="44">
        <f t="shared" si="78"/>
        <v>0</v>
      </c>
      <c r="M46" s="90"/>
      <c r="N46" s="90"/>
      <c r="O46" s="44">
        <f t="shared" si="79"/>
        <v>0</v>
      </c>
      <c r="P46" s="90"/>
      <c r="Q46" s="90"/>
      <c r="R46" s="44">
        <f t="shared" si="80"/>
        <v>0</v>
      </c>
      <c r="S46" s="90"/>
      <c r="T46" s="90"/>
      <c r="U46" s="44">
        <f t="shared" si="81"/>
        <v>0</v>
      </c>
      <c r="V46" s="90"/>
      <c r="W46" s="90"/>
      <c r="X46" s="44">
        <f t="shared" si="82"/>
        <v>0</v>
      </c>
      <c r="Y46" s="44"/>
      <c r="Z46" s="44"/>
      <c r="AA46" s="44"/>
      <c r="AB46" s="44">
        <f t="shared" si="83"/>
        <v>0</v>
      </c>
      <c r="AC46" s="23"/>
      <c r="AD46" s="6"/>
      <c r="AE46" s="7">
        <f t="shared" si="84"/>
        <v>0</v>
      </c>
      <c r="AF46" s="6"/>
      <c r="AG46" s="7">
        <f t="shared" si="85"/>
        <v>0</v>
      </c>
      <c r="AH46" s="6"/>
      <c r="AI46" s="7">
        <f t="shared" si="86"/>
        <v>0</v>
      </c>
      <c r="AJ46" s="6"/>
      <c r="AK46" s="7">
        <f t="shared" si="87"/>
        <v>0</v>
      </c>
      <c r="AL46" s="6"/>
      <c r="AM46" s="7">
        <f t="shared" si="88"/>
        <v>0</v>
      </c>
      <c r="AN46" s="6"/>
      <c r="AO46" s="7">
        <f t="shared" si="89"/>
        <v>0</v>
      </c>
      <c r="AP46" s="30">
        <f t="shared" si="90"/>
        <v>0</v>
      </c>
      <c r="AQ46" s="6"/>
      <c r="AR46" s="6"/>
      <c r="AS46" s="6"/>
      <c r="AT46" s="44">
        <f t="shared" si="9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4"/>
        <v>0</v>
      </c>
      <c r="BB46" s="5">
        <f t="shared" si="25"/>
        <v>0</v>
      </c>
      <c r="BC46" s="5">
        <f t="shared" si="26"/>
        <v>0</v>
      </c>
      <c r="BD46" s="5">
        <f t="shared" si="54"/>
        <v>0</v>
      </c>
      <c r="BE46" s="5">
        <f t="shared" si="27"/>
        <v>0</v>
      </c>
      <c r="BF46" s="5">
        <f t="shared" si="28"/>
        <v>0</v>
      </c>
      <c r="BG46" s="5">
        <f t="shared" si="29"/>
        <v>0</v>
      </c>
      <c r="BH46" s="5">
        <f t="shared" si="30"/>
        <v>0</v>
      </c>
      <c r="BI46" s="5">
        <f t="shared" si="31"/>
        <v>0</v>
      </c>
      <c r="BJ46" s="5">
        <f t="shared" si="32"/>
        <v>0</v>
      </c>
      <c r="BK46" s="5">
        <f t="shared" si="33"/>
        <v>0</v>
      </c>
      <c r="BL46" s="5">
        <f t="shared" si="34"/>
        <v>0</v>
      </c>
      <c r="BM46" s="5">
        <f t="shared" si="35"/>
        <v>0</v>
      </c>
      <c r="BN46" s="5">
        <f t="shared" si="36"/>
        <v>0</v>
      </c>
      <c r="BO46" s="5">
        <f t="shared" si="37"/>
        <v>0</v>
      </c>
      <c r="BP46" s="5">
        <f t="shared" si="38"/>
        <v>0</v>
      </c>
      <c r="BQ46" s="5">
        <f t="shared" si="39"/>
        <v>0</v>
      </c>
      <c r="BR46" s="5">
        <f t="shared" si="40"/>
        <v>0</v>
      </c>
      <c r="BS46" s="5">
        <f t="shared" si="41"/>
        <v>0</v>
      </c>
      <c r="BT46" s="5">
        <f t="shared" si="42"/>
        <v>0</v>
      </c>
      <c r="BU46" s="5">
        <f t="shared" si="43"/>
        <v>0</v>
      </c>
      <c r="BV46" s="5">
        <f t="shared" si="44"/>
        <v>0</v>
      </c>
      <c r="BW46" s="5">
        <f t="shared" si="45"/>
        <v>0</v>
      </c>
      <c r="BX46" s="5">
        <f t="shared" si="46"/>
        <v>0</v>
      </c>
      <c r="BY46" s="5">
        <f t="shared" si="11"/>
        <v>0</v>
      </c>
      <c r="BZ46" s="5">
        <f t="shared" si="55"/>
        <v>0</v>
      </c>
      <c r="CA46" s="5">
        <f t="shared" si="47"/>
        <v>0</v>
      </c>
      <c r="CB46" s="5">
        <f t="shared" si="48"/>
        <v>0</v>
      </c>
      <c r="CC46" s="5">
        <f t="shared" si="56"/>
        <v>0</v>
      </c>
      <c r="CD46" s="5">
        <f t="shared" si="57"/>
        <v>0</v>
      </c>
      <c r="CE46" s="5">
        <f t="shared" si="49"/>
        <v>0</v>
      </c>
      <c r="CF46" s="5">
        <f t="shared" si="50"/>
        <v>0</v>
      </c>
      <c r="CG46" s="5">
        <f t="shared" si="51"/>
        <v>0</v>
      </c>
      <c r="CH46" s="5">
        <f t="shared" si="52"/>
        <v>0</v>
      </c>
      <c r="CI46" s="5">
        <f t="shared" si="53"/>
        <v>0</v>
      </c>
      <c r="CJ46" s="5"/>
      <c r="CK46" s="4">
        <f t="shared" si="75"/>
        <v>0</v>
      </c>
    </row>
    <row r="47" spans="1:89" ht="38" customHeight="1">
      <c r="A47" s="33" t="str">
        <f t="shared" si="74"/>
        <v/>
      </c>
      <c r="B47" s="10"/>
      <c r="C47" s="87"/>
      <c r="D47" s="88"/>
      <c r="E47" s="88"/>
      <c r="F47" s="44">
        <f t="shared" si="76"/>
        <v>0</v>
      </c>
      <c r="G47" s="88"/>
      <c r="H47" s="88"/>
      <c r="I47" s="44">
        <f t="shared" si="77"/>
        <v>0</v>
      </c>
      <c r="J47" s="89"/>
      <c r="K47" s="90"/>
      <c r="L47" s="44">
        <f t="shared" si="78"/>
        <v>0</v>
      </c>
      <c r="M47" s="90"/>
      <c r="N47" s="90"/>
      <c r="O47" s="44">
        <f t="shared" si="79"/>
        <v>0</v>
      </c>
      <c r="P47" s="90"/>
      <c r="Q47" s="90"/>
      <c r="R47" s="44">
        <f t="shared" si="80"/>
        <v>0</v>
      </c>
      <c r="S47" s="90"/>
      <c r="T47" s="90"/>
      <c r="U47" s="44">
        <f t="shared" si="81"/>
        <v>0</v>
      </c>
      <c r="V47" s="90"/>
      <c r="W47" s="90"/>
      <c r="X47" s="44">
        <f t="shared" si="82"/>
        <v>0</v>
      </c>
      <c r="Y47" s="44"/>
      <c r="Z47" s="44"/>
      <c r="AA47" s="44"/>
      <c r="AB47" s="44">
        <f t="shared" si="83"/>
        <v>0</v>
      </c>
      <c r="AC47" s="23"/>
      <c r="AD47" s="6"/>
      <c r="AE47" s="7">
        <f t="shared" si="84"/>
        <v>0</v>
      </c>
      <c r="AF47" s="6"/>
      <c r="AG47" s="7">
        <f t="shared" si="85"/>
        <v>0</v>
      </c>
      <c r="AH47" s="6"/>
      <c r="AI47" s="7">
        <f t="shared" si="86"/>
        <v>0</v>
      </c>
      <c r="AJ47" s="6"/>
      <c r="AK47" s="7">
        <f t="shared" si="87"/>
        <v>0</v>
      </c>
      <c r="AL47" s="6"/>
      <c r="AM47" s="7">
        <f t="shared" si="88"/>
        <v>0</v>
      </c>
      <c r="AN47" s="6"/>
      <c r="AO47" s="7">
        <f t="shared" si="89"/>
        <v>0</v>
      </c>
      <c r="AP47" s="30">
        <f t="shared" si="90"/>
        <v>0</v>
      </c>
      <c r="AQ47" s="6"/>
      <c r="AR47" s="6"/>
      <c r="AS47" s="6"/>
      <c r="AT47" s="44">
        <f t="shared" si="9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4"/>
        <v>0</v>
      </c>
      <c r="BB47" s="5">
        <f t="shared" si="25"/>
        <v>0</v>
      </c>
      <c r="BC47" s="5">
        <f t="shared" si="26"/>
        <v>0</v>
      </c>
      <c r="BD47" s="5">
        <f t="shared" si="54"/>
        <v>0</v>
      </c>
      <c r="BE47" s="5">
        <f t="shared" si="27"/>
        <v>0</v>
      </c>
      <c r="BF47" s="5">
        <f t="shared" si="28"/>
        <v>0</v>
      </c>
      <c r="BG47" s="5">
        <f t="shared" si="29"/>
        <v>0</v>
      </c>
      <c r="BH47" s="5">
        <f t="shared" si="30"/>
        <v>0</v>
      </c>
      <c r="BI47" s="5">
        <f t="shared" si="31"/>
        <v>0</v>
      </c>
      <c r="BJ47" s="5">
        <f t="shared" si="32"/>
        <v>0</v>
      </c>
      <c r="BK47" s="5">
        <f t="shared" si="33"/>
        <v>0</v>
      </c>
      <c r="BL47" s="5">
        <f t="shared" si="34"/>
        <v>0</v>
      </c>
      <c r="BM47" s="5">
        <f t="shared" si="35"/>
        <v>0</v>
      </c>
      <c r="BN47" s="5">
        <f t="shared" si="36"/>
        <v>0</v>
      </c>
      <c r="BO47" s="5">
        <f t="shared" si="37"/>
        <v>0</v>
      </c>
      <c r="BP47" s="5">
        <f t="shared" si="38"/>
        <v>0</v>
      </c>
      <c r="BQ47" s="5">
        <f t="shared" si="39"/>
        <v>0</v>
      </c>
      <c r="BR47" s="5">
        <f t="shared" si="40"/>
        <v>0</v>
      </c>
      <c r="BS47" s="5">
        <f t="shared" si="41"/>
        <v>0</v>
      </c>
      <c r="BT47" s="5">
        <f t="shared" si="42"/>
        <v>0</v>
      </c>
      <c r="BU47" s="5">
        <f t="shared" si="43"/>
        <v>0</v>
      </c>
      <c r="BV47" s="5">
        <f t="shared" si="44"/>
        <v>0</v>
      </c>
      <c r="BW47" s="5">
        <f t="shared" si="45"/>
        <v>0</v>
      </c>
      <c r="BX47" s="5">
        <f t="shared" si="46"/>
        <v>0</v>
      </c>
      <c r="BY47" s="5">
        <f t="shared" si="11"/>
        <v>0</v>
      </c>
      <c r="BZ47" s="5">
        <f t="shared" si="55"/>
        <v>0</v>
      </c>
      <c r="CA47" s="5">
        <f t="shared" si="47"/>
        <v>0</v>
      </c>
      <c r="CB47" s="5">
        <f t="shared" si="48"/>
        <v>0</v>
      </c>
      <c r="CC47" s="5">
        <f t="shared" si="56"/>
        <v>0</v>
      </c>
      <c r="CD47" s="5">
        <f t="shared" si="57"/>
        <v>0</v>
      </c>
      <c r="CE47" s="5">
        <f t="shared" si="49"/>
        <v>0</v>
      </c>
      <c r="CF47" s="5">
        <f t="shared" si="50"/>
        <v>0</v>
      </c>
      <c r="CG47" s="5">
        <f t="shared" si="51"/>
        <v>0</v>
      </c>
      <c r="CH47" s="5">
        <f t="shared" si="52"/>
        <v>0</v>
      </c>
      <c r="CI47" s="5">
        <f t="shared" si="53"/>
        <v>0</v>
      </c>
      <c r="CJ47" s="5"/>
      <c r="CK47" s="4">
        <f t="shared" si="75"/>
        <v>0</v>
      </c>
    </row>
    <row r="48" spans="1:89" ht="38" customHeight="1">
      <c r="A48" s="33" t="str">
        <f t="shared" si="74"/>
        <v/>
      </c>
      <c r="B48" s="10"/>
      <c r="C48" s="87"/>
      <c r="D48" s="88"/>
      <c r="E48" s="88"/>
      <c r="F48" s="44">
        <f t="shared" ref="F48:F59" si="92">BA48-BB48</f>
        <v>0</v>
      </c>
      <c r="G48" s="88"/>
      <c r="H48" s="88"/>
      <c r="I48" s="44">
        <f t="shared" ref="I48:I59" si="93">BF48-BG48</f>
        <v>0</v>
      </c>
      <c r="J48" s="89"/>
      <c r="K48" s="90"/>
      <c r="L48" s="44">
        <f t="shared" ref="L48:L59" si="94">BK48-BL48</f>
        <v>0</v>
      </c>
      <c r="M48" s="90"/>
      <c r="N48" s="90"/>
      <c r="O48" s="44">
        <f t="shared" ref="O48:O59" si="95">BP48-BQ48</f>
        <v>0</v>
      </c>
      <c r="P48" s="90"/>
      <c r="Q48" s="90"/>
      <c r="R48" s="44">
        <f t="shared" ref="R48:R59" si="96">BU48-BV48</f>
        <v>0</v>
      </c>
      <c r="S48" s="90"/>
      <c r="T48" s="90"/>
      <c r="U48" s="44">
        <f t="shared" ref="U48:U59" si="97">BZ48-CA48</f>
        <v>0</v>
      </c>
      <c r="V48" s="90"/>
      <c r="W48" s="90"/>
      <c r="X48" s="44">
        <f t="shared" ref="X48:X59" si="98">CE48-CF48</f>
        <v>0</v>
      </c>
      <c r="Y48" s="44"/>
      <c r="Z48" s="44"/>
      <c r="AA48" s="44"/>
      <c r="AB48" s="44">
        <f t="shared" ref="AB48:AB59" si="99">SUM(F48,I48,L48,O48,R48,U48,X48)</f>
        <v>0</v>
      </c>
      <c r="AC48" s="23"/>
      <c r="AD48" s="6"/>
      <c r="AE48" s="7">
        <f t="shared" si="84"/>
        <v>0</v>
      </c>
      <c r="AF48" s="6"/>
      <c r="AG48" s="7">
        <f t="shared" ref="AG48:AG59" si="100">SUMIF($BC$1:$CI$1,AG$1,$BC48:$CI48)+AF48</f>
        <v>0</v>
      </c>
      <c r="AH48" s="6"/>
      <c r="AI48" s="7">
        <f t="shared" ref="AI48:AI59" si="101">SUMIF($BC$1:$CI$1,AI$1,$BC48:$CI48)+AH48</f>
        <v>0</v>
      </c>
      <c r="AJ48" s="6"/>
      <c r="AK48" s="7">
        <f t="shared" ref="AK48:AK59" si="102">SUMIF($BC$1:$CI$1,AK$1,$BC48:$CI48)+AJ48</f>
        <v>0</v>
      </c>
      <c r="AL48" s="6"/>
      <c r="AM48" s="7">
        <f t="shared" ref="AM48:AM59" si="103">SUMIF($BC$1:$CI$1,AM$1,$BC48:$CI48)+AL48</f>
        <v>0</v>
      </c>
      <c r="AN48" s="6"/>
      <c r="AO48" s="7">
        <f t="shared" ref="AO48:AO59" si="104">SUMIF($BC$1:$CI$1,AO$1,$BC48:$CI48)+AN48</f>
        <v>0</v>
      </c>
      <c r="AP48" s="30">
        <f t="shared" ref="AP48:AP59" si="105">CK48</f>
        <v>0</v>
      </c>
      <c r="AQ48" s="6"/>
      <c r="AR48" s="6"/>
      <c r="AS48" s="6"/>
      <c r="AT48" s="44">
        <f t="shared" ref="AT48:AT59" si="106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4"/>
        <v>0</v>
      </c>
      <c r="BB48" s="5">
        <f t="shared" si="25"/>
        <v>0</v>
      </c>
      <c r="BC48" s="5">
        <f t="shared" si="26"/>
        <v>0</v>
      </c>
      <c r="BD48" s="5">
        <f t="shared" si="54"/>
        <v>0</v>
      </c>
      <c r="BE48" s="5">
        <f t="shared" si="27"/>
        <v>0</v>
      </c>
      <c r="BF48" s="5">
        <f t="shared" si="28"/>
        <v>0</v>
      </c>
      <c r="BG48" s="5">
        <f t="shared" si="29"/>
        <v>0</v>
      </c>
      <c r="BH48" s="5">
        <f t="shared" si="30"/>
        <v>0</v>
      </c>
      <c r="BI48" s="5">
        <f t="shared" si="31"/>
        <v>0</v>
      </c>
      <c r="BJ48" s="5">
        <f t="shared" si="32"/>
        <v>0</v>
      </c>
      <c r="BK48" s="5">
        <f t="shared" si="33"/>
        <v>0</v>
      </c>
      <c r="BL48" s="5">
        <f t="shared" si="34"/>
        <v>0</v>
      </c>
      <c r="BM48" s="5">
        <f t="shared" si="35"/>
        <v>0</v>
      </c>
      <c r="BN48" s="5">
        <f t="shared" si="36"/>
        <v>0</v>
      </c>
      <c r="BO48" s="5">
        <f t="shared" si="37"/>
        <v>0</v>
      </c>
      <c r="BP48" s="5">
        <f t="shared" si="38"/>
        <v>0</v>
      </c>
      <c r="BQ48" s="5">
        <f t="shared" si="39"/>
        <v>0</v>
      </c>
      <c r="BR48" s="5">
        <f t="shared" si="40"/>
        <v>0</v>
      </c>
      <c r="BS48" s="5">
        <f t="shared" si="41"/>
        <v>0</v>
      </c>
      <c r="BT48" s="5">
        <f t="shared" si="42"/>
        <v>0</v>
      </c>
      <c r="BU48" s="5">
        <f t="shared" si="43"/>
        <v>0</v>
      </c>
      <c r="BV48" s="5">
        <f t="shared" si="44"/>
        <v>0</v>
      </c>
      <c r="BW48" s="5">
        <f t="shared" si="45"/>
        <v>0</v>
      </c>
      <c r="BX48" s="5">
        <f t="shared" si="46"/>
        <v>0</v>
      </c>
      <c r="BY48" s="5">
        <f t="shared" si="11"/>
        <v>0</v>
      </c>
      <c r="BZ48" s="5">
        <f t="shared" si="55"/>
        <v>0</v>
      </c>
      <c r="CA48" s="5">
        <f t="shared" si="47"/>
        <v>0</v>
      </c>
      <c r="CB48" s="5">
        <f t="shared" si="48"/>
        <v>0</v>
      </c>
      <c r="CC48" s="5">
        <f t="shared" si="56"/>
        <v>0</v>
      </c>
      <c r="CD48" s="5">
        <f t="shared" si="57"/>
        <v>0</v>
      </c>
      <c r="CE48" s="5">
        <f t="shared" si="49"/>
        <v>0</v>
      </c>
      <c r="CF48" s="5">
        <f t="shared" si="50"/>
        <v>0</v>
      </c>
      <c r="CG48" s="5">
        <f t="shared" si="51"/>
        <v>0</v>
      </c>
      <c r="CH48" s="5">
        <f t="shared" si="52"/>
        <v>0</v>
      </c>
      <c r="CI48" s="5">
        <f t="shared" si="53"/>
        <v>0</v>
      </c>
      <c r="CJ48" s="5"/>
      <c r="CK48" s="4">
        <f t="shared" si="75"/>
        <v>0</v>
      </c>
    </row>
    <row r="49" spans="1:89" ht="38" customHeight="1">
      <c r="A49" s="33" t="str">
        <f t="shared" si="74"/>
        <v/>
      </c>
      <c r="B49" s="10"/>
      <c r="C49" s="87"/>
      <c r="D49" s="88"/>
      <c r="E49" s="88"/>
      <c r="F49" s="44">
        <f t="shared" si="92"/>
        <v>0</v>
      </c>
      <c r="G49" s="88"/>
      <c r="H49" s="88"/>
      <c r="I49" s="44">
        <f t="shared" si="93"/>
        <v>0</v>
      </c>
      <c r="J49" s="89"/>
      <c r="K49" s="90"/>
      <c r="L49" s="44">
        <f t="shared" si="94"/>
        <v>0</v>
      </c>
      <c r="M49" s="90"/>
      <c r="N49" s="90"/>
      <c r="O49" s="44">
        <f t="shared" si="95"/>
        <v>0</v>
      </c>
      <c r="P49" s="90"/>
      <c r="Q49" s="90"/>
      <c r="R49" s="44">
        <f t="shared" si="96"/>
        <v>0</v>
      </c>
      <c r="S49" s="90"/>
      <c r="T49" s="90"/>
      <c r="U49" s="44">
        <f t="shared" si="97"/>
        <v>0</v>
      </c>
      <c r="V49" s="90"/>
      <c r="W49" s="90"/>
      <c r="X49" s="44">
        <f t="shared" si="98"/>
        <v>0</v>
      </c>
      <c r="Y49" s="44"/>
      <c r="Z49" s="44"/>
      <c r="AA49" s="44"/>
      <c r="AB49" s="44">
        <f t="shared" si="99"/>
        <v>0</v>
      </c>
      <c r="AC49" s="23"/>
      <c r="AD49" s="6"/>
      <c r="AE49" s="7">
        <f t="shared" ref="AE49:AE59" si="107">SUMIF($BC$1:$CI$1,AE$1,$BC49:$CI49)+AD49</f>
        <v>0</v>
      </c>
      <c r="AF49" s="6"/>
      <c r="AG49" s="7">
        <f t="shared" si="100"/>
        <v>0</v>
      </c>
      <c r="AH49" s="6"/>
      <c r="AI49" s="7">
        <f t="shared" si="101"/>
        <v>0</v>
      </c>
      <c r="AJ49" s="6"/>
      <c r="AK49" s="7">
        <f t="shared" si="102"/>
        <v>0</v>
      </c>
      <c r="AL49" s="6"/>
      <c r="AM49" s="7">
        <f t="shared" si="103"/>
        <v>0</v>
      </c>
      <c r="AN49" s="6"/>
      <c r="AO49" s="7">
        <f t="shared" si="104"/>
        <v>0</v>
      </c>
      <c r="AP49" s="30">
        <f t="shared" si="105"/>
        <v>0</v>
      </c>
      <c r="AQ49" s="6"/>
      <c r="AR49" s="6"/>
      <c r="AS49" s="6"/>
      <c r="AT49" s="44">
        <f t="shared" si="106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4"/>
        <v>0</v>
      </c>
      <c r="BB49" s="5">
        <f t="shared" si="25"/>
        <v>0</v>
      </c>
      <c r="BC49" s="5">
        <f t="shared" si="26"/>
        <v>0</v>
      </c>
      <c r="BD49" s="5">
        <f t="shared" si="54"/>
        <v>0</v>
      </c>
      <c r="BE49" s="5">
        <f t="shared" si="27"/>
        <v>0</v>
      </c>
      <c r="BF49" s="5">
        <f t="shared" si="28"/>
        <v>0</v>
      </c>
      <c r="BG49" s="5">
        <f t="shared" si="29"/>
        <v>0</v>
      </c>
      <c r="BH49" s="5">
        <f t="shared" si="30"/>
        <v>0</v>
      </c>
      <c r="BI49" s="5">
        <f t="shared" si="31"/>
        <v>0</v>
      </c>
      <c r="BJ49" s="5">
        <f t="shared" si="32"/>
        <v>0</v>
      </c>
      <c r="BK49" s="5">
        <f t="shared" si="33"/>
        <v>0</v>
      </c>
      <c r="BL49" s="5">
        <f t="shared" si="34"/>
        <v>0</v>
      </c>
      <c r="BM49" s="5">
        <f t="shared" si="35"/>
        <v>0</v>
      </c>
      <c r="BN49" s="5">
        <f t="shared" si="36"/>
        <v>0</v>
      </c>
      <c r="BO49" s="5">
        <f t="shared" si="37"/>
        <v>0</v>
      </c>
      <c r="BP49" s="5">
        <f t="shared" si="38"/>
        <v>0</v>
      </c>
      <c r="BQ49" s="5">
        <f t="shared" si="39"/>
        <v>0</v>
      </c>
      <c r="BR49" s="5">
        <f t="shared" si="40"/>
        <v>0</v>
      </c>
      <c r="BS49" s="5">
        <f t="shared" si="41"/>
        <v>0</v>
      </c>
      <c r="BT49" s="5">
        <f t="shared" si="42"/>
        <v>0</v>
      </c>
      <c r="BU49" s="5">
        <f t="shared" si="43"/>
        <v>0</v>
      </c>
      <c r="BV49" s="5">
        <f t="shared" si="44"/>
        <v>0</v>
      </c>
      <c r="BW49" s="5">
        <f t="shared" si="45"/>
        <v>0</v>
      </c>
      <c r="BX49" s="5">
        <f t="shared" si="46"/>
        <v>0</v>
      </c>
      <c r="BY49" s="5">
        <f t="shared" si="11"/>
        <v>0</v>
      </c>
      <c r="BZ49" s="5">
        <f t="shared" si="55"/>
        <v>0</v>
      </c>
      <c r="CA49" s="5">
        <f t="shared" si="47"/>
        <v>0</v>
      </c>
      <c r="CB49" s="5">
        <f t="shared" si="48"/>
        <v>0</v>
      </c>
      <c r="CC49" s="5">
        <f t="shared" si="56"/>
        <v>0</v>
      </c>
      <c r="CD49" s="5">
        <f t="shared" si="57"/>
        <v>0</v>
      </c>
      <c r="CE49" s="5">
        <f t="shared" si="49"/>
        <v>0</v>
      </c>
      <c r="CF49" s="5">
        <f t="shared" si="50"/>
        <v>0</v>
      </c>
      <c r="CG49" s="5">
        <f t="shared" si="51"/>
        <v>0</v>
      </c>
      <c r="CH49" s="5">
        <f t="shared" si="52"/>
        <v>0</v>
      </c>
      <c r="CI49" s="5">
        <f t="shared" si="53"/>
        <v>0</v>
      </c>
      <c r="CJ49" s="5"/>
      <c r="CK49" s="4">
        <f t="shared" si="75"/>
        <v>0</v>
      </c>
    </row>
    <row r="50" spans="1:89" ht="38" customHeight="1">
      <c r="A50" s="33" t="str">
        <f t="shared" si="74"/>
        <v/>
      </c>
      <c r="B50" s="10"/>
      <c r="C50" s="87"/>
      <c r="D50" s="88"/>
      <c r="E50" s="88"/>
      <c r="F50" s="44">
        <f t="shared" si="92"/>
        <v>0</v>
      </c>
      <c r="G50" s="88"/>
      <c r="H50" s="88"/>
      <c r="I50" s="44">
        <f t="shared" si="93"/>
        <v>0</v>
      </c>
      <c r="J50" s="89"/>
      <c r="K50" s="90"/>
      <c r="L50" s="44">
        <f t="shared" si="94"/>
        <v>0</v>
      </c>
      <c r="M50" s="90"/>
      <c r="N50" s="90"/>
      <c r="O50" s="44">
        <f t="shared" si="95"/>
        <v>0</v>
      </c>
      <c r="P50" s="90"/>
      <c r="Q50" s="90"/>
      <c r="R50" s="44">
        <f t="shared" si="96"/>
        <v>0</v>
      </c>
      <c r="S50" s="90"/>
      <c r="T50" s="90"/>
      <c r="U50" s="44">
        <f t="shared" si="97"/>
        <v>0</v>
      </c>
      <c r="V50" s="90"/>
      <c r="W50" s="90"/>
      <c r="X50" s="44">
        <f t="shared" si="98"/>
        <v>0</v>
      </c>
      <c r="Y50" s="44"/>
      <c r="Z50" s="44"/>
      <c r="AA50" s="44"/>
      <c r="AB50" s="44">
        <f t="shared" si="99"/>
        <v>0</v>
      </c>
      <c r="AC50" s="23"/>
      <c r="AD50" s="6"/>
      <c r="AE50" s="7">
        <f t="shared" si="107"/>
        <v>0</v>
      </c>
      <c r="AF50" s="6"/>
      <c r="AG50" s="7">
        <f t="shared" si="100"/>
        <v>0</v>
      </c>
      <c r="AH50" s="6"/>
      <c r="AI50" s="7">
        <f t="shared" si="101"/>
        <v>0</v>
      </c>
      <c r="AJ50" s="6"/>
      <c r="AK50" s="7">
        <f t="shared" si="102"/>
        <v>0</v>
      </c>
      <c r="AL50" s="6"/>
      <c r="AM50" s="7">
        <f t="shared" si="103"/>
        <v>0</v>
      </c>
      <c r="AN50" s="6"/>
      <c r="AO50" s="7">
        <f t="shared" si="104"/>
        <v>0</v>
      </c>
      <c r="AP50" s="30">
        <f t="shared" si="105"/>
        <v>0</v>
      </c>
      <c r="AQ50" s="6"/>
      <c r="AR50" s="6"/>
      <c r="AS50" s="6"/>
      <c r="AT50" s="44">
        <f t="shared" si="106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4"/>
        <v>0</v>
      </c>
      <c r="BB50" s="5">
        <f t="shared" si="25"/>
        <v>0</v>
      </c>
      <c r="BC50" s="5">
        <f t="shared" si="26"/>
        <v>0</v>
      </c>
      <c r="BD50" s="5">
        <f t="shared" si="54"/>
        <v>0</v>
      </c>
      <c r="BE50" s="5">
        <f t="shared" si="27"/>
        <v>0</v>
      </c>
      <c r="BF50" s="5">
        <f t="shared" si="28"/>
        <v>0</v>
      </c>
      <c r="BG50" s="5">
        <f t="shared" si="29"/>
        <v>0</v>
      </c>
      <c r="BH50" s="5">
        <f t="shared" si="30"/>
        <v>0</v>
      </c>
      <c r="BI50" s="5">
        <f t="shared" si="31"/>
        <v>0</v>
      </c>
      <c r="BJ50" s="5">
        <f t="shared" si="32"/>
        <v>0</v>
      </c>
      <c r="BK50" s="5">
        <f t="shared" si="33"/>
        <v>0</v>
      </c>
      <c r="BL50" s="5">
        <f t="shared" si="34"/>
        <v>0</v>
      </c>
      <c r="BM50" s="5">
        <f t="shared" si="35"/>
        <v>0</v>
      </c>
      <c r="BN50" s="5">
        <f t="shared" si="36"/>
        <v>0</v>
      </c>
      <c r="BO50" s="5">
        <f t="shared" si="37"/>
        <v>0</v>
      </c>
      <c r="BP50" s="5">
        <f t="shared" si="38"/>
        <v>0</v>
      </c>
      <c r="BQ50" s="5">
        <f t="shared" si="39"/>
        <v>0</v>
      </c>
      <c r="BR50" s="5">
        <f t="shared" si="40"/>
        <v>0</v>
      </c>
      <c r="BS50" s="5">
        <f t="shared" si="41"/>
        <v>0</v>
      </c>
      <c r="BT50" s="5">
        <f t="shared" si="42"/>
        <v>0</v>
      </c>
      <c r="BU50" s="5">
        <f t="shared" si="43"/>
        <v>0</v>
      </c>
      <c r="BV50" s="5">
        <f t="shared" si="44"/>
        <v>0</v>
      </c>
      <c r="BW50" s="5">
        <f t="shared" si="45"/>
        <v>0</v>
      </c>
      <c r="BX50" s="5">
        <f t="shared" si="46"/>
        <v>0</v>
      </c>
      <c r="BY50" s="5">
        <f t="shared" si="11"/>
        <v>0</v>
      </c>
      <c r="BZ50" s="5">
        <f t="shared" si="55"/>
        <v>0</v>
      </c>
      <c r="CA50" s="5">
        <f t="shared" si="47"/>
        <v>0</v>
      </c>
      <c r="CB50" s="5">
        <f t="shared" si="48"/>
        <v>0</v>
      </c>
      <c r="CC50" s="5">
        <f t="shared" si="56"/>
        <v>0</v>
      </c>
      <c r="CD50" s="5">
        <f t="shared" si="57"/>
        <v>0</v>
      </c>
      <c r="CE50" s="5">
        <f t="shared" si="49"/>
        <v>0</v>
      </c>
      <c r="CF50" s="5">
        <f t="shared" si="50"/>
        <v>0</v>
      </c>
      <c r="CG50" s="5">
        <f t="shared" si="51"/>
        <v>0</v>
      </c>
      <c r="CH50" s="5">
        <f t="shared" si="52"/>
        <v>0</v>
      </c>
      <c r="CI50" s="5">
        <f t="shared" si="53"/>
        <v>0</v>
      </c>
      <c r="CJ50" s="5"/>
      <c r="CK50" s="4">
        <f t="shared" si="75"/>
        <v>0</v>
      </c>
    </row>
    <row r="51" spans="1:89" ht="38" customHeight="1">
      <c r="A51" s="33" t="str">
        <f t="shared" si="74"/>
        <v/>
      </c>
      <c r="B51" s="10"/>
      <c r="C51" s="87"/>
      <c r="D51" s="88"/>
      <c r="E51" s="88"/>
      <c r="F51" s="44">
        <f t="shared" si="92"/>
        <v>0</v>
      </c>
      <c r="G51" s="88"/>
      <c r="H51" s="88"/>
      <c r="I51" s="44">
        <f t="shared" si="93"/>
        <v>0</v>
      </c>
      <c r="J51" s="89"/>
      <c r="K51" s="90"/>
      <c r="L51" s="44">
        <f t="shared" si="94"/>
        <v>0</v>
      </c>
      <c r="M51" s="90"/>
      <c r="N51" s="90"/>
      <c r="O51" s="44">
        <f t="shared" si="95"/>
        <v>0</v>
      </c>
      <c r="P51" s="90"/>
      <c r="Q51" s="90"/>
      <c r="R51" s="44">
        <f t="shared" si="96"/>
        <v>0</v>
      </c>
      <c r="S51" s="90"/>
      <c r="T51" s="90"/>
      <c r="U51" s="44">
        <f t="shared" si="97"/>
        <v>0</v>
      </c>
      <c r="V51" s="90"/>
      <c r="W51" s="90"/>
      <c r="X51" s="44">
        <f t="shared" si="98"/>
        <v>0</v>
      </c>
      <c r="Y51" s="44"/>
      <c r="Z51" s="44"/>
      <c r="AA51" s="44"/>
      <c r="AB51" s="44">
        <f t="shared" si="99"/>
        <v>0</v>
      </c>
      <c r="AC51" s="23"/>
      <c r="AD51" s="6"/>
      <c r="AE51" s="7">
        <f t="shared" si="107"/>
        <v>0</v>
      </c>
      <c r="AF51" s="6"/>
      <c r="AG51" s="7">
        <f t="shared" si="100"/>
        <v>0</v>
      </c>
      <c r="AH51" s="6"/>
      <c r="AI51" s="7">
        <f t="shared" si="101"/>
        <v>0</v>
      </c>
      <c r="AJ51" s="6"/>
      <c r="AK51" s="7">
        <f t="shared" si="102"/>
        <v>0</v>
      </c>
      <c r="AL51" s="6"/>
      <c r="AM51" s="7">
        <f t="shared" si="103"/>
        <v>0</v>
      </c>
      <c r="AN51" s="6"/>
      <c r="AO51" s="7">
        <f t="shared" si="104"/>
        <v>0</v>
      </c>
      <c r="AP51" s="30">
        <f t="shared" si="105"/>
        <v>0</v>
      </c>
      <c r="AQ51" s="6"/>
      <c r="AR51" s="6"/>
      <c r="AS51" s="6"/>
      <c r="AT51" s="44">
        <f t="shared" si="106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4"/>
        <v>0</v>
      </c>
      <c r="BB51" s="5">
        <f t="shared" si="25"/>
        <v>0</v>
      </c>
      <c r="BC51" s="5">
        <f t="shared" si="26"/>
        <v>0</v>
      </c>
      <c r="BD51" s="5">
        <f t="shared" si="54"/>
        <v>0</v>
      </c>
      <c r="BE51" s="5">
        <f t="shared" si="27"/>
        <v>0</v>
      </c>
      <c r="BF51" s="5">
        <f t="shared" si="28"/>
        <v>0</v>
      </c>
      <c r="BG51" s="5">
        <f t="shared" si="29"/>
        <v>0</v>
      </c>
      <c r="BH51" s="5">
        <f t="shared" si="30"/>
        <v>0</v>
      </c>
      <c r="BI51" s="5">
        <f t="shared" si="31"/>
        <v>0</v>
      </c>
      <c r="BJ51" s="5">
        <f t="shared" si="32"/>
        <v>0</v>
      </c>
      <c r="BK51" s="5">
        <f t="shared" si="33"/>
        <v>0</v>
      </c>
      <c r="BL51" s="5">
        <f t="shared" si="34"/>
        <v>0</v>
      </c>
      <c r="BM51" s="5">
        <f t="shared" si="35"/>
        <v>0</v>
      </c>
      <c r="BN51" s="5">
        <f t="shared" si="36"/>
        <v>0</v>
      </c>
      <c r="BO51" s="5">
        <f t="shared" si="37"/>
        <v>0</v>
      </c>
      <c r="BP51" s="5">
        <f t="shared" si="38"/>
        <v>0</v>
      </c>
      <c r="BQ51" s="5">
        <f t="shared" si="39"/>
        <v>0</v>
      </c>
      <c r="BR51" s="5">
        <f t="shared" si="40"/>
        <v>0</v>
      </c>
      <c r="BS51" s="5">
        <f t="shared" si="41"/>
        <v>0</v>
      </c>
      <c r="BT51" s="5">
        <f t="shared" si="42"/>
        <v>0</v>
      </c>
      <c r="BU51" s="5">
        <f t="shared" si="43"/>
        <v>0</v>
      </c>
      <c r="BV51" s="5">
        <f t="shared" si="44"/>
        <v>0</v>
      </c>
      <c r="BW51" s="5">
        <f t="shared" si="45"/>
        <v>0</v>
      </c>
      <c r="BX51" s="5">
        <f t="shared" si="46"/>
        <v>0</v>
      </c>
      <c r="BY51" s="5">
        <f t="shared" si="11"/>
        <v>0</v>
      </c>
      <c r="BZ51" s="5">
        <f t="shared" si="55"/>
        <v>0</v>
      </c>
      <c r="CA51" s="5">
        <f t="shared" si="47"/>
        <v>0</v>
      </c>
      <c r="CB51" s="5">
        <f t="shared" si="48"/>
        <v>0</v>
      </c>
      <c r="CC51" s="5">
        <f t="shared" si="56"/>
        <v>0</v>
      </c>
      <c r="CD51" s="5">
        <f t="shared" si="57"/>
        <v>0</v>
      </c>
      <c r="CE51" s="5">
        <f t="shared" si="49"/>
        <v>0</v>
      </c>
      <c r="CF51" s="5">
        <f t="shared" si="50"/>
        <v>0</v>
      </c>
      <c r="CG51" s="5">
        <f t="shared" si="51"/>
        <v>0</v>
      </c>
      <c r="CH51" s="5">
        <f t="shared" si="52"/>
        <v>0</v>
      </c>
      <c r="CI51" s="5">
        <f t="shared" si="53"/>
        <v>0</v>
      </c>
      <c r="CJ51" s="5"/>
      <c r="CK51" s="4">
        <f t="shared" si="75"/>
        <v>0</v>
      </c>
    </row>
    <row r="52" spans="1:89" ht="38" customHeight="1">
      <c r="A52" s="33" t="str">
        <f t="shared" si="74"/>
        <v/>
      </c>
      <c r="B52" s="10"/>
      <c r="C52" s="87"/>
      <c r="D52" s="88"/>
      <c r="E52" s="88"/>
      <c r="F52" s="44">
        <f t="shared" si="92"/>
        <v>0</v>
      </c>
      <c r="G52" s="88"/>
      <c r="H52" s="88"/>
      <c r="I52" s="44">
        <f t="shared" si="93"/>
        <v>0</v>
      </c>
      <c r="J52" s="89"/>
      <c r="K52" s="90"/>
      <c r="L52" s="44">
        <f t="shared" si="94"/>
        <v>0</v>
      </c>
      <c r="M52" s="90"/>
      <c r="N52" s="90"/>
      <c r="O52" s="44">
        <f t="shared" si="95"/>
        <v>0</v>
      </c>
      <c r="P52" s="90"/>
      <c r="Q52" s="90"/>
      <c r="R52" s="44">
        <f t="shared" si="96"/>
        <v>0</v>
      </c>
      <c r="S52" s="90"/>
      <c r="T52" s="90"/>
      <c r="U52" s="44">
        <f t="shared" si="97"/>
        <v>0</v>
      </c>
      <c r="V52" s="90"/>
      <c r="W52" s="90"/>
      <c r="X52" s="44">
        <f t="shared" si="98"/>
        <v>0</v>
      </c>
      <c r="Y52" s="44"/>
      <c r="Z52" s="44"/>
      <c r="AA52" s="44"/>
      <c r="AB52" s="44">
        <f t="shared" si="99"/>
        <v>0</v>
      </c>
      <c r="AC52" s="23"/>
      <c r="AD52" s="6"/>
      <c r="AE52" s="7">
        <f t="shared" si="107"/>
        <v>0</v>
      </c>
      <c r="AF52" s="6"/>
      <c r="AG52" s="7">
        <f t="shared" si="100"/>
        <v>0</v>
      </c>
      <c r="AH52" s="6"/>
      <c r="AI52" s="7">
        <f t="shared" si="101"/>
        <v>0</v>
      </c>
      <c r="AJ52" s="6"/>
      <c r="AK52" s="7">
        <f t="shared" si="102"/>
        <v>0</v>
      </c>
      <c r="AL52" s="6"/>
      <c r="AM52" s="7">
        <f t="shared" si="103"/>
        <v>0</v>
      </c>
      <c r="AN52" s="6"/>
      <c r="AO52" s="7">
        <f t="shared" si="104"/>
        <v>0</v>
      </c>
      <c r="AP52" s="30">
        <f t="shared" si="105"/>
        <v>0</v>
      </c>
      <c r="AQ52" s="6"/>
      <c r="AR52" s="6"/>
      <c r="AS52" s="6"/>
      <c r="AT52" s="44">
        <f t="shared" si="106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4"/>
        <v>0</v>
      </c>
      <c r="BB52" s="5">
        <f t="shared" si="25"/>
        <v>0</v>
      </c>
      <c r="BC52" s="5">
        <f t="shared" si="26"/>
        <v>0</v>
      </c>
      <c r="BD52" s="5">
        <f t="shared" si="54"/>
        <v>0</v>
      </c>
      <c r="BE52" s="5">
        <f t="shared" si="27"/>
        <v>0</v>
      </c>
      <c r="BF52" s="5">
        <f t="shared" si="28"/>
        <v>0</v>
      </c>
      <c r="BG52" s="5">
        <f t="shared" si="29"/>
        <v>0</v>
      </c>
      <c r="BH52" s="5">
        <f t="shared" si="30"/>
        <v>0</v>
      </c>
      <c r="BI52" s="5">
        <f t="shared" si="31"/>
        <v>0</v>
      </c>
      <c r="BJ52" s="5">
        <f t="shared" si="32"/>
        <v>0</v>
      </c>
      <c r="BK52" s="5">
        <f t="shared" si="33"/>
        <v>0</v>
      </c>
      <c r="BL52" s="5">
        <f t="shared" si="34"/>
        <v>0</v>
      </c>
      <c r="BM52" s="5">
        <f t="shared" si="35"/>
        <v>0</v>
      </c>
      <c r="BN52" s="5">
        <f t="shared" si="36"/>
        <v>0</v>
      </c>
      <c r="BO52" s="5">
        <f t="shared" si="37"/>
        <v>0</v>
      </c>
      <c r="BP52" s="5">
        <f t="shared" si="38"/>
        <v>0</v>
      </c>
      <c r="BQ52" s="5">
        <f t="shared" si="39"/>
        <v>0</v>
      </c>
      <c r="BR52" s="5">
        <f t="shared" si="40"/>
        <v>0</v>
      </c>
      <c r="BS52" s="5">
        <f t="shared" si="41"/>
        <v>0</v>
      </c>
      <c r="BT52" s="5">
        <f t="shared" si="42"/>
        <v>0</v>
      </c>
      <c r="BU52" s="5">
        <f t="shared" si="43"/>
        <v>0</v>
      </c>
      <c r="BV52" s="5">
        <f t="shared" si="44"/>
        <v>0</v>
      </c>
      <c r="BW52" s="5">
        <f t="shared" si="45"/>
        <v>0</v>
      </c>
      <c r="BX52" s="5">
        <f t="shared" si="46"/>
        <v>0</v>
      </c>
      <c r="BY52" s="5">
        <f t="shared" si="11"/>
        <v>0</v>
      </c>
      <c r="BZ52" s="5">
        <f t="shared" si="55"/>
        <v>0</v>
      </c>
      <c r="CA52" s="5">
        <f t="shared" si="47"/>
        <v>0</v>
      </c>
      <c r="CB52" s="5">
        <f t="shared" si="48"/>
        <v>0</v>
      </c>
      <c r="CC52" s="5">
        <f t="shared" si="56"/>
        <v>0</v>
      </c>
      <c r="CD52" s="5">
        <f t="shared" si="57"/>
        <v>0</v>
      </c>
      <c r="CE52" s="5">
        <f t="shared" si="49"/>
        <v>0</v>
      </c>
      <c r="CF52" s="5">
        <f t="shared" si="50"/>
        <v>0</v>
      </c>
      <c r="CG52" s="5">
        <f t="shared" si="51"/>
        <v>0</v>
      </c>
      <c r="CH52" s="5">
        <f t="shared" si="52"/>
        <v>0</v>
      </c>
      <c r="CI52" s="5">
        <f t="shared" si="53"/>
        <v>0</v>
      </c>
      <c r="CJ52" s="5"/>
      <c r="CK52" s="4">
        <f t="shared" si="75"/>
        <v>0</v>
      </c>
    </row>
    <row r="53" spans="1:89" ht="38" customHeight="1">
      <c r="A53" s="33" t="str">
        <f t="shared" si="74"/>
        <v/>
      </c>
      <c r="B53" s="10"/>
      <c r="C53" s="87"/>
      <c r="D53" s="88"/>
      <c r="E53" s="88"/>
      <c r="F53" s="44">
        <f t="shared" si="92"/>
        <v>0</v>
      </c>
      <c r="G53" s="88"/>
      <c r="H53" s="88"/>
      <c r="I53" s="44">
        <f t="shared" si="93"/>
        <v>0</v>
      </c>
      <c r="J53" s="89"/>
      <c r="K53" s="90"/>
      <c r="L53" s="44">
        <f t="shared" si="94"/>
        <v>0</v>
      </c>
      <c r="M53" s="90"/>
      <c r="N53" s="90"/>
      <c r="O53" s="44">
        <f t="shared" si="95"/>
        <v>0</v>
      </c>
      <c r="P53" s="90"/>
      <c r="Q53" s="90"/>
      <c r="R53" s="44">
        <f t="shared" si="96"/>
        <v>0</v>
      </c>
      <c r="S53" s="90"/>
      <c r="T53" s="90"/>
      <c r="U53" s="44">
        <f t="shared" si="97"/>
        <v>0</v>
      </c>
      <c r="V53" s="90"/>
      <c r="W53" s="90"/>
      <c r="X53" s="44">
        <f t="shared" si="98"/>
        <v>0</v>
      </c>
      <c r="Y53" s="44"/>
      <c r="Z53" s="44"/>
      <c r="AA53" s="44"/>
      <c r="AB53" s="44">
        <f t="shared" si="99"/>
        <v>0</v>
      </c>
      <c r="AC53" s="23"/>
      <c r="AD53" s="6"/>
      <c r="AE53" s="7">
        <f t="shared" si="107"/>
        <v>0</v>
      </c>
      <c r="AF53" s="6"/>
      <c r="AG53" s="7">
        <f t="shared" si="100"/>
        <v>0</v>
      </c>
      <c r="AH53" s="6"/>
      <c r="AI53" s="7">
        <f t="shared" si="101"/>
        <v>0</v>
      </c>
      <c r="AJ53" s="6"/>
      <c r="AK53" s="7">
        <f t="shared" si="102"/>
        <v>0</v>
      </c>
      <c r="AL53" s="6"/>
      <c r="AM53" s="7">
        <f t="shared" si="103"/>
        <v>0</v>
      </c>
      <c r="AN53" s="6"/>
      <c r="AO53" s="7">
        <f t="shared" si="104"/>
        <v>0</v>
      </c>
      <c r="AP53" s="30">
        <f t="shared" si="105"/>
        <v>0</v>
      </c>
      <c r="AQ53" s="6"/>
      <c r="AR53" s="6"/>
      <c r="AS53" s="6"/>
      <c r="AT53" s="44">
        <f t="shared" si="106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4"/>
        <v>0</v>
      </c>
      <c r="BB53" s="5">
        <f t="shared" si="25"/>
        <v>0</v>
      </c>
      <c r="BC53" s="5">
        <f t="shared" si="26"/>
        <v>0</v>
      </c>
      <c r="BD53" s="5">
        <f t="shared" si="54"/>
        <v>0</v>
      </c>
      <c r="BE53" s="5">
        <f t="shared" si="27"/>
        <v>0</v>
      </c>
      <c r="BF53" s="5">
        <f t="shared" si="28"/>
        <v>0</v>
      </c>
      <c r="BG53" s="5">
        <f t="shared" si="29"/>
        <v>0</v>
      </c>
      <c r="BH53" s="5">
        <f t="shared" si="30"/>
        <v>0</v>
      </c>
      <c r="BI53" s="5">
        <f t="shared" si="31"/>
        <v>0</v>
      </c>
      <c r="BJ53" s="5">
        <f t="shared" si="32"/>
        <v>0</v>
      </c>
      <c r="BK53" s="5">
        <f t="shared" si="33"/>
        <v>0</v>
      </c>
      <c r="BL53" s="5">
        <f t="shared" si="34"/>
        <v>0</v>
      </c>
      <c r="BM53" s="5">
        <f t="shared" si="35"/>
        <v>0</v>
      </c>
      <c r="BN53" s="5">
        <f t="shared" si="36"/>
        <v>0</v>
      </c>
      <c r="BO53" s="5">
        <f t="shared" si="37"/>
        <v>0</v>
      </c>
      <c r="BP53" s="5">
        <f t="shared" si="38"/>
        <v>0</v>
      </c>
      <c r="BQ53" s="5">
        <f t="shared" si="39"/>
        <v>0</v>
      </c>
      <c r="BR53" s="5">
        <f t="shared" si="40"/>
        <v>0</v>
      </c>
      <c r="BS53" s="5">
        <f t="shared" si="41"/>
        <v>0</v>
      </c>
      <c r="BT53" s="5">
        <f t="shared" si="42"/>
        <v>0</v>
      </c>
      <c r="BU53" s="5">
        <f t="shared" si="43"/>
        <v>0</v>
      </c>
      <c r="BV53" s="5">
        <f t="shared" si="44"/>
        <v>0</v>
      </c>
      <c r="BW53" s="5">
        <f t="shared" si="45"/>
        <v>0</v>
      </c>
      <c r="BX53" s="5">
        <f t="shared" si="46"/>
        <v>0</v>
      </c>
      <c r="BY53" s="5">
        <f t="shared" si="11"/>
        <v>0</v>
      </c>
      <c r="BZ53" s="5">
        <f t="shared" si="55"/>
        <v>0</v>
      </c>
      <c r="CA53" s="5">
        <f t="shared" si="47"/>
        <v>0</v>
      </c>
      <c r="CB53" s="5">
        <f t="shared" si="48"/>
        <v>0</v>
      </c>
      <c r="CC53" s="5">
        <f t="shared" si="56"/>
        <v>0</v>
      </c>
      <c r="CD53" s="5">
        <f t="shared" si="57"/>
        <v>0</v>
      </c>
      <c r="CE53" s="5">
        <f t="shared" si="49"/>
        <v>0</v>
      </c>
      <c r="CF53" s="5">
        <f t="shared" si="50"/>
        <v>0</v>
      </c>
      <c r="CG53" s="5">
        <f t="shared" si="51"/>
        <v>0</v>
      </c>
      <c r="CH53" s="5">
        <f t="shared" si="52"/>
        <v>0</v>
      </c>
      <c r="CI53" s="5">
        <f t="shared" si="53"/>
        <v>0</v>
      </c>
      <c r="CJ53" s="5"/>
      <c r="CK53" s="4">
        <f t="shared" si="75"/>
        <v>0</v>
      </c>
    </row>
    <row r="54" spans="1:89" ht="38" customHeight="1">
      <c r="A54" s="33" t="str">
        <f t="shared" si="74"/>
        <v/>
      </c>
      <c r="B54" s="10"/>
      <c r="C54" s="87"/>
      <c r="D54" s="88"/>
      <c r="E54" s="88"/>
      <c r="F54" s="44">
        <f t="shared" si="92"/>
        <v>0</v>
      </c>
      <c r="G54" s="88"/>
      <c r="H54" s="88"/>
      <c r="I54" s="44">
        <f t="shared" si="93"/>
        <v>0</v>
      </c>
      <c r="J54" s="89"/>
      <c r="K54" s="90"/>
      <c r="L54" s="44">
        <f t="shared" si="94"/>
        <v>0</v>
      </c>
      <c r="M54" s="90"/>
      <c r="N54" s="90"/>
      <c r="O54" s="44">
        <f t="shared" si="95"/>
        <v>0</v>
      </c>
      <c r="P54" s="90"/>
      <c r="Q54" s="90"/>
      <c r="R54" s="44">
        <f t="shared" si="96"/>
        <v>0</v>
      </c>
      <c r="S54" s="90"/>
      <c r="T54" s="90"/>
      <c r="U54" s="44">
        <f t="shared" si="97"/>
        <v>0</v>
      </c>
      <c r="V54" s="90"/>
      <c r="W54" s="90"/>
      <c r="X54" s="44">
        <f t="shared" si="98"/>
        <v>0</v>
      </c>
      <c r="Y54" s="44"/>
      <c r="Z54" s="44"/>
      <c r="AA54" s="44"/>
      <c r="AB54" s="44">
        <f t="shared" si="99"/>
        <v>0</v>
      </c>
      <c r="AC54" s="23"/>
      <c r="AD54" s="6"/>
      <c r="AE54" s="7">
        <f t="shared" si="107"/>
        <v>0</v>
      </c>
      <c r="AF54" s="6"/>
      <c r="AG54" s="7">
        <f t="shared" si="100"/>
        <v>0</v>
      </c>
      <c r="AH54" s="6"/>
      <c r="AI54" s="7">
        <f t="shared" si="101"/>
        <v>0</v>
      </c>
      <c r="AJ54" s="6"/>
      <c r="AK54" s="7">
        <f t="shared" si="102"/>
        <v>0</v>
      </c>
      <c r="AL54" s="6"/>
      <c r="AM54" s="7">
        <f t="shared" si="103"/>
        <v>0</v>
      </c>
      <c r="AN54" s="6"/>
      <c r="AO54" s="7">
        <f t="shared" si="104"/>
        <v>0</v>
      </c>
      <c r="AP54" s="30">
        <f t="shared" si="105"/>
        <v>0</v>
      </c>
      <c r="AQ54" s="6"/>
      <c r="AR54" s="6"/>
      <c r="AS54" s="6"/>
      <c r="AT54" s="44">
        <f t="shared" si="106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4"/>
        <v>0</v>
      </c>
      <c r="BB54" s="5">
        <f t="shared" si="25"/>
        <v>0</v>
      </c>
      <c r="BC54" s="5">
        <f t="shared" si="26"/>
        <v>0</v>
      </c>
      <c r="BD54" s="5">
        <f t="shared" si="54"/>
        <v>0</v>
      </c>
      <c r="BE54" s="5">
        <f t="shared" si="27"/>
        <v>0</v>
      </c>
      <c r="BF54" s="5">
        <f t="shared" si="28"/>
        <v>0</v>
      </c>
      <c r="BG54" s="5">
        <f t="shared" si="29"/>
        <v>0</v>
      </c>
      <c r="BH54" s="5">
        <f t="shared" si="30"/>
        <v>0</v>
      </c>
      <c r="BI54" s="5">
        <f t="shared" si="31"/>
        <v>0</v>
      </c>
      <c r="BJ54" s="5">
        <f t="shared" si="32"/>
        <v>0</v>
      </c>
      <c r="BK54" s="5">
        <f t="shared" si="33"/>
        <v>0</v>
      </c>
      <c r="BL54" s="5">
        <f t="shared" si="34"/>
        <v>0</v>
      </c>
      <c r="BM54" s="5">
        <f t="shared" si="35"/>
        <v>0</v>
      </c>
      <c r="BN54" s="5">
        <f t="shared" si="36"/>
        <v>0</v>
      </c>
      <c r="BO54" s="5">
        <f t="shared" si="37"/>
        <v>0</v>
      </c>
      <c r="BP54" s="5">
        <f t="shared" si="38"/>
        <v>0</v>
      </c>
      <c r="BQ54" s="5">
        <f t="shared" si="39"/>
        <v>0</v>
      </c>
      <c r="BR54" s="5">
        <f t="shared" si="40"/>
        <v>0</v>
      </c>
      <c r="BS54" s="5">
        <f t="shared" si="41"/>
        <v>0</v>
      </c>
      <c r="BT54" s="5">
        <f t="shared" si="42"/>
        <v>0</v>
      </c>
      <c r="BU54" s="5">
        <f t="shared" si="43"/>
        <v>0</v>
      </c>
      <c r="BV54" s="5">
        <f t="shared" si="44"/>
        <v>0</v>
      </c>
      <c r="BW54" s="5">
        <f t="shared" si="45"/>
        <v>0</v>
      </c>
      <c r="BX54" s="5">
        <f t="shared" si="46"/>
        <v>0</v>
      </c>
      <c r="BY54" s="5">
        <f t="shared" si="11"/>
        <v>0</v>
      </c>
      <c r="BZ54" s="5">
        <f t="shared" si="55"/>
        <v>0</v>
      </c>
      <c r="CA54" s="5">
        <f t="shared" si="47"/>
        <v>0</v>
      </c>
      <c r="CB54" s="5">
        <f t="shared" si="48"/>
        <v>0</v>
      </c>
      <c r="CC54" s="5">
        <f t="shared" si="56"/>
        <v>0</v>
      </c>
      <c r="CD54" s="5">
        <f t="shared" si="57"/>
        <v>0</v>
      </c>
      <c r="CE54" s="5">
        <f t="shared" si="49"/>
        <v>0</v>
      </c>
      <c r="CF54" s="5">
        <f t="shared" si="50"/>
        <v>0</v>
      </c>
      <c r="CG54" s="5">
        <f t="shared" si="51"/>
        <v>0</v>
      </c>
      <c r="CH54" s="5">
        <f t="shared" si="52"/>
        <v>0</v>
      </c>
      <c r="CI54" s="5">
        <f t="shared" si="53"/>
        <v>0</v>
      </c>
      <c r="CJ54" s="5"/>
      <c r="CK54" s="4">
        <f t="shared" si="75"/>
        <v>0</v>
      </c>
    </row>
    <row r="55" spans="1:89" ht="38" customHeight="1">
      <c r="A55" s="33" t="str">
        <f t="shared" si="74"/>
        <v/>
      </c>
      <c r="B55" s="10"/>
      <c r="C55" s="87"/>
      <c r="D55" s="88"/>
      <c r="E55" s="88"/>
      <c r="F55" s="44">
        <f t="shared" si="92"/>
        <v>0</v>
      </c>
      <c r="G55" s="88"/>
      <c r="H55" s="88"/>
      <c r="I55" s="44">
        <f t="shared" si="93"/>
        <v>0</v>
      </c>
      <c r="J55" s="89"/>
      <c r="K55" s="90"/>
      <c r="L55" s="44">
        <f t="shared" si="94"/>
        <v>0</v>
      </c>
      <c r="M55" s="90"/>
      <c r="N55" s="90"/>
      <c r="O55" s="44">
        <f t="shared" si="95"/>
        <v>0</v>
      </c>
      <c r="P55" s="90"/>
      <c r="Q55" s="90"/>
      <c r="R55" s="44">
        <f t="shared" si="96"/>
        <v>0</v>
      </c>
      <c r="S55" s="90"/>
      <c r="T55" s="90"/>
      <c r="U55" s="44">
        <f t="shared" si="97"/>
        <v>0</v>
      </c>
      <c r="V55" s="90"/>
      <c r="W55" s="90"/>
      <c r="X55" s="44">
        <f t="shared" si="98"/>
        <v>0</v>
      </c>
      <c r="Y55" s="44"/>
      <c r="Z55" s="44"/>
      <c r="AA55" s="44"/>
      <c r="AB55" s="44">
        <f t="shared" si="99"/>
        <v>0</v>
      </c>
      <c r="AC55" s="23"/>
      <c r="AD55" s="6"/>
      <c r="AE55" s="7">
        <f t="shared" si="107"/>
        <v>0</v>
      </c>
      <c r="AF55" s="6"/>
      <c r="AG55" s="7">
        <f t="shared" si="100"/>
        <v>0</v>
      </c>
      <c r="AH55" s="6"/>
      <c r="AI55" s="7">
        <f t="shared" si="101"/>
        <v>0</v>
      </c>
      <c r="AJ55" s="6"/>
      <c r="AK55" s="7">
        <f t="shared" si="102"/>
        <v>0</v>
      </c>
      <c r="AL55" s="6"/>
      <c r="AM55" s="7">
        <f t="shared" si="103"/>
        <v>0</v>
      </c>
      <c r="AN55" s="6"/>
      <c r="AO55" s="7">
        <f t="shared" si="104"/>
        <v>0</v>
      </c>
      <c r="AP55" s="30">
        <f t="shared" si="105"/>
        <v>0</v>
      </c>
      <c r="AQ55" s="6"/>
      <c r="AR55" s="6"/>
      <c r="AS55" s="6"/>
      <c r="AT55" s="44">
        <f t="shared" si="106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4"/>
        <v>0</v>
      </c>
      <c r="BB55" s="5">
        <f t="shared" si="25"/>
        <v>0</v>
      </c>
      <c r="BC55" s="5">
        <f t="shared" si="26"/>
        <v>0</v>
      </c>
      <c r="BD55" s="5">
        <f t="shared" si="54"/>
        <v>0</v>
      </c>
      <c r="BE55" s="5">
        <f t="shared" si="27"/>
        <v>0</v>
      </c>
      <c r="BF55" s="5">
        <f t="shared" si="28"/>
        <v>0</v>
      </c>
      <c r="BG55" s="5">
        <f t="shared" si="29"/>
        <v>0</v>
      </c>
      <c r="BH55" s="5">
        <f t="shared" si="30"/>
        <v>0</v>
      </c>
      <c r="BI55" s="5">
        <f t="shared" si="31"/>
        <v>0</v>
      </c>
      <c r="BJ55" s="5">
        <f t="shared" si="32"/>
        <v>0</v>
      </c>
      <c r="BK55" s="5">
        <f t="shared" si="33"/>
        <v>0</v>
      </c>
      <c r="BL55" s="5">
        <f t="shared" si="34"/>
        <v>0</v>
      </c>
      <c r="BM55" s="5">
        <f t="shared" si="35"/>
        <v>0</v>
      </c>
      <c r="BN55" s="5">
        <f t="shared" si="36"/>
        <v>0</v>
      </c>
      <c r="BO55" s="5">
        <f t="shared" si="37"/>
        <v>0</v>
      </c>
      <c r="BP55" s="5">
        <f t="shared" si="38"/>
        <v>0</v>
      </c>
      <c r="BQ55" s="5">
        <f t="shared" si="39"/>
        <v>0</v>
      </c>
      <c r="BR55" s="5">
        <f t="shared" si="40"/>
        <v>0</v>
      </c>
      <c r="BS55" s="5">
        <f t="shared" si="41"/>
        <v>0</v>
      </c>
      <c r="BT55" s="5">
        <f t="shared" si="42"/>
        <v>0</v>
      </c>
      <c r="BU55" s="5">
        <f t="shared" si="43"/>
        <v>0</v>
      </c>
      <c r="BV55" s="5">
        <f t="shared" si="44"/>
        <v>0</v>
      </c>
      <c r="BW55" s="5">
        <f t="shared" si="45"/>
        <v>0</v>
      </c>
      <c r="BX55" s="5">
        <f t="shared" si="46"/>
        <v>0</v>
      </c>
      <c r="BY55" s="5">
        <f t="shared" si="11"/>
        <v>0</v>
      </c>
      <c r="BZ55" s="5">
        <f t="shared" si="55"/>
        <v>0</v>
      </c>
      <c r="CA55" s="5">
        <f t="shared" si="47"/>
        <v>0</v>
      </c>
      <c r="CB55" s="5">
        <f t="shared" si="48"/>
        <v>0</v>
      </c>
      <c r="CC55" s="5">
        <f t="shared" si="56"/>
        <v>0</v>
      </c>
      <c r="CD55" s="5">
        <f t="shared" si="57"/>
        <v>0</v>
      </c>
      <c r="CE55" s="5">
        <f t="shared" si="49"/>
        <v>0</v>
      </c>
      <c r="CF55" s="5">
        <f t="shared" si="50"/>
        <v>0</v>
      </c>
      <c r="CG55" s="5">
        <f t="shared" si="51"/>
        <v>0</v>
      </c>
      <c r="CH55" s="5">
        <f t="shared" si="52"/>
        <v>0</v>
      </c>
      <c r="CI55" s="5">
        <f t="shared" si="53"/>
        <v>0</v>
      </c>
      <c r="CJ55" s="5"/>
      <c r="CK55" s="4">
        <f t="shared" si="75"/>
        <v>0</v>
      </c>
    </row>
    <row r="56" spans="1:89" ht="38" customHeight="1">
      <c r="A56" s="33" t="str">
        <f t="shared" si="74"/>
        <v/>
      </c>
      <c r="B56" s="10"/>
      <c r="C56" s="87"/>
      <c r="D56" s="88"/>
      <c r="E56" s="88"/>
      <c r="F56" s="44">
        <f t="shared" si="92"/>
        <v>0</v>
      </c>
      <c r="G56" s="88"/>
      <c r="H56" s="88"/>
      <c r="I56" s="44">
        <f t="shared" si="93"/>
        <v>0</v>
      </c>
      <c r="J56" s="89"/>
      <c r="K56" s="90"/>
      <c r="L56" s="44">
        <f t="shared" si="94"/>
        <v>0</v>
      </c>
      <c r="M56" s="90"/>
      <c r="N56" s="90"/>
      <c r="O56" s="44">
        <f t="shared" si="95"/>
        <v>0</v>
      </c>
      <c r="P56" s="90"/>
      <c r="Q56" s="90"/>
      <c r="R56" s="44">
        <f t="shared" si="96"/>
        <v>0</v>
      </c>
      <c r="S56" s="90"/>
      <c r="T56" s="90"/>
      <c r="U56" s="44">
        <f t="shared" si="97"/>
        <v>0</v>
      </c>
      <c r="V56" s="90"/>
      <c r="W56" s="90"/>
      <c r="X56" s="44">
        <f t="shared" si="98"/>
        <v>0</v>
      </c>
      <c r="Y56" s="44"/>
      <c r="Z56" s="44"/>
      <c r="AA56" s="44"/>
      <c r="AB56" s="44">
        <f t="shared" si="99"/>
        <v>0</v>
      </c>
      <c r="AC56" s="23"/>
      <c r="AD56" s="6"/>
      <c r="AE56" s="7">
        <f t="shared" si="107"/>
        <v>0</v>
      </c>
      <c r="AF56" s="6"/>
      <c r="AG56" s="7">
        <f t="shared" si="100"/>
        <v>0</v>
      </c>
      <c r="AH56" s="6"/>
      <c r="AI56" s="7">
        <f t="shared" si="101"/>
        <v>0</v>
      </c>
      <c r="AJ56" s="6"/>
      <c r="AK56" s="7">
        <f t="shared" si="102"/>
        <v>0</v>
      </c>
      <c r="AL56" s="6"/>
      <c r="AM56" s="7">
        <f t="shared" si="103"/>
        <v>0</v>
      </c>
      <c r="AN56" s="6"/>
      <c r="AO56" s="7">
        <f t="shared" si="104"/>
        <v>0</v>
      </c>
      <c r="AP56" s="30">
        <f t="shared" si="105"/>
        <v>0</v>
      </c>
      <c r="AQ56" s="6"/>
      <c r="AR56" s="6"/>
      <c r="AS56" s="6"/>
      <c r="AT56" s="44">
        <f t="shared" si="106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4"/>
        <v>0</v>
      </c>
      <c r="BB56" s="5">
        <f t="shared" si="25"/>
        <v>0</v>
      </c>
      <c r="BC56" s="5">
        <f t="shared" si="26"/>
        <v>0</v>
      </c>
      <c r="BD56" s="5">
        <f t="shared" si="54"/>
        <v>0</v>
      </c>
      <c r="BE56" s="5">
        <f t="shared" si="27"/>
        <v>0</v>
      </c>
      <c r="BF56" s="5">
        <f t="shared" si="28"/>
        <v>0</v>
      </c>
      <c r="BG56" s="5">
        <f t="shared" si="29"/>
        <v>0</v>
      </c>
      <c r="BH56" s="5">
        <f t="shared" si="30"/>
        <v>0</v>
      </c>
      <c r="BI56" s="5">
        <f t="shared" si="31"/>
        <v>0</v>
      </c>
      <c r="BJ56" s="5">
        <f t="shared" si="32"/>
        <v>0</v>
      </c>
      <c r="BK56" s="5">
        <f t="shared" si="33"/>
        <v>0</v>
      </c>
      <c r="BL56" s="5">
        <f t="shared" si="34"/>
        <v>0</v>
      </c>
      <c r="BM56" s="5">
        <f t="shared" si="35"/>
        <v>0</v>
      </c>
      <c r="BN56" s="5">
        <f t="shared" si="36"/>
        <v>0</v>
      </c>
      <c r="BO56" s="5">
        <f t="shared" si="37"/>
        <v>0</v>
      </c>
      <c r="BP56" s="5">
        <f t="shared" si="38"/>
        <v>0</v>
      </c>
      <c r="BQ56" s="5">
        <f t="shared" si="39"/>
        <v>0</v>
      </c>
      <c r="BR56" s="5">
        <f t="shared" si="40"/>
        <v>0</v>
      </c>
      <c r="BS56" s="5">
        <f t="shared" si="41"/>
        <v>0</v>
      </c>
      <c r="BT56" s="5">
        <f t="shared" si="42"/>
        <v>0</v>
      </c>
      <c r="BU56" s="5">
        <f t="shared" si="43"/>
        <v>0</v>
      </c>
      <c r="BV56" s="5">
        <f t="shared" si="44"/>
        <v>0</v>
      </c>
      <c r="BW56" s="5">
        <f t="shared" si="45"/>
        <v>0</v>
      </c>
      <c r="BX56" s="5">
        <f t="shared" si="46"/>
        <v>0</v>
      </c>
      <c r="BY56" s="5">
        <f t="shared" si="11"/>
        <v>0</v>
      </c>
      <c r="BZ56" s="5">
        <f t="shared" si="55"/>
        <v>0</v>
      </c>
      <c r="CA56" s="5">
        <f t="shared" si="47"/>
        <v>0</v>
      </c>
      <c r="CB56" s="5">
        <f t="shared" si="48"/>
        <v>0</v>
      </c>
      <c r="CC56" s="5">
        <f t="shared" si="56"/>
        <v>0</v>
      </c>
      <c r="CD56" s="5">
        <f t="shared" si="57"/>
        <v>0</v>
      </c>
      <c r="CE56" s="5">
        <f t="shared" si="49"/>
        <v>0</v>
      </c>
      <c r="CF56" s="5">
        <f t="shared" si="50"/>
        <v>0</v>
      </c>
      <c r="CG56" s="5">
        <f t="shared" si="51"/>
        <v>0</v>
      </c>
      <c r="CH56" s="5">
        <f t="shared" si="52"/>
        <v>0</v>
      </c>
      <c r="CI56" s="5">
        <f t="shared" si="53"/>
        <v>0</v>
      </c>
      <c r="CJ56" s="5"/>
      <c r="CK56" s="4">
        <f t="shared" si="75"/>
        <v>0</v>
      </c>
    </row>
    <row r="57" spans="1:89" ht="38" customHeight="1">
      <c r="A57" s="33" t="str">
        <f t="shared" si="74"/>
        <v/>
      </c>
      <c r="B57" s="10"/>
      <c r="C57" s="87"/>
      <c r="D57" s="88"/>
      <c r="E57" s="88"/>
      <c r="F57" s="44">
        <f t="shared" si="92"/>
        <v>0</v>
      </c>
      <c r="G57" s="88"/>
      <c r="H57" s="88"/>
      <c r="I57" s="44">
        <f t="shared" si="93"/>
        <v>0</v>
      </c>
      <c r="J57" s="89"/>
      <c r="K57" s="90"/>
      <c r="L57" s="44">
        <f t="shared" si="94"/>
        <v>0</v>
      </c>
      <c r="M57" s="90"/>
      <c r="N57" s="90"/>
      <c r="O57" s="44">
        <f t="shared" si="95"/>
        <v>0</v>
      </c>
      <c r="P57" s="90"/>
      <c r="Q57" s="90"/>
      <c r="R57" s="44">
        <f t="shared" si="96"/>
        <v>0</v>
      </c>
      <c r="S57" s="90"/>
      <c r="T57" s="90"/>
      <c r="U57" s="44">
        <f t="shared" si="97"/>
        <v>0</v>
      </c>
      <c r="V57" s="90"/>
      <c r="W57" s="90"/>
      <c r="X57" s="44">
        <f t="shared" si="98"/>
        <v>0</v>
      </c>
      <c r="Y57" s="44"/>
      <c r="Z57" s="44"/>
      <c r="AA57" s="44"/>
      <c r="AB57" s="44">
        <f t="shared" si="99"/>
        <v>0</v>
      </c>
      <c r="AC57" s="23"/>
      <c r="AD57" s="6"/>
      <c r="AE57" s="7">
        <f t="shared" si="107"/>
        <v>0</v>
      </c>
      <c r="AF57" s="6"/>
      <c r="AG57" s="7">
        <f t="shared" si="100"/>
        <v>0</v>
      </c>
      <c r="AH57" s="6"/>
      <c r="AI57" s="7">
        <f t="shared" si="101"/>
        <v>0</v>
      </c>
      <c r="AJ57" s="6"/>
      <c r="AK57" s="7">
        <f t="shared" si="102"/>
        <v>0</v>
      </c>
      <c r="AL57" s="6"/>
      <c r="AM57" s="7">
        <f t="shared" si="103"/>
        <v>0</v>
      </c>
      <c r="AN57" s="6"/>
      <c r="AO57" s="7">
        <f t="shared" si="104"/>
        <v>0</v>
      </c>
      <c r="AP57" s="30">
        <f t="shared" si="105"/>
        <v>0</v>
      </c>
      <c r="AQ57" s="6"/>
      <c r="AR57" s="6"/>
      <c r="AS57" s="6"/>
      <c r="AT57" s="44">
        <f t="shared" si="106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4"/>
        <v>0</v>
      </c>
      <c r="BB57" s="5">
        <f t="shared" si="25"/>
        <v>0</v>
      </c>
      <c r="BC57" s="5">
        <f t="shared" si="26"/>
        <v>0</v>
      </c>
      <c r="BD57" s="5">
        <f t="shared" si="54"/>
        <v>0</v>
      </c>
      <c r="BE57" s="5">
        <f t="shared" si="27"/>
        <v>0</v>
      </c>
      <c r="BF57" s="5">
        <f t="shared" si="28"/>
        <v>0</v>
      </c>
      <c r="BG57" s="5">
        <f t="shared" si="29"/>
        <v>0</v>
      </c>
      <c r="BH57" s="5">
        <f t="shared" si="30"/>
        <v>0</v>
      </c>
      <c r="BI57" s="5">
        <f t="shared" si="31"/>
        <v>0</v>
      </c>
      <c r="BJ57" s="5">
        <f t="shared" si="32"/>
        <v>0</v>
      </c>
      <c r="BK57" s="5">
        <f t="shared" si="33"/>
        <v>0</v>
      </c>
      <c r="BL57" s="5">
        <f t="shared" si="34"/>
        <v>0</v>
      </c>
      <c r="BM57" s="5">
        <f t="shared" si="35"/>
        <v>0</v>
      </c>
      <c r="BN57" s="5">
        <f t="shared" si="36"/>
        <v>0</v>
      </c>
      <c r="BO57" s="5">
        <f t="shared" si="37"/>
        <v>0</v>
      </c>
      <c r="BP57" s="5">
        <f t="shared" si="38"/>
        <v>0</v>
      </c>
      <c r="BQ57" s="5">
        <f t="shared" si="39"/>
        <v>0</v>
      </c>
      <c r="BR57" s="5">
        <f t="shared" si="40"/>
        <v>0</v>
      </c>
      <c r="BS57" s="5">
        <f t="shared" si="41"/>
        <v>0</v>
      </c>
      <c r="BT57" s="5">
        <f t="shared" si="42"/>
        <v>0</v>
      </c>
      <c r="BU57" s="5">
        <f t="shared" si="43"/>
        <v>0</v>
      </c>
      <c r="BV57" s="5">
        <f t="shared" si="44"/>
        <v>0</v>
      </c>
      <c r="BW57" s="5">
        <f t="shared" si="45"/>
        <v>0</v>
      </c>
      <c r="BX57" s="5">
        <f t="shared" si="46"/>
        <v>0</v>
      </c>
      <c r="BY57" s="5">
        <f t="shared" si="11"/>
        <v>0</v>
      </c>
      <c r="BZ57" s="5">
        <f t="shared" si="55"/>
        <v>0</v>
      </c>
      <c r="CA57" s="5">
        <f t="shared" si="47"/>
        <v>0</v>
      </c>
      <c r="CB57" s="5">
        <f t="shared" si="48"/>
        <v>0</v>
      </c>
      <c r="CC57" s="5">
        <f t="shared" si="56"/>
        <v>0</v>
      </c>
      <c r="CD57" s="5">
        <f t="shared" si="57"/>
        <v>0</v>
      </c>
      <c r="CE57" s="5">
        <f t="shared" si="49"/>
        <v>0</v>
      </c>
      <c r="CF57" s="5">
        <f t="shared" si="50"/>
        <v>0</v>
      </c>
      <c r="CG57" s="5">
        <f t="shared" si="51"/>
        <v>0</v>
      </c>
      <c r="CH57" s="5">
        <f t="shared" si="52"/>
        <v>0</v>
      </c>
      <c r="CI57" s="5">
        <f t="shared" si="53"/>
        <v>0</v>
      </c>
      <c r="CJ57" s="5"/>
      <c r="CK57" s="4">
        <f t="shared" si="75"/>
        <v>0</v>
      </c>
    </row>
    <row r="58" spans="1:89" ht="38" customHeight="1">
      <c r="A58" s="33" t="str">
        <f t="shared" si="74"/>
        <v/>
      </c>
      <c r="B58" s="10"/>
      <c r="C58" s="87"/>
      <c r="D58" s="88"/>
      <c r="E58" s="88"/>
      <c r="F58" s="44">
        <f t="shared" si="92"/>
        <v>0</v>
      </c>
      <c r="G58" s="88"/>
      <c r="H58" s="88"/>
      <c r="I58" s="44">
        <f t="shared" si="93"/>
        <v>0</v>
      </c>
      <c r="J58" s="89"/>
      <c r="K58" s="90"/>
      <c r="L58" s="44">
        <f t="shared" si="94"/>
        <v>0</v>
      </c>
      <c r="M58" s="90"/>
      <c r="N58" s="90"/>
      <c r="O58" s="44">
        <f t="shared" si="95"/>
        <v>0</v>
      </c>
      <c r="P58" s="90"/>
      <c r="Q58" s="90"/>
      <c r="R58" s="44">
        <f t="shared" si="96"/>
        <v>0</v>
      </c>
      <c r="S58" s="90"/>
      <c r="T58" s="90"/>
      <c r="U58" s="44">
        <f t="shared" si="97"/>
        <v>0</v>
      </c>
      <c r="V58" s="90"/>
      <c r="W58" s="90"/>
      <c r="X58" s="44">
        <f t="shared" si="98"/>
        <v>0</v>
      </c>
      <c r="Y58" s="44"/>
      <c r="Z58" s="44"/>
      <c r="AA58" s="44"/>
      <c r="AB58" s="44">
        <f t="shared" si="99"/>
        <v>0</v>
      </c>
      <c r="AC58" s="23"/>
      <c r="AD58" s="6"/>
      <c r="AE58" s="7">
        <f t="shared" si="107"/>
        <v>0</v>
      </c>
      <c r="AF58" s="6"/>
      <c r="AG58" s="7">
        <f t="shared" si="100"/>
        <v>0</v>
      </c>
      <c r="AH58" s="6"/>
      <c r="AI58" s="7">
        <f t="shared" si="101"/>
        <v>0</v>
      </c>
      <c r="AJ58" s="6"/>
      <c r="AK58" s="7">
        <f t="shared" si="102"/>
        <v>0</v>
      </c>
      <c r="AL58" s="6"/>
      <c r="AM58" s="7">
        <f t="shared" si="103"/>
        <v>0</v>
      </c>
      <c r="AN58" s="6"/>
      <c r="AO58" s="7">
        <f t="shared" si="104"/>
        <v>0</v>
      </c>
      <c r="AP58" s="30">
        <f t="shared" si="105"/>
        <v>0</v>
      </c>
      <c r="AQ58" s="6"/>
      <c r="AR58" s="6"/>
      <c r="AS58" s="6"/>
      <c r="AT58" s="44">
        <f t="shared" si="106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4"/>
        <v>0</v>
      </c>
      <c r="BB58" s="5">
        <f t="shared" si="25"/>
        <v>0</v>
      </c>
      <c r="BC58" s="5">
        <f t="shared" si="26"/>
        <v>0</v>
      </c>
      <c r="BD58" s="5">
        <f t="shared" si="54"/>
        <v>0</v>
      </c>
      <c r="BE58" s="5">
        <f t="shared" si="27"/>
        <v>0</v>
      </c>
      <c r="BF58" s="5">
        <f t="shared" si="28"/>
        <v>0</v>
      </c>
      <c r="BG58" s="5">
        <f t="shared" si="29"/>
        <v>0</v>
      </c>
      <c r="BH58" s="5">
        <f t="shared" si="30"/>
        <v>0</v>
      </c>
      <c r="BI58" s="5">
        <f t="shared" si="31"/>
        <v>0</v>
      </c>
      <c r="BJ58" s="5">
        <f t="shared" si="32"/>
        <v>0</v>
      </c>
      <c r="BK58" s="5">
        <f t="shared" si="33"/>
        <v>0</v>
      </c>
      <c r="BL58" s="5">
        <f t="shared" si="34"/>
        <v>0</v>
      </c>
      <c r="BM58" s="5">
        <f t="shared" si="35"/>
        <v>0</v>
      </c>
      <c r="BN58" s="5">
        <f t="shared" si="36"/>
        <v>0</v>
      </c>
      <c r="BO58" s="5">
        <f t="shared" si="37"/>
        <v>0</v>
      </c>
      <c r="BP58" s="5">
        <f t="shared" si="38"/>
        <v>0</v>
      </c>
      <c r="BQ58" s="5">
        <f t="shared" si="39"/>
        <v>0</v>
      </c>
      <c r="BR58" s="5">
        <f t="shared" si="40"/>
        <v>0</v>
      </c>
      <c r="BS58" s="5">
        <f t="shared" si="41"/>
        <v>0</v>
      </c>
      <c r="BT58" s="5">
        <f t="shared" si="42"/>
        <v>0</v>
      </c>
      <c r="BU58" s="5">
        <f t="shared" si="43"/>
        <v>0</v>
      </c>
      <c r="BV58" s="5">
        <f t="shared" si="44"/>
        <v>0</v>
      </c>
      <c r="BW58" s="5">
        <f t="shared" si="45"/>
        <v>0</v>
      </c>
      <c r="BX58" s="5">
        <f t="shared" si="46"/>
        <v>0</v>
      </c>
      <c r="BY58" s="5">
        <f t="shared" si="11"/>
        <v>0</v>
      </c>
      <c r="BZ58" s="5">
        <f t="shared" si="55"/>
        <v>0</v>
      </c>
      <c r="CA58" s="5">
        <f t="shared" si="47"/>
        <v>0</v>
      </c>
      <c r="CB58" s="5">
        <f t="shared" si="48"/>
        <v>0</v>
      </c>
      <c r="CC58" s="5">
        <f t="shared" si="56"/>
        <v>0</v>
      </c>
      <c r="CD58" s="5">
        <f t="shared" si="57"/>
        <v>0</v>
      </c>
      <c r="CE58" s="5">
        <f t="shared" si="49"/>
        <v>0</v>
      </c>
      <c r="CF58" s="5">
        <f t="shared" si="50"/>
        <v>0</v>
      </c>
      <c r="CG58" s="5">
        <f t="shared" si="51"/>
        <v>0</v>
      </c>
      <c r="CH58" s="5">
        <f t="shared" si="52"/>
        <v>0</v>
      </c>
      <c r="CI58" s="5">
        <f t="shared" si="53"/>
        <v>0</v>
      </c>
      <c r="CJ58" s="5"/>
      <c r="CK58" s="4">
        <f t="shared" si="75"/>
        <v>0</v>
      </c>
    </row>
    <row r="59" spans="1:89" ht="38" customHeight="1">
      <c r="A59" s="33" t="str">
        <f t="shared" si="74"/>
        <v/>
      </c>
      <c r="B59" s="10"/>
      <c r="C59" s="87"/>
      <c r="D59" s="88"/>
      <c r="E59" s="88"/>
      <c r="F59" s="44">
        <f t="shared" si="92"/>
        <v>0</v>
      </c>
      <c r="G59" s="88"/>
      <c r="H59" s="88"/>
      <c r="I59" s="44">
        <f t="shared" si="93"/>
        <v>0</v>
      </c>
      <c r="J59" s="89"/>
      <c r="K59" s="90"/>
      <c r="L59" s="44">
        <f t="shared" si="94"/>
        <v>0</v>
      </c>
      <c r="M59" s="90"/>
      <c r="N59" s="90"/>
      <c r="O59" s="44">
        <f t="shared" si="95"/>
        <v>0</v>
      </c>
      <c r="P59" s="90"/>
      <c r="Q59" s="90"/>
      <c r="R59" s="44">
        <f t="shared" si="96"/>
        <v>0</v>
      </c>
      <c r="S59" s="90"/>
      <c r="T59" s="90"/>
      <c r="U59" s="44">
        <f t="shared" si="97"/>
        <v>0</v>
      </c>
      <c r="V59" s="90"/>
      <c r="W59" s="90"/>
      <c r="X59" s="44">
        <f t="shared" si="98"/>
        <v>0</v>
      </c>
      <c r="Y59" s="44"/>
      <c r="Z59" s="44"/>
      <c r="AA59" s="44"/>
      <c r="AB59" s="44">
        <f t="shared" si="99"/>
        <v>0</v>
      </c>
      <c r="AC59" s="23"/>
      <c r="AD59" s="6"/>
      <c r="AE59" s="7">
        <f t="shared" si="107"/>
        <v>0</v>
      </c>
      <c r="AF59" s="6"/>
      <c r="AG59" s="7">
        <f t="shared" si="100"/>
        <v>0</v>
      </c>
      <c r="AH59" s="6"/>
      <c r="AI59" s="7">
        <f t="shared" si="101"/>
        <v>0</v>
      </c>
      <c r="AJ59" s="6"/>
      <c r="AK59" s="7">
        <f t="shared" si="102"/>
        <v>0</v>
      </c>
      <c r="AL59" s="6"/>
      <c r="AM59" s="7">
        <f t="shared" si="103"/>
        <v>0</v>
      </c>
      <c r="AN59" s="6"/>
      <c r="AO59" s="7">
        <f t="shared" si="104"/>
        <v>0</v>
      </c>
      <c r="AP59" s="30">
        <f t="shared" si="105"/>
        <v>0</v>
      </c>
      <c r="AQ59" s="6"/>
      <c r="AR59" s="6"/>
      <c r="AS59" s="6"/>
      <c r="AT59" s="44">
        <f t="shared" si="106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4"/>
        <v>0</v>
      </c>
      <c r="BB59" s="5">
        <f t="shared" si="25"/>
        <v>0</v>
      </c>
      <c r="BC59" s="5">
        <f t="shared" si="26"/>
        <v>0</v>
      </c>
      <c r="BD59" s="5">
        <f t="shared" si="54"/>
        <v>0</v>
      </c>
      <c r="BE59" s="5">
        <f t="shared" si="27"/>
        <v>0</v>
      </c>
      <c r="BF59" s="5">
        <f t="shared" si="28"/>
        <v>0</v>
      </c>
      <c r="BG59" s="5">
        <f t="shared" si="29"/>
        <v>0</v>
      </c>
      <c r="BH59" s="5">
        <f t="shared" si="30"/>
        <v>0</v>
      </c>
      <c r="BI59" s="5">
        <f t="shared" si="31"/>
        <v>0</v>
      </c>
      <c r="BJ59" s="5">
        <f t="shared" si="32"/>
        <v>0</v>
      </c>
      <c r="BK59" s="5">
        <f t="shared" si="33"/>
        <v>0</v>
      </c>
      <c r="BL59" s="5">
        <f t="shared" si="34"/>
        <v>0</v>
      </c>
      <c r="BM59" s="5">
        <f t="shared" si="35"/>
        <v>0</v>
      </c>
      <c r="BN59" s="5">
        <f t="shared" si="36"/>
        <v>0</v>
      </c>
      <c r="BO59" s="5">
        <f t="shared" si="37"/>
        <v>0</v>
      </c>
      <c r="BP59" s="5">
        <f t="shared" si="38"/>
        <v>0</v>
      </c>
      <c r="BQ59" s="5">
        <f t="shared" si="39"/>
        <v>0</v>
      </c>
      <c r="BR59" s="5">
        <f t="shared" si="40"/>
        <v>0</v>
      </c>
      <c r="BS59" s="5">
        <f t="shared" si="41"/>
        <v>0</v>
      </c>
      <c r="BT59" s="5">
        <f t="shared" si="42"/>
        <v>0</v>
      </c>
      <c r="BU59" s="5">
        <f t="shared" si="43"/>
        <v>0</v>
      </c>
      <c r="BV59" s="5">
        <f t="shared" si="44"/>
        <v>0</v>
      </c>
      <c r="BW59" s="5">
        <f t="shared" si="45"/>
        <v>0</v>
      </c>
      <c r="BX59" s="5">
        <f t="shared" si="46"/>
        <v>0</v>
      </c>
      <c r="BY59" s="5">
        <f t="shared" si="11"/>
        <v>0</v>
      </c>
      <c r="BZ59" s="5">
        <f t="shared" si="55"/>
        <v>0</v>
      </c>
      <c r="CA59" s="5">
        <f t="shared" si="47"/>
        <v>0</v>
      </c>
      <c r="CB59" s="5">
        <f t="shared" si="48"/>
        <v>0</v>
      </c>
      <c r="CC59" s="5">
        <f t="shared" si="56"/>
        <v>0</v>
      </c>
      <c r="CD59" s="5">
        <f t="shared" si="57"/>
        <v>0</v>
      </c>
      <c r="CE59" s="5">
        <f t="shared" si="49"/>
        <v>0</v>
      </c>
      <c r="CF59" s="5">
        <f t="shared" si="50"/>
        <v>0</v>
      </c>
      <c r="CG59" s="5">
        <f t="shared" si="51"/>
        <v>0</v>
      </c>
      <c r="CH59" s="5">
        <f t="shared" si="52"/>
        <v>0</v>
      </c>
      <c r="CI59" s="5">
        <f t="shared" si="53"/>
        <v>0</v>
      </c>
      <c r="CJ59" s="5"/>
      <c r="CK59" s="4">
        <f t="shared" si="75"/>
        <v>0</v>
      </c>
    </row>
    <row r="60" spans="1:89" ht="38" customHeight="1">
      <c r="A60" s="33" t="str">
        <f t="shared" si="74"/>
        <v/>
      </c>
      <c r="B60" s="10"/>
      <c r="C60" s="87"/>
      <c r="D60" s="88"/>
      <c r="E60" s="88"/>
      <c r="F60" s="44">
        <f t="shared" si="76"/>
        <v>0</v>
      </c>
      <c r="G60" s="88"/>
      <c r="H60" s="88"/>
      <c r="I60" s="44">
        <f t="shared" si="77"/>
        <v>0</v>
      </c>
      <c r="J60" s="89"/>
      <c r="K60" s="90"/>
      <c r="L60" s="44">
        <f t="shared" si="78"/>
        <v>0</v>
      </c>
      <c r="M60" s="90"/>
      <c r="N60" s="90"/>
      <c r="O60" s="44">
        <f t="shared" si="79"/>
        <v>0</v>
      </c>
      <c r="P60" s="90"/>
      <c r="Q60" s="90"/>
      <c r="R60" s="44">
        <f t="shared" si="80"/>
        <v>0</v>
      </c>
      <c r="S60" s="90"/>
      <c r="T60" s="90"/>
      <c r="U60" s="44">
        <f t="shared" si="81"/>
        <v>0</v>
      </c>
      <c r="V60" s="90"/>
      <c r="W60" s="90"/>
      <c r="X60" s="44">
        <f t="shared" si="82"/>
        <v>0</v>
      </c>
      <c r="Y60" s="44"/>
      <c r="Z60" s="44"/>
      <c r="AA60" s="44"/>
      <c r="AB60" s="44">
        <f t="shared" si="83"/>
        <v>0</v>
      </c>
      <c r="AC60" s="23"/>
      <c r="AD60" s="6"/>
      <c r="AE60" s="7">
        <f t="shared" si="84"/>
        <v>0</v>
      </c>
      <c r="AF60" s="6"/>
      <c r="AG60" s="7">
        <f t="shared" si="85"/>
        <v>0</v>
      </c>
      <c r="AH60" s="6"/>
      <c r="AI60" s="7">
        <f t="shared" si="86"/>
        <v>0</v>
      </c>
      <c r="AJ60" s="6"/>
      <c r="AK60" s="7">
        <f t="shared" si="87"/>
        <v>0</v>
      </c>
      <c r="AL60" s="6"/>
      <c r="AM60" s="7">
        <f t="shared" si="88"/>
        <v>0</v>
      </c>
      <c r="AN60" s="6"/>
      <c r="AO60" s="7">
        <f t="shared" si="89"/>
        <v>0</v>
      </c>
      <c r="AP60" s="30">
        <f t="shared" si="90"/>
        <v>0</v>
      </c>
      <c r="AQ60" s="6"/>
      <c r="AR60" s="6"/>
      <c r="AS60" s="6"/>
      <c r="AT60" s="44">
        <f t="shared" si="91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4"/>
        <v>0</v>
      </c>
      <c r="BB60" s="5">
        <f t="shared" si="25"/>
        <v>0</v>
      </c>
      <c r="BC60" s="5">
        <f t="shared" si="26"/>
        <v>0</v>
      </c>
      <c r="BD60" s="5">
        <f t="shared" si="54"/>
        <v>0</v>
      </c>
      <c r="BE60" s="5">
        <f t="shared" si="27"/>
        <v>0</v>
      </c>
      <c r="BF60" s="5">
        <f t="shared" si="28"/>
        <v>0</v>
      </c>
      <c r="BG60" s="5">
        <f t="shared" si="29"/>
        <v>0</v>
      </c>
      <c r="BH60" s="5">
        <f t="shared" si="30"/>
        <v>0</v>
      </c>
      <c r="BI60" s="5">
        <f t="shared" si="31"/>
        <v>0</v>
      </c>
      <c r="BJ60" s="5">
        <f t="shared" si="32"/>
        <v>0</v>
      </c>
      <c r="BK60" s="5">
        <f t="shared" si="33"/>
        <v>0</v>
      </c>
      <c r="BL60" s="5">
        <f t="shared" si="34"/>
        <v>0</v>
      </c>
      <c r="BM60" s="5">
        <f t="shared" si="35"/>
        <v>0</v>
      </c>
      <c r="BN60" s="5">
        <f t="shared" si="36"/>
        <v>0</v>
      </c>
      <c r="BO60" s="5">
        <f t="shared" si="37"/>
        <v>0</v>
      </c>
      <c r="BP60" s="5">
        <f t="shared" si="38"/>
        <v>0</v>
      </c>
      <c r="BQ60" s="5">
        <f t="shared" si="39"/>
        <v>0</v>
      </c>
      <c r="BR60" s="5">
        <f t="shared" si="40"/>
        <v>0</v>
      </c>
      <c r="BS60" s="5">
        <f t="shared" si="41"/>
        <v>0</v>
      </c>
      <c r="BT60" s="5">
        <f t="shared" si="42"/>
        <v>0</v>
      </c>
      <c r="BU60" s="5">
        <f t="shared" si="43"/>
        <v>0</v>
      </c>
      <c r="BV60" s="5">
        <f t="shared" si="44"/>
        <v>0</v>
      </c>
      <c r="BW60" s="5">
        <f t="shared" si="45"/>
        <v>0</v>
      </c>
      <c r="BX60" s="5">
        <f t="shared" si="46"/>
        <v>0</v>
      </c>
      <c r="BY60" s="5">
        <f t="shared" si="11"/>
        <v>0</v>
      </c>
      <c r="BZ60" s="5">
        <f t="shared" si="55"/>
        <v>0</v>
      </c>
      <c r="CA60" s="5">
        <f t="shared" si="47"/>
        <v>0</v>
      </c>
      <c r="CB60" s="5">
        <f t="shared" si="48"/>
        <v>0</v>
      </c>
      <c r="CC60" s="5">
        <f t="shared" si="56"/>
        <v>0</v>
      </c>
      <c r="CD60" s="5">
        <f t="shared" si="57"/>
        <v>0</v>
      </c>
      <c r="CE60" s="5">
        <f t="shared" si="49"/>
        <v>0</v>
      </c>
      <c r="CF60" s="5">
        <f t="shared" si="50"/>
        <v>0</v>
      </c>
      <c r="CG60" s="5">
        <f t="shared" si="51"/>
        <v>0</v>
      </c>
      <c r="CH60" s="5">
        <f t="shared" si="52"/>
        <v>0</v>
      </c>
      <c r="CI60" s="5">
        <f t="shared" si="53"/>
        <v>0</v>
      </c>
      <c r="CJ60" s="5"/>
      <c r="CK60" s="4">
        <f t="shared" si="75"/>
        <v>0</v>
      </c>
    </row>
    <row r="61" spans="1:89" ht="38" customHeight="1">
      <c r="A61" s="33" t="str">
        <f t="shared" si="74"/>
        <v/>
      </c>
      <c r="B61" s="10"/>
      <c r="C61" s="87"/>
      <c r="D61" s="88"/>
      <c r="E61" s="88"/>
      <c r="F61" s="44">
        <f t="shared" si="14"/>
        <v>0</v>
      </c>
      <c r="G61" s="88"/>
      <c r="H61" s="88"/>
      <c r="I61" s="44">
        <f t="shared" si="15"/>
        <v>0</v>
      </c>
      <c r="J61" s="89"/>
      <c r="K61" s="90"/>
      <c r="L61" s="44">
        <f t="shared" si="16"/>
        <v>0</v>
      </c>
      <c r="M61" s="90"/>
      <c r="N61" s="90"/>
      <c r="O61" s="44">
        <f t="shared" si="17"/>
        <v>0</v>
      </c>
      <c r="P61" s="90"/>
      <c r="Q61" s="90"/>
      <c r="R61" s="44">
        <f t="shared" si="18"/>
        <v>0</v>
      </c>
      <c r="S61" s="90"/>
      <c r="T61" s="90"/>
      <c r="U61" s="44">
        <f t="shared" si="19"/>
        <v>0</v>
      </c>
      <c r="V61" s="90"/>
      <c r="W61" s="90"/>
      <c r="X61" s="44">
        <f t="shared" si="20"/>
        <v>0</v>
      </c>
      <c r="Y61" s="44"/>
      <c r="Z61" s="44"/>
      <c r="AA61" s="44"/>
      <c r="AB61" s="44">
        <f t="shared" si="21"/>
        <v>0</v>
      </c>
      <c r="AC61" s="23"/>
      <c r="AD61" s="6"/>
      <c r="AE61" s="7">
        <f t="shared" ref="AE61:AE69" si="108">SUMIF($BC$1:$CI$1,AE$1,$BC61:$CI61)+AD61</f>
        <v>0</v>
      </c>
      <c r="AF61" s="6"/>
      <c r="AG61" s="7">
        <f t="shared" ref="AG61:AG69" si="109">SUMIF($BC$1:$CI$1,AG$1,$BC61:$CI61)+AF61</f>
        <v>0</v>
      </c>
      <c r="AH61" s="6"/>
      <c r="AI61" s="7">
        <f t="shared" ref="AI61:AI69" si="110">SUMIF($BC$1:$CI$1,AI$1,$BC61:$CI61)+AH61</f>
        <v>0</v>
      </c>
      <c r="AJ61" s="6"/>
      <c r="AK61" s="7">
        <f t="shared" ref="AK61:AK69" si="111">SUMIF($BC$1:$CI$1,AK$1,$BC61:$CI61)+AJ61</f>
        <v>0</v>
      </c>
      <c r="AL61" s="6"/>
      <c r="AM61" s="7">
        <f t="shared" ref="AM61:AM69" si="112">SUMIF($BC$1:$CI$1,AM$1,$BC61:$CI61)+AL61</f>
        <v>0</v>
      </c>
      <c r="AN61" s="6"/>
      <c r="AO61" s="7">
        <f t="shared" ref="AO61:AO69" si="113">SUMIF($BC$1:$CI$1,AO$1,$BC61:$CI61)+AN61</f>
        <v>0</v>
      </c>
      <c r="AP61" s="30">
        <f t="shared" si="22"/>
        <v>0</v>
      </c>
      <c r="AQ61" s="6"/>
      <c r="AR61" s="6"/>
      <c r="AS61" s="6"/>
      <c r="AT61" s="44">
        <f t="shared" si="23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4"/>
        <v>0</v>
      </c>
      <c r="BB61" s="5">
        <f t="shared" si="25"/>
        <v>0</v>
      </c>
      <c r="BC61" s="5">
        <f t="shared" si="26"/>
        <v>0</v>
      </c>
      <c r="BD61" s="5">
        <f t="shared" si="54"/>
        <v>0</v>
      </c>
      <c r="BE61" s="5">
        <f t="shared" si="27"/>
        <v>0</v>
      </c>
      <c r="BF61" s="5">
        <f t="shared" si="28"/>
        <v>0</v>
      </c>
      <c r="BG61" s="5">
        <f t="shared" si="29"/>
        <v>0</v>
      </c>
      <c r="BH61" s="5">
        <f t="shared" si="30"/>
        <v>0</v>
      </c>
      <c r="BI61" s="5">
        <f t="shared" si="31"/>
        <v>0</v>
      </c>
      <c r="BJ61" s="5">
        <f t="shared" si="32"/>
        <v>0</v>
      </c>
      <c r="BK61" s="5">
        <f t="shared" si="33"/>
        <v>0</v>
      </c>
      <c r="BL61" s="5">
        <f t="shared" si="34"/>
        <v>0</v>
      </c>
      <c r="BM61" s="5">
        <f t="shared" si="35"/>
        <v>0</v>
      </c>
      <c r="BN61" s="5">
        <f t="shared" si="36"/>
        <v>0</v>
      </c>
      <c r="BO61" s="5">
        <f t="shared" si="37"/>
        <v>0</v>
      </c>
      <c r="BP61" s="5">
        <f t="shared" si="38"/>
        <v>0</v>
      </c>
      <c r="BQ61" s="5">
        <f t="shared" si="39"/>
        <v>0</v>
      </c>
      <c r="BR61" s="5">
        <f t="shared" si="40"/>
        <v>0</v>
      </c>
      <c r="BS61" s="5">
        <f t="shared" si="41"/>
        <v>0</v>
      </c>
      <c r="BT61" s="5">
        <f t="shared" si="42"/>
        <v>0</v>
      </c>
      <c r="BU61" s="5">
        <f t="shared" si="43"/>
        <v>0</v>
      </c>
      <c r="BV61" s="5">
        <f t="shared" si="44"/>
        <v>0</v>
      </c>
      <c r="BW61" s="5">
        <f t="shared" si="45"/>
        <v>0</v>
      </c>
      <c r="BX61" s="5">
        <f t="shared" si="46"/>
        <v>0</v>
      </c>
      <c r="BY61" s="5">
        <f t="shared" si="11"/>
        <v>0</v>
      </c>
      <c r="BZ61" s="5">
        <f t="shared" si="55"/>
        <v>0</v>
      </c>
      <c r="CA61" s="5">
        <f t="shared" si="47"/>
        <v>0</v>
      </c>
      <c r="CB61" s="5">
        <f t="shared" si="48"/>
        <v>0</v>
      </c>
      <c r="CC61" s="5">
        <f t="shared" si="56"/>
        <v>0</v>
      </c>
      <c r="CD61" s="5">
        <f t="shared" si="57"/>
        <v>0</v>
      </c>
      <c r="CE61" s="5">
        <f t="shared" si="49"/>
        <v>0</v>
      </c>
      <c r="CF61" s="5">
        <f t="shared" si="50"/>
        <v>0</v>
      </c>
      <c r="CG61" s="5">
        <f t="shared" si="51"/>
        <v>0</v>
      </c>
      <c r="CH61" s="5">
        <f t="shared" si="52"/>
        <v>0</v>
      </c>
      <c r="CI61" s="5">
        <f t="shared" si="53"/>
        <v>0</v>
      </c>
      <c r="CJ61" s="5"/>
      <c r="CK61" s="4">
        <f t="shared" si="75"/>
        <v>0</v>
      </c>
    </row>
    <row r="62" spans="1:89" ht="38" customHeight="1">
      <c r="A62" s="33" t="str">
        <f t="shared" si="74"/>
        <v/>
      </c>
      <c r="B62" s="10"/>
      <c r="C62" s="87"/>
      <c r="D62" s="88"/>
      <c r="E62" s="88"/>
      <c r="F62" s="44">
        <f t="shared" si="14"/>
        <v>0</v>
      </c>
      <c r="G62" s="88"/>
      <c r="H62" s="88"/>
      <c r="I62" s="44">
        <f t="shared" si="15"/>
        <v>0</v>
      </c>
      <c r="J62" s="89"/>
      <c r="K62" s="90"/>
      <c r="L62" s="44">
        <f t="shared" si="16"/>
        <v>0</v>
      </c>
      <c r="M62" s="90"/>
      <c r="N62" s="90"/>
      <c r="O62" s="44">
        <f t="shared" si="17"/>
        <v>0</v>
      </c>
      <c r="P62" s="90"/>
      <c r="Q62" s="90"/>
      <c r="R62" s="44">
        <f t="shared" si="18"/>
        <v>0</v>
      </c>
      <c r="S62" s="90"/>
      <c r="T62" s="90"/>
      <c r="U62" s="44">
        <f t="shared" si="19"/>
        <v>0</v>
      </c>
      <c r="V62" s="90"/>
      <c r="W62" s="90"/>
      <c r="X62" s="44">
        <f t="shared" si="20"/>
        <v>0</v>
      </c>
      <c r="Y62" s="44"/>
      <c r="Z62" s="44"/>
      <c r="AA62" s="44"/>
      <c r="AB62" s="44">
        <f t="shared" si="21"/>
        <v>0</v>
      </c>
      <c r="AC62" s="23"/>
      <c r="AD62" s="6"/>
      <c r="AE62" s="7">
        <f t="shared" si="108"/>
        <v>0</v>
      </c>
      <c r="AF62" s="6"/>
      <c r="AG62" s="7">
        <f t="shared" si="109"/>
        <v>0</v>
      </c>
      <c r="AH62" s="6"/>
      <c r="AI62" s="7">
        <f t="shared" si="110"/>
        <v>0</v>
      </c>
      <c r="AJ62" s="6"/>
      <c r="AK62" s="7">
        <f t="shared" si="111"/>
        <v>0</v>
      </c>
      <c r="AL62" s="6"/>
      <c r="AM62" s="7">
        <f t="shared" si="112"/>
        <v>0</v>
      </c>
      <c r="AN62" s="6"/>
      <c r="AO62" s="7">
        <f t="shared" si="113"/>
        <v>0</v>
      </c>
      <c r="AP62" s="30">
        <f t="shared" si="22"/>
        <v>0</v>
      </c>
      <c r="AQ62" s="6"/>
      <c r="AR62" s="6"/>
      <c r="AS62" s="6"/>
      <c r="AT62" s="44">
        <f t="shared" si="23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4"/>
        <v>0</v>
      </c>
      <c r="BB62" s="5">
        <f t="shared" si="25"/>
        <v>0</v>
      </c>
      <c r="BC62" s="5">
        <f t="shared" si="26"/>
        <v>0</v>
      </c>
      <c r="BD62" s="5">
        <f t="shared" si="54"/>
        <v>0</v>
      </c>
      <c r="BE62" s="5">
        <f t="shared" si="27"/>
        <v>0</v>
      </c>
      <c r="BF62" s="5">
        <f t="shared" si="28"/>
        <v>0</v>
      </c>
      <c r="BG62" s="5">
        <f t="shared" si="29"/>
        <v>0</v>
      </c>
      <c r="BH62" s="5">
        <f t="shared" si="30"/>
        <v>0</v>
      </c>
      <c r="BI62" s="5">
        <f t="shared" si="31"/>
        <v>0</v>
      </c>
      <c r="BJ62" s="5">
        <f t="shared" si="32"/>
        <v>0</v>
      </c>
      <c r="BK62" s="5">
        <f t="shared" si="33"/>
        <v>0</v>
      </c>
      <c r="BL62" s="5">
        <f t="shared" si="34"/>
        <v>0</v>
      </c>
      <c r="BM62" s="5">
        <f t="shared" si="35"/>
        <v>0</v>
      </c>
      <c r="BN62" s="5">
        <f t="shared" si="36"/>
        <v>0</v>
      </c>
      <c r="BO62" s="5">
        <f t="shared" si="37"/>
        <v>0</v>
      </c>
      <c r="BP62" s="5">
        <f t="shared" si="38"/>
        <v>0</v>
      </c>
      <c r="BQ62" s="5">
        <f t="shared" si="39"/>
        <v>0</v>
      </c>
      <c r="BR62" s="5">
        <f t="shared" si="40"/>
        <v>0</v>
      </c>
      <c r="BS62" s="5">
        <f t="shared" si="41"/>
        <v>0</v>
      </c>
      <c r="BT62" s="5">
        <f t="shared" si="42"/>
        <v>0</v>
      </c>
      <c r="BU62" s="5">
        <f t="shared" si="43"/>
        <v>0</v>
      </c>
      <c r="BV62" s="5">
        <f t="shared" si="44"/>
        <v>0</v>
      </c>
      <c r="BW62" s="5">
        <f t="shared" si="45"/>
        <v>0</v>
      </c>
      <c r="BX62" s="5">
        <f t="shared" si="46"/>
        <v>0</v>
      </c>
      <c r="BY62" s="5">
        <f t="shared" si="11"/>
        <v>0</v>
      </c>
      <c r="BZ62" s="5">
        <f t="shared" si="55"/>
        <v>0</v>
      </c>
      <c r="CA62" s="5">
        <f t="shared" si="47"/>
        <v>0</v>
      </c>
      <c r="CB62" s="5">
        <f t="shared" si="48"/>
        <v>0</v>
      </c>
      <c r="CC62" s="5">
        <f t="shared" si="56"/>
        <v>0</v>
      </c>
      <c r="CD62" s="5">
        <f t="shared" si="57"/>
        <v>0</v>
      </c>
      <c r="CE62" s="5">
        <f t="shared" si="49"/>
        <v>0</v>
      </c>
      <c r="CF62" s="5">
        <f t="shared" si="50"/>
        <v>0</v>
      </c>
      <c r="CG62" s="5">
        <f t="shared" si="51"/>
        <v>0</v>
      </c>
      <c r="CH62" s="5">
        <f t="shared" si="52"/>
        <v>0</v>
      </c>
      <c r="CI62" s="5">
        <f t="shared" si="53"/>
        <v>0</v>
      </c>
      <c r="CJ62" s="5"/>
      <c r="CK62" s="4">
        <f t="shared" si="75"/>
        <v>0</v>
      </c>
    </row>
    <row r="63" spans="1:89" ht="38" customHeight="1">
      <c r="A63" s="33" t="str">
        <f t="shared" si="74"/>
        <v/>
      </c>
      <c r="B63" s="10"/>
      <c r="C63" s="87"/>
      <c r="D63" s="88"/>
      <c r="E63" s="88"/>
      <c r="F63" s="44">
        <f t="shared" si="14"/>
        <v>0</v>
      </c>
      <c r="G63" s="88"/>
      <c r="H63" s="88"/>
      <c r="I63" s="44">
        <f t="shared" si="15"/>
        <v>0</v>
      </c>
      <c r="J63" s="89"/>
      <c r="K63" s="90"/>
      <c r="L63" s="44">
        <f t="shared" si="16"/>
        <v>0</v>
      </c>
      <c r="M63" s="90"/>
      <c r="N63" s="90"/>
      <c r="O63" s="44">
        <f t="shared" si="17"/>
        <v>0</v>
      </c>
      <c r="P63" s="90"/>
      <c r="Q63" s="90"/>
      <c r="R63" s="44">
        <f t="shared" si="18"/>
        <v>0</v>
      </c>
      <c r="S63" s="90"/>
      <c r="T63" s="90"/>
      <c r="U63" s="44">
        <f t="shared" si="19"/>
        <v>0</v>
      </c>
      <c r="V63" s="90"/>
      <c r="W63" s="90"/>
      <c r="X63" s="44">
        <f t="shared" si="20"/>
        <v>0</v>
      </c>
      <c r="Y63" s="44"/>
      <c r="Z63" s="44"/>
      <c r="AA63" s="44"/>
      <c r="AB63" s="44">
        <f t="shared" si="21"/>
        <v>0</v>
      </c>
      <c r="AC63" s="23"/>
      <c r="AD63" s="6"/>
      <c r="AE63" s="7">
        <f t="shared" si="108"/>
        <v>0</v>
      </c>
      <c r="AF63" s="6"/>
      <c r="AG63" s="7">
        <f t="shared" si="109"/>
        <v>0</v>
      </c>
      <c r="AH63" s="6"/>
      <c r="AI63" s="7">
        <f t="shared" si="110"/>
        <v>0</v>
      </c>
      <c r="AJ63" s="6"/>
      <c r="AK63" s="7">
        <f t="shared" si="111"/>
        <v>0</v>
      </c>
      <c r="AL63" s="6"/>
      <c r="AM63" s="7">
        <f t="shared" si="112"/>
        <v>0</v>
      </c>
      <c r="AN63" s="6"/>
      <c r="AO63" s="7">
        <f t="shared" si="113"/>
        <v>0</v>
      </c>
      <c r="AP63" s="30">
        <f t="shared" si="22"/>
        <v>0</v>
      </c>
      <c r="AQ63" s="6"/>
      <c r="AR63" s="6"/>
      <c r="AS63" s="6"/>
      <c r="AT63" s="44">
        <f t="shared" si="23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4"/>
        <v>0</v>
      </c>
      <c r="BB63" s="5">
        <f t="shared" si="25"/>
        <v>0</v>
      </c>
      <c r="BC63" s="5">
        <f t="shared" si="26"/>
        <v>0</v>
      </c>
      <c r="BD63" s="5">
        <f t="shared" si="54"/>
        <v>0</v>
      </c>
      <c r="BE63" s="5">
        <f t="shared" si="27"/>
        <v>0</v>
      </c>
      <c r="BF63" s="5">
        <f t="shared" si="28"/>
        <v>0</v>
      </c>
      <c r="BG63" s="5">
        <f t="shared" si="29"/>
        <v>0</v>
      </c>
      <c r="BH63" s="5">
        <f t="shared" si="30"/>
        <v>0</v>
      </c>
      <c r="BI63" s="5">
        <f t="shared" si="31"/>
        <v>0</v>
      </c>
      <c r="BJ63" s="5">
        <f t="shared" si="32"/>
        <v>0</v>
      </c>
      <c r="BK63" s="5">
        <f t="shared" si="33"/>
        <v>0</v>
      </c>
      <c r="BL63" s="5">
        <f t="shared" si="34"/>
        <v>0</v>
      </c>
      <c r="BM63" s="5">
        <f t="shared" si="35"/>
        <v>0</v>
      </c>
      <c r="BN63" s="5">
        <f t="shared" si="36"/>
        <v>0</v>
      </c>
      <c r="BO63" s="5">
        <f t="shared" si="37"/>
        <v>0</v>
      </c>
      <c r="BP63" s="5">
        <f t="shared" si="38"/>
        <v>0</v>
      </c>
      <c r="BQ63" s="5">
        <f t="shared" si="39"/>
        <v>0</v>
      </c>
      <c r="BR63" s="5">
        <f t="shared" si="40"/>
        <v>0</v>
      </c>
      <c r="BS63" s="5">
        <f t="shared" si="41"/>
        <v>0</v>
      </c>
      <c r="BT63" s="5">
        <f t="shared" si="42"/>
        <v>0</v>
      </c>
      <c r="BU63" s="5">
        <f t="shared" si="43"/>
        <v>0</v>
      </c>
      <c r="BV63" s="5">
        <f t="shared" si="44"/>
        <v>0</v>
      </c>
      <c r="BW63" s="5">
        <f t="shared" si="45"/>
        <v>0</v>
      </c>
      <c r="BX63" s="5">
        <f t="shared" si="46"/>
        <v>0</v>
      </c>
      <c r="BY63" s="5">
        <f t="shared" si="11"/>
        <v>0</v>
      </c>
      <c r="BZ63" s="5">
        <f t="shared" si="55"/>
        <v>0</v>
      </c>
      <c r="CA63" s="5">
        <f t="shared" si="47"/>
        <v>0</v>
      </c>
      <c r="CB63" s="5">
        <f t="shared" si="48"/>
        <v>0</v>
      </c>
      <c r="CC63" s="5">
        <f t="shared" si="56"/>
        <v>0</v>
      </c>
      <c r="CD63" s="5">
        <f t="shared" si="57"/>
        <v>0</v>
      </c>
      <c r="CE63" s="5">
        <f t="shared" si="49"/>
        <v>0</v>
      </c>
      <c r="CF63" s="5">
        <f t="shared" si="50"/>
        <v>0</v>
      </c>
      <c r="CG63" s="5">
        <f t="shared" si="51"/>
        <v>0</v>
      </c>
      <c r="CH63" s="5">
        <f t="shared" si="52"/>
        <v>0</v>
      </c>
      <c r="CI63" s="5">
        <f t="shared" si="53"/>
        <v>0</v>
      </c>
      <c r="CJ63" s="5"/>
      <c r="CK63" s="4">
        <f t="shared" si="75"/>
        <v>0</v>
      </c>
    </row>
    <row r="64" spans="1:89" ht="38" customHeight="1">
      <c r="A64" s="33" t="str">
        <f t="shared" si="74"/>
        <v/>
      </c>
      <c r="B64" s="10"/>
      <c r="C64" s="87"/>
      <c r="D64" s="88"/>
      <c r="E64" s="88"/>
      <c r="F64" s="44">
        <f t="shared" si="14"/>
        <v>0</v>
      </c>
      <c r="G64" s="88"/>
      <c r="H64" s="88"/>
      <c r="I64" s="44">
        <f t="shared" si="15"/>
        <v>0</v>
      </c>
      <c r="J64" s="89"/>
      <c r="K64" s="90"/>
      <c r="L64" s="44">
        <f t="shared" si="16"/>
        <v>0</v>
      </c>
      <c r="M64" s="90"/>
      <c r="N64" s="90"/>
      <c r="O64" s="44">
        <f t="shared" si="17"/>
        <v>0</v>
      </c>
      <c r="P64" s="90"/>
      <c r="Q64" s="90"/>
      <c r="R64" s="44">
        <f t="shared" si="18"/>
        <v>0</v>
      </c>
      <c r="S64" s="90"/>
      <c r="T64" s="90"/>
      <c r="U64" s="44">
        <f t="shared" si="19"/>
        <v>0</v>
      </c>
      <c r="V64" s="90"/>
      <c r="W64" s="90"/>
      <c r="X64" s="44">
        <f t="shared" si="20"/>
        <v>0</v>
      </c>
      <c r="Y64" s="44"/>
      <c r="Z64" s="44"/>
      <c r="AA64" s="44"/>
      <c r="AB64" s="44">
        <f t="shared" si="21"/>
        <v>0</v>
      </c>
      <c r="AC64" s="23"/>
      <c r="AD64" s="6"/>
      <c r="AE64" s="7">
        <f t="shared" si="108"/>
        <v>0</v>
      </c>
      <c r="AF64" s="6"/>
      <c r="AG64" s="7">
        <f t="shared" si="109"/>
        <v>0</v>
      </c>
      <c r="AH64" s="6"/>
      <c r="AI64" s="7">
        <f t="shared" si="110"/>
        <v>0</v>
      </c>
      <c r="AJ64" s="6"/>
      <c r="AK64" s="7">
        <f t="shared" si="111"/>
        <v>0</v>
      </c>
      <c r="AL64" s="6"/>
      <c r="AM64" s="7">
        <f t="shared" si="112"/>
        <v>0</v>
      </c>
      <c r="AN64" s="6"/>
      <c r="AO64" s="7">
        <f t="shared" si="113"/>
        <v>0</v>
      </c>
      <c r="AP64" s="30">
        <f t="shared" si="22"/>
        <v>0</v>
      </c>
      <c r="AQ64" s="6"/>
      <c r="AR64" s="6"/>
      <c r="AS64" s="6"/>
      <c r="AT64" s="44">
        <f t="shared" si="23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4"/>
        <v>0</v>
      </c>
      <c r="BB64" s="5">
        <f t="shared" si="25"/>
        <v>0</v>
      </c>
      <c r="BC64" s="5">
        <f t="shared" si="26"/>
        <v>0</v>
      </c>
      <c r="BD64" s="5">
        <f t="shared" si="54"/>
        <v>0</v>
      </c>
      <c r="BE64" s="5">
        <f t="shared" si="27"/>
        <v>0</v>
      </c>
      <c r="BF64" s="5">
        <f t="shared" si="28"/>
        <v>0</v>
      </c>
      <c r="BG64" s="5">
        <f t="shared" si="29"/>
        <v>0</v>
      </c>
      <c r="BH64" s="5">
        <f t="shared" si="30"/>
        <v>0</v>
      </c>
      <c r="BI64" s="5">
        <f t="shared" si="31"/>
        <v>0</v>
      </c>
      <c r="BJ64" s="5">
        <f t="shared" si="32"/>
        <v>0</v>
      </c>
      <c r="BK64" s="5">
        <f t="shared" si="33"/>
        <v>0</v>
      </c>
      <c r="BL64" s="5">
        <f t="shared" si="34"/>
        <v>0</v>
      </c>
      <c r="BM64" s="5">
        <f t="shared" si="35"/>
        <v>0</v>
      </c>
      <c r="BN64" s="5">
        <f t="shared" si="36"/>
        <v>0</v>
      </c>
      <c r="BO64" s="5">
        <f t="shared" si="37"/>
        <v>0</v>
      </c>
      <c r="BP64" s="5">
        <f t="shared" si="38"/>
        <v>0</v>
      </c>
      <c r="BQ64" s="5">
        <f t="shared" si="39"/>
        <v>0</v>
      </c>
      <c r="BR64" s="5">
        <f t="shared" si="40"/>
        <v>0</v>
      </c>
      <c r="BS64" s="5">
        <f t="shared" si="41"/>
        <v>0</v>
      </c>
      <c r="BT64" s="5">
        <f t="shared" si="42"/>
        <v>0</v>
      </c>
      <c r="BU64" s="5">
        <f t="shared" si="43"/>
        <v>0</v>
      </c>
      <c r="BV64" s="5">
        <f t="shared" si="44"/>
        <v>0</v>
      </c>
      <c r="BW64" s="5">
        <f t="shared" si="45"/>
        <v>0</v>
      </c>
      <c r="BX64" s="5">
        <f t="shared" si="46"/>
        <v>0</v>
      </c>
      <c r="BY64" s="5">
        <f t="shared" si="11"/>
        <v>0</v>
      </c>
      <c r="BZ64" s="5">
        <f t="shared" si="55"/>
        <v>0</v>
      </c>
      <c r="CA64" s="5">
        <f t="shared" si="47"/>
        <v>0</v>
      </c>
      <c r="CB64" s="5">
        <f t="shared" si="48"/>
        <v>0</v>
      </c>
      <c r="CC64" s="5">
        <f t="shared" si="56"/>
        <v>0</v>
      </c>
      <c r="CD64" s="5">
        <f t="shared" si="57"/>
        <v>0</v>
      </c>
      <c r="CE64" s="5">
        <f t="shared" si="49"/>
        <v>0</v>
      </c>
      <c r="CF64" s="5">
        <f t="shared" si="50"/>
        <v>0</v>
      </c>
      <c r="CG64" s="5">
        <f t="shared" si="51"/>
        <v>0</v>
      </c>
      <c r="CH64" s="5">
        <f t="shared" si="52"/>
        <v>0</v>
      </c>
      <c r="CI64" s="5">
        <f t="shared" si="53"/>
        <v>0</v>
      </c>
      <c r="CJ64" s="5"/>
      <c r="CK64" s="4">
        <f t="shared" si="75"/>
        <v>0</v>
      </c>
    </row>
    <row r="65" spans="1:89" ht="38" customHeight="1">
      <c r="A65" s="33" t="str">
        <f t="shared" si="74"/>
        <v/>
      </c>
      <c r="B65" s="10"/>
      <c r="C65" s="87"/>
      <c r="D65" s="88"/>
      <c r="E65" s="88"/>
      <c r="F65" s="44">
        <f t="shared" si="14"/>
        <v>0</v>
      </c>
      <c r="G65" s="88"/>
      <c r="H65" s="88"/>
      <c r="I65" s="44">
        <f t="shared" si="15"/>
        <v>0</v>
      </c>
      <c r="J65" s="89"/>
      <c r="K65" s="90"/>
      <c r="L65" s="44">
        <f t="shared" si="16"/>
        <v>0</v>
      </c>
      <c r="M65" s="90"/>
      <c r="N65" s="90"/>
      <c r="O65" s="44">
        <f t="shared" si="17"/>
        <v>0</v>
      </c>
      <c r="P65" s="90"/>
      <c r="Q65" s="90"/>
      <c r="R65" s="44">
        <f t="shared" si="18"/>
        <v>0</v>
      </c>
      <c r="S65" s="90"/>
      <c r="T65" s="90"/>
      <c r="U65" s="44">
        <f t="shared" si="19"/>
        <v>0</v>
      </c>
      <c r="V65" s="90"/>
      <c r="W65" s="90"/>
      <c r="X65" s="44">
        <f t="shared" si="20"/>
        <v>0</v>
      </c>
      <c r="Y65" s="44"/>
      <c r="Z65" s="44"/>
      <c r="AA65" s="44"/>
      <c r="AB65" s="44">
        <f t="shared" si="21"/>
        <v>0</v>
      </c>
      <c r="AC65" s="23"/>
      <c r="AD65" s="6"/>
      <c r="AE65" s="7">
        <f t="shared" si="108"/>
        <v>0</v>
      </c>
      <c r="AF65" s="6"/>
      <c r="AG65" s="7">
        <f t="shared" si="109"/>
        <v>0</v>
      </c>
      <c r="AH65" s="6"/>
      <c r="AI65" s="7">
        <f t="shared" si="110"/>
        <v>0</v>
      </c>
      <c r="AJ65" s="6"/>
      <c r="AK65" s="7">
        <f t="shared" si="111"/>
        <v>0</v>
      </c>
      <c r="AL65" s="6"/>
      <c r="AM65" s="7">
        <f t="shared" si="112"/>
        <v>0</v>
      </c>
      <c r="AN65" s="6"/>
      <c r="AO65" s="7">
        <f t="shared" si="113"/>
        <v>0</v>
      </c>
      <c r="AP65" s="30">
        <f t="shared" si="22"/>
        <v>0</v>
      </c>
      <c r="AQ65" s="6"/>
      <c r="AR65" s="6"/>
      <c r="AS65" s="6"/>
      <c r="AT65" s="44">
        <f t="shared" si="23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4"/>
        <v>0</v>
      </c>
      <c r="BB65" s="5">
        <f t="shared" si="25"/>
        <v>0</v>
      </c>
      <c r="BC65" s="5">
        <f t="shared" si="26"/>
        <v>0</v>
      </c>
      <c r="BD65" s="5">
        <f t="shared" si="54"/>
        <v>0</v>
      </c>
      <c r="BE65" s="5">
        <f t="shared" si="27"/>
        <v>0</v>
      </c>
      <c r="BF65" s="5">
        <f t="shared" si="28"/>
        <v>0</v>
      </c>
      <c r="BG65" s="5">
        <f t="shared" si="29"/>
        <v>0</v>
      </c>
      <c r="BH65" s="5">
        <f t="shared" si="30"/>
        <v>0</v>
      </c>
      <c r="BI65" s="5">
        <f t="shared" si="31"/>
        <v>0</v>
      </c>
      <c r="BJ65" s="5">
        <f t="shared" si="32"/>
        <v>0</v>
      </c>
      <c r="BK65" s="5">
        <f t="shared" si="33"/>
        <v>0</v>
      </c>
      <c r="BL65" s="5">
        <f t="shared" si="34"/>
        <v>0</v>
      </c>
      <c r="BM65" s="5">
        <f t="shared" si="35"/>
        <v>0</v>
      </c>
      <c r="BN65" s="5">
        <f t="shared" si="36"/>
        <v>0</v>
      </c>
      <c r="BO65" s="5">
        <f t="shared" si="37"/>
        <v>0</v>
      </c>
      <c r="BP65" s="5">
        <f t="shared" si="38"/>
        <v>0</v>
      </c>
      <c r="BQ65" s="5">
        <f t="shared" si="39"/>
        <v>0</v>
      </c>
      <c r="BR65" s="5">
        <f t="shared" si="40"/>
        <v>0</v>
      </c>
      <c r="BS65" s="5">
        <f t="shared" si="41"/>
        <v>0</v>
      </c>
      <c r="BT65" s="5">
        <f t="shared" si="42"/>
        <v>0</v>
      </c>
      <c r="BU65" s="5">
        <f t="shared" si="43"/>
        <v>0</v>
      </c>
      <c r="BV65" s="5">
        <f t="shared" si="44"/>
        <v>0</v>
      </c>
      <c r="BW65" s="5">
        <f t="shared" si="45"/>
        <v>0</v>
      </c>
      <c r="BX65" s="5">
        <f t="shared" si="46"/>
        <v>0</v>
      </c>
      <c r="BY65" s="5">
        <f t="shared" si="11"/>
        <v>0</v>
      </c>
      <c r="BZ65" s="5">
        <f t="shared" si="55"/>
        <v>0</v>
      </c>
      <c r="CA65" s="5">
        <f t="shared" si="47"/>
        <v>0</v>
      </c>
      <c r="CB65" s="5">
        <f t="shared" si="48"/>
        <v>0</v>
      </c>
      <c r="CC65" s="5">
        <f t="shared" si="56"/>
        <v>0</v>
      </c>
      <c r="CD65" s="5">
        <f t="shared" si="57"/>
        <v>0</v>
      </c>
      <c r="CE65" s="5">
        <f t="shared" si="49"/>
        <v>0</v>
      </c>
      <c r="CF65" s="5">
        <f t="shared" si="50"/>
        <v>0</v>
      </c>
      <c r="CG65" s="5">
        <f t="shared" si="51"/>
        <v>0</v>
      </c>
      <c r="CH65" s="5">
        <f t="shared" si="52"/>
        <v>0</v>
      </c>
      <c r="CI65" s="5">
        <f t="shared" si="53"/>
        <v>0</v>
      </c>
      <c r="CJ65" s="5"/>
      <c r="CK65" s="4">
        <f t="shared" si="75"/>
        <v>0</v>
      </c>
    </row>
    <row r="66" spans="1:89" ht="38" customHeight="1">
      <c r="A66" s="33" t="str">
        <f t="shared" ref="A66:A100" si="114">IF(ISNA(AZ66),"",AZ66)</f>
        <v/>
      </c>
      <c r="B66" s="10"/>
      <c r="C66" s="87"/>
      <c r="D66" s="88"/>
      <c r="E66" s="88"/>
      <c r="F66" s="44">
        <f t="shared" si="14"/>
        <v>0</v>
      </c>
      <c r="G66" s="88"/>
      <c r="H66" s="88"/>
      <c r="I66" s="44">
        <f t="shared" si="15"/>
        <v>0</v>
      </c>
      <c r="J66" s="89"/>
      <c r="K66" s="90"/>
      <c r="L66" s="44">
        <f t="shared" si="16"/>
        <v>0</v>
      </c>
      <c r="M66" s="90"/>
      <c r="N66" s="90"/>
      <c r="O66" s="44">
        <f t="shared" si="17"/>
        <v>0</v>
      </c>
      <c r="P66" s="90"/>
      <c r="Q66" s="90"/>
      <c r="R66" s="44">
        <f t="shared" si="18"/>
        <v>0</v>
      </c>
      <c r="S66" s="90"/>
      <c r="T66" s="90"/>
      <c r="U66" s="44">
        <f t="shared" si="19"/>
        <v>0</v>
      </c>
      <c r="V66" s="90"/>
      <c r="W66" s="90"/>
      <c r="X66" s="44">
        <f t="shared" si="20"/>
        <v>0</v>
      </c>
      <c r="Y66" s="44"/>
      <c r="Z66" s="44"/>
      <c r="AA66" s="44"/>
      <c r="AB66" s="44">
        <f t="shared" si="21"/>
        <v>0</v>
      </c>
      <c r="AC66" s="23"/>
      <c r="AD66" s="6"/>
      <c r="AE66" s="7">
        <f t="shared" si="108"/>
        <v>0</v>
      </c>
      <c r="AF66" s="6"/>
      <c r="AG66" s="7">
        <f t="shared" si="109"/>
        <v>0</v>
      </c>
      <c r="AH66" s="6"/>
      <c r="AI66" s="7">
        <f t="shared" si="110"/>
        <v>0</v>
      </c>
      <c r="AJ66" s="6"/>
      <c r="AK66" s="7">
        <f t="shared" si="111"/>
        <v>0</v>
      </c>
      <c r="AL66" s="6"/>
      <c r="AM66" s="7">
        <f t="shared" si="112"/>
        <v>0</v>
      </c>
      <c r="AN66" s="6"/>
      <c r="AO66" s="7">
        <f t="shared" si="113"/>
        <v>0</v>
      </c>
      <c r="AP66" s="30">
        <f t="shared" si="22"/>
        <v>0</v>
      </c>
      <c r="AQ66" s="6"/>
      <c r="AR66" s="6"/>
      <c r="AS66" s="6"/>
      <c r="AT66" s="44">
        <f t="shared" si="23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4"/>
        <v>0</v>
      </c>
      <c r="BB66" s="5">
        <f t="shared" si="25"/>
        <v>0</v>
      </c>
      <c r="BC66" s="5">
        <f t="shared" si="26"/>
        <v>0</v>
      </c>
      <c r="BD66" s="5">
        <f t="shared" si="54"/>
        <v>0</v>
      </c>
      <c r="BE66" s="5">
        <f t="shared" si="27"/>
        <v>0</v>
      </c>
      <c r="BF66" s="5">
        <f t="shared" si="28"/>
        <v>0</v>
      </c>
      <c r="BG66" s="5">
        <f t="shared" si="29"/>
        <v>0</v>
      </c>
      <c r="BH66" s="5">
        <f t="shared" si="30"/>
        <v>0</v>
      </c>
      <c r="BI66" s="5">
        <f t="shared" si="31"/>
        <v>0</v>
      </c>
      <c r="BJ66" s="5">
        <f t="shared" si="32"/>
        <v>0</v>
      </c>
      <c r="BK66" s="5">
        <f t="shared" si="33"/>
        <v>0</v>
      </c>
      <c r="BL66" s="5">
        <f t="shared" si="34"/>
        <v>0</v>
      </c>
      <c r="BM66" s="5">
        <f t="shared" si="35"/>
        <v>0</v>
      </c>
      <c r="BN66" s="5">
        <f t="shared" si="36"/>
        <v>0</v>
      </c>
      <c r="BO66" s="5">
        <f t="shared" si="37"/>
        <v>0</v>
      </c>
      <c r="BP66" s="5">
        <f t="shared" si="38"/>
        <v>0</v>
      </c>
      <c r="BQ66" s="5">
        <f t="shared" si="39"/>
        <v>0</v>
      </c>
      <c r="BR66" s="5">
        <f t="shared" si="40"/>
        <v>0</v>
      </c>
      <c r="BS66" s="5">
        <f t="shared" si="41"/>
        <v>0</v>
      </c>
      <c r="BT66" s="5">
        <f t="shared" si="42"/>
        <v>0</v>
      </c>
      <c r="BU66" s="5">
        <f t="shared" si="43"/>
        <v>0</v>
      </c>
      <c r="BV66" s="5">
        <f t="shared" si="44"/>
        <v>0</v>
      </c>
      <c r="BW66" s="5">
        <f t="shared" si="45"/>
        <v>0</v>
      </c>
      <c r="BX66" s="5">
        <f t="shared" si="46"/>
        <v>0</v>
      </c>
      <c r="BY66" s="5">
        <f t="shared" ref="BY66:BY100" si="115">IF(Q66&gt;$AW$1,(Q66-MAX(P66,$AW$1))*24,0)</f>
        <v>0</v>
      </c>
      <c r="BZ66" s="5">
        <f t="shared" si="55"/>
        <v>0</v>
      </c>
      <c r="CA66" s="5">
        <f t="shared" si="47"/>
        <v>0</v>
      </c>
      <c r="CB66" s="5">
        <f t="shared" si="48"/>
        <v>0</v>
      </c>
      <c r="CC66" s="5">
        <f t="shared" si="56"/>
        <v>0</v>
      </c>
      <c r="CD66" s="5">
        <f t="shared" si="57"/>
        <v>0</v>
      </c>
      <c r="CE66" s="5">
        <f t="shared" si="49"/>
        <v>0</v>
      </c>
      <c r="CF66" s="5">
        <f t="shared" si="50"/>
        <v>0</v>
      </c>
      <c r="CG66" s="5">
        <f t="shared" si="51"/>
        <v>0</v>
      </c>
      <c r="CH66" s="5">
        <f t="shared" si="52"/>
        <v>0</v>
      </c>
      <c r="CI66" s="5">
        <f t="shared" si="53"/>
        <v>0</v>
      </c>
      <c r="CJ66" s="5"/>
      <c r="CK66" s="4">
        <f t="shared" ref="CK66:CK100" si="116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4"/>
        <v/>
      </c>
      <c r="B67" s="10"/>
      <c r="C67" s="87"/>
      <c r="D67" s="88"/>
      <c r="E67" s="88"/>
      <c r="F67" s="44">
        <f t="shared" si="14"/>
        <v>0</v>
      </c>
      <c r="G67" s="88"/>
      <c r="H67" s="90"/>
      <c r="I67" s="44">
        <f t="shared" si="15"/>
        <v>0</v>
      </c>
      <c r="J67" s="89"/>
      <c r="K67" s="90"/>
      <c r="L67" s="44">
        <f t="shared" si="16"/>
        <v>0</v>
      </c>
      <c r="M67" s="90"/>
      <c r="N67" s="90"/>
      <c r="O67" s="44">
        <f t="shared" si="17"/>
        <v>0</v>
      </c>
      <c r="P67" s="90"/>
      <c r="Q67" s="90"/>
      <c r="R67" s="44">
        <f t="shared" si="18"/>
        <v>0</v>
      </c>
      <c r="S67" s="90"/>
      <c r="T67" s="90"/>
      <c r="U67" s="44">
        <f t="shared" si="19"/>
        <v>0</v>
      </c>
      <c r="V67" s="90"/>
      <c r="W67" s="90"/>
      <c r="X67" s="44">
        <f t="shared" si="20"/>
        <v>0</v>
      </c>
      <c r="Y67" s="44"/>
      <c r="Z67" s="44"/>
      <c r="AA67" s="44"/>
      <c r="AB67" s="44">
        <f t="shared" si="21"/>
        <v>0</v>
      </c>
      <c r="AC67" s="23"/>
      <c r="AD67" s="6"/>
      <c r="AE67" s="7">
        <f t="shared" si="108"/>
        <v>0</v>
      </c>
      <c r="AF67" s="6"/>
      <c r="AG67" s="7">
        <f t="shared" si="109"/>
        <v>0</v>
      </c>
      <c r="AH67" s="6"/>
      <c r="AI67" s="7">
        <f t="shared" si="110"/>
        <v>0</v>
      </c>
      <c r="AJ67" s="6"/>
      <c r="AK67" s="7">
        <f t="shared" si="111"/>
        <v>0</v>
      </c>
      <c r="AL67" s="6"/>
      <c r="AM67" s="7">
        <f t="shared" si="112"/>
        <v>0</v>
      </c>
      <c r="AN67" s="6"/>
      <c r="AO67" s="7">
        <f t="shared" si="113"/>
        <v>0</v>
      </c>
      <c r="AP67" s="30">
        <f t="shared" si="22"/>
        <v>0</v>
      </c>
      <c r="AQ67" s="6"/>
      <c r="AR67" s="6"/>
      <c r="AS67" s="6"/>
      <c r="AT67" s="44">
        <f t="shared" si="23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7">IF(ISBLANK(D67),0,(E67-D67)*24)</f>
        <v>0</v>
      </c>
      <c r="BB67" s="5">
        <f t="shared" ref="BB67:BB100" si="118">IF(BA67&gt;$AY$1,1,IF(BA67&gt;=$AX$1,0.5,0))</f>
        <v>0</v>
      </c>
      <c r="BC67" s="5">
        <f t="shared" ref="BC67:BC100" si="119">BA67-BB67-BD67-BE67</f>
        <v>0</v>
      </c>
      <c r="BD67" s="5">
        <f t="shared" ref="BD67:BD100" si="120">IF(AND(E67&gt;$AV$1, D67&lt;$AW$1),(MIN(E67,$AW$1)-MAX(D67,$AV$1))*24,0)</f>
        <v>0</v>
      </c>
      <c r="BE67" s="5">
        <f t="shared" ref="BE67:BE100" si="121">IF(E67&gt;$AW$1,(E67-MAX(D67,$AW$1))*24,0)</f>
        <v>0</v>
      </c>
      <c r="BF67" s="5">
        <f t="shared" ref="BF67:BF100" si="122">IF(ISBLANK(G67),0,(H67-G67)*24)</f>
        <v>0</v>
      </c>
      <c r="BG67" s="5">
        <f t="shared" ref="BG67:BG100" si="123">IF(BF67&gt;$AY$1,1,IF(BF67&gt;=$AX$1,0.5,0))</f>
        <v>0</v>
      </c>
      <c r="BH67" s="5">
        <f t="shared" ref="BH67:BH100" si="124">BF67-BG67-BI67-BJ67</f>
        <v>0</v>
      </c>
      <c r="BI67" s="5">
        <f t="shared" ref="BI67:BI100" si="125">IF(AND(H67&gt;$AV$1,G67&lt;$AW$1),(MIN(H67,$AW$1)-MAX(G67,$AV$1))*24,0)</f>
        <v>0</v>
      </c>
      <c r="BJ67" s="5">
        <f t="shared" ref="BJ67:BJ100" si="126">IF(H67&gt;$AW$1,(H67-MAX(G67,$AW$1))*24,0)</f>
        <v>0</v>
      </c>
      <c r="BK67" s="5">
        <f t="shared" ref="BK67:BK100" si="127">IF(ISBLANK(J67),0,(K67-J67)*24)</f>
        <v>0</v>
      </c>
      <c r="BL67" s="5">
        <f t="shared" ref="BL67:BL100" si="128">IF(BK67&gt;$AY$1,1,IF(BK67&gt;=$AX$1,0.5,0))</f>
        <v>0</v>
      </c>
      <c r="BM67" s="5">
        <f t="shared" ref="BM67:BM100" si="129">BK67-BL67-BN67-BO67</f>
        <v>0</v>
      </c>
      <c r="BN67" s="5">
        <f t="shared" ref="BN67:BN100" si="130">IF(AND(K67&gt;$AV$1, J67&lt;$AW$1),(MIN(K67,$AW$1)-MAX(J67,$AV$1))*24,0)</f>
        <v>0</v>
      </c>
      <c r="BO67" s="5">
        <f t="shared" ref="BO67:BO100" si="131">IF(K67&gt;$AW$1,(K67-MAX(J67,$AW$1))*24,0)</f>
        <v>0</v>
      </c>
      <c r="BP67" s="5">
        <f t="shared" ref="BP67:BP100" si="132">IF(ISBLANK(M67),0,(N67-M67)*24)</f>
        <v>0</v>
      </c>
      <c r="BQ67" s="5">
        <f t="shared" ref="BQ67:BQ100" si="133">IF(BP67&gt;$AY$1,1,IF(BP67&gt;=$AX$1,0.5,0))</f>
        <v>0</v>
      </c>
      <c r="BR67" s="5">
        <f t="shared" ref="BR67:BR100" si="134">BP67-BQ67-BS67-BT67</f>
        <v>0</v>
      </c>
      <c r="BS67" s="5">
        <f t="shared" ref="BS67:BS100" si="135">IF(AND(N67&gt;$AV$1, M67&lt;$AW$1),(MIN(N67,$AW$1)-MAX(M67,$AV$1))*24,0)</f>
        <v>0</v>
      </c>
      <c r="BT67" s="5">
        <f t="shared" ref="BT67:BT100" si="136">IF(N67&gt;$AW$1,(N67-MAX(M67,$AW$1))*24,0)</f>
        <v>0</v>
      </c>
      <c r="BU67" s="5">
        <f t="shared" ref="BU67:BU100" si="137">IF(ISBLANK(P67),0,(Q67-P67)*24)</f>
        <v>0</v>
      </c>
      <c r="BV67" s="5">
        <f t="shared" ref="BV67:BV100" si="138">IF(BU67&gt;$AY$1,1,IF(BU67&gt;=$AX$1,0.5,0))</f>
        <v>0</v>
      </c>
      <c r="BW67" s="5">
        <f t="shared" ref="BW67:BW100" si="139">BU67-BV67-BX67-BY67</f>
        <v>0</v>
      </c>
      <c r="BX67" s="5">
        <f t="shared" ref="BX67:BX100" si="140">IF(AND(Q67&gt;$AV$1, P67&lt;$AW$1),(MIN(Q67,$AW$1)-MAX(P67,$AV$1))*24,0)</f>
        <v>0</v>
      </c>
      <c r="BY67" s="5">
        <f t="shared" si="115"/>
        <v>0</v>
      </c>
      <c r="BZ67" s="5">
        <f t="shared" ref="BZ67:BZ100" si="141">IF(ISBLANK(S67),0,(T67-S67)*24)</f>
        <v>0</v>
      </c>
      <c r="CA67" s="5">
        <f t="shared" ref="CA67:CA100" si="142">IF(BZ67&gt;$AY$1,1,IF(BZ67&gt;=$AX$1,0.5,0))</f>
        <v>0</v>
      </c>
      <c r="CB67" s="5">
        <f t="shared" ref="CB67:CB100" si="143">BZ67-CA67-CC67-CD67</f>
        <v>0</v>
      </c>
      <c r="CC67" s="5">
        <f t="shared" ref="CC67:CC100" si="144">IF(AND(T67&gt;$AV$1, S67&lt;$AW$1),(MIN(T67,$AW$1)-MAX(S67,$AV$1))*24,0)</f>
        <v>0</v>
      </c>
      <c r="CD67" s="5">
        <f t="shared" ref="CD67:CD100" si="145">IF(T67&gt;$AW$1,(T67-MAX(S67,$AW$1))*24,0)</f>
        <v>0</v>
      </c>
      <c r="CE67" s="5">
        <f t="shared" ref="CE67:CE100" si="146">IF(ISBLANK(V67),0,(W67-V67)*24)</f>
        <v>0</v>
      </c>
      <c r="CF67" s="5">
        <f t="shared" ref="CF67:CF100" si="147">IF(CE67&gt;$AY$1,1,IF(CE67&gt;=$AX$1,0.5,0))</f>
        <v>0</v>
      </c>
      <c r="CG67" s="5">
        <f t="shared" ref="CG67:CG100" si="148">CE67-CF67-CH67-CI67</f>
        <v>0</v>
      </c>
      <c r="CH67" s="5">
        <f t="shared" ref="CH67:CH100" si="149">IF(AND(W67&gt;$AV$1, V67&lt;$AW$1),(MIN(W67,$AW$1)-MAX(V67,$AV$1))*24,0)</f>
        <v>0</v>
      </c>
      <c r="CI67" s="5">
        <f t="shared" ref="CI67:CI100" si="150">IF(W67&gt;$AW$1,(W67-MAX(V67,$AW$1))*24,0)</f>
        <v>0</v>
      </c>
      <c r="CJ67" s="5"/>
      <c r="CK67" s="4">
        <f t="shared" si="116"/>
        <v>0</v>
      </c>
    </row>
    <row r="68" spans="1:89" ht="38" customHeight="1">
      <c r="A68" s="33" t="str">
        <f t="shared" si="114"/>
        <v/>
      </c>
      <c r="B68" s="10"/>
      <c r="C68" s="87"/>
      <c r="D68" s="88"/>
      <c r="E68" s="88"/>
      <c r="F68" s="44">
        <f t="shared" si="14"/>
        <v>0</v>
      </c>
      <c r="G68" s="88"/>
      <c r="H68" s="88"/>
      <c r="I68" s="44">
        <f t="shared" si="15"/>
        <v>0</v>
      </c>
      <c r="J68" s="89"/>
      <c r="K68" s="90"/>
      <c r="L68" s="44">
        <f t="shared" si="16"/>
        <v>0</v>
      </c>
      <c r="M68" s="90"/>
      <c r="N68" s="90"/>
      <c r="O68" s="44">
        <f t="shared" si="17"/>
        <v>0</v>
      </c>
      <c r="P68" s="90"/>
      <c r="Q68" s="90"/>
      <c r="R68" s="44">
        <f t="shared" si="18"/>
        <v>0</v>
      </c>
      <c r="S68" s="90"/>
      <c r="T68" s="90"/>
      <c r="U68" s="44">
        <f t="shared" si="19"/>
        <v>0</v>
      </c>
      <c r="V68" s="90"/>
      <c r="W68" s="90"/>
      <c r="X68" s="44">
        <f t="shared" si="20"/>
        <v>0</v>
      </c>
      <c r="Y68" s="44"/>
      <c r="Z68" s="44"/>
      <c r="AA68" s="44"/>
      <c r="AB68" s="44">
        <f t="shared" si="21"/>
        <v>0</v>
      </c>
      <c r="AC68" s="23"/>
      <c r="AD68" s="6"/>
      <c r="AE68" s="7">
        <f t="shared" si="108"/>
        <v>0</v>
      </c>
      <c r="AF68" s="6"/>
      <c r="AG68" s="7">
        <f t="shared" si="109"/>
        <v>0</v>
      </c>
      <c r="AH68" s="6"/>
      <c r="AI68" s="7">
        <f t="shared" si="110"/>
        <v>0</v>
      </c>
      <c r="AJ68" s="6"/>
      <c r="AK68" s="7">
        <f t="shared" si="111"/>
        <v>0</v>
      </c>
      <c r="AL68" s="6"/>
      <c r="AM68" s="7">
        <f t="shared" si="112"/>
        <v>0</v>
      </c>
      <c r="AN68" s="6"/>
      <c r="AO68" s="7">
        <f t="shared" si="113"/>
        <v>0</v>
      </c>
      <c r="AP68" s="30">
        <f t="shared" si="22"/>
        <v>0</v>
      </c>
      <c r="AQ68" s="6"/>
      <c r="AR68" s="6"/>
      <c r="AS68" s="6"/>
      <c r="AT68" s="44">
        <f t="shared" si="23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7"/>
        <v>0</v>
      </c>
      <c r="BB68" s="5">
        <f t="shared" si="118"/>
        <v>0</v>
      </c>
      <c r="BC68" s="5">
        <f t="shared" si="119"/>
        <v>0</v>
      </c>
      <c r="BD68" s="5">
        <f t="shared" si="120"/>
        <v>0</v>
      </c>
      <c r="BE68" s="5">
        <f t="shared" si="121"/>
        <v>0</v>
      </c>
      <c r="BF68" s="5">
        <f t="shared" si="122"/>
        <v>0</v>
      </c>
      <c r="BG68" s="5">
        <f t="shared" si="123"/>
        <v>0</v>
      </c>
      <c r="BH68" s="5">
        <f t="shared" si="124"/>
        <v>0</v>
      </c>
      <c r="BI68" s="5">
        <f t="shared" si="125"/>
        <v>0</v>
      </c>
      <c r="BJ68" s="5">
        <f t="shared" si="126"/>
        <v>0</v>
      </c>
      <c r="BK68" s="5">
        <f t="shared" si="127"/>
        <v>0</v>
      </c>
      <c r="BL68" s="5">
        <f t="shared" si="128"/>
        <v>0</v>
      </c>
      <c r="BM68" s="5">
        <f t="shared" si="129"/>
        <v>0</v>
      </c>
      <c r="BN68" s="5">
        <f t="shared" si="130"/>
        <v>0</v>
      </c>
      <c r="BO68" s="5">
        <f t="shared" si="131"/>
        <v>0</v>
      </c>
      <c r="BP68" s="5">
        <f t="shared" si="132"/>
        <v>0</v>
      </c>
      <c r="BQ68" s="5">
        <f t="shared" si="133"/>
        <v>0</v>
      </c>
      <c r="BR68" s="5">
        <f t="shared" si="134"/>
        <v>0</v>
      </c>
      <c r="BS68" s="5">
        <f t="shared" si="135"/>
        <v>0</v>
      </c>
      <c r="BT68" s="5">
        <f t="shared" si="136"/>
        <v>0</v>
      </c>
      <c r="BU68" s="5">
        <f t="shared" si="137"/>
        <v>0</v>
      </c>
      <c r="BV68" s="5">
        <f t="shared" si="138"/>
        <v>0</v>
      </c>
      <c r="BW68" s="5">
        <f t="shared" si="139"/>
        <v>0</v>
      </c>
      <c r="BX68" s="5">
        <f t="shared" si="140"/>
        <v>0</v>
      </c>
      <c r="BY68" s="5">
        <f t="shared" si="115"/>
        <v>0</v>
      </c>
      <c r="BZ68" s="5">
        <f t="shared" si="141"/>
        <v>0</v>
      </c>
      <c r="CA68" s="5">
        <f t="shared" si="142"/>
        <v>0</v>
      </c>
      <c r="CB68" s="5">
        <f t="shared" si="143"/>
        <v>0</v>
      </c>
      <c r="CC68" s="5">
        <f t="shared" si="144"/>
        <v>0</v>
      </c>
      <c r="CD68" s="5">
        <f t="shared" si="145"/>
        <v>0</v>
      </c>
      <c r="CE68" s="5">
        <f t="shared" si="146"/>
        <v>0</v>
      </c>
      <c r="CF68" s="5">
        <f t="shared" si="147"/>
        <v>0</v>
      </c>
      <c r="CG68" s="5">
        <f t="shared" si="148"/>
        <v>0</v>
      </c>
      <c r="CH68" s="5">
        <f t="shared" si="149"/>
        <v>0</v>
      </c>
      <c r="CI68" s="5">
        <f t="shared" si="150"/>
        <v>0</v>
      </c>
      <c r="CJ68" s="5"/>
      <c r="CK68" s="4">
        <f t="shared" si="116"/>
        <v>0</v>
      </c>
    </row>
    <row r="69" spans="1:89" ht="38" customHeight="1">
      <c r="A69" s="33" t="str">
        <f t="shared" si="114"/>
        <v/>
      </c>
      <c r="B69" s="10"/>
      <c r="C69" s="87"/>
      <c r="D69" s="88"/>
      <c r="E69" s="88"/>
      <c r="F69" s="44">
        <f t="shared" si="14"/>
        <v>0</v>
      </c>
      <c r="G69" s="88"/>
      <c r="H69" s="88"/>
      <c r="I69" s="44">
        <f t="shared" si="15"/>
        <v>0</v>
      </c>
      <c r="J69" s="89"/>
      <c r="K69" s="90"/>
      <c r="L69" s="44">
        <f t="shared" si="16"/>
        <v>0</v>
      </c>
      <c r="M69" s="90"/>
      <c r="N69" s="90"/>
      <c r="O69" s="44">
        <f t="shared" si="17"/>
        <v>0</v>
      </c>
      <c r="P69" s="90"/>
      <c r="Q69" s="90"/>
      <c r="R69" s="44">
        <f t="shared" si="18"/>
        <v>0</v>
      </c>
      <c r="S69" s="90"/>
      <c r="T69" s="90"/>
      <c r="U69" s="44">
        <f t="shared" si="19"/>
        <v>0</v>
      </c>
      <c r="V69" s="90"/>
      <c r="W69" s="90"/>
      <c r="X69" s="44">
        <f t="shared" si="20"/>
        <v>0</v>
      </c>
      <c r="Y69" s="44"/>
      <c r="Z69" s="44"/>
      <c r="AA69" s="44"/>
      <c r="AB69" s="44">
        <f t="shared" si="21"/>
        <v>0</v>
      </c>
      <c r="AC69" s="23"/>
      <c r="AD69" s="6"/>
      <c r="AE69" s="7">
        <f t="shared" si="108"/>
        <v>0</v>
      </c>
      <c r="AF69" s="6"/>
      <c r="AG69" s="7">
        <f t="shared" si="109"/>
        <v>0</v>
      </c>
      <c r="AH69" s="6"/>
      <c r="AI69" s="7">
        <f t="shared" si="110"/>
        <v>0</v>
      </c>
      <c r="AJ69" s="6"/>
      <c r="AK69" s="7">
        <f t="shared" si="111"/>
        <v>0</v>
      </c>
      <c r="AL69" s="6"/>
      <c r="AM69" s="7">
        <f t="shared" si="112"/>
        <v>0</v>
      </c>
      <c r="AN69" s="6"/>
      <c r="AO69" s="7">
        <f t="shared" si="113"/>
        <v>0</v>
      </c>
      <c r="AP69" s="30">
        <f t="shared" si="22"/>
        <v>0</v>
      </c>
      <c r="AQ69" s="6"/>
      <c r="AR69" s="6"/>
      <c r="AS69" s="6"/>
      <c r="AT69" s="44">
        <f t="shared" si="23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7"/>
        <v>0</v>
      </c>
      <c r="BB69" s="5">
        <f t="shared" si="118"/>
        <v>0</v>
      </c>
      <c r="BC69" s="5">
        <f t="shared" si="119"/>
        <v>0</v>
      </c>
      <c r="BD69" s="5">
        <f t="shared" si="120"/>
        <v>0</v>
      </c>
      <c r="BE69" s="5">
        <f t="shared" si="121"/>
        <v>0</v>
      </c>
      <c r="BF69" s="5">
        <f t="shared" si="122"/>
        <v>0</v>
      </c>
      <c r="BG69" s="5">
        <f t="shared" si="123"/>
        <v>0</v>
      </c>
      <c r="BH69" s="5">
        <f t="shared" si="124"/>
        <v>0</v>
      </c>
      <c r="BI69" s="5">
        <f t="shared" si="125"/>
        <v>0</v>
      </c>
      <c r="BJ69" s="5">
        <f t="shared" si="126"/>
        <v>0</v>
      </c>
      <c r="BK69" s="5">
        <f t="shared" si="127"/>
        <v>0</v>
      </c>
      <c r="BL69" s="5">
        <f t="shared" si="128"/>
        <v>0</v>
      </c>
      <c r="BM69" s="5">
        <f t="shared" si="129"/>
        <v>0</v>
      </c>
      <c r="BN69" s="5">
        <f t="shared" si="130"/>
        <v>0</v>
      </c>
      <c r="BO69" s="5">
        <f t="shared" si="131"/>
        <v>0</v>
      </c>
      <c r="BP69" s="5">
        <f t="shared" si="132"/>
        <v>0</v>
      </c>
      <c r="BQ69" s="5">
        <f t="shared" si="133"/>
        <v>0</v>
      </c>
      <c r="BR69" s="5">
        <f t="shared" si="134"/>
        <v>0</v>
      </c>
      <c r="BS69" s="5">
        <f t="shared" si="135"/>
        <v>0</v>
      </c>
      <c r="BT69" s="5">
        <f t="shared" si="136"/>
        <v>0</v>
      </c>
      <c r="BU69" s="5">
        <f t="shared" si="137"/>
        <v>0</v>
      </c>
      <c r="BV69" s="5">
        <f t="shared" si="138"/>
        <v>0</v>
      </c>
      <c r="BW69" s="5">
        <f t="shared" si="139"/>
        <v>0</v>
      </c>
      <c r="BX69" s="5">
        <f t="shared" si="140"/>
        <v>0</v>
      </c>
      <c r="BY69" s="5">
        <f t="shared" si="115"/>
        <v>0</v>
      </c>
      <c r="BZ69" s="5">
        <f t="shared" si="141"/>
        <v>0</v>
      </c>
      <c r="CA69" s="5">
        <f t="shared" si="142"/>
        <v>0</v>
      </c>
      <c r="CB69" s="5">
        <f t="shared" si="143"/>
        <v>0</v>
      </c>
      <c r="CC69" s="5">
        <f t="shared" si="144"/>
        <v>0</v>
      </c>
      <c r="CD69" s="5">
        <f t="shared" si="145"/>
        <v>0</v>
      </c>
      <c r="CE69" s="5">
        <f t="shared" si="146"/>
        <v>0</v>
      </c>
      <c r="CF69" s="5">
        <f t="shared" si="147"/>
        <v>0</v>
      </c>
      <c r="CG69" s="5">
        <f t="shared" si="148"/>
        <v>0</v>
      </c>
      <c r="CH69" s="5">
        <f t="shared" si="149"/>
        <v>0</v>
      </c>
      <c r="CI69" s="5">
        <f t="shared" si="150"/>
        <v>0</v>
      </c>
      <c r="CJ69" s="5"/>
      <c r="CK69" s="4">
        <f t="shared" si="116"/>
        <v>0</v>
      </c>
    </row>
    <row r="70" spans="1:89" ht="38" customHeight="1">
      <c r="A70" s="33" t="str">
        <f t="shared" si="114"/>
        <v/>
      </c>
      <c r="B70" s="10"/>
      <c r="C70" s="87"/>
      <c r="D70" s="88"/>
      <c r="E70" s="88"/>
      <c r="F70" s="44">
        <f t="shared" ref="F70:F100" si="151">BA70-BB70</f>
        <v>0</v>
      </c>
      <c r="G70" s="88"/>
      <c r="H70" s="88"/>
      <c r="I70" s="44">
        <f t="shared" ref="I70:I100" si="152">BF70-BG70</f>
        <v>0</v>
      </c>
      <c r="J70" s="89"/>
      <c r="K70" s="90"/>
      <c r="L70" s="44">
        <f t="shared" ref="L70:L100" si="153">BK70-BL70</f>
        <v>0</v>
      </c>
      <c r="M70" s="90"/>
      <c r="N70" s="90"/>
      <c r="O70" s="44">
        <f t="shared" ref="O70:O100" si="154">BP70-BQ70</f>
        <v>0</v>
      </c>
      <c r="P70" s="90"/>
      <c r="Q70" s="90"/>
      <c r="R70" s="44">
        <f t="shared" ref="R70:R100" si="155">BU70-BV70</f>
        <v>0</v>
      </c>
      <c r="S70" s="90"/>
      <c r="T70" s="90"/>
      <c r="U70" s="44">
        <f t="shared" ref="U70:U100" si="156">BZ70-CA70</f>
        <v>0</v>
      </c>
      <c r="V70" s="90"/>
      <c r="W70" s="90"/>
      <c r="X70" s="44">
        <f t="shared" ref="X70:X100" si="157">CE70-CF70</f>
        <v>0</v>
      </c>
      <c r="Y70" s="44"/>
      <c r="Z70" s="44"/>
      <c r="AA70" s="44"/>
      <c r="AB70" s="44">
        <f t="shared" ref="AB70:AB94" si="158">SUM(F70,I70,L70,O70,R70,U70,X70)</f>
        <v>0</v>
      </c>
      <c r="AC70" s="23"/>
      <c r="AD70" s="6"/>
      <c r="AE70" s="7">
        <f t="shared" ref="AE70:AE91" si="159">SUMIF($BC$1:$CI$1,AE$1,$BC70:$CI70)+AD70</f>
        <v>0</v>
      </c>
      <c r="AF70" s="6"/>
      <c r="AG70" s="7">
        <f t="shared" ref="AG70:AG91" si="160">SUMIF($BC$1:$CI$1,AG$1,$BC70:$CI70)+AF70</f>
        <v>0</v>
      </c>
      <c r="AH70" s="6"/>
      <c r="AI70" s="7">
        <f t="shared" ref="AI70:AI91" si="161">SUMIF($BC$1:$CI$1,AI$1,$BC70:$CI70)+AH70</f>
        <v>0</v>
      </c>
      <c r="AJ70" s="6"/>
      <c r="AK70" s="7">
        <f t="shared" ref="AK70:AK91" si="162">SUMIF($BC$1:$CI$1,AK$1,$BC70:$CI70)+AJ70</f>
        <v>0</v>
      </c>
      <c r="AL70" s="6"/>
      <c r="AM70" s="7">
        <f t="shared" ref="AM70:AM91" si="163">SUMIF($BC$1:$CI$1,AM$1,$BC70:$CI70)+AL70</f>
        <v>0</v>
      </c>
      <c r="AN70" s="6"/>
      <c r="AO70" s="7">
        <f t="shared" ref="AO70:AO91" si="164">SUMIF($BC$1:$CI$1,AO$1,$BC70:$CI70)+AN70</f>
        <v>0</v>
      </c>
      <c r="AP70" s="30">
        <f t="shared" ref="AP70:AP100" si="165">CK70</f>
        <v>0</v>
      </c>
      <c r="AQ70" s="6"/>
      <c r="AR70" s="6"/>
      <c r="AS70" s="6"/>
      <c r="AT70" s="44">
        <f t="shared" ref="AT70:AT94" si="166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7"/>
        <v>0</v>
      </c>
      <c r="BB70" s="5">
        <f t="shared" si="118"/>
        <v>0</v>
      </c>
      <c r="BC70" s="5">
        <f t="shared" si="119"/>
        <v>0</v>
      </c>
      <c r="BD70" s="5">
        <f t="shared" si="120"/>
        <v>0</v>
      </c>
      <c r="BE70" s="5">
        <f t="shared" si="121"/>
        <v>0</v>
      </c>
      <c r="BF70" s="5">
        <f t="shared" si="122"/>
        <v>0</v>
      </c>
      <c r="BG70" s="5">
        <f t="shared" si="123"/>
        <v>0</v>
      </c>
      <c r="BH70" s="5">
        <f t="shared" si="124"/>
        <v>0</v>
      </c>
      <c r="BI70" s="5">
        <f t="shared" si="125"/>
        <v>0</v>
      </c>
      <c r="BJ70" s="5">
        <f t="shared" si="126"/>
        <v>0</v>
      </c>
      <c r="BK70" s="5">
        <f t="shared" si="127"/>
        <v>0</v>
      </c>
      <c r="BL70" s="5">
        <f t="shared" si="128"/>
        <v>0</v>
      </c>
      <c r="BM70" s="5">
        <f t="shared" si="129"/>
        <v>0</v>
      </c>
      <c r="BN70" s="5">
        <f t="shared" si="130"/>
        <v>0</v>
      </c>
      <c r="BO70" s="5">
        <f t="shared" si="131"/>
        <v>0</v>
      </c>
      <c r="BP70" s="5">
        <f t="shared" si="132"/>
        <v>0</v>
      </c>
      <c r="BQ70" s="5">
        <f t="shared" si="133"/>
        <v>0</v>
      </c>
      <c r="BR70" s="5">
        <f t="shared" si="134"/>
        <v>0</v>
      </c>
      <c r="BS70" s="5">
        <f t="shared" si="135"/>
        <v>0</v>
      </c>
      <c r="BT70" s="5">
        <f t="shared" si="136"/>
        <v>0</v>
      </c>
      <c r="BU70" s="5">
        <f t="shared" si="137"/>
        <v>0</v>
      </c>
      <c r="BV70" s="5">
        <f t="shared" si="138"/>
        <v>0</v>
      </c>
      <c r="BW70" s="5">
        <f t="shared" si="139"/>
        <v>0</v>
      </c>
      <c r="BX70" s="5">
        <f t="shared" si="140"/>
        <v>0</v>
      </c>
      <c r="BY70" s="5">
        <f t="shared" si="115"/>
        <v>0</v>
      </c>
      <c r="BZ70" s="5">
        <f t="shared" si="141"/>
        <v>0</v>
      </c>
      <c r="CA70" s="5">
        <f t="shared" si="142"/>
        <v>0</v>
      </c>
      <c r="CB70" s="5">
        <f t="shared" si="143"/>
        <v>0</v>
      </c>
      <c r="CC70" s="5">
        <f t="shared" si="144"/>
        <v>0</v>
      </c>
      <c r="CD70" s="5">
        <f t="shared" si="145"/>
        <v>0</v>
      </c>
      <c r="CE70" s="5">
        <f t="shared" si="146"/>
        <v>0</v>
      </c>
      <c r="CF70" s="5">
        <f t="shared" si="147"/>
        <v>0</v>
      </c>
      <c r="CG70" s="5">
        <f t="shared" si="148"/>
        <v>0</v>
      </c>
      <c r="CH70" s="5">
        <f t="shared" si="149"/>
        <v>0</v>
      </c>
      <c r="CI70" s="5">
        <f t="shared" si="150"/>
        <v>0</v>
      </c>
      <c r="CJ70" s="5"/>
      <c r="CK70" s="4">
        <f t="shared" si="116"/>
        <v>0</v>
      </c>
    </row>
    <row r="71" spans="1:89" ht="38" customHeight="1">
      <c r="A71" s="33" t="str">
        <f t="shared" si="114"/>
        <v/>
      </c>
      <c r="B71" s="10"/>
      <c r="C71" s="87"/>
      <c r="D71" s="88"/>
      <c r="E71" s="88"/>
      <c r="F71" s="44">
        <f t="shared" si="151"/>
        <v>0</v>
      </c>
      <c r="G71" s="88"/>
      <c r="H71" s="88"/>
      <c r="I71" s="44">
        <f t="shared" si="152"/>
        <v>0</v>
      </c>
      <c r="J71" s="89"/>
      <c r="K71" s="90"/>
      <c r="L71" s="44">
        <f t="shared" si="153"/>
        <v>0</v>
      </c>
      <c r="M71" s="90"/>
      <c r="N71" s="90"/>
      <c r="O71" s="44">
        <f t="shared" si="154"/>
        <v>0</v>
      </c>
      <c r="P71" s="90"/>
      <c r="Q71" s="90"/>
      <c r="R71" s="44">
        <f t="shared" si="155"/>
        <v>0</v>
      </c>
      <c r="S71" s="90"/>
      <c r="T71" s="90"/>
      <c r="U71" s="44">
        <f t="shared" si="156"/>
        <v>0</v>
      </c>
      <c r="V71" s="90"/>
      <c r="W71" s="90"/>
      <c r="X71" s="44">
        <f t="shared" si="157"/>
        <v>0</v>
      </c>
      <c r="Y71" s="44"/>
      <c r="Z71" s="44"/>
      <c r="AA71" s="44"/>
      <c r="AB71" s="44">
        <f t="shared" si="158"/>
        <v>0</v>
      </c>
      <c r="AC71" s="23"/>
      <c r="AD71" s="6"/>
      <c r="AE71" s="7">
        <f t="shared" si="159"/>
        <v>0</v>
      </c>
      <c r="AF71" s="6"/>
      <c r="AG71" s="7">
        <f t="shared" si="160"/>
        <v>0</v>
      </c>
      <c r="AH71" s="6"/>
      <c r="AI71" s="7">
        <f t="shared" si="161"/>
        <v>0</v>
      </c>
      <c r="AJ71" s="6"/>
      <c r="AK71" s="7">
        <f t="shared" si="162"/>
        <v>0</v>
      </c>
      <c r="AL71" s="6"/>
      <c r="AM71" s="7">
        <f t="shared" si="163"/>
        <v>0</v>
      </c>
      <c r="AN71" s="6"/>
      <c r="AO71" s="7">
        <f t="shared" si="164"/>
        <v>0</v>
      </c>
      <c r="AP71" s="30">
        <f t="shared" si="165"/>
        <v>0</v>
      </c>
      <c r="AQ71" s="6"/>
      <c r="AR71" s="6"/>
      <c r="AS71" s="6"/>
      <c r="AT71" s="44">
        <f t="shared" si="166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7"/>
        <v>0</v>
      </c>
      <c r="BB71" s="5">
        <f t="shared" si="118"/>
        <v>0</v>
      </c>
      <c r="BC71" s="5">
        <f t="shared" si="119"/>
        <v>0</v>
      </c>
      <c r="BD71" s="5">
        <f t="shared" si="120"/>
        <v>0</v>
      </c>
      <c r="BE71" s="5">
        <f t="shared" si="121"/>
        <v>0</v>
      </c>
      <c r="BF71" s="5">
        <f t="shared" si="122"/>
        <v>0</v>
      </c>
      <c r="BG71" s="5">
        <f t="shared" si="123"/>
        <v>0</v>
      </c>
      <c r="BH71" s="5">
        <f t="shared" si="124"/>
        <v>0</v>
      </c>
      <c r="BI71" s="5">
        <f t="shared" si="125"/>
        <v>0</v>
      </c>
      <c r="BJ71" s="5">
        <f t="shared" si="126"/>
        <v>0</v>
      </c>
      <c r="BK71" s="5">
        <f t="shared" si="127"/>
        <v>0</v>
      </c>
      <c r="BL71" s="5">
        <f t="shared" si="128"/>
        <v>0</v>
      </c>
      <c r="BM71" s="5">
        <f t="shared" si="129"/>
        <v>0</v>
      </c>
      <c r="BN71" s="5">
        <f t="shared" si="130"/>
        <v>0</v>
      </c>
      <c r="BO71" s="5">
        <f t="shared" si="131"/>
        <v>0</v>
      </c>
      <c r="BP71" s="5">
        <f t="shared" si="132"/>
        <v>0</v>
      </c>
      <c r="BQ71" s="5">
        <f t="shared" si="133"/>
        <v>0</v>
      </c>
      <c r="BR71" s="5">
        <f t="shared" si="134"/>
        <v>0</v>
      </c>
      <c r="BS71" s="5">
        <f t="shared" si="135"/>
        <v>0</v>
      </c>
      <c r="BT71" s="5">
        <f t="shared" si="136"/>
        <v>0</v>
      </c>
      <c r="BU71" s="5">
        <f t="shared" si="137"/>
        <v>0</v>
      </c>
      <c r="BV71" s="5">
        <f t="shared" si="138"/>
        <v>0</v>
      </c>
      <c r="BW71" s="5">
        <f t="shared" si="139"/>
        <v>0</v>
      </c>
      <c r="BX71" s="5">
        <f t="shared" si="140"/>
        <v>0</v>
      </c>
      <c r="BY71" s="5">
        <f t="shared" si="115"/>
        <v>0</v>
      </c>
      <c r="BZ71" s="5">
        <f t="shared" si="141"/>
        <v>0</v>
      </c>
      <c r="CA71" s="5">
        <f t="shared" si="142"/>
        <v>0</v>
      </c>
      <c r="CB71" s="5">
        <f t="shared" si="143"/>
        <v>0</v>
      </c>
      <c r="CC71" s="5">
        <f t="shared" si="144"/>
        <v>0</v>
      </c>
      <c r="CD71" s="5">
        <f t="shared" si="145"/>
        <v>0</v>
      </c>
      <c r="CE71" s="5">
        <f t="shared" si="146"/>
        <v>0</v>
      </c>
      <c r="CF71" s="5">
        <f t="shared" si="147"/>
        <v>0</v>
      </c>
      <c r="CG71" s="5">
        <f t="shared" si="148"/>
        <v>0</v>
      </c>
      <c r="CH71" s="5">
        <f t="shared" si="149"/>
        <v>0</v>
      </c>
      <c r="CI71" s="5">
        <f t="shared" si="150"/>
        <v>0</v>
      </c>
      <c r="CJ71" s="5"/>
      <c r="CK71" s="4">
        <f t="shared" si="116"/>
        <v>0</v>
      </c>
    </row>
    <row r="72" spans="1:89" ht="38" customHeight="1">
      <c r="A72" s="33" t="str">
        <f t="shared" si="114"/>
        <v/>
      </c>
      <c r="B72" s="10"/>
      <c r="C72" s="87"/>
      <c r="D72" s="88"/>
      <c r="E72" s="88"/>
      <c r="F72" s="44">
        <f t="shared" si="151"/>
        <v>0</v>
      </c>
      <c r="G72" s="88"/>
      <c r="H72" s="88"/>
      <c r="I72" s="44">
        <f t="shared" si="152"/>
        <v>0</v>
      </c>
      <c r="J72" s="89"/>
      <c r="K72" s="90"/>
      <c r="L72" s="44">
        <f t="shared" si="153"/>
        <v>0</v>
      </c>
      <c r="M72" s="90"/>
      <c r="N72" s="90"/>
      <c r="O72" s="44">
        <f t="shared" si="154"/>
        <v>0</v>
      </c>
      <c r="P72" s="90"/>
      <c r="Q72" s="90"/>
      <c r="R72" s="44">
        <f t="shared" si="155"/>
        <v>0</v>
      </c>
      <c r="S72" s="90"/>
      <c r="T72" s="90"/>
      <c r="U72" s="44">
        <f t="shared" si="156"/>
        <v>0</v>
      </c>
      <c r="V72" s="90"/>
      <c r="W72" s="90"/>
      <c r="X72" s="44">
        <f t="shared" si="157"/>
        <v>0</v>
      </c>
      <c r="Y72" s="44"/>
      <c r="Z72" s="44"/>
      <c r="AA72" s="44"/>
      <c r="AB72" s="44">
        <f t="shared" si="158"/>
        <v>0</v>
      </c>
      <c r="AC72" s="23"/>
      <c r="AD72" s="6"/>
      <c r="AE72" s="7">
        <f t="shared" si="159"/>
        <v>0</v>
      </c>
      <c r="AF72" s="6"/>
      <c r="AG72" s="7">
        <f t="shared" si="160"/>
        <v>0</v>
      </c>
      <c r="AH72" s="6"/>
      <c r="AI72" s="7">
        <f t="shared" si="161"/>
        <v>0</v>
      </c>
      <c r="AJ72" s="6"/>
      <c r="AK72" s="7">
        <f t="shared" si="162"/>
        <v>0</v>
      </c>
      <c r="AL72" s="6"/>
      <c r="AM72" s="7">
        <f t="shared" si="163"/>
        <v>0</v>
      </c>
      <c r="AN72" s="6"/>
      <c r="AO72" s="7">
        <f t="shared" si="164"/>
        <v>0</v>
      </c>
      <c r="AP72" s="30">
        <f t="shared" si="165"/>
        <v>0</v>
      </c>
      <c r="AQ72" s="6"/>
      <c r="AR72" s="6"/>
      <c r="AS72" s="6"/>
      <c r="AT72" s="44">
        <f t="shared" si="166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7"/>
        <v>0</v>
      </c>
      <c r="BB72" s="5">
        <f t="shared" si="118"/>
        <v>0</v>
      </c>
      <c r="BC72" s="5">
        <f t="shared" si="119"/>
        <v>0</v>
      </c>
      <c r="BD72" s="5">
        <f t="shared" si="120"/>
        <v>0</v>
      </c>
      <c r="BE72" s="5">
        <f t="shared" si="121"/>
        <v>0</v>
      </c>
      <c r="BF72" s="5">
        <f t="shared" si="122"/>
        <v>0</v>
      </c>
      <c r="BG72" s="5">
        <f t="shared" si="123"/>
        <v>0</v>
      </c>
      <c r="BH72" s="5">
        <f t="shared" si="124"/>
        <v>0</v>
      </c>
      <c r="BI72" s="5">
        <f t="shared" si="125"/>
        <v>0</v>
      </c>
      <c r="BJ72" s="5">
        <f t="shared" si="126"/>
        <v>0</v>
      </c>
      <c r="BK72" s="5">
        <f t="shared" si="127"/>
        <v>0</v>
      </c>
      <c r="BL72" s="5">
        <f t="shared" si="128"/>
        <v>0</v>
      </c>
      <c r="BM72" s="5">
        <f t="shared" si="129"/>
        <v>0</v>
      </c>
      <c r="BN72" s="5">
        <f t="shared" si="130"/>
        <v>0</v>
      </c>
      <c r="BO72" s="5">
        <f t="shared" si="131"/>
        <v>0</v>
      </c>
      <c r="BP72" s="5">
        <f t="shared" si="132"/>
        <v>0</v>
      </c>
      <c r="BQ72" s="5">
        <f t="shared" si="133"/>
        <v>0</v>
      </c>
      <c r="BR72" s="5">
        <f t="shared" si="134"/>
        <v>0</v>
      </c>
      <c r="BS72" s="5">
        <f t="shared" si="135"/>
        <v>0</v>
      </c>
      <c r="BT72" s="5">
        <f t="shared" si="136"/>
        <v>0</v>
      </c>
      <c r="BU72" s="5">
        <f t="shared" si="137"/>
        <v>0</v>
      </c>
      <c r="BV72" s="5">
        <f t="shared" si="138"/>
        <v>0</v>
      </c>
      <c r="BW72" s="5">
        <f t="shared" si="139"/>
        <v>0</v>
      </c>
      <c r="BX72" s="5">
        <f t="shared" si="140"/>
        <v>0</v>
      </c>
      <c r="BY72" s="5">
        <f t="shared" si="115"/>
        <v>0</v>
      </c>
      <c r="BZ72" s="5">
        <f t="shared" si="141"/>
        <v>0</v>
      </c>
      <c r="CA72" s="5">
        <f t="shared" si="142"/>
        <v>0</v>
      </c>
      <c r="CB72" s="5">
        <f t="shared" si="143"/>
        <v>0</v>
      </c>
      <c r="CC72" s="5">
        <f t="shared" si="144"/>
        <v>0</v>
      </c>
      <c r="CD72" s="5">
        <f t="shared" si="145"/>
        <v>0</v>
      </c>
      <c r="CE72" s="5">
        <f t="shared" si="146"/>
        <v>0</v>
      </c>
      <c r="CF72" s="5">
        <f t="shared" si="147"/>
        <v>0</v>
      </c>
      <c r="CG72" s="5">
        <f t="shared" si="148"/>
        <v>0</v>
      </c>
      <c r="CH72" s="5">
        <f t="shared" si="149"/>
        <v>0</v>
      </c>
      <c r="CI72" s="5">
        <f t="shared" si="150"/>
        <v>0</v>
      </c>
      <c r="CJ72" s="5"/>
      <c r="CK72" s="4">
        <f t="shared" si="116"/>
        <v>0</v>
      </c>
    </row>
    <row r="73" spans="1:89" ht="38" customHeight="1">
      <c r="A73" s="33" t="str">
        <f t="shared" si="114"/>
        <v/>
      </c>
      <c r="B73" s="10"/>
      <c r="C73" s="87"/>
      <c r="D73" s="88"/>
      <c r="E73" s="88"/>
      <c r="F73" s="44">
        <f t="shared" si="151"/>
        <v>0</v>
      </c>
      <c r="G73" s="88"/>
      <c r="H73" s="88"/>
      <c r="I73" s="44">
        <f t="shared" si="152"/>
        <v>0</v>
      </c>
      <c r="J73" s="89"/>
      <c r="K73" s="90"/>
      <c r="L73" s="44">
        <f t="shared" si="153"/>
        <v>0</v>
      </c>
      <c r="M73" s="90"/>
      <c r="N73" s="90"/>
      <c r="O73" s="44">
        <f t="shared" si="154"/>
        <v>0</v>
      </c>
      <c r="P73" s="90"/>
      <c r="Q73" s="90"/>
      <c r="R73" s="44">
        <f t="shared" si="155"/>
        <v>0</v>
      </c>
      <c r="S73" s="90"/>
      <c r="T73" s="90"/>
      <c r="U73" s="44">
        <f t="shared" si="156"/>
        <v>0</v>
      </c>
      <c r="V73" s="90"/>
      <c r="W73" s="90"/>
      <c r="X73" s="44">
        <f t="shared" si="157"/>
        <v>0</v>
      </c>
      <c r="Y73" s="44"/>
      <c r="Z73" s="44"/>
      <c r="AA73" s="44"/>
      <c r="AB73" s="44">
        <f t="shared" si="158"/>
        <v>0</v>
      </c>
      <c r="AC73" s="23"/>
      <c r="AD73" s="6"/>
      <c r="AE73" s="7">
        <f t="shared" si="159"/>
        <v>0</v>
      </c>
      <c r="AF73" s="6"/>
      <c r="AG73" s="7">
        <f t="shared" si="160"/>
        <v>0</v>
      </c>
      <c r="AH73" s="6"/>
      <c r="AI73" s="7">
        <f t="shared" si="161"/>
        <v>0</v>
      </c>
      <c r="AJ73" s="6"/>
      <c r="AK73" s="7">
        <f t="shared" si="162"/>
        <v>0</v>
      </c>
      <c r="AL73" s="6"/>
      <c r="AM73" s="7">
        <f t="shared" si="163"/>
        <v>0</v>
      </c>
      <c r="AN73" s="6"/>
      <c r="AO73" s="7">
        <f t="shared" si="164"/>
        <v>0</v>
      </c>
      <c r="AP73" s="30">
        <f t="shared" si="165"/>
        <v>0</v>
      </c>
      <c r="AQ73" s="6"/>
      <c r="AR73" s="6"/>
      <c r="AS73" s="6"/>
      <c r="AT73" s="44">
        <f t="shared" si="166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7"/>
        <v>0</v>
      </c>
      <c r="BB73" s="5">
        <f t="shared" si="118"/>
        <v>0</v>
      </c>
      <c r="BC73" s="5">
        <f t="shared" si="119"/>
        <v>0</v>
      </c>
      <c r="BD73" s="5">
        <f t="shared" si="120"/>
        <v>0</v>
      </c>
      <c r="BE73" s="5">
        <f t="shared" si="121"/>
        <v>0</v>
      </c>
      <c r="BF73" s="5">
        <f t="shared" si="122"/>
        <v>0</v>
      </c>
      <c r="BG73" s="5">
        <f t="shared" si="123"/>
        <v>0</v>
      </c>
      <c r="BH73" s="5">
        <f t="shared" si="124"/>
        <v>0</v>
      </c>
      <c r="BI73" s="5">
        <f t="shared" si="125"/>
        <v>0</v>
      </c>
      <c r="BJ73" s="5">
        <f t="shared" si="126"/>
        <v>0</v>
      </c>
      <c r="BK73" s="5">
        <f t="shared" si="127"/>
        <v>0</v>
      </c>
      <c r="BL73" s="5">
        <f t="shared" si="128"/>
        <v>0</v>
      </c>
      <c r="BM73" s="5">
        <f t="shared" si="129"/>
        <v>0</v>
      </c>
      <c r="BN73" s="5">
        <f t="shared" si="130"/>
        <v>0</v>
      </c>
      <c r="BO73" s="5">
        <f t="shared" si="131"/>
        <v>0</v>
      </c>
      <c r="BP73" s="5">
        <f t="shared" si="132"/>
        <v>0</v>
      </c>
      <c r="BQ73" s="5">
        <f t="shared" si="133"/>
        <v>0</v>
      </c>
      <c r="BR73" s="5">
        <f t="shared" si="134"/>
        <v>0</v>
      </c>
      <c r="BS73" s="5">
        <f t="shared" si="135"/>
        <v>0</v>
      </c>
      <c r="BT73" s="5">
        <f t="shared" si="136"/>
        <v>0</v>
      </c>
      <c r="BU73" s="5">
        <f t="shared" si="137"/>
        <v>0</v>
      </c>
      <c r="BV73" s="5">
        <f t="shared" si="138"/>
        <v>0</v>
      </c>
      <c r="BW73" s="5">
        <f t="shared" si="139"/>
        <v>0</v>
      </c>
      <c r="BX73" s="5">
        <f t="shared" si="140"/>
        <v>0</v>
      </c>
      <c r="BY73" s="5">
        <f t="shared" si="115"/>
        <v>0</v>
      </c>
      <c r="BZ73" s="5">
        <f t="shared" si="141"/>
        <v>0</v>
      </c>
      <c r="CA73" s="5">
        <f t="shared" si="142"/>
        <v>0</v>
      </c>
      <c r="CB73" s="5">
        <f t="shared" si="143"/>
        <v>0</v>
      </c>
      <c r="CC73" s="5">
        <f t="shared" si="144"/>
        <v>0</v>
      </c>
      <c r="CD73" s="5">
        <f t="shared" si="145"/>
        <v>0</v>
      </c>
      <c r="CE73" s="5">
        <f t="shared" si="146"/>
        <v>0</v>
      </c>
      <c r="CF73" s="5">
        <f t="shared" si="147"/>
        <v>0</v>
      </c>
      <c r="CG73" s="5">
        <f t="shared" si="148"/>
        <v>0</v>
      </c>
      <c r="CH73" s="5">
        <f t="shared" si="149"/>
        <v>0</v>
      </c>
      <c r="CI73" s="5">
        <f t="shared" si="150"/>
        <v>0</v>
      </c>
      <c r="CJ73" s="5"/>
      <c r="CK73" s="4">
        <f t="shared" si="116"/>
        <v>0</v>
      </c>
    </row>
    <row r="74" spans="1:89" ht="38" customHeight="1">
      <c r="A74" s="33" t="str">
        <f t="shared" si="114"/>
        <v/>
      </c>
      <c r="B74" s="10"/>
      <c r="C74" s="87"/>
      <c r="D74" s="88"/>
      <c r="E74" s="88"/>
      <c r="F74" s="44">
        <f t="shared" si="151"/>
        <v>0</v>
      </c>
      <c r="G74" s="88"/>
      <c r="H74" s="88"/>
      <c r="I74" s="44">
        <f t="shared" si="152"/>
        <v>0</v>
      </c>
      <c r="J74" s="89"/>
      <c r="K74" s="90"/>
      <c r="L74" s="44">
        <f t="shared" si="153"/>
        <v>0</v>
      </c>
      <c r="M74" s="90"/>
      <c r="N74" s="90"/>
      <c r="O74" s="44">
        <f t="shared" si="154"/>
        <v>0</v>
      </c>
      <c r="P74" s="90"/>
      <c r="Q74" s="90"/>
      <c r="R74" s="44">
        <f t="shared" si="155"/>
        <v>0</v>
      </c>
      <c r="S74" s="90"/>
      <c r="T74" s="90"/>
      <c r="U74" s="44">
        <f t="shared" si="156"/>
        <v>0</v>
      </c>
      <c r="V74" s="90"/>
      <c r="W74" s="90"/>
      <c r="X74" s="44">
        <f t="shared" si="157"/>
        <v>0</v>
      </c>
      <c r="Y74" s="44"/>
      <c r="Z74" s="44"/>
      <c r="AA74" s="44"/>
      <c r="AB74" s="44">
        <f t="shared" si="158"/>
        <v>0</v>
      </c>
      <c r="AC74" s="23"/>
      <c r="AD74" s="6"/>
      <c r="AE74" s="7">
        <f t="shared" si="159"/>
        <v>0</v>
      </c>
      <c r="AF74" s="6"/>
      <c r="AG74" s="7">
        <f t="shared" si="160"/>
        <v>0</v>
      </c>
      <c r="AH74" s="6"/>
      <c r="AI74" s="7">
        <f t="shared" si="161"/>
        <v>0</v>
      </c>
      <c r="AJ74" s="6"/>
      <c r="AK74" s="7">
        <f t="shared" si="162"/>
        <v>0</v>
      </c>
      <c r="AL74" s="6"/>
      <c r="AM74" s="7">
        <f t="shared" si="163"/>
        <v>0</v>
      </c>
      <c r="AN74" s="6"/>
      <c r="AO74" s="7">
        <f t="shared" si="164"/>
        <v>0</v>
      </c>
      <c r="AP74" s="30">
        <f t="shared" si="165"/>
        <v>0</v>
      </c>
      <c r="AQ74" s="6"/>
      <c r="AR74" s="6"/>
      <c r="AS74" s="6"/>
      <c r="AT74" s="44">
        <f t="shared" si="166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7"/>
        <v>0</v>
      </c>
      <c r="BB74" s="5">
        <f t="shared" si="118"/>
        <v>0</v>
      </c>
      <c r="BC74" s="5">
        <f t="shared" si="119"/>
        <v>0</v>
      </c>
      <c r="BD74" s="5">
        <f t="shared" si="120"/>
        <v>0</v>
      </c>
      <c r="BE74" s="5">
        <f t="shared" si="121"/>
        <v>0</v>
      </c>
      <c r="BF74" s="5">
        <f t="shared" si="122"/>
        <v>0</v>
      </c>
      <c r="BG74" s="5">
        <f t="shared" si="123"/>
        <v>0</v>
      </c>
      <c r="BH74" s="5">
        <f t="shared" si="124"/>
        <v>0</v>
      </c>
      <c r="BI74" s="5">
        <f t="shared" si="125"/>
        <v>0</v>
      </c>
      <c r="BJ74" s="5">
        <f t="shared" si="126"/>
        <v>0</v>
      </c>
      <c r="BK74" s="5">
        <f t="shared" si="127"/>
        <v>0</v>
      </c>
      <c r="BL74" s="5">
        <f t="shared" si="128"/>
        <v>0</v>
      </c>
      <c r="BM74" s="5">
        <f t="shared" si="129"/>
        <v>0</v>
      </c>
      <c r="BN74" s="5">
        <f t="shared" si="130"/>
        <v>0</v>
      </c>
      <c r="BO74" s="5">
        <f t="shared" si="131"/>
        <v>0</v>
      </c>
      <c r="BP74" s="5">
        <f t="shared" si="132"/>
        <v>0</v>
      </c>
      <c r="BQ74" s="5">
        <f t="shared" si="133"/>
        <v>0</v>
      </c>
      <c r="BR74" s="5">
        <f t="shared" si="134"/>
        <v>0</v>
      </c>
      <c r="BS74" s="5">
        <f t="shared" si="135"/>
        <v>0</v>
      </c>
      <c r="BT74" s="5">
        <f t="shared" si="136"/>
        <v>0</v>
      </c>
      <c r="BU74" s="5">
        <f t="shared" si="137"/>
        <v>0</v>
      </c>
      <c r="BV74" s="5">
        <f t="shared" si="138"/>
        <v>0</v>
      </c>
      <c r="BW74" s="5">
        <f t="shared" si="139"/>
        <v>0</v>
      </c>
      <c r="BX74" s="5">
        <f t="shared" si="140"/>
        <v>0</v>
      </c>
      <c r="BY74" s="5">
        <f t="shared" si="115"/>
        <v>0</v>
      </c>
      <c r="BZ74" s="5">
        <f t="shared" si="141"/>
        <v>0</v>
      </c>
      <c r="CA74" s="5">
        <f t="shared" si="142"/>
        <v>0</v>
      </c>
      <c r="CB74" s="5">
        <f t="shared" si="143"/>
        <v>0</v>
      </c>
      <c r="CC74" s="5">
        <f t="shared" si="144"/>
        <v>0</v>
      </c>
      <c r="CD74" s="5">
        <f t="shared" si="145"/>
        <v>0</v>
      </c>
      <c r="CE74" s="5">
        <f t="shared" si="146"/>
        <v>0</v>
      </c>
      <c r="CF74" s="5">
        <f t="shared" si="147"/>
        <v>0</v>
      </c>
      <c r="CG74" s="5">
        <f t="shared" si="148"/>
        <v>0</v>
      </c>
      <c r="CH74" s="5">
        <f t="shared" si="149"/>
        <v>0</v>
      </c>
      <c r="CI74" s="5">
        <f t="shared" si="150"/>
        <v>0</v>
      </c>
      <c r="CJ74" s="5"/>
      <c r="CK74" s="4">
        <f t="shared" si="116"/>
        <v>0</v>
      </c>
    </row>
    <row r="75" spans="1:89" ht="38" customHeight="1">
      <c r="A75" s="33" t="str">
        <f t="shared" si="114"/>
        <v/>
      </c>
      <c r="B75" s="10"/>
      <c r="C75" s="87"/>
      <c r="D75" s="88"/>
      <c r="E75" s="88"/>
      <c r="F75" s="44">
        <f t="shared" si="151"/>
        <v>0</v>
      </c>
      <c r="G75" s="88"/>
      <c r="H75" s="88"/>
      <c r="I75" s="44">
        <f t="shared" si="152"/>
        <v>0</v>
      </c>
      <c r="J75" s="89"/>
      <c r="K75" s="90"/>
      <c r="L75" s="44">
        <f t="shared" si="153"/>
        <v>0</v>
      </c>
      <c r="M75" s="90"/>
      <c r="N75" s="90"/>
      <c r="O75" s="44">
        <f t="shared" si="154"/>
        <v>0</v>
      </c>
      <c r="P75" s="90"/>
      <c r="Q75" s="90"/>
      <c r="R75" s="44">
        <f t="shared" si="155"/>
        <v>0</v>
      </c>
      <c r="S75" s="90"/>
      <c r="T75" s="90"/>
      <c r="U75" s="44">
        <f t="shared" si="156"/>
        <v>0</v>
      </c>
      <c r="V75" s="90"/>
      <c r="W75" s="90"/>
      <c r="X75" s="44">
        <f t="shared" si="157"/>
        <v>0</v>
      </c>
      <c r="Y75" s="44"/>
      <c r="Z75" s="44"/>
      <c r="AA75" s="44"/>
      <c r="AB75" s="44">
        <f t="shared" si="158"/>
        <v>0</v>
      </c>
      <c r="AC75" s="23"/>
      <c r="AD75" s="6"/>
      <c r="AE75" s="7">
        <f t="shared" si="159"/>
        <v>0</v>
      </c>
      <c r="AF75" s="6"/>
      <c r="AG75" s="7">
        <f t="shared" si="160"/>
        <v>0</v>
      </c>
      <c r="AH75" s="6"/>
      <c r="AI75" s="7">
        <f t="shared" si="161"/>
        <v>0</v>
      </c>
      <c r="AJ75" s="6"/>
      <c r="AK75" s="7">
        <f t="shared" si="162"/>
        <v>0</v>
      </c>
      <c r="AL75" s="6"/>
      <c r="AM75" s="7">
        <f t="shared" si="163"/>
        <v>0</v>
      </c>
      <c r="AN75" s="6"/>
      <c r="AO75" s="7">
        <f t="shared" si="164"/>
        <v>0</v>
      </c>
      <c r="AP75" s="30">
        <f t="shared" si="165"/>
        <v>0</v>
      </c>
      <c r="AQ75" s="6"/>
      <c r="AR75" s="6"/>
      <c r="AS75" s="6"/>
      <c r="AT75" s="44">
        <f t="shared" si="166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7"/>
        <v>0</v>
      </c>
      <c r="BB75" s="5">
        <f t="shared" si="118"/>
        <v>0</v>
      </c>
      <c r="BC75" s="5">
        <f t="shared" si="119"/>
        <v>0</v>
      </c>
      <c r="BD75" s="5">
        <f t="shared" si="120"/>
        <v>0</v>
      </c>
      <c r="BE75" s="5">
        <f t="shared" si="121"/>
        <v>0</v>
      </c>
      <c r="BF75" s="5">
        <f t="shared" si="122"/>
        <v>0</v>
      </c>
      <c r="BG75" s="5">
        <f t="shared" si="123"/>
        <v>0</v>
      </c>
      <c r="BH75" s="5">
        <f t="shared" si="124"/>
        <v>0</v>
      </c>
      <c r="BI75" s="5">
        <f t="shared" si="125"/>
        <v>0</v>
      </c>
      <c r="BJ75" s="5">
        <f t="shared" si="126"/>
        <v>0</v>
      </c>
      <c r="BK75" s="5">
        <f t="shared" si="127"/>
        <v>0</v>
      </c>
      <c r="BL75" s="5">
        <f t="shared" si="128"/>
        <v>0</v>
      </c>
      <c r="BM75" s="5">
        <f t="shared" si="129"/>
        <v>0</v>
      </c>
      <c r="BN75" s="5">
        <f t="shared" si="130"/>
        <v>0</v>
      </c>
      <c r="BO75" s="5">
        <f t="shared" si="131"/>
        <v>0</v>
      </c>
      <c r="BP75" s="5">
        <f t="shared" si="132"/>
        <v>0</v>
      </c>
      <c r="BQ75" s="5">
        <f t="shared" si="133"/>
        <v>0</v>
      </c>
      <c r="BR75" s="5">
        <f t="shared" si="134"/>
        <v>0</v>
      </c>
      <c r="BS75" s="5">
        <f t="shared" si="135"/>
        <v>0</v>
      </c>
      <c r="BT75" s="5">
        <f t="shared" si="136"/>
        <v>0</v>
      </c>
      <c r="BU75" s="5">
        <f t="shared" si="137"/>
        <v>0</v>
      </c>
      <c r="BV75" s="5">
        <f t="shared" si="138"/>
        <v>0</v>
      </c>
      <c r="BW75" s="5">
        <f t="shared" si="139"/>
        <v>0</v>
      </c>
      <c r="BX75" s="5">
        <f t="shared" si="140"/>
        <v>0</v>
      </c>
      <c r="BY75" s="5">
        <f t="shared" si="115"/>
        <v>0</v>
      </c>
      <c r="BZ75" s="5">
        <f t="shared" si="141"/>
        <v>0</v>
      </c>
      <c r="CA75" s="5">
        <f t="shared" si="142"/>
        <v>0</v>
      </c>
      <c r="CB75" s="5">
        <f t="shared" si="143"/>
        <v>0</v>
      </c>
      <c r="CC75" s="5">
        <f t="shared" si="144"/>
        <v>0</v>
      </c>
      <c r="CD75" s="5">
        <f t="shared" si="145"/>
        <v>0</v>
      </c>
      <c r="CE75" s="5">
        <f t="shared" si="146"/>
        <v>0</v>
      </c>
      <c r="CF75" s="5">
        <f t="shared" si="147"/>
        <v>0</v>
      </c>
      <c r="CG75" s="5">
        <f t="shared" si="148"/>
        <v>0</v>
      </c>
      <c r="CH75" s="5">
        <f t="shared" si="149"/>
        <v>0</v>
      </c>
      <c r="CI75" s="5">
        <f t="shared" si="150"/>
        <v>0</v>
      </c>
      <c r="CJ75" s="5"/>
      <c r="CK75" s="4">
        <f t="shared" si="116"/>
        <v>0</v>
      </c>
    </row>
    <row r="76" spans="1:89" ht="38" customHeight="1">
      <c r="A76" s="33" t="str">
        <f t="shared" si="114"/>
        <v/>
      </c>
      <c r="B76" s="10"/>
      <c r="C76" s="87"/>
      <c r="D76" s="88"/>
      <c r="E76" s="88"/>
      <c r="F76" s="44">
        <f t="shared" si="151"/>
        <v>0</v>
      </c>
      <c r="G76" s="88"/>
      <c r="H76" s="88"/>
      <c r="I76" s="44">
        <f t="shared" si="152"/>
        <v>0</v>
      </c>
      <c r="J76" s="89"/>
      <c r="K76" s="90"/>
      <c r="L76" s="44">
        <f t="shared" si="153"/>
        <v>0</v>
      </c>
      <c r="M76" s="90"/>
      <c r="N76" s="90"/>
      <c r="O76" s="44">
        <f t="shared" si="154"/>
        <v>0</v>
      </c>
      <c r="P76" s="90"/>
      <c r="Q76" s="90"/>
      <c r="R76" s="44">
        <f t="shared" si="155"/>
        <v>0</v>
      </c>
      <c r="S76" s="90"/>
      <c r="T76" s="90"/>
      <c r="U76" s="44">
        <f t="shared" si="156"/>
        <v>0</v>
      </c>
      <c r="V76" s="90"/>
      <c r="W76" s="90"/>
      <c r="X76" s="44">
        <f t="shared" si="157"/>
        <v>0</v>
      </c>
      <c r="Y76" s="44"/>
      <c r="Z76" s="44"/>
      <c r="AA76" s="44"/>
      <c r="AB76" s="44">
        <f t="shared" si="158"/>
        <v>0</v>
      </c>
      <c r="AC76" s="23"/>
      <c r="AD76" s="6"/>
      <c r="AE76" s="7">
        <f t="shared" si="159"/>
        <v>0</v>
      </c>
      <c r="AF76" s="6"/>
      <c r="AG76" s="7">
        <f t="shared" si="160"/>
        <v>0</v>
      </c>
      <c r="AH76" s="6"/>
      <c r="AI76" s="7">
        <f t="shared" si="161"/>
        <v>0</v>
      </c>
      <c r="AJ76" s="6"/>
      <c r="AK76" s="7">
        <f t="shared" si="162"/>
        <v>0</v>
      </c>
      <c r="AL76" s="6"/>
      <c r="AM76" s="7">
        <f t="shared" si="163"/>
        <v>0</v>
      </c>
      <c r="AN76" s="6"/>
      <c r="AO76" s="7">
        <f t="shared" si="164"/>
        <v>0</v>
      </c>
      <c r="AP76" s="30">
        <f t="shared" si="165"/>
        <v>0</v>
      </c>
      <c r="AQ76" s="6"/>
      <c r="AR76" s="6"/>
      <c r="AS76" s="6"/>
      <c r="AT76" s="44">
        <f t="shared" si="166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7"/>
        <v>0</v>
      </c>
      <c r="BB76" s="5">
        <f t="shared" si="118"/>
        <v>0</v>
      </c>
      <c r="BC76" s="5">
        <f t="shared" si="119"/>
        <v>0</v>
      </c>
      <c r="BD76" s="5">
        <f t="shared" si="120"/>
        <v>0</v>
      </c>
      <c r="BE76" s="5">
        <f t="shared" si="121"/>
        <v>0</v>
      </c>
      <c r="BF76" s="5">
        <f t="shared" si="122"/>
        <v>0</v>
      </c>
      <c r="BG76" s="5">
        <f t="shared" si="123"/>
        <v>0</v>
      </c>
      <c r="BH76" s="5">
        <f t="shared" si="124"/>
        <v>0</v>
      </c>
      <c r="BI76" s="5">
        <f t="shared" si="125"/>
        <v>0</v>
      </c>
      <c r="BJ76" s="5">
        <f t="shared" si="126"/>
        <v>0</v>
      </c>
      <c r="BK76" s="5">
        <f t="shared" si="127"/>
        <v>0</v>
      </c>
      <c r="BL76" s="5">
        <f t="shared" si="128"/>
        <v>0</v>
      </c>
      <c r="BM76" s="5">
        <f t="shared" si="129"/>
        <v>0</v>
      </c>
      <c r="BN76" s="5">
        <f t="shared" si="130"/>
        <v>0</v>
      </c>
      <c r="BO76" s="5">
        <f t="shared" si="131"/>
        <v>0</v>
      </c>
      <c r="BP76" s="5">
        <f t="shared" si="132"/>
        <v>0</v>
      </c>
      <c r="BQ76" s="5">
        <f t="shared" si="133"/>
        <v>0</v>
      </c>
      <c r="BR76" s="5">
        <f t="shared" si="134"/>
        <v>0</v>
      </c>
      <c r="BS76" s="5">
        <f t="shared" si="135"/>
        <v>0</v>
      </c>
      <c r="BT76" s="5">
        <f t="shared" si="136"/>
        <v>0</v>
      </c>
      <c r="BU76" s="5">
        <f t="shared" si="137"/>
        <v>0</v>
      </c>
      <c r="BV76" s="5">
        <f t="shared" si="138"/>
        <v>0</v>
      </c>
      <c r="BW76" s="5">
        <f t="shared" si="139"/>
        <v>0</v>
      </c>
      <c r="BX76" s="5">
        <f t="shared" si="140"/>
        <v>0</v>
      </c>
      <c r="BY76" s="5">
        <f t="shared" si="115"/>
        <v>0</v>
      </c>
      <c r="BZ76" s="5">
        <f t="shared" si="141"/>
        <v>0</v>
      </c>
      <c r="CA76" s="5">
        <f t="shared" si="142"/>
        <v>0</v>
      </c>
      <c r="CB76" s="5">
        <f t="shared" si="143"/>
        <v>0</v>
      </c>
      <c r="CC76" s="5">
        <f t="shared" si="144"/>
        <v>0</v>
      </c>
      <c r="CD76" s="5">
        <f t="shared" si="145"/>
        <v>0</v>
      </c>
      <c r="CE76" s="5">
        <f t="shared" si="146"/>
        <v>0</v>
      </c>
      <c r="CF76" s="5">
        <f t="shared" si="147"/>
        <v>0</v>
      </c>
      <c r="CG76" s="5">
        <f t="shared" si="148"/>
        <v>0</v>
      </c>
      <c r="CH76" s="5">
        <f t="shared" si="149"/>
        <v>0</v>
      </c>
      <c r="CI76" s="5">
        <f t="shared" si="150"/>
        <v>0</v>
      </c>
      <c r="CJ76" s="5"/>
      <c r="CK76" s="4">
        <f t="shared" si="116"/>
        <v>0</v>
      </c>
    </row>
    <row r="77" spans="1:89" ht="38" customHeight="1">
      <c r="A77" s="33" t="str">
        <f t="shared" si="114"/>
        <v/>
      </c>
      <c r="B77" s="10"/>
      <c r="C77" s="87"/>
      <c r="D77" s="88"/>
      <c r="E77" s="88"/>
      <c r="F77" s="44">
        <f t="shared" si="151"/>
        <v>0</v>
      </c>
      <c r="G77" s="88"/>
      <c r="H77" s="88"/>
      <c r="I77" s="44">
        <f t="shared" si="152"/>
        <v>0</v>
      </c>
      <c r="J77" s="89"/>
      <c r="K77" s="90"/>
      <c r="L77" s="44">
        <f t="shared" si="153"/>
        <v>0</v>
      </c>
      <c r="M77" s="90"/>
      <c r="N77" s="90"/>
      <c r="O77" s="44">
        <f t="shared" si="154"/>
        <v>0</v>
      </c>
      <c r="P77" s="90"/>
      <c r="Q77" s="90"/>
      <c r="R77" s="44">
        <f t="shared" si="155"/>
        <v>0</v>
      </c>
      <c r="S77" s="90"/>
      <c r="T77" s="90"/>
      <c r="U77" s="44">
        <f t="shared" si="156"/>
        <v>0</v>
      </c>
      <c r="V77" s="90"/>
      <c r="W77" s="90"/>
      <c r="X77" s="44">
        <f t="shared" si="157"/>
        <v>0</v>
      </c>
      <c r="Y77" s="44"/>
      <c r="Z77" s="44"/>
      <c r="AA77" s="44"/>
      <c r="AB77" s="44">
        <f t="shared" si="158"/>
        <v>0</v>
      </c>
      <c r="AC77" s="23"/>
      <c r="AD77" s="6"/>
      <c r="AE77" s="7">
        <f t="shared" si="159"/>
        <v>0</v>
      </c>
      <c r="AF77" s="6"/>
      <c r="AG77" s="7">
        <f t="shared" si="160"/>
        <v>0</v>
      </c>
      <c r="AH77" s="6"/>
      <c r="AI77" s="7">
        <f t="shared" si="161"/>
        <v>0</v>
      </c>
      <c r="AJ77" s="6"/>
      <c r="AK77" s="7">
        <f t="shared" si="162"/>
        <v>0</v>
      </c>
      <c r="AL77" s="6"/>
      <c r="AM77" s="7">
        <f t="shared" si="163"/>
        <v>0</v>
      </c>
      <c r="AN77" s="6"/>
      <c r="AO77" s="7">
        <f t="shared" si="164"/>
        <v>0</v>
      </c>
      <c r="AP77" s="30">
        <f t="shared" si="165"/>
        <v>0</v>
      </c>
      <c r="AQ77" s="6"/>
      <c r="AR77" s="6"/>
      <c r="AS77" s="6"/>
      <c r="AT77" s="44">
        <f t="shared" si="166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7"/>
        <v>0</v>
      </c>
      <c r="BB77" s="5">
        <f t="shared" si="118"/>
        <v>0</v>
      </c>
      <c r="BC77" s="5">
        <f t="shared" si="119"/>
        <v>0</v>
      </c>
      <c r="BD77" s="5">
        <f t="shared" si="120"/>
        <v>0</v>
      </c>
      <c r="BE77" s="5">
        <f t="shared" si="121"/>
        <v>0</v>
      </c>
      <c r="BF77" s="5">
        <f t="shared" si="122"/>
        <v>0</v>
      </c>
      <c r="BG77" s="5">
        <f t="shared" si="123"/>
        <v>0</v>
      </c>
      <c r="BH77" s="5">
        <f t="shared" si="124"/>
        <v>0</v>
      </c>
      <c r="BI77" s="5">
        <f t="shared" si="125"/>
        <v>0</v>
      </c>
      <c r="BJ77" s="5">
        <f t="shared" si="126"/>
        <v>0</v>
      </c>
      <c r="BK77" s="5">
        <f t="shared" si="127"/>
        <v>0</v>
      </c>
      <c r="BL77" s="5">
        <f t="shared" si="128"/>
        <v>0</v>
      </c>
      <c r="BM77" s="5">
        <f t="shared" si="129"/>
        <v>0</v>
      </c>
      <c r="BN77" s="5">
        <f t="shared" si="130"/>
        <v>0</v>
      </c>
      <c r="BO77" s="5">
        <f t="shared" si="131"/>
        <v>0</v>
      </c>
      <c r="BP77" s="5">
        <f t="shared" si="132"/>
        <v>0</v>
      </c>
      <c r="BQ77" s="5">
        <f t="shared" si="133"/>
        <v>0</v>
      </c>
      <c r="BR77" s="5">
        <f t="shared" si="134"/>
        <v>0</v>
      </c>
      <c r="BS77" s="5">
        <f t="shared" si="135"/>
        <v>0</v>
      </c>
      <c r="BT77" s="5">
        <f t="shared" si="136"/>
        <v>0</v>
      </c>
      <c r="BU77" s="5">
        <f t="shared" si="137"/>
        <v>0</v>
      </c>
      <c r="BV77" s="5">
        <f t="shared" si="138"/>
        <v>0</v>
      </c>
      <c r="BW77" s="5">
        <f t="shared" si="139"/>
        <v>0</v>
      </c>
      <c r="BX77" s="5">
        <f t="shared" si="140"/>
        <v>0</v>
      </c>
      <c r="BY77" s="5">
        <f t="shared" si="115"/>
        <v>0</v>
      </c>
      <c r="BZ77" s="5">
        <f t="shared" si="141"/>
        <v>0</v>
      </c>
      <c r="CA77" s="5">
        <f t="shared" si="142"/>
        <v>0</v>
      </c>
      <c r="CB77" s="5">
        <f t="shared" si="143"/>
        <v>0</v>
      </c>
      <c r="CC77" s="5">
        <f t="shared" si="144"/>
        <v>0</v>
      </c>
      <c r="CD77" s="5">
        <f t="shared" si="145"/>
        <v>0</v>
      </c>
      <c r="CE77" s="5">
        <f t="shared" si="146"/>
        <v>0</v>
      </c>
      <c r="CF77" s="5">
        <f t="shared" si="147"/>
        <v>0</v>
      </c>
      <c r="CG77" s="5">
        <f t="shared" si="148"/>
        <v>0</v>
      </c>
      <c r="CH77" s="5">
        <f t="shared" si="149"/>
        <v>0</v>
      </c>
      <c r="CI77" s="5">
        <f t="shared" si="150"/>
        <v>0</v>
      </c>
      <c r="CJ77" s="5"/>
      <c r="CK77" s="4">
        <f t="shared" si="116"/>
        <v>0</v>
      </c>
    </row>
    <row r="78" spans="1:89" ht="38" customHeight="1">
      <c r="A78" s="33" t="str">
        <f t="shared" si="114"/>
        <v/>
      </c>
      <c r="B78" s="10"/>
      <c r="C78" s="87"/>
      <c r="D78" s="88"/>
      <c r="E78" s="88"/>
      <c r="F78" s="44">
        <f t="shared" si="151"/>
        <v>0</v>
      </c>
      <c r="G78" s="88"/>
      <c r="H78" s="88"/>
      <c r="I78" s="44">
        <f t="shared" si="152"/>
        <v>0</v>
      </c>
      <c r="J78" s="89"/>
      <c r="K78" s="90"/>
      <c r="L78" s="44">
        <f t="shared" si="153"/>
        <v>0</v>
      </c>
      <c r="M78" s="90"/>
      <c r="N78" s="90"/>
      <c r="O78" s="44">
        <f t="shared" si="154"/>
        <v>0</v>
      </c>
      <c r="P78" s="90"/>
      <c r="Q78" s="90"/>
      <c r="R78" s="44">
        <f t="shared" si="155"/>
        <v>0</v>
      </c>
      <c r="S78" s="90"/>
      <c r="T78" s="90"/>
      <c r="U78" s="44">
        <f t="shared" si="156"/>
        <v>0</v>
      </c>
      <c r="V78" s="90"/>
      <c r="W78" s="90"/>
      <c r="X78" s="44">
        <f t="shared" si="157"/>
        <v>0</v>
      </c>
      <c r="Y78" s="44"/>
      <c r="Z78" s="44"/>
      <c r="AA78" s="44"/>
      <c r="AB78" s="44">
        <f t="shared" si="158"/>
        <v>0</v>
      </c>
      <c r="AC78" s="23"/>
      <c r="AD78" s="6"/>
      <c r="AE78" s="7">
        <f t="shared" si="159"/>
        <v>0</v>
      </c>
      <c r="AF78" s="6"/>
      <c r="AG78" s="7">
        <f t="shared" si="160"/>
        <v>0</v>
      </c>
      <c r="AH78" s="6"/>
      <c r="AI78" s="7">
        <f t="shared" si="161"/>
        <v>0</v>
      </c>
      <c r="AJ78" s="6"/>
      <c r="AK78" s="7">
        <f t="shared" si="162"/>
        <v>0</v>
      </c>
      <c r="AL78" s="6"/>
      <c r="AM78" s="7">
        <f t="shared" si="163"/>
        <v>0</v>
      </c>
      <c r="AN78" s="6"/>
      <c r="AO78" s="7">
        <f t="shared" si="164"/>
        <v>0</v>
      </c>
      <c r="AP78" s="30">
        <f t="shared" si="165"/>
        <v>0</v>
      </c>
      <c r="AQ78" s="6"/>
      <c r="AR78" s="6"/>
      <c r="AS78" s="6"/>
      <c r="AT78" s="44">
        <f t="shared" si="166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7"/>
        <v>0</v>
      </c>
      <c r="BB78" s="5">
        <f t="shared" si="118"/>
        <v>0</v>
      </c>
      <c r="BC78" s="5">
        <f t="shared" si="119"/>
        <v>0</v>
      </c>
      <c r="BD78" s="5">
        <f t="shared" si="120"/>
        <v>0</v>
      </c>
      <c r="BE78" s="5">
        <f t="shared" si="121"/>
        <v>0</v>
      </c>
      <c r="BF78" s="5">
        <f t="shared" si="122"/>
        <v>0</v>
      </c>
      <c r="BG78" s="5">
        <f t="shared" si="123"/>
        <v>0</v>
      </c>
      <c r="BH78" s="5">
        <f t="shared" si="124"/>
        <v>0</v>
      </c>
      <c r="BI78" s="5">
        <f t="shared" si="125"/>
        <v>0</v>
      </c>
      <c r="BJ78" s="5">
        <f t="shared" si="126"/>
        <v>0</v>
      </c>
      <c r="BK78" s="5">
        <f t="shared" si="127"/>
        <v>0</v>
      </c>
      <c r="BL78" s="5">
        <f t="shared" si="128"/>
        <v>0</v>
      </c>
      <c r="BM78" s="5">
        <f t="shared" si="129"/>
        <v>0</v>
      </c>
      <c r="BN78" s="5">
        <f t="shared" si="130"/>
        <v>0</v>
      </c>
      <c r="BO78" s="5">
        <f t="shared" si="131"/>
        <v>0</v>
      </c>
      <c r="BP78" s="5">
        <f t="shared" si="132"/>
        <v>0</v>
      </c>
      <c r="BQ78" s="5">
        <f t="shared" si="133"/>
        <v>0</v>
      </c>
      <c r="BR78" s="5">
        <f t="shared" si="134"/>
        <v>0</v>
      </c>
      <c r="BS78" s="5">
        <f t="shared" si="135"/>
        <v>0</v>
      </c>
      <c r="BT78" s="5">
        <f t="shared" si="136"/>
        <v>0</v>
      </c>
      <c r="BU78" s="5">
        <f t="shared" si="137"/>
        <v>0</v>
      </c>
      <c r="BV78" s="5">
        <f t="shared" si="138"/>
        <v>0</v>
      </c>
      <c r="BW78" s="5">
        <f t="shared" si="139"/>
        <v>0</v>
      </c>
      <c r="BX78" s="5">
        <f t="shared" si="140"/>
        <v>0</v>
      </c>
      <c r="BY78" s="5">
        <f t="shared" si="115"/>
        <v>0</v>
      </c>
      <c r="BZ78" s="5">
        <f t="shared" si="141"/>
        <v>0</v>
      </c>
      <c r="CA78" s="5">
        <f t="shared" si="142"/>
        <v>0</v>
      </c>
      <c r="CB78" s="5">
        <f t="shared" si="143"/>
        <v>0</v>
      </c>
      <c r="CC78" s="5">
        <f t="shared" si="144"/>
        <v>0</v>
      </c>
      <c r="CD78" s="5">
        <f t="shared" si="145"/>
        <v>0</v>
      </c>
      <c r="CE78" s="5">
        <f t="shared" si="146"/>
        <v>0</v>
      </c>
      <c r="CF78" s="5">
        <f t="shared" si="147"/>
        <v>0</v>
      </c>
      <c r="CG78" s="5">
        <f t="shared" si="148"/>
        <v>0</v>
      </c>
      <c r="CH78" s="5">
        <f t="shared" si="149"/>
        <v>0</v>
      </c>
      <c r="CI78" s="5">
        <f t="shared" si="150"/>
        <v>0</v>
      </c>
      <c r="CJ78" s="5"/>
      <c r="CK78" s="4">
        <f t="shared" si="116"/>
        <v>0</v>
      </c>
    </row>
    <row r="79" spans="1:89" ht="38" customHeight="1">
      <c r="A79" s="33" t="str">
        <f t="shared" si="114"/>
        <v/>
      </c>
      <c r="B79" s="10"/>
      <c r="C79" s="87"/>
      <c r="D79" s="88"/>
      <c r="E79" s="88"/>
      <c r="F79" s="44">
        <f t="shared" si="151"/>
        <v>0</v>
      </c>
      <c r="G79" s="88"/>
      <c r="H79" s="88"/>
      <c r="I79" s="44">
        <f t="shared" si="152"/>
        <v>0</v>
      </c>
      <c r="J79" s="89"/>
      <c r="K79" s="90"/>
      <c r="L79" s="44">
        <f t="shared" si="153"/>
        <v>0</v>
      </c>
      <c r="M79" s="90"/>
      <c r="N79" s="90"/>
      <c r="O79" s="44">
        <f t="shared" si="154"/>
        <v>0</v>
      </c>
      <c r="P79" s="90"/>
      <c r="Q79" s="90"/>
      <c r="R79" s="44">
        <f t="shared" si="155"/>
        <v>0</v>
      </c>
      <c r="S79" s="90"/>
      <c r="T79" s="90"/>
      <c r="U79" s="44">
        <f t="shared" si="156"/>
        <v>0</v>
      </c>
      <c r="V79" s="90"/>
      <c r="W79" s="90"/>
      <c r="X79" s="44">
        <f t="shared" si="157"/>
        <v>0</v>
      </c>
      <c r="Y79" s="44"/>
      <c r="Z79" s="44"/>
      <c r="AA79" s="44"/>
      <c r="AB79" s="44">
        <f t="shared" si="158"/>
        <v>0</v>
      </c>
      <c r="AC79" s="23"/>
      <c r="AD79" s="6"/>
      <c r="AE79" s="7">
        <f t="shared" si="159"/>
        <v>0</v>
      </c>
      <c r="AF79" s="6"/>
      <c r="AG79" s="7">
        <f t="shared" si="160"/>
        <v>0</v>
      </c>
      <c r="AH79" s="6"/>
      <c r="AI79" s="7">
        <f t="shared" si="161"/>
        <v>0</v>
      </c>
      <c r="AJ79" s="6"/>
      <c r="AK79" s="7">
        <f t="shared" si="162"/>
        <v>0</v>
      </c>
      <c r="AL79" s="6"/>
      <c r="AM79" s="7">
        <f t="shared" si="163"/>
        <v>0</v>
      </c>
      <c r="AN79" s="6"/>
      <c r="AO79" s="7">
        <f t="shared" si="164"/>
        <v>0</v>
      </c>
      <c r="AP79" s="30">
        <f t="shared" si="165"/>
        <v>0</v>
      </c>
      <c r="AQ79" s="6"/>
      <c r="AR79" s="6"/>
      <c r="AS79" s="6"/>
      <c r="AT79" s="44">
        <f t="shared" si="166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7"/>
        <v>0</v>
      </c>
      <c r="BB79" s="5">
        <f t="shared" si="118"/>
        <v>0</v>
      </c>
      <c r="BC79" s="5">
        <f t="shared" si="119"/>
        <v>0</v>
      </c>
      <c r="BD79" s="5">
        <f t="shared" si="120"/>
        <v>0</v>
      </c>
      <c r="BE79" s="5">
        <f t="shared" si="121"/>
        <v>0</v>
      </c>
      <c r="BF79" s="5">
        <f t="shared" si="122"/>
        <v>0</v>
      </c>
      <c r="BG79" s="5">
        <f t="shared" si="123"/>
        <v>0</v>
      </c>
      <c r="BH79" s="5">
        <f t="shared" si="124"/>
        <v>0</v>
      </c>
      <c r="BI79" s="5">
        <f t="shared" si="125"/>
        <v>0</v>
      </c>
      <c r="BJ79" s="5">
        <f t="shared" si="126"/>
        <v>0</v>
      </c>
      <c r="BK79" s="5">
        <f t="shared" si="127"/>
        <v>0</v>
      </c>
      <c r="BL79" s="5">
        <f t="shared" si="128"/>
        <v>0</v>
      </c>
      <c r="BM79" s="5">
        <f t="shared" si="129"/>
        <v>0</v>
      </c>
      <c r="BN79" s="5">
        <f t="shared" si="130"/>
        <v>0</v>
      </c>
      <c r="BO79" s="5">
        <f t="shared" si="131"/>
        <v>0</v>
      </c>
      <c r="BP79" s="5">
        <f t="shared" si="132"/>
        <v>0</v>
      </c>
      <c r="BQ79" s="5">
        <f t="shared" si="133"/>
        <v>0</v>
      </c>
      <c r="BR79" s="5">
        <f t="shared" si="134"/>
        <v>0</v>
      </c>
      <c r="BS79" s="5">
        <f t="shared" si="135"/>
        <v>0</v>
      </c>
      <c r="BT79" s="5">
        <f t="shared" si="136"/>
        <v>0</v>
      </c>
      <c r="BU79" s="5">
        <f t="shared" si="137"/>
        <v>0</v>
      </c>
      <c r="BV79" s="5">
        <f t="shared" si="138"/>
        <v>0</v>
      </c>
      <c r="BW79" s="5">
        <f t="shared" si="139"/>
        <v>0</v>
      </c>
      <c r="BX79" s="5">
        <f t="shared" si="140"/>
        <v>0</v>
      </c>
      <c r="BY79" s="5">
        <f t="shared" si="115"/>
        <v>0</v>
      </c>
      <c r="BZ79" s="5">
        <f t="shared" si="141"/>
        <v>0</v>
      </c>
      <c r="CA79" s="5">
        <f t="shared" si="142"/>
        <v>0</v>
      </c>
      <c r="CB79" s="5">
        <f t="shared" si="143"/>
        <v>0</v>
      </c>
      <c r="CC79" s="5">
        <f t="shared" si="144"/>
        <v>0</v>
      </c>
      <c r="CD79" s="5">
        <f t="shared" si="145"/>
        <v>0</v>
      </c>
      <c r="CE79" s="5">
        <f t="shared" si="146"/>
        <v>0</v>
      </c>
      <c r="CF79" s="5">
        <f t="shared" si="147"/>
        <v>0</v>
      </c>
      <c r="CG79" s="5">
        <f t="shared" si="148"/>
        <v>0</v>
      </c>
      <c r="CH79" s="5">
        <f t="shared" si="149"/>
        <v>0</v>
      </c>
      <c r="CI79" s="5">
        <f t="shared" si="150"/>
        <v>0</v>
      </c>
      <c r="CJ79" s="5"/>
      <c r="CK79" s="4">
        <f t="shared" si="116"/>
        <v>0</v>
      </c>
    </row>
    <row r="80" spans="1:89" ht="38" customHeight="1">
      <c r="A80" s="33" t="str">
        <f t="shared" si="114"/>
        <v/>
      </c>
      <c r="B80" s="10"/>
      <c r="C80" s="87"/>
      <c r="D80" s="88"/>
      <c r="E80" s="88"/>
      <c r="F80" s="44">
        <f t="shared" si="151"/>
        <v>0</v>
      </c>
      <c r="G80" s="88"/>
      <c r="H80" s="88"/>
      <c r="I80" s="44">
        <f t="shared" si="152"/>
        <v>0</v>
      </c>
      <c r="J80" s="89"/>
      <c r="K80" s="90"/>
      <c r="L80" s="44">
        <f t="shared" si="153"/>
        <v>0</v>
      </c>
      <c r="M80" s="90"/>
      <c r="N80" s="90"/>
      <c r="O80" s="44">
        <f t="shared" si="154"/>
        <v>0</v>
      </c>
      <c r="P80" s="90"/>
      <c r="Q80" s="90"/>
      <c r="R80" s="44">
        <f t="shared" si="155"/>
        <v>0</v>
      </c>
      <c r="S80" s="90"/>
      <c r="T80" s="90"/>
      <c r="U80" s="44">
        <f t="shared" si="156"/>
        <v>0</v>
      </c>
      <c r="V80" s="90"/>
      <c r="W80" s="90"/>
      <c r="X80" s="44">
        <f t="shared" si="157"/>
        <v>0</v>
      </c>
      <c r="Y80" s="44"/>
      <c r="Z80" s="44"/>
      <c r="AA80" s="44"/>
      <c r="AB80" s="44">
        <f t="shared" si="158"/>
        <v>0</v>
      </c>
      <c r="AC80" s="23"/>
      <c r="AD80" s="6"/>
      <c r="AE80" s="7">
        <f t="shared" si="159"/>
        <v>0</v>
      </c>
      <c r="AF80" s="6"/>
      <c r="AG80" s="7">
        <f t="shared" si="160"/>
        <v>0</v>
      </c>
      <c r="AH80" s="6"/>
      <c r="AI80" s="7">
        <f t="shared" si="161"/>
        <v>0</v>
      </c>
      <c r="AJ80" s="6"/>
      <c r="AK80" s="7">
        <f t="shared" si="162"/>
        <v>0</v>
      </c>
      <c r="AL80" s="6"/>
      <c r="AM80" s="7">
        <f t="shared" si="163"/>
        <v>0</v>
      </c>
      <c r="AN80" s="6"/>
      <c r="AO80" s="7">
        <f t="shared" si="164"/>
        <v>0</v>
      </c>
      <c r="AP80" s="30">
        <f t="shared" si="165"/>
        <v>0</v>
      </c>
      <c r="AQ80" s="6"/>
      <c r="AR80" s="6"/>
      <c r="AS80" s="6"/>
      <c r="AT80" s="44">
        <f t="shared" si="166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7"/>
        <v>0</v>
      </c>
      <c r="BB80" s="5">
        <f t="shared" si="118"/>
        <v>0</v>
      </c>
      <c r="BC80" s="5">
        <f t="shared" si="119"/>
        <v>0</v>
      </c>
      <c r="BD80" s="5">
        <f t="shared" si="120"/>
        <v>0</v>
      </c>
      <c r="BE80" s="5">
        <f t="shared" si="121"/>
        <v>0</v>
      </c>
      <c r="BF80" s="5">
        <f t="shared" si="122"/>
        <v>0</v>
      </c>
      <c r="BG80" s="5">
        <f t="shared" si="123"/>
        <v>0</v>
      </c>
      <c r="BH80" s="5">
        <f t="shared" si="124"/>
        <v>0</v>
      </c>
      <c r="BI80" s="5">
        <f t="shared" si="125"/>
        <v>0</v>
      </c>
      <c r="BJ80" s="5">
        <f t="shared" si="126"/>
        <v>0</v>
      </c>
      <c r="BK80" s="5">
        <f t="shared" si="127"/>
        <v>0</v>
      </c>
      <c r="BL80" s="5">
        <f t="shared" si="128"/>
        <v>0</v>
      </c>
      <c r="BM80" s="5">
        <f t="shared" si="129"/>
        <v>0</v>
      </c>
      <c r="BN80" s="5">
        <f t="shared" si="130"/>
        <v>0</v>
      </c>
      <c r="BO80" s="5">
        <f t="shared" si="131"/>
        <v>0</v>
      </c>
      <c r="BP80" s="5">
        <f t="shared" si="132"/>
        <v>0</v>
      </c>
      <c r="BQ80" s="5">
        <f t="shared" si="133"/>
        <v>0</v>
      </c>
      <c r="BR80" s="5">
        <f t="shared" si="134"/>
        <v>0</v>
      </c>
      <c r="BS80" s="5">
        <f t="shared" si="135"/>
        <v>0</v>
      </c>
      <c r="BT80" s="5">
        <f t="shared" si="136"/>
        <v>0</v>
      </c>
      <c r="BU80" s="5">
        <f t="shared" si="137"/>
        <v>0</v>
      </c>
      <c r="BV80" s="5">
        <f t="shared" si="138"/>
        <v>0</v>
      </c>
      <c r="BW80" s="5">
        <f t="shared" si="139"/>
        <v>0</v>
      </c>
      <c r="BX80" s="5">
        <f t="shared" si="140"/>
        <v>0</v>
      </c>
      <c r="BY80" s="5">
        <f t="shared" si="115"/>
        <v>0</v>
      </c>
      <c r="BZ80" s="5">
        <f t="shared" si="141"/>
        <v>0</v>
      </c>
      <c r="CA80" s="5">
        <f t="shared" si="142"/>
        <v>0</v>
      </c>
      <c r="CB80" s="5">
        <f t="shared" si="143"/>
        <v>0</v>
      </c>
      <c r="CC80" s="5">
        <f t="shared" si="144"/>
        <v>0</v>
      </c>
      <c r="CD80" s="5">
        <f t="shared" si="145"/>
        <v>0</v>
      </c>
      <c r="CE80" s="5">
        <f t="shared" si="146"/>
        <v>0</v>
      </c>
      <c r="CF80" s="5">
        <f t="shared" si="147"/>
        <v>0</v>
      </c>
      <c r="CG80" s="5">
        <f t="shared" si="148"/>
        <v>0</v>
      </c>
      <c r="CH80" s="5">
        <f t="shared" si="149"/>
        <v>0</v>
      </c>
      <c r="CI80" s="5">
        <f t="shared" si="150"/>
        <v>0</v>
      </c>
      <c r="CJ80" s="5"/>
      <c r="CK80" s="4">
        <f t="shared" si="116"/>
        <v>0</v>
      </c>
    </row>
    <row r="81" spans="1:89" ht="38" customHeight="1">
      <c r="A81" s="33" t="str">
        <f t="shared" si="114"/>
        <v/>
      </c>
      <c r="B81" s="10"/>
      <c r="C81" s="87"/>
      <c r="D81" s="88"/>
      <c r="E81" s="88"/>
      <c r="F81" s="44">
        <f t="shared" si="151"/>
        <v>0</v>
      </c>
      <c r="G81" s="88"/>
      <c r="H81" s="88"/>
      <c r="I81" s="44">
        <f t="shared" si="152"/>
        <v>0</v>
      </c>
      <c r="J81" s="89"/>
      <c r="K81" s="90"/>
      <c r="L81" s="44">
        <f t="shared" si="153"/>
        <v>0</v>
      </c>
      <c r="M81" s="90"/>
      <c r="N81" s="90"/>
      <c r="O81" s="44">
        <f t="shared" si="154"/>
        <v>0</v>
      </c>
      <c r="P81" s="90"/>
      <c r="Q81" s="90"/>
      <c r="R81" s="44">
        <f t="shared" si="155"/>
        <v>0</v>
      </c>
      <c r="S81" s="90"/>
      <c r="T81" s="90"/>
      <c r="U81" s="44">
        <f t="shared" si="156"/>
        <v>0</v>
      </c>
      <c r="V81" s="90"/>
      <c r="W81" s="90"/>
      <c r="X81" s="44">
        <f t="shared" si="157"/>
        <v>0</v>
      </c>
      <c r="Y81" s="44"/>
      <c r="Z81" s="44"/>
      <c r="AA81" s="44"/>
      <c r="AB81" s="44">
        <f t="shared" si="158"/>
        <v>0</v>
      </c>
      <c r="AC81" s="23"/>
      <c r="AD81" s="6"/>
      <c r="AE81" s="7">
        <f t="shared" si="159"/>
        <v>0</v>
      </c>
      <c r="AF81" s="6"/>
      <c r="AG81" s="7">
        <f t="shared" si="160"/>
        <v>0</v>
      </c>
      <c r="AH81" s="6"/>
      <c r="AI81" s="7">
        <f t="shared" si="161"/>
        <v>0</v>
      </c>
      <c r="AJ81" s="6"/>
      <c r="AK81" s="7">
        <f t="shared" si="162"/>
        <v>0</v>
      </c>
      <c r="AL81" s="6"/>
      <c r="AM81" s="7">
        <f t="shared" si="163"/>
        <v>0</v>
      </c>
      <c r="AN81" s="6"/>
      <c r="AO81" s="7">
        <f t="shared" si="164"/>
        <v>0</v>
      </c>
      <c r="AP81" s="30">
        <f t="shared" si="165"/>
        <v>0</v>
      </c>
      <c r="AQ81" s="6"/>
      <c r="AR81" s="6"/>
      <c r="AS81" s="6"/>
      <c r="AT81" s="44">
        <f t="shared" si="166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7"/>
        <v>0</v>
      </c>
      <c r="BB81" s="5">
        <f t="shared" si="118"/>
        <v>0</v>
      </c>
      <c r="BC81" s="5">
        <f t="shared" si="119"/>
        <v>0</v>
      </c>
      <c r="BD81" s="5">
        <f t="shared" si="120"/>
        <v>0</v>
      </c>
      <c r="BE81" s="5">
        <f t="shared" si="121"/>
        <v>0</v>
      </c>
      <c r="BF81" s="5">
        <f t="shared" si="122"/>
        <v>0</v>
      </c>
      <c r="BG81" s="5">
        <f t="shared" si="123"/>
        <v>0</v>
      </c>
      <c r="BH81" s="5">
        <f t="shared" si="124"/>
        <v>0</v>
      </c>
      <c r="BI81" s="5">
        <f t="shared" si="125"/>
        <v>0</v>
      </c>
      <c r="BJ81" s="5">
        <f t="shared" si="126"/>
        <v>0</v>
      </c>
      <c r="BK81" s="5">
        <f t="shared" si="127"/>
        <v>0</v>
      </c>
      <c r="BL81" s="5">
        <f t="shared" si="128"/>
        <v>0</v>
      </c>
      <c r="BM81" s="5">
        <f t="shared" si="129"/>
        <v>0</v>
      </c>
      <c r="BN81" s="5">
        <f t="shared" si="130"/>
        <v>0</v>
      </c>
      <c r="BO81" s="5">
        <f t="shared" si="131"/>
        <v>0</v>
      </c>
      <c r="BP81" s="5">
        <f t="shared" si="132"/>
        <v>0</v>
      </c>
      <c r="BQ81" s="5">
        <f t="shared" si="133"/>
        <v>0</v>
      </c>
      <c r="BR81" s="5">
        <f t="shared" si="134"/>
        <v>0</v>
      </c>
      <c r="BS81" s="5">
        <f t="shared" si="135"/>
        <v>0</v>
      </c>
      <c r="BT81" s="5">
        <f t="shared" si="136"/>
        <v>0</v>
      </c>
      <c r="BU81" s="5">
        <f t="shared" si="137"/>
        <v>0</v>
      </c>
      <c r="BV81" s="5">
        <f t="shared" si="138"/>
        <v>0</v>
      </c>
      <c r="BW81" s="5">
        <f t="shared" si="139"/>
        <v>0</v>
      </c>
      <c r="BX81" s="5">
        <f t="shared" si="140"/>
        <v>0</v>
      </c>
      <c r="BY81" s="5">
        <f t="shared" si="115"/>
        <v>0</v>
      </c>
      <c r="BZ81" s="5">
        <f t="shared" si="141"/>
        <v>0</v>
      </c>
      <c r="CA81" s="5">
        <f t="shared" si="142"/>
        <v>0</v>
      </c>
      <c r="CB81" s="5">
        <f t="shared" si="143"/>
        <v>0</v>
      </c>
      <c r="CC81" s="5">
        <f t="shared" si="144"/>
        <v>0</v>
      </c>
      <c r="CD81" s="5">
        <f t="shared" si="145"/>
        <v>0</v>
      </c>
      <c r="CE81" s="5">
        <f t="shared" si="146"/>
        <v>0</v>
      </c>
      <c r="CF81" s="5">
        <f t="shared" si="147"/>
        <v>0</v>
      </c>
      <c r="CG81" s="5">
        <f t="shared" si="148"/>
        <v>0</v>
      </c>
      <c r="CH81" s="5">
        <f t="shared" si="149"/>
        <v>0</v>
      </c>
      <c r="CI81" s="5">
        <f t="shared" si="150"/>
        <v>0</v>
      </c>
      <c r="CJ81" s="5"/>
      <c r="CK81" s="4">
        <f t="shared" si="116"/>
        <v>0</v>
      </c>
    </row>
    <row r="82" spans="1:89" ht="38" customHeight="1">
      <c r="A82" s="33" t="str">
        <f t="shared" si="114"/>
        <v/>
      </c>
      <c r="B82" s="10"/>
      <c r="C82" s="87"/>
      <c r="D82" s="88"/>
      <c r="E82" s="88"/>
      <c r="F82" s="44">
        <f t="shared" si="151"/>
        <v>0</v>
      </c>
      <c r="G82" s="88"/>
      <c r="H82" s="88"/>
      <c r="I82" s="44">
        <f t="shared" si="152"/>
        <v>0</v>
      </c>
      <c r="J82" s="89"/>
      <c r="K82" s="90"/>
      <c r="L82" s="44">
        <f t="shared" si="153"/>
        <v>0</v>
      </c>
      <c r="M82" s="90"/>
      <c r="N82" s="90"/>
      <c r="O82" s="44">
        <f t="shared" si="154"/>
        <v>0</v>
      </c>
      <c r="P82" s="90"/>
      <c r="Q82" s="90"/>
      <c r="R82" s="44">
        <f t="shared" si="155"/>
        <v>0</v>
      </c>
      <c r="S82" s="90"/>
      <c r="T82" s="90"/>
      <c r="U82" s="44">
        <f t="shared" si="156"/>
        <v>0</v>
      </c>
      <c r="V82" s="90"/>
      <c r="W82" s="90"/>
      <c r="X82" s="44">
        <f t="shared" si="157"/>
        <v>0</v>
      </c>
      <c r="Y82" s="44"/>
      <c r="Z82" s="44"/>
      <c r="AA82" s="44"/>
      <c r="AB82" s="44">
        <f t="shared" si="158"/>
        <v>0</v>
      </c>
      <c r="AC82" s="23"/>
      <c r="AD82" s="6"/>
      <c r="AE82" s="7">
        <f t="shared" si="159"/>
        <v>0</v>
      </c>
      <c r="AF82" s="6"/>
      <c r="AG82" s="7">
        <f t="shared" si="160"/>
        <v>0</v>
      </c>
      <c r="AH82" s="6"/>
      <c r="AI82" s="7">
        <f t="shared" si="161"/>
        <v>0</v>
      </c>
      <c r="AJ82" s="6"/>
      <c r="AK82" s="7">
        <f t="shared" si="162"/>
        <v>0</v>
      </c>
      <c r="AL82" s="6"/>
      <c r="AM82" s="7">
        <f t="shared" si="163"/>
        <v>0</v>
      </c>
      <c r="AN82" s="6"/>
      <c r="AO82" s="7">
        <f t="shared" si="164"/>
        <v>0</v>
      </c>
      <c r="AP82" s="30">
        <f t="shared" si="165"/>
        <v>0</v>
      </c>
      <c r="AQ82" s="6"/>
      <c r="AR82" s="6"/>
      <c r="AS82" s="6"/>
      <c r="AT82" s="44">
        <f t="shared" si="166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7"/>
        <v>0</v>
      </c>
      <c r="BB82" s="5">
        <f t="shared" si="118"/>
        <v>0</v>
      </c>
      <c r="BC82" s="5">
        <f t="shared" si="119"/>
        <v>0</v>
      </c>
      <c r="BD82" s="5">
        <f t="shared" si="120"/>
        <v>0</v>
      </c>
      <c r="BE82" s="5">
        <f t="shared" si="121"/>
        <v>0</v>
      </c>
      <c r="BF82" s="5">
        <f t="shared" si="122"/>
        <v>0</v>
      </c>
      <c r="BG82" s="5">
        <f t="shared" si="123"/>
        <v>0</v>
      </c>
      <c r="BH82" s="5">
        <f t="shared" si="124"/>
        <v>0</v>
      </c>
      <c r="BI82" s="5">
        <f t="shared" si="125"/>
        <v>0</v>
      </c>
      <c r="BJ82" s="5">
        <f t="shared" si="126"/>
        <v>0</v>
      </c>
      <c r="BK82" s="5">
        <f t="shared" si="127"/>
        <v>0</v>
      </c>
      <c r="BL82" s="5">
        <f t="shared" si="128"/>
        <v>0</v>
      </c>
      <c r="BM82" s="5">
        <f t="shared" si="129"/>
        <v>0</v>
      </c>
      <c r="BN82" s="5">
        <f t="shared" si="130"/>
        <v>0</v>
      </c>
      <c r="BO82" s="5">
        <f t="shared" si="131"/>
        <v>0</v>
      </c>
      <c r="BP82" s="5">
        <f t="shared" si="132"/>
        <v>0</v>
      </c>
      <c r="BQ82" s="5">
        <f t="shared" si="133"/>
        <v>0</v>
      </c>
      <c r="BR82" s="5">
        <f t="shared" si="134"/>
        <v>0</v>
      </c>
      <c r="BS82" s="5">
        <f t="shared" si="135"/>
        <v>0</v>
      </c>
      <c r="BT82" s="5">
        <f t="shared" si="136"/>
        <v>0</v>
      </c>
      <c r="BU82" s="5">
        <f t="shared" si="137"/>
        <v>0</v>
      </c>
      <c r="BV82" s="5">
        <f t="shared" si="138"/>
        <v>0</v>
      </c>
      <c r="BW82" s="5">
        <f t="shared" si="139"/>
        <v>0</v>
      </c>
      <c r="BX82" s="5">
        <f t="shared" si="140"/>
        <v>0</v>
      </c>
      <c r="BY82" s="5">
        <f t="shared" si="115"/>
        <v>0</v>
      </c>
      <c r="BZ82" s="5">
        <f t="shared" si="141"/>
        <v>0</v>
      </c>
      <c r="CA82" s="5">
        <f t="shared" si="142"/>
        <v>0</v>
      </c>
      <c r="CB82" s="5">
        <f t="shared" si="143"/>
        <v>0</v>
      </c>
      <c r="CC82" s="5">
        <f t="shared" si="144"/>
        <v>0</v>
      </c>
      <c r="CD82" s="5">
        <f t="shared" si="145"/>
        <v>0</v>
      </c>
      <c r="CE82" s="5">
        <f t="shared" si="146"/>
        <v>0</v>
      </c>
      <c r="CF82" s="5">
        <f t="shared" si="147"/>
        <v>0</v>
      </c>
      <c r="CG82" s="5">
        <f t="shared" si="148"/>
        <v>0</v>
      </c>
      <c r="CH82" s="5">
        <f t="shared" si="149"/>
        <v>0</v>
      </c>
      <c r="CI82" s="5">
        <f t="shared" si="150"/>
        <v>0</v>
      </c>
      <c r="CJ82" s="5"/>
      <c r="CK82" s="4">
        <f t="shared" si="116"/>
        <v>0</v>
      </c>
    </row>
    <row r="83" spans="1:89" ht="38" customHeight="1">
      <c r="A83" s="33" t="str">
        <f t="shared" si="114"/>
        <v/>
      </c>
      <c r="B83" s="10"/>
      <c r="C83" s="87"/>
      <c r="D83" s="88"/>
      <c r="E83" s="88"/>
      <c r="F83" s="44">
        <f t="shared" si="151"/>
        <v>0</v>
      </c>
      <c r="G83" s="88"/>
      <c r="H83" s="88"/>
      <c r="I83" s="44">
        <f t="shared" si="152"/>
        <v>0</v>
      </c>
      <c r="J83" s="89"/>
      <c r="K83" s="90"/>
      <c r="L83" s="44">
        <f t="shared" si="153"/>
        <v>0</v>
      </c>
      <c r="M83" s="90"/>
      <c r="N83" s="90"/>
      <c r="O83" s="44">
        <f t="shared" si="154"/>
        <v>0</v>
      </c>
      <c r="P83" s="90"/>
      <c r="Q83" s="90"/>
      <c r="R83" s="44">
        <f t="shared" si="155"/>
        <v>0</v>
      </c>
      <c r="S83" s="90"/>
      <c r="T83" s="90"/>
      <c r="U83" s="44">
        <f t="shared" si="156"/>
        <v>0</v>
      </c>
      <c r="V83" s="90"/>
      <c r="W83" s="90"/>
      <c r="X83" s="44">
        <f t="shared" si="157"/>
        <v>0</v>
      </c>
      <c r="Y83" s="44"/>
      <c r="Z83" s="44"/>
      <c r="AA83" s="44"/>
      <c r="AB83" s="44">
        <f t="shared" si="158"/>
        <v>0</v>
      </c>
      <c r="AC83" s="23"/>
      <c r="AD83" s="6"/>
      <c r="AE83" s="7">
        <f t="shared" si="159"/>
        <v>0</v>
      </c>
      <c r="AF83" s="6"/>
      <c r="AG83" s="7">
        <f t="shared" si="160"/>
        <v>0</v>
      </c>
      <c r="AH83" s="6"/>
      <c r="AI83" s="7">
        <f t="shared" si="161"/>
        <v>0</v>
      </c>
      <c r="AJ83" s="6"/>
      <c r="AK83" s="7">
        <f t="shared" si="162"/>
        <v>0</v>
      </c>
      <c r="AL83" s="6"/>
      <c r="AM83" s="7">
        <f t="shared" si="163"/>
        <v>0</v>
      </c>
      <c r="AN83" s="6"/>
      <c r="AO83" s="7">
        <f t="shared" si="164"/>
        <v>0</v>
      </c>
      <c r="AP83" s="30">
        <f t="shared" si="165"/>
        <v>0</v>
      </c>
      <c r="AQ83" s="6"/>
      <c r="AR83" s="6"/>
      <c r="AS83" s="6"/>
      <c r="AT83" s="44">
        <f t="shared" si="166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7"/>
        <v>0</v>
      </c>
      <c r="BB83" s="5">
        <f t="shared" si="118"/>
        <v>0</v>
      </c>
      <c r="BC83" s="5">
        <f t="shared" si="119"/>
        <v>0</v>
      </c>
      <c r="BD83" s="5">
        <f t="shared" si="120"/>
        <v>0</v>
      </c>
      <c r="BE83" s="5">
        <f t="shared" si="121"/>
        <v>0</v>
      </c>
      <c r="BF83" s="5">
        <f t="shared" si="122"/>
        <v>0</v>
      </c>
      <c r="BG83" s="5">
        <f t="shared" si="123"/>
        <v>0</v>
      </c>
      <c r="BH83" s="5">
        <f t="shared" si="124"/>
        <v>0</v>
      </c>
      <c r="BI83" s="5">
        <f t="shared" si="125"/>
        <v>0</v>
      </c>
      <c r="BJ83" s="5">
        <f t="shared" si="126"/>
        <v>0</v>
      </c>
      <c r="BK83" s="5">
        <f t="shared" si="127"/>
        <v>0</v>
      </c>
      <c r="BL83" s="5">
        <f t="shared" si="128"/>
        <v>0</v>
      </c>
      <c r="BM83" s="5">
        <f t="shared" si="129"/>
        <v>0</v>
      </c>
      <c r="BN83" s="5">
        <f t="shared" si="130"/>
        <v>0</v>
      </c>
      <c r="BO83" s="5">
        <f t="shared" si="131"/>
        <v>0</v>
      </c>
      <c r="BP83" s="5">
        <f t="shared" si="132"/>
        <v>0</v>
      </c>
      <c r="BQ83" s="5">
        <f t="shared" si="133"/>
        <v>0</v>
      </c>
      <c r="BR83" s="5">
        <f t="shared" si="134"/>
        <v>0</v>
      </c>
      <c r="BS83" s="5">
        <f t="shared" si="135"/>
        <v>0</v>
      </c>
      <c r="BT83" s="5">
        <f t="shared" si="136"/>
        <v>0</v>
      </c>
      <c r="BU83" s="5">
        <f t="shared" si="137"/>
        <v>0</v>
      </c>
      <c r="BV83" s="5">
        <f t="shared" si="138"/>
        <v>0</v>
      </c>
      <c r="BW83" s="5">
        <f t="shared" si="139"/>
        <v>0</v>
      </c>
      <c r="BX83" s="5">
        <f t="shared" si="140"/>
        <v>0</v>
      </c>
      <c r="BY83" s="5">
        <f t="shared" si="115"/>
        <v>0</v>
      </c>
      <c r="BZ83" s="5">
        <f t="shared" si="141"/>
        <v>0</v>
      </c>
      <c r="CA83" s="5">
        <f t="shared" si="142"/>
        <v>0</v>
      </c>
      <c r="CB83" s="5">
        <f t="shared" si="143"/>
        <v>0</v>
      </c>
      <c r="CC83" s="5">
        <f t="shared" si="144"/>
        <v>0</v>
      </c>
      <c r="CD83" s="5">
        <f t="shared" si="145"/>
        <v>0</v>
      </c>
      <c r="CE83" s="5">
        <f t="shared" si="146"/>
        <v>0</v>
      </c>
      <c r="CF83" s="5">
        <f t="shared" si="147"/>
        <v>0</v>
      </c>
      <c r="CG83" s="5">
        <f t="shared" si="148"/>
        <v>0</v>
      </c>
      <c r="CH83" s="5">
        <f t="shared" si="149"/>
        <v>0</v>
      </c>
      <c r="CI83" s="5">
        <f t="shared" si="150"/>
        <v>0</v>
      </c>
      <c r="CJ83" s="5"/>
      <c r="CK83" s="4">
        <f t="shared" si="116"/>
        <v>0</v>
      </c>
    </row>
    <row r="84" spans="1:89" ht="38" customHeight="1">
      <c r="A84" s="33" t="str">
        <f t="shared" si="114"/>
        <v/>
      </c>
      <c r="B84" s="10"/>
      <c r="C84" s="87"/>
      <c r="D84" s="88"/>
      <c r="E84" s="88"/>
      <c r="F84" s="44">
        <f t="shared" si="151"/>
        <v>0</v>
      </c>
      <c r="G84" s="88"/>
      <c r="H84" s="88"/>
      <c r="I84" s="44">
        <f t="shared" si="152"/>
        <v>0</v>
      </c>
      <c r="J84" s="89"/>
      <c r="K84" s="90"/>
      <c r="L84" s="44">
        <f t="shared" si="153"/>
        <v>0</v>
      </c>
      <c r="M84" s="90"/>
      <c r="N84" s="90"/>
      <c r="O84" s="44">
        <f t="shared" si="154"/>
        <v>0</v>
      </c>
      <c r="P84" s="90"/>
      <c r="Q84" s="90"/>
      <c r="R84" s="44">
        <f t="shared" si="155"/>
        <v>0</v>
      </c>
      <c r="S84" s="90"/>
      <c r="T84" s="90"/>
      <c r="U84" s="44">
        <f t="shared" si="156"/>
        <v>0</v>
      </c>
      <c r="V84" s="90"/>
      <c r="W84" s="90"/>
      <c r="X84" s="44">
        <f t="shared" si="157"/>
        <v>0</v>
      </c>
      <c r="Y84" s="44"/>
      <c r="Z84" s="44"/>
      <c r="AA84" s="44"/>
      <c r="AB84" s="44">
        <f t="shared" si="158"/>
        <v>0</v>
      </c>
      <c r="AC84" s="23"/>
      <c r="AD84" s="6"/>
      <c r="AE84" s="7">
        <f t="shared" si="159"/>
        <v>0</v>
      </c>
      <c r="AF84" s="6"/>
      <c r="AG84" s="7">
        <f t="shared" si="160"/>
        <v>0</v>
      </c>
      <c r="AH84" s="6"/>
      <c r="AI84" s="7">
        <f t="shared" si="161"/>
        <v>0</v>
      </c>
      <c r="AJ84" s="6"/>
      <c r="AK84" s="7">
        <f t="shared" si="162"/>
        <v>0</v>
      </c>
      <c r="AL84" s="6"/>
      <c r="AM84" s="7">
        <f t="shared" si="163"/>
        <v>0</v>
      </c>
      <c r="AN84" s="6"/>
      <c r="AO84" s="7">
        <f t="shared" si="164"/>
        <v>0</v>
      </c>
      <c r="AP84" s="30">
        <f t="shared" si="165"/>
        <v>0</v>
      </c>
      <c r="AQ84" s="6"/>
      <c r="AR84" s="6"/>
      <c r="AS84" s="6"/>
      <c r="AT84" s="44">
        <f t="shared" si="166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7"/>
        <v>0</v>
      </c>
      <c r="BB84" s="5">
        <f t="shared" si="118"/>
        <v>0</v>
      </c>
      <c r="BC84" s="5">
        <f t="shared" si="119"/>
        <v>0</v>
      </c>
      <c r="BD84" s="5">
        <f t="shared" si="120"/>
        <v>0</v>
      </c>
      <c r="BE84" s="5">
        <f t="shared" si="121"/>
        <v>0</v>
      </c>
      <c r="BF84" s="5">
        <f t="shared" si="122"/>
        <v>0</v>
      </c>
      <c r="BG84" s="5">
        <f t="shared" si="123"/>
        <v>0</v>
      </c>
      <c r="BH84" s="5">
        <f t="shared" si="124"/>
        <v>0</v>
      </c>
      <c r="BI84" s="5">
        <f t="shared" si="125"/>
        <v>0</v>
      </c>
      <c r="BJ84" s="5">
        <f t="shared" si="126"/>
        <v>0</v>
      </c>
      <c r="BK84" s="5">
        <f t="shared" si="127"/>
        <v>0</v>
      </c>
      <c r="BL84" s="5">
        <f t="shared" si="128"/>
        <v>0</v>
      </c>
      <c r="BM84" s="5">
        <f t="shared" si="129"/>
        <v>0</v>
      </c>
      <c r="BN84" s="5">
        <f t="shared" si="130"/>
        <v>0</v>
      </c>
      <c r="BO84" s="5">
        <f t="shared" si="131"/>
        <v>0</v>
      </c>
      <c r="BP84" s="5">
        <f t="shared" si="132"/>
        <v>0</v>
      </c>
      <c r="BQ84" s="5">
        <f t="shared" si="133"/>
        <v>0</v>
      </c>
      <c r="BR84" s="5">
        <f t="shared" si="134"/>
        <v>0</v>
      </c>
      <c r="BS84" s="5">
        <f t="shared" si="135"/>
        <v>0</v>
      </c>
      <c r="BT84" s="5">
        <f t="shared" si="136"/>
        <v>0</v>
      </c>
      <c r="BU84" s="5">
        <f t="shared" si="137"/>
        <v>0</v>
      </c>
      <c r="BV84" s="5">
        <f t="shared" si="138"/>
        <v>0</v>
      </c>
      <c r="BW84" s="5">
        <f t="shared" si="139"/>
        <v>0</v>
      </c>
      <c r="BX84" s="5">
        <f t="shared" si="140"/>
        <v>0</v>
      </c>
      <c r="BY84" s="5">
        <f t="shared" si="115"/>
        <v>0</v>
      </c>
      <c r="BZ84" s="5">
        <f t="shared" si="141"/>
        <v>0</v>
      </c>
      <c r="CA84" s="5">
        <f t="shared" si="142"/>
        <v>0</v>
      </c>
      <c r="CB84" s="5">
        <f t="shared" si="143"/>
        <v>0</v>
      </c>
      <c r="CC84" s="5">
        <f t="shared" si="144"/>
        <v>0</v>
      </c>
      <c r="CD84" s="5">
        <f t="shared" si="145"/>
        <v>0</v>
      </c>
      <c r="CE84" s="5">
        <f t="shared" si="146"/>
        <v>0</v>
      </c>
      <c r="CF84" s="5">
        <f t="shared" si="147"/>
        <v>0</v>
      </c>
      <c r="CG84" s="5">
        <f t="shared" si="148"/>
        <v>0</v>
      </c>
      <c r="CH84" s="5">
        <f t="shared" si="149"/>
        <v>0</v>
      </c>
      <c r="CI84" s="5">
        <f t="shared" si="150"/>
        <v>0</v>
      </c>
      <c r="CJ84" s="5"/>
      <c r="CK84" s="4">
        <f t="shared" si="116"/>
        <v>0</v>
      </c>
    </row>
    <row r="85" spans="1:89" ht="38" customHeight="1">
      <c r="A85" s="33" t="str">
        <f t="shared" si="114"/>
        <v/>
      </c>
      <c r="B85" s="10"/>
      <c r="C85" s="87"/>
      <c r="D85" s="88"/>
      <c r="E85" s="88"/>
      <c r="F85" s="44">
        <f t="shared" si="151"/>
        <v>0</v>
      </c>
      <c r="G85" s="88"/>
      <c r="H85" s="88"/>
      <c r="I85" s="44">
        <f t="shared" si="152"/>
        <v>0</v>
      </c>
      <c r="J85" s="89"/>
      <c r="K85" s="90"/>
      <c r="L85" s="44">
        <f t="shared" si="153"/>
        <v>0</v>
      </c>
      <c r="M85" s="90"/>
      <c r="N85" s="90"/>
      <c r="O85" s="44">
        <f t="shared" si="154"/>
        <v>0</v>
      </c>
      <c r="P85" s="90"/>
      <c r="Q85" s="90"/>
      <c r="R85" s="44">
        <f t="shared" si="155"/>
        <v>0</v>
      </c>
      <c r="S85" s="90"/>
      <c r="T85" s="90"/>
      <c r="U85" s="44">
        <f t="shared" si="156"/>
        <v>0</v>
      </c>
      <c r="V85" s="90"/>
      <c r="W85" s="90"/>
      <c r="X85" s="44">
        <f t="shared" si="157"/>
        <v>0</v>
      </c>
      <c r="Y85" s="44"/>
      <c r="Z85" s="44"/>
      <c r="AA85" s="44"/>
      <c r="AB85" s="44">
        <f t="shared" si="158"/>
        <v>0</v>
      </c>
      <c r="AC85" s="23"/>
      <c r="AD85" s="6"/>
      <c r="AE85" s="7">
        <f t="shared" si="159"/>
        <v>0</v>
      </c>
      <c r="AF85" s="6"/>
      <c r="AG85" s="7">
        <f t="shared" si="160"/>
        <v>0</v>
      </c>
      <c r="AH85" s="6"/>
      <c r="AI85" s="7">
        <f t="shared" si="161"/>
        <v>0</v>
      </c>
      <c r="AJ85" s="6"/>
      <c r="AK85" s="7">
        <f t="shared" si="162"/>
        <v>0</v>
      </c>
      <c r="AL85" s="6"/>
      <c r="AM85" s="7">
        <f t="shared" si="163"/>
        <v>0</v>
      </c>
      <c r="AN85" s="6"/>
      <c r="AO85" s="7">
        <f t="shared" si="164"/>
        <v>0</v>
      </c>
      <c r="AP85" s="30">
        <f t="shared" si="165"/>
        <v>0</v>
      </c>
      <c r="AQ85" s="6"/>
      <c r="AR85" s="6"/>
      <c r="AS85" s="6"/>
      <c r="AT85" s="44">
        <f t="shared" si="166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7"/>
        <v>0</v>
      </c>
      <c r="BB85" s="5">
        <f t="shared" si="118"/>
        <v>0</v>
      </c>
      <c r="BC85" s="5">
        <f t="shared" si="119"/>
        <v>0</v>
      </c>
      <c r="BD85" s="5">
        <f t="shared" si="120"/>
        <v>0</v>
      </c>
      <c r="BE85" s="5">
        <f t="shared" si="121"/>
        <v>0</v>
      </c>
      <c r="BF85" s="5">
        <f t="shared" si="122"/>
        <v>0</v>
      </c>
      <c r="BG85" s="5">
        <f t="shared" si="123"/>
        <v>0</v>
      </c>
      <c r="BH85" s="5">
        <f t="shared" si="124"/>
        <v>0</v>
      </c>
      <c r="BI85" s="5">
        <f t="shared" si="125"/>
        <v>0</v>
      </c>
      <c r="BJ85" s="5">
        <f t="shared" si="126"/>
        <v>0</v>
      </c>
      <c r="BK85" s="5">
        <f t="shared" si="127"/>
        <v>0</v>
      </c>
      <c r="BL85" s="5">
        <f t="shared" si="128"/>
        <v>0</v>
      </c>
      <c r="BM85" s="5">
        <f t="shared" si="129"/>
        <v>0</v>
      </c>
      <c r="BN85" s="5">
        <f t="shared" si="130"/>
        <v>0</v>
      </c>
      <c r="BO85" s="5">
        <f t="shared" si="131"/>
        <v>0</v>
      </c>
      <c r="BP85" s="5">
        <f t="shared" si="132"/>
        <v>0</v>
      </c>
      <c r="BQ85" s="5">
        <f t="shared" si="133"/>
        <v>0</v>
      </c>
      <c r="BR85" s="5">
        <f t="shared" si="134"/>
        <v>0</v>
      </c>
      <c r="BS85" s="5">
        <f t="shared" si="135"/>
        <v>0</v>
      </c>
      <c r="BT85" s="5">
        <f t="shared" si="136"/>
        <v>0</v>
      </c>
      <c r="BU85" s="5">
        <f t="shared" si="137"/>
        <v>0</v>
      </c>
      <c r="BV85" s="5">
        <f t="shared" si="138"/>
        <v>0</v>
      </c>
      <c r="BW85" s="5">
        <f t="shared" si="139"/>
        <v>0</v>
      </c>
      <c r="BX85" s="5">
        <f t="shared" si="140"/>
        <v>0</v>
      </c>
      <c r="BY85" s="5">
        <f t="shared" si="115"/>
        <v>0</v>
      </c>
      <c r="BZ85" s="5">
        <f t="shared" si="141"/>
        <v>0</v>
      </c>
      <c r="CA85" s="5">
        <f t="shared" si="142"/>
        <v>0</v>
      </c>
      <c r="CB85" s="5">
        <f t="shared" si="143"/>
        <v>0</v>
      </c>
      <c r="CC85" s="5">
        <f t="shared" si="144"/>
        <v>0</v>
      </c>
      <c r="CD85" s="5">
        <f t="shared" si="145"/>
        <v>0</v>
      </c>
      <c r="CE85" s="5">
        <f t="shared" si="146"/>
        <v>0</v>
      </c>
      <c r="CF85" s="5">
        <f t="shared" si="147"/>
        <v>0</v>
      </c>
      <c r="CG85" s="5">
        <f t="shared" si="148"/>
        <v>0</v>
      </c>
      <c r="CH85" s="5">
        <f t="shared" si="149"/>
        <v>0</v>
      </c>
      <c r="CI85" s="5">
        <f t="shared" si="150"/>
        <v>0</v>
      </c>
      <c r="CJ85" s="5"/>
      <c r="CK85" s="4">
        <f t="shared" si="116"/>
        <v>0</v>
      </c>
    </row>
    <row r="86" spans="1:89" ht="38" customHeight="1">
      <c r="A86" s="33" t="str">
        <f t="shared" si="114"/>
        <v/>
      </c>
      <c r="B86" s="10"/>
      <c r="C86" s="87"/>
      <c r="D86" s="88"/>
      <c r="E86" s="88"/>
      <c r="F86" s="44">
        <f t="shared" si="151"/>
        <v>0</v>
      </c>
      <c r="G86" s="88"/>
      <c r="H86" s="88"/>
      <c r="I86" s="44">
        <f t="shared" si="152"/>
        <v>0</v>
      </c>
      <c r="J86" s="89"/>
      <c r="K86" s="90"/>
      <c r="L86" s="44">
        <f t="shared" si="153"/>
        <v>0</v>
      </c>
      <c r="M86" s="90"/>
      <c r="N86" s="90"/>
      <c r="O86" s="44">
        <f t="shared" si="154"/>
        <v>0</v>
      </c>
      <c r="P86" s="90"/>
      <c r="Q86" s="90"/>
      <c r="R86" s="44">
        <f t="shared" si="155"/>
        <v>0</v>
      </c>
      <c r="S86" s="90"/>
      <c r="T86" s="90"/>
      <c r="U86" s="44">
        <f t="shared" si="156"/>
        <v>0</v>
      </c>
      <c r="V86" s="90"/>
      <c r="W86" s="90"/>
      <c r="X86" s="44">
        <f t="shared" si="157"/>
        <v>0</v>
      </c>
      <c r="Y86" s="44"/>
      <c r="Z86" s="44"/>
      <c r="AA86" s="44"/>
      <c r="AB86" s="44">
        <f t="shared" si="158"/>
        <v>0</v>
      </c>
      <c r="AC86" s="23"/>
      <c r="AD86" s="6"/>
      <c r="AE86" s="7">
        <f t="shared" si="159"/>
        <v>0</v>
      </c>
      <c r="AF86" s="6"/>
      <c r="AG86" s="7">
        <f t="shared" si="160"/>
        <v>0</v>
      </c>
      <c r="AH86" s="6"/>
      <c r="AI86" s="7">
        <f t="shared" si="161"/>
        <v>0</v>
      </c>
      <c r="AJ86" s="6"/>
      <c r="AK86" s="7">
        <f t="shared" si="162"/>
        <v>0</v>
      </c>
      <c r="AL86" s="6"/>
      <c r="AM86" s="7">
        <f t="shared" si="163"/>
        <v>0</v>
      </c>
      <c r="AN86" s="6"/>
      <c r="AO86" s="7">
        <f t="shared" si="164"/>
        <v>0</v>
      </c>
      <c r="AP86" s="30">
        <f t="shared" si="165"/>
        <v>0</v>
      </c>
      <c r="AQ86" s="6"/>
      <c r="AR86" s="6"/>
      <c r="AS86" s="6"/>
      <c r="AT86" s="44">
        <f t="shared" si="166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7"/>
        <v>0</v>
      </c>
      <c r="BB86" s="5">
        <f t="shared" si="118"/>
        <v>0</v>
      </c>
      <c r="BC86" s="5">
        <f t="shared" si="119"/>
        <v>0</v>
      </c>
      <c r="BD86" s="5">
        <f t="shared" si="120"/>
        <v>0</v>
      </c>
      <c r="BE86" s="5">
        <f t="shared" si="121"/>
        <v>0</v>
      </c>
      <c r="BF86" s="5">
        <f t="shared" si="122"/>
        <v>0</v>
      </c>
      <c r="BG86" s="5">
        <f t="shared" si="123"/>
        <v>0</v>
      </c>
      <c r="BH86" s="5">
        <f t="shared" si="124"/>
        <v>0</v>
      </c>
      <c r="BI86" s="5">
        <f t="shared" si="125"/>
        <v>0</v>
      </c>
      <c r="BJ86" s="5">
        <f t="shared" si="126"/>
        <v>0</v>
      </c>
      <c r="BK86" s="5">
        <f t="shared" si="127"/>
        <v>0</v>
      </c>
      <c r="BL86" s="5">
        <f t="shared" si="128"/>
        <v>0</v>
      </c>
      <c r="BM86" s="5">
        <f t="shared" si="129"/>
        <v>0</v>
      </c>
      <c r="BN86" s="5">
        <f t="shared" si="130"/>
        <v>0</v>
      </c>
      <c r="BO86" s="5">
        <f t="shared" si="131"/>
        <v>0</v>
      </c>
      <c r="BP86" s="5">
        <f t="shared" si="132"/>
        <v>0</v>
      </c>
      <c r="BQ86" s="5">
        <f t="shared" si="133"/>
        <v>0</v>
      </c>
      <c r="BR86" s="5">
        <f t="shared" si="134"/>
        <v>0</v>
      </c>
      <c r="BS86" s="5">
        <f t="shared" si="135"/>
        <v>0</v>
      </c>
      <c r="BT86" s="5">
        <f t="shared" si="136"/>
        <v>0</v>
      </c>
      <c r="BU86" s="5">
        <f t="shared" si="137"/>
        <v>0</v>
      </c>
      <c r="BV86" s="5">
        <f t="shared" si="138"/>
        <v>0</v>
      </c>
      <c r="BW86" s="5">
        <f t="shared" si="139"/>
        <v>0</v>
      </c>
      <c r="BX86" s="5">
        <f t="shared" si="140"/>
        <v>0</v>
      </c>
      <c r="BY86" s="5">
        <f t="shared" si="115"/>
        <v>0</v>
      </c>
      <c r="BZ86" s="5">
        <f t="shared" si="141"/>
        <v>0</v>
      </c>
      <c r="CA86" s="5">
        <f t="shared" si="142"/>
        <v>0</v>
      </c>
      <c r="CB86" s="5">
        <f t="shared" si="143"/>
        <v>0</v>
      </c>
      <c r="CC86" s="5">
        <f t="shared" si="144"/>
        <v>0</v>
      </c>
      <c r="CD86" s="5">
        <f t="shared" si="145"/>
        <v>0</v>
      </c>
      <c r="CE86" s="5">
        <f t="shared" si="146"/>
        <v>0</v>
      </c>
      <c r="CF86" s="5">
        <f t="shared" si="147"/>
        <v>0</v>
      </c>
      <c r="CG86" s="5">
        <f t="shared" si="148"/>
        <v>0</v>
      </c>
      <c r="CH86" s="5">
        <f t="shared" si="149"/>
        <v>0</v>
      </c>
      <c r="CI86" s="5">
        <f t="shared" si="150"/>
        <v>0</v>
      </c>
      <c r="CJ86" s="5"/>
      <c r="CK86" s="4">
        <f t="shared" si="116"/>
        <v>0</v>
      </c>
    </row>
    <row r="87" spans="1:89" ht="38" customHeight="1">
      <c r="A87" s="33" t="str">
        <f t="shared" si="114"/>
        <v/>
      </c>
      <c r="B87" s="10"/>
      <c r="C87" s="87"/>
      <c r="D87" s="88"/>
      <c r="E87" s="88"/>
      <c r="F87" s="44">
        <f t="shared" si="151"/>
        <v>0</v>
      </c>
      <c r="G87" s="88"/>
      <c r="H87" s="88"/>
      <c r="I87" s="44">
        <f t="shared" si="152"/>
        <v>0</v>
      </c>
      <c r="J87" s="89"/>
      <c r="K87" s="90"/>
      <c r="L87" s="44">
        <f t="shared" si="153"/>
        <v>0</v>
      </c>
      <c r="M87" s="90"/>
      <c r="N87" s="90"/>
      <c r="O87" s="44">
        <f t="shared" si="154"/>
        <v>0</v>
      </c>
      <c r="P87" s="90"/>
      <c r="Q87" s="90"/>
      <c r="R87" s="44">
        <f t="shared" si="155"/>
        <v>0</v>
      </c>
      <c r="S87" s="90"/>
      <c r="T87" s="90"/>
      <c r="U87" s="44">
        <f t="shared" si="156"/>
        <v>0</v>
      </c>
      <c r="V87" s="90"/>
      <c r="W87" s="90"/>
      <c r="X87" s="44">
        <f t="shared" si="157"/>
        <v>0</v>
      </c>
      <c r="Y87" s="44"/>
      <c r="Z87" s="44"/>
      <c r="AA87" s="44"/>
      <c r="AB87" s="44">
        <f t="shared" si="158"/>
        <v>0</v>
      </c>
      <c r="AC87" s="23"/>
      <c r="AD87" s="6"/>
      <c r="AE87" s="7">
        <f t="shared" si="159"/>
        <v>0</v>
      </c>
      <c r="AF87" s="6"/>
      <c r="AG87" s="7">
        <f t="shared" si="160"/>
        <v>0</v>
      </c>
      <c r="AH87" s="6"/>
      <c r="AI87" s="7">
        <f t="shared" si="161"/>
        <v>0</v>
      </c>
      <c r="AJ87" s="6"/>
      <c r="AK87" s="7">
        <f t="shared" si="162"/>
        <v>0</v>
      </c>
      <c r="AL87" s="6"/>
      <c r="AM87" s="7">
        <f t="shared" si="163"/>
        <v>0</v>
      </c>
      <c r="AN87" s="6"/>
      <c r="AO87" s="7">
        <f t="shared" si="164"/>
        <v>0</v>
      </c>
      <c r="AP87" s="30">
        <f t="shared" si="165"/>
        <v>0</v>
      </c>
      <c r="AQ87" s="6"/>
      <c r="AR87" s="6"/>
      <c r="AS87" s="6"/>
      <c r="AT87" s="44">
        <f t="shared" si="166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7"/>
        <v>0</v>
      </c>
      <c r="BB87" s="5">
        <f t="shared" si="118"/>
        <v>0</v>
      </c>
      <c r="BC87" s="5">
        <f t="shared" si="119"/>
        <v>0</v>
      </c>
      <c r="BD87" s="5">
        <f t="shared" si="120"/>
        <v>0</v>
      </c>
      <c r="BE87" s="5">
        <f t="shared" si="121"/>
        <v>0</v>
      </c>
      <c r="BF87" s="5">
        <f t="shared" si="122"/>
        <v>0</v>
      </c>
      <c r="BG87" s="5">
        <f t="shared" si="123"/>
        <v>0</v>
      </c>
      <c r="BH87" s="5">
        <f t="shared" si="124"/>
        <v>0</v>
      </c>
      <c r="BI87" s="5">
        <f t="shared" si="125"/>
        <v>0</v>
      </c>
      <c r="BJ87" s="5">
        <f t="shared" si="126"/>
        <v>0</v>
      </c>
      <c r="BK87" s="5">
        <f t="shared" si="127"/>
        <v>0</v>
      </c>
      <c r="BL87" s="5">
        <f t="shared" si="128"/>
        <v>0</v>
      </c>
      <c r="BM87" s="5">
        <f t="shared" si="129"/>
        <v>0</v>
      </c>
      <c r="BN87" s="5">
        <f t="shared" si="130"/>
        <v>0</v>
      </c>
      <c r="BO87" s="5">
        <f t="shared" si="131"/>
        <v>0</v>
      </c>
      <c r="BP87" s="5">
        <f t="shared" si="132"/>
        <v>0</v>
      </c>
      <c r="BQ87" s="5">
        <f t="shared" si="133"/>
        <v>0</v>
      </c>
      <c r="BR87" s="5">
        <f t="shared" si="134"/>
        <v>0</v>
      </c>
      <c r="BS87" s="5">
        <f t="shared" si="135"/>
        <v>0</v>
      </c>
      <c r="BT87" s="5">
        <f t="shared" si="136"/>
        <v>0</v>
      </c>
      <c r="BU87" s="5">
        <f t="shared" si="137"/>
        <v>0</v>
      </c>
      <c r="BV87" s="5">
        <f t="shared" si="138"/>
        <v>0</v>
      </c>
      <c r="BW87" s="5">
        <f t="shared" si="139"/>
        <v>0</v>
      </c>
      <c r="BX87" s="5">
        <f t="shared" si="140"/>
        <v>0</v>
      </c>
      <c r="BY87" s="5">
        <f t="shared" si="115"/>
        <v>0</v>
      </c>
      <c r="BZ87" s="5">
        <f t="shared" si="141"/>
        <v>0</v>
      </c>
      <c r="CA87" s="5">
        <f t="shared" si="142"/>
        <v>0</v>
      </c>
      <c r="CB87" s="5">
        <f t="shared" si="143"/>
        <v>0</v>
      </c>
      <c r="CC87" s="5">
        <f t="shared" si="144"/>
        <v>0</v>
      </c>
      <c r="CD87" s="5">
        <f t="shared" si="145"/>
        <v>0</v>
      </c>
      <c r="CE87" s="5">
        <f t="shared" si="146"/>
        <v>0</v>
      </c>
      <c r="CF87" s="5">
        <f t="shared" si="147"/>
        <v>0</v>
      </c>
      <c r="CG87" s="5">
        <f t="shared" si="148"/>
        <v>0</v>
      </c>
      <c r="CH87" s="5">
        <f t="shared" si="149"/>
        <v>0</v>
      </c>
      <c r="CI87" s="5">
        <f t="shared" si="150"/>
        <v>0</v>
      </c>
      <c r="CJ87" s="5"/>
      <c r="CK87" s="4">
        <f t="shared" si="116"/>
        <v>0</v>
      </c>
    </row>
    <row r="88" spans="1:89" ht="38" customHeight="1">
      <c r="A88" s="33" t="str">
        <f t="shared" si="114"/>
        <v/>
      </c>
      <c r="B88" s="10"/>
      <c r="C88" s="87"/>
      <c r="D88" s="88"/>
      <c r="E88" s="88"/>
      <c r="F88" s="44">
        <f t="shared" si="151"/>
        <v>0</v>
      </c>
      <c r="G88" s="88"/>
      <c r="H88" s="88"/>
      <c r="I88" s="44">
        <f t="shared" si="152"/>
        <v>0</v>
      </c>
      <c r="J88" s="89"/>
      <c r="K88" s="90"/>
      <c r="L88" s="44">
        <f t="shared" si="153"/>
        <v>0</v>
      </c>
      <c r="M88" s="90"/>
      <c r="N88" s="90"/>
      <c r="O88" s="44">
        <f t="shared" si="154"/>
        <v>0</v>
      </c>
      <c r="P88" s="90"/>
      <c r="Q88" s="90"/>
      <c r="R88" s="44">
        <f t="shared" si="155"/>
        <v>0</v>
      </c>
      <c r="S88" s="90"/>
      <c r="T88" s="90"/>
      <c r="U88" s="44">
        <f t="shared" si="156"/>
        <v>0</v>
      </c>
      <c r="V88" s="90"/>
      <c r="W88" s="90"/>
      <c r="X88" s="44">
        <f t="shared" si="157"/>
        <v>0</v>
      </c>
      <c r="Y88" s="44"/>
      <c r="Z88" s="44"/>
      <c r="AA88" s="44"/>
      <c r="AB88" s="44">
        <f t="shared" si="158"/>
        <v>0</v>
      </c>
      <c r="AC88" s="23"/>
      <c r="AD88" s="6"/>
      <c r="AE88" s="7">
        <f t="shared" si="159"/>
        <v>0</v>
      </c>
      <c r="AF88" s="6"/>
      <c r="AG88" s="7">
        <f t="shared" si="160"/>
        <v>0</v>
      </c>
      <c r="AH88" s="6"/>
      <c r="AI88" s="7">
        <f t="shared" si="161"/>
        <v>0</v>
      </c>
      <c r="AJ88" s="6"/>
      <c r="AK88" s="7">
        <f t="shared" si="162"/>
        <v>0</v>
      </c>
      <c r="AL88" s="6"/>
      <c r="AM88" s="7">
        <f t="shared" si="163"/>
        <v>0</v>
      </c>
      <c r="AN88" s="6"/>
      <c r="AO88" s="7">
        <f t="shared" si="164"/>
        <v>0</v>
      </c>
      <c r="AP88" s="30">
        <f t="shared" si="165"/>
        <v>0</v>
      </c>
      <c r="AQ88" s="6"/>
      <c r="AR88" s="6"/>
      <c r="AS88" s="6"/>
      <c r="AT88" s="44">
        <f t="shared" si="166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7"/>
        <v>0</v>
      </c>
      <c r="BB88" s="5">
        <f t="shared" si="118"/>
        <v>0</v>
      </c>
      <c r="BC88" s="5">
        <f t="shared" si="119"/>
        <v>0</v>
      </c>
      <c r="BD88" s="5">
        <f t="shared" si="120"/>
        <v>0</v>
      </c>
      <c r="BE88" s="5">
        <f t="shared" si="121"/>
        <v>0</v>
      </c>
      <c r="BF88" s="5">
        <f t="shared" si="122"/>
        <v>0</v>
      </c>
      <c r="BG88" s="5">
        <f t="shared" si="123"/>
        <v>0</v>
      </c>
      <c r="BH88" s="5">
        <f t="shared" si="124"/>
        <v>0</v>
      </c>
      <c r="BI88" s="5">
        <f t="shared" si="125"/>
        <v>0</v>
      </c>
      <c r="BJ88" s="5">
        <f t="shared" si="126"/>
        <v>0</v>
      </c>
      <c r="BK88" s="5">
        <f t="shared" si="127"/>
        <v>0</v>
      </c>
      <c r="BL88" s="5">
        <f t="shared" si="128"/>
        <v>0</v>
      </c>
      <c r="BM88" s="5">
        <f t="shared" si="129"/>
        <v>0</v>
      </c>
      <c r="BN88" s="5">
        <f t="shared" si="130"/>
        <v>0</v>
      </c>
      <c r="BO88" s="5">
        <f t="shared" si="131"/>
        <v>0</v>
      </c>
      <c r="BP88" s="5">
        <f t="shared" si="132"/>
        <v>0</v>
      </c>
      <c r="BQ88" s="5">
        <f t="shared" si="133"/>
        <v>0</v>
      </c>
      <c r="BR88" s="5">
        <f t="shared" si="134"/>
        <v>0</v>
      </c>
      <c r="BS88" s="5">
        <f t="shared" si="135"/>
        <v>0</v>
      </c>
      <c r="BT88" s="5">
        <f t="shared" si="136"/>
        <v>0</v>
      </c>
      <c r="BU88" s="5">
        <f t="shared" si="137"/>
        <v>0</v>
      </c>
      <c r="BV88" s="5">
        <f t="shared" si="138"/>
        <v>0</v>
      </c>
      <c r="BW88" s="5">
        <f t="shared" si="139"/>
        <v>0</v>
      </c>
      <c r="BX88" s="5">
        <f t="shared" si="140"/>
        <v>0</v>
      </c>
      <c r="BY88" s="5">
        <f t="shared" si="115"/>
        <v>0</v>
      </c>
      <c r="BZ88" s="5">
        <f t="shared" si="141"/>
        <v>0</v>
      </c>
      <c r="CA88" s="5">
        <f t="shared" si="142"/>
        <v>0</v>
      </c>
      <c r="CB88" s="5">
        <f t="shared" si="143"/>
        <v>0</v>
      </c>
      <c r="CC88" s="5">
        <f t="shared" si="144"/>
        <v>0</v>
      </c>
      <c r="CD88" s="5">
        <f t="shared" si="145"/>
        <v>0</v>
      </c>
      <c r="CE88" s="5">
        <f t="shared" si="146"/>
        <v>0</v>
      </c>
      <c r="CF88" s="5">
        <f t="shared" si="147"/>
        <v>0</v>
      </c>
      <c r="CG88" s="5">
        <f t="shared" si="148"/>
        <v>0</v>
      </c>
      <c r="CH88" s="5">
        <f t="shared" si="149"/>
        <v>0</v>
      </c>
      <c r="CI88" s="5">
        <f t="shared" si="150"/>
        <v>0</v>
      </c>
      <c r="CJ88" s="5"/>
      <c r="CK88" s="4">
        <f t="shared" si="116"/>
        <v>0</v>
      </c>
    </row>
    <row r="89" spans="1:89" ht="38" customHeight="1">
      <c r="A89" s="33" t="str">
        <f t="shared" si="114"/>
        <v/>
      </c>
      <c r="B89" s="10"/>
      <c r="C89" s="87"/>
      <c r="D89" s="88"/>
      <c r="E89" s="88"/>
      <c r="F89" s="44">
        <f t="shared" si="151"/>
        <v>0</v>
      </c>
      <c r="G89" s="88"/>
      <c r="H89" s="88"/>
      <c r="I89" s="44">
        <f t="shared" si="152"/>
        <v>0</v>
      </c>
      <c r="J89" s="89"/>
      <c r="K89" s="90"/>
      <c r="L89" s="44">
        <f t="shared" si="153"/>
        <v>0</v>
      </c>
      <c r="M89" s="90"/>
      <c r="N89" s="90"/>
      <c r="O89" s="44">
        <f t="shared" si="154"/>
        <v>0</v>
      </c>
      <c r="P89" s="90"/>
      <c r="Q89" s="90"/>
      <c r="R89" s="44">
        <f t="shared" si="155"/>
        <v>0</v>
      </c>
      <c r="S89" s="90"/>
      <c r="T89" s="90"/>
      <c r="U89" s="44">
        <f t="shared" si="156"/>
        <v>0</v>
      </c>
      <c r="V89" s="90"/>
      <c r="W89" s="90"/>
      <c r="X89" s="44">
        <f t="shared" si="157"/>
        <v>0</v>
      </c>
      <c r="Y89" s="44"/>
      <c r="Z89" s="44"/>
      <c r="AA89" s="44"/>
      <c r="AB89" s="44">
        <f t="shared" si="158"/>
        <v>0</v>
      </c>
      <c r="AC89" s="23"/>
      <c r="AD89" s="6"/>
      <c r="AE89" s="7">
        <f t="shared" si="159"/>
        <v>0</v>
      </c>
      <c r="AF89" s="6"/>
      <c r="AG89" s="7">
        <f t="shared" si="160"/>
        <v>0</v>
      </c>
      <c r="AH89" s="6"/>
      <c r="AI89" s="7">
        <f t="shared" si="161"/>
        <v>0</v>
      </c>
      <c r="AJ89" s="6"/>
      <c r="AK89" s="7">
        <f t="shared" si="162"/>
        <v>0</v>
      </c>
      <c r="AL89" s="6"/>
      <c r="AM89" s="7">
        <f t="shared" si="163"/>
        <v>0</v>
      </c>
      <c r="AN89" s="6"/>
      <c r="AO89" s="7">
        <f t="shared" si="164"/>
        <v>0</v>
      </c>
      <c r="AP89" s="30">
        <f t="shared" si="165"/>
        <v>0</v>
      </c>
      <c r="AQ89" s="6"/>
      <c r="AR89" s="6"/>
      <c r="AS89" s="6"/>
      <c r="AT89" s="44">
        <f t="shared" si="166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7"/>
        <v>0</v>
      </c>
      <c r="BB89" s="5">
        <f t="shared" si="118"/>
        <v>0</v>
      </c>
      <c r="BC89" s="5">
        <f t="shared" si="119"/>
        <v>0</v>
      </c>
      <c r="BD89" s="5">
        <f t="shared" si="120"/>
        <v>0</v>
      </c>
      <c r="BE89" s="5">
        <f t="shared" si="121"/>
        <v>0</v>
      </c>
      <c r="BF89" s="5">
        <f t="shared" si="122"/>
        <v>0</v>
      </c>
      <c r="BG89" s="5">
        <f t="shared" si="123"/>
        <v>0</v>
      </c>
      <c r="BH89" s="5">
        <f t="shared" si="124"/>
        <v>0</v>
      </c>
      <c r="BI89" s="5">
        <f t="shared" si="125"/>
        <v>0</v>
      </c>
      <c r="BJ89" s="5">
        <f t="shared" si="126"/>
        <v>0</v>
      </c>
      <c r="BK89" s="5">
        <f t="shared" si="127"/>
        <v>0</v>
      </c>
      <c r="BL89" s="5">
        <f t="shared" si="128"/>
        <v>0</v>
      </c>
      <c r="BM89" s="5">
        <f t="shared" si="129"/>
        <v>0</v>
      </c>
      <c r="BN89" s="5">
        <f t="shared" si="130"/>
        <v>0</v>
      </c>
      <c r="BO89" s="5">
        <f t="shared" si="131"/>
        <v>0</v>
      </c>
      <c r="BP89" s="5">
        <f t="shared" si="132"/>
        <v>0</v>
      </c>
      <c r="BQ89" s="5">
        <f t="shared" si="133"/>
        <v>0</v>
      </c>
      <c r="BR89" s="5">
        <f t="shared" si="134"/>
        <v>0</v>
      </c>
      <c r="BS89" s="5">
        <f t="shared" si="135"/>
        <v>0</v>
      </c>
      <c r="BT89" s="5">
        <f t="shared" si="136"/>
        <v>0</v>
      </c>
      <c r="BU89" s="5">
        <f t="shared" si="137"/>
        <v>0</v>
      </c>
      <c r="BV89" s="5">
        <f t="shared" si="138"/>
        <v>0</v>
      </c>
      <c r="BW89" s="5">
        <f t="shared" si="139"/>
        <v>0</v>
      </c>
      <c r="BX89" s="5">
        <f t="shared" si="140"/>
        <v>0</v>
      </c>
      <c r="BY89" s="5">
        <f t="shared" si="115"/>
        <v>0</v>
      </c>
      <c r="BZ89" s="5">
        <f t="shared" si="141"/>
        <v>0</v>
      </c>
      <c r="CA89" s="5">
        <f t="shared" si="142"/>
        <v>0</v>
      </c>
      <c r="CB89" s="5">
        <f t="shared" si="143"/>
        <v>0</v>
      </c>
      <c r="CC89" s="5">
        <f t="shared" si="144"/>
        <v>0</v>
      </c>
      <c r="CD89" s="5">
        <f t="shared" si="145"/>
        <v>0</v>
      </c>
      <c r="CE89" s="5">
        <f t="shared" si="146"/>
        <v>0</v>
      </c>
      <c r="CF89" s="5">
        <f t="shared" si="147"/>
        <v>0</v>
      </c>
      <c r="CG89" s="5">
        <f t="shared" si="148"/>
        <v>0</v>
      </c>
      <c r="CH89" s="5">
        <f t="shared" si="149"/>
        <v>0</v>
      </c>
      <c r="CI89" s="5">
        <f t="shared" si="150"/>
        <v>0</v>
      </c>
      <c r="CJ89" s="5"/>
      <c r="CK89" s="4">
        <f t="shared" si="116"/>
        <v>0</v>
      </c>
    </row>
    <row r="90" spans="1:89" ht="38" customHeight="1">
      <c r="A90" s="33" t="str">
        <f t="shared" si="114"/>
        <v/>
      </c>
      <c r="B90" s="10"/>
      <c r="C90" s="87"/>
      <c r="D90" s="88"/>
      <c r="E90" s="88"/>
      <c r="F90" s="44">
        <f t="shared" si="151"/>
        <v>0</v>
      </c>
      <c r="G90" s="88"/>
      <c r="H90" s="88"/>
      <c r="I90" s="44">
        <f t="shared" si="152"/>
        <v>0</v>
      </c>
      <c r="J90" s="89"/>
      <c r="K90" s="90"/>
      <c r="L90" s="44">
        <f t="shared" si="153"/>
        <v>0</v>
      </c>
      <c r="M90" s="90"/>
      <c r="N90" s="90"/>
      <c r="O90" s="44">
        <f t="shared" si="154"/>
        <v>0</v>
      </c>
      <c r="P90" s="90"/>
      <c r="Q90" s="90"/>
      <c r="R90" s="44">
        <f t="shared" si="155"/>
        <v>0</v>
      </c>
      <c r="S90" s="90"/>
      <c r="T90" s="90"/>
      <c r="U90" s="44">
        <f t="shared" si="156"/>
        <v>0</v>
      </c>
      <c r="V90" s="90"/>
      <c r="W90" s="90"/>
      <c r="X90" s="44">
        <f t="shared" si="157"/>
        <v>0</v>
      </c>
      <c r="Y90" s="44"/>
      <c r="Z90" s="44"/>
      <c r="AA90" s="44"/>
      <c r="AB90" s="44">
        <f t="shared" si="158"/>
        <v>0</v>
      </c>
      <c r="AC90" s="23"/>
      <c r="AD90" s="6"/>
      <c r="AE90" s="7">
        <f t="shared" si="159"/>
        <v>0</v>
      </c>
      <c r="AF90" s="6"/>
      <c r="AG90" s="7">
        <f t="shared" si="160"/>
        <v>0</v>
      </c>
      <c r="AH90" s="6"/>
      <c r="AI90" s="7">
        <f t="shared" si="161"/>
        <v>0</v>
      </c>
      <c r="AJ90" s="6"/>
      <c r="AK90" s="7">
        <f t="shared" si="162"/>
        <v>0</v>
      </c>
      <c r="AL90" s="6"/>
      <c r="AM90" s="7">
        <f t="shared" si="163"/>
        <v>0</v>
      </c>
      <c r="AN90" s="6"/>
      <c r="AO90" s="7">
        <f t="shared" si="164"/>
        <v>0</v>
      </c>
      <c r="AP90" s="30">
        <f t="shared" si="165"/>
        <v>0</v>
      </c>
      <c r="AQ90" s="6"/>
      <c r="AR90" s="6"/>
      <c r="AS90" s="6"/>
      <c r="AT90" s="44">
        <f t="shared" si="166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7"/>
        <v>0</v>
      </c>
      <c r="BB90" s="5">
        <f t="shared" si="118"/>
        <v>0</v>
      </c>
      <c r="BC90" s="5">
        <f t="shared" si="119"/>
        <v>0</v>
      </c>
      <c r="BD90" s="5">
        <f t="shared" si="120"/>
        <v>0</v>
      </c>
      <c r="BE90" s="5">
        <f t="shared" si="121"/>
        <v>0</v>
      </c>
      <c r="BF90" s="5">
        <f t="shared" si="122"/>
        <v>0</v>
      </c>
      <c r="BG90" s="5">
        <f t="shared" si="123"/>
        <v>0</v>
      </c>
      <c r="BH90" s="5">
        <f t="shared" si="124"/>
        <v>0</v>
      </c>
      <c r="BI90" s="5">
        <f t="shared" si="125"/>
        <v>0</v>
      </c>
      <c r="BJ90" s="5">
        <f t="shared" si="126"/>
        <v>0</v>
      </c>
      <c r="BK90" s="5">
        <f t="shared" si="127"/>
        <v>0</v>
      </c>
      <c r="BL90" s="5">
        <f t="shared" si="128"/>
        <v>0</v>
      </c>
      <c r="BM90" s="5">
        <f t="shared" si="129"/>
        <v>0</v>
      </c>
      <c r="BN90" s="5">
        <f t="shared" si="130"/>
        <v>0</v>
      </c>
      <c r="BO90" s="5">
        <f t="shared" si="131"/>
        <v>0</v>
      </c>
      <c r="BP90" s="5">
        <f t="shared" si="132"/>
        <v>0</v>
      </c>
      <c r="BQ90" s="5">
        <f t="shared" si="133"/>
        <v>0</v>
      </c>
      <c r="BR90" s="5">
        <f t="shared" si="134"/>
        <v>0</v>
      </c>
      <c r="BS90" s="5">
        <f t="shared" si="135"/>
        <v>0</v>
      </c>
      <c r="BT90" s="5">
        <f t="shared" si="136"/>
        <v>0</v>
      </c>
      <c r="BU90" s="5">
        <f t="shared" si="137"/>
        <v>0</v>
      </c>
      <c r="BV90" s="5">
        <f t="shared" si="138"/>
        <v>0</v>
      </c>
      <c r="BW90" s="5">
        <f t="shared" si="139"/>
        <v>0</v>
      </c>
      <c r="BX90" s="5">
        <f t="shared" si="140"/>
        <v>0</v>
      </c>
      <c r="BY90" s="5">
        <f t="shared" si="115"/>
        <v>0</v>
      </c>
      <c r="BZ90" s="5">
        <f t="shared" si="141"/>
        <v>0</v>
      </c>
      <c r="CA90" s="5">
        <f t="shared" si="142"/>
        <v>0</v>
      </c>
      <c r="CB90" s="5">
        <f t="shared" si="143"/>
        <v>0</v>
      </c>
      <c r="CC90" s="5">
        <f t="shared" si="144"/>
        <v>0</v>
      </c>
      <c r="CD90" s="5">
        <f t="shared" si="145"/>
        <v>0</v>
      </c>
      <c r="CE90" s="5">
        <f t="shared" si="146"/>
        <v>0</v>
      </c>
      <c r="CF90" s="5">
        <f t="shared" si="147"/>
        <v>0</v>
      </c>
      <c r="CG90" s="5">
        <f t="shared" si="148"/>
        <v>0</v>
      </c>
      <c r="CH90" s="5">
        <f t="shared" si="149"/>
        <v>0</v>
      </c>
      <c r="CI90" s="5">
        <f t="shared" si="150"/>
        <v>0</v>
      </c>
      <c r="CJ90" s="5"/>
      <c r="CK90" s="4">
        <f t="shared" si="116"/>
        <v>0</v>
      </c>
    </row>
    <row r="91" spans="1:89" ht="38" customHeight="1">
      <c r="A91" s="33" t="str">
        <f t="shared" si="114"/>
        <v/>
      </c>
      <c r="B91" s="10"/>
      <c r="C91" s="87"/>
      <c r="D91" s="88"/>
      <c r="E91" s="88"/>
      <c r="F91" s="44">
        <f t="shared" si="151"/>
        <v>0</v>
      </c>
      <c r="G91" s="88"/>
      <c r="H91" s="88"/>
      <c r="I91" s="44">
        <f t="shared" si="152"/>
        <v>0</v>
      </c>
      <c r="J91" s="89"/>
      <c r="K91" s="90"/>
      <c r="L91" s="44">
        <f t="shared" si="153"/>
        <v>0</v>
      </c>
      <c r="M91" s="90"/>
      <c r="N91" s="90"/>
      <c r="O91" s="44">
        <f t="shared" si="154"/>
        <v>0</v>
      </c>
      <c r="P91" s="90"/>
      <c r="Q91" s="90"/>
      <c r="R91" s="44">
        <f t="shared" si="155"/>
        <v>0</v>
      </c>
      <c r="S91" s="90"/>
      <c r="T91" s="90"/>
      <c r="U91" s="44">
        <f t="shared" si="156"/>
        <v>0</v>
      </c>
      <c r="V91" s="90"/>
      <c r="W91" s="90"/>
      <c r="X91" s="44">
        <f t="shared" si="157"/>
        <v>0</v>
      </c>
      <c r="Y91" s="44"/>
      <c r="Z91" s="44"/>
      <c r="AA91" s="44"/>
      <c r="AB91" s="44">
        <f t="shared" si="158"/>
        <v>0</v>
      </c>
      <c r="AC91" s="23"/>
      <c r="AD91" s="6"/>
      <c r="AE91" s="7">
        <f t="shared" si="159"/>
        <v>0</v>
      </c>
      <c r="AF91" s="6"/>
      <c r="AG91" s="7">
        <f t="shared" si="160"/>
        <v>0</v>
      </c>
      <c r="AH91" s="6"/>
      <c r="AI91" s="7">
        <f t="shared" si="161"/>
        <v>0</v>
      </c>
      <c r="AJ91" s="6"/>
      <c r="AK91" s="7">
        <f t="shared" si="162"/>
        <v>0</v>
      </c>
      <c r="AL91" s="6"/>
      <c r="AM91" s="7">
        <f t="shared" si="163"/>
        <v>0</v>
      </c>
      <c r="AN91" s="6"/>
      <c r="AO91" s="7">
        <f t="shared" si="164"/>
        <v>0</v>
      </c>
      <c r="AP91" s="30">
        <f t="shared" si="165"/>
        <v>0</v>
      </c>
      <c r="AQ91" s="6"/>
      <c r="AR91" s="6"/>
      <c r="AS91" s="6"/>
      <c r="AT91" s="44">
        <f t="shared" si="166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7"/>
        <v>0</v>
      </c>
      <c r="BB91" s="5">
        <f t="shared" si="118"/>
        <v>0</v>
      </c>
      <c r="BC91" s="5">
        <f t="shared" si="119"/>
        <v>0</v>
      </c>
      <c r="BD91" s="5">
        <f t="shared" si="120"/>
        <v>0</v>
      </c>
      <c r="BE91" s="5">
        <f t="shared" si="121"/>
        <v>0</v>
      </c>
      <c r="BF91" s="5">
        <f t="shared" si="122"/>
        <v>0</v>
      </c>
      <c r="BG91" s="5">
        <f t="shared" si="123"/>
        <v>0</v>
      </c>
      <c r="BH91" s="5">
        <f t="shared" si="124"/>
        <v>0</v>
      </c>
      <c r="BI91" s="5">
        <f t="shared" si="125"/>
        <v>0</v>
      </c>
      <c r="BJ91" s="5">
        <f t="shared" si="126"/>
        <v>0</v>
      </c>
      <c r="BK91" s="5">
        <f t="shared" si="127"/>
        <v>0</v>
      </c>
      <c r="BL91" s="5">
        <f t="shared" si="128"/>
        <v>0</v>
      </c>
      <c r="BM91" s="5">
        <f t="shared" si="129"/>
        <v>0</v>
      </c>
      <c r="BN91" s="5">
        <f t="shared" si="130"/>
        <v>0</v>
      </c>
      <c r="BO91" s="5">
        <f t="shared" si="131"/>
        <v>0</v>
      </c>
      <c r="BP91" s="5">
        <f t="shared" si="132"/>
        <v>0</v>
      </c>
      <c r="BQ91" s="5">
        <f t="shared" si="133"/>
        <v>0</v>
      </c>
      <c r="BR91" s="5">
        <f t="shared" si="134"/>
        <v>0</v>
      </c>
      <c r="BS91" s="5">
        <f t="shared" si="135"/>
        <v>0</v>
      </c>
      <c r="BT91" s="5">
        <f t="shared" si="136"/>
        <v>0</v>
      </c>
      <c r="BU91" s="5">
        <f t="shared" si="137"/>
        <v>0</v>
      </c>
      <c r="BV91" s="5">
        <f t="shared" si="138"/>
        <v>0</v>
      </c>
      <c r="BW91" s="5">
        <f t="shared" si="139"/>
        <v>0</v>
      </c>
      <c r="BX91" s="5">
        <f t="shared" si="140"/>
        <v>0</v>
      </c>
      <c r="BY91" s="5">
        <f t="shared" si="115"/>
        <v>0</v>
      </c>
      <c r="BZ91" s="5">
        <f t="shared" si="141"/>
        <v>0</v>
      </c>
      <c r="CA91" s="5">
        <f t="shared" si="142"/>
        <v>0</v>
      </c>
      <c r="CB91" s="5">
        <f t="shared" si="143"/>
        <v>0</v>
      </c>
      <c r="CC91" s="5">
        <f t="shared" si="144"/>
        <v>0</v>
      </c>
      <c r="CD91" s="5">
        <f t="shared" si="145"/>
        <v>0</v>
      </c>
      <c r="CE91" s="5">
        <f t="shared" si="146"/>
        <v>0</v>
      </c>
      <c r="CF91" s="5">
        <f t="shared" si="147"/>
        <v>0</v>
      </c>
      <c r="CG91" s="5">
        <f t="shared" si="148"/>
        <v>0</v>
      </c>
      <c r="CH91" s="5">
        <f t="shared" si="149"/>
        <v>0</v>
      </c>
      <c r="CI91" s="5">
        <f t="shared" si="150"/>
        <v>0</v>
      </c>
      <c r="CJ91" s="5"/>
      <c r="CK91" s="4">
        <f t="shared" si="116"/>
        <v>0</v>
      </c>
    </row>
    <row r="92" spans="1:89" ht="38" customHeight="1">
      <c r="A92" s="33" t="str">
        <f t="shared" si="114"/>
        <v/>
      </c>
      <c r="B92" s="10"/>
      <c r="C92" s="87"/>
      <c r="D92" s="88"/>
      <c r="E92" s="88"/>
      <c r="F92" s="44">
        <f t="shared" si="151"/>
        <v>0</v>
      </c>
      <c r="G92" s="88"/>
      <c r="H92" s="88"/>
      <c r="I92" s="44">
        <f t="shared" si="152"/>
        <v>0</v>
      </c>
      <c r="J92" s="89"/>
      <c r="K92" s="90"/>
      <c r="L92" s="44">
        <f t="shared" si="153"/>
        <v>0</v>
      </c>
      <c r="M92" s="90"/>
      <c r="N92" s="90"/>
      <c r="O92" s="44">
        <f t="shared" si="154"/>
        <v>0</v>
      </c>
      <c r="P92" s="90"/>
      <c r="Q92" s="90"/>
      <c r="R92" s="44">
        <f t="shared" si="155"/>
        <v>0</v>
      </c>
      <c r="S92" s="90"/>
      <c r="T92" s="90"/>
      <c r="U92" s="44">
        <f t="shared" si="156"/>
        <v>0</v>
      </c>
      <c r="V92" s="90"/>
      <c r="W92" s="90"/>
      <c r="X92" s="44">
        <f t="shared" si="157"/>
        <v>0</v>
      </c>
      <c r="Y92" s="44"/>
      <c r="Z92" s="44"/>
      <c r="AA92" s="44"/>
      <c r="AB92" s="44">
        <f t="shared" si="158"/>
        <v>0</v>
      </c>
      <c r="AC92" s="23"/>
      <c r="AD92" s="6"/>
      <c r="AE92" s="7">
        <f t="shared" ref="AE92:AE100" si="167">SUMIF($BC$1:$CI$1,AE$1,$BC92:$CI92)+AD92</f>
        <v>0</v>
      </c>
      <c r="AF92" s="6"/>
      <c r="AG92" s="7">
        <f t="shared" ref="AG92:AG100" si="168">SUMIF($BC$1:$CI$1,AG$1,$BC92:$CI92)+AF92</f>
        <v>0</v>
      </c>
      <c r="AH92" s="6"/>
      <c r="AI92" s="7">
        <f t="shared" ref="AI92:AI100" si="169">SUMIF($BC$1:$CI$1,AI$1,$BC92:$CI92)+AH92</f>
        <v>0</v>
      </c>
      <c r="AJ92" s="6"/>
      <c r="AK92" s="7">
        <f t="shared" ref="AK92:AK100" si="170">SUMIF($BC$1:$CI$1,AK$1,$BC92:$CI92)+AJ92</f>
        <v>0</v>
      </c>
      <c r="AL92" s="6"/>
      <c r="AM92" s="7">
        <f t="shared" ref="AM92:AM100" si="171">SUMIF($BC$1:$CI$1,AM$1,$BC92:$CI92)+AL92</f>
        <v>0</v>
      </c>
      <c r="AN92" s="6"/>
      <c r="AO92" s="7">
        <f t="shared" ref="AO92:AO100" si="172">SUMIF($BC$1:$CI$1,AO$1,$BC92:$CI92)+AN92</f>
        <v>0</v>
      </c>
      <c r="AP92" s="30">
        <f t="shared" si="165"/>
        <v>0</v>
      </c>
      <c r="AQ92" s="6"/>
      <c r="AR92" s="6"/>
      <c r="AS92" s="6"/>
      <c r="AT92" s="44">
        <f t="shared" si="166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7"/>
        <v>0</v>
      </c>
      <c r="BB92" s="5">
        <f t="shared" si="118"/>
        <v>0</v>
      </c>
      <c r="BC92" s="5">
        <f t="shared" si="119"/>
        <v>0</v>
      </c>
      <c r="BD92" s="5">
        <f t="shared" si="120"/>
        <v>0</v>
      </c>
      <c r="BE92" s="5">
        <f t="shared" si="121"/>
        <v>0</v>
      </c>
      <c r="BF92" s="5">
        <f t="shared" si="122"/>
        <v>0</v>
      </c>
      <c r="BG92" s="5">
        <f t="shared" si="123"/>
        <v>0</v>
      </c>
      <c r="BH92" s="5">
        <f t="shared" si="124"/>
        <v>0</v>
      </c>
      <c r="BI92" s="5">
        <f t="shared" si="125"/>
        <v>0</v>
      </c>
      <c r="BJ92" s="5">
        <f t="shared" si="126"/>
        <v>0</v>
      </c>
      <c r="BK92" s="5">
        <f t="shared" si="127"/>
        <v>0</v>
      </c>
      <c r="BL92" s="5">
        <f t="shared" si="128"/>
        <v>0</v>
      </c>
      <c r="BM92" s="5">
        <f t="shared" si="129"/>
        <v>0</v>
      </c>
      <c r="BN92" s="5">
        <f t="shared" si="130"/>
        <v>0</v>
      </c>
      <c r="BO92" s="5">
        <f t="shared" si="131"/>
        <v>0</v>
      </c>
      <c r="BP92" s="5">
        <f t="shared" si="132"/>
        <v>0</v>
      </c>
      <c r="BQ92" s="5">
        <f t="shared" si="133"/>
        <v>0</v>
      </c>
      <c r="BR92" s="5">
        <f t="shared" si="134"/>
        <v>0</v>
      </c>
      <c r="BS92" s="5">
        <f t="shared" si="135"/>
        <v>0</v>
      </c>
      <c r="BT92" s="5">
        <f t="shared" si="136"/>
        <v>0</v>
      </c>
      <c r="BU92" s="5">
        <f t="shared" si="137"/>
        <v>0</v>
      </c>
      <c r="BV92" s="5">
        <f t="shared" si="138"/>
        <v>0</v>
      </c>
      <c r="BW92" s="5">
        <f t="shared" si="139"/>
        <v>0</v>
      </c>
      <c r="BX92" s="5">
        <f t="shared" si="140"/>
        <v>0</v>
      </c>
      <c r="BY92" s="5">
        <f t="shared" si="115"/>
        <v>0</v>
      </c>
      <c r="BZ92" s="5">
        <f t="shared" si="141"/>
        <v>0</v>
      </c>
      <c r="CA92" s="5">
        <f t="shared" si="142"/>
        <v>0</v>
      </c>
      <c r="CB92" s="5">
        <f t="shared" si="143"/>
        <v>0</v>
      </c>
      <c r="CC92" s="5">
        <f t="shared" si="144"/>
        <v>0</v>
      </c>
      <c r="CD92" s="5">
        <f t="shared" si="145"/>
        <v>0</v>
      </c>
      <c r="CE92" s="5">
        <f t="shared" si="146"/>
        <v>0</v>
      </c>
      <c r="CF92" s="5">
        <f t="shared" si="147"/>
        <v>0</v>
      </c>
      <c r="CG92" s="5">
        <f t="shared" si="148"/>
        <v>0</v>
      </c>
      <c r="CH92" s="5">
        <f t="shared" si="149"/>
        <v>0</v>
      </c>
      <c r="CI92" s="5">
        <f t="shared" si="150"/>
        <v>0</v>
      </c>
      <c r="CJ92" s="5"/>
      <c r="CK92" s="4">
        <f t="shared" si="116"/>
        <v>0</v>
      </c>
    </row>
    <row r="93" spans="1:89" ht="38" customHeight="1">
      <c r="A93" s="33" t="str">
        <f t="shared" si="114"/>
        <v/>
      </c>
      <c r="B93" s="10"/>
      <c r="C93" s="87"/>
      <c r="D93" s="88"/>
      <c r="E93" s="88"/>
      <c r="F93" s="44">
        <f t="shared" si="151"/>
        <v>0</v>
      </c>
      <c r="G93" s="88"/>
      <c r="H93" s="88"/>
      <c r="I93" s="44">
        <f t="shared" si="152"/>
        <v>0</v>
      </c>
      <c r="J93" s="89"/>
      <c r="K93" s="90"/>
      <c r="L93" s="44">
        <f t="shared" si="153"/>
        <v>0</v>
      </c>
      <c r="M93" s="90"/>
      <c r="N93" s="90"/>
      <c r="O93" s="44">
        <f t="shared" si="154"/>
        <v>0</v>
      </c>
      <c r="P93" s="90"/>
      <c r="Q93" s="90"/>
      <c r="R93" s="44">
        <f t="shared" si="155"/>
        <v>0</v>
      </c>
      <c r="S93" s="90"/>
      <c r="T93" s="90"/>
      <c r="U93" s="44">
        <f t="shared" si="156"/>
        <v>0</v>
      </c>
      <c r="V93" s="90"/>
      <c r="W93" s="90"/>
      <c r="X93" s="44">
        <f t="shared" si="157"/>
        <v>0</v>
      </c>
      <c r="Y93" s="44"/>
      <c r="Z93" s="44"/>
      <c r="AA93" s="44"/>
      <c r="AB93" s="44">
        <f t="shared" si="158"/>
        <v>0</v>
      </c>
      <c r="AC93" s="23"/>
      <c r="AD93" s="6"/>
      <c r="AE93" s="7">
        <f t="shared" si="167"/>
        <v>0</v>
      </c>
      <c r="AF93" s="6"/>
      <c r="AG93" s="7">
        <f t="shared" si="168"/>
        <v>0</v>
      </c>
      <c r="AH93" s="6"/>
      <c r="AI93" s="7">
        <f t="shared" si="169"/>
        <v>0</v>
      </c>
      <c r="AJ93" s="6"/>
      <c r="AK93" s="7">
        <f t="shared" si="170"/>
        <v>0</v>
      </c>
      <c r="AL93" s="6"/>
      <c r="AM93" s="7">
        <f t="shared" si="171"/>
        <v>0</v>
      </c>
      <c r="AN93" s="6"/>
      <c r="AO93" s="7">
        <f t="shared" si="172"/>
        <v>0</v>
      </c>
      <c r="AP93" s="30">
        <f t="shared" si="165"/>
        <v>0</v>
      </c>
      <c r="AQ93" s="6"/>
      <c r="AR93" s="6"/>
      <c r="AS93" s="6"/>
      <c r="AT93" s="44">
        <f t="shared" si="166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7"/>
        <v>0</v>
      </c>
      <c r="BB93" s="5">
        <f t="shared" si="118"/>
        <v>0</v>
      </c>
      <c r="BC93" s="5">
        <f t="shared" si="119"/>
        <v>0</v>
      </c>
      <c r="BD93" s="5">
        <f t="shared" si="120"/>
        <v>0</v>
      </c>
      <c r="BE93" s="5">
        <f t="shared" si="121"/>
        <v>0</v>
      </c>
      <c r="BF93" s="5">
        <f t="shared" si="122"/>
        <v>0</v>
      </c>
      <c r="BG93" s="5">
        <f t="shared" si="123"/>
        <v>0</v>
      </c>
      <c r="BH93" s="5">
        <f t="shared" si="124"/>
        <v>0</v>
      </c>
      <c r="BI93" s="5">
        <f t="shared" si="125"/>
        <v>0</v>
      </c>
      <c r="BJ93" s="5">
        <f t="shared" si="126"/>
        <v>0</v>
      </c>
      <c r="BK93" s="5">
        <f t="shared" si="127"/>
        <v>0</v>
      </c>
      <c r="BL93" s="5">
        <f t="shared" si="128"/>
        <v>0</v>
      </c>
      <c r="BM93" s="5">
        <f t="shared" si="129"/>
        <v>0</v>
      </c>
      <c r="BN93" s="5">
        <f t="shared" si="130"/>
        <v>0</v>
      </c>
      <c r="BO93" s="5">
        <f t="shared" si="131"/>
        <v>0</v>
      </c>
      <c r="BP93" s="5">
        <f t="shared" si="132"/>
        <v>0</v>
      </c>
      <c r="BQ93" s="5">
        <f t="shared" si="133"/>
        <v>0</v>
      </c>
      <c r="BR93" s="5">
        <f t="shared" si="134"/>
        <v>0</v>
      </c>
      <c r="BS93" s="5">
        <f t="shared" si="135"/>
        <v>0</v>
      </c>
      <c r="BT93" s="5">
        <f t="shared" si="136"/>
        <v>0</v>
      </c>
      <c r="BU93" s="5">
        <f t="shared" si="137"/>
        <v>0</v>
      </c>
      <c r="BV93" s="5">
        <f t="shared" si="138"/>
        <v>0</v>
      </c>
      <c r="BW93" s="5">
        <f t="shared" si="139"/>
        <v>0</v>
      </c>
      <c r="BX93" s="5">
        <f t="shared" si="140"/>
        <v>0</v>
      </c>
      <c r="BY93" s="5">
        <f t="shared" si="115"/>
        <v>0</v>
      </c>
      <c r="BZ93" s="5">
        <f t="shared" si="141"/>
        <v>0</v>
      </c>
      <c r="CA93" s="5">
        <f t="shared" si="142"/>
        <v>0</v>
      </c>
      <c r="CB93" s="5">
        <f t="shared" si="143"/>
        <v>0</v>
      </c>
      <c r="CC93" s="5">
        <f t="shared" si="144"/>
        <v>0</v>
      </c>
      <c r="CD93" s="5">
        <f t="shared" si="145"/>
        <v>0</v>
      </c>
      <c r="CE93" s="5">
        <f t="shared" si="146"/>
        <v>0</v>
      </c>
      <c r="CF93" s="5">
        <f t="shared" si="147"/>
        <v>0</v>
      </c>
      <c r="CG93" s="5">
        <f t="shared" si="148"/>
        <v>0</v>
      </c>
      <c r="CH93" s="5">
        <f t="shared" si="149"/>
        <v>0</v>
      </c>
      <c r="CI93" s="5">
        <f t="shared" si="150"/>
        <v>0</v>
      </c>
      <c r="CJ93" s="5"/>
      <c r="CK93" s="4">
        <f t="shared" si="116"/>
        <v>0</v>
      </c>
    </row>
    <row r="94" spans="1:89" ht="38" customHeight="1">
      <c r="A94" s="33" t="str">
        <f t="shared" si="114"/>
        <v/>
      </c>
      <c r="B94" s="10"/>
      <c r="C94" s="87"/>
      <c r="D94" s="88"/>
      <c r="E94" s="88"/>
      <c r="F94" s="44">
        <f t="shared" si="151"/>
        <v>0</v>
      </c>
      <c r="G94" s="88"/>
      <c r="H94" s="88"/>
      <c r="I94" s="44">
        <f t="shared" si="152"/>
        <v>0</v>
      </c>
      <c r="J94" s="89"/>
      <c r="K94" s="90"/>
      <c r="L94" s="44">
        <f t="shared" si="153"/>
        <v>0</v>
      </c>
      <c r="M94" s="90"/>
      <c r="N94" s="90"/>
      <c r="O94" s="44">
        <f t="shared" si="154"/>
        <v>0</v>
      </c>
      <c r="P94" s="90"/>
      <c r="Q94" s="90"/>
      <c r="R94" s="44">
        <f t="shared" si="155"/>
        <v>0</v>
      </c>
      <c r="S94" s="90"/>
      <c r="T94" s="90"/>
      <c r="U94" s="44">
        <f t="shared" si="156"/>
        <v>0</v>
      </c>
      <c r="V94" s="90"/>
      <c r="W94" s="90"/>
      <c r="X94" s="44">
        <f t="shared" si="157"/>
        <v>0</v>
      </c>
      <c r="Y94" s="44"/>
      <c r="Z94" s="44"/>
      <c r="AA94" s="44"/>
      <c r="AB94" s="44">
        <f t="shared" si="158"/>
        <v>0</v>
      </c>
      <c r="AC94" s="23"/>
      <c r="AD94" s="6"/>
      <c r="AE94" s="7">
        <f t="shared" si="167"/>
        <v>0</v>
      </c>
      <c r="AF94" s="6"/>
      <c r="AG94" s="7">
        <f t="shared" si="168"/>
        <v>0</v>
      </c>
      <c r="AH94" s="6"/>
      <c r="AI94" s="7">
        <f t="shared" si="169"/>
        <v>0</v>
      </c>
      <c r="AJ94" s="6"/>
      <c r="AK94" s="7">
        <f t="shared" si="170"/>
        <v>0</v>
      </c>
      <c r="AL94" s="6"/>
      <c r="AM94" s="7">
        <f t="shared" si="171"/>
        <v>0</v>
      </c>
      <c r="AN94" s="6"/>
      <c r="AO94" s="7">
        <f t="shared" si="172"/>
        <v>0</v>
      </c>
      <c r="AP94" s="30">
        <f t="shared" si="165"/>
        <v>0</v>
      </c>
      <c r="AQ94" s="6"/>
      <c r="AR94" s="6"/>
      <c r="AS94" s="6"/>
      <c r="AT94" s="44">
        <f t="shared" si="166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7"/>
        <v>0</v>
      </c>
      <c r="BB94" s="5">
        <f t="shared" si="118"/>
        <v>0</v>
      </c>
      <c r="BC94" s="5">
        <f t="shared" si="119"/>
        <v>0</v>
      </c>
      <c r="BD94" s="5">
        <f t="shared" si="120"/>
        <v>0</v>
      </c>
      <c r="BE94" s="5">
        <f t="shared" si="121"/>
        <v>0</v>
      </c>
      <c r="BF94" s="5">
        <f t="shared" si="122"/>
        <v>0</v>
      </c>
      <c r="BG94" s="5">
        <f t="shared" si="123"/>
        <v>0</v>
      </c>
      <c r="BH94" s="5">
        <f t="shared" si="124"/>
        <v>0</v>
      </c>
      <c r="BI94" s="5">
        <f t="shared" si="125"/>
        <v>0</v>
      </c>
      <c r="BJ94" s="5">
        <f t="shared" si="126"/>
        <v>0</v>
      </c>
      <c r="BK94" s="5">
        <f t="shared" si="127"/>
        <v>0</v>
      </c>
      <c r="BL94" s="5">
        <f t="shared" si="128"/>
        <v>0</v>
      </c>
      <c r="BM94" s="5">
        <f t="shared" si="129"/>
        <v>0</v>
      </c>
      <c r="BN94" s="5">
        <f t="shared" si="130"/>
        <v>0</v>
      </c>
      <c r="BO94" s="5">
        <f t="shared" si="131"/>
        <v>0</v>
      </c>
      <c r="BP94" s="5">
        <f t="shared" si="132"/>
        <v>0</v>
      </c>
      <c r="BQ94" s="5">
        <f t="shared" si="133"/>
        <v>0</v>
      </c>
      <c r="BR94" s="5">
        <f t="shared" si="134"/>
        <v>0</v>
      </c>
      <c r="BS94" s="5">
        <f t="shared" si="135"/>
        <v>0</v>
      </c>
      <c r="BT94" s="5">
        <f t="shared" si="136"/>
        <v>0</v>
      </c>
      <c r="BU94" s="5">
        <f t="shared" si="137"/>
        <v>0</v>
      </c>
      <c r="BV94" s="5">
        <f t="shared" si="138"/>
        <v>0</v>
      </c>
      <c r="BW94" s="5">
        <f t="shared" si="139"/>
        <v>0</v>
      </c>
      <c r="BX94" s="5">
        <f t="shared" si="140"/>
        <v>0</v>
      </c>
      <c r="BY94" s="5">
        <f t="shared" si="115"/>
        <v>0</v>
      </c>
      <c r="BZ94" s="5">
        <f t="shared" si="141"/>
        <v>0</v>
      </c>
      <c r="CA94" s="5">
        <f t="shared" si="142"/>
        <v>0</v>
      </c>
      <c r="CB94" s="5">
        <f t="shared" si="143"/>
        <v>0</v>
      </c>
      <c r="CC94" s="5">
        <f t="shared" si="144"/>
        <v>0</v>
      </c>
      <c r="CD94" s="5">
        <f t="shared" si="145"/>
        <v>0</v>
      </c>
      <c r="CE94" s="5">
        <f t="shared" si="146"/>
        <v>0</v>
      </c>
      <c r="CF94" s="5">
        <f t="shared" si="147"/>
        <v>0</v>
      </c>
      <c r="CG94" s="5">
        <f t="shared" si="148"/>
        <v>0</v>
      </c>
      <c r="CH94" s="5">
        <f t="shared" si="149"/>
        <v>0</v>
      </c>
      <c r="CI94" s="5">
        <f t="shared" si="150"/>
        <v>0</v>
      </c>
      <c r="CJ94" s="5"/>
      <c r="CK94" s="4">
        <f t="shared" si="116"/>
        <v>0</v>
      </c>
    </row>
    <row r="95" spans="1:89" ht="38" customHeight="1">
      <c r="A95" s="33" t="str">
        <f t="shared" si="114"/>
        <v/>
      </c>
      <c r="B95" s="10"/>
      <c r="C95" s="87"/>
      <c r="D95" s="88"/>
      <c r="E95" s="88"/>
      <c r="F95" s="44">
        <f t="shared" si="151"/>
        <v>0</v>
      </c>
      <c r="G95" s="88"/>
      <c r="H95" s="88"/>
      <c r="I95" s="44">
        <f t="shared" si="152"/>
        <v>0</v>
      </c>
      <c r="J95" s="89"/>
      <c r="K95" s="90"/>
      <c r="L95" s="44">
        <f t="shared" si="153"/>
        <v>0</v>
      </c>
      <c r="M95" s="90"/>
      <c r="N95" s="90"/>
      <c r="O95" s="44">
        <f t="shared" si="154"/>
        <v>0</v>
      </c>
      <c r="P95" s="90"/>
      <c r="Q95" s="90"/>
      <c r="R95" s="44">
        <f t="shared" si="155"/>
        <v>0</v>
      </c>
      <c r="S95" s="90"/>
      <c r="T95" s="90"/>
      <c r="U95" s="44">
        <f t="shared" si="156"/>
        <v>0</v>
      </c>
      <c r="V95" s="90"/>
      <c r="W95" s="90"/>
      <c r="X95" s="44">
        <f t="shared" si="157"/>
        <v>0</v>
      </c>
      <c r="Y95" s="44"/>
      <c r="Z95" s="44"/>
      <c r="AA95" s="44"/>
      <c r="AB95" s="44">
        <f t="shared" ref="AB95:AB100" si="173">SUM(F95,I95,L95,O95,R95,U95,X95)</f>
        <v>0</v>
      </c>
      <c r="AC95" s="23"/>
      <c r="AD95" s="6"/>
      <c r="AE95" s="7">
        <f t="shared" si="167"/>
        <v>0</v>
      </c>
      <c r="AF95" s="6"/>
      <c r="AG95" s="7">
        <f t="shared" si="168"/>
        <v>0</v>
      </c>
      <c r="AH95" s="6"/>
      <c r="AI95" s="7">
        <f t="shared" si="169"/>
        <v>0</v>
      </c>
      <c r="AJ95" s="6"/>
      <c r="AK95" s="7">
        <f t="shared" si="170"/>
        <v>0</v>
      </c>
      <c r="AL95" s="6"/>
      <c r="AM95" s="7">
        <f t="shared" si="171"/>
        <v>0</v>
      </c>
      <c r="AN95" s="6"/>
      <c r="AO95" s="7">
        <f t="shared" si="172"/>
        <v>0</v>
      </c>
      <c r="AP95" s="30">
        <f t="shared" si="165"/>
        <v>0</v>
      </c>
      <c r="AQ95" s="6"/>
      <c r="AR95" s="6"/>
      <c r="AS95" s="6"/>
      <c r="AT95" s="44">
        <f t="shared" ref="AT95:AT100" si="174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7"/>
        <v>0</v>
      </c>
      <c r="BB95" s="5">
        <f t="shared" si="118"/>
        <v>0</v>
      </c>
      <c r="BC95" s="5">
        <f t="shared" si="119"/>
        <v>0</v>
      </c>
      <c r="BD95" s="5">
        <f t="shared" si="120"/>
        <v>0</v>
      </c>
      <c r="BE95" s="5">
        <f t="shared" si="121"/>
        <v>0</v>
      </c>
      <c r="BF95" s="5">
        <f t="shared" si="122"/>
        <v>0</v>
      </c>
      <c r="BG95" s="5">
        <f t="shared" si="123"/>
        <v>0</v>
      </c>
      <c r="BH95" s="5">
        <f t="shared" si="124"/>
        <v>0</v>
      </c>
      <c r="BI95" s="5">
        <f t="shared" si="125"/>
        <v>0</v>
      </c>
      <c r="BJ95" s="5">
        <f t="shared" si="126"/>
        <v>0</v>
      </c>
      <c r="BK95" s="5">
        <f t="shared" si="127"/>
        <v>0</v>
      </c>
      <c r="BL95" s="5">
        <f t="shared" si="128"/>
        <v>0</v>
      </c>
      <c r="BM95" s="5">
        <f t="shared" si="129"/>
        <v>0</v>
      </c>
      <c r="BN95" s="5">
        <f t="shared" si="130"/>
        <v>0</v>
      </c>
      <c r="BO95" s="5">
        <f t="shared" si="131"/>
        <v>0</v>
      </c>
      <c r="BP95" s="5">
        <f t="shared" si="132"/>
        <v>0</v>
      </c>
      <c r="BQ95" s="5">
        <f t="shared" si="133"/>
        <v>0</v>
      </c>
      <c r="BR95" s="5">
        <f t="shared" si="134"/>
        <v>0</v>
      </c>
      <c r="BS95" s="5">
        <f t="shared" si="135"/>
        <v>0</v>
      </c>
      <c r="BT95" s="5">
        <f t="shared" si="136"/>
        <v>0</v>
      </c>
      <c r="BU95" s="5">
        <f t="shared" si="137"/>
        <v>0</v>
      </c>
      <c r="BV95" s="5">
        <f t="shared" si="138"/>
        <v>0</v>
      </c>
      <c r="BW95" s="5">
        <f t="shared" si="139"/>
        <v>0</v>
      </c>
      <c r="BX95" s="5">
        <f t="shared" si="140"/>
        <v>0</v>
      </c>
      <c r="BY95" s="5">
        <f t="shared" si="115"/>
        <v>0</v>
      </c>
      <c r="BZ95" s="5">
        <f t="shared" si="141"/>
        <v>0</v>
      </c>
      <c r="CA95" s="5">
        <f t="shared" si="142"/>
        <v>0</v>
      </c>
      <c r="CB95" s="5">
        <f t="shared" si="143"/>
        <v>0</v>
      </c>
      <c r="CC95" s="5">
        <f t="shared" si="144"/>
        <v>0</v>
      </c>
      <c r="CD95" s="5">
        <f t="shared" si="145"/>
        <v>0</v>
      </c>
      <c r="CE95" s="5">
        <f t="shared" si="146"/>
        <v>0</v>
      </c>
      <c r="CF95" s="5">
        <f t="shared" si="147"/>
        <v>0</v>
      </c>
      <c r="CG95" s="5">
        <f t="shared" si="148"/>
        <v>0</v>
      </c>
      <c r="CH95" s="5">
        <f t="shared" si="149"/>
        <v>0</v>
      </c>
      <c r="CI95" s="5">
        <f t="shared" si="150"/>
        <v>0</v>
      </c>
      <c r="CJ95" s="5"/>
      <c r="CK95" s="4">
        <f t="shared" si="116"/>
        <v>0</v>
      </c>
    </row>
    <row r="96" spans="1:89" ht="38" customHeight="1">
      <c r="A96" s="33" t="str">
        <f t="shared" si="114"/>
        <v/>
      </c>
      <c r="B96" s="10"/>
      <c r="C96" s="87"/>
      <c r="D96" s="88"/>
      <c r="E96" s="88"/>
      <c r="F96" s="44">
        <f t="shared" si="151"/>
        <v>0</v>
      </c>
      <c r="G96" s="88"/>
      <c r="H96" s="88"/>
      <c r="I96" s="44">
        <f t="shared" si="152"/>
        <v>0</v>
      </c>
      <c r="J96" s="89"/>
      <c r="K96" s="90"/>
      <c r="L96" s="44">
        <f t="shared" si="153"/>
        <v>0</v>
      </c>
      <c r="M96" s="90"/>
      <c r="N96" s="90"/>
      <c r="O96" s="44">
        <f t="shared" si="154"/>
        <v>0</v>
      </c>
      <c r="P96" s="90"/>
      <c r="Q96" s="90"/>
      <c r="R96" s="44">
        <f t="shared" si="155"/>
        <v>0</v>
      </c>
      <c r="S96" s="90"/>
      <c r="T96" s="90"/>
      <c r="U96" s="44">
        <f t="shared" si="156"/>
        <v>0</v>
      </c>
      <c r="V96" s="90"/>
      <c r="W96" s="90"/>
      <c r="X96" s="44">
        <f t="shared" si="157"/>
        <v>0</v>
      </c>
      <c r="Y96" s="44"/>
      <c r="Z96" s="44"/>
      <c r="AA96" s="44"/>
      <c r="AB96" s="44">
        <f t="shared" si="173"/>
        <v>0</v>
      </c>
      <c r="AC96" s="23"/>
      <c r="AD96" s="6"/>
      <c r="AE96" s="7">
        <f t="shared" si="167"/>
        <v>0</v>
      </c>
      <c r="AF96" s="6"/>
      <c r="AG96" s="7">
        <f t="shared" si="168"/>
        <v>0</v>
      </c>
      <c r="AH96" s="6"/>
      <c r="AI96" s="7">
        <f t="shared" si="169"/>
        <v>0</v>
      </c>
      <c r="AJ96" s="6"/>
      <c r="AK96" s="7">
        <f t="shared" si="170"/>
        <v>0</v>
      </c>
      <c r="AL96" s="6"/>
      <c r="AM96" s="7">
        <f t="shared" si="171"/>
        <v>0</v>
      </c>
      <c r="AN96" s="6"/>
      <c r="AO96" s="7">
        <f t="shared" si="172"/>
        <v>0</v>
      </c>
      <c r="AP96" s="30">
        <f t="shared" si="165"/>
        <v>0</v>
      </c>
      <c r="AQ96" s="6"/>
      <c r="AR96" s="6"/>
      <c r="AS96" s="6"/>
      <c r="AT96" s="44">
        <f t="shared" si="174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7"/>
        <v>0</v>
      </c>
      <c r="BB96" s="5">
        <f t="shared" si="118"/>
        <v>0</v>
      </c>
      <c r="BC96" s="5">
        <f t="shared" si="119"/>
        <v>0</v>
      </c>
      <c r="BD96" s="5">
        <f t="shared" si="120"/>
        <v>0</v>
      </c>
      <c r="BE96" s="5">
        <f t="shared" si="121"/>
        <v>0</v>
      </c>
      <c r="BF96" s="5">
        <f t="shared" si="122"/>
        <v>0</v>
      </c>
      <c r="BG96" s="5">
        <f t="shared" si="123"/>
        <v>0</v>
      </c>
      <c r="BH96" s="5">
        <f t="shared" si="124"/>
        <v>0</v>
      </c>
      <c r="BI96" s="5">
        <f t="shared" si="125"/>
        <v>0</v>
      </c>
      <c r="BJ96" s="5">
        <f t="shared" si="126"/>
        <v>0</v>
      </c>
      <c r="BK96" s="5">
        <f t="shared" si="127"/>
        <v>0</v>
      </c>
      <c r="BL96" s="5">
        <f t="shared" si="128"/>
        <v>0</v>
      </c>
      <c r="BM96" s="5">
        <f t="shared" si="129"/>
        <v>0</v>
      </c>
      <c r="BN96" s="5">
        <f t="shared" si="130"/>
        <v>0</v>
      </c>
      <c r="BO96" s="5">
        <f t="shared" si="131"/>
        <v>0</v>
      </c>
      <c r="BP96" s="5">
        <f t="shared" si="132"/>
        <v>0</v>
      </c>
      <c r="BQ96" s="5">
        <f t="shared" si="133"/>
        <v>0</v>
      </c>
      <c r="BR96" s="5">
        <f t="shared" si="134"/>
        <v>0</v>
      </c>
      <c r="BS96" s="5">
        <f t="shared" si="135"/>
        <v>0</v>
      </c>
      <c r="BT96" s="5">
        <f t="shared" si="136"/>
        <v>0</v>
      </c>
      <c r="BU96" s="5">
        <f t="shared" si="137"/>
        <v>0</v>
      </c>
      <c r="BV96" s="5">
        <f t="shared" si="138"/>
        <v>0</v>
      </c>
      <c r="BW96" s="5">
        <f t="shared" si="139"/>
        <v>0</v>
      </c>
      <c r="BX96" s="5">
        <f t="shared" si="140"/>
        <v>0</v>
      </c>
      <c r="BY96" s="5">
        <f t="shared" si="115"/>
        <v>0</v>
      </c>
      <c r="BZ96" s="5">
        <f t="shared" si="141"/>
        <v>0</v>
      </c>
      <c r="CA96" s="5">
        <f t="shared" si="142"/>
        <v>0</v>
      </c>
      <c r="CB96" s="5">
        <f t="shared" si="143"/>
        <v>0</v>
      </c>
      <c r="CC96" s="5">
        <f t="shared" si="144"/>
        <v>0</v>
      </c>
      <c r="CD96" s="5">
        <f t="shared" si="145"/>
        <v>0</v>
      </c>
      <c r="CE96" s="5">
        <f t="shared" si="146"/>
        <v>0</v>
      </c>
      <c r="CF96" s="5">
        <f t="shared" si="147"/>
        <v>0</v>
      </c>
      <c r="CG96" s="5">
        <f t="shared" si="148"/>
        <v>0</v>
      </c>
      <c r="CH96" s="5">
        <f t="shared" si="149"/>
        <v>0</v>
      </c>
      <c r="CI96" s="5">
        <f t="shared" si="150"/>
        <v>0</v>
      </c>
      <c r="CJ96" s="5"/>
      <c r="CK96" s="4">
        <f t="shared" si="116"/>
        <v>0</v>
      </c>
    </row>
    <row r="97" spans="1:89" ht="38" customHeight="1">
      <c r="A97" s="33" t="str">
        <f t="shared" si="114"/>
        <v/>
      </c>
      <c r="B97" s="10"/>
      <c r="C97" s="87"/>
      <c r="D97" s="88"/>
      <c r="E97" s="88"/>
      <c r="F97" s="44">
        <f t="shared" si="151"/>
        <v>0</v>
      </c>
      <c r="G97" s="88"/>
      <c r="H97" s="88"/>
      <c r="I97" s="44">
        <f t="shared" si="152"/>
        <v>0</v>
      </c>
      <c r="J97" s="89"/>
      <c r="K97" s="90"/>
      <c r="L97" s="44">
        <f t="shared" si="153"/>
        <v>0</v>
      </c>
      <c r="M97" s="90"/>
      <c r="N97" s="90"/>
      <c r="O97" s="44">
        <f t="shared" si="154"/>
        <v>0</v>
      </c>
      <c r="P97" s="90"/>
      <c r="Q97" s="90"/>
      <c r="R97" s="44">
        <f t="shared" si="155"/>
        <v>0</v>
      </c>
      <c r="S97" s="90"/>
      <c r="T97" s="90"/>
      <c r="U97" s="44">
        <f t="shared" si="156"/>
        <v>0</v>
      </c>
      <c r="V97" s="90"/>
      <c r="W97" s="90"/>
      <c r="X97" s="44">
        <f t="shared" si="157"/>
        <v>0</v>
      </c>
      <c r="Y97" s="44"/>
      <c r="Z97" s="44"/>
      <c r="AA97" s="44"/>
      <c r="AB97" s="44">
        <f t="shared" si="173"/>
        <v>0</v>
      </c>
      <c r="AC97" s="23"/>
      <c r="AD97" s="6"/>
      <c r="AE97" s="7">
        <f t="shared" si="167"/>
        <v>0</v>
      </c>
      <c r="AF97" s="6"/>
      <c r="AG97" s="7">
        <f t="shared" si="168"/>
        <v>0</v>
      </c>
      <c r="AH97" s="6"/>
      <c r="AI97" s="7">
        <f t="shared" si="169"/>
        <v>0</v>
      </c>
      <c r="AJ97" s="6"/>
      <c r="AK97" s="7">
        <f t="shared" si="170"/>
        <v>0</v>
      </c>
      <c r="AL97" s="6"/>
      <c r="AM97" s="7">
        <f t="shared" si="171"/>
        <v>0</v>
      </c>
      <c r="AN97" s="6"/>
      <c r="AO97" s="7">
        <f t="shared" si="172"/>
        <v>0</v>
      </c>
      <c r="AP97" s="30">
        <f t="shared" si="165"/>
        <v>0</v>
      </c>
      <c r="AQ97" s="6"/>
      <c r="AR97" s="6"/>
      <c r="AS97" s="6"/>
      <c r="AT97" s="44">
        <f t="shared" si="174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7"/>
        <v>0</v>
      </c>
      <c r="BB97" s="5">
        <f t="shared" si="118"/>
        <v>0</v>
      </c>
      <c r="BC97" s="5">
        <f t="shared" si="119"/>
        <v>0</v>
      </c>
      <c r="BD97" s="5">
        <f t="shared" si="120"/>
        <v>0</v>
      </c>
      <c r="BE97" s="5">
        <f t="shared" si="121"/>
        <v>0</v>
      </c>
      <c r="BF97" s="5">
        <f t="shared" si="122"/>
        <v>0</v>
      </c>
      <c r="BG97" s="5">
        <f t="shared" si="123"/>
        <v>0</v>
      </c>
      <c r="BH97" s="5">
        <f t="shared" si="124"/>
        <v>0</v>
      </c>
      <c r="BI97" s="5">
        <f t="shared" si="125"/>
        <v>0</v>
      </c>
      <c r="BJ97" s="5">
        <f t="shared" si="126"/>
        <v>0</v>
      </c>
      <c r="BK97" s="5">
        <f t="shared" si="127"/>
        <v>0</v>
      </c>
      <c r="BL97" s="5">
        <f t="shared" si="128"/>
        <v>0</v>
      </c>
      <c r="BM97" s="5">
        <f t="shared" si="129"/>
        <v>0</v>
      </c>
      <c r="BN97" s="5">
        <f t="shared" si="130"/>
        <v>0</v>
      </c>
      <c r="BO97" s="5">
        <f t="shared" si="131"/>
        <v>0</v>
      </c>
      <c r="BP97" s="5">
        <f t="shared" si="132"/>
        <v>0</v>
      </c>
      <c r="BQ97" s="5">
        <f t="shared" si="133"/>
        <v>0</v>
      </c>
      <c r="BR97" s="5">
        <f t="shared" si="134"/>
        <v>0</v>
      </c>
      <c r="BS97" s="5">
        <f t="shared" si="135"/>
        <v>0</v>
      </c>
      <c r="BT97" s="5">
        <f t="shared" si="136"/>
        <v>0</v>
      </c>
      <c r="BU97" s="5">
        <f t="shared" si="137"/>
        <v>0</v>
      </c>
      <c r="BV97" s="5">
        <f t="shared" si="138"/>
        <v>0</v>
      </c>
      <c r="BW97" s="5">
        <f t="shared" si="139"/>
        <v>0</v>
      </c>
      <c r="BX97" s="5">
        <f t="shared" si="140"/>
        <v>0</v>
      </c>
      <c r="BY97" s="5">
        <f t="shared" si="115"/>
        <v>0</v>
      </c>
      <c r="BZ97" s="5">
        <f t="shared" si="141"/>
        <v>0</v>
      </c>
      <c r="CA97" s="5">
        <f t="shared" si="142"/>
        <v>0</v>
      </c>
      <c r="CB97" s="5">
        <f t="shared" si="143"/>
        <v>0</v>
      </c>
      <c r="CC97" s="5">
        <f t="shared" si="144"/>
        <v>0</v>
      </c>
      <c r="CD97" s="5">
        <f t="shared" si="145"/>
        <v>0</v>
      </c>
      <c r="CE97" s="5">
        <f t="shared" si="146"/>
        <v>0</v>
      </c>
      <c r="CF97" s="5">
        <f t="shared" si="147"/>
        <v>0</v>
      </c>
      <c r="CG97" s="5">
        <f t="shared" si="148"/>
        <v>0</v>
      </c>
      <c r="CH97" s="5">
        <f t="shared" si="149"/>
        <v>0</v>
      </c>
      <c r="CI97" s="5">
        <f t="shared" si="150"/>
        <v>0</v>
      </c>
      <c r="CJ97" s="5"/>
      <c r="CK97" s="4">
        <f t="shared" si="116"/>
        <v>0</v>
      </c>
    </row>
    <row r="98" spans="1:89" ht="38" customHeight="1">
      <c r="A98" s="33" t="str">
        <f t="shared" si="114"/>
        <v/>
      </c>
      <c r="B98" s="10"/>
      <c r="C98" s="87"/>
      <c r="D98" s="88"/>
      <c r="E98" s="88"/>
      <c r="F98" s="44">
        <f t="shared" si="151"/>
        <v>0</v>
      </c>
      <c r="G98" s="88"/>
      <c r="H98" s="88"/>
      <c r="I98" s="44">
        <f t="shared" si="152"/>
        <v>0</v>
      </c>
      <c r="J98" s="89"/>
      <c r="K98" s="90"/>
      <c r="L98" s="44">
        <f t="shared" si="153"/>
        <v>0</v>
      </c>
      <c r="M98" s="90"/>
      <c r="N98" s="90"/>
      <c r="O98" s="44">
        <f t="shared" si="154"/>
        <v>0</v>
      </c>
      <c r="P98" s="90"/>
      <c r="Q98" s="90"/>
      <c r="R98" s="44">
        <f t="shared" si="155"/>
        <v>0</v>
      </c>
      <c r="S98" s="90"/>
      <c r="T98" s="90"/>
      <c r="U98" s="44">
        <f t="shared" si="156"/>
        <v>0</v>
      </c>
      <c r="V98" s="90"/>
      <c r="W98" s="90"/>
      <c r="X98" s="44">
        <f t="shared" si="157"/>
        <v>0</v>
      </c>
      <c r="Y98" s="44"/>
      <c r="Z98" s="44"/>
      <c r="AA98" s="44"/>
      <c r="AB98" s="44">
        <f t="shared" si="173"/>
        <v>0</v>
      </c>
      <c r="AC98" s="23"/>
      <c r="AD98" s="6"/>
      <c r="AE98" s="7">
        <f t="shared" si="167"/>
        <v>0</v>
      </c>
      <c r="AF98" s="6"/>
      <c r="AG98" s="7">
        <f t="shared" si="168"/>
        <v>0</v>
      </c>
      <c r="AH98" s="6"/>
      <c r="AI98" s="7">
        <f t="shared" si="169"/>
        <v>0</v>
      </c>
      <c r="AJ98" s="6"/>
      <c r="AK98" s="7">
        <f t="shared" si="170"/>
        <v>0</v>
      </c>
      <c r="AL98" s="6"/>
      <c r="AM98" s="7">
        <f t="shared" si="171"/>
        <v>0</v>
      </c>
      <c r="AN98" s="6"/>
      <c r="AO98" s="7">
        <f t="shared" si="172"/>
        <v>0</v>
      </c>
      <c r="AP98" s="30">
        <f t="shared" si="165"/>
        <v>0</v>
      </c>
      <c r="AQ98" s="6"/>
      <c r="AR98" s="6"/>
      <c r="AS98" s="6"/>
      <c r="AT98" s="44">
        <f t="shared" si="174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7"/>
        <v>0</v>
      </c>
      <c r="BB98" s="5">
        <f t="shared" si="118"/>
        <v>0</v>
      </c>
      <c r="BC98" s="5">
        <f t="shared" si="119"/>
        <v>0</v>
      </c>
      <c r="BD98" s="5">
        <f t="shared" si="120"/>
        <v>0</v>
      </c>
      <c r="BE98" s="5">
        <f t="shared" si="121"/>
        <v>0</v>
      </c>
      <c r="BF98" s="5">
        <f t="shared" si="122"/>
        <v>0</v>
      </c>
      <c r="BG98" s="5">
        <f t="shared" si="123"/>
        <v>0</v>
      </c>
      <c r="BH98" s="5">
        <f t="shared" si="124"/>
        <v>0</v>
      </c>
      <c r="BI98" s="5">
        <f t="shared" si="125"/>
        <v>0</v>
      </c>
      <c r="BJ98" s="5">
        <f t="shared" si="126"/>
        <v>0</v>
      </c>
      <c r="BK98" s="5">
        <f t="shared" si="127"/>
        <v>0</v>
      </c>
      <c r="BL98" s="5">
        <f t="shared" si="128"/>
        <v>0</v>
      </c>
      <c r="BM98" s="5">
        <f t="shared" si="129"/>
        <v>0</v>
      </c>
      <c r="BN98" s="5">
        <f t="shared" si="130"/>
        <v>0</v>
      </c>
      <c r="BO98" s="5">
        <f t="shared" si="131"/>
        <v>0</v>
      </c>
      <c r="BP98" s="5">
        <f t="shared" si="132"/>
        <v>0</v>
      </c>
      <c r="BQ98" s="5">
        <f t="shared" si="133"/>
        <v>0</v>
      </c>
      <c r="BR98" s="5">
        <f t="shared" si="134"/>
        <v>0</v>
      </c>
      <c r="BS98" s="5">
        <f t="shared" si="135"/>
        <v>0</v>
      </c>
      <c r="BT98" s="5">
        <f t="shared" si="136"/>
        <v>0</v>
      </c>
      <c r="BU98" s="5">
        <f t="shared" si="137"/>
        <v>0</v>
      </c>
      <c r="BV98" s="5">
        <f t="shared" si="138"/>
        <v>0</v>
      </c>
      <c r="BW98" s="5">
        <f t="shared" si="139"/>
        <v>0</v>
      </c>
      <c r="BX98" s="5">
        <f t="shared" si="140"/>
        <v>0</v>
      </c>
      <c r="BY98" s="5">
        <f t="shared" si="115"/>
        <v>0</v>
      </c>
      <c r="BZ98" s="5">
        <f t="shared" si="141"/>
        <v>0</v>
      </c>
      <c r="CA98" s="5">
        <f t="shared" si="142"/>
        <v>0</v>
      </c>
      <c r="CB98" s="5">
        <f t="shared" si="143"/>
        <v>0</v>
      </c>
      <c r="CC98" s="5">
        <f t="shared" si="144"/>
        <v>0</v>
      </c>
      <c r="CD98" s="5">
        <f t="shared" si="145"/>
        <v>0</v>
      </c>
      <c r="CE98" s="5">
        <f t="shared" si="146"/>
        <v>0</v>
      </c>
      <c r="CF98" s="5">
        <f t="shared" si="147"/>
        <v>0</v>
      </c>
      <c r="CG98" s="5">
        <f t="shared" si="148"/>
        <v>0</v>
      </c>
      <c r="CH98" s="5">
        <f t="shared" si="149"/>
        <v>0</v>
      </c>
      <c r="CI98" s="5">
        <f t="shared" si="150"/>
        <v>0</v>
      </c>
      <c r="CJ98" s="5"/>
      <c r="CK98" s="4">
        <f t="shared" si="116"/>
        <v>0</v>
      </c>
    </row>
    <row r="99" spans="1:89" ht="38" customHeight="1">
      <c r="A99" s="33" t="str">
        <f t="shared" si="114"/>
        <v/>
      </c>
      <c r="B99" s="10"/>
      <c r="C99" s="87"/>
      <c r="D99" s="88"/>
      <c r="E99" s="88"/>
      <c r="F99" s="44">
        <f t="shared" si="151"/>
        <v>0</v>
      </c>
      <c r="G99" s="88"/>
      <c r="H99" s="88"/>
      <c r="I99" s="44">
        <f t="shared" si="152"/>
        <v>0</v>
      </c>
      <c r="J99" s="89"/>
      <c r="K99" s="90"/>
      <c r="L99" s="44">
        <f t="shared" si="153"/>
        <v>0</v>
      </c>
      <c r="M99" s="90"/>
      <c r="N99" s="90"/>
      <c r="O99" s="44">
        <f t="shared" si="154"/>
        <v>0</v>
      </c>
      <c r="P99" s="90"/>
      <c r="Q99" s="90"/>
      <c r="R99" s="44">
        <f t="shared" si="155"/>
        <v>0</v>
      </c>
      <c r="S99" s="90"/>
      <c r="T99" s="90"/>
      <c r="U99" s="44">
        <f t="shared" si="156"/>
        <v>0</v>
      </c>
      <c r="V99" s="90"/>
      <c r="W99" s="90"/>
      <c r="X99" s="44">
        <f t="shared" si="157"/>
        <v>0</v>
      </c>
      <c r="Y99" s="44"/>
      <c r="Z99" s="44"/>
      <c r="AA99" s="44"/>
      <c r="AB99" s="44">
        <f t="shared" si="173"/>
        <v>0</v>
      </c>
      <c r="AC99" s="23"/>
      <c r="AD99" s="6"/>
      <c r="AE99" s="7">
        <f t="shared" si="167"/>
        <v>0</v>
      </c>
      <c r="AF99" s="6"/>
      <c r="AG99" s="7">
        <f t="shared" si="168"/>
        <v>0</v>
      </c>
      <c r="AH99" s="6"/>
      <c r="AI99" s="7">
        <f t="shared" si="169"/>
        <v>0</v>
      </c>
      <c r="AJ99" s="6"/>
      <c r="AK99" s="7">
        <f t="shared" si="170"/>
        <v>0</v>
      </c>
      <c r="AL99" s="6"/>
      <c r="AM99" s="7">
        <f t="shared" si="171"/>
        <v>0</v>
      </c>
      <c r="AN99" s="6"/>
      <c r="AO99" s="7">
        <f t="shared" si="172"/>
        <v>0</v>
      </c>
      <c r="AP99" s="30">
        <f t="shared" si="165"/>
        <v>0</v>
      </c>
      <c r="AQ99" s="6"/>
      <c r="AR99" s="6"/>
      <c r="AS99" s="6"/>
      <c r="AT99" s="44">
        <f t="shared" si="174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7"/>
        <v>0</v>
      </c>
      <c r="BB99" s="5">
        <f t="shared" si="118"/>
        <v>0</v>
      </c>
      <c r="BC99" s="5">
        <f t="shared" si="119"/>
        <v>0</v>
      </c>
      <c r="BD99" s="5">
        <f t="shared" si="120"/>
        <v>0</v>
      </c>
      <c r="BE99" s="5">
        <f t="shared" si="121"/>
        <v>0</v>
      </c>
      <c r="BF99" s="5">
        <f t="shared" si="122"/>
        <v>0</v>
      </c>
      <c r="BG99" s="5">
        <f t="shared" si="123"/>
        <v>0</v>
      </c>
      <c r="BH99" s="5">
        <f t="shared" si="124"/>
        <v>0</v>
      </c>
      <c r="BI99" s="5">
        <f t="shared" si="125"/>
        <v>0</v>
      </c>
      <c r="BJ99" s="5">
        <f t="shared" si="126"/>
        <v>0</v>
      </c>
      <c r="BK99" s="5">
        <f t="shared" si="127"/>
        <v>0</v>
      </c>
      <c r="BL99" s="5">
        <f t="shared" si="128"/>
        <v>0</v>
      </c>
      <c r="BM99" s="5">
        <f t="shared" si="129"/>
        <v>0</v>
      </c>
      <c r="BN99" s="5">
        <f t="shared" si="130"/>
        <v>0</v>
      </c>
      <c r="BO99" s="5">
        <f t="shared" si="131"/>
        <v>0</v>
      </c>
      <c r="BP99" s="5">
        <f t="shared" si="132"/>
        <v>0</v>
      </c>
      <c r="BQ99" s="5">
        <f t="shared" si="133"/>
        <v>0</v>
      </c>
      <c r="BR99" s="5">
        <f t="shared" si="134"/>
        <v>0</v>
      </c>
      <c r="BS99" s="5">
        <f t="shared" si="135"/>
        <v>0</v>
      </c>
      <c r="BT99" s="5">
        <f t="shared" si="136"/>
        <v>0</v>
      </c>
      <c r="BU99" s="5">
        <f t="shared" si="137"/>
        <v>0</v>
      </c>
      <c r="BV99" s="5">
        <f t="shared" si="138"/>
        <v>0</v>
      </c>
      <c r="BW99" s="5">
        <f t="shared" si="139"/>
        <v>0</v>
      </c>
      <c r="BX99" s="5">
        <f t="shared" si="140"/>
        <v>0</v>
      </c>
      <c r="BY99" s="5">
        <f t="shared" si="115"/>
        <v>0</v>
      </c>
      <c r="BZ99" s="5">
        <f t="shared" si="141"/>
        <v>0</v>
      </c>
      <c r="CA99" s="5">
        <f t="shared" si="142"/>
        <v>0</v>
      </c>
      <c r="CB99" s="5">
        <f t="shared" si="143"/>
        <v>0</v>
      </c>
      <c r="CC99" s="5">
        <f t="shared" si="144"/>
        <v>0</v>
      </c>
      <c r="CD99" s="5">
        <f t="shared" si="145"/>
        <v>0</v>
      </c>
      <c r="CE99" s="5">
        <f t="shared" si="146"/>
        <v>0</v>
      </c>
      <c r="CF99" s="5">
        <f t="shared" si="147"/>
        <v>0</v>
      </c>
      <c r="CG99" s="5">
        <f t="shared" si="148"/>
        <v>0</v>
      </c>
      <c r="CH99" s="5">
        <f t="shared" si="149"/>
        <v>0</v>
      </c>
      <c r="CI99" s="5">
        <f t="shared" si="150"/>
        <v>0</v>
      </c>
      <c r="CJ99" s="5"/>
      <c r="CK99" s="4">
        <f t="shared" si="116"/>
        <v>0</v>
      </c>
    </row>
    <row r="100" spans="1:89" ht="38" customHeight="1">
      <c r="A100" s="33" t="str">
        <f t="shared" si="114"/>
        <v/>
      </c>
      <c r="B100" s="10"/>
      <c r="C100" s="87"/>
      <c r="D100" s="88"/>
      <c r="E100" s="88"/>
      <c r="F100" s="44">
        <f t="shared" si="151"/>
        <v>0</v>
      </c>
      <c r="G100" s="88"/>
      <c r="H100" s="88"/>
      <c r="I100" s="44">
        <f t="shared" si="152"/>
        <v>0</v>
      </c>
      <c r="J100" s="89"/>
      <c r="K100" s="90"/>
      <c r="L100" s="44">
        <f t="shared" si="153"/>
        <v>0</v>
      </c>
      <c r="M100" s="90"/>
      <c r="N100" s="90"/>
      <c r="O100" s="44">
        <f t="shared" si="154"/>
        <v>0</v>
      </c>
      <c r="P100" s="90"/>
      <c r="Q100" s="90"/>
      <c r="R100" s="44">
        <f t="shared" si="155"/>
        <v>0</v>
      </c>
      <c r="S100" s="90"/>
      <c r="T100" s="90"/>
      <c r="U100" s="44">
        <f t="shared" si="156"/>
        <v>0</v>
      </c>
      <c r="V100" s="90"/>
      <c r="W100" s="90"/>
      <c r="X100" s="44">
        <f t="shared" si="157"/>
        <v>0</v>
      </c>
      <c r="Y100" s="44"/>
      <c r="Z100" s="44"/>
      <c r="AA100" s="44"/>
      <c r="AB100" s="44">
        <f t="shared" si="173"/>
        <v>0</v>
      </c>
      <c r="AC100" s="23"/>
      <c r="AD100" s="6"/>
      <c r="AE100" s="7">
        <f t="shared" si="167"/>
        <v>0</v>
      </c>
      <c r="AF100" s="6"/>
      <c r="AG100" s="7">
        <f t="shared" si="168"/>
        <v>0</v>
      </c>
      <c r="AH100" s="6"/>
      <c r="AI100" s="7">
        <f t="shared" si="169"/>
        <v>0</v>
      </c>
      <c r="AJ100" s="6"/>
      <c r="AK100" s="7">
        <f t="shared" si="170"/>
        <v>0</v>
      </c>
      <c r="AL100" s="6"/>
      <c r="AM100" s="7">
        <f t="shared" si="171"/>
        <v>0</v>
      </c>
      <c r="AN100" s="6"/>
      <c r="AO100" s="7">
        <f t="shared" si="172"/>
        <v>0</v>
      </c>
      <c r="AP100" s="30">
        <f t="shared" si="165"/>
        <v>0</v>
      </c>
      <c r="AQ100" s="6"/>
      <c r="AR100" s="6"/>
      <c r="AS100" s="6"/>
      <c r="AT100" s="44">
        <f t="shared" si="174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7"/>
        <v>0</v>
      </c>
      <c r="BB100" s="5">
        <f t="shared" si="118"/>
        <v>0</v>
      </c>
      <c r="BC100" s="5">
        <f t="shared" si="119"/>
        <v>0</v>
      </c>
      <c r="BD100" s="5">
        <f t="shared" si="120"/>
        <v>0</v>
      </c>
      <c r="BE100" s="5">
        <f t="shared" si="121"/>
        <v>0</v>
      </c>
      <c r="BF100" s="5">
        <f t="shared" si="122"/>
        <v>0</v>
      </c>
      <c r="BG100" s="5">
        <f t="shared" si="123"/>
        <v>0</v>
      </c>
      <c r="BH100" s="5">
        <f t="shared" si="124"/>
        <v>0</v>
      </c>
      <c r="BI100" s="5">
        <f t="shared" si="125"/>
        <v>0</v>
      </c>
      <c r="BJ100" s="5">
        <f t="shared" si="126"/>
        <v>0</v>
      </c>
      <c r="BK100" s="5">
        <f t="shared" si="127"/>
        <v>0</v>
      </c>
      <c r="BL100" s="5">
        <f t="shared" si="128"/>
        <v>0</v>
      </c>
      <c r="BM100" s="5">
        <f t="shared" si="129"/>
        <v>0</v>
      </c>
      <c r="BN100" s="5">
        <f t="shared" si="130"/>
        <v>0</v>
      </c>
      <c r="BO100" s="5">
        <f t="shared" si="131"/>
        <v>0</v>
      </c>
      <c r="BP100" s="5">
        <f t="shared" si="132"/>
        <v>0</v>
      </c>
      <c r="BQ100" s="5">
        <f t="shared" si="133"/>
        <v>0</v>
      </c>
      <c r="BR100" s="5">
        <f t="shared" si="134"/>
        <v>0</v>
      </c>
      <c r="BS100" s="5">
        <f t="shared" si="135"/>
        <v>0</v>
      </c>
      <c r="BT100" s="5">
        <f t="shared" si="136"/>
        <v>0</v>
      </c>
      <c r="BU100" s="5">
        <f t="shared" si="137"/>
        <v>0</v>
      </c>
      <c r="BV100" s="5">
        <f t="shared" si="138"/>
        <v>0</v>
      </c>
      <c r="BW100" s="5">
        <f t="shared" si="139"/>
        <v>0</v>
      </c>
      <c r="BX100" s="5">
        <f t="shared" si="140"/>
        <v>0</v>
      </c>
      <c r="BY100" s="5">
        <f t="shared" si="115"/>
        <v>0</v>
      </c>
      <c r="BZ100" s="5">
        <f t="shared" si="141"/>
        <v>0</v>
      </c>
      <c r="CA100" s="5">
        <f t="shared" si="142"/>
        <v>0</v>
      </c>
      <c r="CB100" s="5">
        <f t="shared" si="143"/>
        <v>0</v>
      </c>
      <c r="CC100" s="5">
        <f t="shared" si="144"/>
        <v>0</v>
      </c>
      <c r="CD100" s="5">
        <f t="shared" si="145"/>
        <v>0</v>
      </c>
      <c r="CE100" s="5">
        <f t="shared" si="146"/>
        <v>0</v>
      </c>
      <c r="CF100" s="5">
        <f t="shared" si="147"/>
        <v>0</v>
      </c>
      <c r="CG100" s="5">
        <f t="shared" si="148"/>
        <v>0</v>
      </c>
      <c r="CH100" s="5">
        <f t="shared" si="149"/>
        <v>0</v>
      </c>
      <c r="CI100" s="5">
        <f t="shared" si="150"/>
        <v>0</v>
      </c>
      <c r="CJ100" s="5"/>
      <c r="CK100" s="4">
        <f t="shared" si="116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tabSelected="1" zoomScale="40" zoomScaleNormal="4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AQ11" sqref="AQ11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10185</v>
      </c>
      <c r="B2" s="81" t="s">
        <v>51</v>
      </c>
      <c r="C2" s="103" t="s">
        <v>555</v>
      </c>
      <c r="D2" s="75"/>
      <c r="E2" s="75"/>
      <c r="F2" s="91">
        <f>BA2-BB2</f>
        <v>0</v>
      </c>
      <c r="G2" s="75"/>
      <c r="H2" s="76"/>
      <c r="I2" s="91">
        <f>BF2-BG2</f>
        <v>0</v>
      </c>
      <c r="J2" s="75"/>
      <c r="K2" s="76"/>
      <c r="L2" s="91">
        <f>BK2-BL2</f>
        <v>0</v>
      </c>
      <c r="M2" s="75"/>
      <c r="N2" s="76"/>
      <c r="O2" s="91">
        <f>BP2-BQ2</f>
        <v>0</v>
      </c>
      <c r="P2" s="75"/>
      <c r="Q2" s="76"/>
      <c r="R2" s="91">
        <f>BU2-BV2</f>
        <v>0</v>
      </c>
      <c r="S2" s="75"/>
      <c r="T2" s="75"/>
      <c r="U2" s="91">
        <f>BZ2-CA2</f>
        <v>0</v>
      </c>
      <c r="V2" s="75"/>
      <c r="W2" s="101"/>
      <c r="X2" s="91">
        <f>CE2-CF2</f>
        <v>0</v>
      </c>
      <c r="Y2" s="91"/>
      <c r="Z2" s="91"/>
      <c r="AA2" s="91"/>
      <c r="AB2" s="95">
        <f>SUM(F2,I2,L2,O2,R2,U2,X2)</f>
        <v>0</v>
      </c>
      <c r="AC2" s="92"/>
      <c r="AD2" s="78">
        <v>1</v>
      </c>
      <c r="AE2" s="93">
        <f>SUMIF($BC$1:$CI$1,AE$1,$BC2:$CI2)+AD2</f>
        <v>1</v>
      </c>
      <c r="AF2" s="78"/>
      <c r="AG2" s="93">
        <f>SUMIF($BC$1:$CI$1,AG$1,$BC2:$CI2)+AF2</f>
        <v>0</v>
      </c>
      <c r="AH2" s="78"/>
      <c r="AI2" s="93">
        <f>SUMIF($BC$1:$CI$1,AI$1,$BC2:$CI2)+AH2</f>
        <v>0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0</v>
      </c>
      <c r="AQ2" s="77"/>
      <c r="AR2" s="77">
        <v>23</v>
      </c>
      <c r="AS2" s="77"/>
      <c r="AT2" s="63">
        <f>AE2+AG2+AI2+AK2+AM2+AO2+SUM(AQ2:AS2)</f>
        <v>24</v>
      </c>
      <c r="AU2" s="78" t="s">
        <v>1509</v>
      </c>
      <c r="AV2" s="5"/>
      <c r="AW2" s="5"/>
      <c r="AX2" s="5"/>
      <c r="AY2" s="5"/>
      <c r="AZ2" s="24">
        <f>VLOOKUP(C2,Employees!D:I,6,FALSE)</f>
        <v>10185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>
        <f t="shared" si="0"/>
        <v>10138</v>
      </c>
      <c r="B3" s="81" t="s">
        <v>51</v>
      </c>
      <c r="C3" s="103" t="s">
        <v>282</v>
      </c>
      <c r="D3" s="75"/>
      <c r="E3" s="75"/>
      <c r="F3" s="91">
        <f t="shared" ref="F3:F74" si="9">BA3-BB3</f>
        <v>0</v>
      </c>
      <c r="G3" s="75"/>
      <c r="H3" s="75"/>
      <c r="I3" s="91">
        <f t="shared" ref="I3:I74" si="10">BF3-BG3</f>
        <v>0</v>
      </c>
      <c r="J3" s="75"/>
      <c r="K3" s="75"/>
      <c r="L3" s="91">
        <f t="shared" ref="L3:L74" si="11">BK3-BL3</f>
        <v>0</v>
      </c>
      <c r="M3" s="75"/>
      <c r="N3" s="75"/>
      <c r="O3" s="91">
        <f t="shared" ref="O3:O74" si="12">BP3-BQ3</f>
        <v>0</v>
      </c>
      <c r="P3" s="76"/>
      <c r="Q3" s="75"/>
      <c r="R3" s="91">
        <f t="shared" ref="R3:R74" si="13">BU3-BV3</f>
        <v>0</v>
      </c>
      <c r="S3" s="75"/>
      <c r="T3" s="75"/>
      <c r="U3" s="91">
        <f t="shared" ref="U3:U74" si="14">BZ3-CA3</f>
        <v>0</v>
      </c>
      <c r="V3" s="75"/>
      <c r="W3" s="75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0</v>
      </c>
      <c r="AC3" s="92"/>
      <c r="AD3" s="78"/>
      <c r="AE3" s="93">
        <f t="shared" ref="AE3:AE74" si="17">SUMIF($BC$1:$CI$1,AE$1,$BC3:$CI3)+AD3</f>
        <v>0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0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0</v>
      </c>
      <c r="AQ3" s="77">
        <v>20.5</v>
      </c>
      <c r="AR3" s="77"/>
      <c r="AS3" s="77"/>
      <c r="AT3" s="63">
        <f t="shared" ref="AT3:AT74" si="24">AE3+AG3+AI3+AK3+AM3+AO3+SUM(AQ3:AS3)</f>
        <v>20.5</v>
      </c>
      <c r="AU3" s="78" t="s">
        <v>1510</v>
      </c>
      <c r="AV3" s="5"/>
      <c r="AW3" s="5"/>
      <c r="AX3" s="5"/>
      <c r="AY3" s="5"/>
      <c r="AZ3" s="24">
        <f>VLOOKUP(C3,Employees!D:I,6,FALSE)</f>
        <v>10138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10335</v>
      </c>
      <c r="B4" s="81" t="s">
        <v>51</v>
      </c>
      <c r="C4" s="103" t="s">
        <v>929</v>
      </c>
      <c r="D4" s="75">
        <v>0.375</v>
      </c>
      <c r="E4" s="75">
        <v>0.58333333333333337</v>
      </c>
      <c r="F4" s="91">
        <f t="shared" si="9"/>
        <v>5.0000000000000009</v>
      </c>
      <c r="G4" s="75"/>
      <c r="H4" s="75"/>
      <c r="I4" s="91">
        <f t="shared" si="10"/>
        <v>0</v>
      </c>
      <c r="J4" s="75"/>
      <c r="K4" s="75"/>
      <c r="L4" s="91">
        <f t="shared" si="11"/>
        <v>0</v>
      </c>
      <c r="M4" s="75">
        <v>0.50972222222222219</v>
      </c>
      <c r="N4" s="75">
        <v>0.875</v>
      </c>
      <c r="O4" s="91">
        <f t="shared" si="12"/>
        <v>8.2666666666666675</v>
      </c>
      <c r="P4" s="75"/>
      <c r="Q4" s="75"/>
      <c r="R4" s="91">
        <f t="shared" si="13"/>
        <v>0</v>
      </c>
      <c r="S4" s="84">
        <v>0.45833333333333331</v>
      </c>
      <c r="T4" s="84">
        <v>0.8</v>
      </c>
      <c r="U4" s="91">
        <f t="shared" si="14"/>
        <v>7.7000000000000011</v>
      </c>
      <c r="V4" s="84">
        <v>0.48888888888888887</v>
      </c>
      <c r="W4" s="84">
        <v>0.79166666666666663</v>
      </c>
      <c r="X4" s="91">
        <f t="shared" si="15"/>
        <v>6.7666666666666657</v>
      </c>
      <c r="Y4" s="91"/>
      <c r="Z4" s="91"/>
      <c r="AA4" s="91"/>
      <c r="AB4" s="95">
        <f t="shared" si="16"/>
        <v>27.733333333333334</v>
      </c>
      <c r="AC4" s="92"/>
      <c r="AD4" s="78"/>
      <c r="AE4" s="93">
        <f t="shared" si="17"/>
        <v>8.2666666666666675</v>
      </c>
      <c r="AF4" s="78"/>
      <c r="AG4" s="93">
        <f t="shared" si="18"/>
        <v>7.7000000000000011</v>
      </c>
      <c r="AH4" s="78"/>
      <c r="AI4" s="93">
        <f t="shared" si="19"/>
        <v>6.7666666666666657</v>
      </c>
      <c r="AJ4" s="77"/>
      <c r="AK4" s="93">
        <f t="shared" si="20"/>
        <v>5.0000000000000009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4</v>
      </c>
      <c r="AQ4" s="77"/>
      <c r="AR4" s="77"/>
      <c r="AS4" s="77"/>
      <c r="AT4" s="63">
        <f t="shared" si="24"/>
        <v>27.733333333333334</v>
      </c>
      <c r="AU4" s="78"/>
      <c r="AV4" s="5"/>
      <c r="AW4" s="5"/>
      <c r="AX4" s="5"/>
      <c r="AY4" s="5"/>
      <c r="AZ4" s="24">
        <f>VLOOKUP(C4,Employees!D:I,6,FALSE)</f>
        <v>10335</v>
      </c>
      <c r="BA4" s="5">
        <f t="shared" si="25"/>
        <v>5.0000000000000009</v>
      </c>
      <c r="BB4" s="5">
        <f t="shared" si="26"/>
        <v>0</v>
      </c>
      <c r="BC4" s="5">
        <f t="shared" si="27"/>
        <v>5.0000000000000009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8.7666666666666675</v>
      </c>
      <c r="BQ4" s="5">
        <f t="shared" si="41"/>
        <v>0.5</v>
      </c>
      <c r="BR4" s="5">
        <f t="shared" si="42"/>
        <v>8.2666666666666675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8.2000000000000011</v>
      </c>
      <c r="CA4" s="5">
        <f t="shared" si="51"/>
        <v>0.5</v>
      </c>
      <c r="CB4" s="5">
        <f t="shared" si="52"/>
        <v>7.7000000000000011</v>
      </c>
      <c r="CC4" s="5">
        <f t="shared" si="53"/>
        <v>0</v>
      </c>
      <c r="CD4" s="5">
        <f t="shared" si="54"/>
        <v>0</v>
      </c>
      <c r="CE4" s="5">
        <f t="shared" si="55"/>
        <v>7.2666666666666657</v>
      </c>
      <c r="CF4" s="5">
        <f t="shared" si="56"/>
        <v>0.5</v>
      </c>
      <c r="CG4" s="5">
        <f t="shared" si="57"/>
        <v>6.7666666666666657</v>
      </c>
      <c r="CH4" s="5">
        <f t="shared" si="58"/>
        <v>0</v>
      </c>
      <c r="CI4" s="5">
        <f t="shared" si="59"/>
        <v>0</v>
      </c>
      <c r="CJ4" s="5"/>
      <c r="CK4" s="4">
        <f t="shared" si="8"/>
        <v>4</v>
      </c>
    </row>
    <row r="5" spans="1:89" ht="47" customHeight="1">
      <c r="A5" s="74" t="str">
        <f t="shared" si="0"/>
        <v/>
      </c>
      <c r="B5" s="81"/>
      <c r="C5" s="103"/>
      <c r="D5" s="76"/>
      <c r="E5" s="75"/>
      <c r="F5" s="91">
        <f t="shared" si="9"/>
        <v>0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Q5" s="75"/>
      <c r="R5" s="91">
        <f t="shared" si="13"/>
        <v>0</v>
      </c>
      <c r="S5" s="76"/>
      <c r="T5" s="76"/>
      <c r="U5" s="91">
        <f t="shared" si="14"/>
        <v>0</v>
      </c>
      <c r="V5" s="76"/>
      <c r="W5" s="76"/>
      <c r="X5" s="91">
        <f t="shared" si="15"/>
        <v>0</v>
      </c>
      <c r="Y5" s="91"/>
      <c r="Z5" s="91"/>
      <c r="AA5" s="91"/>
      <c r="AB5" s="95">
        <f t="shared" si="16"/>
        <v>0</v>
      </c>
      <c r="AC5" s="92"/>
      <c r="AD5" s="78"/>
      <c r="AE5" s="93" t="e">
        <f t="shared" si="17"/>
        <v>#REF!</v>
      </c>
      <c r="AF5" s="78"/>
      <c r="AG5" s="93" t="e">
        <f t="shared" si="18"/>
        <v>#REF!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 t="e">
        <f t="shared" si="21"/>
        <v>#REF!</v>
      </c>
      <c r="AN5" s="77"/>
      <c r="AO5" s="93">
        <f t="shared" si="22"/>
        <v>0</v>
      </c>
      <c r="AP5" s="94">
        <f t="shared" si="23"/>
        <v>0</v>
      </c>
      <c r="AQ5" s="77"/>
      <c r="AR5" s="77"/>
      <c r="AS5" s="77"/>
      <c r="AT5" s="63" t="e">
        <f t="shared" si="24"/>
        <v>#REF!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>IF(ISBLANK(Q5),0,(#REF!-Q5)*24)</f>
        <v>0</v>
      </c>
      <c r="BV5" s="5">
        <f t="shared" si="46"/>
        <v>0</v>
      </c>
      <c r="BW5" s="5" t="e">
        <f t="shared" si="47"/>
        <v>#REF!</v>
      </c>
      <c r="BX5" s="5" t="e">
        <f>IF(AND(#REF!&gt;$AV$1, Q5&lt;$AW$1),(MIN(#REF!,$AW$1)-MAX(Q5,$AV$1))*24,0)</f>
        <v>#REF!</v>
      </c>
      <c r="BY5" s="5" t="e">
        <f>IF(#REF!&gt;$AW$1,(#REF!-MAX(Q5,$AW$1))*24,0)</f>
        <v>#REF!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210443</v>
      </c>
      <c r="B6" s="81" t="s">
        <v>51</v>
      </c>
      <c r="C6" s="104" t="s">
        <v>1211</v>
      </c>
      <c r="D6" s="76">
        <v>0.5</v>
      </c>
      <c r="E6" s="75">
        <v>0.70833333333333337</v>
      </c>
      <c r="F6" s="91">
        <f t="shared" si="9"/>
        <v>5.0000000000000009</v>
      </c>
      <c r="G6" s="75"/>
      <c r="H6" s="76"/>
      <c r="I6" s="91">
        <f t="shared" si="10"/>
        <v>0</v>
      </c>
      <c r="J6" s="76">
        <v>0.375</v>
      </c>
      <c r="K6" s="76">
        <v>0.70833333333333337</v>
      </c>
      <c r="L6" s="91">
        <f t="shared" si="11"/>
        <v>7.5</v>
      </c>
      <c r="M6" s="76"/>
      <c r="N6" s="76"/>
      <c r="O6" s="91">
        <f t="shared" si="12"/>
        <v>0</v>
      </c>
      <c r="P6" s="76">
        <v>0.375</v>
      </c>
      <c r="Q6" s="75">
        <v>0.60416666666666663</v>
      </c>
      <c r="R6" s="91">
        <f t="shared" si="13"/>
        <v>4.9999999999999991</v>
      </c>
      <c r="S6" s="76">
        <v>0.375</v>
      </c>
      <c r="T6" s="76">
        <v>0.75</v>
      </c>
      <c r="U6" s="91">
        <f t="shared" si="14"/>
        <v>8.5</v>
      </c>
      <c r="V6" s="84">
        <v>0.375</v>
      </c>
      <c r="W6" s="84">
        <v>0.70833333333333337</v>
      </c>
      <c r="X6" s="91">
        <f t="shared" si="15"/>
        <v>7.5</v>
      </c>
      <c r="Y6" s="91"/>
      <c r="Z6" s="91"/>
      <c r="AA6" s="91"/>
      <c r="AB6" s="95">
        <f t="shared" si="16"/>
        <v>33.5</v>
      </c>
      <c r="AC6" s="92"/>
      <c r="AD6" s="78">
        <v>0.5</v>
      </c>
      <c r="AE6" s="93">
        <f t="shared" si="17"/>
        <v>13</v>
      </c>
      <c r="AF6" s="78"/>
      <c r="AG6" s="93">
        <f t="shared" si="18"/>
        <v>8.5</v>
      </c>
      <c r="AH6" s="78"/>
      <c r="AI6" s="93">
        <f t="shared" si="19"/>
        <v>7.5</v>
      </c>
      <c r="AJ6" s="77"/>
      <c r="AK6" s="93">
        <f t="shared" si="20"/>
        <v>5.0000000000000009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5</v>
      </c>
      <c r="AQ6" s="77"/>
      <c r="AR6" s="77"/>
      <c r="AS6" s="77"/>
      <c r="AT6" s="63">
        <f t="shared" si="24"/>
        <v>34</v>
      </c>
      <c r="AU6" s="78" t="s">
        <v>1508</v>
      </c>
      <c r="AV6" s="5"/>
      <c r="AW6" s="5"/>
      <c r="AX6" s="5"/>
      <c r="AY6" s="5"/>
      <c r="AZ6" s="24">
        <f>VLOOKUP(C6,Employees!D:I,6,FALSE)</f>
        <v>210443</v>
      </c>
      <c r="BA6" s="5">
        <f t="shared" si="25"/>
        <v>5.0000000000000009</v>
      </c>
      <c r="BB6" s="5">
        <f t="shared" si="26"/>
        <v>0</v>
      </c>
      <c r="BC6" s="5">
        <f t="shared" si="27"/>
        <v>5.0000000000000009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8</v>
      </c>
      <c r="BL6" s="5">
        <f t="shared" si="36"/>
        <v>0.5</v>
      </c>
      <c r="BM6" s="5">
        <f t="shared" si="37"/>
        <v>7.5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>IF(ISBLANK(P6),0,(Q6-P6)*24)</f>
        <v>5.4999999999999991</v>
      </c>
      <c r="BV6" s="5">
        <f t="shared" si="46"/>
        <v>0.5</v>
      </c>
      <c r="BW6" s="5">
        <f t="shared" si="47"/>
        <v>4.9999999999999991</v>
      </c>
      <c r="BX6" s="5">
        <f>IF(AND(Q6&gt;$AV$1, P6&lt;$AW$1),(MIN(Q6,$AW$1)-MAX(P6,$AV$1))*24,0)</f>
        <v>0</v>
      </c>
      <c r="BY6" s="5">
        <f>IF(Q6&gt;$AW$1,(Q6-MAX(P6,$AW$1))*24,0)</f>
        <v>0</v>
      </c>
      <c r="BZ6" s="5">
        <f t="shared" si="50"/>
        <v>9</v>
      </c>
      <c r="CA6" s="5">
        <f t="shared" si="51"/>
        <v>0.5</v>
      </c>
      <c r="CB6" s="5">
        <f t="shared" si="52"/>
        <v>8.5</v>
      </c>
      <c r="CC6" s="5">
        <f t="shared" si="53"/>
        <v>0</v>
      </c>
      <c r="CD6" s="5">
        <f t="shared" si="54"/>
        <v>0</v>
      </c>
      <c r="CE6" s="5">
        <f t="shared" si="55"/>
        <v>8</v>
      </c>
      <c r="CF6" s="5">
        <f t="shared" si="56"/>
        <v>0.5</v>
      </c>
      <c r="CG6" s="5">
        <f t="shared" si="57"/>
        <v>7.5</v>
      </c>
      <c r="CH6" s="5">
        <f t="shared" si="58"/>
        <v>0</v>
      </c>
      <c r="CI6" s="5">
        <f t="shared" si="59"/>
        <v>0</v>
      </c>
      <c r="CJ6" s="5"/>
      <c r="CK6" s="4">
        <f t="shared" si="8"/>
        <v>5</v>
      </c>
    </row>
    <row r="7" spans="1:89" ht="47" customHeight="1">
      <c r="A7" s="74">
        <f t="shared" si="0"/>
        <v>210456</v>
      </c>
      <c r="B7" s="81" t="s">
        <v>51</v>
      </c>
      <c r="C7" s="104" t="s">
        <v>1243</v>
      </c>
      <c r="D7" s="76"/>
      <c r="E7" s="76"/>
      <c r="F7" s="91">
        <f t="shared" si="9"/>
        <v>0</v>
      </c>
      <c r="G7" s="76">
        <v>0.375</v>
      </c>
      <c r="H7" s="76">
        <v>0.70833333333333337</v>
      </c>
      <c r="I7" s="91">
        <f t="shared" si="10"/>
        <v>7.5</v>
      </c>
      <c r="J7" s="76"/>
      <c r="K7" s="76"/>
      <c r="L7" s="91">
        <f t="shared" si="11"/>
        <v>0</v>
      </c>
      <c r="M7" s="76">
        <v>0.625</v>
      </c>
      <c r="N7" s="76">
        <v>0.88888888888888884</v>
      </c>
      <c r="O7" s="91">
        <f t="shared" si="12"/>
        <v>5.8333333333333321</v>
      </c>
      <c r="P7" s="76"/>
      <c r="Q7" s="75"/>
      <c r="R7" s="91">
        <f t="shared" si="13"/>
        <v>0</v>
      </c>
      <c r="S7" s="76"/>
      <c r="T7" s="75"/>
      <c r="U7" s="91">
        <f t="shared" si="14"/>
        <v>0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13.333333333333332</v>
      </c>
      <c r="AC7" s="92"/>
      <c r="AD7" s="78"/>
      <c r="AE7" s="93">
        <f t="shared" si="17"/>
        <v>13.333333333333332</v>
      </c>
      <c r="AF7" s="77"/>
      <c r="AG7" s="93">
        <f t="shared" si="18"/>
        <v>0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2</v>
      </c>
      <c r="AQ7" s="77"/>
      <c r="AR7" s="77"/>
      <c r="AS7" s="77"/>
      <c r="AT7" s="63">
        <f t="shared" si="24"/>
        <v>13.333333333333332</v>
      </c>
      <c r="AU7" s="78"/>
      <c r="AV7" s="5"/>
      <c r="AW7" s="5"/>
      <c r="AX7" s="5"/>
      <c r="AY7" s="5"/>
      <c r="AZ7" s="24">
        <f>VLOOKUP(C7,Employees!D:I,6,FALSE)</f>
        <v>210456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8</v>
      </c>
      <c r="BG7" s="5">
        <f t="shared" si="31"/>
        <v>0.5</v>
      </c>
      <c r="BH7" s="5">
        <f t="shared" si="32"/>
        <v>7.5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6.3333333333333321</v>
      </c>
      <c r="BQ7" s="5">
        <f t="shared" si="41"/>
        <v>0.5</v>
      </c>
      <c r="BR7" s="5">
        <f t="shared" si="42"/>
        <v>5.8333333333333321</v>
      </c>
      <c r="BS7" s="5">
        <f t="shared" si="43"/>
        <v>0</v>
      </c>
      <c r="BT7" s="5">
        <f t="shared" si="44"/>
        <v>0</v>
      </c>
      <c r="BU7" s="5">
        <f>IF(ISBLANK(P7),0,(Q7-P7)*24)</f>
        <v>0</v>
      </c>
      <c r="BV7" s="5">
        <f t="shared" si="46"/>
        <v>0</v>
      </c>
      <c r="BW7" s="5">
        <f t="shared" si="47"/>
        <v>0</v>
      </c>
      <c r="BX7" s="5">
        <f>IF(AND(Q7&gt;$AV$1, P7&lt;$AW$1),(MIN(Q7,$AW$1)-MAX(P7,$AV$1))*24,0)</f>
        <v>0</v>
      </c>
      <c r="BY7" s="5">
        <f>IF(Q7&gt;$AW$1,(Q7-MAX(P7,$AW$1))*24,0)</f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>
        <f t="shared" si="0"/>
        <v>10085</v>
      </c>
      <c r="B8" s="81" t="s">
        <v>51</v>
      </c>
      <c r="C8" s="103" t="s">
        <v>142</v>
      </c>
      <c r="D8" s="76">
        <v>0.54166666666666663</v>
      </c>
      <c r="E8" s="76">
        <v>0.70833333333333337</v>
      </c>
      <c r="F8" s="91">
        <f t="shared" si="9"/>
        <v>4.0000000000000018</v>
      </c>
      <c r="G8" s="76">
        <v>0.48402777777777778</v>
      </c>
      <c r="H8" s="75">
        <v>0.80555555555555558</v>
      </c>
      <c r="I8" s="91">
        <f t="shared" si="10"/>
        <v>7.2166666666666668</v>
      </c>
      <c r="J8" s="76">
        <v>0.46458333333333335</v>
      </c>
      <c r="K8" s="75">
        <v>0.8125</v>
      </c>
      <c r="L8" s="91">
        <f t="shared" si="11"/>
        <v>7.85</v>
      </c>
      <c r="M8" s="75">
        <v>0.375</v>
      </c>
      <c r="N8" s="75">
        <v>0.75</v>
      </c>
      <c r="O8" s="91">
        <f t="shared" si="12"/>
        <v>8.5</v>
      </c>
      <c r="P8" s="76"/>
      <c r="Q8" s="76"/>
      <c r="R8" s="91">
        <f t="shared" si="13"/>
        <v>0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27.56666666666667</v>
      </c>
      <c r="AC8" s="92"/>
      <c r="AD8" s="78"/>
      <c r="AE8" s="93">
        <f t="shared" si="17"/>
        <v>23.566666666666666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4.0000000000000018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4</v>
      </c>
      <c r="AQ8" s="77"/>
      <c r="AR8" s="77"/>
      <c r="AS8" s="77"/>
      <c r="AT8" s="63">
        <f t="shared" si="24"/>
        <v>27.56666666666667</v>
      </c>
      <c r="AU8" s="78"/>
      <c r="AV8" s="5"/>
      <c r="AW8" s="5"/>
      <c r="AX8" s="5"/>
      <c r="AY8" s="5"/>
      <c r="AZ8" s="24">
        <f>VLOOKUP(C8,Employees!D:I,6,FALSE)</f>
        <v>10085</v>
      </c>
      <c r="BA8" s="5">
        <f t="shared" si="25"/>
        <v>4.0000000000000018</v>
      </c>
      <c r="BB8" s="5">
        <f t="shared" si="26"/>
        <v>0</v>
      </c>
      <c r="BC8" s="5">
        <f t="shared" si="27"/>
        <v>4.0000000000000018</v>
      </c>
      <c r="BD8" s="5">
        <f t="shared" si="28"/>
        <v>0</v>
      </c>
      <c r="BE8" s="5">
        <f t="shared" si="29"/>
        <v>0</v>
      </c>
      <c r="BF8" s="5">
        <f t="shared" si="30"/>
        <v>7.7166666666666668</v>
      </c>
      <c r="BG8" s="5">
        <f t="shared" si="31"/>
        <v>0.5</v>
      </c>
      <c r="BH8" s="5">
        <f t="shared" si="32"/>
        <v>7.2166666666666668</v>
      </c>
      <c r="BI8" s="5">
        <f t="shared" si="33"/>
        <v>0</v>
      </c>
      <c r="BJ8" s="5">
        <f t="shared" si="34"/>
        <v>0</v>
      </c>
      <c r="BK8" s="5">
        <f t="shared" si="35"/>
        <v>8.35</v>
      </c>
      <c r="BL8" s="5">
        <f t="shared" si="36"/>
        <v>0.5</v>
      </c>
      <c r="BM8" s="5">
        <f t="shared" si="37"/>
        <v>7.85</v>
      </c>
      <c r="BN8" s="5">
        <f t="shared" si="38"/>
        <v>0</v>
      </c>
      <c r="BO8" s="5">
        <f t="shared" si="39"/>
        <v>0</v>
      </c>
      <c r="BP8" s="5">
        <f t="shared" si="40"/>
        <v>9</v>
      </c>
      <c r="BQ8" s="5">
        <f t="shared" si="41"/>
        <v>0.5</v>
      </c>
      <c r="BR8" s="5">
        <f t="shared" si="42"/>
        <v>8.5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4</v>
      </c>
    </row>
    <row r="9" spans="1:89" ht="47" customHeight="1">
      <c r="A9" s="74">
        <f t="shared" si="0"/>
        <v>10074</v>
      </c>
      <c r="B9" s="81" t="s">
        <v>51</v>
      </c>
      <c r="C9" s="103" t="s">
        <v>112</v>
      </c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5">
        <v>0.45833333333333331</v>
      </c>
      <c r="Q9" s="75">
        <v>0.8125</v>
      </c>
      <c r="R9" s="91">
        <f t="shared" si="13"/>
        <v>8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8</v>
      </c>
      <c r="AC9" s="92"/>
      <c r="AD9" s="78"/>
      <c r="AE9" s="93">
        <f t="shared" si="17"/>
        <v>8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1</v>
      </c>
      <c r="AQ9" s="77"/>
      <c r="AR9" s="77"/>
      <c r="AS9" s="77"/>
      <c r="AT9" s="63">
        <f t="shared" si="24"/>
        <v>8</v>
      </c>
      <c r="AU9" s="78"/>
      <c r="AV9" s="5"/>
      <c r="AW9" s="5"/>
      <c r="AX9" s="5"/>
      <c r="AY9" s="5"/>
      <c r="AZ9" s="24">
        <f>VLOOKUP(C9,Employees!D:I,6,FALSE)</f>
        <v>10074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8.5</v>
      </c>
      <c r="BV9" s="5">
        <f t="shared" si="46"/>
        <v>0.5</v>
      </c>
      <c r="BW9" s="5">
        <f t="shared" si="47"/>
        <v>8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>
        <f t="shared" si="0"/>
        <v>210548</v>
      </c>
      <c r="B10" s="81" t="s">
        <v>51</v>
      </c>
      <c r="C10" s="104" t="s">
        <v>1494</v>
      </c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5">
        <v>0.54791666666666672</v>
      </c>
      <c r="Q10" s="75">
        <v>0.8125</v>
      </c>
      <c r="R10" s="91">
        <f t="shared" si="13"/>
        <v>5.8499999999999988</v>
      </c>
      <c r="S10" s="76">
        <v>0.5</v>
      </c>
      <c r="T10" s="75">
        <v>0.8</v>
      </c>
      <c r="U10" s="91">
        <f t="shared" si="14"/>
        <v>6.7000000000000011</v>
      </c>
      <c r="V10" s="75">
        <v>0.50972222222222219</v>
      </c>
      <c r="W10" s="76">
        <v>0.79305555555555551</v>
      </c>
      <c r="X10" s="91">
        <f t="shared" si="15"/>
        <v>6.3</v>
      </c>
      <c r="Y10" s="91"/>
      <c r="Z10" s="91"/>
      <c r="AA10" s="91"/>
      <c r="AB10" s="95">
        <f t="shared" si="16"/>
        <v>18.850000000000001</v>
      </c>
      <c r="AC10" s="92"/>
      <c r="AD10" s="78"/>
      <c r="AE10" s="93">
        <f t="shared" si="17"/>
        <v>5.8499999999999988</v>
      </c>
      <c r="AF10" s="77"/>
      <c r="AG10" s="93">
        <f t="shared" si="18"/>
        <v>6.7000000000000011</v>
      </c>
      <c r="AH10" s="78"/>
      <c r="AI10" s="93">
        <f t="shared" si="19"/>
        <v>6.3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3</v>
      </c>
      <c r="AQ10" s="77"/>
      <c r="AR10" s="77"/>
      <c r="AS10" s="77"/>
      <c r="AT10" s="63">
        <f t="shared" si="24"/>
        <v>18.850000000000001</v>
      </c>
      <c r="AU10" s="78"/>
      <c r="AV10" s="5"/>
      <c r="AW10" s="5"/>
      <c r="AX10" s="5"/>
      <c r="AY10" s="5"/>
      <c r="AZ10" s="24">
        <f>VLOOKUP(C10,Employees!D:I,6,FALSE)</f>
        <v>210548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6.3499999999999988</v>
      </c>
      <c r="BV10" s="5">
        <f t="shared" si="46"/>
        <v>0.5</v>
      </c>
      <c r="BW10" s="5">
        <f t="shared" si="47"/>
        <v>5.8499999999999988</v>
      </c>
      <c r="BX10" s="5">
        <f t="shared" si="48"/>
        <v>0</v>
      </c>
      <c r="BY10" s="5">
        <f t="shared" si="49"/>
        <v>0</v>
      </c>
      <c r="BZ10" s="5">
        <f t="shared" si="50"/>
        <v>7.2000000000000011</v>
      </c>
      <c r="CA10" s="5">
        <f t="shared" si="51"/>
        <v>0.5</v>
      </c>
      <c r="CB10" s="5">
        <f t="shared" si="52"/>
        <v>6.7000000000000011</v>
      </c>
      <c r="CC10" s="5">
        <f t="shared" si="53"/>
        <v>0</v>
      </c>
      <c r="CD10" s="5">
        <f t="shared" si="54"/>
        <v>0</v>
      </c>
      <c r="CE10" s="5">
        <f t="shared" si="55"/>
        <v>6.8</v>
      </c>
      <c r="CF10" s="5">
        <f t="shared" si="56"/>
        <v>0.5</v>
      </c>
      <c r="CG10" s="5">
        <f t="shared" si="57"/>
        <v>6.3</v>
      </c>
      <c r="CH10" s="5">
        <f t="shared" si="58"/>
        <v>0</v>
      </c>
      <c r="CI10" s="5">
        <f t="shared" si="59"/>
        <v>0</v>
      </c>
      <c r="CJ10" s="5"/>
      <c r="CK10" s="4">
        <f t="shared" si="8"/>
        <v>3</v>
      </c>
    </row>
    <row r="11" spans="1:89" ht="47" customHeight="1">
      <c r="A11" s="74">
        <f t="shared" si="0"/>
        <v>10125</v>
      </c>
      <c r="B11" s="81" t="s">
        <v>51</v>
      </c>
      <c r="C11" s="85" t="s">
        <v>247</v>
      </c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>
        <v>14</v>
      </c>
      <c r="AR11" s="77"/>
      <c r="AS11" s="77"/>
      <c r="AT11" s="63">
        <f t="shared" si="24"/>
        <v>14</v>
      </c>
      <c r="AU11" s="78"/>
      <c r="AV11" s="5"/>
      <c r="AW11" s="5"/>
      <c r="AX11" s="5"/>
      <c r="AY11" s="5"/>
      <c r="AZ11" s="24">
        <f>VLOOKUP(C11,Employees!D:I,6,FALSE)</f>
        <v>10125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F1" zoomScale="120" zoomScaleNormal="120" workbookViewId="0">
      <selection activeCell="I4" sqref="I4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10185</v>
      </c>
      <c r="B2" s="28">
        <f ca="1">IF(A2=0,"",_xlfn.NUMBERVALUE(A2))</f>
        <v>10185</v>
      </c>
      <c r="C2" s="28" t="str">
        <f ca="1">IF($A2=0,"",VLOOKUP($B2,Employees!$A:$G,2,FALSE))</f>
        <v>Lihour</v>
      </c>
      <c r="D2" s="28" t="str">
        <f ca="1">IF($A2=0,"",VLOOKUP($B2,Employees!$A:$G,3,FALSE))</f>
        <v>Chhit</v>
      </c>
      <c r="E2" s="26">
        <f ca="1">IF($A2=0,"",VLOOKUP($B2,Employees!$A:$G,5,FALSE))</f>
        <v>36488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48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Rouse Hill</v>
      </c>
      <c r="L2" s="13" t="str">
        <f ca="1">IF($A2=0,"",VLOOKUP(K2,Stores!A:B,2,0))</f>
        <v>Superb</v>
      </c>
      <c r="M2" s="14">
        <f t="shared" ref="M2" ca="1" si="0">Y2+AK2</f>
        <v>2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0</v>
      </c>
      <c r="T2" s="14">
        <f t="shared" ref="T2" ca="1" si="6">AF2+AR2</f>
        <v>0</v>
      </c>
      <c r="U2" s="14">
        <f t="shared" ref="U2" ca="1" si="7">AG2+AS2</f>
        <v>46</v>
      </c>
      <c r="V2" s="14">
        <f t="shared" ref="V2" ca="1" si="8">AH2+AT2</f>
        <v>0</v>
      </c>
      <c r="W2" s="14">
        <f ca="1">SUM(M2:R2,T2:V2)</f>
        <v>48</v>
      </c>
      <c r="Y2" s="17">
        <f ca="1">IF($A2=0,0,SUMIF('Week 1 Roster'!$AZ:$AZ,$B2,'Week 1 Roster'!$AE:$AE))</f>
        <v>1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0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23</v>
      </c>
      <c r="AH2" s="17">
        <f ca="1">IF($A2=0,0,SUMIF('Week 1 Roster'!$AZ:$AZ,$B2,'Week 1 Roster'!$AS:$AS))</f>
        <v>0</v>
      </c>
      <c r="AI2" s="17">
        <f ca="1">SUM(Y2:AD2,AF2:AH2)</f>
        <v>24</v>
      </c>
      <c r="AK2" s="17">
        <f ca="1">IF($A2=0,0,SUMIF('Week 2 Roster'!$AZ:$AZ,$B2,'Week 2 Roster'!$AE:$AE))</f>
        <v>1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23</v>
      </c>
      <c r="AT2" s="17">
        <f ca="1">IF($A2=0,0,SUMIF('Week 2 Roster'!$AZ:$AZ,$B2,'Week 2 Roster'!$AS:$AS))</f>
        <v>0</v>
      </c>
      <c r="AU2" s="17">
        <f ca="1">SUM(AK2:AP2,AR2:AT2)</f>
        <v>24</v>
      </c>
      <c r="AV2" s="17"/>
      <c r="AW2" s="25">
        <f>'Week 1 Roster'!A2</f>
        <v>10185</v>
      </c>
      <c r="AX2" s="25">
        <f>'Week 2 Roster'!A2</f>
        <v>10185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10138</v>
      </c>
      <c r="B3" s="28">
        <f t="shared" ref="B3:B66" ca="1" si="9">IF(A3=0,"",_xlfn.NUMBERVALUE(A3))</f>
        <v>10138</v>
      </c>
      <c r="C3" s="28" t="str">
        <f ca="1">IF($A3=0,"",VLOOKUP($B3,Employees!$A:$G,2,FALSE))</f>
        <v>Soksophoanketia</v>
      </c>
      <c r="D3" s="28" t="str">
        <f ca="1">IF($A3=0,"",VLOOKUP($B3,Employees!$A:$G,3,FALSE))</f>
        <v>Chantha</v>
      </c>
      <c r="E3" s="26">
        <f ca="1">IF($A3=0,"",VLOOKUP($B3,Employees!$A:$G,5,FALSE))</f>
        <v>38436</v>
      </c>
      <c r="F3" s="13">
        <f ca="1">IF($E3="","",ROUNDDOWN(YEARFRAC($E3, 'Week 1 Roster'!$D$1-1, 1), 0))</f>
        <v>20</v>
      </c>
      <c r="G3" s="13">
        <f ca="1">IF($E3="","",ROUNDDOWN(YEARFRAC($E3, 'Week 1 Roster'!$D$1+14, 1), 0))</f>
        <v>20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Rouse Hill</v>
      </c>
      <c r="L3" s="13" t="str">
        <f ca="1">IF($A3=0,"",VLOOKUP(K3,Stores!A:B,2,0))</f>
        <v>Superb</v>
      </c>
      <c r="M3" s="14">
        <f t="shared" ref="M3:M66" ca="1" si="11">Y3+AK3</f>
        <v>21.783333333333335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3</v>
      </c>
      <c r="T3" s="14">
        <f t="shared" ref="T3:T66" ca="1" si="18">AF3+AR3</f>
        <v>20.5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42.283333333333331</v>
      </c>
      <c r="Y3" s="17">
        <f ca="1">IF($A3=0,0,SUMIF('Week 1 Roster'!$AZ:$AZ,$B3,'Week 1 Roster'!$AE:$AE))</f>
        <v>21.783333333333335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3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21.783333333333335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20.5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20.5</v>
      </c>
      <c r="AV3" s="17"/>
      <c r="AW3" s="25">
        <f>'Week 1 Roster'!A3</f>
        <v>10138</v>
      </c>
      <c r="AX3" s="25">
        <f>'Week 2 Roster'!A3</f>
        <v>10138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10335</v>
      </c>
      <c r="B4" s="28">
        <f t="shared" ca="1" si="9"/>
        <v>10335</v>
      </c>
      <c r="C4" s="28" t="str">
        <f ca="1">IF($A4=0,"",VLOOKUP($B4,Employees!$A:$G,2,FALSE))</f>
        <v>Chansethea</v>
      </c>
      <c r="D4" s="28" t="str">
        <f ca="1">IF($A4=0,"",VLOOKUP($B4,Employees!$A:$G,3,FALSE))</f>
        <v>Sunly</v>
      </c>
      <c r="E4" s="26">
        <f ca="1">IF($A4=0,"",VLOOKUP($B4,Employees!$A:$G,5,FALSE))</f>
        <v>36668</v>
      </c>
      <c r="F4" s="13">
        <f ca="1">IF($E4="","",ROUNDDOWN(YEARFRAC($E4, 'Week 1 Roster'!$D$1-1, 1), 0))</f>
        <v>25</v>
      </c>
      <c r="G4" s="13">
        <f ca="1">IF($E4="","",ROUNDDOWN(YEARFRAC($E4, 'Week 1 Roster'!$D$1+14, 1), 0))</f>
        <v>25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Rouse Hill</v>
      </c>
      <c r="L4" s="13" t="str">
        <f ca="1">IF($A4=0,"",VLOOKUP(K4,Stores!A:B,2,0))</f>
        <v>Superb</v>
      </c>
      <c r="M4" s="14">
        <f t="shared" ca="1" si="11"/>
        <v>15.483333333333334</v>
      </c>
      <c r="N4" s="14">
        <f t="shared" ca="1" si="12"/>
        <v>15.050000000000002</v>
      </c>
      <c r="O4" s="14">
        <f t="shared" ca="1" si="13"/>
        <v>14.266666666666666</v>
      </c>
      <c r="P4" s="14">
        <f t="shared" ca="1" si="14"/>
        <v>5.0000000000000009</v>
      </c>
      <c r="Q4" s="14">
        <f t="shared" ca="1" si="15"/>
        <v>0</v>
      </c>
      <c r="R4" s="14">
        <f t="shared" ca="1" si="16"/>
        <v>0</v>
      </c>
      <c r="S4" s="28">
        <f t="shared" ca="1" si="17"/>
        <v>7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49.800000000000004</v>
      </c>
      <c r="Y4" s="17">
        <f ca="1">IF($A4=0,0,SUMIF('Week 1 Roster'!$AZ:$AZ,$B4,'Week 1 Roster'!$AE:$AE))</f>
        <v>7.2166666666666659</v>
      </c>
      <c r="Z4" s="17">
        <f ca="1">IF($A4=0,0,SUMIF('Week 1 Roster'!$AZ:$AZ,$B4,'Week 1 Roster'!$AG:$AG))</f>
        <v>7.3500000000000014</v>
      </c>
      <c r="AA4" s="17">
        <f ca="1">IF($A4=0,0,SUMIF('Week 1 Roster'!$AZ:$AZ,$B4,'Week 1 Roster'!$AI:$AI))</f>
        <v>7.5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22.066666666666666</v>
      </c>
      <c r="AK4" s="17">
        <f ca="1">IF($A4=0,0,SUMIF('Week 2 Roster'!$AZ:$AZ,$B4,'Week 2 Roster'!$AE:$AE))</f>
        <v>8.2666666666666675</v>
      </c>
      <c r="AL4" s="17">
        <f ca="1">IF($A4=0,0,SUMIF('Week 2 Roster'!$AZ:$AZ,$B4,'Week 2 Roster'!$AG:$AG))</f>
        <v>7.7000000000000011</v>
      </c>
      <c r="AM4" s="17">
        <f ca="1">IF($A4=0,0,SUMIF('Week 2 Roster'!$AZ:$AZ,$B4,'Week 2 Roster'!$AI:$AI))</f>
        <v>6.7666666666666657</v>
      </c>
      <c r="AN4" s="17">
        <f ca="1">IF($A4=0,0,SUMIF('Week 2 Roster'!$AZ:$AZ,$B4,'Week 2 Roster'!$AK:$AK))</f>
        <v>5.0000000000000009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27.733333333333334</v>
      </c>
      <c r="AV4" s="17"/>
      <c r="AW4" s="25">
        <f>'Week 1 Roster'!A4</f>
        <v>10335</v>
      </c>
      <c r="AX4" s="25">
        <f>'Week 2 Roster'!A4</f>
        <v>10335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10125</v>
      </c>
      <c r="B5" s="28">
        <f t="shared" ca="1" si="9"/>
        <v>10125</v>
      </c>
      <c r="C5" s="28" t="str">
        <f ca="1">IF($A5=0,"",VLOOKUP($B5,Employees!$A:$G,2,FALSE))</f>
        <v>Ouksa</v>
      </c>
      <c r="D5" s="28" t="str">
        <f ca="1">IF($A5=0,"",VLOOKUP($B5,Employees!$A:$G,3,FALSE))</f>
        <v>Sim</v>
      </c>
      <c r="E5" s="26">
        <f ca="1">IF($A5=0,"",VLOOKUP($B5,Employees!$A:$G,5,FALSE))</f>
        <v>35184</v>
      </c>
      <c r="F5" s="13">
        <f ca="1">IF($E5="","",ROUNDDOWN(YEARFRAC($E5, 'Week 1 Roster'!$D$1-1, 1), 0))</f>
        <v>29</v>
      </c>
      <c r="G5" s="13">
        <f ca="1">IF($E5="","",ROUNDDOWN(YEARFRAC($E5, 'Week 1 Roster'!$D$1+14, 1), 0))</f>
        <v>29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HL</v>
      </c>
      <c r="K5" s="13" t="str">
        <f ca="1">IF($A5=0,"",IF(ISNA(VLOOKUP(A5,'Week 1 Roster'!A:C,2,0)),VLOOKUP(A5,'Week 2 Roster'!A:C,2,0),VLOOKUP(A5,'Week 1 Roster'!A:C,2,0)))</f>
        <v>Rouse Hill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21</v>
      </c>
      <c r="U5" s="14">
        <f t="shared" ca="1" si="19"/>
        <v>0</v>
      </c>
      <c r="V5" s="14">
        <f t="shared" ca="1" si="20"/>
        <v>0</v>
      </c>
      <c r="W5" s="14">
        <f t="shared" ca="1" si="21"/>
        <v>21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7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7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14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14</v>
      </c>
      <c r="AV5" s="17"/>
      <c r="AW5" s="25">
        <f>'Week 1 Roster'!A5</f>
        <v>10125</v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210443</v>
      </c>
      <c r="B6" s="28">
        <f t="shared" ca="1" si="9"/>
        <v>210443</v>
      </c>
      <c r="C6" s="28" t="str">
        <f ca="1">IF($A6=0,"",VLOOKUP($B6,Employees!$A:$G,2,FALSE))</f>
        <v>Rathanak</v>
      </c>
      <c r="D6" s="28" t="str">
        <f ca="1">IF($A6=0,"",VLOOKUP($B6,Employees!$A:$G,3,FALSE))</f>
        <v>Hov</v>
      </c>
      <c r="E6" s="26">
        <f ca="1">IF($A6=0,"",VLOOKUP($B6,Employees!$A:$G,5,FALSE))</f>
        <v>38327</v>
      </c>
      <c r="F6" s="13">
        <f ca="1">IF($E6="","",ROUNDDOWN(YEARFRAC($E6, 'Week 1 Roster'!$D$1-1, 1), 0))</f>
        <v>21</v>
      </c>
      <c r="G6" s="13">
        <f ca="1">IF($E6="","",ROUNDDOWN(YEARFRAC($E6, 'Week 1 Roster'!$D$1+14, 1), 0))</f>
        <v>21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Rouse Hill</v>
      </c>
      <c r="L6" s="13" t="str">
        <f ca="1">IF($A6=0,"",VLOOKUP(K6,Stores!A:B,2,0))</f>
        <v>Superb</v>
      </c>
      <c r="M6" s="14">
        <f t="shared" ca="1" si="11"/>
        <v>28.933333333333334</v>
      </c>
      <c r="N6" s="14">
        <f t="shared" ca="1" si="12"/>
        <v>16</v>
      </c>
      <c r="O6" s="14">
        <f t="shared" ca="1" si="13"/>
        <v>15</v>
      </c>
      <c r="P6" s="14">
        <f t="shared" ca="1" si="14"/>
        <v>5.0000000000000009</v>
      </c>
      <c r="Q6" s="14">
        <f t="shared" ca="1" si="15"/>
        <v>0</v>
      </c>
      <c r="R6" s="14">
        <f t="shared" ca="1" si="16"/>
        <v>0</v>
      </c>
      <c r="S6" s="28">
        <f t="shared" ca="1" si="17"/>
        <v>9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64.933333333333337</v>
      </c>
      <c r="Y6" s="17">
        <f ca="1">IF($A6=0,0,SUMIF('Week 1 Roster'!$AZ:$AZ,$B6,'Week 1 Roster'!$AE:$AE))</f>
        <v>15.933333333333334</v>
      </c>
      <c r="Z6" s="17">
        <f ca="1">IF($A6=0,0,SUMIF('Week 1 Roster'!$AZ:$AZ,$B6,'Week 1 Roster'!$AG:$AG))</f>
        <v>7.5</v>
      </c>
      <c r="AA6" s="17">
        <f ca="1">IF($A6=0,0,SUMIF('Week 1 Roster'!$AZ:$AZ,$B6,'Week 1 Roster'!$AI:$AI))</f>
        <v>7.5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4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30.933333333333334</v>
      </c>
      <c r="AK6" s="17">
        <f ca="1">IF($A6=0,0,SUMIF('Week 2 Roster'!$AZ:$AZ,$B6,'Week 2 Roster'!$AE:$AE))</f>
        <v>13</v>
      </c>
      <c r="AL6" s="17">
        <f ca="1">IF($A6=0,0,SUMIF('Week 2 Roster'!$AZ:$AZ,$B6,'Week 2 Roster'!$AG:$AG))</f>
        <v>8.5</v>
      </c>
      <c r="AM6" s="17">
        <f ca="1">IF($A6=0,0,SUMIF('Week 2 Roster'!$AZ:$AZ,$B6,'Week 2 Roster'!$AI:$AI))</f>
        <v>7.5</v>
      </c>
      <c r="AN6" s="17">
        <f ca="1">IF($A6=0,0,SUMIF('Week 2 Roster'!$AZ:$AZ,$B6,'Week 2 Roster'!$AK:$AK))</f>
        <v>5.0000000000000009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5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34</v>
      </c>
      <c r="AV6" s="17"/>
      <c r="AW6" s="25">
        <f>'Week 1 Roster'!A6</f>
        <v>210443</v>
      </c>
      <c r="AX6" s="25">
        <f>'Week 2 Roster'!A6</f>
        <v>210443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210456</v>
      </c>
      <c r="B7" s="28">
        <f t="shared" ca="1" si="9"/>
        <v>210456</v>
      </c>
      <c r="C7" s="28" t="str">
        <f ca="1">IF($A7=0,"",VLOOKUP($B7,Employees!$A:$G,2,FALSE))</f>
        <v>Norakuntheary</v>
      </c>
      <c r="D7" s="28" t="str">
        <f ca="1">IF($A7=0,"",VLOOKUP($B7,Employees!$A:$G,3,FALSE))</f>
        <v>Nouv</v>
      </c>
      <c r="E7" s="26">
        <f ca="1">IF($A7=0,"",VLOOKUP($B7,Employees!$A:$G,5,FALSE))</f>
        <v>35089</v>
      </c>
      <c r="F7" s="13">
        <f ca="1">IF($E7="","",ROUNDDOWN(YEARFRAC($E7, 'Week 1 Roster'!$D$1-1, 1), 0))</f>
        <v>29</v>
      </c>
      <c r="G7" s="13">
        <f ca="1">IF($E7="","",ROUNDDOWN(YEARFRAC($E7, 'Week 1 Roster'!$D$1+14, 1), 0))</f>
        <v>30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Rouse Hill</v>
      </c>
      <c r="L7" s="13" t="str">
        <f ca="1">IF($A7=0,"",VLOOKUP(K7,Stores!A:B,2,0))</f>
        <v>Superb</v>
      </c>
      <c r="M7" s="14">
        <f t="shared" ca="1" si="11"/>
        <v>32.316666666666663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5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32.316666666666663</v>
      </c>
      <c r="Y7" s="17">
        <f ca="1">IF($A7=0,0,SUMIF('Week 1 Roster'!$AZ:$AZ,$B7,'Week 1 Roster'!$AE:$AE))</f>
        <v>18.983333333333334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3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18.983333333333334</v>
      </c>
      <c r="AK7" s="17">
        <f ca="1">IF($A7=0,0,SUMIF('Week 2 Roster'!$AZ:$AZ,$B7,'Week 2 Roster'!$AE:$AE))</f>
        <v>13.333333333333332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2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13.333333333333332</v>
      </c>
      <c r="AV7" s="17"/>
      <c r="AW7" s="25">
        <f>'Week 1 Roster'!A7</f>
        <v>210456</v>
      </c>
      <c r="AX7" s="25">
        <f>'Week 2 Roster'!A7</f>
        <v>210456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10085</v>
      </c>
      <c r="B8" s="28">
        <f t="shared" ca="1" si="9"/>
        <v>10085</v>
      </c>
      <c r="C8" s="28" t="str">
        <f ca="1">IF($A8=0,"",VLOOKUP($B8,Employees!$A:$G,2,FALSE))</f>
        <v>Gideon</v>
      </c>
      <c r="D8" s="28" t="str">
        <f ca="1">IF($A8=0,"",VLOOKUP($B8,Employees!$A:$G,3,FALSE))</f>
        <v>Remulta</v>
      </c>
      <c r="E8" s="26">
        <f ca="1">IF($A8=0,"",VLOOKUP($B8,Employees!$A:$G,5,FALSE))</f>
        <v>38322</v>
      </c>
      <c r="F8" s="13">
        <f ca="1">IF($E8="","",ROUNDDOWN(YEARFRAC($E8, 'Week 1 Roster'!$D$1-1, 1), 0))</f>
        <v>21</v>
      </c>
      <c r="G8" s="13">
        <f ca="1">IF($E8="","",ROUNDDOWN(YEARFRAC($E8, 'Week 1 Roster'!$D$1+14, 1), 0))</f>
        <v>21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HL</v>
      </c>
      <c r="K8" s="13" t="str">
        <f ca="1">IF($A8=0,"",IF(ISNA(VLOOKUP(A8,'Week 1 Roster'!A:C,2,0)),VLOOKUP(A8,'Week 2 Roster'!A:C,2,0),VLOOKUP(A8,'Week 1 Roster'!A:C,2,0)))</f>
        <v>Rouse Hill</v>
      </c>
      <c r="L8" s="13" t="str">
        <f ca="1">IF($A8=0,"",VLOOKUP(K8,Stores!A:B,2,0))</f>
        <v>Superb</v>
      </c>
      <c r="M8" s="14">
        <f t="shared" ca="1" si="11"/>
        <v>31.95</v>
      </c>
      <c r="N8" s="14">
        <f t="shared" ca="1" si="12"/>
        <v>6.4999999999999991</v>
      </c>
      <c r="O8" s="14">
        <f t="shared" ca="1" si="13"/>
        <v>6.4999999999999991</v>
      </c>
      <c r="P8" s="14">
        <f t="shared" ca="1" si="14"/>
        <v>4.0000000000000018</v>
      </c>
      <c r="Q8" s="14">
        <f t="shared" ca="1" si="15"/>
        <v>0</v>
      </c>
      <c r="R8" s="14">
        <f t="shared" ca="1" si="16"/>
        <v>0</v>
      </c>
      <c r="S8" s="28">
        <f t="shared" ca="1" si="17"/>
        <v>7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48.949999999999996</v>
      </c>
      <c r="Y8" s="17">
        <f ca="1">IF($A8=0,0,SUMIF('Week 1 Roster'!$AZ:$AZ,$B8,'Week 1 Roster'!$AE:$AE))</f>
        <v>8.3833333333333329</v>
      </c>
      <c r="Z8" s="17">
        <f ca="1">IF($A8=0,0,SUMIF('Week 1 Roster'!$AZ:$AZ,$B8,'Week 1 Roster'!$AG:$AG))</f>
        <v>6.4999999999999991</v>
      </c>
      <c r="AA8" s="17">
        <f ca="1">IF($A8=0,0,SUMIF('Week 1 Roster'!$AZ:$AZ,$B8,'Week 1 Roster'!$AI:$AI))</f>
        <v>6.4999999999999991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3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21.383333333333333</v>
      </c>
      <c r="AK8" s="17">
        <f ca="1">IF($A8=0,0,SUMIF('Week 2 Roster'!$AZ:$AZ,$B8,'Week 2 Roster'!$AE:$AE))</f>
        <v>23.566666666666666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4.0000000000000018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4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27.56666666666667</v>
      </c>
      <c r="AV8" s="17"/>
      <c r="AW8" s="25">
        <f>'Week 1 Roster'!A8</f>
        <v>10085</v>
      </c>
      <c r="AX8" s="25">
        <f>'Week 2 Roster'!A8</f>
        <v>10085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10074</v>
      </c>
      <c r="B9" s="28">
        <f t="shared" ca="1" si="9"/>
        <v>10074</v>
      </c>
      <c r="C9" s="28" t="str">
        <f ca="1">IF($A9=0,"",VLOOKUP($B9,Employees!$A:$G,2,FALSE))</f>
        <v>Criselle Joy</v>
      </c>
      <c r="D9" s="28" t="str">
        <f ca="1">IF($A9=0,"",VLOOKUP($B9,Employees!$A:$G,3,FALSE))</f>
        <v>Sico</v>
      </c>
      <c r="E9" s="26">
        <f ca="1">IF($A9=0,"",VLOOKUP($B9,Employees!$A:$G,5,FALSE))</f>
        <v>32690</v>
      </c>
      <c r="F9" s="13">
        <f ca="1">IF($E9="","",ROUNDDOWN(YEARFRAC($E9, 'Week 1 Roster'!$D$1-1, 1), 0))</f>
        <v>36</v>
      </c>
      <c r="G9" s="13">
        <f ca="1">IF($E9="","",ROUNDDOWN(YEARFRAC($E9, 'Week 1 Roster'!$D$1+14, 1), 0))</f>
        <v>36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HL</v>
      </c>
      <c r="K9" s="13" t="str">
        <f ca="1">IF($A9=0,"",IF(ISNA(VLOOKUP(A9,'Week 1 Roster'!A:C,2,0)),VLOOKUP(A9,'Week 2 Roster'!A:C,2,0),VLOOKUP(A9,'Week 1 Roster'!A:C,2,0)))</f>
        <v>Rouse Hill</v>
      </c>
      <c r="L9" s="13" t="str">
        <f ca="1">IF($A9=0,"",VLOOKUP(K9,Stores!A:B,2,0))</f>
        <v>Superb</v>
      </c>
      <c r="M9" s="14">
        <f t="shared" ca="1" si="11"/>
        <v>14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14</v>
      </c>
      <c r="Y9" s="17">
        <f ca="1">IF($A9=0,0,SUMIF('Week 1 Roster'!$AZ:$AZ,$B9,'Week 1 Roster'!$AE:$AE))</f>
        <v>6.0000000000000009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6.0000000000000009</v>
      </c>
      <c r="AK9" s="17">
        <f ca="1">IF($A9=0,0,SUMIF('Week 2 Roster'!$AZ:$AZ,$B9,'Week 2 Roster'!$AE:$AE))</f>
        <v>8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1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8</v>
      </c>
      <c r="AV9" s="17"/>
      <c r="AW9" s="25">
        <f>'Week 1 Roster'!A9</f>
        <v>10074</v>
      </c>
      <c r="AX9" s="25">
        <f>'Week 2 Roster'!A9</f>
        <v>10074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210548</v>
      </c>
      <c r="B10" s="28">
        <f t="shared" ca="1" si="9"/>
        <v>210548</v>
      </c>
      <c r="C10" s="28" t="str">
        <f ca="1">IF($A10=0,"",VLOOKUP($B10,Employees!$A:$G,2,FALSE))</f>
        <v>Moleevann</v>
      </c>
      <c r="D10" s="28" t="str">
        <f ca="1">IF($A10=0,"",VLOOKUP($B10,Employees!$A:$G,3,FALSE))</f>
        <v>Kanlack</v>
      </c>
      <c r="E10" s="26">
        <f ca="1">IF($A10=0,"",VLOOKUP($B10,Employees!$A:$G,5,FALSE))</f>
        <v>38296</v>
      </c>
      <c r="F10" s="13">
        <f ca="1">IF($E10="","",ROUNDDOWN(YEARFRAC($E10, 'Week 1 Roster'!$D$1-1, 1), 0))</f>
        <v>21</v>
      </c>
      <c r="G10" s="13">
        <f ca="1">IF($E10="","",ROUNDDOWN(YEARFRAC($E10, 'Week 1 Roster'!$D$1+14, 1), 0))</f>
        <v>21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Win</v>
      </c>
      <c r="K10" s="13" t="str">
        <f ca="1">IF($A10=0,"",IF(ISNA(VLOOKUP(A10,'Week 1 Roster'!A:C,2,0)),VLOOKUP(A10,'Week 2 Roster'!A:C,2,0),VLOOKUP(A10,'Week 1 Roster'!A:C,2,0)))</f>
        <v>Rouse Hill</v>
      </c>
      <c r="L10" s="13" t="str">
        <f ca="1">IF($A10=0,"",VLOOKUP(K10,Stores!A:B,2,0))</f>
        <v>Superb</v>
      </c>
      <c r="M10" s="14">
        <f t="shared" ca="1" si="11"/>
        <v>13.7</v>
      </c>
      <c r="N10" s="14">
        <f t="shared" ca="1" si="12"/>
        <v>6.7000000000000011</v>
      </c>
      <c r="O10" s="14">
        <f t="shared" ca="1" si="13"/>
        <v>6.3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4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26.7</v>
      </c>
      <c r="Y10" s="17">
        <f ca="1">IF($A10=0,0,SUMIF('Week 1 Roster'!$AZ:$AZ,$B10,'Week 1 Roster'!$AE:$AE))</f>
        <v>7.85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7.85</v>
      </c>
      <c r="AK10" s="17">
        <f ca="1">IF($A10=0,0,SUMIF('Week 2 Roster'!$AZ:$AZ,$B10,'Week 2 Roster'!$AE:$AE))</f>
        <v>5.8499999999999988</v>
      </c>
      <c r="AL10" s="17">
        <f ca="1">IF($A10=0,0,SUMIF('Week 2 Roster'!$AZ:$AZ,$B10,'Week 2 Roster'!$AG:$AG))</f>
        <v>6.7000000000000011</v>
      </c>
      <c r="AM10" s="17">
        <f ca="1">IF($A10=0,0,SUMIF('Week 2 Roster'!$AZ:$AZ,$B10,'Week 2 Roster'!$AI:$AI))</f>
        <v>6.3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3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18.850000000000001</v>
      </c>
      <c r="AV10" s="17"/>
      <c r="AW10" s="25">
        <f>'Week 1 Roster'!A10</f>
        <v>210548</v>
      </c>
      <c r="AX10" s="25">
        <f>'Week 2 Roster'!A10</f>
        <v>210548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>
        <f>'Week 2 Roster'!A11</f>
        <v>10125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332" zoomScale="186" zoomScaleNormal="186" workbookViewId="0">
      <selection activeCell="F340" sqref="F340"/>
    </sheetView>
  </sheetViews>
  <sheetFormatPr baseColWidth="10" defaultColWidth="10.83203125" defaultRowHeight="13"/>
  <cols>
    <col min="1" max="1" width="10.6640625" customWidth="1"/>
    <col min="2" max="2" width="17.1640625" bestFit="1" customWidth="1"/>
    <col min="3" max="3" width="16.1640625" customWidth="1"/>
    <col min="4" max="4" width="22.83203125" customWidth="1"/>
    <col min="5" max="5" width="10.6640625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76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76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2" t="s">
        <v>123</v>
      </c>
      <c r="D551" s="102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0.6640625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0.6640625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2026-02-02T05:48:17Z</dcterms:modified>
</cp:coreProperties>
</file>