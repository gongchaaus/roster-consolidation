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3AE75FF5-95BA-1945-B443-BC09B2CC2C3C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R5" i="18" l="1"/>
  <c r="O4" i="18"/>
  <c r="U5" i="2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G3" i="12" l="1"/>
  <c r="AS3" i="12"/>
  <c r="AH3" i="12"/>
  <c r="V3" i="12" s="1"/>
  <c r="J3" i="12"/>
  <c r="E3" i="12"/>
  <c r="G3" i="12" s="1"/>
  <c r="AR3" i="12"/>
  <c r="I3" i="12"/>
  <c r="C3" i="12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U3" i="12" l="1"/>
  <c r="F3" i="12"/>
  <c r="H3" i="12" s="1"/>
  <c r="T3" i="12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U168" i="12" l="1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<sst xmlns="http://schemas.openxmlformats.org/spreadsheetml/2006/main" count="2538" uniqueCount="1519">
  <si>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</si>
  <si>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</si>
  <si>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</si>
  <si>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</si>
  <si>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</si>
  <si>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</si>
  <si>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</si>
  <si>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</si>
  <si>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</si>
  <si>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</si>
  <si>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</si>
  <si>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</si>
  <si>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</si>
  <si>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</si>
  <si>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</si>
  <si>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</si>
  <si>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</si>
  <si>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</si>
  <si>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</si>
  <si>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</si>
  <si>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</si>
  <si>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</si>
  <si>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</si>
  <si>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</si>
  <si>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</si>
  <si>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</si>
  <si>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</si>
  <si>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</si>
  <si>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</si>
  <si>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</si>
  <si>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</si>
  <si>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</si>
  <si>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</si>
  <si>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</si>
  <si>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</si>
  <si>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</si>
  <si>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</si>
  <si>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</si>
  <si>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</si>
  <si>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</si>
  <si>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</si>
  <si>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</si>
  <si>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</si>
  <si>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</si>
  <si>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</si>
  <si>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</si>
  <si>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</si>
  <si>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</si>
  <si>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</si>
  <si>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</si>
  <si>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</si>
  <si>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</si>
  <si>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</si>
  <si>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</si>
  <si>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</si>
  <si>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</si>
  <si>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</si>
  <si>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</si>
  <si>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</si>
  <si>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</si>
  <si>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</si>
  <si>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</si>
  <si>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</si>
  <si>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</si>
  <si>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</si>
  <si>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</si>
  <si>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</si>
  <si>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</si>
  <si>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</si>
  <si>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</si>
  <si>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</si>
  <si>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</si>
  <si>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</si>
  <si>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</si>
  <si>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</si>
  <si>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</si>
  <si>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</si>
  <si>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</si>
  <si>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</si>
  <si>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</si>
  <si>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</si>
  <si>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</si>
  <si>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</si>
  <si>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</si>
  <si>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</si>
  <si>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</si>
  <si>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</si>
  <si>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</si>
  <si>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</si>
  <si>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</si>
  <si>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</si>
  <si>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</si>
  <si>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</si>
  <si>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</si>
  <si>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</si>
  <si>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</si>
  <si>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</si>
  <si>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</si>
  <si>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</si>
  <si>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</si>
  <si>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</si>
  <si>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</si>
  <si>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</si>
  <si>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</si>
  <si>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</si>
  <si>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</si>
  <si>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</si>
  <si>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</si>
  <si>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</si>
  <si>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</si>
  <si>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</si>
  <si>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</si>
  <si>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</si>
  <si>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</si>
  <si>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</si>
  <si>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</si>
  <si>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</si>
  <si>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</si>
  <si>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</si>
  <si>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</si>
  <si>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</si>
  <si>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</si>
  <si>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</si>
  <si>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</si>
  <si>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</si>
  <si>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</si>
  <si>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</si>
  <si>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</si>
  <si>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</si>
  <si>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</si>
  <si>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</si>
  <si>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</si>
  <si>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</si>
  <si>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</si>
  <si>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</si>
  <si>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</si>
  <si>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</si>
  <si>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</si>
  <si>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</si>
  <si>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</si>
  <si>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</si>
  <si>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</si>
  <si>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</si>
  <si>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</si>
  <si>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</si>
  <si>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</si>
  <si>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</si>
  <si>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</si>
  <si>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</si>
  <si>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</si>
  <si>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</si>
  <si>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</si>
  <si>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</si>
  <si>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</si>
  <si>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</si>
  <si>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</si>
  <si>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</si>
  <si>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</si>
  <si>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</si>
  <si>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</si>
  <si>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</si>
  <si>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</si>
  <si>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</si>
  <si>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</si>
  <si>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</si>
  <si>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</si>
  <si>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</si>
  <si>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</si>
  <si>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</si>
  <si>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</si>
  <si>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</si>
  <si>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</si>
  <si>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</si>
  <si>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</si>
  <si>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</si>
  <si>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</si>
  <si>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</si>
  <si>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</si>
  <si>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</si>
  <si>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</si>
  <si>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</si>
  <si>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</si>
  <si>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</si>
  <si>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</si>
  <si>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</si>
  <si>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</si>
  <si>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</si>
  <si>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</si>
  <si>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</si>
  <si>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</si>
  <si>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</si>
  <si>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</si>
  <si>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</si>
  <si>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</si>
  <si>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</si>
  <si>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</si>
  <si>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</si>
  <si>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</si>
  <si>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</si>
  <si>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</si>
  <si>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</si>
  <si>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</si>
  <si>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</si>
  <si>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</si>
  <si>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</si>
  <si>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</si>
  <si>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</si>
  <si>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</si>
  <si>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</si>
  <si>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</si>
  <si>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</si>
  <si>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</si>
  <si>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</si>
  <si>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</si>
  <si>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</si>
  <si>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</si>
  <si>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</si>
  <si>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</si>
  <si>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</si>
  <si>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</si>
  <si>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</si>
  <si>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</si>
  <si>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</si>
  <si>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</si>
  <si>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</si>
  <si>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</si>
  <si>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</si>
  <si>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</si>
  <si>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</si>
  <si>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</si>
  <si>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</si>
  <si>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</si>
  <si>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</si>
  <si>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</si>
  <si>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</si>
  <si>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</si>
  <si>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</si>
  <si>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</si>
  <si>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</si>
  <si>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</si>
  <si>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</si>
  <si>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</si>
  <si>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</si>
  <si>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</si>
  <si>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</si>
  <si>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</si>
  <si>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</si>
  <si>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</si>
  <si>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</si>
  <si>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</si>
  <si>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</si>
  <si>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</si>
  <si>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</si>
  <si>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</si>
  <si>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</si>
  <si>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</si>
  <si>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</si>
  <si>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</si>
  <si>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</si>
  <si>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</si>
  <si>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</si>
  <si>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</si>
  <si>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</si>
  <si>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</si>
  <si>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</si>
  <si>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</si>
  <si>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</si>
  <si>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</si>
  <si>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</si>
  <si>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</si>
  <si>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</si>
  <si>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</si>
  <si>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</si>
  <si>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</si>
  <si>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</si>
  <si>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</si>
  <si>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</si>
  <si>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</si>
  <si>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</si>
  <si>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</si>
  <si>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</si>
  <si>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</si>
  <si>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</si>
  <si>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</si>
  <si>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</si>
  <si>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</si>
  <si>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</si>
  <si>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</si>
  <si>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</si>
  <si>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</si>
  <si>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</si>
  <si>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</si>
  <si>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</si>
  <si>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</si>
  <si>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</si>
  <si>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</si>
  <si>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</si>
  <si>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</si>
  <si>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</si>
  <si>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</si>
  <si>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</si>
  <si>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</si>
  <si>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</si>
  <si>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</si>
  <si>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</si>
  <si>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</si>
  <si>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</si>
  <si>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</si>
  <si>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</si>
  <si>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</si>
  <si>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</si>
  <si>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</si>
  <si>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</si>
  <si>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</si>
  <si>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</si>
  <si>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</si>
  <si>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</si>
  <si>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</si>
  <si>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</si>
  <si>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</si>
  <si>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</si>
  <si>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</si>
  <si>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</si>
  <si>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</si>
  <si>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</si>
  <si>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</si>
  <si>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</si>
  <si>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</si>
  <si>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</si>
  <si>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</si>
  <si>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</si>
  <si>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</si>
  <si>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</si>
  <si>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</si>
  <si>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</si>
  <si>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</si>
  <si>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</si>
  <si>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</si>
  <si>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</si>
  <si>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</si>
  <si>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</si>
  <si>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</si>
  <si>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</si>
  <si>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</si>
  <si>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</si>
  <si>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</si>
  <si>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</si>
  <si>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</si>
  <si>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</si>
  <si>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</si>
  <si>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</si>
  <si>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</si>
  <si>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</si>
  <si>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</si>
  <si>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</si>
  <si>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</si>
  <si>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</si>
  <si>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</si>
  <si>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</si>
  <si>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</si>
  <si>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</si>
  <si>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</si>
  <si>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</si>
  <si>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</si>
  <si>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</si>
  <si>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</si>
  <si>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</si>
  <si>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</si>
  <si>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</si>
  <si>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</si>
  <si>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</si>
  <si>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</si>
  <si>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</si>
  <si>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</si>
  <si>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</si>
  <si>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</si>
  <si>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</si>
  <si>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</si>
  <si>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</si>
  <si>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</si>
  <si>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</si>
  <si>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</si>
  <si>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</si>
  <si>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</si>
  <si>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</si>
  <si>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</si>
  <si>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</si>
  <si>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</si>
  <si>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</si>
  <si>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</si>
  <si>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</si>
  <si>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</si>
  <si>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</si>
  <si>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</si>
  <si>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</si>
  <si>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</si>
  <si>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</si>
  <si>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</si>
  <si>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</si>
  <si>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</si>
  <si>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</si>
  <si>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</si>
  <si>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</si>
  <si>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</si>
  <si>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</si>
  <si>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</si>
  <si>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</si>
  <si>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</si>
  <si>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</si>
  <si>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</si>
  <si>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</si>
  <si>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</si>
  <si>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</si>
  <si>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</si>
  <si>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</si>
  <si>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</si>
  <si>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</si>
  <si>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</si>
  <si>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</si>
  <si>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</si>
  <si>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</si>
  <si>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</si>
  <si>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</si>
  <si>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</si>
  <si>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</si>
  <si>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</si>
  <si>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</si>
  <si>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</si>
  <si>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</si>
  <si>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</si>
  <si>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</si>
  <si>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</si>
  <si>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</si>
  <si>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</si>
  <si>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</si>
  <si>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</si>
  <si>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</si>
  <si>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</si>
  <si>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</si>
  <si>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</si>
  <si>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</si>
  <si>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</si>
  <si>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</si>
  <si>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</si>
  <si>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</si>
  <si>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</si>
  <si>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</si>
  <si>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</si>
  <si>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</si>
  <si>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</si>
  <si>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</si>
  <si>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</si>
  <si>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</si>
  <si>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</si>
  <si>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</si>
  <si>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</si>
  <si>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</si>
  <si>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</si>
  <si>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</si>
  <si>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</si>
  <si>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</si>
  <si>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</si>
  <si>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</si>
  <si>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</si>
  <si>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</si>
  <si>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</si>
  <si>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</si>
  <si>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</si>
  <si>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</si>
  <si>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</si>
  <si>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</si>
  <si>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</si>
  <si>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</si>
  <si>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</si>
  <si>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</si>
  <si>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</si>
  <si>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</si>
  <si>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</si>
  <si>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</si>
  <si>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</si>
  <si>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</si>
  <si>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</si>
  <si>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</si>
  <si>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</si>
  <si>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</si>
  <si>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</si>
  <si>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</si>
  <si>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</si>
  <si>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</si>
  <si>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</si>
  <si>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</si>
  <si>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</si>
  <si>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</si>
  <si>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</si>
  <si>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</si>
  <si>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</si>
  <si>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</si>
  <si>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</si>
  <si>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</si>
  <si>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</si>
  <si>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</si>
  <si>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</si>
  <si>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</si>
  <si>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</si>
  <si>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</si>
  <si>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</si>
  <si>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</si>
  <si>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</si>
  <si>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</si>
  <si>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</si>
  <si>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</si>
  <si>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</si>
  <si>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</si>
  <si>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</si>
  <si>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</si>
  <si>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</si>
  <si>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</si>
  <si>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</si>
  <si>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</si>
  <si>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</si>
  <si>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</si>
  <si>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</si>
  <si>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</si>
  <si>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</si>
  <si>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</si>
  <si>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</si>
  <si>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</si>
  <si>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</si>
  <si>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</si>
  <si>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</si>
  <si>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</si>
  <si>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</si>
  <si>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</si>
  <si>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</si>
  <si>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</si>
  <si>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</si>
  <si>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</si>
  <si>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</si>
  <si>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</si>
  <si>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</si>
  <si>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</si>
  <si>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</si>
  <si>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</si>
  <si>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</si>
  <si>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</si>
  <si>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</si>
  <si>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</si>
  <si>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</si>
  <si>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</si>
  <si>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</si>
  <si>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</si>
  <si>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</si>
  <si>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</si>
  <si>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</si>
  <si>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</si>
  <si>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</si>
  <si>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</si>
  <si>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</si>
  <si>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</si>
  <si>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</si>
  <si>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</si>
  <si>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</si>
  <si>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</si>
  <si>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</si>
  <si>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</si>
  <si>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</si>
  <si>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</si>
  <si>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</si>
  <si>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</si>
  <si>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</si>
  <si>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</si>
  <si>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</si>
  <si>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</si>
  <si>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</si>
  <si>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</si>
  <si>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</si>
  <si>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</si>
  <si>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</si>
  <si>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</si>
  <si>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</si>
  <si>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</si>
  <si>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</si>
  <si>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</si>
  <si>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</si>
  <si>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</si>
  <si>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</si>
  <si>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</si>
  <si>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</si>
  <si>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</si>
  <si>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</si>
  <si>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</si>
  <si>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</si>
  <si>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</si>
  <si>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</si>
  <si>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</si>
  <si>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</si>
  <si>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</si>
  <si>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</si>
  <si>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</si>
  <si>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</si>
  <si>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</si>
  <si>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</si>
  <si>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</si>
  <si>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</si>
  <si>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</si>
  <si>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</si>
  <si>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</si>
  <si>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</si>
  <si>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</si>
  <si>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</si>
  <si>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</si>
  <si>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</si>
  <si>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</si>
  <si>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</si>
  <si>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</si>
  <si>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</si>
  <si>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</si>
  <si>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</si>
  <si>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</si>
  <si>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</si>
  <si>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</si>
  <si>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</si>
  <si>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</si>
  <si>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</si>
  <si>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</si>
  <si>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</si>
  <si>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</si>
  <si>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</si>
  <si>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</si>
  <si>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</si>
  <si>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</si>
  <si>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</si>
  <si>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</si>
  <si>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</si>
  <si>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</si>
  <si>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</si>
  <si>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</si>
  <si>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</si>
  <si>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</si>
  <si>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</si>
  <si>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</si>
  <si>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</si>
  <si>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</si>
  <si>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</si>
  <si>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</si>
  <si>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</si>
  <si>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</si>
  <si>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</si>
  <si>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</si>
  <si>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</si>
  <si>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</si>
  <si>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</si>
  <si>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</si>
  <si>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</si>
  <si>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</si>
  <si>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</si>
  <si>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</si>
  <si>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</si>
  <si>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</si>
  <si>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</si>
  <si>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</si>
  <si>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</si>
  <si>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</si>
  <si>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</si>
  <si>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</si>
  <si>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</si>
  <si>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</si>
  <si>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</si>
  <si>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</si>
  <si>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</si>
  <si>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</si>
  <si>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</si>
  <si>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</si>
  <si>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</si>
  <si>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</si>
  <si>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</si>
  <si>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</si>
  <si>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</si>
  <si>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</si>
  <si>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</si>
  <si>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</si>
  <si>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</si>
  <si>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</si>
  <si>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</si>
  <si>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</si>
  <si>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</si>
  <si>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</si>
  <si>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</si>
  <si>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</si>
  <si>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</si>
  <si>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</si>
  <si>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</si>
  <si>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</si>
  <si>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</si>
  <si>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</si>
  <si>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</si>
  <si>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</si>
  <si>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</si>
  <si>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</si>
  <si>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</si>
  <si>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</si>
  <si>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</si>
  <si>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</si>
  <si>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</si>
  <si>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</si>
  <si>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</si>
  <si>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</si>
  <si>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</si>
  <si>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</si>
  <si>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</si>
  <si>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</si>
  <si>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</si>
  <si>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</si>
  <si>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</si>
  <si>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</si>
  <si>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</si>
  <si>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</si>
  <si>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</si>
  <si>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</si>
  <si>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</si>
  <si>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</si>
  <si>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</si>
  <si>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</si>
  <si>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</si>
  <si>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</si>
  <si>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</si>
  <si>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</si>
  <si>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</si>
  <si>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</si>
  <si>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</si>
  <si>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</si>
  <si>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</si>
  <si>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</si>
  <si>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</si>
  <si>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</si>
  <si>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</si>
  <si>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</si>
  <si>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</si>
  <si>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</si>
  <si>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</si>
  <si>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</si>
  <si>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</si>
  <si>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</si>
  <si>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</si>
  <si>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</si>
  <si>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</si>
  <si>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</si>
  <si>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</si>
  <si>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</si>
  <si>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</si>
  <si>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</si>
  <si>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</si>
  <si>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</si>
  <si>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</si>
  <si>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</si>
  <si>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</si>
  <si>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</si>
  <si>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</si>
  <si>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</si>
  <si>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</si>
  <si>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</si>
  <si>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</si>
  <si>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</si>
  <si>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</si>
  <si>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</si>
  <si>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</si>
  <si>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</si>
  <si>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</si>
  <si>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</si>
  <si>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</si>
  <si>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</si>
  <si>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</si>
  <si>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</si>
  <si>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</si>
  <si>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</si>
  <si>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</si>
  <si>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</si>
  <si>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</si>
  <si>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</si>
  <si>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</si>
  <si>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</si>
  <si>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</si>
  <si>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</si>
  <si>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</si>
  <si>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</si>
  <si>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</si>
  <si>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</si>
  <si>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</si>
  <si>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</si>
  <si>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</si>
  <si>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</si>
  <si>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</si>
  <si>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</si>
  <si>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</si>
  <si>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</si>
  <si>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</si>
  <si>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</si>
  <si>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</si>
  <si>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</si>
  <si>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</si>
  <si>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</si>
  <si>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</si>
  <si>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</si>
  <si>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</si>
  <si>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</si>
  <si>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</si>
  <si>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</si>
  <si>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</si>
  <si>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</si>
  <si>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</si>
  <si>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</si>
  <si>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</si>
  <si>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</si>
  <si>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</si>
  <si>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</si>
  <si>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</si>
  <si>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</si>
  <si>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</si>
  <si>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</si>
  <si>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</si>
  <si>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</si>
  <si>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</si>
  <si>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</si>
  <si>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</si>
  <si>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</si>
  <si>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</si>
  <si>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</si>
  <si>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</si>
  <si>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</si>
  <si>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</si>
  <si>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</si>
  <si>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</si>
  <si>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</si>
  <si>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</si>
  <si>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</si>
  <si>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</si>
  <si>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</si>
  <si>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</si>
  <si>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</si>
  <si>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</si>
  <si>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</si>
  <si>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</si>
  <si>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</si>
  <si>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</si>
  <si>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</si>
  <si>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</si>
  <si>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</si>
  <si>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</si>
  <si>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</si>
  <si>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</si>
  <si>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</si>
  <si>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</si>
  <si>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</si>
  <si>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</si>
  <si>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</si>
  <si>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</si>
  <si>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</si>
  <si>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</si>
  <si>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</si>
  <si>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</si>
  <si>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</si>
  <si>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</si>
  <si>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</si>
  <si>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</si>
  <si>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</si>
  <si>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</si>
  <si>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</si>
  <si>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</si>
  <si>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</si>
  <si>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</si>
  <si>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</si>
  <si>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</si>
  <si>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</si>
  <si>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</si>
  <si>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</si>
  <si>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</si>
  <si>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</si>
  <si>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</si>
  <si>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</si>
  <si>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</si>
  <si>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</si>
  <si>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</si>
  <si>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</si>
  <si>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</si>
  <si>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</si>
  <si>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</si>
  <si>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</si>
  <si>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</si>
  <si>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</si>
  <si>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</si>
  <si>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</si>
  <si>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</si>
  <si>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</si>
  <si>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</si>
  <si>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</si>
  <si>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</si>
  <si>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</si>
  <si>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</si>
  <si>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</si>
  <si>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</si>
  <si>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</si>
  <si>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</si>
  <si>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</si>
  <si>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</si>
  <si>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</si>
  <si>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</si>
  <si>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</si>
  <si>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</si>
  <si>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</si>
  <si>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</si>
  <si>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</si>
  <si>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</si>
  <si>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</si>
  <si>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</si>
  <si>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</si>
  <si>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</si>
  <si>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</si>
  <si>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</si>
  <si>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</si>
  <si>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</si>
  <si>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</si>
  <si>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</si>
  <si>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</si>
  <si>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</si>
  <si>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</si>
  <si>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</si>
  <si>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</si>
  <si>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</si>
  <si>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</si>
  <si>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</si>
  <si>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</si>
  <si>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</si>
  <si>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</si>
  <si>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</si>
  <si>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</si>
  <si>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</si>
  <si>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</si>
  <si>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</si>
  <si>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</si>
  <si>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</si>
  <si>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</si>
  <si>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</si>
  <si>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</si>
  <si>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</si>
  <si>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</si>
  <si>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</si>
  <si>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</si>
  <si>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</si>
  <si>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</si>
  <si>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</si>
  <si>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</si>
  <si>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</si>
  <si>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</si>
  <si>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</si>
  <si>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</si>
  <si>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</si>
  <si>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</si>
  <si>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</si>
  <si>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</si>
  <si>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</si>
  <si>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</si>
  <si>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</si>
  <si>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</si>
  <si>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</si>
  <si>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</si>
  <si>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</si>
  <si>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</si>
  <si>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</si>
  <si>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</si>
  <si>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</si>
  <si>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</si>
  <si>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</si>
  <si>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</si>
  <si>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</si>
  <si>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</si>
  <si>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</si>
  <si>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</si>
  <si>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</si>
  <si>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</si>
  <si>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</si>
  <si>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</si>
  <si>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</si>
  <si>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</si>
  <si>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</si>
  <si>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</si>
  <si>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</si>
  <si>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</si>
  <si>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</si>
  <si>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</si>
  <si>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</si>
  <si>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</si>
  <si>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</si>
  <si>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</si>
  <si>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</si>
  <si>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</si>
  <si>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</si>
  <si>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</si>
  <si>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</si>
  <si>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</si>
  <si>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</si>
  <si>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</si>
  <si>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</si>
  <si>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</si>
  <si>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</si>
  <si>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</si>
  <si>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</si>
  <si>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</si>
  <si>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</si>
  <si>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</si>
  <si>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</si>
  <si>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</si>
  <si>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</si>
  <si>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</si>
  <si>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</si>
  <si>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</si>
  <si>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</si>
  <si>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</si>
  <si>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</si>
  <si>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</si>
  <si>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</si>
  <si>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</si>
  <si>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</si>
  <si>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</si>
  <si>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</si>
  <si>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</si>
  <si>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</si>
  <si>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</si>
  <si>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</si>
  <si>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</si>
  <si>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</si>
  <si>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</si>
  <si>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</si>
  <si>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</si>
  <si>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</si>
  <si>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</si>
  <si>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</si>
  <si>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</si>
  <si>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</si>
  <si>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</si>
  <si>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</si>
  <si>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</si>
  <si>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</si>
  <si>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</si>
  <si>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</si>
  <si>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</si>
  <si>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</si>
  <si>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</si>
  <si>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</si>
  <si>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</si>
  <si>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</si>
  <si>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</si>
  <si>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</si>
  <si>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</si>
  <si>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</si>
  <si>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</si>
  <si>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</si>
  <si>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</si>
  <si>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</si>
  <si>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</si>
  <si>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</si>
  <si>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</si>
  <si>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</si>
  <si>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</si>
  <si>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</si>
  <si>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</si>
  <si>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</si>
  <si>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</si>
  <si>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</si>
  <si>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</si>
  <si>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</si>
  <si>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</si>
  <si>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</si>
  <si>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</si>
  <si>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</si>
  <si>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</si>
  <si>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</si>
  <si>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</si>
  <si>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</si>
  <si>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</si>
  <si>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</si>
  <si>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</si>
  <si>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</si>
  <si>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</si>
  <si>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</si>
  <si>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</si>
  <si>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</si>
  <si>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</si>
  <si>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</si>
  <si>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</si>
  <si>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</si>
  <si>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</si>
  <si>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</si>
  <si>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</si>
  <si>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</si>
  <si>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</si>
  <si>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</si>
  <si>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</si>
  <si>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</si>
  <si>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</si>
  <si>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</si>
  <si>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</si>
  <si>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</si>
  <si>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</si>
  <si>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</si>
  <si>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</si>
  <si>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</si>
  <si>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</si>
  <si>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</si>
  <si>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</si>
  <si>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</si>
  <si>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</si>
  <si>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</si>
  <si>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</si>
  <si>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</si>
  <si>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</si>
  <si>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</si>
  <si>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</si>
  <si>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</si>
  <si>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</si>
  <si>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</si>
  <si>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</si>
  <si>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</si>
  <si>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</si>
  <si>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</si>
  <si>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</si>
  <si>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</si>
  <si>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</si>
  <si>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</si>
  <si>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</si>
  <si>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</si>
  <si>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</si>
  <si>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</si>
  <si>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</si>
  <si>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</si>
  <si>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</si>
  <si>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</si>
  <si>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</si>
  <si>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</si>
  <si>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</si>
  <si>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</si>
  <si>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</si>
  <si>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</si>
  <si>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</si>
  <si>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</si>
  <si>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</si>
  <si>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</si>
  <si>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</si>
  <si>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</si>
  <si>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</si>
  <si>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</si>
  <si>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</si>
  <si>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</si>
  <si>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</si>
  <si>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</si>
  <si>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</si>
  <si>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</si>
  <si>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</si>
  <si>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</si>
  <si>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</si>
  <si>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</si>
  <si>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</si>
  <si>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</si>
  <si>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</si>
  <si>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</si>
  <si>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</si>
  <si>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</si>
  <si>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</si>
  <si>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</si>
  <si>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</si>
  <si>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</si>
  <si>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</si>
  <si>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</si>
  <si>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</si>
  <si>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</si>
  <si>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</si>
  <si>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</si>
  <si>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</si>
  <si>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</si>
  <si>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</si>
  <si>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</si>
  <si>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</si>
  <si>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</si>
  <si>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</si>
  <si>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</si>
  <si>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</si>
  <si>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</si>
  <si>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</si>
  <si>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</si>
  <si>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</si>
  <si>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</si>
  <si>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</si>
  <si>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</si>
  <si>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</si>
  <si>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</si>
  <si>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</si>
  <si>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</si>
  <si>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</si>
  <si>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</si>
  <si>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</si>
  <si>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</si>
  <si>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</si>
  <si>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</si>
  <si>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</si>
  <si>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</si>
  <si>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</si>
  <si>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</si>
  <si>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</si>
  <si>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</si>
  <si>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</si>
  <si>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</si>
  <si>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</si>
  <si>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</si>
  <si>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</si>
  <si>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</si>
  <si>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</si>
  <si>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</si>
  <si>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</si>
  <si>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</si>
  <si>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</si>
  <si>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</si>
  <si>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</si>
  <si>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</si>
  <si>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</si>
  <si>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</si>
  <si>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</si>
  <si>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</si>
  <si>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</si>
  <si>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</si>
  <si>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</si>
  <si>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</si>
  <si>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</si>
  <si>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</si>
  <si>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</si>
  <si>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</si>
  <si>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</si>
  <si>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</si>
  <si>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</si>
  <si>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</si>
  <si>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</si>
  <si>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</si>
  <si>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</si>
  <si>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</si>
  <si>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</si>
  <si>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</si>
  <si>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</si>
  <si>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</si>
  <si>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</si>
  <si>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</si>
  <si>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</si>
  <si>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</si>
  <si>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</si>
  <si>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</si>
  <si>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</si>
  <si>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</si>
  <si>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</si>
  <si>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</si>
  <si>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</si>
  <si>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</si>
  <si>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</si>
  <si>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</si>
  <si>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</si>
  <si>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</si>
  <si>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</si>
  <si>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</si>
  <si>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</si>
  <si>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</si>
  <si>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</si>
  <si>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</si>
  <si>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</si>
  <si>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</si>
  <si>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</si>
  <si>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</si>
  <si>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</si>
  <si>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</si>
  <si>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</si>
  <si>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</si>
  <si>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</si>
  <si>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</si>
  <si>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</si>
  <si>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</si>
  <si>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</si>
  <si>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</si>
  <si>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</si>
  <si>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</si>
  <si>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</si>
  <si>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</si>
  <si>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</si>
  <si>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</si>
  <si>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</si>
  <si>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</si>
  <si>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</si>
  <si>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</si>
  <si>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</si>
  <si>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</si>
  <si>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</si>
  <si>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</si>
  <si>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</si>
  <si>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</si>
  <si>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</si>
  <si>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</si>
  <si>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</si>
  <si>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</si>
  <si>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</si>
  <si>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</si>
  <si>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</si>
  <si>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</si>
  <si>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</si>
  <si>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</si>
  <si>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</si>
  <si>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</si>
  <si>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</si>
  <si>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</si>
  <si>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</si>
  <si>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</si>
  <si>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</si>
  <si>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</si>
  <si>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</si>
  <si>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</si>
  <si>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</si>
  <si>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</si>
  <si>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</si>
  <si>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</si>
  <si>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</si>
  <si>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</si>
  <si>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</si>
  <si>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</si>
  <si>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</si>
  <si>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</si>
  <si>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</si>
  <si>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</si>
  <si>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</si>
  <si>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</si>
  <si>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</si>
  <si>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</si>
  <si>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</si>
  <si>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</si>
  <si>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</si>
  <si>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</si>
  <si>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</si>
  <si>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</si>
  <si>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</si>
  <si>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</si>
  <si>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</si>
  <si>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</si>
  <si>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</si>
  <si>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</si>
  <si>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</si>
  <si>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</si>
  <si>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</si>
  <si>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</si>
  <si>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</si>
  <si>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</si>
  <si>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</si>
  <si>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</si>
  <si>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</si>
  <si>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</si>
  <si>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</si>
  <si>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</si>
  <si>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</si>
  <si>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</si>
  <si>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</si>
  <si>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</si>
  <si>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</si>
  <si>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</si>
  <si>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</si>
  <si>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</si>
  <si>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</si>
  <si>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</si>
  <si>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</si>
  <si>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</si>
  <si>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</si>
  <si>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</si>
  <si>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</si>
  <si>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</si>
  <si>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</si>
  <si>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</si>
  <si>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</si>
  <si>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</si>
  <si>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</si>
  <si>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</si>
  <si>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</si>
  <si>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</si>
  <si>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</si>
  <si>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</si>
  <si>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</si>
  <si>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</si>
  <si>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</si>
  <si>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</si>
  <si>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</si>
  <si>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</si>
  <si>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</si>
  <si>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</si>
  <si>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</si>
  <si>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</si>
  <si>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</si>
  <si>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</si>
  <si>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</si>
  <si>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</si>
  <si>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</si>
  <si>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</si>
  <si>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</si>
  <si>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</si>
  <si>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</si>
  <si>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</si>
  <si>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</si>
  <si>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</si>
  <si>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</si>
  <si>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</si>
  <si>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</si>
  <si>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</si>
  <si>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</si>
  <si>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</si>
  <si>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</si>
  <si>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</si>
  <si>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</si>
  <si>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</si>
  <si>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</si>
  <si>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</si>
  <si>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</si>
  <si>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</si>
  <si>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</si>
  <si>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</si>
  <si>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</si>
  <si>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</si>
  <si>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</si>
  <si>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</si>
  <si>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</si>
  <si>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</si>
  <si>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</si>
  <si>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</si>
  <si>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</si>
  <si>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</si>
  <si>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</si>
  <si>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</si>
  <si>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</si>
  <si>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</si>
  <si>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</si>
  <si>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</si>
  <si>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</si>
  <si>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</si>
  <si>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</si>
  <si>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</si>
  <si>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</si>
  <si>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</si>
  <si>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</si>
  <si>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</si>
  <si>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</si>
  <si>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</si>
  <si>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</si>
  <si>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</si>
  <si>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</si>
  <si>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</si>
  <si>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</si>
  <si>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</si>
  <si>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</si>
  <si>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</si>
  <si>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</si>
  <si>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</si>
  <si>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</si>
  <si>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</si>
  <si>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</si>
  <si>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</si>
  <si>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</si>
  <si>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</si>
  <si>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</si>
  <si>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</si>
  <si>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</si>
  <si>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</si>
  <si>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</si>
  <si>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</si>
  <si>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</si>
  <si>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</si>
  <si>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</si>
  <si>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</si>
  <si>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</si>
  <si>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</si>
  <si>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</si>
  <si>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</si>
  <si>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</si>
  <si>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</si>
  <si>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</si>
  <si>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</si>
  <si>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</si>
  <si>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</si>
  <si>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</si>
  <si>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</si>
  <si>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</si>
  <si>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</si>
  <si>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</si>
  <si>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</si>
  <si>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</si>
  <si>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</si>
  <si>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</si>
  <si>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</si>
  <si>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</si>
  <si>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</si>
  <si>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</si>
  <si>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</si>
  <si>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</si>
  <si>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</si>
  <si>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</si>
  <si>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</si>
  <si>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</si>
  <si>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</si>
  <si>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</si>
  <si>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</si>
  <si>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</si>
  <si>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</si>
  <si>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</si>
  <si>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</si>
  <si>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</si>
  <si>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</si>
  <si>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</si>
  <si>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</si>
  <si>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</si>
  <si>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</si>
  <si>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Sabrina Chen</t>
  </si>
  <si>
    <t>Less break ( 40mins)</t>
  </si>
  <si>
    <t>0.5 for 03/01; 0.5 for 10/01; 0.5 for 12/28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</si>
</sst>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6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theme="1"/>
      <name val="Helvetica Neue"/>
      <family val="2"/>
    </font>
    <font>
      <sz val="18"/>
      <color rgb="FF0C0C0C"/>
      <name val="Helvetica Neue"/>
      <family val="2"/>
    </font>
    <font>
      <b/>
      <sz val="2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30" fillId="0" borderId="0" xfId="0" applyFont="1" applyAlignment="1" applyProtection="1">
      <alignment horizontal="center"/>
      <protection locked="0"/>
    </xf>
    <xf numFmtId="0" fontId="37" fillId="0" borderId="0" xfId="0" applyFont="1" applyAlignment="1" applyProtection="1">
      <alignment horizontal="center" wrapText="1"/>
      <protection locked="0"/>
    </xf>
    <xf numFmtId="0" fontId="43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 wrapText="1"/>
      <protection locked="0"/>
    </xf>
    <xf numFmtId="165" fontId="30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20" fontId="43" fillId="0" borderId="0" xfId="0" applyNumberFormat="1" applyFont="1" applyAlignment="1" applyProtection="1">
      <alignment horizontal="center" vertical="center"/>
      <protection locked="0"/>
    </xf>
    <xf numFmtId="165" fontId="22" fillId="0" borderId="0" xfId="0" applyNumberFormat="1" applyFont="1" applyAlignment="1" applyProtection="1">
      <alignment horizontal="center" vertical="center" wrapText="1"/>
      <protection locked="0"/>
    </xf>
    <xf numFmtId="4" fontId="45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1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R13" sqref="AR13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10256</v>
      </c>
      <c r="B2" s="102" t="s">
        <v>41</v>
      </c>
      <c r="C2" s="103" t="s">
        <v>730</v>
      </c>
      <c r="D2" s="100"/>
      <c r="E2" s="84"/>
      <c r="F2" s="91">
        <f>BA2-BB2</f>
        <v>0</v>
      </c>
      <c r="G2" s="84"/>
      <c r="H2" s="84"/>
      <c r="I2" s="91">
        <f>BF2-BG2</f>
        <v>0</v>
      </c>
      <c r="J2" s="84"/>
      <c r="K2" s="84"/>
      <c r="L2" s="91">
        <f>BK2-BL2</f>
        <v>0</v>
      </c>
      <c r="M2" s="84"/>
      <c r="N2" s="100"/>
      <c r="O2" s="91">
        <f>BP2-BQ2</f>
        <v>0</v>
      </c>
      <c r="P2" s="100"/>
      <c r="Q2" s="84"/>
      <c r="R2" s="91">
        <f>BU2-BV2</f>
        <v>0</v>
      </c>
      <c r="S2" s="84"/>
      <c r="T2" s="84"/>
      <c r="U2" s="91">
        <f>BZ2-CA2</f>
        <v>0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0</v>
      </c>
      <c r="AC2" s="92"/>
      <c r="AD2" s="78">
        <v>1</v>
      </c>
      <c r="AE2" s="93">
        <f t="shared" ref="AE2:AE40" si="1">SUMIF($BC$1:$CI$1,AE$1,$BC2:$CI2)+AD2</f>
        <v>1</v>
      </c>
      <c r="AF2" s="77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0</v>
      </c>
      <c r="AQ2" s="77"/>
      <c r="AR2" s="77"/>
      <c r="AS2" s="77"/>
      <c r="AT2" s="44">
        <f>AE2+AG2+AI2+AK2+AM2+AO2+SUM(AQ2:AS2)</f>
        <v>1</v>
      </c>
      <c r="AU2" s="78"/>
      <c r="AV2" s="5"/>
      <c r="AW2" s="5"/>
      <c r="AX2" s="5"/>
      <c r="AY2" s="5"/>
      <c r="AZ2" s="24">
        <f>VLOOKUP(C2,Employees!D:I,6,FALSE)</f>
        <v>10256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0</v>
      </c>
    </row>
    <row r="3" spans="1:89" ht="38" customHeight="1">
      <c r="A3" s="74">
        <f t="shared" si="0"/>
        <v>10269</v>
      </c>
      <c r="B3" s="102" t="s">
        <v>41</v>
      </c>
      <c r="C3" s="104" t="s">
        <v>761</v>
      </c>
      <c r="D3" s="100"/>
      <c r="E3" s="84"/>
      <c r="F3" s="91">
        <f t="shared" ref="F3:F69" si="15">BA3-BB3</f>
        <v>0</v>
      </c>
      <c r="G3" s="84"/>
      <c r="H3" s="84"/>
      <c r="I3" s="91">
        <f t="shared" ref="I3:I69" si="16">BF3-BG3</f>
        <v>0</v>
      </c>
      <c r="J3" s="84"/>
      <c r="K3" s="84"/>
      <c r="L3" s="91">
        <f t="shared" ref="L3:L69" si="17">BK3-BL3</f>
        <v>0</v>
      </c>
      <c r="M3" s="84"/>
      <c r="N3" s="100"/>
      <c r="O3" s="91">
        <f t="shared" ref="O3:O69" si="18">BP3-BQ3</f>
        <v>0</v>
      </c>
      <c r="P3" s="100"/>
      <c r="Q3" s="84"/>
      <c r="R3" s="91">
        <f t="shared" ref="R3:R69" si="19">BU3-BV3</f>
        <v>0</v>
      </c>
      <c r="S3" s="100">
        <v>0.4236111111111111</v>
      </c>
      <c r="T3" s="84">
        <v>0.70833333333333337</v>
      </c>
      <c r="U3" s="91">
        <f t="shared" ref="U3:U69" si="20">BZ3-CA3</f>
        <v>6.3333333333333339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6.3333333333333339</v>
      </c>
      <c r="AC3" s="92"/>
      <c r="AD3" s="78"/>
      <c r="AE3" s="93">
        <f t="shared" si="1"/>
        <v>0</v>
      </c>
      <c r="AF3" s="77">
        <v>-0.5</v>
      </c>
      <c r="AG3" s="93">
        <f t="shared" si="2"/>
        <v>5.8333333333333339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5.8333333333333339</v>
      </c>
      <c r="AU3" s="78"/>
      <c r="AV3" s="5"/>
      <c r="AW3" s="5"/>
      <c r="AX3" s="5"/>
      <c r="AY3" s="5"/>
      <c r="AZ3" s="24">
        <f>VLOOKUP(C3,Employees!D:I,6,FALSE)</f>
        <v>10269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6.8333333333333339</v>
      </c>
      <c r="CA3" s="5">
        <f t="shared" ref="CA3:CA66" si="49">IF(BZ3&gt;$AY$1,1,IF(BZ3&gt;=$AX$1,0.5,0))</f>
        <v>0.5</v>
      </c>
      <c r="CB3" s="5">
        <f t="shared" ref="CB3:CB66" si="50">BZ3-CA3-CC3-CD3</f>
        <v>6.3333333333333339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210489</v>
      </c>
      <c r="B4" s="102" t="s">
        <v>41</v>
      </c>
      <c r="C4" s="104" t="s">
        <v>1338</v>
      </c>
      <c r="D4" s="84">
        <v>0.70833333333333337</v>
      </c>
      <c r="E4" s="84">
        <v>0.92708333333333337</v>
      </c>
      <c r="F4" s="91">
        <f t="shared" si="15"/>
        <v>5.25</v>
      </c>
      <c r="G4" s="84"/>
      <c r="H4" s="84"/>
      <c r="I4" s="91">
        <f t="shared" si="16"/>
        <v>0</v>
      </c>
      <c r="J4" s="100">
        <v>0.41666666666666669</v>
      </c>
      <c r="K4" s="84">
        <v>0.70833333333333337</v>
      </c>
      <c r="L4" s="91">
        <f t="shared" si="17"/>
        <v>6.5</v>
      </c>
      <c r="M4" s="84">
        <v>0.70833333333333337</v>
      </c>
      <c r="N4" s="84">
        <v>0.91805555555555551</v>
      </c>
      <c r="O4" s="91">
        <f t="shared" si="18"/>
        <v>5.0333333333333314</v>
      </c>
      <c r="P4" s="100">
        <v>0.41805555555555557</v>
      </c>
      <c r="Q4" s="84">
        <v>0.70833333333333337</v>
      </c>
      <c r="R4" s="91">
        <f t="shared" si="19"/>
        <v>6.4666666666666668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23.25</v>
      </c>
      <c r="AC4" s="92"/>
      <c r="AD4" s="78"/>
      <c r="AE4" s="93">
        <f t="shared" si="1"/>
        <v>22.966666666666661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0.28333333333333499</v>
      </c>
      <c r="AN4" s="77"/>
      <c r="AO4" s="93">
        <f t="shared" si="6"/>
        <v>0</v>
      </c>
      <c r="AP4" s="94">
        <f t="shared" si="23"/>
        <v>4</v>
      </c>
      <c r="AQ4" s="77"/>
      <c r="AR4" s="77"/>
      <c r="AS4" s="77"/>
      <c r="AT4" s="44">
        <f t="shared" si="24"/>
        <v>23.249999999999996</v>
      </c>
      <c r="AU4" s="78"/>
      <c r="AV4" s="5"/>
      <c r="AW4" s="5"/>
      <c r="AX4" s="5"/>
      <c r="AY4" s="5"/>
      <c r="AZ4" s="24">
        <f>VLOOKUP(C4,Employees!D:I,6,FALSE)</f>
        <v>210489</v>
      </c>
      <c r="BA4" s="5">
        <f t="shared" si="25"/>
        <v>5.25</v>
      </c>
      <c r="BB4" s="5">
        <f t="shared" si="26"/>
        <v>0</v>
      </c>
      <c r="BC4" s="5">
        <f t="shared" si="27"/>
        <v>4.9999999999999982</v>
      </c>
      <c r="BD4" s="5">
        <f t="shared" ref="BD4:BD66" si="58">IF(AND(E4&gt;$AV$1, D4&lt;$AW$1),(MIN(E4,$AW$1)-MAX(D4,$AV$1))*24,0)</f>
        <v>0.25000000000000178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7</v>
      </c>
      <c r="BL4" s="5">
        <f t="shared" si="35"/>
        <v>0.5</v>
      </c>
      <c r="BM4" s="5">
        <f t="shared" si="36"/>
        <v>6.5</v>
      </c>
      <c r="BN4" s="5">
        <f t="shared" si="37"/>
        <v>0</v>
      </c>
      <c r="BO4" s="5">
        <f t="shared" si="38"/>
        <v>0</v>
      </c>
      <c r="BP4" s="5">
        <f t="shared" si="39"/>
        <v>5.0333333333333314</v>
      </c>
      <c r="BQ4" s="5">
        <f t="shared" si="40"/>
        <v>0</v>
      </c>
      <c r="BR4" s="5">
        <f t="shared" si="41"/>
        <v>4.9999999999999982</v>
      </c>
      <c r="BS4" s="5">
        <f t="shared" si="42"/>
        <v>3.3333333333333215E-2</v>
      </c>
      <c r="BT4" s="5">
        <f t="shared" si="43"/>
        <v>0</v>
      </c>
      <c r="BU4" s="5">
        <f t="shared" si="44"/>
        <v>6.9666666666666668</v>
      </c>
      <c r="BV4" s="5">
        <f t="shared" si="45"/>
        <v>0.5</v>
      </c>
      <c r="BW4" s="5">
        <f t="shared" si="46"/>
        <v>6.4666666666666668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10040</v>
      </c>
      <c r="B5" s="102" t="s">
        <v>41</v>
      </c>
      <c r="C5" s="105" t="s">
        <v>404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75"/>
      <c r="N5" s="75"/>
      <c r="O5" s="91">
        <f t="shared" si="18"/>
        <v>0</v>
      </c>
      <c r="P5" s="84">
        <v>0.70833333333333337</v>
      </c>
      <c r="Q5" s="84">
        <v>0.92708333333333337</v>
      </c>
      <c r="R5" s="91">
        <f t="shared" si="19"/>
        <v>5.25</v>
      </c>
      <c r="S5" s="84"/>
      <c r="T5" s="84"/>
      <c r="U5" s="91">
        <f t="shared" si="20"/>
        <v>0</v>
      </c>
      <c r="V5" s="75"/>
      <c r="W5" s="75"/>
      <c r="X5" s="91">
        <f t="shared" si="21"/>
        <v>0</v>
      </c>
      <c r="Y5" s="91"/>
      <c r="Z5" s="91"/>
      <c r="AA5" s="91"/>
      <c r="AB5" s="91">
        <f t="shared" si="22"/>
        <v>5.25</v>
      </c>
      <c r="AC5" s="92"/>
      <c r="AD5" s="78"/>
      <c r="AE5" s="93">
        <f t="shared" si="1"/>
        <v>4.9999999999999982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0.25000000000000178</v>
      </c>
      <c r="AN5" s="77"/>
      <c r="AO5" s="93">
        <f t="shared" si="6"/>
        <v>0</v>
      </c>
      <c r="AP5" s="94">
        <f t="shared" si="23"/>
        <v>1</v>
      </c>
      <c r="AQ5" s="77"/>
      <c r="AR5" s="77"/>
      <c r="AS5" s="77"/>
      <c r="AT5" s="44">
        <f t="shared" si="24"/>
        <v>5.25</v>
      </c>
      <c r="AU5" s="78"/>
      <c r="AV5" s="5"/>
      <c r="AW5" s="5"/>
      <c r="AX5" s="5"/>
      <c r="AY5" s="5"/>
      <c r="AZ5" s="24">
        <f>VLOOKUP(C5,Employees!D:I,6,FALSE)</f>
        <v>10040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5.25</v>
      </c>
      <c r="BV5" s="5">
        <f t="shared" si="45"/>
        <v>0</v>
      </c>
      <c r="BW5" s="5">
        <f t="shared" si="46"/>
        <v>4.9999999999999982</v>
      </c>
      <c r="BX5" s="5">
        <f t="shared" si="47"/>
        <v>0.25000000000000178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10382</v>
      </c>
      <c r="B6" s="102" t="s">
        <v>41</v>
      </c>
      <c r="C6" s="105" t="s">
        <v>1054</v>
      </c>
      <c r="D6" s="100">
        <v>0.41666666666666669</v>
      </c>
      <c r="E6" s="84">
        <v>0.70833333333333337</v>
      </c>
      <c r="F6" s="91">
        <f t="shared" si="15"/>
        <v>6.5</v>
      </c>
      <c r="G6" s="100">
        <v>0.41736111111111113</v>
      </c>
      <c r="H6" s="84">
        <v>0.92708333333333337</v>
      </c>
      <c r="I6" s="91">
        <f t="shared" si="16"/>
        <v>11.233333333333333</v>
      </c>
      <c r="J6" s="75">
        <v>0.70833333333333337</v>
      </c>
      <c r="K6" s="75">
        <v>0.92708333333333337</v>
      </c>
      <c r="L6" s="91">
        <f t="shared" si="17"/>
        <v>5.25</v>
      </c>
      <c r="M6" s="84"/>
      <c r="N6" s="84"/>
      <c r="O6" s="91">
        <f t="shared" si="18"/>
        <v>0</v>
      </c>
      <c r="P6" s="75"/>
      <c r="Q6" s="75"/>
      <c r="R6" s="91">
        <f t="shared" si="19"/>
        <v>0</v>
      </c>
      <c r="S6" s="84">
        <v>0.70833333333333337</v>
      </c>
      <c r="T6" s="84">
        <v>0.92708333333333337</v>
      </c>
      <c r="U6" s="91">
        <f t="shared" si="20"/>
        <v>5.25</v>
      </c>
      <c r="V6" s="100">
        <v>0.41666666666666669</v>
      </c>
      <c r="W6" s="107">
        <v>0.92708333333333337</v>
      </c>
      <c r="X6" s="91">
        <f t="shared" si="21"/>
        <v>11.250000000000002</v>
      </c>
      <c r="Y6" s="91"/>
      <c r="Z6" s="91"/>
      <c r="AA6" s="91"/>
      <c r="AB6" s="91">
        <f t="shared" si="22"/>
        <v>39.483333333333334</v>
      </c>
      <c r="AC6" s="92"/>
      <c r="AD6" s="78"/>
      <c r="AE6" s="93">
        <f t="shared" si="1"/>
        <v>22.483333333333327</v>
      </c>
      <c r="AF6" s="77"/>
      <c r="AG6" s="93">
        <f t="shared" si="2"/>
        <v>5.25</v>
      </c>
      <c r="AH6" s="78"/>
      <c r="AI6" s="93">
        <f t="shared" si="3"/>
        <v>11.250000000000002</v>
      </c>
      <c r="AJ6" s="77"/>
      <c r="AK6" s="93">
        <f t="shared" si="4"/>
        <v>0</v>
      </c>
      <c r="AL6" s="77"/>
      <c r="AM6" s="93">
        <f t="shared" si="5"/>
        <v>0.50000000000000355</v>
      </c>
      <c r="AN6" s="77"/>
      <c r="AO6" s="93">
        <f t="shared" si="6"/>
        <v>0</v>
      </c>
      <c r="AP6" s="94">
        <f t="shared" si="23"/>
        <v>5</v>
      </c>
      <c r="AQ6" s="77"/>
      <c r="AR6" s="77"/>
      <c r="AS6" s="77"/>
      <c r="AT6" s="44">
        <f t="shared" si="24"/>
        <v>39.483333333333334</v>
      </c>
      <c r="AU6" s="78"/>
      <c r="AV6" s="5"/>
      <c r="AW6" s="5"/>
      <c r="AX6" s="5"/>
      <c r="AY6" s="5"/>
      <c r="AZ6" s="24">
        <f>VLOOKUP(C6,Employees!D:I,6,FALSE)</f>
        <v>10382</v>
      </c>
      <c r="BA6" s="5">
        <f t="shared" si="25"/>
        <v>7</v>
      </c>
      <c r="BB6" s="5">
        <f t="shared" si="26"/>
        <v>0.5</v>
      </c>
      <c r="BC6" s="5">
        <f t="shared" si="27"/>
        <v>6.5</v>
      </c>
      <c r="BD6" s="5">
        <f t="shared" si="58"/>
        <v>0</v>
      </c>
      <c r="BE6" s="5">
        <f t="shared" si="28"/>
        <v>0</v>
      </c>
      <c r="BF6" s="5">
        <f t="shared" si="29"/>
        <v>12.233333333333333</v>
      </c>
      <c r="BG6" s="5">
        <f t="shared" si="30"/>
        <v>1</v>
      </c>
      <c r="BH6" s="5">
        <f t="shared" si="31"/>
        <v>10.983333333333331</v>
      </c>
      <c r="BI6" s="5">
        <f t="shared" si="32"/>
        <v>0.25000000000000178</v>
      </c>
      <c r="BJ6" s="5">
        <f t="shared" si="33"/>
        <v>0</v>
      </c>
      <c r="BK6" s="5">
        <f t="shared" si="34"/>
        <v>5.25</v>
      </c>
      <c r="BL6" s="5">
        <f t="shared" si="35"/>
        <v>0</v>
      </c>
      <c r="BM6" s="5">
        <f t="shared" si="36"/>
        <v>4.9999999999999982</v>
      </c>
      <c r="BN6" s="5">
        <f t="shared" si="37"/>
        <v>0.25000000000000178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5.25</v>
      </c>
      <c r="CA6" s="5">
        <f t="shared" si="49"/>
        <v>0</v>
      </c>
      <c r="CB6" s="5">
        <f t="shared" si="50"/>
        <v>4.9999999999999982</v>
      </c>
      <c r="CC6" s="5">
        <f t="shared" si="51"/>
        <v>0.25000000000000178</v>
      </c>
      <c r="CD6" s="5">
        <f t="shared" si="52"/>
        <v>0</v>
      </c>
      <c r="CE6" s="5">
        <f t="shared" si="53"/>
        <v>12.250000000000002</v>
      </c>
      <c r="CF6" s="5">
        <f t="shared" si="54"/>
        <v>1</v>
      </c>
      <c r="CG6" s="5">
        <f t="shared" si="55"/>
        <v>11</v>
      </c>
      <c r="CH6" s="5">
        <f t="shared" si="56"/>
        <v>0.25000000000000178</v>
      </c>
      <c r="CI6" s="5">
        <f t="shared" si="57"/>
        <v>0</v>
      </c>
      <c r="CJ6" s="5"/>
      <c r="CK6" s="4">
        <f t="shared" si="14"/>
        <v>5</v>
      </c>
    </row>
    <row r="7" spans="1:89" ht="38" customHeight="1">
      <c r="A7" s="74">
        <f t="shared" si="0"/>
        <v>10180</v>
      </c>
      <c r="B7" s="102" t="s">
        <v>41</v>
      </c>
      <c r="C7" s="106" t="s">
        <v>543</v>
      </c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84"/>
      <c r="L7" s="91">
        <f t="shared" si="17"/>
        <v>0</v>
      </c>
      <c r="M7" s="100">
        <v>0.41666666666666669</v>
      </c>
      <c r="N7" s="84">
        <v>0.70833333333333337</v>
      </c>
      <c r="O7" s="91">
        <f t="shared" si="18"/>
        <v>6.5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6.5</v>
      </c>
      <c r="AC7" s="92"/>
      <c r="AD7" s="78"/>
      <c r="AE7" s="93">
        <f t="shared" si="1"/>
        <v>6.5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1</v>
      </c>
      <c r="AQ7" s="77"/>
      <c r="AR7" s="77"/>
      <c r="AS7" s="77"/>
      <c r="AT7" s="44">
        <f t="shared" si="24"/>
        <v>6.5</v>
      </c>
      <c r="AU7" s="78"/>
      <c r="AV7" s="5"/>
      <c r="AW7" s="5"/>
      <c r="AX7" s="5"/>
      <c r="AY7" s="5"/>
      <c r="AZ7" s="24">
        <f>VLOOKUP(C7,Employees!D:I,6,FALSE)</f>
        <v>10180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7</v>
      </c>
      <c r="BQ7" s="5">
        <f t="shared" si="40"/>
        <v>0.5</v>
      </c>
      <c r="BR7" s="5">
        <f t="shared" si="41"/>
        <v>6.5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10049</v>
      </c>
      <c r="B8" s="102" t="s">
        <v>41</v>
      </c>
      <c r="C8" s="98" t="s">
        <v>1516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/>
      <c r="K8" s="75"/>
      <c r="L8" s="91">
        <f t="shared" si="17"/>
        <v>0</v>
      </c>
      <c r="M8" s="75"/>
      <c r="N8" s="75"/>
      <c r="O8" s="91">
        <f t="shared" si="18"/>
        <v>0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0</v>
      </c>
      <c r="AC8" s="92"/>
      <c r="AD8" s="78"/>
      <c r="AE8" s="93">
        <f t="shared" si="1"/>
        <v>0</v>
      </c>
      <c r="AF8" s="77">
        <v>1</v>
      </c>
      <c r="AG8" s="93">
        <f t="shared" si="2"/>
        <v>1</v>
      </c>
      <c r="AH8" s="77">
        <v>0.5</v>
      </c>
      <c r="AI8" s="93">
        <f t="shared" si="3"/>
        <v>0.5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0</v>
      </c>
      <c r="AQ8" s="77"/>
      <c r="AR8" s="77"/>
      <c r="AS8" s="77"/>
      <c r="AT8" s="44">
        <f t="shared" si="24"/>
        <v>1.5</v>
      </c>
      <c r="AU8" s="78" t="s">
        <v>1518</v>
      </c>
      <c r="AV8" s="5"/>
      <c r="AW8" s="5"/>
      <c r="AX8" s="5"/>
      <c r="AY8" s="5"/>
      <c r="AZ8" s="24">
        <f>VLOOKUP(C8,Employees!D:I,6,FALSE)</f>
        <v>10049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>
        <f t="shared" si="0"/>
        <v>10367</v>
      </c>
      <c r="B9" s="81" t="s">
        <v>41</v>
      </c>
      <c r="C9" s="97" t="s">
        <v>1135</v>
      </c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0</v>
      </c>
      <c r="AC9" s="92"/>
      <c r="AD9" s="78"/>
      <c r="AE9" s="93">
        <f t="shared" si="1"/>
        <v>0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0</v>
      </c>
      <c r="AQ9" s="77"/>
      <c r="AR9" s="77">
        <v>76</v>
      </c>
      <c r="AS9" s="77"/>
      <c r="AT9" s="44">
        <f t="shared" si="24"/>
        <v>76</v>
      </c>
      <c r="AU9" s="78"/>
      <c r="AV9" s="5"/>
      <c r="AW9" s="5"/>
      <c r="AX9" s="5"/>
      <c r="AY9" s="5"/>
      <c r="AZ9" s="24">
        <f>VLOOKUP(C9,Employees!D:I,6,FALSE)</f>
        <v>10367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8"/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697" operator="equal">
      <formula>"Pub"</formula>
    </cfRule>
  </conditionalFormatting>
  <conditionalFormatting sqref="F2:F100 I2:I100 L2:L100 O2:O100 R2:R100 U2:U100 X2:AB100 AT2:AT100">
    <cfRule type="cellIs" dxfId="19" priority="699" operator="lessThan">
      <formula>0</formula>
    </cfRule>
    <cfRule type="cellIs" dxfId="18" priority="700" operator="between">
      <formula>3</formula>
      <formula>0.01</formula>
    </cfRule>
    <cfRule type="cellIs" dxfId="17" priority="772" operator="lessThan">
      <formula>SUMIF($C:$C,$C2,F:F)</formula>
    </cfRule>
  </conditionalFormatting>
  <conditionalFormatting sqref="AD2:AD100">
    <cfRule type="notContainsBlanks" dxfId="16" priority="1">
      <formula>LEN(TRIM(AD2))&gt;0</formula>
    </cfRule>
  </conditionalFormatting>
  <conditionalFormatting sqref="AF2:AF100 AJ2:AJ100 AL2:AL100 AN2:AN100 AQ2:AS100">
    <cfRule type="notContainsBlanks" dxfId="15" priority="773">
      <formula>LEN(TRIM(AF2))&gt;0</formula>
    </cfRule>
  </conditionalFormatting>
  <conditionalFormatting sqref="AH2:AH100">
    <cfRule type="notContainsBlanks" dxfId="14" priority="3">
      <formula>LEN(TRIM(AH2))&gt;0</formula>
    </cfRule>
  </conditionalFormatting>
  <conditionalFormatting sqref="AT1">
    <cfRule type="cellIs" dxfId="13" priority="692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R13" sqref="AR13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10256</v>
      </c>
      <c r="B2" s="108" t="s">
        <v>41</v>
      </c>
      <c r="C2" s="109" t="s">
        <v>730</v>
      </c>
      <c r="D2" s="90"/>
      <c r="E2" s="90"/>
      <c r="F2" s="91">
        <f>BA2-BB2</f>
        <v>0</v>
      </c>
      <c r="G2" s="90"/>
      <c r="H2" s="89"/>
      <c r="I2" s="91">
        <f>BF2-BG2</f>
        <v>0</v>
      </c>
      <c r="J2" s="90"/>
      <c r="K2" s="89"/>
      <c r="L2" s="91">
        <f>BK2-BL2</f>
        <v>0</v>
      </c>
      <c r="M2" s="90"/>
      <c r="N2" s="89"/>
      <c r="O2" s="91">
        <f>BP2-BQ2</f>
        <v>0</v>
      </c>
      <c r="P2" s="90"/>
      <c r="Q2" s="89"/>
      <c r="R2" s="91">
        <f>BU2-BV2</f>
        <v>0</v>
      </c>
      <c r="S2" s="90"/>
      <c r="T2" s="90"/>
      <c r="U2" s="91">
        <f>BZ2-CA2</f>
        <v>0</v>
      </c>
      <c r="V2" s="90"/>
      <c r="W2" s="113"/>
      <c r="X2" s="91">
        <f>CE2-CF2</f>
        <v>0</v>
      </c>
      <c r="Y2" s="91"/>
      <c r="Z2" s="91"/>
      <c r="AA2" s="91"/>
      <c r="AB2" s="95">
        <f>SUM(F2,I2,L2,O2,R2,U2,X2)</f>
        <v>0</v>
      </c>
      <c r="AC2" s="92"/>
      <c r="AD2" s="78">
        <v>1</v>
      </c>
      <c r="AE2" s="93">
        <f>SUMIF($BC$1:$CI$1,AE$1,$BC2:$CI2)+AD2</f>
        <v>1</v>
      </c>
      <c r="AF2" s="78"/>
      <c r="AG2" s="93">
        <f>SUMIF($BC$1:$CI$1,AG$1,$BC2:$CI2)+AF2</f>
        <v>0</v>
      </c>
      <c r="AH2" s="78"/>
      <c r="AI2" s="93">
        <f>SUMIF($BC$1:$CI$1,AI$1,$BC2:$CI2)+AH2</f>
        <v>0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0</v>
      </c>
      <c r="AQ2" s="77"/>
      <c r="AR2" s="114">
        <v>30</v>
      </c>
      <c r="AS2" s="77"/>
      <c r="AT2" s="63">
        <f>AE2+AG2+AI2+AK2+AM2+AO2+SUM(AQ2:AS2)</f>
        <v>31</v>
      </c>
      <c r="AU2" s="78"/>
      <c r="AV2" s="5"/>
      <c r="AW2" s="5"/>
      <c r="AX2" s="5"/>
      <c r="AY2" s="5"/>
      <c r="AZ2" s="24">
        <f>VLOOKUP(C2,Employees!D:I,6,FALSE)</f>
        <v>10256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>
        <f t="shared" si="0"/>
        <v>10269</v>
      </c>
      <c r="B3" s="108" t="s">
        <v>41</v>
      </c>
      <c r="C3" s="110" t="s">
        <v>761</v>
      </c>
      <c r="D3" s="90">
        <v>0.60555555555555551</v>
      </c>
      <c r="E3" s="90">
        <v>0.77083333333333337</v>
      </c>
      <c r="F3" s="91">
        <f t="shared" ref="F3:F74" si="9">BA3-BB3</f>
        <v>3.9666666666666686</v>
      </c>
      <c r="G3" s="90"/>
      <c r="H3" s="90"/>
      <c r="I3" s="91">
        <f t="shared" ref="I3:I74" si="10">BF3-BG3</f>
        <v>0</v>
      </c>
      <c r="J3" s="90"/>
      <c r="K3" s="90"/>
      <c r="L3" s="91">
        <f t="shared" ref="L3:L74" si="11">BK3-BL3</f>
        <v>0</v>
      </c>
      <c r="M3" s="90"/>
      <c r="N3" s="90"/>
      <c r="O3" s="91">
        <f t="shared" ref="O3:O74" si="12">BP3-BQ3</f>
        <v>0</v>
      </c>
      <c r="P3" s="112"/>
      <c r="Q3" s="112"/>
      <c r="R3" s="91">
        <f t="shared" ref="R3:R74" si="13">BU3-BV3</f>
        <v>0</v>
      </c>
      <c r="S3" s="112"/>
      <c r="T3" s="112"/>
      <c r="U3" s="91">
        <f t="shared" ref="U3:U74" si="14">BZ3-CA3</f>
        <v>0</v>
      </c>
      <c r="V3" s="90"/>
      <c r="W3" s="90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3.9666666666666686</v>
      </c>
      <c r="AC3" s="92"/>
      <c r="AD3" s="78"/>
      <c r="AE3" s="93">
        <f t="shared" ref="AE3:AE74" si="17">SUMIF($BC$1:$CI$1,AE$1,$BC3:$CI3)+AD3</f>
        <v>0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3.9666666666666686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1</v>
      </c>
      <c r="AQ3" s="77"/>
      <c r="AR3" s="78"/>
      <c r="AS3" s="77"/>
      <c r="AT3" s="63">
        <f t="shared" ref="AT3:AT74" si="24">AE3+AG3+AI3+AK3+AM3+AO3+SUM(AQ3:AS3)</f>
        <v>3.9666666666666686</v>
      </c>
      <c r="AU3" s="78"/>
      <c r="AV3" s="5"/>
      <c r="AW3" s="5"/>
      <c r="AX3" s="5"/>
      <c r="AY3" s="5"/>
      <c r="AZ3" s="24">
        <f>VLOOKUP(C3,Employees!D:I,6,FALSE)</f>
        <v>10269</v>
      </c>
      <c r="BA3" s="5">
        <f t="shared" ref="BA3:BA66" si="25">IF(ISBLANK(D3),0,(E3-D3)*24)</f>
        <v>3.9666666666666686</v>
      </c>
      <c r="BB3" s="5">
        <f t="shared" ref="BB3:BB66" si="26">IF(BA3&gt;$AY$1,1,IF(BA3&gt;=$AX$1,0.5,0))</f>
        <v>0</v>
      </c>
      <c r="BC3" s="5">
        <f t="shared" ref="BC3:BC66" si="27">BA3-BB3-BD3-BE3</f>
        <v>3.9666666666666686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1</v>
      </c>
    </row>
    <row r="4" spans="1:89" ht="47" customHeight="1">
      <c r="A4" s="74">
        <f t="shared" si="0"/>
        <v>210489</v>
      </c>
      <c r="B4" s="108" t="s">
        <v>41</v>
      </c>
      <c r="C4" s="110" t="s">
        <v>1338</v>
      </c>
      <c r="D4" s="90"/>
      <c r="E4" s="90"/>
      <c r="F4" s="91">
        <f t="shared" si="9"/>
        <v>0</v>
      </c>
      <c r="G4" s="90"/>
      <c r="H4" s="90"/>
      <c r="I4" s="91">
        <f t="shared" si="10"/>
        <v>0</v>
      </c>
      <c r="J4" s="90">
        <v>0.70833333333333337</v>
      </c>
      <c r="K4" s="90">
        <v>0.92708333333333337</v>
      </c>
      <c r="L4" s="91">
        <f t="shared" si="11"/>
        <v>5.25</v>
      </c>
      <c r="M4" s="90">
        <v>0.625</v>
      </c>
      <c r="N4" s="90">
        <v>0.92708333333333337</v>
      </c>
      <c r="O4" s="91">
        <f t="shared" si="12"/>
        <v>6.7500000000000009</v>
      </c>
      <c r="P4" s="90">
        <v>0.41666666666666669</v>
      </c>
      <c r="Q4" s="90">
        <v>0.71875</v>
      </c>
      <c r="R4" s="91">
        <f t="shared" si="13"/>
        <v>6.75</v>
      </c>
      <c r="S4" s="90"/>
      <c r="T4" s="90"/>
      <c r="U4" s="91">
        <f t="shared" si="14"/>
        <v>0</v>
      </c>
      <c r="V4" s="90"/>
      <c r="W4" s="90"/>
      <c r="X4" s="91">
        <f t="shared" si="15"/>
        <v>0</v>
      </c>
      <c r="Y4" s="91"/>
      <c r="Z4" s="91"/>
      <c r="AA4" s="91"/>
      <c r="AB4" s="95">
        <f t="shared" si="16"/>
        <v>18.75</v>
      </c>
      <c r="AC4" s="92"/>
      <c r="AD4" s="78"/>
      <c r="AE4" s="93">
        <f t="shared" si="17"/>
        <v>18.249999999999996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0.50000000000000355</v>
      </c>
      <c r="AN4" s="77"/>
      <c r="AO4" s="93">
        <f t="shared" si="22"/>
        <v>0</v>
      </c>
      <c r="AP4" s="94">
        <f t="shared" si="23"/>
        <v>3</v>
      </c>
      <c r="AQ4" s="77"/>
      <c r="AR4" s="78"/>
      <c r="AS4" s="77"/>
      <c r="AT4" s="63">
        <f t="shared" si="24"/>
        <v>18.75</v>
      </c>
      <c r="AU4" s="78"/>
      <c r="AV4" s="5"/>
      <c r="AW4" s="5"/>
      <c r="AX4" s="5"/>
      <c r="AY4" s="5"/>
      <c r="AZ4" s="24">
        <f>VLOOKUP(C4,Employees!D:I,6,FALSE)</f>
        <v>210489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5.25</v>
      </c>
      <c r="BL4" s="5">
        <f t="shared" si="36"/>
        <v>0</v>
      </c>
      <c r="BM4" s="5">
        <f t="shared" si="37"/>
        <v>4.9999999999999982</v>
      </c>
      <c r="BN4" s="5">
        <f t="shared" si="38"/>
        <v>0.25000000000000178</v>
      </c>
      <c r="BO4" s="5">
        <f t="shared" si="39"/>
        <v>0</v>
      </c>
      <c r="BP4" s="5">
        <f t="shared" si="40"/>
        <v>7.2500000000000009</v>
      </c>
      <c r="BQ4" s="5">
        <f t="shared" si="41"/>
        <v>0.5</v>
      </c>
      <c r="BR4" s="5">
        <f t="shared" si="42"/>
        <v>6.4999999999999991</v>
      </c>
      <c r="BS4" s="5">
        <f t="shared" si="43"/>
        <v>0.25000000000000178</v>
      </c>
      <c r="BT4" s="5">
        <f t="shared" si="44"/>
        <v>0</v>
      </c>
      <c r="BU4" s="5">
        <f t="shared" si="45"/>
        <v>7.25</v>
      </c>
      <c r="BV4" s="5">
        <f t="shared" si="46"/>
        <v>0.5</v>
      </c>
      <c r="BW4" s="5">
        <f t="shared" si="47"/>
        <v>6.75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10040</v>
      </c>
      <c r="B5" s="108" t="s">
        <v>41</v>
      </c>
      <c r="C5" s="97" t="s">
        <v>404</v>
      </c>
      <c r="D5" s="89"/>
      <c r="E5" s="90"/>
      <c r="F5" s="91">
        <f t="shared" si="9"/>
        <v>0</v>
      </c>
      <c r="G5" s="90">
        <v>0.70833333333333337</v>
      </c>
      <c r="H5" s="89">
        <v>0.92708333333333337</v>
      </c>
      <c r="I5" s="91">
        <f t="shared" si="10"/>
        <v>5.25</v>
      </c>
      <c r="J5" s="89"/>
      <c r="K5" s="89"/>
      <c r="L5" s="91">
        <f t="shared" si="11"/>
        <v>0</v>
      </c>
      <c r="M5" s="90"/>
      <c r="N5" s="90"/>
      <c r="O5" s="91">
        <f t="shared" si="12"/>
        <v>0</v>
      </c>
      <c r="P5" s="90">
        <v>0.71875</v>
      </c>
      <c r="Q5" s="90">
        <v>0.92708333333333337</v>
      </c>
      <c r="R5" s="91">
        <f t="shared" si="13"/>
        <v>5.0000000000000009</v>
      </c>
      <c r="S5" s="89">
        <v>0.63194444444444442</v>
      </c>
      <c r="T5" s="90">
        <v>0.92708333333333337</v>
      </c>
      <c r="U5" s="91">
        <f t="shared" si="14"/>
        <v>6.5833333333333348</v>
      </c>
      <c r="V5" s="90"/>
      <c r="W5" s="89"/>
      <c r="X5" s="91">
        <f t="shared" si="15"/>
        <v>0</v>
      </c>
      <c r="Y5" s="91"/>
      <c r="Z5" s="91"/>
      <c r="AA5" s="91"/>
      <c r="AB5" s="95">
        <f t="shared" si="16"/>
        <v>16.833333333333336</v>
      </c>
      <c r="AC5" s="92"/>
      <c r="AD5" s="78"/>
      <c r="AE5" s="93">
        <f t="shared" si="17"/>
        <v>9.7499999999999964</v>
      </c>
      <c r="AF5" s="78"/>
      <c r="AG5" s="93">
        <f t="shared" si="18"/>
        <v>6.5833333333333348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0.50000000000000355</v>
      </c>
      <c r="AN5" s="77"/>
      <c r="AO5" s="93">
        <f t="shared" si="22"/>
        <v>0</v>
      </c>
      <c r="AP5" s="94">
        <f t="shared" si="23"/>
        <v>3</v>
      </c>
      <c r="AQ5" s="77"/>
      <c r="AR5" s="78"/>
      <c r="AS5" s="77"/>
      <c r="AT5" s="63">
        <f t="shared" si="24"/>
        <v>16.833333333333336</v>
      </c>
      <c r="AU5" s="78"/>
      <c r="AV5" s="5"/>
      <c r="AW5" s="5"/>
      <c r="AX5" s="5"/>
      <c r="AY5" s="5"/>
      <c r="AZ5" s="24">
        <f>VLOOKUP(C5,Employees!D:I,6,FALSE)</f>
        <v>10040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5.25</v>
      </c>
      <c r="BG5" s="5">
        <f t="shared" si="31"/>
        <v>0</v>
      </c>
      <c r="BH5" s="5">
        <f t="shared" si="32"/>
        <v>4.9999999999999982</v>
      </c>
      <c r="BI5" s="5">
        <f t="shared" si="33"/>
        <v>0.25000000000000178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5.0000000000000009</v>
      </c>
      <c r="BV5" s="5">
        <f t="shared" si="46"/>
        <v>0</v>
      </c>
      <c r="BW5" s="5">
        <f t="shared" si="47"/>
        <v>4.7499999999999991</v>
      </c>
      <c r="BX5" s="5">
        <f t="shared" si="48"/>
        <v>0.25000000000000178</v>
      </c>
      <c r="BY5" s="5">
        <f t="shared" si="49"/>
        <v>0</v>
      </c>
      <c r="BZ5" s="5">
        <f t="shared" si="50"/>
        <v>7.0833333333333348</v>
      </c>
      <c r="CA5" s="5">
        <f t="shared" si="51"/>
        <v>0.5</v>
      </c>
      <c r="CB5" s="5">
        <f t="shared" si="52"/>
        <v>6.333333333333333</v>
      </c>
      <c r="CC5" s="5">
        <f t="shared" si="53"/>
        <v>0.25000000000000178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10382</v>
      </c>
      <c r="B6" s="108" t="s">
        <v>41</v>
      </c>
      <c r="C6" s="97" t="s">
        <v>1054</v>
      </c>
      <c r="D6" s="89">
        <v>0.77083333333333337</v>
      </c>
      <c r="E6" s="90">
        <v>0.92708333333333337</v>
      </c>
      <c r="F6" s="91">
        <f t="shared" si="9"/>
        <v>3.75</v>
      </c>
      <c r="G6" s="90">
        <v>0.41666666666666669</v>
      </c>
      <c r="H6" s="89">
        <v>0.70833333333333337</v>
      </c>
      <c r="I6" s="91">
        <f t="shared" si="10"/>
        <v>6.5</v>
      </c>
      <c r="J6" s="89">
        <v>0.41875000000000001</v>
      </c>
      <c r="K6" s="89">
        <v>0.70763888888888893</v>
      </c>
      <c r="L6" s="91">
        <f t="shared" si="11"/>
        <v>6.4333333333333336</v>
      </c>
      <c r="M6" s="89"/>
      <c r="N6" s="89"/>
      <c r="O6" s="91">
        <f t="shared" si="12"/>
        <v>0</v>
      </c>
      <c r="P6" s="76"/>
      <c r="Q6" s="75"/>
      <c r="R6" s="91">
        <f t="shared" si="13"/>
        <v>0</v>
      </c>
      <c r="S6" s="90"/>
      <c r="T6" s="90"/>
      <c r="U6" s="91">
        <f t="shared" si="14"/>
        <v>0</v>
      </c>
      <c r="V6" s="90">
        <v>0.41666666666666669</v>
      </c>
      <c r="W6" s="89">
        <v>0.92708333333333337</v>
      </c>
      <c r="X6" s="91">
        <f t="shared" si="15"/>
        <v>11.250000000000002</v>
      </c>
      <c r="Y6" s="91"/>
      <c r="Z6" s="91"/>
      <c r="AA6" s="91"/>
      <c r="AB6" s="95">
        <f t="shared" si="16"/>
        <v>27.933333333333337</v>
      </c>
      <c r="AC6" s="92"/>
      <c r="AD6" s="78">
        <v>0.5</v>
      </c>
      <c r="AE6" s="93">
        <f t="shared" si="17"/>
        <v>13.433333333333334</v>
      </c>
      <c r="AF6" s="78"/>
      <c r="AG6" s="93">
        <f t="shared" si="18"/>
        <v>0</v>
      </c>
      <c r="AH6" s="78"/>
      <c r="AI6" s="93">
        <f t="shared" si="19"/>
        <v>11.250000000000002</v>
      </c>
      <c r="AJ6" s="77"/>
      <c r="AK6" s="93">
        <f t="shared" si="20"/>
        <v>3.75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4</v>
      </c>
      <c r="AQ6" s="77"/>
      <c r="AR6" s="78"/>
      <c r="AS6" s="77"/>
      <c r="AT6" s="63">
        <f t="shared" si="24"/>
        <v>28.433333333333337</v>
      </c>
      <c r="AU6" s="78" t="s">
        <v>1517</v>
      </c>
      <c r="AV6" s="5"/>
      <c r="AW6" s="5"/>
      <c r="AX6" s="5"/>
      <c r="AY6" s="5"/>
      <c r="AZ6" s="24">
        <f>VLOOKUP(C6,Employees!D:I,6,FALSE)</f>
        <v>10382</v>
      </c>
      <c r="BA6" s="5">
        <f t="shared" si="25"/>
        <v>3.75</v>
      </c>
      <c r="BB6" s="5">
        <f t="shared" si="26"/>
        <v>0</v>
      </c>
      <c r="BC6" s="5">
        <f t="shared" si="27"/>
        <v>3.4999999999999982</v>
      </c>
      <c r="BD6" s="5">
        <f t="shared" si="28"/>
        <v>0.25000000000000178</v>
      </c>
      <c r="BE6" s="5">
        <f t="shared" si="29"/>
        <v>0</v>
      </c>
      <c r="BF6" s="5">
        <f t="shared" si="30"/>
        <v>7</v>
      </c>
      <c r="BG6" s="5">
        <f t="shared" si="31"/>
        <v>0.5</v>
      </c>
      <c r="BH6" s="5">
        <f t="shared" si="32"/>
        <v>6.5</v>
      </c>
      <c r="BI6" s="5">
        <f t="shared" si="33"/>
        <v>0</v>
      </c>
      <c r="BJ6" s="5">
        <f t="shared" si="34"/>
        <v>0</v>
      </c>
      <c r="BK6" s="5">
        <f t="shared" si="35"/>
        <v>6.9333333333333336</v>
      </c>
      <c r="BL6" s="5">
        <f t="shared" si="36"/>
        <v>0.5</v>
      </c>
      <c r="BM6" s="5">
        <f t="shared" si="37"/>
        <v>6.4333333333333336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12.250000000000002</v>
      </c>
      <c r="CF6" s="5">
        <f t="shared" si="56"/>
        <v>1</v>
      </c>
      <c r="CG6" s="5">
        <f t="shared" si="57"/>
        <v>11</v>
      </c>
      <c r="CH6" s="5">
        <f t="shared" si="58"/>
        <v>0.25000000000000178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10180</v>
      </c>
      <c r="B7" s="108" t="s">
        <v>41</v>
      </c>
      <c r="C7" s="110" t="s">
        <v>543</v>
      </c>
      <c r="D7" s="89"/>
      <c r="E7" s="89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89">
        <v>0.41666666666666669</v>
      </c>
      <c r="N7" s="89">
        <v>0.625</v>
      </c>
      <c r="O7" s="91">
        <f t="shared" si="12"/>
        <v>5</v>
      </c>
      <c r="P7" s="76"/>
      <c r="Q7" s="75"/>
      <c r="R7" s="91">
        <f t="shared" si="13"/>
        <v>0</v>
      </c>
      <c r="S7" s="89"/>
      <c r="T7" s="90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5</v>
      </c>
      <c r="AC7" s="92"/>
      <c r="AD7" s="78"/>
      <c r="AE7" s="93">
        <f t="shared" si="17"/>
        <v>5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1</v>
      </c>
      <c r="AQ7" s="77"/>
      <c r="AR7" s="78"/>
      <c r="AS7" s="77"/>
      <c r="AT7" s="63">
        <f t="shared" si="24"/>
        <v>5</v>
      </c>
      <c r="AU7" s="78"/>
      <c r="AV7" s="5"/>
      <c r="AW7" s="5"/>
      <c r="AX7" s="5"/>
      <c r="AY7" s="5"/>
      <c r="AZ7" s="24">
        <f>VLOOKUP(C7,Employees!D:I,6,FALSE)</f>
        <v>10180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5</v>
      </c>
      <c r="BQ7" s="5">
        <f t="shared" si="41"/>
        <v>0</v>
      </c>
      <c r="BR7" s="5">
        <f t="shared" si="42"/>
        <v>5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10049</v>
      </c>
      <c r="B8" s="108" t="s">
        <v>41</v>
      </c>
      <c r="C8" s="98" t="s">
        <v>1516</v>
      </c>
      <c r="D8" s="89">
        <v>0.41666666666666669</v>
      </c>
      <c r="E8" s="89">
        <v>0.60416666666666663</v>
      </c>
      <c r="F8" s="91">
        <f t="shared" si="9"/>
        <v>4.4999999999999982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/>
      <c r="Q8" s="76"/>
      <c r="R8" s="91">
        <f t="shared" si="13"/>
        <v>0</v>
      </c>
      <c r="S8" s="89"/>
      <c r="T8" s="89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4.4999999999999982</v>
      </c>
      <c r="AC8" s="92"/>
      <c r="AD8" s="78"/>
      <c r="AE8" s="93">
        <f t="shared" si="17"/>
        <v>0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4.4999999999999982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1</v>
      </c>
      <c r="AQ8" s="77"/>
      <c r="AR8" s="78"/>
      <c r="AS8" s="77"/>
      <c r="AT8" s="63">
        <f t="shared" si="24"/>
        <v>4.4999999999999982</v>
      </c>
      <c r="AU8" s="78"/>
      <c r="AV8" s="5"/>
      <c r="AW8" s="5"/>
      <c r="AX8" s="5"/>
      <c r="AY8" s="5"/>
      <c r="AZ8" s="24">
        <f>VLOOKUP(C8,Employees!D:I,6,FALSE)</f>
        <v>10049</v>
      </c>
      <c r="BA8" s="5">
        <f t="shared" si="25"/>
        <v>4.4999999999999982</v>
      </c>
      <c r="BB8" s="5">
        <f t="shared" si="26"/>
        <v>0</v>
      </c>
      <c r="BC8" s="5">
        <f t="shared" si="27"/>
        <v>4.4999999999999982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1</v>
      </c>
    </row>
    <row r="9" spans="1:89" ht="47" customHeight="1">
      <c r="A9" s="74">
        <f t="shared" si="0"/>
        <v>10378</v>
      </c>
      <c r="B9" s="108" t="s">
        <v>41</v>
      </c>
      <c r="C9" s="97" t="s">
        <v>1039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89">
        <v>0.41666666666666669</v>
      </c>
      <c r="T9" s="90">
        <v>0.63194444444444442</v>
      </c>
      <c r="U9" s="91">
        <f t="shared" si="14"/>
        <v>5.1666666666666661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5.1666666666666661</v>
      </c>
      <c r="AC9" s="92"/>
      <c r="AD9" s="78"/>
      <c r="AE9" s="93">
        <f t="shared" si="17"/>
        <v>0</v>
      </c>
      <c r="AF9" s="77"/>
      <c r="AG9" s="93">
        <f t="shared" si="18"/>
        <v>5.1666666666666661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1</v>
      </c>
      <c r="AQ9" s="77"/>
      <c r="AR9" s="78"/>
      <c r="AS9" s="77"/>
      <c r="AT9" s="63">
        <f t="shared" si="24"/>
        <v>5.1666666666666661</v>
      </c>
      <c r="AU9" s="78"/>
      <c r="AV9" s="5"/>
      <c r="AW9" s="5"/>
      <c r="AX9" s="5"/>
      <c r="AY9" s="5"/>
      <c r="AZ9" s="24">
        <f>VLOOKUP(C9,Employees!D:I,6,FALSE)</f>
        <v>10378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5.1666666666666661</v>
      </c>
      <c r="CA9" s="5">
        <f t="shared" si="51"/>
        <v>0</v>
      </c>
      <c r="CB9" s="5">
        <f t="shared" si="52"/>
        <v>5.1666666666666661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10319</v>
      </c>
      <c r="B10" s="111" t="s">
        <v>41</v>
      </c>
      <c r="C10" s="110" t="s">
        <v>889</v>
      </c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114">
        <v>48</v>
      </c>
      <c r="AS10" s="77"/>
      <c r="AT10" s="63">
        <f t="shared" si="24"/>
        <v>48</v>
      </c>
      <c r="AU10" s="78"/>
      <c r="AV10" s="5"/>
      <c r="AW10" s="5"/>
      <c r="AX10" s="5"/>
      <c r="AY10" s="5"/>
      <c r="AZ10" s="24">
        <f>VLOOKUP(C10,Employees!D:I,6,FALSE)</f>
        <v>10319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2" priority="735" operator="equal">
      <formula>"Pub"</formula>
    </cfRule>
  </conditionalFormatting>
  <conditionalFormatting sqref="F2:F100 I2:I100 L2:L100 O2:O100 R2:R100 U2:U100 X2:AB100 AT2:AT100">
    <cfRule type="cellIs" dxfId="11" priority="736" operator="lessThan">
      <formula>0</formula>
    </cfRule>
    <cfRule type="cellIs" dxfId="10" priority="737" operator="between">
      <formula>3</formula>
      <formula>0.01</formula>
    </cfRule>
    <cfRule type="cellIs" dxfId="9" priority="738" operator="lessThan">
      <formula>SUMIF($C:$C,$C2,F:F)</formula>
    </cfRule>
  </conditionalFormatting>
  <conditionalFormatting sqref="AD2:AD100">
    <cfRule type="notContainsBlanks" dxfId="8" priority="2">
      <formula>LEN(TRIM(AD2))&gt;0</formula>
    </cfRule>
  </conditionalFormatting>
  <conditionalFormatting sqref="AF2:AF100">
    <cfRule type="notContainsBlanks" dxfId="7" priority="5">
      <formula>LEN(TRIM(AF2))&gt;0</formula>
    </cfRule>
  </conditionalFormatting>
  <conditionalFormatting sqref="AH2:AH100">
    <cfRule type="notContainsBlanks" dxfId="6" priority="4">
      <formula>LEN(TRIM(AH2))&gt;0</formula>
    </cfRule>
  </conditionalFormatting>
  <conditionalFormatting sqref="AL2:AL100">
    <cfRule type="notContainsBlanks" dxfId="5" priority="263">
      <formula>LEN(TRIM(AL2))&gt;0</formula>
    </cfRule>
  </conditionalFormatting>
  <conditionalFormatting sqref="AL21:AL29 AL61:AL63 AL75:AL100 AJ2:AJ100 AN2:AN100">
    <cfRule type="notContainsBlanks" dxfId="4" priority="739">
      <formula>LEN(TRIM(AJ2))&gt;0</formula>
    </cfRule>
  </conditionalFormatting>
  <conditionalFormatting sqref="AQ2:AS100">
    <cfRule type="notContainsBlanks" dxfId="3" priority="1">
      <formula>LEN(TRIM(AQ2))&gt;0</formula>
    </cfRule>
  </conditionalFormatting>
  <conditionalFormatting sqref="AT1">
    <cfRule type="cellIs" dxfId="2" priority="731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I1" zoomScale="120" zoomScaleNormal="120" workbookViewId="0">
      <selection activeCell="I11" sqref="I11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10256</v>
      </c>
      <c r="B2" s="28">
        <f ca="1">IF(A2=0,"",_xlfn.NUMBERVALUE(A2))</f>
        <v>10256</v>
      </c>
      <c r="C2" s="28" t="str">
        <f ca="1">IF($A2=0,"",VLOOKUP($B2,Employees!$A:$G,2,FALSE))</f>
        <v>Quoc Trung</v>
      </c>
      <c r="D2" s="28" t="str">
        <f ca="1">IF($A2=0,"",VLOOKUP($B2,Employees!$A:$G,3,FALSE))</f>
        <v>DANG</v>
      </c>
      <c r="E2" s="26">
        <f ca="1">IF($A2=0,"",VLOOKUP($B2,Employees!$A:$G,5,FALSE))</f>
        <v>37267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BRW</v>
      </c>
      <c r="L2" s="13" t="str">
        <f ca="1">IF($A2=0,"",VLOOKUP(K2,Stores!A:B,2,0))</f>
        <v>Superb</v>
      </c>
      <c r="M2" s="14">
        <f t="shared" ref="M2" ca="1" si="0">Y2+AK2</f>
        <v>2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0</v>
      </c>
      <c r="T2" s="14">
        <f t="shared" ref="T2" ca="1" si="6">AF2+AR2</f>
        <v>0</v>
      </c>
      <c r="U2" s="14">
        <f t="shared" ref="U2" ca="1" si="7">AG2+AS2</f>
        <v>30</v>
      </c>
      <c r="V2" s="14">
        <f t="shared" ref="V2" ca="1" si="8">AH2+AT2</f>
        <v>0</v>
      </c>
      <c r="W2" s="14">
        <f ca="1">SUM(M2:R2,T2:V2)</f>
        <v>32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30</v>
      </c>
      <c r="AT2" s="17">
        <f ca="1">IF($A2=0,0,SUMIF('Week 2 Roster'!$AZ:$AZ,$B2,'Week 2 Roster'!$AS:$AS))</f>
        <v>0</v>
      </c>
      <c r="AU2" s="17">
        <f ca="1">SUM(AK2:AP2,AR2:AT2)</f>
        <v>31</v>
      </c>
      <c r="AV2" s="17"/>
      <c r="AW2" s="25">
        <f>'Week 1 Roster'!A2</f>
        <v>10256</v>
      </c>
      <c r="AX2" s="25">
        <f>'Week 2 Roster'!A2</f>
        <v>10256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10269</v>
      </c>
      <c r="B3" s="28">
        <f t="shared" ref="B3:B66" ca="1" si="9">IF(A3=0,"",_xlfn.NUMBERVALUE(A3))</f>
        <v>10269</v>
      </c>
      <c r="C3" s="28" t="str">
        <f ca="1">IF($A3=0,"",VLOOKUP($B3,Employees!$A:$G,2,FALSE))</f>
        <v>Mai Phuong</v>
      </c>
      <c r="D3" s="28" t="str">
        <f ca="1">IF($A3=0,"",VLOOKUP($B3,Employees!$A:$G,3,FALSE))</f>
        <v>Phan</v>
      </c>
      <c r="E3" s="26">
        <f ca="1">IF($A3=0,"",VLOOKUP($B3,Employees!$A:$G,5,FALSE))</f>
        <v>38054</v>
      </c>
      <c r="F3" s="13">
        <f ca="1">IF($E3="","",ROUNDDOWN(YEARFRAC($E3, 'Week 1 Roster'!$D$1-1, 1), 0))</f>
        <v>21</v>
      </c>
      <c r="G3" s="13">
        <f ca="1">IF($E3="","",ROUNDDOWN(YEARFRAC($E3, 'Week 1 Roster'!$D$1+14, 1), 0))</f>
        <v>21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BRW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5.8333333333333339</v>
      </c>
      <c r="O3" s="14">
        <f t="shared" ref="O3:O66" ca="1" si="13">AA3+AM3</f>
        <v>0</v>
      </c>
      <c r="P3" s="14">
        <f t="shared" ref="P3:P66" ca="1" si="14">AB3+AN3</f>
        <v>3.9666666666666686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2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9.8000000000000025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5.8333333333333339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5.8333333333333339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3.9666666666666686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1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3.9666666666666686</v>
      </c>
      <c r="AV3" s="17"/>
      <c r="AW3" s="25">
        <f>'Week 1 Roster'!A3</f>
        <v>10269</v>
      </c>
      <c r="AX3" s="25">
        <f>'Week 2 Roster'!A3</f>
        <v>10269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210489</v>
      </c>
      <c r="B4" s="28">
        <f t="shared" ca="1" si="9"/>
        <v>210489</v>
      </c>
      <c r="C4" s="28" t="str">
        <f ca="1">IF($A4=0,"",VLOOKUP($B4,Employees!$A:$G,2,FALSE))</f>
        <v>Bryan</v>
      </c>
      <c r="D4" s="28" t="str">
        <f ca="1">IF($A4=0,"",VLOOKUP($B4,Employees!$A:$G,3,FALSE))</f>
        <v>Gunadi</v>
      </c>
      <c r="E4" s="26">
        <f ca="1">IF($A4=0,"",VLOOKUP($B4,Employees!$A:$G,5,FALSE))</f>
        <v>38332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BRW</v>
      </c>
      <c r="L4" s="13" t="str">
        <f ca="1">IF($A4=0,"",VLOOKUP(K4,Stores!A:B,2,0))</f>
        <v>Superb</v>
      </c>
      <c r="M4" s="14">
        <f t="shared" ca="1" si="11"/>
        <v>41.216666666666654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0.78333333333333854</v>
      </c>
      <c r="R4" s="14">
        <f t="shared" ca="1" si="16"/>
        <v>0</v>
      </c>
      <c r="S4" s="28">
        <f t="shared" ca="1" si="17"/>
        <v>7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41.999999999999993</v>
      </c>
      <c r="Y4" s="17">
        <f ca="1">IF($A4=0,0,SUMIF('Week 1 Roster'!$AZ:$AZ,$B4,'Week 1 Roster'!$AE:$AE))</f>
        <v>22.966666666666661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0.28333333333333499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23.249999999999996</v>
      </c>
      <c r="AK4" s="17">
        <f ca="1">IF($A4=0,0,SUMIF('Week 2 Roster'!$AZ:$AZ,$B4,'Week 2 Roster'!$AE:$AE))</f>
        <v>18.249999999999996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0.50000000000000355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18.75</v>
      </c>
      <c r="AV4" s="17"/>
      <c r="AW4" s="25">
        <f>'Week 1 Roster'!A4</f>
        <v>210489</v>
      </c>
      <c r="AX4" s="25">
        <f>'Week 2 Roster'!A4</f>
        <v>210489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10040</v>
      </c>
      <c r="B5" s="28">
        <f t="shared" ca="1" si="9"/>
        <v>10040</v>
      </c>
      <c r="C5" s="28" t="str">
        <f ca="1">IF($A5=0,"",VLOOKUP($B5,Employees!$A:$G,2,FALSE))</f>
        <v>Tran Thu Hang</v>
      </c>
      <c r="D5" s="28" t="str">
        <f ca="1">IF($A5=0,"",VLOOKUP($B5,Employees!$A:$G,3,FALSE))</f>
        <v>Vu</v>
      </c>
      <c r="E5" s="26">
        <f ca="1">IF($A5=0,"",VLOOKUP($B5,Employees!$A:$G,5,FALSE))</f>
        <v>37068</v>
      </c>
      <c r="F5" s="13">
        <f ca="1">IF($E5="","",ROUNDDOWN(YEARFRAC($E5, 'Week 1 Roster'!$D$1-1, 1), 0))</f>
        <v>24</v>
      </c>
      <c r="G5" s="13">
        <f ca="1">IF($E5="","",ROUNDDOWN(YEARFRAC($E5, 'Week 1 Roster'!$D$1+14, 1), 0))</f>
        <v>24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BRW</v>
      </c>
      <c r="L5" s="13" t="str">
        <f ca="1">IF($A5=0,"",VLOOKUP(K5,Stores!A:B,2,0))</f>
        <v>Superb</v>
      </c>
      <c r="M5" s="14">
        <f t="shared" ca="1" si="11"/>
        <v>14.749999999999995</v>
      </c>
      <c r="N5" s="14">
        <f t="shared" ca="1" si="12"/>
        <v>6.5833333333333348</v>
      </c>
      <c r="O5" s="14">
        <f t="shared" ca="1" si="13"/>
        <v>0</v>
      </c>
      <c r="P5" s="14">
        <f t="shared" ca="1" si="14"/>
        <v>0</v>
      </c>
      <c r="Q5" s="14">
        <f t="shared" ca="1" si="15"/>
        <v>0.75000000000000533</v>
      </c>
      <c r="R5" s="14">
        <f t="shared" ca="1" si="16"/>
        <v>0</v>
      </c>
      <c r="S5" s="28">
        <f t="shared" ca="1" si="17"/>
        <v>4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22.083333333333336</v>
      </c>
      <c r="Y5" s="17">
        <f ca="1">IF($A5=0,0,SUMIF('Week 1 Roster'!$AZ:$AZ,$B5,'Week 1 Roster'!$AE:$AE))</f>
        <v>4.9999999999999982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0.25000000000000178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5.25</v>
      </c>
      <c r="AK5" s="17">
        <f ca="1">IF($A5=0,0,SUMIF('Week 2 Roster'!$AZ:$AZ,$B5,'Week 2 Roster'!$AE:$AE))</f>
        <v>9.7499999999999964</v>
      </c>
      <c r="AL5" s="17">
        <f ca="1">IF($A5=0,0,SUMIF('Week 2 Roster'!$AZ:$AZ,$B5,'Week 2 Roster'!$AG:$AG))</f>
        <v>6.5833333333333348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0.50000000000000355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16.833333333333336</v>
      </c>
      <c r="AV5" s="17"/>
      <c r="AW5" s="25">
        <f>'Week 1 Roster'!A5</f>
        <v>10040</v>
      </c>
      <c r="AX5" s="25">
        <f>'Week 2 Roster'!A5</f>
        <v>10040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10382</v>
      </c>
      <c r="B6" s="28">
        <f t="shared" ca="1" si="9"/>
        <v>10382</v>
      </c>
      <c r="C6" s="28" t="str">
        <f ca="1">IF($A6=0,"",VLOOKUP($B6,Employees!$A:$G,2,FALSE))</f>
        <v>Vi Viet Hoang</v>
      </c>
      <c r="D6" s="28" t="str">
        <f ca="1">IF($A6=0,"",VLOOKUP($B6,Employees!$A:$G,3,FALSE))</f>
        <v>Ngo</v>
      </c>
      <c r="E6" s="26">
        <f ca="1">IF($A6=0,"",VLOOKUP($B6,Employees!$A:$G,5,FALSE))</f>
        <v>37906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BRW</v>
      </c>
      <c r="L6" s="13" t="str">
        <f ca="1">IF($A6=0,"",VLOOKUP(K6,Stores!A:B,2,0))</f>
        <v>Superb</v>
      </c>
      <c r="M6" s="14">
        <f t="shared" ca="1" si="11"/>
        <v>35.916666666666657</v>
      </c>
      <c r="N6" s="14">
        <f t="shared" ca="1" si="12"/>
        <v>5.25</v>
      </c>
      <c r="O6" s="14">
        <f t="shared" ca="1" si="13"/>
        <v>22.500000000000004</v>
      </c>
      <c r="P6" s="14">
        <f t="shared" ca="1" si="14"/>
        <v>3.75</v>
      </c>
      <c r="Q6" s="14">
        <f t="shared" ca="1" si="15"/>
        <v>0.50000000000000355</v>
      </c>
      <c r="R6" s="14">
        <f t="shared" ca="1" si="16"/>
        <v>0</v>
      </c>
      <c r="S6" s="28">
        <f t="shared" ca="1" si="17"/>
        <v>9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67.916666666666657</v>
      </c>
      <c r="Y6" s="17">
        <f ca="1">IF($A6=0,0,SUMIF('Week 1 Roster'!$AZ:$AZ,$B6,'Week 1 Roster'!$AE:$AE))</f>
        <v>22.483333333333327</v>
      </c>
      <c r="Z6" s="17">
        <f ca="1">IF($A6=0,0,SUMIF('Week 1 Roster'!$AZ:$AZ,$B6,'Week 1 Roster'!$AG:$AG))</f>
        <v>5.25</v>
      </c>
      <c r="AA6" s="17">
        <f ca="1">IF($A6=0,0,SUMIF('Week 1 Roster'!$AZ:$AZ,$B6,'Week 1 Roster'!$AI:$AI))</f>
        <v>11.250000000000002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0.50000000000000355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5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39.483333333333334</v>
      </c>
      <c r="AK6" s="17">
        <f ca="1">IF($A6=0,0,SUMIF('Week 2 Roster'!$AZ:$AZ,$B6,'Week 2 Roster'!$AE:$AE))</f>
        <v>13.433333333333334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11.250000000000002</v>
      </c>
      <c r="AN6" s="17">
        <f ca="1">IF($A6=0,0,SUMIF('Week 2 Roster'!$AZ:$AZ,$B6,'Week 2 Roster'!$AK:$AK))</f>
        <v>3.75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28.433333333333337</v>
      </c>
      <c r="AV6" s="17"/>
      <c r="AW6" s="25">
        <f>'Week 1 Roster'!A6</f>
        <v>10382</v>
      </c>
      <c r="AX6" s="25">
        <f>'Week 2 Roster'!A6</f>
        <v>10382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10180</v>
      </c>
      <c r="B7" s="28">
        <f t="shared" ca="1" si="9"/>
        <v>10180</v>
      </c>
      <c r="C7" s="28" t="str">
        <f ca="1">IF($A7=0,"",VLOOKUP($B7,Employees!$A:$G,2,FALSE))</f>
        <v>Warantorn</v>
      </c>
      <c r="D7" s="28" t="str">
        <f ca="1">IF($A7=0,"",VLOOKUP($B7,Employees!$A:$G,3,FALSE))</f>
        <v>Rattanaudomsawat</v>
      </c>
      <c r="E7" s="26">
        <f ca="1">IF($A7=0,"",VLOOKUP($B7,Employees!$A:$G,5,FALSE))</f>
        <v>36339</v>
      </c>
      <c r="F7" s="13">
        <f ca="1">IF($E7="","",ROUNDDOWN(YEARFRAC($E7, 'Week 1 Roster'!$D$1-1, 1), 0))</f>
        <v>26</v>
      </c>
      <c r="G7" s="13">
        <f ca="1">IF($E7="","",ROUNDDOWN(YEARFRAC($E7, 'Week 1 Roster'!$D$1+14, 1), 0))</f>
        <v>26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GCM</v>
      </c>
      <c r="K7" s="13" t="str">
        <f ca="1">IF($A7=0,"",IF(ISNA(VLOOKUP(A7,'Week 1 Roster'!A:C,2,0)),VLOOKUP(A7,'Week 2 Roster'!A:C,2,0),VLOOKUP(A7,'Week 1 Roster'!A:C,2,0)))</f>
        <v>BRW</v>
      </c>
      <c r="L7" s="13" t="str">
        <f ca="1">IF($A7=0,"",VLOOKUP(K7,Stores!A:B,2,0))</f>
        <v>Superb</v>
      </c>
      <c r="M7" s="14">
        <f t="shared" ca="1" si="11"/>
        <v>11.5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11.5</v>
      </c>
      <c r="Y7" s="17">
        <f ca="1">IF($A7=0,0,SUMIF('Week 1 Roster'!$AZ:$AZ,$B7,'Week 1 Roster'!$AE:$AE))</f>
        <v>6.5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6.5</v>
      </c>
      <c r="AK7" s="17">
        <f ca="1">IF($A7=0,0,SUMIF('Week 2 Roster'!$AZ:$AZ,$B7,'Week 2 Roster'!$AE:$AE))</f>
        <v>5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5</v>
      </c>
      <c r="AV7" s="17"/>
      <c r="AW7" s="25">
        <f>'Week 1 Roster'!A7</f>
        <v>10180</v>
      </c>
      <c r="AX7" s="25">
        <f>'Week 2 Roster'!A7</f>
        <v>10180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10049</v>
      </c>
      <c r="B8" s="28">
        <f t="shared" ca="1" si="9"/>
        <v>10049</v>
      </c>
      <c r="C8" s="28" t="str">
        <f ca="1">IF($A8=0,"",VLOOKUP($B8,Employees!$A:$G,2,FALSE))</f>
        <v>Yajun</v>
      </c>
      <c r="D8" s="28" t="str">
        <f ca="1">IF($A8=0,"",VLOOKUP($B8,Employees!$A:$G,3,FALSE))</f>
        <v>Chen</v>
      </c>
      <c r="E8" s="26">
        <f ca="1">IF($A8=0,"",VLOOKUP($B8,Employees!$A:$G,5,FALSE))</f>
        <v>35096</v>
      </c>
      <c r="F8" s="13">
        <f ca="1">IF($E8="","",ROUNDDOWN(YEARFRAC($E8, 'Week 1 Roster'!$D$1-1, 1), 0))</f>
        <v>29</v>
      </c>
      <c r="G8" s="13">
        <f ca="1">IF($E8="","",ROUNDDOWN(YEARFRAC($E8, 'Week 1 Roster'!$D$1+14, 1), 0))</f>
        <v>30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GCM</v>
      </c>
      <c r="K8" s="13" t="str">
        <f ca="1">IF($A8=0,"",IF(ISNA(VLOOKUP(A8,'Week 1 Roster'!A:C,2,0)),VLOOKUP(A8,'Week 2 Roster'!A:C,2,0),VLOOKUP(A8,'Week 1 Roster'!A:C,2,0)))</f>
        <v>BRW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1</v>
      </c>
      <c r="O8" s="14">
        <f t="shared" ca="1" si="13"/>
        <v>0.5</v>
      </c>
      <c r="P8" s="14">
        <f t="shared" ca="1" si="14"/>
        <v>4.4999999999999982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5.9999999999999982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1</v>
      </c>
      <c r="AA8" s="17">
        <f ca="1">IF($A8=0,0,SUMIF('Week 1 Roster'!$AZ:$AZ,$B8,'Week 1 Roster'!$AI:$AI))</f>
        <v>0.5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1.5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4.4999999999999982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4.4999999999999982</v>
      </c>
      <c r="AV8" s="17"/>
      <c r="AW8" s="25">
        <f>'Week 1 Roster'!A8</f>
        <v>10049</v>
      </c>
      <c r="AX8" s="25">
        <f>'Week 2 Roster'!A8</f>
        <v>10049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10367</v>
      </c>
      <c r="B9" s="28">
        <f t="shared" ca="1" si="9"/>
        <v>10367</v>
      </c>
      <c r="C9" s="28" t="str">
        <f ca="1">IF($A9=0,"",VLOOKUP($B9,Employees!$A:$G,2,FALSE))</f>
        <v>Lam</v>
      </c>
      <c r="D9" s="28" t="str">
        <f ca="1">IF($A9=0,"",VLOOKUP($B9,Employees!$A:$G,3,FALSE))</f>
        <v>Dang</v>
      </c>
      <c r="E9" s="26">
        <f ca="1">IF($A9=0,"",VLOOKUP($B9,Employees!$A:$G,5,FALSE))</f>
        <v>38591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BRW</v>
      </c>
      <c r="L9" s="13" t="str">
        <f ca="1">IF($A9=0,"",VLOOKUP(K9,Stores!A:B,2,0))</f>
        <v>Superb</v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76</v>
      </c>
      <c r="V9" s="14">
        <f t="shared" ca="1" si="20"/>
        <v>0</v>
      </c>
      <c r="W9" s="14">
        <f t="shared" ca="1" si="21"/>
        <v>76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76</v>
      </c>
      <c r="AH9" s="17">
        <f ca="1">IF($A9=0,0,SUMIF('Week 1 Roster'!$AZ:$AZ,$B9,'Week 1 Roster'!$AS:$AS))</f>
        <v>0</v>
      </c>
      <c r="AI9" s="17">
        <f t="shared" ca="1" si="22"/>
        <v>76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10367</v>
      </c>
      <c r="AX9" s="25">
        <f>'Week 2 Roster'!A9</f>
        <v>10378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10378</v>
      </c>
      <c r="B10" s="28">
        <f t="shared" ca="1" si="9"/>
        <v>10378</v>
      </c>
      <c r="C10" s="28" t="str">
        <f ca="1">IF($A10=0,"",VLOOKUP($B10,Employees!$A:$G,2,FALSE))</f>
        <v>Harshit</v>
      </c>
      <c r="D10" s="28" t="str">
        <f ca="1">IF($A10=0,"",VLOOKUP($B10,Employees!$A:$G,3,FALSE))</f>
        <v>Setia</v>
      </c>
      <c r="E10" s="26">
        <f ca="1">IF($A10=0,"",VLOOKUP($B10,Employees!$A:$G,5,FALSE))</f>
        <v>36452</v>
      </c>
      <c r="F10" s="13">
        <f ca="1">IF($E10="","",ROUNDDOWN(YEARFRAC($E10, 'Week 1 Roster'!$D$1-1, 1), 0))</f>
        <v>26</v>
      </c>
      <c r="G10" s="13">
        <f ca="1">IF($E10="","",ROUNDDOWN(YEARFRAC($E10, 'Week 1 Roster'!$D$1+14, 1), 0))</f>
        <v>26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BRW</v>
      </c>
      <c r="L10" s="13" t="str">
        <f ca="1">IF($A10=0,"",VLOOKUP(K10,Stores!A:B,2,0))</f>
        <v>Superb</v>
      </c>
      <c r="M10" s="14">
        <f t="shared" ca="1" si="11"/>
        <v>0</v>
      </c>
      <c r="N10" s="14">
        <f t="shared" ca="1" si="12"/>
        <v>5.1666666666666661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5.1666666666666661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5.1666666666666661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5.1666666666666661</v>
      </c>
      <c r="AV10" s="17"/>
      <c r="AW10" s="25" t="str">
        <f>'Week 1 Roster'!A10</f>
        <v/>
      </c>
      <c r="AX10" s="25">
        <f>'Week 2 Roster'!A10</f>
        <v>10319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10319</v>
      </c>
      <c r="B11" s="28">
        <f t="shared" ca="1" si="9"/>
        <v>10319</v>
      </c>
      <c r="C11" s="28" t="str">
        <f ca="1">IF($A11=0,"",VLOOKUP($B11,Employees!$A:$G,2,FALSE))</f>
        <v>Hoang Bach</v>
      </c>
      <c r="D11" s="28" t="str">
        <f ca="1">IF($A11=0,"",VLOOKUP($B11,Employees!$A:$G,3,FALSE))</f>
        <v>Nguyen</v>
      </c>
      <c r="E11" s="26">
        <f ca="1">IF($A11=0,"",VLOOKUP($B11,Employees!$A:$G,5,FALSE))</f>
        <v>38585</v>
      </c>
      <c r="F11" s="13">
        <f ca="1">IF($E11="","",ROUNDDOWN(YEARFRAC($E11, 'Week 1 Roster'!$D$1-1, 1), 0))</f>
        <v>20</v>
      </c>
      <c r="G11" s="13">
        <f ca="1">IF($E11="","",ROUNDDOWN(YEARFRAC($E11, 'Week 1 Roster'!$D$1+14, 1), 0))</f>
        <v>20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BRW</v>
      </c>
      <c r="L11" s="13" t="str">
        <f ca="1">IF($A11=0,"",VLOOKUP(K11,Stores!A:B,2,0))</f>
        <v>Superb</v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48</v>
      </c>
      <c r="V11" s="14">
        <f t="shared" ca="1" si="20"/>
        <v>0</v>
      </c>
      <c r="W11" s="14">
        <f t="shared" ca="1" si="21"/>
        <v>48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48</v>
      </c>
      <c r="AT11" s="17">
        <f ca="1">IF($A11=0,0,SUMIF('Week 2 Roster'!$AZ:$AZ,$B11,'Week 2 Roster'!$AS:$AS))</f>
        <v>0</v>
      </c>
      <c r="AU11" s="17">
        <f t="shared" ca="1" si="23"/>
        <v>48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13" zoomScale="186" zoomScaleNormal="186" workbookViewId="0">
      <selection activeCell="B320" sqref="B320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76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76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1" t="s">
        <v>123</v>
      </c>
      <c r="D551" s="101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2026-02-02T05:43:20Z</dcterms:modified>
</cp:coreProperties>
</file>