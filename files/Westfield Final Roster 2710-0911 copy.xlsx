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eddy/Developer/Python/roster-consolidation/files/"/>
    </mc:Choice>
  </mc:AlternateContent>
  <xr:revisionPtr revIDLastSave="0" documentId="13_ncr:1_{15B83573-80F0-564B-8D23-A4A41454BF19}" xr6:coauthVersionLast="47" xr6:coauthVersionMax="47" xr10:uidLastSave="{00000000-0000-0000-0000-000000000000}"/>
  <bookViews>
    <workbookView xWindow="0" yWindow="740" windowWidth="29400" windowHeight="17080" activeTab="1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Z98" i="2"/>
  <c r="AZ97" i="2"/>
  <c r="AZ96" i="2"/>
  <c r="A96" i="2" s="1"/>
  <c r="AW96" i="12" s="1"/>
  <c r="AZ95" i="2"/>
  <c r="AZ94" i="2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Z84" i="2"/>
  <c r="AZ83" i="2"/>
  <c r="AZ82" i="2"/>
  <c r="AZ81" i="2"/>
  <c r="AZ80" i="2"/>
  <c r="AZ79" i="2"/>
  <c r="AZ78" i="2"/>
  <c r="AZ77" i="2"/>
  <c r="AZ76" i="2"/>
  <c r="A76" i="2" s="1"/>
  <c r="AW76" i="12" s="1"/>
  <c r="AZ75" i="2"/>
  <c r="AZ74" i="2"/>
  <c r="AZ73" i="2"/>
  <c r="AZ72" i="2"/>
  <c r="AZ71" i="2"/>
  <c r="AZ70" i="2"/>
  <c r="AZ69" i="2"/>
  <c r="AZ68" i="2"/>
  <c r="AZ67" i="2"/>
  <c r="AZ66" i="2"/>
  <c r="A66" i="2" s="1"/>
  <c r="AW66" i="12" s="1"/>
  <c r="AZ65" i="2"/>
  <c r="AZ64" i="2"/>
  <c r="AZ63" i="2"/>
  <c r="AZ62" i="2"/>
  <c r="AZ61" i="2"/>
  <c r="AZ60" i="2"/>
  <c r="AZ59" i="2"/>
  <c r="AZ58" i="2"/>
  <c r="A58" i="2" s="1"/>
  <c r="AW58" i="12" s="1"/>
  <c r="AZ57" i="2"/>
  <c r="AZ56" i="2"/>
  <c r="A56" i="2" s="1"/>
  <c r="AW56" i="12" s="1"/>
  <c r="AZ55" i="2"/>
  <c r="AZ54" i="2"/>
  <c r="AZ53" i="2"/>
  <c r="AZ52" i="2"/>
  <c r="AZ51" i="2"/>
  <c r="AZ50" i="2"/>
  <c r="AZ49" i="2"/>
  <c r="AZ48" i="2"/>
  <c r="A48" i="2" s="1"/>
  <c r="AW48" i="12" s="1"/>
  <c r="AZ47" i="2"/>
  <c r="AZ46" i="2"/>
  <c r="A46" i="2" s="1"/>
  <c r="AW46" i="12" s="1"/>
  <c r="AZ45" i="2"/>
  <c r="A45" i="2" s="1"/>
  <c r="AW45" i="12" s="1"/>
  <c r="AZ44" i="2"/>
  <c r="AZ43" i="2"/>
  <c r="AZ42" i="2"/>
  <c r="AZ41" i="2"/>
  <c r="AZ40" i="2"/>
  <c r="A40" i="2" s="1"/>
  <c r="AW40" i="12" s="1"/>
  <c r="AZ39" i="2"/>
  <c r="AZ38" i="2"/>
  <c r="AZ37" i="2"/>
  <c r="AZ36" i="2"/>
  <c r="A36" i="2" s="1"/>
  <c r="AW36" i="12" s="1"/>
  <c r="AZ35" i="2"/>
  <c r="AZ34" i="2"/>
  <c r="AZ33" i="2"/>
  <c r="AZ32" i="2"/>
  <c r="A32" i="2" s="1"/>
  <c r="AW32" i="12" s="1"/>
  <c r="AZ31" i="2"/>
  <c r="AZ30" i="2"/>
  <c r="AZ29" i="2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Z21" i="2"/>
  <c r="AZ20" i="2"/>
  <c r="AZ19" i="2"/>
  <c r="AZ18" i="2"/>
  <c r="AZ17" i="2"/>
  <c r="AZ16" i="2"/>
  <c r="A16" i="2" s="1"/>
  <c r="AW16" i="12" s="1"/>
  <c r="AZ15" i="2"/>
  <c r="A15" i="2" s="1"/>
  <c r="AW15" i="12" s="1"/>
  <c r="AZ14" i="2"/>
  <c r="A14" i="2" s="1"/>
  <c r="AW14" i="12" s="1"/>
  <c r="AZ13" i="2"/>
  <c r="A13" i="2" s="1"/>
  <c r="AW13" i="12" s="1"/>
  <c r="AZ12" i="2"/>
  <c r="AZ11" i="2"/>
  <c r="A11" i="2" s="1"/>
  <c r="AW11" i="12" s="1"/>
  <c r="AZ10" i="2"/>
  <c r="AZ9" i="2"/>
  <c r="A9" i="2" s="1"/>
  <c r="AW9" i="12" s="1"/>
  <c r="AZ8" i="2"/>
  <c r="A8" i="2" s="1"/>
  <c r="AW8" i="12" s="1"/>
  <c r="AZ7" i="2"/>
  <c r="A7" i="2" s="1"/>
  <c r="AW7" i="12" s="1"/>
  <c r="AZ6" i="2"/>
  <c r="A6" i="2" s="1"/>
  <c r="AW6" i="12" s="1"/>
  <c r="AZ5" i="2"/>
  <c r="A5" i="2" s="1"/>
  <c r="AW5" i="12" s="1"/>
  <c r="AZ4" i="2"/>
  <c r="A4" i="2" s="1"/>
  <c r="AW4" i="12" s="1"/>
  <c r="AZ3" i="2"/>
  <c r="A3" i="2" s="1"/>
  <c r="AW3" i="12" s="1"/>
  <c r="AZ100" i="18"/>
  <c r="AZ99" i="18"/>
  <c r="AZ98" i="18"/>
  <c r="A98" i="18" s="1"/>
  <c r="AX98" i="12" s="1"/>
  <c r="AZ97" i="18"/>
  <c r="AZ96" i="18"/>
  <c r="AZ95" i="18"/>
  <c r="AZ94" i="18"/>
  <c r="AZ93" i="18"/>
  <c r="AZ92" i="18"/>
  <c r="A92" i="18" s="1"/>
  <c r="AX92" i="12" s="1"/>
  <c r="AZ91" i="18"/>
  <c r="AZ90" i="18"/>
  <c r="A90" i="18" s="1"/>
  <c r="AX90" i="12" s="1"/>
  <c r="AZ89" i="18"/>
  <c r="AZ88" i="18"/>
  <c r="AZ87" i="18"/>
  <c r="A87" i="18" s="1"/>
  <c r="AX87" i="12" s="1"/>
  <c r="AZ86" i="18"/>
  <c r="A86" i="18" s="1"/>
  <c r="AX86" i="12" s="1"/>
  <c r="AZ85" i="18"/>
  <c r="AZ84" i="18"/>
  <c r="AZ83" i="18"/>
  <c r="AZ82" i="18"/>
  <c r="A82" i="18" s="1"/>
  <c r="AX82" i="12" s="1"/>
  <c r="AZ81" i="18"/>
  <c r="AZ80" i="18"/>
  <c r="AZ79" i="18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CB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G100" i="18"/>
  <c r="BF100" i="18"/>
  <c r="BH100" i="18" s="1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W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BA99" i="18"/>
  <c r="BC99" i="18" s="1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 s="1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 s="1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 s="1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F94" i="18"/>
  <c r="CG94" i="18" s="1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Q93" i="18"/>
  <c r="BP93" i="18"/>
  <c r="BO93" i="18"/>
  <c r="BL93" i="18"/>
  <c r="BK93" i="18"/>
  <c r="BM93" i="18" s="1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R91" i="18" s="1"/>
  <c r="BP91" i="18"/>
  <c r="BO91" i="18"/>
  <c r="BK91" i="18"/>
  <c r="BJ91" i="18"/>
  <c r="BI91" i="18"/>
  <c r="BG91" i="18"/>
  <c r="BF91" i="18"/>
  <c r="BE91" i="18"/>
  <c r="BD91" i="18"/>
  <c r="BB91" i="18"/>
  <c r="BA91" i="18"/>
  <c r="BC91" i="18" s="1"/>
  <c r="CI90" i="18"/>
  <c r="CH90" i="18"/>
  <c r="CF90" i="18"/>
  <c r="CE90" i="18"/>
  <c r="CD90" i="18"/>
  <c r="CC90" i="18"/>
  <c r="CB90" i="18"/>
  <c r="BZ90" i="18"/>
  <c r="CA90" i="18" s="1"/>
  <c r="BY90" i="18"/>
  <c r="BX90" i="18"/>
  <c r="BU90" i="18"/>
  <c r="BT90" i="18"/>
  <c r="BS90" i="18"/>
  <c r="BR90" i="18"/>
  <c r="BP90" i="18"/>
  <c r="BQ90" i="18" s="1"/>
  <c r="BO90" i="18"/>
  <c r="BL90" i="18"/>
  <c r="BM90" i="18" s="1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 s="1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H89" i="18" s="1"/>
  <c r="BF89" i="18"/>
  <c r="BE89" i="18"/>
  <c r="BD89" i="18"/>
  <c r="BA89" i="18"/>
  <c r="CI88" i="18"/>
  <c r="CH88" i="18"/>
  <c r="CF88" i="18"/>
  <c r="CE88" i="18"/>
  <c r="CD88" i="18"/>
  <c r="CC88" i="18"/>
  <c r="CA88" i="18"/>
  <c r="CB88" i="18" s="1"/>
  <c r="BZ88" i="18"/>
  <c r="BY88" i="18"/>
  <c r="BX88" i="18"/>
  <c r="BV88" i="18"/>
  <c r="BU88" i="18"/>
  <c r="BW88" i="18" s="1"/>
  <c r="BT88" i="18"/>
  <c r="BS88" i="18"/>
  <c r="BR88" i="18"/>
  <c r="BP88" i="18"/>
  <c r="BQ88" i="18" s="1"/>
  <c r="BO88" i="18"/>
  <c r="BL88" i="18"/>
  <c r="BK88" i="18"/>
  <c r="BJ88" i="18"/>
  <c r="BI88" i="18"/>
  <c r="BH88" i="18"/>
  <c r="BF88" i="18"/>
  <c r="BG88" i="18" s="1"/>
  <c r="BE88" i="18"/>
  <c r="BD88" i="18"/>
  <c r="BC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W87" i="18"/>
  <c r="BV87" i="18"/>
  <c r="BU87" i="18"/>
  <c r="BT87" i="18"/>
  <c r="BS87" i="18"/>
  <c r="BQ87" i="18"/>
  <c r="BP87" i="18"/>
  <c r="BR87" i="18" s="1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F86" i="18"/>
  <c r="CG86" i="18" s="1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B85" i="18"/>
  <c r="CA85" i="18"/>
  <c r="BZ85" i="18"/>
  <c r="BY85" i="18"/>
  <c r="BX85" i="18"/>
  <c r="BU85" i="18"/>
  <c r="BT85" i="18"/>
  <c r="BS85" i="18"/>
  <c r="BQ85" i="18"/>
  <c r="BR85" i="18" s="1"/>
  <c r="BP85" i="18"/>
  <c r="BO85" i="18"/>
  <c r="BK85" i="18"/>
  <c r="BJ85" i="18"/>
  <c r="BI85" i="18"/>
  <c r="BG85" i="18"/>
  <c r="BF85" i="18"/>
  <c r="BH85" i="18" s="1"/>
  <c r="BE85" i="18"/>
  <c r="BD85" i="18"/>
  <c r="BA85" i="18"/>
  <c r="BB85" i="18" s="1"/>
  <c r="CI84" i="18"/>
  <c r="CH84" i="18"/>
  <c r="CE84" i="18"/>
  <c r="CD84" i="18"/>
  <c r="CC84" i="18"/>
  <c r="BZ84" i="18"/>
  <c r="CA84" i="18" s="1"/>
  <c r="CB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 s="1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M82" i="18" s="1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 s="1"/>
  <c r="CD81" i="18"/>
  <c r="CC81" i="18"/>
  <c r="CA81" i="18"/>
  <c r="BZ81" i="18"/>
  <c r="BY81" i="18"/>
  <c r="BX81" i="18"/>
  <c r="BW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V80" i="18"/>
  <c r="BU80" i="18"/>
  <c r="BW80" i="18" s="1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V79" i="18"/>
  <c r="BW79" i="18" s="1"/>
  <c r="BU79" i="18"/>
  <c r="BT79" i="18"/>
  <c r="BS79" i="18"/>
  <c r="BQ79" i="18"/>
  <c r="BP79" i="18"/>
  <c r="BR79" i="18" s="1"/>
  <c r="BO79" i="18"/>
  <c r="BK79" i="18"/>
  <c r="BL79" i="18" s="1"/>
  <c r="BJ79" i="18"/>
  <c r="BI79" i="18"/>
  <c r="BG79" i="18"/>
  <c r="BF79" i="18"/>
  <c r="BE79" i="18"/>
  <c r="BC79" i="18" s="1"/>
  <c r="BD79" i="18"/>
  <c r="BA79" i="18"/>
  <c r="BB79" i="18" s="1"/>
  <c r="CI78" i="18"/>
  <c r="CH78" i="18"/>
  <c r="CG78" i="18"/>
  <c r="CF78" i="18"/>
  <c r="CE78" i="18"/>
  <c r="CD78" i="18"/>
  <c r="CC78" i="18"/>
  <c r="BZ78" i="18"/>
  <c r="BY78" i="18"/>
  <c r="BX78" i="18"/>
  <c r="BV78" i="18"/>
  <c r="BW78" i="18" s="1"/>
  <c r="BU78" i="18"/>
  <c r="BT78" i="18"/>
  <c r="BS78" i="18"/>
  <c r="BR78" i="18"/>
  <c r="BQ78" i="18"/>
  <c r="BP78" i="18"/>
  <c r="BO78" i="18"/>
  <c r="BL78" i="18"/>
  <c r="BK78" i="18"/>
  <c r="BM78" i="18" s="1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L77" i="18"/>
  <c r="BM77" i="18" s="1"/>
  <c r="BK77" i="18"/>
  <c r="BJ77" i="18"/>
  <c r="BI77" i="18"/>
  <c r="BG77" i="18"/>
  <c r="BF77" i="18"/>
  <c r="BH77" i="18" s="1"/>
  <c r="BE77" i="18"/>
  <c r="BD77" i="18"/>
  <c r="BA77" i="18"/>
  <c r="BB77" i="18" s="1"/>
  <c r="CI76" i="18"/>
  <c r="CH76" i="18"/>
  <c r="CF76" i="18"/>
  <c r="CE76" i="18"/>
  <c r="CD76" i="18"/>
  <c r="CC76" i="18"/>
  <c r="BZ76" i="18"/>
  <c r="CA76" i="18" s="1"/>
  <c r="CB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B76" i="18"/>
  <c r="BA76" i="18"/>
  <c r="BC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R75" i="18" s="1"/>
  <c r="BP75" i="18"/>
  <c r="BO75" i="18"/>
  <c r="BK75" i="18"/>
  <c r="BJ75" i="18"/>
  <c r="BI75" i="18"/>
  <c r="BG75" i="18"/>
  <c r="BF75" i="18"/>
  <c r="BE75" i="18"/>
  <c r="BD75" i="18"/>
  <c r="BB75" i="18"/>
  <c r="BA75" i="18"/>
  <c r="BC75" i="18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 s="1"/>
  <c r="BY72" i="18"/>
  <c r="BX72" i="18"/>
  <c r="BV72" i="18"/>
  <c r="BU72" i="18"/>
  <c r="BT72" i="18"/>
  <c r="BS72" i="18"/>
  <c r="BR72" i="18"/>
  <c r="BP72" i="18"/>
  <c r="BQ72" i="18" s="1"/>
  <c r="BO72" i="18"/>
  <c r="BL72" i="18"/>
  <c r="BK72" i="18"/>
  <c r="BJ72" i="18"/>
  <c r="BI72" i="18"/>
  <c r="BH72" i="18"/>
  <c r="BF72" i="18"/>
  <c r="BG72" i="18" s="1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 s="1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 s="1"/>
  <c r="BE70" i="18"/>
  <c r="BD70" i="18"/>
  <c r="BB70" i="18"/>
  <c r="BA70" i="18"/>
  <c r="CI69" i="18"/>
  <c r="CG69" i="18" s="1"/>
  <c r="CH69" i="18"/>
  <c r="CE69" i="18"/>
  <c r="CF69" i="18" s="1"/>
  <c r="CD69" i="18"/>
  <c r="CC69" i="18"/>
  <c r="CB69" i="18"/>
  <c r="CA69" i="18"/>
  <c r="BZ69" i="18"/>
  <c r="BY69" i="18"/>
  <c r="BX69" i="18"/>
  <c r="BU69" i="18"/>
  <c r="BT69" i="18"/>
  <c r="BS69" i="18"/>
  <c r="BQ69" i="18"/>
  <c r="BR69" i="18" s="1"/>
  <c r="BP69" i="18"/>
  <c r="BO69" i="18"/>
  <c r="BM69" i="18"/>
  <c r="BL69" i="18"/>
  <c r="BK69" i="18"/>
  <c r="BJ69" i="18"/>
  <c r="BI69" i="18"/>
  <c r="BG69" i="18"/>
  <c r="BF69" i="18"/>
  <c r="BH69" i="18" s="1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V68" i="18"/>
  <c r="BW68" i="18" s="1"/>
  <c r="BU68" i="18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BC68" i="18" s="1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H67" i="18" s="1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CA65" i="18"/>
  <c r="BZ65" i="18"/>
  <c r="CB65" i="18" s="1"/>
  <c r="BY65" i="18"/>
  <c r="BX65" i="18"/>
  <c r="BV65" i="18"/>
  <c r="BW65" i="18" s="1"/>
  <c r="BU65" i="18"/>
  <c r="BT65" i="18"/>
  <c r="BS65" i="18"/>
  <c r="BQ65" i="18"/>
  <c r="BP65" i="18"/>
  <c r="BO65" i="18"/>
  <c r="BM65" i="18"/>
  <c r="BK65" i="18"/>
  <c r="BL65" i="18" s="1"/>
  <c r="BJ65" i="18"/>
  <c r="BI65" i="18"/>
  <c r="BH65" i="18"/>
  <c r="BF65" i="18"/>
  <c r="BG65" i="18" s="1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 s="1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 s="1"/>
  <c r="BA64" i="18"/>
  <c r="CI63" i="18"/>
  <c r="CH63" i="18"/>
  <c r="CG63" i="18"/>
  <c r="CE63" i="18"/>
  <c r="CF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G62" i="18" s="1"/>
  <c r="CD62" i="18"/>
  <c r="CC62" i="18"/>
  <c r="CB62" i="18"/>
  <c r="BZ62" i="18"/>
  <c r="CA62" i="18" s="1"/>
  <c r="BY62" i="18"/>
  <c r="BX62" i="18"/>
  <c r="BW62" i="18"/>
  <c r="BV62" i="18"/>
  <c r="BU62" i="18"/>
  <c r="BT62" i="18"/>
  <c r="BS62" i="18"/>
  <c r="BP62" i="18"/>
  <c r="BO62" i="18"/>
  <c r="BL62" i="18"/>
  <c r="BK62" i="18"/>
  <c r="BM62" i="18" s="1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 s="1"/>
  <c r="BZ61" i="18"/>
  <c r="BY61" i="18"/>
  <c r="BX61" i="18"/>
  <c r="BW61" i="18"/>
  <c r="BU61" i="18"/>
  <c r="BV61" i="18" s="1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 s="1"/>
  <c r="CI60" i="18"/>
  <c r="CH60" i="18"/>
  <c r="CE60" i="18"/>
  <c r="CD60" i="18"/>
  <c r="CC60" i="18"/>
  <c r="BZ60" i="18"/>
  <c r="CA60" i="18" s="1"/>
  <c r="BY60" i="18"/>
  <c r="BX60" i="18"/>
  <c r="BV60" i="18"/>
  <c r="BU60" i="18"/>
  <c r="BW60" i="18" s="1"/>
  <c r="BT60" i="18"/>
  <c r="BS60" i="18"/>
  <c r="BR60" i="18"/>
  <c r="BP60" i="18"/>
  <c r="BQ60" i="18" s="1"/>
  <c r="BO60" i="18"/>
  <c r="BM60" i="18"/>
  <c r="BL60" i="18"/>
  <c r="BK60" i="18"/>
  <c r="BJ60" i="18"/>
  <c r="BI60" i="18"/>
  <c r="BG60" i="18"/>
  <c r="BF60" i="18"/>
  <c r="BH60" i="18" s="1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 s="1"/>
  <c r="BJ59" i="18"/>
  <c r="BI59" i="18"/>
  <c r="BG59" i="18"/>
  <c r="BF59" i="18"/>
  <c r="BE59" i="18"/>
  <c r="BD59" i="18"/>
  <c r="BB59" i="18"/>
  <c r="BA59" i="18"/>
  <c r="BC59" i="18" s="1"/>
  <c r="CI58" i="18"/>
  <c r="CH58" i="18"/>
  <c r="CE58" i="18"/>
  <c r="CD58" i="18"/>
  <c r="CC58" i="18"/>
  <c r="CA58" i="18"/>
  <c r="CB58" i="18" s="1"/>
  <c r="BZ58" i="18"/>
  <c r="BY58" i="18"/>
  <c r="BX58" i="18"/>
  <c r="BW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H57" i="18" s="1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W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 s="1"/>
  <c r="CE54" i="18"/>
  <c r="CD54" i="18"/>
  <c r="CC54" i="18"/>
  <c r="CB54" i="18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W52" i="18" s="1"/>
  <c r="BU52" i="18"/>
  <c r="BT52" i="18"/>
  <c r="BS52" i="18"/>
  <c r="BR52" i="18"/>
  <c r="BP52" i="18"/>
  <c r="BQ52" i="18" s="1"/>
  <c r="BO52" i="18"/>
  <c r="BL52" i="18"/>
  <c r="BK52" i="18"/>
  <c r="BJ52" i="18"/>
  <c r="BI52" i="18"/>
  <c r="BF52" i="18"/>
  <c r="BE52" i="18"/>
  <c r="BD52" i="18"/>
  <c r="BB52" i="18"/>
  <c r="BC52" i="18" s="1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W51" i="18" s="1"/>
  <c r="BT51" i="18"/>
  <c r="BS51" i="18"/>
  <c r="BQ51" i="18"/>
  <c r="BR51" i="18" s="1"/>
  <c r="BP51" i="18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G50" i="18" s="1"/>
  <c r="CE50" i="18"/>
  <c r="CD50" i="18"/>
  <c r="CC50" i="18"/>
  <c r="CB50" i="18"/>
  <c r="BZ50" i="18"/>
  <c r="CA50" i="18" s="1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L49" i="18"/>
  <c r="BK49" i="18"/>
  <c r="BM49" i="18" s="1"/>
  <c r="BJ49" i="18"/>
  <c r="BI49" i="18"/>
  <c r="BG49" i="18"/>
  <c r="BH49" i="18" s="1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G48" i="18"/>
  <c r="BF48" i="18"/>
  <c r="BH48" i="18" s="1"/>
  <c r="BE48" i="18"/>
  <c r="BD48" i="18"/>
  <c r="BB48" i="18"/>
  <c r="BC48" i="18" s="1"/>
  <c r="BA48" i="18"/>
  <c r="CI47" i="18"/>
  <c r="CH47" i="18"/>
  <c r="CG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H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V44" i="18"/>
  <c r="BW44" i="18" s="1"/>
  <c r="BU44" i="18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C44" i="18" s="1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R43" i="18" s="1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G42" i="18" s="1"/>
  <c r="CF42" i="18"/>
  <c r="CE42" i="18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L42" i="18"/>
  <c r="BM42" i="18" s="1"/>
  <c r="BK42" i="18"/>
  <c r="BJ42" i="18"/>
  <c r="BI42" i="18"/>
  <c r="BF42" i="18"/>
  <c r="BG42" i="18" s="1"/>
  <c r="BH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M41" i="18"/>
  <c r="BL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CA40" i="18"/>
  <c r="BZ40" i="18"/>
  <c r="CB40" i="18" s="1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W39" i="18" s="1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R38" i="18" s="1"/>
  <c r="BO38" i="18"/>
  <c r="BK38" i="18"/>
  <c r="BL38" i="18" s="1"/>
  <c r="BJ38" i="18"/>
  <c r="BI38" i="18"/>
  <c r="BF38" i="18"/>
  <c r="BE38" i="18"/>
  <c r="BD38" i="18"/>
  <c r="BA38" i="18"/>
  <c r="CI37" i="18"/>
  <c r="CH37" i="18"/>
  <c r="CF37" i="18"/>
  <c r="CG37" i="18" s="1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L37" i="18"/>
  <c r="BK37" i="18"/>
  <c r="BM37" i="18" s="1"/>
  <c r="BJ37" i="18"/>
  <c r="BI37" i="18"/>
  <c r="BF37" i="18"/>
  <c r="BG37" i="18" s="1"/>
  <c r="BH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H36" i="18" s="1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C34" i="18" s="1"/>
  <c r="BA34" i="18"/>
  <c r="CI33" i="18"/>
  <c r="CH33" i="18"/>
  <c r="CF33" i="18"/>
  <c r="CE33" i="18"/>
  <c r="CG33" i="18" s="1"/>
  <c r="CD33" i="18"/>
  <c r="CC33" i="18"/>
  <c r="CB33" i="18"/>
  <c r="BZ33" i="18"/>
  <c r="CA33" i="18" s="1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 s="1"/>
  <c r="BE33" i="18"/>
  <c r="BD33" i="18"/>
  <c r="BA33" i="18"/>
  <c r="CI32" i="18"/>
  <c r="CH32" i="18"/>
  <c r="CF32" i="18"/>
  <c r="CG32" i="18" s="1"/>
  <c r="CE32" i="18"/>
  <c r="CD32" i="18"/>
  <c r="CC32" i="18"/>
  <c r="CA32" i="18"/>
  <c r="BZ32" i="18"/>
  <c r="CB32" i="18" s="1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W31" i="18" s="1"/>
  <c r="BT31" i="18"/>
  <c r="BS31" i="18"/>
  <c r="BR31" i="18" s="1"/>
  <c r="BQ31" i="18"/>
  <c r="BP31" i="18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 s="1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G29" i="18" s="1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 s="1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Q28" i="18"/>
  <c r="BP28" i="18"/>
  <c r="BR28" i="18" s="1"/>
  <c r="BO28" i="18"/>
  <c r="BL28" i="18"/>
  <c r="BM28" i="18" s="1"/>
  <c r="BK28" i="18"/>
  <c r="BJ28" i="18"/>
  <c r="BI28" i="18"/>
  <c r="BG28" i="18"/>
  <c r="BF28" i="18"/>
  <c r="BH28" i="18" s="1"/>
  <c r="BE28" i="18"/>
  <c r="BD28" i="18"/>
  <c r="BC28" i="18"/>
  <c r="BA28" i="18"/>
  <c r="BB28" i="18" s="1"/>
  <c r="CI27" i="18"/>
  <c r="CH27" i="18"/>
  <c r="CE27" i="18"/>
  <c r="CD27" i="18"/>
  <c r="CC27" i="18"/>
  <c r="BZ27" i="18"/>
  <c r="BY27" i="18"/>
  <c r="BX27" i="18"/>
  <c r="BV27" i="18"/>
  <c r="BW27" i="18" s="1"/>
  <c r="BU27" i="18"/>
  <c r="BT27" i="18"/>
  <c r="BS27" i="18"/>
  <c r="BR27" i="18"/>
  <c r="BP27" i="18"/>
  <c r="BQ27" i="18" s="1"/>
  <c r="BO27" i="18"/>
  <c r="BK27" i="18"/>
  <c r="BJ27" i="18"/>
  <c r="BI27" i="18"/>
  <c r="BG27" i="18"/>
  <c r="BF27" i="18"/>
  <c r="BE27" i="18"/>
  <c r="BD27" i="18"/>
  <c r="BB27" i="18"/>
  <c r="BA27" i="18"/>
  <c r="BC27" i="18" s="1"/>
  <c r="CI26" i="18"/>
  <c r="CH26" i="18"/>
  <c r="CG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B26" i="18"/>
  <c r="BA26" i="18"/>
  <c r="CI25" i="18"/>
  <c r="CH25" i="18"/>
  <c r="CF25" i="18"/>
  <c r="CE25" i="18"/>
  <c r="CG25" i="18" s="1"/>
  <c r="CD25" i="18"/>
  <c r="CC25" i="18"/>
  <c r="CB25" i="18"/>
  <c r="BZ25" i="18"/>
  <c r="CA25" i="18" s="1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F24" i="18"/>
  <c r="CG24" i="18" s="1"/>
  <c r="CE24" i="18"/>
  <c r="CD24" i="18"/>
  <c r="CC24" i="18"/>
  <c r="CA24" i="18"/>
  <c r="BZ24" i="18"/>
  <c r="CB24" i="18" s="1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G24" i="18"/>
  <c r="BH24" i="18" s="1"/>
  <c r="BF24" i="18"/>
  <c r="BE24" i="18"/>
  <c r="BD24" i="18"/>
  <c r="BC24" i="18"/>
  <c r="BA24" i="18"/>
  <c r="BB24" i="18" s="1"/>
  <c r="CI23" i="18"/>
  <c r="CH23" i="18"/>
  <c r="CF23" i="18"/>
  <c r="CG23" i="18" s="1"/>
  <c r="CE23" i="18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R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W22" i="18" s="1"/>
  <c r="BX22" i="18"/>
  <c r="BU22" i="18"/>
  <c r="BV22" i="18" s="1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M21" i="18" s="1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CA20" i="18"/>
  <c r="CB20" i="18" s="1"/>
  <c r="BZ20" i="18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H20" i="18" s="1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BC19" i="18" s="1"/>
  <c r="CI18" i="18"/>
  <c r="CG18" i="18" s="1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R18" i="18" s="1"/>
  <c r="BP18" i="18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 s="1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CA16" i="18"/>
  <c r="U16" i="18" s="1"/>
  <c r="BZ16" i="18"/>
  <c r="BY16" i="18"/>
  <c r="BX16" i="18"/>
  <c r="BU16" i="18"/>
  <c r="BV16" i="18" s="1"/>
  <c r="BT16" i="18"/>
  <c r="BS16" i="18"/>
  <c r="BQ16" i="18"/>
  <c r="BP16" i="18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R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Q14" i="18"/>
  <c r="O14" i="18" s="1"/>
  <c r="BP14" i="18"/>
  <c r="BO14" i="18"/>
  <c r="BK14" i="18"/>
  <c r="BL14" i="18" s="1"/>
  <c r="BM14" i="18" s="1"/>
  <c r="BJ14" i="18"/>
  <c r="BI14" i="18"/>
  <c r="BG14" i="18"/>
  <c r="BF14" i="18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BP13" i="18"/>
  <c r="BO13" i="18"/>
  <c r="BL13" i="18"/>
  <c r="BK13" i="18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L12" i="18"/>
  <c r="BM12" i="18" s="1"/>
  <c r="BK12" i="18"/>
  <c r="BJ12" i="18"/>
  <c r="BI12" i="18"/>
  <c r="BF12" i="18"/>
  <c r="BE12" i="18"/>
  <c r="BD12" i="18"/>
  <c r="BC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G70" i="2" s="1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 s="1"/>
  <c r="CH55" i="2"/>
  <c r="CH54" i="2"/>
  <c r="CH53" i="2"/>
  <c r="CH52" i="2"/>
  <c r="CH51" i="2"/>
  <c r="CH50" i="2"/>
  <c r="CH49" i="2"/>
  <c r="CH48" i="2"/>
  <c r="CH47" i="2"/>
  <c r="CH46" i="2"/>
  <c r="CG46" i="2" s="1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 s="1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 s="1"/>
  <c r="CC53" i="2"/>
  <c r="CD52" i="2"/>
  <c r="CC52" i="2"/>
  <c r="CD51" i="2"/>
  <c r="CC51" i="2"/>
  <c r="CD50" i="2"/>
  <c r="CC50" i="2"/>
  <c r="CB50" i="2" s="1"/>
  <c r="CD49" i="2"/>
  <c r="CC49" i="2"/>
  <c r="CD48" i="2"/>
  <c r="CC48" i="2"/>
  <c r="CD47" i="2"/>
  <c r="CC47" i="2"/>
  <c r="CD46" i="2"/>
  <c r="CC46" i="2"/>
  <c r="CD45" i="2"/>
  <c r="CB45" i="2" s="1"/>
  <c r="CC45" i="2"/>
  <c r="CD44" i="2"/>
  <c r="CC44" i="2"/>
  <c r="CD43" i="2"/>
  <c r="CC43" i="2"/>
  <c r="CD42" i="2"/>
  <c r="CC42" i="2"/>
  <c r="CD41" i="2"/>
  <c r="CB41" i="2" s="1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 s="1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 s="1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 s="1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 s="1"/>
  <c r="BX100" i="2"/>
  <c r="BU100" i="2"/>
  <c r="BT100" i="2"/>
  <c r="BS100" i="2"/>
  <c r="BP100" i="2"/>
  <c r="BO100" i="2"/>
  <c r="BM100" i="2" s="1"/>
  <c r="BL100" i="2"/>
  <c r="BK100" i="2"/>
  <c r="BJ100" i="2"/>
  <c r="BI100" i="2"/>
  <c r="BH100" i="2"/>
  <c r="BG100" i="2"/>
  <c r="BF100" i="2"/>
  <c r="BE100" i="2"/>
  <c r="BD100" i="2"/>
  <c r="BB100" i="2"/>
  <c r="BC100" i="2" s="1"/>
  <c r="BA100" i="2"/>
  <c r="CI99" i="2"/>
  <c r="CG99" i="2"/>
  <c r="CF99" i="2"/>
  <c r="CE99" i="2"/>
  <c r="CA99" i="2"/>
  <c r="BZ99" i="2"/>
  <c r="BX99" i="2"/>
  <c r="BU99" i="2"/>
  <c r="BV99" i="2" s="1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 s="1"/>
  <c r="CE98" i="2"/>
  <c r="CA98" i="2"/>
  <c r="CB98" i="2" s="1"/>
  <c r="BZ98" i="2"/>
  <c r="BX98" i="2"/>
  <c r="BV98" i="2"/>
  <c r="BU98" i="2"/>
  <c r="BT98" i="2"/>
  <c r="BS98" i="2"/>
  <c r="BP98" i="2"/>
  <c r="BQ98" i="2" s="1"/>
  <c r="BR98" i="2" s="1"/>
  <c r="BO98" i="2"/>
  <c r="BL98" i="2"/>
  <c r="BM98" i="2" s="1"/>
  <c r="BK98" i="2"/>
  <c r="BJ98" i="2"/>
  <c r="BI98" i="2"/>
  <c r="BF98" i="2"/>
  <c r="BE98" i="2"/>
  <c r="BD98" i="2"/>
  <c r="BC98" i="2" s="1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 s="1"/>
  <c r="BM97" i="2" s="1"/>
  <c r="BJ97" i="2"/>
  <c r="BI97" i="2"/>
  <c r="BF97" i="2"/>
  <c r="BG97" i="2" s="1"/>
  <c r="BH97" i="2" s="1"/>
  <c r="BE97" i="2"/>
  <c r="BD97" i="2"/>
  <c r="BA97" i="2"/>
  <c r="CI96" i="2"/>
  <c r="CG96" i="2"/>
  <c r="CF96" i="2"/>
  <c r="CE96" i="2"/>
  <c r="BZ96" i="2"/>
  <c r="CA96" i="2" s="1"/>
  <c r="CB96" i="2" s="1"/>
  <c r="BX96" i="2"/>
  <c r="BV96" i="2"/>
  <c r="BU96" i="2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 s="1"/>
  <c r="BP95" i="2"/>
  <c r="BO95" i="2"/>
  <c r="BL95" i="2"/>
  <c r="BK95" i="2"/>
  <c r="BJ95" i="2"/>
  <c r="BI95" i="2"/>
  <c r="BF95" i="2"/>
  <c r="BE95" i="2"/>
  <c r="BD95" i="2"/>
  <c r="BA95" i="2"/>
  <c r="BB95" i="2" s="1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 s="1"/>
  <c r="BF94" i="2"/>
  <c r="BE94" i="2"/>
  <c r="BD94" i="2"/>
  <c r="BB94" i="2"/>
  <c r="BA94" i="2"/>
  <c r="CI93" i="2"/>
  <c r="CE93" i="2"/>
  <c r="CF93" i="2" s="1"/>
  <c r="CA93" i="2"/>
  <c r="CB93" i="2" s="1"/>
  <c r="BZ93" i="2"/>
  <c r="BX93" i="2"/>
  <c r="BU93" i="2"/>
  <c r="BT93" i="2"/>
  <c r="BS93" i="2"/>
  <c r="BR93" i="2" s="1"/>
  <c r="BQ93" i="2"/>
  <c r="BP93" i="2"/>
  <c r="BO93" i="2"/>
  <c r="BK93" i="2"/>
  <c r="BJ93" i="2"/>
  <c r="BI93" i="2"/>
  <c r="BG93" i="2"/>
  <c r="BF93" i="2"/>
  <c r="BE93" i="2"/>
  <c r="BD93" i="2"/>
  <c r="BB93" i="2"/>
  <c r="BC93" i="2" s="1"/>
  <c r="BA93" i="2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 s="1"/>
  <c r="CE91" i="2"/>
  <c r="BZ91" i="2"/>
  <c r="BX91" i="2"/>
  <c r="BU91" i="2"/>
  <c r="BV91" i="2" s="1"/>
  <c r="BW91" i="2" s="1"/>
  <c r="BT91" i="2"/>
  <c r="BS91" i="2"/>
  <c r="BP91" i="2"/>
  <c r="BO91" i="2"/>
  <c r="BK91" i="2"/>
  <c r="BJ91" i="2"/>
  <c r="BH91" i="2" s="1"/>
  <c r="BI91" i="2"/>
  <c r="BG91" i="2"/>
  <c r="BF91" i="2"/>
  <c r="BE91" i="2"/>
  <c r="BD91" i="2"/>
  <c r="BC91" i="2"/>
  <c r="BB91" i="2"/>
  <c r="BA91" i="2"/>
  <c r="CI90" i="2"/>
  <c r="CF90" i="2"/>
  <c r="CG90" i="2" s="1"/>
  <c r="CE90" i="2"/>
  <c r="CA90" i="2"/>
  <c r="BZ90" i="2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 s="1"/>
  <c r="BU89" i="2"/>
  <c r="BT89" i="2"/>
  <c r="BS89" i="2"/>
  <c r="BQ89" i="2"/>
  <c r="BP89" i="2"/>
  <c r="BO89" i="2"/>
  <c r="BK89" i="2"/>
  <c r="BL89" i="2" s="1"/>
  <c r="BM89" i="2" s="1"/>
  <c r="BJ89" i="2"/>
  <c r="BI89" i="2"/>
  <c r="BG89" i="2"/>
  <c r="BH89" i="2" s="1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 s="1"/>
  <c r="BP88" i="2"/>
  <c r="BO88" i="2"/>
  <c r="BK88" i="2"/>
  <c r="BJ88" i="2"/>
  <c r="BI88" i="2"/>
  <c r="BF88" i="2"/>
  <c r="BG88" i="2" s="1"/>
  <c r="BE88" i="2"/>
  <c r="BD88" i="2"/>
  <c r="BA88" i="2"/>
  <c r="BB88" i="2" s="1"/>
  <c r="BC88" i="2" s="1"/>
  <c r="CI87" i="2"/>
  <c r="CE87" i="2"/>
  <c r="CA87" i="2"/>
  <c r="BZ87" i="2"/>
  <c r="BX87" i="2"/>
  <c r="BV87" i="2"/>
  <c r="BW87" i="2" s="1"/>
  <c r="BU87" i="2"/>
  <c r="BT87" i="2"/>
  <c r="BS87" i="2"/>
  <c r="BQ87" i="2"/>
  <c r="BP87" i="2"/>
  <c r="BO87" i="2"/>
  <c r="BM87" i="2" s="1"/>
  <c r="BL87" i="2"/>
  <c r="BK87" i="2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 s="1"/>
  <c r="BK86" i="2"/>
  <c r="BJ86" i="2"/>
  <c r="BI86" i="2"/>
  <c r="BH86" i="2" s="1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F84" i="2"/>
  <c r="CE84" i="2"/>
  <c r="BZ84" i="2"/>
  <c r="CA84" i="2" s="1"/>
  <c r="CB84" i="2" s="1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 s="1"/>
  <c r="CE83" i="2"/>
  <c r="CA83" i="2"/>
  <c r="BZ83" i="2"/>
  <c r="BX83" i="2"/>
  <c r="BU83" i="2"/>
  <c r="BV83" i="2" s="1"/>
  <c r="BW83" i="2" s="1"/>
  <c r="BT83" i="2"/>
  <c r="BS83" i="2"/>
  <c r="BR83" i="2" s="1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C82" i="2" s="1"/>
  <c r="BB82" i="2"/>
  <c r="BA82" i="2"/>
  <c r="CI81" i="2"/>
  <c r="CG81" i="2"/>
  <c r="CF81" i="2"/>
  <c r="CE81" i="2"/>
  <c r="CA81" i="2"/>
  <c r="CB81" i="2" s="1"/>
  <c r="BZ81" i="2"/>
  <c r="BX81" i="2"/>
  <c r="BV81" i="2"/>
  <c r="BU81" i="2"/>
  <c r="BT81" i="2"/>
  <c r="BS81" i="2"/>
  <c r="BQ81" i="2"/>
  <c r="BP81" i="2"/>
  <c r="BO81" i="2"/>
  <c r="BK81" i="2"/>
  <c r="BL81" i="2" s="1"/>
  <c r="BJ81" i="2"/>
  <c r="BI81" i="2"/>
  <c r="BG81" i="2"/>
  <c r="BF81" i="2"/>
  <c r="BH81" i="2" s="1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 s="1"/>
  <c r="BP80" i="2"/>
  <c r="BO80" i="2"/>
  <c r="BL80" i="2"/>
  <c r="BK80" i="2"/>
  <c r="BJ80" i="2"/>
  <c r="BI80" i="2"/>
  <c r="BF80" i="2"/>
  <c r="BG80" i="2" s="1"/>
  <c r="BH80" i="2" s="1"/>
  <c r="BE80" i="2"/>
  <c r="BD80" i="2"/>
  <c r="BB80" i="2"/>
  <c r="BC80" i="2" s="1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 s="1"/>
  <c r="BK79" i="2"/>
  <c r="BJ79" i="2"/>
  <c r="BI79" i="2"/>
  <c r="BG79" i="2"/>
  <c r="BF79" i="2"/>
  <c r="BE79" i="2"/>
  <c r="BD79" i="2"/>
  <c r="BA79" i="2"/>
  <c r="BB79" i="2" s="1"/>
  <c r="BC79" i="2" s="1"/>
  <c r="CI78" i="2"/>
  <c r="CG78" i="2"/>
  <c r="CF78" i="2"/>
  <c r="CE78" i="2"/>
  <c r="BZ78" i="2"/>
  <c r="BX78" i="2"/>
  <c r="BV78" i="2"/>
  <c r="BU78" i="2"/>
  <c r="BT78" i="2"/>
  <c r="BS78" i="2"/>
  <c r="BP78" i="2"/>
  <c r="BQ78" i="2" s="1"/>
  <c r="BR78" i="2" s="1"/>
  <c r="BO78" i="2"/>
  <c r="BL78" i="2"/>
  <c r="BK78" i="2"/>
  <c r="BJ78" i="2"/>
  <c r="BI78" i="2"/>
  <c r="BG78" i="2"/>
  <c r="BH78" i="2" s="1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R77" i="2" s="1"/>
  <c r="BQ77" i="2"/>
  <c r="BP77" i="2"/>
  <c r="BO77" i="2"/>
  <c r="BM77" i="2"/>
  <c r="BL77" i="2"/>
  <c r="BK77" i="2"/>
  <c r="BJ77" i="2"/>
  <c r="BI77" i="2"/>
  <c r="BG77" i="2"/>
  <c r="BH77" i="2" s="1"/>
  <c r="BF77" i="2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 s="1"/>
  <c r="CE75" i="2"/>
  <c r="CA75" i="2"/>
  <c r="BZ75" i="2"/>
  <c r="BX75" i="2"/>
  <c r="BU75" i="2"/>
  <c r="BV75" i="2" s="1"/>
  <c r="BW75" i="2" s="1"/>
  <c r="BT75" i="2"/>
  <c r="BS75" i="2"/>
  <c r="BQ75" i="2"/>
  <c r="BR75" i="2" s="1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 s="1"/>
  <c r="BZ74" i="2"/>
  <c r="BX74" i="2"/>
  <c r="BV74" i="2"/>
  <c r="BU74" i="2"/>
  <c r="BT74" i="2"/>
  <c r="BS74" i="2"/>
  <c r="BP74" i="2"/>
  <c r="BQ74" i="2" s="1"/>
  <c r="BR74" i="2" s="1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 s="1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 s="1"/>
  <c r="BU72" i="2"/>
  <c r="BT72" i="2"/>
  <c r="BS72" i="2"/>
  <c r="BR72" i="2" s="1"/>
  <c r="BQ72" i="2"/>
  <c r="BP72" i="2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 s="1"/>
  <c r="BP71" i="2"/>
  <c r="BO71" i="2"/>
  <c r="BL71" i="2"/>
  <c r="BM71" i="2" s="1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 s="1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 s="1"/>
  <c r="BQ69" i="2"/>
  <c r="BP69" i="2"/>
  <c r="BO69" i="2"/>
  <c r="BM69" i="2"/>
  <c r="BL69" i="2"/>
  <c r="BK69" i="2"/>
  <c r="BJ69" i="2"/>
  <c r="BI69" i="2"/>
  <c r="BH69" i="2" s="1"/>
  <c r="BG69" i="2"/>
  <c r="BF69" i="2"/>
  <c r="BE69" i="2"/>
  <c r="BD69" i="2"/>
  <c r="BC69" i="2" s="1"/>
  <c r="BB69" i="2"/>
  <c r="BA69" i="2"/>
  <c r="CI68" i="2"/>
  <c r="CF68" i="2"/>
  <c r="CE68" i="2"/>
  <c r="CA68" i="2"/>
  <c r="BZ68" i="2"/>
  <c r="BX68" i="2"/>
  <c r="BU68" i="2"/>
  <c r="BV68" i="2" s="1"/>
  <c r="BW68" i="2" s="1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 s="1"/>
  <c r="CE67" i="2"/>
  <c r="CA67" i="2"/>
  <c r="BZ67" i="2"/>
  <c r="BX67" i="2"/>
  <c r="BW67" i="2" s="1"/>
  <c r="BV67" i="2"/>
  <c r="BU67" i="2"/>
  <c r="BT67" i="2"/>
  <c r="BS67" i="2"/>
  <c r="BR67" i="2" s="1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 s="1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 s="1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 s="1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 s="1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 s="1"/>
  <c r="BP62" i="2"/>
  <c r="BO62" i="2"/>
  <c r="BM62" i="2"/>
  <c r="BL62" i="2"/>
  <c r="BK62" i="2"/>
  <c r="BJ62" i="2"/>
  <c r="BI62" i="2"/>
  <c r="BH62" i="2" s="1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 s="1"/>
  <c r="BP61" i="2"/>
  <c r="BO61" i="2"/>
  <c r="BL61" i="2"/>
  <c r="BK61" i="2"/>
  <c r="BJ61" i="2"/>
  <c r="BI61" i="2"/>
  <c r="BH61" i="2" s="1"/>
  <c r="BG61" i="2"/>
  <c r="BF61" i="2"/>
  <c r="BE61" i="2"/>
  <c r="BD61" i="2"/>
  <c r="BA61" i="2"/>
  <c r="BB61" i="2" s="1"/>
  <c r="CI60" i="2"/>
  <c r="CE60" i="2"/>
  <c r="CB60" i="2"/>
  <c r="CA60" i="2"/>
  <c r="BZ60" i="2"/>
  <c r="BX60" i="2"/>
  <c r="BV60" i="2"/>
  <c r="BU60" i="2"/>
  <c r="BT60" i="2"/>
  <c r="BS60" i="2"/>
  <c r="BP60" i="2"/>
  <c r="BQ60" i="2" s="1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C59" i="2" s="1"/>
  <c r="BD59" i="2"/>
  <c r="BB59" i="2"/>
  <c r="BA59" i="2"/>
  <c r="CI58" i="2"/>
  <c r="CF58" i="2"/>
  <c r="CG58" i="2" s="1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 s="1"/>
  <c r="BE58" i="2"/>
  <c r="BD58" i="2"/>
  <c r="BC58" i="2" s="1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 s="1"/>
  <c r="BG57" i="2"/>
  <c r="BF57" i="2"/>
  <c r="BE57" i="2"/>
  <c r="BD57" i="2"/>
  <c r="BA57" i="2"/>
  <c r="BB57" i="2" s="1"/>
  <c r="CI56" i="2"/>
  <c r="CF56" i="2"/>
  <c r="CE56" i="2"/>
  <c r="BZ56" i="2"/>
  <c r="BX56" i="2"/>
  <c r="BV56" i="2"/>
  <c r="BU56" i="2"/>
  <c r="BT56" i="2"/>
  <c r="BS56" i="2"/>
  <c r="BQ56" i="2"/>
  <c r="BR56" i="2" s="1"/>
  <c r="BP56" i="2"/>
  <c r="BO56" i="2"/>
  <c r="BK56" i="2"/>
  <c r="BJ56" i="2"/>
  <c r="BI56" i="2"/>
  <c r="BG56" i="2"/>
  <c r="BH56" i="2" s="1"/>
  <c r="BF56" i="2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 s="1"/>
  <c r="BT53" i="2"/>
  <c r="BS53" i="2"/>
  <c r="BR53" i="2" s="1"/>
  <c r="BQ53" i="2"/>
  <c r="BP53" i="2"/>
  <c r="BO53" i="2"/>
  <c r="BK53" i="2"/>
  <c r="BL53" i="2" s="1"/>
  <c r="BM53" i="2" s="1"/>
  <c r="BJ53" i="2"/>
  <c r="BI53" i="2"/>
  <c r="BG53" i="2"/>
  <c r="BH53" i="2" s="1"/>
  <c r="BF53" i="2"/>
  <c r="BE53" i="2"/>
  <c r="BD53" i="2"/>
  <c r="BC53" i="2" s="1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V51" i="2"/>
  <c r="BW51" i="2" s="1"/>
  <c r="BU51" i="2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 s="1"/>
  <c r="BP50" i="2"/>
  <c r="BO50" i="2"/>
  <c r="BL50" i="2"/>
  <c r="BM50" i="2" s="1"/>
  <c r="BK50" i="2"/>
  <c r="BJ50" i="2"/>
  <c r="BI50" i="2"/>
  <c r="BF50" i="2"/>
  <c r="BE50" i="2"/>
  <c r="BD50" i="2"/>
  <c r="BC50" i="2"/>
  <c r="BB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M49" i="2"/>
  <c r="BL49" i="2"/>
  <c r="BK49" i="2"/>
  <c r="BJ49" i="2"/>
  <c r="BI49" i="2"/>
  <c r="BH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M48" i="2" s="1"/>
  <c r="BJ48" i="2"/>
  <c r="BI48" i="2"/>
  <c r="BH48" i="2" s="1"/>
  <c r="BG48" i="2"/>
  <c r="BF48" i="2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H46" i="2" s="1"/>
  <c r="BF46" i="2"/>
  <c r="BE46" i="2"/>
  <c r="BD46" i="2"/>
  <c r="BB46" i="2"/>
  <c r="BC46" i="2" s="1"/>
  <c r="BA46" i="2"/>
  <c r="CI45" i="2"/>
  <c r="CF45" i="2"/>
  <c r="CG45" i="2" s="1"/>
  <c r="CE45" i="2"/>
  <c r="CA45" i="2"/>
  <c r="BZ45" i="2"/>
  <c r="BX45" i="2"/>
  <c r="BU45" i="2"/>
  <c r="BT45" i="2"/>
  <c r="BS45" i="2"/>
  <c r="BQ45" i="2"/>
  <c r="BP45" i="2"/>
  <c r="BO45" i="2"/>
  <c r="BL45" i="2"/>
  <c r="BM45" i="2" s="1"/>
  <c r="BK45" i="2"/>
  <c r="BJ45" i="2"/>
  <c r="BI45" i="2"/>
  <c r="BF45" i="2"/>
  <c r="BG45" i="2" s="1"/>
  <c r="BE45" i="2"/>
  <c r="BD45" i="2"/>
  <c r="BB45" i="2"/>
  <c r="BC45" i="2" s="1"/>
  <c r="BA45" i="2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 s="1"/>
  <c r="CB43" i="2" s="1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 s="1"/>
  <c r="BC43" i="2" s="1"/>
  <c r="CI42" i="2"/>
  <c r="CG42" i="2"/>
  <c r="CE42" i="2"/>
  <c r="CF42" i="2" s="1"/>
  <c r="BZ42" i="2"/>
  <c r="BX42" i="2"/>
  <c r="BV42" i="2"/>
  <c r="BW42" i="2" s="1"/>
  <c r="BU42" i="2"/>
  <c r="BT42" i="2"/>
  <c r="BS42" i="2"/>
  <c r="BQ42" i="2"/>
  <c r="BR42" i="2" s="1"/>
  <c r="BP42" i="2"/>
  <c r="BO42" i="2"/>
  <c r="BM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 s="1"/>
  <c r="BA41" i="2"/>
  <c r="CI40" i="2"/>
  <c r="CE40" i="2"/>
  <c r="CF40" i="2" s="1"/>
  <c r="CB40" i="2"/>
  <c r="CA40" i="2"/>
  <c r="BZ40" i="2"/>
  <c r="BX40" i="2"/>
  <c r="BU40" i="2"/>
  <c r="BT40" i="2"/>
  <c r="BS40" i="2"/>
  <c r="BQ40" i="2"/>
  <c r="BP40" i="2"/>
  <c r="BO40" i="2"/>
  <c r="BL40" i="2"/>
  <c r="BM40" i="2" s="1"/>
  <c r="BK40" i="2"/>
  <c r="BJ40" i="2"/>
  <c r="BI40" i="2"/>
  <c r="BF40" i="2"/>
  <c r="BE40" i="2"/>
  <c r="BD40" i="2"/>
  <c r="BB40" i="2"/>
  <c r="BC40" i="2" s="1"/>
  <c r="BA40" i="2"/>
  <c r="CI39" i="2"/>
  <c r="CE39" i="2"/>
  <c r="CB39" i="2"/>
  <c r="BZ39" i="2"/>
  <c r="CA39" i="2" s="1"/>
  <c r="BX39" i="2"/>
  <c r="BU39" i="2"/>
  <c r="BT39" i="2"/>
  <c r="BS39" i="2"/>
  <c r="BQ39" i="2"/>
  <c r="BP39" i="2"/>
  <c r="BO39" i="2"/>
  <c r="BL39" i="2"/>
  <c r="BM39" i="2" s="1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 s="1"/>
  <c r="BT38" i="2"/>
  <c r="BS38" i="2"/>
  <c r="BR38" i="2" s="1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G37" i="2"/>
  <c r="BF37" i="2"/>
  <c r="BE37" i="2"/>
  <c r="BD37" i="2"/>
  <c r="BB37" i="2"/>
  <c r="BC37" i="2" s="1"/>
  <c r="BA37" i="2"/>
  <c r="CI36" i="2"/>
  <c r="CE36" i="2"/>
  <c r="BZ36" i="2"/>
  <c r="BX36" i="2"/>
  <c r="BU36" i="2"/>
  <c r="BT36" i="2"/>
  <c r="BS36" i="2"/>
  <c r="BQ36" i="2"/>
  <c r="BR36" i="2" s="1"/>
  <c r="BP36" i="2"/>
  <c r="BO36" i="2"/>
  <c r="BK36" i="2"/>
  <c r="BL36" i="2" s="1"/>
  <c r="BM36" i="2" s="1"/>
  <c r="BJ36" i="2"/>
  <c r="BH36" i="2" s="1"/>
  <c r="BI36" i="2"/>
  <c r="BG36" i="2"/>
  <c r="BF36" i="2"/>
  <c r="BE36" i="2"/>
  <c r="BD36" i="2"/>
  <c r="BA36" i="2"/>
  <c r="CI35" i="2"/>
  <c r="CF35" i="2"/>
  <c r="CE35" i="2"/>
  <c r="CA35" i="2"/>
  <c r="CB35" i="2" s="1"/>
  <c r="BZ35" i="2"/>
  <c r="BX35" i="2"/>
  <c r="BU35" i="2"/>
  <c r="BT35" i="2"/>
  <c r="BS35" i="2"/>
  <c r="BQ35" i="2"/>
  <c r="BR35" i="2" s="1"/>
  <c r="BP35" i="2"/>
  <c r="BO35" i="2"/>
  <c r="BK35" i="2"/>
  <c r="BJ35" i="2"/>
  <c r="BI35" i="2"/>
  <c r="BH35" i="2" s="1"/>
  <c r="BF35" i="2"/>
  <c r="BG35" i="2" s="1"/>
  <c r="BE35" i="2"/>
  <c r="BD35" i="2"/>
  <c r="BA35" i="2"/>
  <c r="CI34" i="2"/>
  <c r="CE34" i="2"/>
  <c r="CF34" i="2" s="1"/>
  <c r="CG34" i="2" s="1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CA33" i="2"/>
  <c r="BZ33" i="2"/>
  <c r="BX33" i="2"/>
  <c r="BV33" i="2"/>
  <c r="BU33" i="2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B33" i="2"/>
  <c r="BC33" i="2" s="1"/>
  <c r="BA33" i="2"/>
  <c r="CI32" i="2"/>
  <c r="CE32" i="2"/>
  <c r="CF32" i="2" s="1"/>
  <c r="CB32" i="2"/>
  <c r="CA32" i="2"/>
  <c r="BZ32" i="2"/>
  <c r="BX32" i="2"/>
  <c r="BU32" i="2"/>
  <c r="BT32" i="2"/>
  <c r="BS32" i="2"/>
  <c r="BQ32" i="2"/>
  <c r="BR32" i="2" s="1"/>
  <c r="BP32" i="2"/>
  <c r="BO32" i="2"/>
  <c r="BL32" i="2"/>
  <c r="BM32" i="2" s="1"/>
  <c r="BK32" i="2"/>
  <c r="BJ32" i="2"/>
  <c r="BI32" i="2"/>
  <c r="BF32" i="2"/>
  <c r="BE32" i="2"/>
  <c r="BD32" i="2"/>
  <c r="BC32" i="2" s="1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 s="1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R29" i="2"/>
  <c r="BP29" i="2"/>
  <c r="BQ29" i="2" s="1"/>
  <c r="BO29" i="2"/>
  <c r="BK29" i="2"/>
  <c r="BJ29" i="2"/>
  <c r="BI29" i="2"/>
  <c r="BG29" i="2"/>
  <c r="BH29" i="2" s="1"/>
  <c r="BF29" i="2"/>
  <c r="BE29" i="2"/>
  <c r="BD29" i="2"/>
  <c r="BB29" i="2"/>
  <c r="BC29" i="2" s="1"/>
  <c r="BA29" i="2"/>
  <c r="CI28" i="2"/>
  <c r="CE28" i="2"/>
  <c r="CF28" i="2" s="1"/>
  <c r="CG28" i="2" s="1"/>
  <c r="CA28" i="2"/>
  <c r="BZ28" i="2"/>
  <c r="BX28" i="2"/>
  <c r="BU28" i="2"/>
  <c r="BT28" i="2"/>
  <c r="BS28" i="2"/>
  <c r="BR28" i="2"/>
  <c r="BQ28" i="2"/>
  <c r="BP28" i="2"/>
  <c r="BO28" i="2"/>
  <c r="BK28" i="2"/>
  <c r="BL28" i="2" s="1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R27" i="2" s="1"/>
  <c r="BO27" i="2"/>
  <c r="BL27" i="2"/>
  <c r="BM27" i="2" s="1"/>
  <c r="BK27" i="2"/>
  <c r="BJ27" i="2"/>
  <c r="BI27" i="2"/>
  <c r="BF27" i="2"/>
  <c r="BE27" i="2"/>
  <c r="BD27" i="2"/>
  <c r="BC27" i="2" s="1"/>
  <c r="BB27" i="2"/>
  <c r="BA27" i="2"/>
  <c r="CI26" i="2"/>
  <c r="CE26" i="2"/>
  <c r="BZ26" i="2"/>
  <c r="BX26" i="2"/>
  <c r="BV26" i="2"/>
  <c r="BW26" i="2" s="1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 s="1"/>
  <c r="BP25" i="2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R22" i="2" s="1"/>
  <c r="BS22" i="2"/>
  <c r="BQ22" i="2"/>
  <c r="BP22" i="2"/>
  <c r="BO22" i="2"/>
  <c r="BL22" i="2"/>
  <c r="BK22" i="2"/>
  <c r="BJ22" i="2"/>
  <c r="BI22" i="2"/>
  <c r="BF22" i="2"/>
  <c r="BE22" i="2"/>
  <c r="BD22" i="2"/>
  <c r="BB22" i="2"/>
  <c r="BC22" i="2" s="1"/>
  <c r="BA22" i="2"/>
  <c r="CI21" i="2"/>
  <c r="CE21" i="2"/>
  <c r="BZ21" i="2"/>
  <c r="CA21" i="2" s="1"/>
  <c r="BX21" i="2"/>
  <c r="BU21" i="2"/>
  <c r="BT21" i="2"/>
  <c r="BS21" i="2"/>
  <c r="BP21" i="2"/>
  <c r="BO21" i="2"/>
  <c r="BM21" i="2"/>
  <c r="BL21" i="2"/>
  <c r="BK21" i="2"/>
  <c r="BJ21" i="2"/>
  <c r="BI21" i="2"/>
  <c r="BF21" i="2"/>
  <c r="BE21" i="2"/>
  <c r="BD21" i="2"/>
  <c r="BA21" i="2"/>
  <c r="CI20" i="2"/>
  <c r="CG20" i="2"/>
  <c r="CF20" i="2"/>
  <c r="CE20" i="2"/>
  <c r="BZ20" i="2"/>
  <c r="BX20" i="2"/>
  <c r="BU20" i="2"/>
  <c r="BV20" i="2" s="1"/>
  <c r="BW20" i="2" s="1"/>
  <c r="BT20" i="2"/>
  <c r="BS20" i="2"/>
  <c r="BP20" i="2"/>
  <c r="BO20" i="2"/>
  <c r="BK20" i="2"/>
  <c r="BJ20" i="2"/>
  <c r="BI20" i="2"/>
  <c r="BH20" i="2" s="1"/>
  <c r="BG20" i="2"/>
  <c r="BF20" i="2"/>
  <c r="BE20" i="2"/>
  <c r="BD20" i="2"/>
  <c r="BB20" i="2"/>
  <c r="BA20" i="2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M19" i="2"/>
  <c r="BL19" i="2"/>
  <c r="BK19" i="2"/>
  <c r="BJ19" i="2"/>
  <c r="BI19" i="2"/>
  <c r="BF19" i="2"/>
  <c r="BE19" i="2"/>
  <c r="BD19" i="2"/>
  <c r="BC19" i="2"/>
  <c r="BB19" i="2"/>
  <c r="BA19" i="2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M18" i="2" s="1"/>
  <c r="BJ18" i="2"/>
  <c r="BI18" i="2"/>
  <c r="BF18" i="2"/>
  <c r="BG18" i="2" s="1"/>
  <c r="BH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M16" i="2" s="1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O62" i="2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L22" i="2"/>
  <c r="F8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100" i="18"/>
  <c r="AX100" i="12" s="1"/>
  <c r="A99" i="18"/>
  <c r="AX99" i="12" s="1"/>
  <c r="A97" i="18"/>
  <c r="AX97" i="12" s="1"/>
  <c r="A96" i="18"/>
  <c r="AX96" i="12" s="1"/>
  <c r="A95" i="18"/>
  <c r="AX95" i="12" s="1"/>
  <c r="A94" i="18"/>
  <c r="AX94" i="12" s="1"/>
  <c r="A93" i="18"/>
  <c r="AX93" i="12" s="1"/>
  <c r="A91" i="18"/>
  <c r="AX91" i="12" s="1"/>
  <c r="A89" i="18"/>
  <c r="AX89" i="12" s="1"/>
  <c r="A88" i="18"/>
  <c r="AX88" i="12" s="1"/>
  <c r="A85" i="18"/>
  <c r="AX85" i="12" s="1"/>
  <c r="A84" i="18"/>
  <c r="AX84" i="12" s="1"/>
  <c r="A83" i="18"/>
  <c r="AX83" i="12" s="1"/>
  <c r="A81" i="18"/>
  <c r="AX81" i="12" s="1"/>
  <c r="A80" i="18"/>
  <c r="AX80" i="12" s="1"/>
  <c r="A79" i="18"/>
  <c r="AX79" i="12" s="1"/>
  <c r="A100" i="2"/>
  <c r="AW100" i="12" s="1"/>
  <c r="A99" i="2"/>
  <c r="AW99" i="12" s="1"/>
  <c r="A98" i="2"/>
  <c r="AW98" i="12" s="1"/>
  <c r="A97" i="2"/>
  <c r="AW97" i="12" s="1"/>
  <c r="A95" i="2"/>
  <c r="AW95" i="12" s="1"/>
  <c r="A94" i="2"/>
  <c r="AW94" i="12" s="1"/>
  <c r="A92" i="2"/>
  <c r="AW92" i="12" s="1"/>
  <c r="A91" i="2"/>
  <c r="AW91" i="12" s="1"/>
  <c r="A90" i="2"/>
  <c r="AW90" i="12" s="1"/>
  <c r="A89" i="2"/>
  <c r="AW89" i="12" s="1"/>
  <c r="A87" i="2"/>
  <c r="AW87" i="12" s="1"/>
  <c r="A85" i="2"/>
  <c r="AW85" i="12" s="1"/>
  <c r="A84" i="2"/>
  <c r="AW84" i="12" s="1"/>
  <c r="A83" i="2"/>
  <c r="AW83" i="12" s="1"/>
  <c r="A82" i="2"/>
  <c r="AW82" i="12" s="1"/>
  <c r="A81" i="2"/>
  <c r="AW81" i="12" s="1"/>
  <c r="A80" i="2"/>
  <c r="AW80" i="12" s="1"/>
  <c r="A79" i="2"/>
  <c r="AW79" i="12" s="1"/>
  <c r="A78" i="2"/>
  <c r="AW78" i="12" s="1"/>
  <c r="A77" i="2"/>
  <c r="AW77" i="12" s="1"/>
  <c r="A75" i="2"/>
  <c r="AW75" i="12" s="1"/>
  <c r="A74" i="2"/>
  <c r="AW74" i="12" s="1"/>
  <c r="A73" i="2"/>
  <c r="AW73" i="12" s="1"/>
  <c r="A72" i="2"/>
  <c r="AW72" i="12" s="1"/>
  <c r="A71" i="2"/>
  <c r="AW71" i="12" s="1"/>
  <c r="A70" i="2"/>
  <c r="AW70" i="12" s="1"/>
  <c r="A69" i="2"/>
  <c r="AW69" i="12" s="1"/>
  <c r="A68" i="2"/>
  <c r="AW68" i="12" s="1"/>
  <c r="A67" i="2"/>
  <c r="AW67" i="12" s="1"/>
  <c r="A65" i="2"/>
  <c r="AW65" i="12" s="1"/>
  <c r="A64" i="2"/>
  <c r="AW64" i="12" s="1"/>
  <c r="A63" i="2"/>
  <c r="AW63" i="12" s="1"/>
  <c r="A62" i="2"/>
  <c r="AW62" i="12" s="1"/>
  <c r="A61" i="2"/>
  <c r="AW61" i="12" s="1"/>
  <c r="A60" i="2"/>
  <c r="AW60" i="12" s="1"/>
  <c r="A59" i="2"/>
  <c r="AW59" i="12" s="1"/>
  <c r="A57" i="2"/>
  <c r="AW57" i="12" s="1"/>
  <c r="A55" i="2"/>
  <c r="AW55" i="12" s="1"/>
  <c r="A54" i="2"/>
  <c r="AW54" i="12" s="1"/>
  <c r="A53" i="2"/>
  <c r="AW53" i="12" s="1"/>
  <c r="A52" i="2"/>
  <c r="AW52" i="12" s="1"/>
  <c r="A51" i="2"/>
  <c r="AW51" i="12" s="1"/>
  <c r="A50" i="2"/>
  <c r="AW50" i="12" s="1"/>
  <c r="A49" i="2"/>
  <c r="AW49" i="12" s="1"/>
  <c r="A47" i="2"/>
  <c r="AW47" i="12" s="1"/>
  <c r="A44" i="2"/>
  <c r="AW44" i="12" s="1"/>
  <c r="A43" i="2"/>
  <c r="AW43" i="12" s="1"/>
  <c r="A42" i="2"/>
  <c r="AW42" i="12" s="1"/>
  <c r="A41" i="2"/>
  <c r="AW41" i="12" s="1"/>
  <c r="A39" i="2"/>
  <c r="AW39" i="12" s="1"/>
  <c r="A38" i="2"/>
  <c r="AW38" i="12" s="1"/>
  <c r="A37" i="2"/>
  <c r="AW37" i="12" s="1"/>
  <c r="A35" i="2"/>
  <c r="AW35" i="12" s="1"/>
  <c r="A34" i="2"/>
  <c r="AW34" i="12" s="1"/>
  <c r="A33" i="2"/>
  <c r="AW33" i="12" s="1"/>
  <c r="A31" i="2"/>
  <c r="AW31" i="12" s="1"/>
  <c r="A30" i="2"/>
  <c r="AW30" i="12" s="1"/>
  <c r="A29" i="2"/>
  <c r="AW29" i="12" s="1"/>
  <c r="A28" i="2"/>
  <c r="AW28" i="12" s="1"/>
  <c r="A27" i="2"/>
  <c r="AW27" i="12" s="1"/>
  <c r="A25" i="2"/>
  <c r="AW25" i="12" s="1"/>
  <c r="A22" i="2"/>
  <c r="AW22" i="12" s="1"/>
  <c r="A21" i="2"/>
  <c r="AW21" i="12" s="1"/>
  <c r="A20" i="2"/>
  <c r="AW20" i="12" s="1"/>
  <c r="A19" i="2"/>
  <c r="AW19" i="12" s="1"/>
  <c r="A18" i="2"/>
  <c r="AW18" i="12" s="1"/>
  <c r="A17" i="2"/>
  <c r="AW17" i="12" s="1"/>
  <c r="A12" i="2"/>
  <c r="AW12" i="12" s="1"/>
  <c r="A10" i="2"/>
  <c r="AW10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 s="1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 s="1"/>
  <c r="AP72" i="18" s="1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 s="1"/>
  <c r="AP88" i="18" s="1"/>
  <c r="L92" i="18"/>
  <c r="F93" i="18"/>
  <c r="R95" i="18"/>
  <c r="I25" i="18"/>
  <c r="U23" i="18"/>
  <c r="O23" i="18"/>
  <c r="X24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26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 s="1"/>
  <c r="BD1" i="2" s="1"/>
  <c r="L10" i="2"/>
  <c r="I9" i="18"/>
  <c r="I55" i="2"/>
  <c r="R56" i="2"/>
  <c r="L18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AB72" i="18" s="1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O13" i="18"/>
  <c r="U32" i="18"/>
  <c r="O34" i="18"/>
  <c r="L37" i="18"/>
  <c r="L77" i="18"/>
  <c r="O78" i="18"/>
  <c r="R22" i="18"/>
  <c r="O99" i="2"/>
  <c r="F61" i="2"/>
  <c r="X14" i="2"/>
  <c r="F16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O11" i="2"/>
  <c r="L19" i="2"/>
  <c r="I17" i="2"/>
  <c r="O95" i="2"/>
  <c r="X68" i="2"/>
  <c r="X48" i="2"/>
  <c r="I37" i="2"/>
  <c r="U41" i="2"/>
  <c r="L46" i="2"/>
  <c r="X56" i="2"/>
  <c r="U67" i="2"/>
  <c r="F58" i="2"/>
  <c r="L60" i="2"/>
  <c r="L72" i="2"/>
  <c r="O61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R4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L12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 s="1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L16" i="2"/>
  <c r="F19" i="2"/>
  <c r="U28" i="2"/>
  <c r="I20" i="2"/>
  <c r="L21" i="2"/>
  <c r="O22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X20" i="2"/>
  <c r="F22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12" i="2"/>
  <c r="R20" i="2"/>
  <c r="O19" i="2"/>
  <c r="I60" i="18"/>
  <c r="I9" i="2"/>
  <c r="F45" i="2"/>
  <c r="X47" i="2"/>
  <c r="R5" i="18" l="1"/>
  <c r="O4" i="18"/>
  <c r="U5" i="2"/>
  <c r="U13" i="2"/>
  <c r="X6" i="2"/>
  <c r="CG10" i="18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CK77" i="18"/>
  <c r="AP77" i="18" s="1"/>
  <c r="CK68" i="18"/>
  <c r="AP68" i="18" s="1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/>
  <c r="F55" i="18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CK24" i="18"/>
  <c r="AP24" i="18" s="1"/>
  <c r="AB68" i="18"/>
  <c r="O29" i="18"/>
  <c r="X30" i="18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/>
  <c r="AB28" i="18" s="1"/>
  <c r="BW28" i="18"/>
  <c r="BM4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R21" i="18"/>
  <c r="BM24" i="18"/>
  <c r="BL24" i="18"/>
  <c r="L24" i="18" s="1"/>
  <c r="BH32" i="18"/>
  <c r="BM39" i="18"/>
  <c r="BL39" i="18"/>
  <c r="L39" i="18" s="1"/>
  <c r="BM43" i="18"/>
  <c r="BH18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M45" i="18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M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CB22" i="18"/>
  <c r="BR24" i="18"/>
  <c r="CG27" i="18"/>
  <c r="BQ33" i="18"/>
  <c r="O33" i="18" s="1"/>
  <c r="BV34" i="18"/>
  <c r="R34" i="18" s="1"/>
  <c r="CG49" i="18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R17" i="18"/>
  <c r="BQ17" i="18"/>
  <c r="O17" i="18" s="1"/>
  <c r="BQ24" i="18"/>
  <c r="O24" i="18" s="1"/>
  <c r="AB24" i="18" s="1"/>
  <c r="BV25" i="18"/>
  <c r="R25" i="18" s="1"/>
  <c r="CA26" i="18"/>
  <c r="U26" i="18" s="1"/>
  <c r="BM27" i="18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B48" i="18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G65" i="18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CK36" i="18" s="1"/>
  <c r="AP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W47" i="18"/>
  <c r="BV47" i="18"/>
  <c r="R47" i="18" s="1"/>
  <c r="CK47" i="18" s="1"/>
  <c r="AP47" i="18" s="1"/>
  <c r="BB54" i="18"/>
  <c r="F54" i="18" s="1"/>
  <c r="BC54" i="18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AB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M55" i="18"/>
  <c r="BM58" i="18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CK46" i="18" s="1"/>
  <c r="AP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G59" i="18"/>
  <c r="CF59" i="18"/>
  <c r="X59" i="18" s="1"/>
  <c r="BM61" i="18"/>
  <c r="CB64" i="18"/>
  <c r="BC73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AB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CK62" i="18" s="1"/>
  <c r="AP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G71" i="18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AB45" i="18" s="1"/>
  <c r="BC46" i="18"/>
  <c r="BW46" i="18"/>
  <c r="CG46" i="18"/>
  <c r="CA53" i="18"/>
  <c r="U53" i="18" s="1"/>
  <c r="BW54" i="18"/>
  <c r="BG55" i="18"/>
  <c r="I55" i="18" s="1"/>
  <c r="BV57" i="18"/>
  <c r="R57" i="18" s="1"/>
  <c r="AB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M83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 s="1"/>
  <c r="CK84" i="18" s="1"/>
  <c r="AP84" i="18" s="1"/>
  <c r="BH61" i="18"/>
  <c r="BR63" i="18"/>
  <c r="BM67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CK49" i="18" s="1"/>
  <c r="AP49" i="18" s="1"/>
  <c r="BV50" i="18"/>
  <c r="R50" i="18" s="1"/>
  <c r="AB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BW66" i="18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H93" i="18"/>
  <c r="BC94" i="18"/>
  <c r="BR95" i="18"/>
  <c r="CB97" i="18"/>
  <c r="BW98" i="18"/>
  <c r="BG53" i="18"/>
  <c r="I53" i="18" s="1"/>
  <c r="CG53" i="18"/>
  <c r="CA57" i="18"/>
  <c r="U57" i="18" s="1"/>
  <c r="BR58" i="18"/>
  <c r="BC65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CG27" i="2"/>
  <c r="BM30" i="2"/>
  <c r="BB39" i="2"/>
  <c r="F39" i="2" s="1"/>
  <c r="BG42" i="2"/>
  <c r="I42" i="2" s="1"/>
  <c r="BB44" i="2"/>
  <c r="F44" i="2" s="1"/>
  <c r="BC44" i="2"/>
  <c r="CB47" i="2"/>
  <c r="CA47" i="2"/>
  <c r="U47" i="2" s="1"/>
  <c r="BL52" i="2"/>
  <c r="L52" i="2" s="1"/>
  <c r="BG8" i="2"/>
  <c r="I8" i="2" s="1"/>
  <c r="F17" i="2"/>
  <c r="BL17" i="2"/>
  <c r="L17" i="2" s="1"/>
  <c r="BH21" i="2"/>
  <c r="BR26" i="2"/>
  <c r="BQ26" i="2"/>
  <c r="O26" i="2" s="1"/>
  <c r="CA29" i="2"/>
  <c r="U29" i="2" s="1"/>
  <c r="CG31" i="2"/>
  <c r="BB36" i="2"/>
  <c r="F36" i="2" s="1"/>
  <c r="BV40" i="2"/>
  <c r="R40" i="2" s="1"/>
  <c r="BH41" i="2"/>
  <c r="BR43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BC20" i="2"/>
  <c r="BG21" i="2"/>
  <c r="I21" i="2" s="1"/>
  <c r="BR21" i="2"/>
  <c r="CB21" i="2"/>
  <c r="BL25" i="2"/>
  <c r="L25" i="2" s="1"/>
  <c r="BG26" i="2"/>
  <c r="BV31" i="2"/>
  <c r="CF31" i="2"/>
  <c r="X31" i="2" s="1"/>
  <c r="BM33" i="2"/>
  <c r="CG33" i="2"/>
  <c r="BM37" i="2"/>
  <c r="BL37" i="2"/>
  <c r="CF41" i="2"/>
  <c r="CG41" i="2" s="1"/>
  <c r="BQ43" i="2"/>
  <c r="O43" i="2" s="1"/>
  <c r="BR46" i="2"/>
  <c r="BQ47" i="2"/>
  <c r="O47" i="2" s="1"/>
  <c r="BR47" i="2"/>
  <c r="BR49" i="2"/>
  <c r="BQ49" i="2"/>
  <c r="CF5" i="2"/>
  <c r="X5" i="2" s="1"/>
  <c r="BB15" i="2"/>
  <c r="BC15" i="2" s="1"/>
  <c r="BC17" i="2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CG26" i="2"/>
  <c r="BB28" i="2"/>
  <c r="F28" i="2" s="1"/>
  <c r="AB28" i="2" s="1"/>
  <c r="BW28" i="2"/>
  <c r="BL34" i="2"/>
  <c r="L34" i="2" s="1"/>
  <c r="CB36" i="2"/>
  <c r="CA36" i="2"/>
  <c r="U36" i="2" s="1"/>
  <c r="BL41" i="2"/>
  <c r="L41" i="2" s="1"/>
  <c r="BG47" i="2"/>
  <c r="I47" i="2" s="1"/>
  <c r="CG48" i="2"/>
  <c r="BC55" i="2"/>
  <c r="CB56" i="2"/>
  <c r="CA56" i="2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BH22" i="2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C21" i="2"/>
  <c r="BV21" i="2"/>
  <c r="R21" i="2" s="1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W50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CG19" i="2"/>
  <c r="BQ20" i="2"/>
  <c r="BR20" i="2" s="1"/>
  <c r="BR23" i="2"/>
  <c r="BV24" i="2"/>
  <c r="R24" i="2" s="1"/>
  <c r="BH25" i="2"/>
  <c r="CB28" i="2"/>
  <c r="BM29" i="2"/>
  <c r="BV32" i="2"/>
  <c r="R32" i="2" s="1"/>
  <c r="CG35" i="2"/>
  <c r="BR40" i="2"/>
  <c r="BR41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K53" i="2" s="1"/>
  <c r="AP53" i="2" s="1"/>
  <c r="CA62" i="2"/>
  <c r="CB62" i="2" s="1"/>
  <c r="BB64" i="2"/>
  <c r="F64" i="2" s="1"/>
  <c r="BH67" i="2"/>
  <c r="BC77" i="2"/>
  <c r="BC78" i="2"/>
  <c r="BB78" i="2"/>
  <c r="CA86" i="2"/>
  <c r="CB86" i="2" s="1"/>
  <c r="BG87" i="2"/>
  <c r="I87" i="2" s="1"/>
  <c r="AB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M82" i="2"/>
  <c r="BL82" i="2"/>
  <c r="L82" i="2" s="1"/>
  <c r="BH83" i="2"/>
  <c r="BG95" i="2"/>
  <c r="BH95" i="2" s="1"/>
  <c r="CG62" i="2"/>
  <c r="CF76" i="2"/>
  <c r="X76" i="2" s="1"/>
  <c r="BW55" i="2"/>
  <c r="BW58" i="2"/>
  <c r="BG59" i="2"/>
  <c r="I59" i="2" s="1"/>
  <c r="BC62" i="2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CK94" i="2" s="1"/>
  <c r="AP94" i="2" s="1"/>
  <c r="BC99" i="2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CK27" i="2" s="1"/>
  <c r="AP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B42" i="2"/>
  <c r="CA42" i="2"/>
  <c r="U42" i="2" s="1"/>
  <c r="BV50" i="2"/>
  <c r="BC52" i="2"/>
  <c r="BB55" i="2"/>
  <c r="F55" i="2" s="1"/>
  <c r="BL55" i="2"/>
  <c r="BM55" i="2" s="1"/>
  <c r="BV58" i="2"/>
  <c r="CA64" i="2"/>
  <c r="U64" i="2" s="1"/>
  <c r="BB65" i="2"/>
  <c r="BC65" i="2" s="1"/>
  <c r="BV65" i="2"/>
  <c r="R65" i="2" s="1"/>
  <c r="CF73" i="2"/>
  <c r="X73" i="2" s="1"/>
  <c r="BH74" i="2"/>
  <c r="BG74" i="2"/>
  <c r="BB75" i="2"/>
  <c r="BV76" i="2"/>
  <c r="R76" i="2" s="1"/>
  <c r="BB83" i="2"/>
  <c r="F83" i="2" s="1"/>
  <c r="BL90" i="2"/>
  <c r="L90" i="2" s="1"/>
  <c r="BV90" i="2"/>
  <c r="R90" i="2" s="1"/>
  <c r="CG97" i="2"/>
  <c r="CF97" i="2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K17" i="2" s="1"/>
  <c r="AP17" i="2" s="1"/>
  <c r="CA18" i="2"/>
  <c r="CB18" i="2" s="1"/>
  <c r="CF19" i="2"/>
  <c r="BB21" i="2"/>
  <c r="BG22" i="2"/>
  <c r="BL23" i="2"/>
  <c r="BM23" i="2" s="1"/>
  <c r="BQ24" i="2"/>
  <c r="O24" i="2" s="1"/>
  <c r="BV25" i="2"/>
  <c r="R25" i="2" s="1"/>
  <c r="CA26" i="2"/>
  <c r="CB26" i="2" s="1"/>
  <c r="CF27" i="2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L43" i="2"/>
  <c r="L43" i="2" s="1"/>
  <c r="CF44" i="2"/>
  <c r="CG44" i="2" s="1"/>
  <c r="CB46" i="2"/>
  <c r="BR48" i="2"/>
  <c r="CA48" i="2"/>
  <c r="U48" i="2" s="1"/>
  <c r="CF50" i="2"/>
  <c r="X50" i="2" s="1"/>
  <c r="CB54" i="2"/>
  <c r="BQ70" i="2"/>
  <c r="O70" i="2" s="1"/>
  <c r="BC87" i="2"/>
  <c r="CG87" i="2"/>
  <c r="CF87" i="2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C73" i="2"/>
  <c r="BB73" i="2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G100" i="2"/>
  <c r="CF100" i="2"/>
  <c r="BL47" i="2"/>
  <c r="L47" i="2" s="1"/>
  <c r="BG51" i="2"/>
  <c r="I51" i="2" s="1"/>
  <c r="CF51" i="2"/>
  <c r="X51" i="2" s="1"/>
  <c r="CF52" i="2"/>
  <c r="CG52" i="2" s="1"/>
  <c r="BC56" i="2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W82" i="2"/>
  <c r="BV82" i="2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G79" i="2"/>
  <c r="CF79" i="2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K60" i="2" s="1"/>
  <c r="AP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R97" i="2"/>
  <c r="BB99" i="2"/>
  <c r="F99" i="2" s="1"/>
  <c r="BH55" i="2"/>
  <c r="CB59" i="2"/>
  <c r="BH63" i="2"/>
  <c r="CG63" i="2"/>
  <c r="CF63" i="2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W85" i="2"/>
  <c r="BV85" i="2"/>
  <c r="CG85" i="2"/>
  <c r="BL88" i="2"/>
  <c r="BG90" i="2"/>
  <c r="BH90" i="2" s="1"/>
  <c r="BR90" i="2"/>
  <c r="CF92" i="2"/>
  <c r="X92" i="2" s="1"/>
  <c r="CB94" i="2"/>
  <c r="CA94" i="2"/>
  <c r="BQ97" i="2"/>
  <c r="BL99" i="2"/>
  <c r="BM99" i="2" s="1"/>
  <c r="BW99" i="2"/>
  <c r="BC95" i="2"/>
  <c r="CB100" i="2"/>
  <c r="I2" i="2"/>
  <c r="L15" i="2"/>
  <c r="L32" i="2"/>
  <c r="AB32" i="2" s="1"/>
  <c r="F100" i="2"/>
  <c r="F15" i="2"/>
  <c r="F20" i="2"/>
  <c r="O29" i="2"/>
  <c r="L51" i="2"/>
  <c r="U31" i="2"/>
  <c r="U6" i="2"/>
  <c r="I43" i="2"/>
  <c r="X30" i="2"/>
  <c r="U40" i="2"/>
  <c r="O81" i="2"/>
  <c r="F91" i="2"/>
  <c r="X15" i="2"/>
  <c r="CK28" i="2"/>
  <c r="AP28" i="2" s="1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L9" i="2"/>
  <c r="R22" i="2"/>
  <c r="R27" i="2"/>
  <c r="AB27" i="2" s="1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U20" i="2"/>
  <c r="F21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I22" i="2"/>
  <c r="U35" i="2"/>
  <c r="X38" i="2"/>
  <c r="L67" i="2"/>
  <c r="O86" i="2"/>
  <c r="O33" i="2"/>
  <c r="R47" i="2"/>
  <c r="I52" i="2"/>
  <c r="O60" i="2"/>
  <c r="R61" i="2"/>
  <c r="U62" i="2"/>
  <c r="AB62" i="2" s="1"/>
  <c r="F67" i="2"/>
  <c r="L91" i="2"/>
  <c r="I95" i="2"/>
  <c r="R39" i="2"/>
  <c r="I44" i="2"/>
  <c r="O76" i="2"/>
  <c r="CK76" i="2" s="1"/>
  <c r="AP76" i="2" s="1"/>
  <c r="R77" i="2"/>
  <c r="AB77" i="2" s="1"/>
  <c r="I78" i="2"/>
  <c r="R87" i="2"/>
  <c r="X41" i="2"/>
  <c r="X95" i="2"/>
  <c r="X99" i="2"/>
  <c r="X100" i="2"/>
  <c r="X36" i="2"/>
  <c r="F78" i="2"/>
  <c r="O84" i="2"/>
  <c r="L85" i="2"/>
  <c r="AB85" i="2" s="1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 s="1"/>
  <c r="L95" i="2"/>
  <c r="L83" i="2"/>
  <c r="O92" i="2"/>
  <c r="X87" i="2"/>
  <c r="F97" i="2"/>
  <c r="L40" i="2"/>
  <c r="O41" i="2"/>
  <c r="R42" i="2"/>
  <c r="CK42" i="2" s="1"/>
  <c r="AP42" i="2" s="1"/>
  <c r="U43" i="2"/>
  <c r="X44" i="2"/>
  <c r="F46" i="2"/>
  <c r="L48" i="2"/>
  <c r="O49" i="2"/>
  <c r="R50" i="2"/>
  <c r="U51" i="2"/>
  <c r="X52" i="2"/>
  <c r="F56" i="2"/>
  <c r="U56" i="2"/>
  <c r="O57" i="2"/>
  <c r="CK57" i="2" s="1"/>
  <c r="AP57" i="2" s="1"/>
  <c r="F59" i="2"/>
  <c r="L59" i="2"/>
  <c r="X60" i="2"/>
  <c r="R63" i="2"/>
  <c r="CK63" i="2" s="1"/>
  <c r="AP63" i="2" s="1"/>
  <c r="X63" i="2"/>
  <c r="O65" i="2"/>
  <c r="U72" i="2"/>
  <c r="AB72" i="2" s="1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 s="1"/>
  <c r="A2" i="12" a="1"/>
  <c r="O6" i="2" l="1"/>
  <c r="X11" i="2"/>
  <c r="BR12" i="2"/>
  <c r="BR12" i="18"/>
  <c r="BM9" i="18"/>
  <c r="I14" i="2"/>
  <c r="CK14" i="2" s="1"/>
  <c r="AP14" i="2" s="1"/>
  <c r="BC13" i="2"/>
  <c r="BI1" i="2"/>
  <c r="CB18" i="18"/>
  <c r="U15" i="2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AB11" i="2" s="1"/>
  <c r="BR15" i="2"/>
  <c r="BW8" i="2"/>
  <c r="BR14" i="2"/>
  <c r="O4" i="2"/>
  <c r="U18" i="2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CK9" i="2" s="1"/>
  <c r="AP9" i="2" s="1"/>
  <c r="BN1" i="2"/>
  <c r="L3" i="2"/>
  <c r="A2" i="12"/>
  <c r="AB8" i="2"/>
  <c r="BW6" i="2"/>
  <c r="L4" i="2"/>
  <c r="AB4" i="2" s="1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L23" i="2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AB18" i="2"/>
  <c r="CG71" i="2"/>
  <c r="BM96" i="2"/>
  <c r="BW35" i="2"/>
  <c r="BH59" i="2"/>
  <c r="I19" i="2"/>
  <c r="CK19" i="2" s="1"/>
  <c r="AP19" i="2" s="1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AB92" i="2" s="1"/>
  <c r="F38" i="2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58" i="2"/>
  <c r="AB14" i="2"/>
  <c r="AB63" i="2"/>
  <c r="BW66" i="2"/>
  <c r="CB80" i="2"/>
  <c r="BH51" i="2"/>
  <c r="CG37" i="2"/>
  <c r="BM43" i="2"/>
  <c r="CG65" i="2"/>
  <c r="BH32" i="2"/>
  <c r="BR59" i="2"/>
  <c r="O20" i="2"/>
  <c r="CK20" i="2" s="1"/>
  <c r="AP20" i="2" s="1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AB21" i="2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CK92" i="2"/>
  <c r="AP92" i="2" s="1"/>
  <c r="AB31" i="2"/>
  <c r="CK70" i="2"/>
  <c r="AP70" i="2" s="1"/>
  <c r="AB50" i="2"/>
  <c r="CK50" i="2"/>
  <c r="AP50" i="2" s="1"/>
  <c r="AB22" i="2"/>
  <c r="CK22" i="2"/>
  <c r="AP22" i="2" s="1"/>
  <c r="AB20" i="2"/>
  <c r="CK24" i="2"/>
  <c r="AP24" i="2" s="1"/>
  <c r="AB24" i="2"/>
  <c r="CK25" i="2"/>
  <c r="AP25" i="2" s="1"/>
  <c r="AB25" i="2"/>
  <c r="I79" i="2"/>
  <c r="CK67" i="2"/>
  <c r="AP67" i="2" s="1"/>
  <c r="AB67" i="2"/>
  <c r="CK11" i="2"/>
  <c r="AP11" i="2" s="1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AB15" i="2"/>
  <c r="CK15" i="2"/>
  <c r="AP15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CK18" i="2"/>
  <c r="AP18" i="2" s="1"/>
  <c r="AB29" i="2"/>
  <c r="CK29" i="2"/>
  <c r="AP29" i="2" s="1"/>
  <c r="AB9" i="2"/>
  <c r="I6" i="2"/>
  <c r="CK33" i="2"/>
  <c r="AP33" i="2" s="1"/>
  <c r="AB76" i="2"/>
  <c r="CK77" i="2"/>
  <c r="AP77" i="2" s="1"/>
  <c r="AB56" i="2"/>
  <c r="CK56" i="2"/>
  <c r="AP56" i="2" s="1"/>
  <c r="AB34" i="2"/>
  <c r="CK34" i="2"/>
  <c r="AP34" i="2" s="1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AB23" i="2"/>
  <c r="CK23" i="2"/>
  <c r="AP23" i="2" s="1"/>
  <c r="BS1" i="2"/>
  <c r="BO1" i="2"/>
  <c r="AB2" i="2"/>
  <c r="CK2" i="2"/>
  <c r="AP2" i="2" s="1"/>
  <c r="BM2" i="2"/>
  <c r="K2" i="12" l="1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Y1" i="2"/>
  <c r="W1" i="2"/>
  <c r="X1" i="2"/>
  <c r="CG1" i="2" s="1"/>
  <c r="A3" i="12" a="1"/>
  <c r="A3" i="12" l="1"/>
  <c r="T2" i="12"/>
  <c r="U2" i="12"/>
  <c r="S2" i="12"/>
  <c r="BY1" i="2"/>
  <c r="V2" i="12"/>
  <c r="G2" i="12"/>
  <c r="H2" i="12" s="1"/>
  <c r="K3" i="12"/>
  <c r="L3" i="12" s="1"/>
  <c r="E1" i="18"/>
  <c r="G1" i="18"/>
  <c r="F1" i="18"/>
  <c r="BC1" i="18" s="1"/>
  <c r="CH1" i="2"/>
  <c r="CD1" i="2"/>
  <c r="AA1" i="2"/>
  <c r="CJ1" i="2" s="1"/>
  <c r="CI1" i="2" s="1"/>
  <c r="Z1" i="2"/>
  <c r="B3" i="12"/>
  <c r="AE90" i="2" l="1"/>
  <c r="AI75" i="2"/>
  <c r="AK38" i="2"/>
  <c r="AI3" i="2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Y3" i="12" s="1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T3" i="12"/>
  <c r="D3" i="12"/>
  <c r="AQ3" i="12"/>
  <c r="AF3" i="12"/>
  <c r="C3" i="12"/>
  <c r="I3" i="12"/>
  <c r="E3" i="12"/>
  <c r="G3" i="12" s="1"/>
  <c r="AR3" i="12"/>
  <c r="AE3" i="12"/>
  <c r="J3" i="12"/>
  <c r="AG3" i="12"/>
  <c r="AH3" i="12"/>
  <c r="AS3" i="12"/>
  <c r="A4" i="12" a="1"/>
  <c r="Z3" i="12" l="1"/>
  <c r="AD3" i="12"/>
  <c r="AC3" i="12"/>
  <c r="AA3" i="12"/>
  <c r="AB3" i="12"/>
  <c r="AA2" i="12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S3" i="12"/>
  <c r="V3" i="1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T3" i="12"/>
  <c r="U3" i="12"/>
  <c r="F3" i="12"/>
  <c r="H3" i="12" s="1"/>
  <c r="A4" i="12"/>
  <c r="AI3" i="12" l="1"/>
  <c r="K4" i="12"/>
  <c r="L4" i="12" s="1"/>
  <c r="AI2" i="12"/>
  <c r="BJ1" i="18"/>
  <c r="BN1" i="18"/>
  <c r="N1" i="18"/>
  <c r="P1" i="18"/>
  <c r="O1" i="18"/>
  <c r="BR1" i="18" s="1"/>
  <c r="B4" i="12"/>
  <c r="D4" i="12" s="1"/>
  <c r="AQ4" i="12" l="1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AM5" i="12" l="1"/>
  <c r="O5" i="12" s="1"/>
  <c r="K6" i="12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9" i="12" a="1"/>
  <c r="AC8" i="12" l="1"/>
  <c r="J8" i="12"/>
  <c r="AQ8" i="12"/>
  <c r="AH8" i="12"/>
  <c r="AE8" i="12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C8" i="12"/>
  <c r="Y8" i="12"/>
  <c r="AT8" i="12"/>
  <c r="Z8" i="12"/>
  <c r="A9" i="12"/>
  <c r="B9" i="12" s="1"/>
  <c r="Q8" i="12" l="1"/>
  <c r="V8" i="12"/>
  <c r="S8" i="12"/>
  <c r="N8" i="12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H9" i="12" s="1"/>
  <c r="A10" i="12"/>
  <c r="K10" i="12" s="1"/>
  <c r="L10" i="12" s="1"/>
  <c r="Q9" i="12"/>
  <c r="N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B10" i="12" l="1"/>
  <c r="I10" i="12"/>
  <c r="AT10" i="12"/>
  <c r="J10" i="12"/>
  <c r="AG10" i="12"/>
  <c r="AD10" i="12"/>
  <c r="R10" i="12" s="1"/>
  <c r="AN10" i="12"/>
  <c r="AM10" i="12"/>
  <c r="AQ10" i="12"/>
  <c r="Z10" i="12"/>
  <c r="Y10" i="12"/>
  <c r="AH10" i="12"/>
  <c r="AA10" i="12"/>
  <c r="D10" i="12"/>
  <c r="E10" i="12"/>
  <c r="G10" i="12" s="1"/>
  <c r="AE10" i="12"/>
  <c r="AF10" i="12"/>
  <c r="AR10" i="12"/>
  <c r="C10" i="12"/>
  <c r="AS10" i="12"/>
  <c r="AO10" i="12"/>
  <c r="AL10" i="12"/>
  <c r="AC10" i="12"/>
  <c r="AK10" i="12"/>
  <c r="V10" i="12" l="1"/>
  <c r="P10" i="12"/>
  <c r="U10" i="12"/>
  <c r="O10" i="12"/>
  <c r="S10" i="12"/>
  <c r="N10" i="12"/>
  <c r="M10" i="12"/>
  <c r="T10" i="12"/>
  <c r="AI10" i="12"/>
  <c r="F10" i="12"/>
  <c r="H10" i="12" s="1"/>
  <c r="Q10" i="12"/>
  <c r="AU10" i="12"/>
  <c r="A11" i="12" a="1"/>
  <c r="W10" i="12" l="1"/>
  <c r="A11" i="12"/>
  <c r="K11" i="12" l="1"/>
  <c r="L11" i="12" s="1"/>
  <c r="B11" i="12"/>
  <c r="D11" i="12" s="1"/>
  <c r="J11" i="12" l="1"/>
  <c r="AC11" i="12"/>
  <c r="AH11" i="12"/>
  <c r="AE11" i="12"/>
  <c r="AN11" i="12"/>
  <c r="AM11" i="12"/>
  <c r="AA11" i="12"/>
  <c r="AG11" i="12"/>
  <c r="AK11" i="12"/>
  <c r="AL11" i="12"/>
  <c r="AB11" i="12"/>
  <c r="AQ11" i="12"/>
  <c r="AR11" i="12"/>
  <c r="I11" i="12"/>
  <c r="Y11" i="12"/>
  <c r="AO11" i="12"/>
  <c r="AF11" i="12"/>
  <c r="AT11" i="12"/>
  <c r="AS11" i="12"/>
  <c r="E11" i="12"/>
  <c r="F11" i="12" s="1"/>
  <c r="AP11" i="12"/>
  <c r="Z11" i="12"/>
  <c r="C11" i="12"/>
  <c r="AD11" i="12"/>
  <c r="A12" i="12" a="1"/>
  <c r="Q11" i="12" l="1"/>
  <c r="N11" i="12"/>
  <c r="R11" i="12"/>
  <c r="U11" i="12"/>
  <c r="S11" i="12"/>
  <c r="V11" i="12"/>
  <c r="M11" i="12"/>
  <c r="AU11" i="12"/>
  <c r="AI11" i="12"/>
  <c r="T11" i="12"/>
  <c r="O11" i="12"/>
  <c r="G11" i="12"/>
  <c r="H11" i="12" s="1"/>
  <c r="P11" i="12"/>
  <c r="A12" i="12"/>
  <c r="W11" i="12" l="1"/>
  <c r="B12" i="12"/>
  <c r="AE12" i="12" s="1"/>
  <c r="K12" i="12"/>
  <c r="L12" i="12" s="1"/>
  <c r="Y12" i="12" l="1"/>
  <c r="AT12" i="12"/>
  <c r="AF12" i="12"/>
  <c r="C12" i="12"/>
  <c r="J12" i="12"/>
  <c r="AL12" i="12"/>
  <c r="AP12" i="12"/>
  <c r="AB12" i="12"/>
  <c r="D12" i="12"/>
  <c r="I12" i="12"/>
  <c r="AG12" i="12"/>
  <c r="AH12" i="12"/>
  <c r="AQ12" i="12"/>
  <c r="S12" i="12" s="1"/>
  <c r="AM12" i="12"/>
  <c r="AN12" i="12"/>
  <c r="AA12" i="12"/>
  <c r="AC12" i="12"/>
  <c r="AS12" i="12"/>
  <c r="AR12" i="12"/>
  <c r="AK12" i="12"/>
  <c r="E12" i="12"/>
  <c r="AD12" i="12"/>
  <c r="Z12" i="12"/>
  <c r="AO12" i="12"/>
  <c r="A13" i="12" a="1"/>
  <c r="M12" i="12" l="1"/>
  <c r="V12" i="12"/>
  <c r="T12" i="12"/>
  <c r="N12" i="12"/>
  <c r="R12" i="12"/>
  <c r="U12" i="12"/>
  <c r="P12" i="12"/>
  <c r="O12" i="12"/>
  <c r="Q12" i="12"/>
  <c r="AU12" i="12"/>
  <c r="AI12" i="12"/>
  <c r="G12" i="12"/>
  <c r="F12" i="12"/>
  <c r="A13" i="12"/>
  <c r="W12" i="12" l="1"/>
  <c r="H12" i="12"/>
  <c r="K13" i="12"/>
  <c r="L13" i="12" s="1"/>
  <c r="B13" i="12"/>
  <c r="AO13" i="12" s="1"/>
  <c r="AS13" i="12" l="1"/>
  <c r="AB13" i="12"/>
  <c r="AG13" i="12"/>
  <c r="AM13" i="12"/>
  <c r="E13" i="12"/>
  <c r="G13" i="12" s="1"/>
  <c r="AE13" i="12"/>
  <c r="AT13" i="12"/>
  <c r="AA13" i="12"/>
  <c r="C13" i="12"/>
  <c r="Y13" i="12"/>
  <c r="AC13" i="12"/>
  <c r="Q13" i="12" s="1"/>
  <c r="AD13" i="12"/>
  <c r="AK13" i="12"/>
  <c r="D13" i="12"/>
  <c r="AH13" i="12"/>
  <c r="Z13" i="12"/>
  <c r="AQ13" i="12"/>
  <c r="AR13" i="12"/>
  <c r="I13" i="12"/>
  <c r="AN13" i="12"/>
  <c r="AP13" i="12"/>
  <c r="AL13" i="12"/>
  <c r="J13" i="12"/>
  <c r="AF13" i="12"/>
  <c r="A14" i="12" a="1"/>
  <c r="V13" i="12" l="1"/>
  <c r="S13" i="12"/>
  <c r="M13" i="12"/>
  <c r="P13" i="12"/>
  <c r="U13" i="12"/>
  <c r="T13" i="12"/>
  <c r="O13" i="12"/>
  <c r="R13" i="12"/>
  <c r="AI13" i="12"/>
  <c r="F13" i="12"/>
  <c r="H13" i="12" s="1"/>
  <c r="N13" i="12"/>
  <c r="AU13" i="12"/>
  <c r="A14" i="12"/>
  <c r="W13" i="12" l="1"/>
  <c r="B14" i="12"/>
  <c r="L14" i="12"/>
  <c r="AR14" i="12"/>
  <c r="E14" i="12"/>
  <c r="C14" i="12"/>
  <c r="AK14" i="12"/>
  <c r="Z14" i="12"/>
  <c r="AO14" i="12"/>
  <c r="AQ14" i="12"/>
  <c r="AT14" i="12"/>
  <c r="AF14" i="12"/>
  <c r="AB14" i="12"/>
  <c r="Y14" i="12"/>
  <c r="AC14" i="12"/>
  <c r="I14" i="12"/>
  <c r="AG14" i="12"/>
  <c r="AE14" i="12"/>
  <c r="K14" i="12"/>
  <c r="D14" i="12"/>
  <c r="AL14" i="12"/>
  <c r="AD14" i="12"/>
  <c r="AH14" i="12"/>
  <c r="AS14" i="12"/>
  <c r="AM14" i="12"/>
  <c r="J14" i="12"/>
  <c r="AN14" i="12"/>
  <c r="AA14" i="12"/>
  <c r="AP14" i="12"/>
  <c r="V14" i="12" l="1"/>
  <c r="P14" i="12"/>
  <c r="S14" i="12"/>
  <c r="R14" i="12"/>
  <c r="N14" i="12"/>
  <c r="T14" i="12"/>
  <c r="U14" i="12"/>
  <c r="Q14" i="12"/>
  <c r="AU14" i="12"/>
  <c r="O14" i="12"/>
  <c r="AI14" i="12"/>
  <c r="M14" i="12"/>
  <c r="G14" i="12"/>
  <c r="H14" i="12"/>
  <c r="F14" i="12"/>
  <c r="A15" i="12" a="1"/>
  <c r="W14" i="12" l="1"/>
  <c r="A15" i="12"/>
  <c r="AT15" i="12" l="1"/>
  <c r="AL15" i="12"/>
  <c r="AA15" i="12"/>
  <c r="AH15" i="12"/>
  <c r="AE15" i="12"/>
  <c r="AG15" i="12"/>
  <c r="Y15" i="12"/>
  <c r="L15" i="12"/>
  <c r="AM15" i="12"/>
  <c r="AB15" i="12"/>
  <c r="AO15" i="12"/>
  <c r="D15" i="12"/>
  <c r="K15" i="12"/>
  <c r="AS15" i="12"/>
  <c r="Z15" i="12"/>
  <c r="AR15" i="12"/>
  <c r="AQ15" i="12"/>
  <c r="E15" i="12"/>
  <c r="AC15" i="12"/>
  <c r="I15" i="12"/>
  <c r="AP15" i="12"/>
  <c r="B15" i="12"/>
  <c r="AK15" i="12"/>
  <c r="C15" i="12"/>
  <c r="AF15" i="12"/>
  <c r="AD15" i="12"/>
  <c r="J15" i="12"/>
  <c r="AN15" i="12"/>
  <c r="N15" i="12" l="1"/>
  <c r="V15" i="12"/>
  <c r="O15" i="12"/>
  <c r="U15" i="12"/>
  <c r="Q15" i="12"/>
  <c r="AU15" i="12"/>
  <c r="AI15" i="12"/>
  <c r="M15" i="12"/>
  <c r="R15" i="12"/>
  <c r="F15" i="12"/>
  <c r="G15" i="12"/>
  <c r="H15" i="12"/>
  <c r="P15" i="12"/>
  <c r="T15" i="12"/>
  <c r="S15" i="12"/>
  <c r="A16" i="12" a="1"/>
  <c r="A16" i="12" l="1"/>
  <c r="W15" i="12"/>
  <c r="Y16" i="12" l="1"/>
  <c r="AR16" i="12"/>
  <c r="AC16" i="12"/>
  <c r="AE16" i="12"/>
  <c r="AL16" i="12"/>
  <c r="J16" i="12"/>
  <c r="AF16" i="12"/>
  <c r="AM16" i="12"/>
  <c r="AD16" i="12"/>
  <c r="AK16" i="12"/>
  <c r="I16" i="12"/>
  <c r="AN16" i="12"/>
  <c r="E16" i="12"/>
  <c r="AH16" i="12"/>
  <c r="AA16" i="12"/>
  <c r="L16" i="12"/>
  <c r="Z16" i="12"/>
  <c r="AT16" i="12"/>
  <c r="B16" i="12"/>
  <c r="AG16" i="12"/>
  <c r="C16" i="12"/>
  <c r="K16" i="12"/>
  <c r="AQ16" i="12"/>
  <c r="D16" i="12"/>
  <c r="AO16" i="12"/>
  <c r="AP16" i="12"/>
  <c r="AS16" i="12"/>
  <c r="AB16" i="12"/>
  <c r="A17" i="12" a="1"/>
  <c r="T16" i="12" l="1"/>
  <c r="P16" i="12"/>
  <c r="V16" i="12"/>
  <c r="R16" i="12"/>
  <c r="S16" i="12"/>
  <c r="Q16" i="12"/>
  <c r="A17" i="12"/>
  <c r="AU16" i="12"/>
  <c r="O16" i="12"/>
  <c r="F16" i="12"/>
  <c r="H16" i="12"/>
  <c r="G16" i="12"/>
  <c r="U16" i="12"/>
  <c r="N16" i="12"/>
  <c r="AI16" i="12"/>
  <c r="M16" i="12"/>
  <c r="W16" i="12" l="1"/>
  <c r="AK17" i="12"/>
  <c r="AT17" i="12"/>
  <c r="J17" i="12"/>
  <c r="AB17" i="12"/>
  <c r="AN17" i="12"/>
  <c r="B17" i="12"/>
  <c r="Y17" i="12"/>
  <c r="AQ17" i="12"/>
  <c r="K17" i="12"/>
  <c r="AL17" i="12"/>
  <c r="AH17" i="12"/>
  <c r="AE17" i="12"/>
  <c r="L17" i="12"/>
  <c r="AG17" i="12"/>
  <c r="AM17" i="12"/>
  <c r="AR17" i="12"/>
  <c r="C17" i="12"/>
  <c r="AD17" i="12"/>
  <c r="AF17" i="12"/>
  <c r="AS17" i="12"/>
  <c r="AA17" i="12"/>
  <c r="Z17" i="12"/>
  <c r="D17" i="12"/>
  <c r="AC17" i="12"/>
  <c r="I17" i="12"/>
  <c r="AO17" i="12"/>
  <c r="E17" i="12"/>
  <c r="AP17" i="12"/>
  <c r="A18" i="12" a="1"/>
  <c r="S17" i="12" l="1"/>
  <c r="V17" i="12"/>
  <c r="T17" i="12"/>
  <c r="N17" i="12"/>
  <c r="A18" i="12"/>
  <c r="R17" i="12"/>
  <c r="M17" i="12"/>
  <c r="AI17" i="12"/>
  <c r="O17" i="12"/>
  <c r="U17" i="12"/>
  <c r="G17" i="12"/>
  <c r="F17" i="12"/>
  <c r="H17" i="12"/>
  <c r="P17" i="12"/>
  <c r="AU17" i="12"/>
  <c r="Q17" i="12"/>
  <c r="W17" i="12" l="1"/>
  <c r="C18" i="12"/>
  <c r="AL18" i="12"/>
  <c r="B18" i="12"/>
  <c r="Y18" i="12"/>
  <c r="AO18" i="12"/>
  <c r="AG18" i="12"/>
  <c r="AC18" i="12"/>
  <c r="AF18" i="12"/>
  <c r="AP18" i="12"/>
  <c r="I18" i="12"/>
  <c r="Z18" i="12"/>
  <c r="AQ18" i="12"/>
  <c r="K18" i="12"/>
  <c r="E18" i="12"/>
  <c r="AE18" i="12"/>
  <c r="AR18" i="12"/>
  <c r="T18" i="12" s="1"/>
  <c r="AN18" i="12"/>
  <c r="AK18" i="12"/>
  <c r="AS18" i="12"/>
  <c r="D18" i="12"/>
  <c r="AD18" i="12"/>
  <c r="AA18" i="12"/>
  <c r="J18" i="12"/>
  <c r="AB18" i="12"/>
  <c r="AM18" i="12"/>
  <c r="AT18" i="12"/>
  <c r="AH18" i="12"/>
  <c r="V18" i="12" s="1"/>
  <c r="L18" i="12"/>
  <c r="A19" i="12" a="1"/>
  <c r="R18" i="12" l="1"/>
  <c r="N18" i="12"/>
  <c r="S18" i="12"/>
  <c r="Q18" i="12"/>
  <c r="A19" i="12"/>
  <c r="G18" i="12"/>
  <c r="H18" i="12"/>
  <c r="F18" i="12"/>
  <c r="AI18" i="12"/>
  <c r="M18" i="12"/>
  <c r="AU18" i="12"/>
  <c r="U18" i="12"/>
  <c r="O18" i="12"/>
  <c r="P18" i="12"/>
  <c r="W18" i="12" l="1"/>
  <c r="AP19" i="12"/>
  <c r="AQ19" i="12"/>
  <c r="AF19" i="12"/>
  <c r="AT19" i="12"/>
  <c r="AK19" i="12"/>
  <c r="L19" i="12"/>
  <c r="K19" i="12"/>
  <c r="AS19" i="12"/>
  <c r="C19" i="12"/>
  <c r="D19" i="12"/>
  <c r="AA19" i="12"/>
  <c r="AH19" i="12"/>
  <c r="AL19" i="12"/>
  <c r="AO19" i="12"/>
  <c r="AD19" i="12"/>
  <c r="Z19" i="12"/>
  <c r="AB19" i="12"/>
  <c r="Y19" i="12"/>
  <c r="E19" i="12"/>
  <c r="AC19" i="12"/>
  <c r="AG19" i="12"/>
  <c r="AM19" i="12"/>
  <c r="AN19" i="12"/>
  <c r="AE19" i="12"/>
  <c r="B19" i="12"/>
  <c r="I19" i="12"/>
  <c r="J19" i="12"/>
  <c r="AR19" i="12"/>
  <c r="A20" i="12" a="1"/>
  <c r="T19" i="12" l="1"/>
  <c r="R19" i="12"/>
  <c r="S19" i="12"/>
  <c r="V19" i="12"/>
  <c r="N19" i="12"/>
  <c r="A20" i="12"/>
  <c r="U19" i="12"/>
  <c r="AU19" i="12"/>
  <c r="Q19" i="12"/>
  <c r="G19" i="12"/>
  <c r="F19" i="12"/>
  <c r="H19" i="12"/>
  <c r="O19" i="12"/>
  <c r="M19" i="12"/>
  <c r="AI19" i="12"/>
  <c r="P19" i="12"/>
  <c r="W19" i="12" l="1"/>
  <c r="AD20" i="12"/>
  <c r="AN20" i="12"/>
  <c r="L20" i="12"/>
  <c r="AH20" i="12"/>
  <c r="B20" i="12"/>
  <c r="C20" i="12"/>
  <c r="D20" i="12"/>
  <c r="AG20" i="12"/>
  <c r="AE20" i="12"/>
  <c r="AK20" i="12"/>
  <c r="J20" i="12"/>
  <c r="E20" i="12"/>
  <c r="AF20" i="12"/>
  <c r="AB20" i="12"/>
  <c r="AO20" i="12"/>
  <c r="AL20" i="12"/>
  <c r="AC20" i="12"/>
  <c r="I20" i="12"/>
  <c r="AR20" i="12"/>
  <c r="AA20" i="12"/>
  <c r="AM20" i="12"/>
  <c r="Y20" i="12"/>
  <c r="AQ20" i="12"/>
  <c r="Z20" i="12"/>
  <c r="K20" i="12"/>
  <c r="AS20" i="12"/>
  <c r="AT20" i="12"/>
  <c r="AP20" i="12"/>
  <c r="A21" i="12" a="1"/>
  <c r="R20" i="12" l="1"/>
  <c r="P20" i="12"/>
  <c r="T20" i="12"/>
  <c r="A21" i="12"/>
  <c r="O20" i="12"/>
  <c r="AU20" i="12"/>
  <c r="Q20" i="12"/>
  <c r="S20" i="12"/>
  <c r="M20" i="12"/>
  <c r="AI20" i="12"/>
  <c r="G20" i="12"/>
  <c r="F20" i="12"/>
  <c r="H20" i="12"/>
  <c r="V20" i="12"/>
  <c r="N20" i="12"/>
  <c r="U20" i="12"/>
  <c r="W20" i="12" l="1"/>
  <c r="AA21" i="12"/>
  <c r="AN21" i="12"/>
  <c r="B21" i="12"/>
  <c r="L21" i="12"/>
  <c r="AB21" i="12"/>
  <c r="AQ21" i="12"/>
  <c r="AO21" i="12"/>
  <c r="AG21" i="12"/>
  <c r="AR21" i="12"/>
  <c r="Z21" i="12"/>
  <c r="AL21" i="12"/>
  <c r="AM21" i="12"/>
  <c r="AD21" i="12"/>
  <c r="E21" i="12"/>
  <c r="AT21" i="12"/>
  <c r="AH21" i="12"/>
  <c r="C21" i="12"/>
  <c r="AE21" i="12"/>
  <c r="AP21" i="12"/>
  <c r="I21" i="12"/>
  <c r="J21" i="12"/>
  <c r="AS21" i="12"/>
  <c r="K21" i="12"/>
  <c r="AF21" i="12"/>
  <c r="D21" i="12"/>
  <c r="AK21" i="12"/>
  <c r="Y21" i="12"/>
  <c r="AC21" i="12"/>
  <c r="A22" i="12" a="1"/>
  <c r="O21" i="12" l="1"/>
  <c r="P21" i="12"/>
  <c r="T21" i="12"/>
  <c r="N21" i="12"/>
  <c r="R21" i="12"/>
  <c r="V21" i="12"/>
  <c r="U21" i="12"/>
  <c r="A22" i="12"/>
  <c r="G21" i="12"/>
  <c r="H21" i="12"/>
  <c r="F21" i="12"/>
  <c r="Q21" i="12"/>
  <c r="M21" i="12"/>
  <c r="AI21" i="12"/>
  <c r="AU21" i="12"/>
  <c r="S21" i="12"/>
  <c r="W21" i="12" l="1"/>
  <c r="E22" i="12"/>
  <c r="AO22" i="12"/>
  <c r="AC22" i="12"/>
  <c r="AK22" i="12"/>
  <c r="AP22" i="12"/>
  <c r="AD22" i="12"/>
  <c r="Z22" i="12"/>
  <c r="Y22" i="12"/>
  <c r="AE22" i="12"/>
  <c r="J22" i="12"/>
  <c r="AM22" i="12"/>
  <c r="B22" i="12"/>
  <c r="AH22" i="12"/>
  <c r="AL22" i="12"/>
  <c r="D22" i="12"/>
  <c r="AT22" i="12"/>
  <c r="AA22" i="12"/>
  <c r="AF22" i="12"/>
  <c r="AG22" i="12"/>
  <c r="I22" i="12"/>
  <c r="AN22" i="12"/>
  <c r="AR22" i="12"/>
  <c r="L22" i="12"/>
  <c r="AS22" i="12"/>
  <c r="AB22" i="12"/>
  <c r="C22" i="12"/>
  <c r="AQ22" i="12"/>
  <c r="K22" i="12"/>
  <c r="A23" i="12" a="1"/>
  <c r="O22" i="12" l="1"/>
  <c r="N22" i="12"/>
  <c r="R22" i="12"/>
  <c r="Q22" i="12"/>
  <c r="A23" i="12"/>
  <c r="U22" i="12"/>
  <c r="T22" i="12"/>
  <c r="M22" i="12"/>
  <c r="AI22" i="12"/>
  <c r="V22" i="12"/>
  <c r="AU22" i="12"/>
  <c r="P22" i="12"/>
  <c r="S22" i="12"/>
  <c r="G22" i="12"/>
  <c r="F22" i="12"/>
  <c r="H22" i="12"/>
  <c r="W22" i="12" l="1"/>
  <c r="E23" i="12"/>
  <c r="AH23" i="12"/>
  <c r="D23" i="12"/>
  <c r="AO23" i="12"/>
  <c r="AE23" i="12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AS23" i="12"/>
  <c r="AK23" i="12"/>
  <c r="Z23" i="12"/>
  <c r="AT23" i="12"/>
  <c r="AR23" i="12"/>
  <c r="AC23" i="12"/>
  <c r="AA23" i="12"/>
  <c r="L23" i="12"/>
  <c r="A24" i="12" a="1"/>
  <c r="T23" i="12" l="1"/>
  <c r="O23" i="12"/>
  <c r="U23" i="12"/>
  <c r="S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L25" i="12"/>
  <c r="AA25" i="12"/>
  <c r="AC25" i="12"/>
  <c r="AO25" i="12"/>
  <c r="Y25" i="12"/>
  <c r="I25" i="12"/>
  <c r="A26" i="12" a="1"/>
  <c r="N25" i="12" l="1"/>
  <c r="T25" i="12"/>
  <c r="P25" i="12"/>
  <c r="A26" i="12"/>
  <c r="U25" i="12"/>
  <c r="V25" i="12"/>
  <c r="R25" i="12"/>
  <c r="AI25" i="12"/>
  <c r="M25" i="12"/>
  <c r="F25" i="12"/>
  <c r="H25" i="12"/>
  <c r="G25" i="12"/>
  <c r="Q25" i="12"/>
  <c r="S25" i="12"/>
  <c r="AU25" i="12"/>
  <c r="O25" i="12"/>
  <c r="W25" i="12" l="1"/>
  <c r="AD26" i="12"/>
  <c r="AH26" i="12"/>
  <c r="AL26" i="12"/>
  <c r="B26" i="12"/>
  <c r="J26" i="12"/>
  <c r="Y26" i="12"/>
  <c r="AR26" i="12"/>
  <c r="AQ26" i="12"/>
  <c r="AE26" i="12"/>
  <c r="AB26" i="12"/>
  <c r="AG26" i="12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AO26" i="12"/>
  <c r="E26" i="12"/>
  <c r="L26" i="12"/>
  <c r="Z26" i="12"/>
  <c r="K26" i="12"/>
  <c r="A27" i="12" a="1"/>
  <c r="U26" i="12" l="1"/>
  <c r="O26" i="12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T27" i="12" s="1"/>
  <c r="AA27" i="12"/>
  <c r="AQ27" i="12"/>
  <c r="AT27" i="12"/>
  <c r="Y27" i="12"/>
  <c r="AC27" i="12"/>
  <c r="AP27" i="12"/>
  <c r="AG27" i="12"/>
  <c r="AS27" i="12"/>
  <c r="AH27" i="12"/>
  <c r="E27" i="12"/>
  <c r="AB27" i="12"/>
  <c r="AO27" i="12"/>
  <c r="A28" i="12" a="1"/>
  <c r="R27" i="12" l="1"/>
  <c r="Q27" i="12"/>
  <c r="U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A29" i="12" a="1"/>
  <c r="V28" i="12" l="1"/>
  <c r="U28" i="12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AH29" i="12"/>
  <c r="AS29" i="12"/>
  <c r="AO29" i="12"/>
  <c r="AN29" i="12"/>
  <c r="I29" i="12"/>
  <c r="AL29" i="12"/>
  <c r="AE29" i="12"/>
  <c r="AD29" i="12"/>
  <c r="C29" i="12"/>
  <c r="B29" i="12"/>
  <c r="K29" i="12"/>
  <c r="L29" i="12"/>
  <c r="AB29" i="12"/>
  <c r="AR29" i="12"/>
  <c r="AT29" i="12"/>
  <c r="A30" i="12" a="1"/>
  <c r="R29" i="12" l="1"/>
  <c r="Q29" i="12"/>
  <c r="O29" i="12"/>
  <c r="P29" i="12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Z30" i="12"/>
  <c r="AG30" i="12"/>
  <c r="D30" i="12"/>
  <c r="AQ30" i="12"/>
  <c r="AR30" i="12"/>
  <c r="J30" i="12"/>
  <c r="A31" i="12" a="1"/>
  <c r="N30" i="12" l="1"/>
  <c r="O30" i="12"/>
  <c r="T30" i="12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AA31" i="12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J31" i="12"/>
  <c r="AT31" i="12"/>
  <c r="AQ31" i="12"/>
  <c r="A32" i="12" a="1"/>
  <c r="O31" i="12" l="1"/>
  <c r="S31" i="12"/>
  <c r="U31" i="12"/>
  <c r="V31" i="12"/>
  <c r="Q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J32" i="12"/>
  <c r="AG32" i="12"/>
  <c r="Z32" i="12"/>
  <c r="AM32" i="12"/>
  <c r="L32" i="12"/>
  <c r="AO32" i="12"/>
  <c r="AP32" i="12"/>
  <c r="A33" i="12" a="1"/>
  <c r="P32" i="12" l="1"/>
  <c r="N32" i="12"/>
  <c r="U32" i="12"/>
  <c r="T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AB33" i="12"/>
  <c r="AA33" i="12"/>
  <c r="AF33" i="12"/>
  <c r="AP33" i="12"/>
  <c r="B33" i="12"/>
  <c r="AH33" i="12"/>
  <c r="AK33" i="12"/>
  <c r="AQ33" i="12"/>
  <c r="E33" i="12"/>
  <c r="D33" i="12"/>
  <c r="J33" i="12"/>
  <c r="AG33" i="12"/>
  <c r="AL33" i="12"/>
  <c r="AD33" i="12"/>
  <c r="I33" i="12"/>
  <c r="Y33" i="12"/>
  <c r="AS33" i="12"/>
  <c r="AC33" i="12"/>
  <c r="AO33" i="12"/>
  <c r="AN33" i="12"/>
  <c r="AR33" i="12"/>
  <c r="C33" i="12"/>
  <c r="L33" i="12"/>
  <c r="K33" i="12"/>
  <c r="A34" i="12" a="1"/>
  <c r="P33" i="12" l="1"/>
  <c r="N33" i="12"/>
  <c r="R33" i="12"/>
  <c r="V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Q34" i="12" l="1"/>
  <c r="O34" i="12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A36" i="12" a="1"/>
  <c r="P35" i="12" l="1"/>
  <c r="V35" i="12"/>
  <c r="O35" i="12"/>
  <c r="N35" i="12"/>
  <c r="S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AC36" i="12"/>
  <c r="AN36" i="12"/>
  <c r="J36" i="12"/>
  <c r="AA36" i="12"/>
  <c r="AB36" i="12"/>
  <c r="Y36" i="12"/>
  <c r="AH36" i="12"/>
  <c r="AS36" i="12"/>
  <c r="AL36" i="12"/>
  <c r="AF36" i="12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R36" i="12" l="1"/>
  <c r="Q36" i="12"/>
  <c r="V36" i="12"/>
  <c r="T36" i="12"/>
  <c r="AU36" i="12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AB37" i="12"/>
  <c r="AF37" i="12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S37" i="12" l="1"/>
  <c r="T37" i="12"/>
  <c r="V37" i="12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AP38" i="12"/>
  <c r="AQ38" i="12"/>
  <c r="AC38" i="12"/>
  <c r="A39" i="12" a="1"/>
  <c r="P38" i="12" l="1"/>
  <c r="S38" i="12"/>
  <c r="N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O39" i="12" l="1"/>
  <c r="AU39" i="12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AH40" i="12"/>
  <c r="L40" i="12"/>
  <c r="AB40" i="12"/>
  <c r="AC40" i="12"/>
  <c r="Q40" i="12" s="1"/>
  <c r="AM40" i="12"/>
  <c r="AK40" i="12"/>
  <c r="AT40" i="12"/>
  <c r="Y40" i="12"/>
  <c r="A41" i="12" a="1"/>
  <c r="P40" i="12" l="1"/>
  <c r="V40" i="12"/>
  <c r="O40" i="12"/>
  <c r="U40" i="12"/>
  <c r="N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I41" i="12"/>
  <c r="D41" i="12"/>
  <c r="A42" i="12" a="1"/>
  <c r="V41" i="12" l="1"/>
  <c r="N41" i="12"/>
  <c r="T41" i="12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AT42" i="12"/>
  <c r="AQ42" i="12"/>
  <c r="AD42" i="12"/>
  <c r="AP42" i="12"/>
  <c r="L42" i="12"/>
  <c r="AS42" i="12"/>
  <c r="Y42" i="12"/>
  <c r="K42" i="12"/>
  <c r="AH42" i="12"/>
  <c r="A43" i="12" a="1"/>
  <c r="Q42" i="12" l="1"/>
  <c r="U42" i="12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AG43" i="12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S43" i="12" s="1"/>
  <c r="A44" i="12" a="1"/>
  <c r="T43" i="12" l="1"/>
  <c r="U43" i="12"/>
  <c r="P43" i="12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R44" i="12" l="1"/>
  <c r="Q44" i="12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AS45" i="12"/>
  <c r="AF45" i="12"/>
  <c r="AO45" i="12"/>
  <c r="AQ45" i="12"/>
  <c r="E45" i="12"/>
  <c r="Y45" i="12"/>
  <c r="AT45" i="12"/>
  <c r="K45" i="12"/>
  <c r="AE45" i="12"/>
  <c r="AB45" i="12"/>
  <c r="J45" i="12"/>
  <c r="AK45" i="12"/>
  <c r="Z45" i="12"/>
  <c r="AR45" i="12"/>
  <c r="AM45" i="12"/>
  <c r="AP45" i="12"/>
  <c r="AG45" i="12"/>
  <c r="A46" i="12" a="1"/>
  <c r="P45" i="12" l="1"/>
  <c r="T45" i="12"/>
  <c r="U45" i="12"/>
  <c r="V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Y46" i="12"/>
  <c r="AT46" i="12"/>
  <c r="AP46" i="12"/>
  <c r="AG46" i="12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K46" i="12"/>
  <c r="AA46" i="12"/>
  <c r="AQ46" i="12"/>
  <c r="AD46" i="12"/>
  <c r="AL46" i="12"/>
  <c r="AH46" i="12"/>
  <c r="A47" i="12" a="1"/>
  <c r="P46" i="12" l="1"/>
  <c r="U46" i="12"/>
  <c r="T46" i="12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AQ47" i="12"/>
  <c r="AT47" i="12"/>
  <c r="AE47" i="12"/>
  <c r="AK47" i="12"/>
  <c r="AL47" i="12"/>
  <c r="E47" i="12"/>
  <c r="AD47" i="12"/>
  <c r="AF47" i="12"/>
  <c r="AM47" i="12"/>
  <c r="Y47" i="12"/>
  <c r="AC47" i="12"/>
  <c r="AA47" i="12"/>
  <c r="K47" i="12"/>
  <c r="AB47" i="12"/>
  <c r="J47" i="12"/>
  <c r="AP47" i="12"/>
  <c r="A48" i="12" a="1"/>
  <c r="U47" i="12" l="1"/>
  <c r="T47" i="12"/>
  <c r="N47" i="12"/>
  <c r="Q47" i="12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A49" i="12" a="1"/>
  <c r="Q48" i="12" l="1"/>
  <c r="U48" i="12"/>
  <c r="T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Y49" i="12"/>
  <c r="AG49" i="12"/>
  <c r="AT49" i="12"/>
  <c r="AS49" i="12"/>
  <c r="AK49" i="12"/>
  <c r="AH49" i="12"/>
  <c r="E49" i="12"/>
  <c r="L49" i="12"/>
  <c r="B49" i="12"/>
  <c r="AB49" i="12"/>
  <c r="AO49" i="12"/>
  <c r="I49" i="12"/>
  <c r="J49" i="12"/>
  <c r="K49" i="12"/>
  <c r="AM49" i="12"/>
  <c r="A50" i="12" a="1"/>
  <c r="N49" i="12" l="1"/>
  <c r="U49" i="12"/>
  <c r="V49" i="12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P51" i="12" l="1"/>
  <c r="U51" i="12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E52" i="12"/>
  <c r="Y52" i="12"/>
  <c r="AA52" i="12"/>
  <c r="AH52" i="12"/>
  <c r="AG52" i="12"/>
  <c r="AQ52" i="12"/>
  <c r="AL52" i="12"/>
  <c r="D52" i="12"/>
  <c r="AE52" i="12"/>
  <c r="AM52" i="12"/>
  <c r="AD52" i="12"/>
  <c r="AN52" i="12"/>
  <c r="AP52" i="12"/>
  <c r="AK52" i="12"/>
  <c r="AC52" i="12"/>
  <c r="AB52" i="12"/>
  <c r="AF52" i="12"/>
  <c r="I52" i="12"/>
  <c r="B52" i="12"/>
  <c r="AS52" i="12"/>
  <c r="K52" i="12"/>
  <c r="AO52" i="12"/>
  <c r="AR52" i="12"/>
  <c r="L52" i="12"/>
  <c r="A53" i="12" a="1"/>
  <c r="N52" i="12" l="1"/>
  <c r="P52" i="12"/>
  <c r="S52" i="12"/>
  <c r="T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V53" i="12" s="1"/>
  <c r="AC53" i="12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J53" i="12"/>
  <c r="D53" i="12"/>
  <c r="A54" i="12" a="1"/>
  <c r="Q53" i="12" l="1"/>
  <c r="O53" i="12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AR54" i="12"/>
  <c r="AO54" i="12"/>
  <c r="AP54" i="12"/>
  <c r="K54" i="12"/>
  <c r="AM54" i="12"/>
  <c r="AF54" i="12"/>
  <c r="J54" i="12"/>
  <c r="C54" i="12"/>
  <c r="AH54" i="12"/>
  <c r="A55" i="12" a="1"/>
  <c r="V54" i="12" l="1"/>
  <c r="P54" i="12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N55" i="12" s="1"/>
  <c r="K55" i="12"/>
  <c r="AD55" i="12"/>
  <c r="AR55" i="12"/>
  <c r="I55" i="12"/>
  <c r="Y55" i="12"/>
  <c r="AM55" i="12"/>
  <c r="A56" i="12" a="1"/>
  <c r="T55" i="12" l="1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A58" i="12" a="1"/>
  <c r="Q57" i="12" l="1"/>
  <c r="R57" i="12"/>
  <c r="O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AB58" i="12"/>
  <c r="AG58" i="12"/>
  <c r="L58" i="12"/>
  <c r="AP58" i="12"/>
  <c r="E58" i="12"/>
  <c r="Z58" i="12"/>
  <c r="AO58" i="12"/>
  <c r="AH58" i="12"/>
  <c r="A59" i="12" a="1"/>
  <c r="Q58" i="12" l="1"/>
  <c r="V58" i="12"/>
  <c r="U58" i="12"/>
  <c r="P58" i="12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AS59" i="12"/>
  <c r="B59" i="12"/>
  <c r="AG59" i="12"/>
  <c r="AB59" i="12"/>
  <c r="AM59" i="12"/>
  <c r="AH59" i="12"/>
  <c r="AQ59" i="12"/>
  <c r="AA59" i="12"/>
  <c r="O59" i="12" s="1"/>
  <c r="C59" i="12"/>
  <c r="AP59" i="12"/>
  <c r="AO59" i="12"/>
  <c r="AN59" i="12"/>
  <c r="AF59" i="12"/>
  <c r="L59" i="12"/>
  <c r="D59" i="12"/>
  <c r="K59" i="12"/>
  <c r="AD59" i="12"/>
  <c r="A60" i="12" a="1"/>
  <c r="S59" i="12" l="1"/>
  <c r="N59" i="12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R60" i="12" l="1"/>
  <c r="V60" i="12"/>
  <c r="P60" i="12"/>
  <c r="A61" i="12"/>
  <c r="AU60" i="12"/>
  <c r="N60" i="12"/>
  <c r="O60" i="12"/>
  <c r="AI60" i="12"/>
  <c r="M60" i="12"/>
  <c r="S60" i="12"/>
  <c r="U60" i="12"/>
  <c r="G60" i="12"/>
  <c r="H60" i="12"/>
  <c r="F60" i="12"/>
  <c r="Q60" i="12"/>
  <c r="T60" i="12"/>
  <c r="W60" i="12" l="1"/>
  <c r="AS61" i="12"/>
  <c r="C61" i="12"/>
  <c r="I61" i="12"/>
  <c r="AN61" i="12"/>
  <c r="AK61" i="12"/>
  <c r="AB61" i="12"/>
  <c r="AL61" i="12"/>
  <c r="AD61" i="12"/>
  <c r="L61" i="12"/>
  <c r="AC61" i="12"/>
  <c r="AT61" i="12"/>
  <c r="AO61" i="12"/>
  <c r="AG61" i="12"/>
  <c r="U61" i="12" s="1"/>
  <c r="AE61" i="12"/>
  <c r="AQ61" i="12"/>
  <c r="B61" i="12"/>
  <c r="K61" i="12"/>
  <c r="AA61" i="12"/>
  <c r="Z61" i="12"/>
  <c r="AR61" i="12"/>
  <c r="AF61" i="12"/>
  <c r="Y61" i="12"/>
  <c r="AP61" i="12"/>
  <c r="AM61" i="12"/>
  <c r="AH61" i="12"/>
  <c r="E61" i="12"/>
  <c r="D61" i="12"/>
  <c r="J61" i="12"/>
  <c r="A62" i="12" a="1"/>
  <c r="T61" i="12" l="1"/>
  <c r="P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AP62" i="12"/>
  <c r="AD62" i="12"/>
  <c r="AL62" i="12"/>
  <c r="AM62" i="12"/>
  <c r="AN62" i="12"/>
  <c r="J62" i="12"/>
  <c r="AO62" i="12"/>
  <c r="AG62" i="12"/>
  <c r="AT62" i="12"/>
  <c r="D62" i="12"/>
  <c r="Y62" i="12"/>
  <c r="AC62" i="12"/>
  <c r="C62" i="12"/>
  <c r="Z62" i="12"/>
  <c r="L62" i="12"/>
  <c r="K62" i="12"/>
  <c r="A63" i="12" a="1"/>
  <c r="U62" i="12" l="1"/>
  <c r="P62" i="12"/>
  <c r="R62" i="12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N63" i="12" s="1"/>
  <c r="AD63" i="12"/>
  <c r="E63" i="12"/>
  <c r="AP63" i="12"/>
  <c r="AF63" i="12"/>
  <c r="C63" i="12"/>
  <c r="J63" i="12"/>
  <c r="AG63" i="12"/>
  <c r="AA63" i="12"/>
  <c r="O63" i="12" s="1"/>
  <c r="AK63" i="12"/>
  <c r="AQ63" i="12"/>
  <c r="AT63" i="12"/>
  <c r="AB63" i="12"/>
  <c r="K63" i="12"/>
  <c r="Y63" i="12"/>
  <c r="AC63" i="12"/>
  <c r="D63" i="12"/>
  <c r="B63" i="12"/>
  <c r="AE63" i="12"/>
  <c r="I63" i="12"/>
  <c r="AR63" i="12"/>
  <c r="AH63" i="12"/>
  <c r="A64" i="12" a="1"/>
  <c r="V63" i="12" l="1"/>
  <c r="Q63" i="12"/>
  <c r="U63" i="12"/>
  <c r="S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Q64" i="12" l="1"/>
  <c r="AU64" i="12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A66" i="12" a="1"/>
  <c r="P65" i="12" l="1"/>
  <c r="R65" i="12"/>
  <c r="Q65" i="12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N66" i="12" s="1"/>
  <c r="AK66" i="12"/>
  <c r="AD66" i="12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R66" i="12" l="1"/>
  <c r="V66" i="12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Z67" i="12"/>
  <c r="AG67" i="12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A68" i="12" a="1"/>
  <c r="V67" i="12" l="1"/>
  <c r="U67" i="12"/>
  <c r="S67" i="12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AO69" i="12"/>
  <c r="AQ69" i="12"/>
  <c r="C69" i="12"/>
  <c r="Z69" i="12"/>
  <c r="I69" i="12"/>
  <c r="AF69" i="12"/>
  <c r="AP69" i="12"/>
  <c r="A70" i="12" a="1"/>
  <c r="P69" i="12" l="1"/>
  <c r="O69" i="12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AR70" i="12"/>
  <c r="I70" i="12"/>
  <c r="AN70" i="12"/>
  <c r="B70" i="12"/>
  <c r="AM70" i="12"/>
  <c r="A71" i="12" a="1"/>
  <c r="N70" i="12" l="1"/>
  <c r="T70" i="12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AL71" i="12"/>
  <c r="Y71" i="12"/>
  <c r="AK71" i="12"/>
  <c r="Z71" i="12"/>
  <c r="AB71" i="12"/>
  <c r="AQ71" i="12"/>
  <c r="I71" i="12"/>
  <c r="A72" i="12" a="1"/>
  <c r="S71" i="12" l="1"/>
  <c r="A72" i="12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AN73" i="12"/>
  <c r="AH73" i="12"/>
  <c r="AE73" i="12"/>
  <c r="AG73" i="12"/>
  <c r="AS73" i="12"/>
  <c r="AC73" i="12"/>
  <c r="AM73" i="12"/>
  <c r="AL73" i="12"/>
  <c r="A74" i="12" a="1"/>
  <c r="V73" i="12" l="1"/>
  <c r="O73" i="12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AC74" i="12"/>
  <c r="J74" i="12"/>
  <c r="Z74" i="12"/>
  <c r="AN74" i="12"/>
  <c r="AD74" i="12"/>
  <c r="AE74" i="12"/>
  <c r="AL74" i="12"/>
  <c r="K74" i="12"/>
  <c r="L74" i="12"/>
  <c r="AP74" i="12"/>
  <c r="E74" i="12"/>
  <c r="AH74" i="12"/>
  <c r="D74" i="12"/>
  <c r="AT74" i="12"/>
  <c r="A75" i="12" a="1"/>
  <c r="S74" i="12" l="1"/>
  <c r="P74" i="12"/>
  <c r="R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AF75" i="12"/>
  <c r="AD75" i="12"/>
  <c r="C75" i="12"/>
  <c r="AO75" i="12"/>
  <c r="AP75" i="12"/>
  <c r="Z75" i="12"/>
  <c r="B75" i="12"/>
  <c r="AK75" i="12"/>
  <c r="E75" i="12"/>
  <c r="AM75" i="12"/>
  <c r="K75" i="12"/>
  <c r="D75" i="12"/>
  <c r="AG75" i="12"/>
  <c r="J75" i="12"/>
  <c r="AE75" i="12"/>
  <c r="AN75" i="12"/>
  <c r="AH75" i="12"/>
  <c r="AQ75" i="12"/>
  <c r="Y75" i="12"/>
  <c r="I75" i="12"/>
  <c r="L75" i="12"/>
  <c r="AA75" i="12"/>
  <c r="W74" i="12"/>
  <c r="A76" i="12" a="1"/>
  <c r="N75" i="12" l="1"/>
  <c r="V75" i="12"/>
  <c r="Q75" i="12"/>
  <c r="R75" i="12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AE76" i="12"/>
  <c r="Y76" i="12"/>
  <c r="K76" i="12"/>
  <c r="AR76" i="12"/>
  <c r="AF76" i="12"/>
  <c r="Z76" i="12"/>
  <c r="A77" i="12" a="1"/>
  <c r="T76" i="12" l="1"/>
  <c r="V76" i="12"/>
  <c r="N76" i="12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AR77" i="12"/>
  <c r="AC77" i="12"/>
  <c r="AK77" i="12"/>
  <c r="L77" i="12"/>
  <c r="K77" i="12"/>
  <c r="AP77" i="12"/>
  <c r="C77" i="12"/>
  <c r="AN77" i="12"/>
  <c r="AL77" i="12"/>
  <c r="AG77" i="12"/>
  <c r="E77" i="12"/>
  <c r="D77" i="12"/>
  <c r="AF77" i="12"/>
  <c r="AO77" i="12"/>
  <c r="B77" i="12"/>
  <c r="A78" i="12" a="1"/>
  <c r="U77" i="12" l="1"/>
  <c r="R77" i="12"/>
  <c r="Q77" i="12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T79" i="12" l="1"/>
  <c r="Q79" i="12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E80" i="12"/>
  <c r="AD80" i="12"/>
  <c r="AC80" i="12"/>
  <c r="AR80" i="12"/>
  <c r="Z80" i="12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A81" i="12" a="1"/>
  <c r="N80" i="12" l="1"/>
  <c r="P80" i="12"/>
  <c r="O80" i="12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A82" i="12" a="1"/>
  <c r="S81" i="12" l="1"/>
  <c r="Q81" i="12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AM82" i="12"/>
  <c r="A83" i="12" a="1"/>
  <c r="T82" i="12" l="1"/>
  <c r="O82" i="12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D84" i="12"/>
  <c r="AD84" i="12"/>
  <c r="J84" i="12"/>
  <c r="AG84" i="12"/>
  <c r="AK84" i="12"/>
  <c r="L84" i="12"/>
  <c r="AC84" i="12"/>
  <c r="C84" i="12"/>
  <c r="E84" i="12"/>
  <c r="A85" i="12" a="1"/>
  <c r="P84" i="12" l="1"/>
  <c r="Q84" i="12"/>
  <c r="T84" i="12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N85" i="12" l="1"/>
  <c r="AU85" i="12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J86" i="12"/>
  <c r="AO86" i="12"/>
  <c r="Z86" i="12"/>
  <c r="E86" i="12"/>
  <c r="D86" i="12"/>
  <c r="AT86" i="12"/>
  <c r="AD86" i="12"/>
  <c r="AE86" i="12"/>
  <c r="AM86" i="12"/>
  <c r="Y86" i="12"/>
  <c r="AK86" i="12"/>
  <c r="C86" i="12"/>
  <c r="AS86" i="12"/>
  <c r="AR86" i="12"/>
  <c r="AG86" i="12"/>
  <c r="AL86" i="12"/>
  <c r="AF86" i="12"/>
  <c r="AP86" i="12"/>
  <c r="K86" i="12"/>
  <c r="AQ86" i="12"/>
  <c r="B86" i="12"/>
  <c r="L86" i="12"/>
  <c r="AH86" i="12"/>
  <c r="I86" i="12"/>
  <c r="AA86" i="12"/>
  <c r="A87" i="12" a="1"/>
  <c r="T86" i="12" l="1"/>
  <c r="P86" i="12"/>
  <c r="AU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AC87" i="12"/>
  <c r="Y87" i="12"/>
  <c r="AS87" i="12"/>
  <c r="AM87" i="12"/>
  <c r="AF87" i="12"/>
  <c r="AO87" i="12"/>
  <c r="AD87" i="12"/>
  <c r="C87" i="12"/>
  <c r="A88" i="12" a="1"/>
  <c r="Q87" i="12" l="1"/>
  <c r="N87" i="12"/>
  <c r="S87" i="12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P88" i="12" s="1"/>
  <c r="D88" i="12"/>
  <c r="Z88" i="12"/>
  <c r="N88" i="12" s="1"/>
  <c r="AA88" i="12"/>
  <c r="AE88" i="12"/>
  <c r="AR88" i="12"/>
  <c r="A89" i="12" a="1"/>
  <c r="O88" i="12" l="1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C89" i="12"/>
  <c r="AL89" i="12"/>
  <c r="AK89" i="12"/>
  <c r="AR89" i="12"/>
  <c r="AP89" i="12"/>
  <c r="AH89" i="12"/>
  <c r="AT89" i="12"/>
  <c r="D89" i="12"/>
  <c r="AD89" i="12"/>
  <c r="Y89" i="12"/>
  <c r="AO89" i="12"/>
  <c r="E89" i="12"/>
  <c r="J89" i="12"/>
  <c r="AN89" i="12"/>
  <c r="L89" i="12"/>
  <c r="Z89" i="12"/>
  <c r="B89" i="12"/>
  <c r="AA89" i="12"/>
  <c r="AS89" i="12"/>
  <c r="AE89" i="12"/>
  <c r="K89" i="12"/>
  <c r="AC89" i="12"/>
  <c r="AM89" i="12"/>
  <c r="A90" i="12" a="1"/>
  <c r="T89" i="12" l="1"/>
  <c r="S89" i="12"/>
  <c r="R89" i="12"/>
  <c r="P89" i="12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AT90" i="12"/>
  <c r="AL90" i="12"/>
  <c r="I90" i="12"/>
  <c r="Z90" i="12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N90" i="12" l="1"/>
  <c r="U90" i="12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Q91" i="12" l="1"/>
  <c r="T91" i="12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O93" i="12" l="1"/>
  <c r="Q93" i="12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V94" i="12" s="1"/>
  <c r="AD94" i="12"/>
  <c r="A95" i="12" a="1"/>
  <c r="U94" i="12" l="1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I95" i="12"/>
  <c r="AE95" i="12"/>
  <c r="AG95" i="12"/>
  <c r="AF95" i="12"/>
  <c r="D95" i="12"/>
  <c r="AA95" i="12"/>
  <c r="AP95" i="12"/>
  <c r="A96" i="12" a="1"/>
  <c r="O95" i="12" l="1"/>
  <c r="P95" i="12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AS96" i="12"/>
  <c r="Y96" i="12"/>
  <c r="AT96" i="12"/>
  <c r="AM96" i="12"/>
  <c r="Z96" i="12"/>
  <c r="J96" i="12"/>
  <c r="AQ96" i="12"/>
  <c r="AR96" i="12"/>
  <c r="K96" i="12"/>
  <c r="A97" i="12" a="1"/>
  <c r="P96" i="12" l="1"/>
  <c r="Q96" i="12"/>
  <c r="R96" i="12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AC97" i="12"/>
  <c r="AT97" i="12"/>
  <c r="AS97" i="12"/>
  <c r="AD97" i="12"/>
  <c r="J97" i="12"/>
  <c r="A98" i="12" a="1"/>
  <c r="V97" i="12" l="1"/>
  <c r="U97" i="12"/>
  <c r="N97" i="12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AD98" i="12"/>
  <c r="AG98" i="12"/>
  <c r="A99" i="12" a="1"/>
  <c r="O98" i="12" l="1"/>
  <c r="Q98" i="12"/>
  <c r="T98" i="12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U99" i="12" l="1"/>
  <c r="S99" i="12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E100" i="12"/>
  <c r="AP100" i="12"/>
  <c r="B100" i="12"/>
  <c r="AL100" i="12"/>
  <c r="AK100" i="12"/>
  <c r="AQ100" i="12"/>
  <c r="AO100" i="12"/>
  <c r="AC100" i="12"/>
  <c r="AS100" i="12"/>
  <c r="J100" i="12"/>
  <c r="Z100" i="12"/>
  <c r="AT100" i="12"/>
  <c r="AB100" i="12"/>
  <c r="D100" i="12"/>
  <c r="K100" i="12"/>
  <c r="A101" i="12" a="1"/>
  <c r="O100" i="12" l="1"/>
  <c r="Q100" i="12"/>
  <c r="N100" i="12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D101" i="12"/>
  <c r="C101" i="12"/>
  <c r="E101" i="12"/>
  <c r="AR101" i="12"/>
  <c r="AF101" i="12"/>
  <c r="AB101" i="12"/>
  <c r="K101" i="12"/>
  <c r="Y101" i="12"/>
  <c r="AL101" i="12"/>
  <c r="AH101" i="12"/>
  <c r="AD101" i="12"/>
  <c r="R101" i="12" s="1"/>
  <c r="AA101" i="12"/>
  <c r="Z101" i="12"/>
  <c r="J101" i="12"/>
  <c r="AN101" i="12"/>
  <c r="A102" i="12" a="1"/>
  <c r="V101" i="12" l="1"/>
  <c r="U101" i="12"/>
  <c r="T101" i="12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AN102" i="12"/>
  <c r="AR102" i="12"/>
  <c r="AS102" i="12"/>
  <c r="AQ102" i="12"/>
  <c r="AA102" i="12"/>
  <c r="AK102" i="12"/>
  <c r="D102" i="12"/>
  <c r="I102" i="12"/>
  <c r="L102" i="12"/>
  <c r="AD102" i="12"/>
  <c r="R102" i="12" s="1"/>
  <c r="AP102" i="12"/>
  <c r="J102" i="12"/>
  <c r="C102" i="12"/>
  <c r="AO102" i="12"/>
  <c r="K102" i="12"/>
  <c r="A103" i="12" a="1"/>
  <c r="N102" i="12" l="1"/>
  <c r="U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AB103" i="12"/>
  <c r="P103" i="12" s="1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N103" i="12" l="1"/>
  <c r="T103" i="12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I104" i="12"/>
  <c r="A105" i="12" a="1"/>
  <c r="P104" i="12" l="1"/>
  <c r="N104" i="12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Q105" i="12" s="1"/>
  <c r="AK105" i="12"/>
  <c r="AB105" i="12"/>
  <c r="AH105" i="12"/>
  <c r="AA105" i="12"/>
  <c r="AQ105" i="12"/>
  <c r="AD105" i="12"/>
  <c r="K105" i="12"/>
  <c r="AP105" i="12"/>
  <c r="AE105" i="12"/>
  <c r="S105" i="12" s="1"/>
  <c r="L105" i="12"/>
  <c r="AR105" i="12"/>
  <c r="AL105" i="12"/>
  <c r="AS105" i="12"/>
  <c r="AN105" i="12"/>
  <c r="AT105" i="12"/>
  <c r="AF105" i="12"/>
  <c r="Z105" i="12"/>
  <c r="N105" i="12" s="1"/>
  <c r="Y105" i="12"/>
  <c r="D105" i="12"/>
  <c r="C105" i="12"/>
  <c r="AM105" i="12"/>
  <c r="B105" i="12"/>
  <c r="E105" i="12"/>
  <c r="AG105" i="12"/>
  <c r="A106" i="12" a="1"/>
  <c r="U105" i="12" l="1"/>
  <c r="P105" i="12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AF106" i="12"/>
  <c r="AB106" i="12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P106" i="12" l="1"/>
  <c r="T106" i="12"/>
  <c r="R106" i="12"/>
  <c r="N106" i="12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I107" i="12"/>
  <c r="A108" i="12" a="1"/>
  <c r="N107" i="12" l="1"/>
  <c r="S107" i="12"/>
  <c r="O107" i="12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AB108" i="12"/>
  <c r="AP108" i="12"/>
  <c r="AC108" i="12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A109" i="12" a="1"/>
  <c r="O108" i="12" l="1"/>
  <c r="U108" i="12"/>
  <c r="Q108" i="12"/>
  <c r="P108" i="12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AF109" i="12"/>
  <c r="A110" i="12" a="1"/>
  <c r="N109" i="12" l="1"/>
  <c r="Q109" i="12"/>
  <c r="T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AE110" i="12"/>
  <c r="E110" i="12"/>
  <c r="AP110" i="12"/>
  <c r="B110" i="12"/>
  <c r="AS110" i="12"/>
  <c r="C110" i="12"/>
  <c r="AA110" i="12"/>
  <c r="AB110" i="12"/>
  <c r="AQ110" i="12"/>
  <c r="AN110" i="12"/>
  <c r="D110" i="12"/>
  <c r="AF110" i="12"/>
  <c r="AH110" i="12"/>
  <c r="I110" i="12"/>
  <c r="AK110" i="12"/>
  <c r="AT110" i="12"/>
  <c r="AD110" i="12"/>
  <c r="Y110" i="12"/>
  <c r="J110" i="12"/>
  <c r="AC110" i="12"/>
  <c r="L110" i="12"/>
  <c r="AR110" i="12"/>
  <c r="A111" i="12" a="1"/>
  <c r="N110" i="12" l="1"/>
  <c r="R110" i="12"/>
  <c r="P110" i="12"/>
  <c r="O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E111" i="12"/>
  <c r="L111" i="12"/>
  <c r="AT111" i="12"/>
  <c r="C111" i="12"/>
  <c r="AE111" i="12"/>
  <c r="A112" i="12" a="1"/>
  <c r="S111" i="12" l="1"/>
  <c r="U111" i="12"/>
  <c r="V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K113" i="12"/>
  <c r="E113" i="12"/>
  <c r="AF113" i="12"/>
  <c r="D113" i="12"/>
  <c r="C113" i="12"/>
  <c r="AA113" i="12"/>
  <c r="AT113" i="12"/>
  <c r="AO113" i="12"/>
  <c r="A114" i="12" a="1"/>
  <c r="P113" i="12" l="1"/>
  <c r="T113" i="12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O114" i="12" l="1"/>
  <c r="P114" i="12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Y115" i="12"/>
  <c r="AC115" i="12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AG115" i="12"/>
  <c r="A116" i="12" a="1"/>
  <c r="S115" i="12" l="1"/>
  <c r="Q115" i="12"/>
  <c r="R115" i="12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N116" i="12" s="1"/>
  <c r="D116" i="12"/>
  <c r="B116" i="12"/>
  <c r="AE116" i="12"/>
  <c r="AH116" i="12"/>
  <c r="J116" i="12"/>
  <c r="E116" i="12"/>
  <c r="AS116" i="12"/>
  <c r="AC116" i="12"/>
  <c r="A117" i="12" a="1"/>
  <c r="T116" i="12" l="1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Q117" i="12" s="1"/>
  <c r="AG117" i="12"/>
  <c r="AR117" i="12"/>
  <c r="E117" i="12"/>
  <c r="B117" i="12"/>
  <c r="AF117" i="12"/>
  <c r="AM117" i="12"/>
  <c r="Y117" i="12"/>
  <c r="AQ117" i="12"/>
  <c r="L117" i="12"/>
  <c r="AK117" i="12"/>
  <c r="Z117" i="12"/>
  <c r="AT117" i="12"/>
  <c r="AA117" i="12"/>
  <c r="C117" i="12"/>
  <c r="J117" i="12"/>
  <c r="AS117" i="12"/>
  <c r="D117" i="12"/>
  <c r="AP117" i="12"/>
  <c r="AN117" i="12"/>
  <c r="AH117" i="12"/>
  <c r="AO117" i="12"/>
  <c r="I117" i="12"/>
  <c r="AB117" i="12"/>
  <c r="AE117" i="12"/>
  <c r="A118" i="12" a="1"/>
  <c r="V117" i="12" l="1"/>
  <c r="N117" i="12"/>
  <c r="S117" i="12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L118" i="12"/>
  <c r="AF118" i="12"/>
  <c r="AC118" i="12"/>
  <c r="AL118" i="12"/>
  <c r="B118" i="12"/>
  <c r="AD118" i="12"/>
  <c r="AT118" i="12"/>
  <c r="Y118" i="12"/>
  <c r="AM118" i="12"/>
  <c r="I118" i="12"/>
  <c r="AB118" i="12"/>
  <c r="AP118" i="12"/>
  <c r="AG118" i="12"/>
  <c r="C118" i="12"/>
  <c r="AR118" i="12"/>
  <c r="A119" i="12" a="1"/>
  <c r="R118" i="12" l="1"/>
  <c r="S118" i="12"/>
  <c r="P118" i="12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AH119" i="12"/>
  <c r="AR119" i="12"/>
  <c r="AM119" i="12"/>
  <c r="AT119" i="12"/>
  <c r="AQ119" i="12"/>
  <c r="Y119" i="12"/>
  <c r="AE119" i="12"/>
  <c r="S119" i="12" s="1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N119" i="12" l="1"/>
  <c r="V119" i="12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AE120" i="12"/>
  <c r="J120" i="12"/>
  <c r="AL120" i="12"/>
  <c r="AC120" i="12"/>
  <c r="AS120" i="12"/>
  <c r="K120" i="12"/>
  <c r="Z120" i="12"/>
  <c r="AH120" i="12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V120" i="12" l="1"/>
  <c r="U120" i="12"/>
  <c r="T120" i="12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N121" i="12" l="1"/>
  <c r="Q121" i="12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AR122" i="12"/>
  <c r="AC122" i="12"/>
  <c r="AG122" i="12"/>
  <c r="AT122" i="12"/>
  <c r="AH122" i="12"/>
  <c r="J122" i="12"/>
  <c r="AS122" i="12"/>
  <c r="A123" i="12" a="1"/>
  <c r="O122" i="12" l="1"/>
  <c r="Q122" i="12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AA123" i="12"/>
  <c r="AL123" i="12"/>
  <c r="AP123" i="12"/>
  <c r="AE123" i="12"/>
  <c r="AG123" i="12"/>
  <c r="Y123" i="12"/>
  <c r="AF123" i="12"/>
  <c r="I123" i="12"/>
  <c r="J123" i="12"/>
  <c r="L123" i="12"/>
  <c r="AB123" i="12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V123" i="12" l="1"/>
  <c r="P123" i="12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AE124" i="12"/>
  <c r="L124" i="12"/>
  <c r="AL124" i="12"/>
  <c r="AG124" i="12"/>
  <c r="AN124" i="12"/>
  <c r="A125" i="12" a="1"/>
  <c r="R124" i="12" l="1"/>
  <c r="S124" i="12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AG126" i="12"/>
  <c r="AF126" i="12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D126" i="12"/>
  <c r="A127" i="12" a="1"/>
  <c r="T126" i="12" l="1"/>
  <c r="N126" i="12"/>
  <c r="U126" i="12"/>
  <c r="R126" i="12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AO127" i="12"/>
  <c r="AD127" i="12"/>
  <c r="AL127" i="12"/>
  <c r="AF127" i="12"/>
  <c r="AQ127" i="12"/>
  <c r="AE127" i="12"/>
  <c r="AR127" i="12"/>
  <c r="B127" i="12"/>
  <c r="A128" i="12" a="1"/>
  <c r="R127" i="12" l="1"/>
  <c r="U127" i="12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P128" i="12" l="1"/>
  <c r="O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S129" i="12" s="1"/>
  <c r="AH129" i="12"/>
  <c r="AB129" i="12"/>
  <c r="AF129" i="12"/>
  <c r="AL129" i="12"/>
  <c r="AA129" i="12"/>
  <c r="B129" i="12"/>
  <c r="AN129" i="12"/>
  <c r="L129" i="12"/>
  <c r="AS129" i="12"/>
  <c r="Y129" i="12"/>
  <c r="A130" i="12" a="1"/>
  <c r="P129" i="12" l="1"/>
  <c r="T129" i="12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D131" i="12"/>
  <c r="AQ131" i="12"/>
  <c r="Y131" i="12"/>
  <c r="E131" i="12"/>
  <c r="I131" i="12"/>
  <c r="C131" i="12"/>
  <c r="AF131" i="12"/>
  <c r="AE131" i="12"/>
  <c r="A132" i="12" a="1"/>
  <c r="U131" i="12" l="1"/>
  <c r="P131" i="12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AD133" i="12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AG133" i="12"/>
  <c r="AM133" i="12"/>
  <c r="AH133" i="12"/>
  <c r="L133" i="12"/>
  <c r="AP133" i="12"/>
  <c r="AN133" i="12"/>
  <c r="AF133" i="12"/>
  <c r="AS133" i="12"/>
  <c r="A134" i="12" a="1"/>
  <c r="R133" i="12" l="1"/>
  <c r="P133" i="12"/>
  <c r="N133" i="12"/>
  <c r="V133" i="12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AB134" i="12"/>
  <c r="AL134" i="12"/>
  <c r="AS134" i="12"/>
  <c r="L134" i="12"/>
  <c r="E134" i="12"/>
  <c r="AK134" i="12"/>
  <c r="AN134" i="12"/>
  <c r="I134" i="12"/>
  <c r="Z134" i="12"/>
  <c r="D134" i="12"/>
  <c r="AH134" i="12"/>
  <c r="J134" i="12"/>
  <c r="B134" i="12"/>
  <c r="AO134" i="12"/>
  <c r="AP134" i="12"/>
  <c r="AM134" i="12"/>
  <c r="AG134" i="12"/>
  <c r="A135" i="12" a="1"/>
  <c r="V134" i="12" l="1"/>
  <c r="S134" i="12"/>
  <c r="P134" i="12"/>
  <c r="R134" i="12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S135" i="12" s="1"/>
  <c r="C135" i="12"/>
  <c r="AC135" i="12"/>
  <c r="Y135" i="12"/>
  <c r="AF135" i="12"/>
  <c r="T135" i="12" s="1"/>
  <c r="Z135" i="12"/>
  <c r="L135" i="12"/>
  <c r="AM135" i="12"/>
  <c r="E135" i="12"/>
  <c r="AG135" i="12"/>
  <c r="A136" i="12" a="1"/>
  <c r="U135" i="12" l="1"/>
  <c r="P135" i="12"/>
  <c r="O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P136" i="12" l="1"/>
  <c r="T136" i="12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I137" i="12"/>
  <c r="C137" i="12"/>
  <c r="AT137" i="12"/>
  <c r="A138" i="12" a="1"/>
  <c r="O137" i="12" l="1"/>
  <c r="R137" i="12"/>
  <c r="P137" i="12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S138" i="12" s="1"/>
  <c r="AF138" i="12"/>
  <c r="AO138" i="12"/>
  <c r="AG138" i="12"/>
  <c r="AA138" i="12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O138" i="12" l="1"/>
  <c r="AU138" i="12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K139" i="12"/>
  <c r="AD139" i="12"/>
  <c r="Y139" i="12"/>
  <c r="AB139" i="12"/>
  <c r="I139" i="12"/>
  <c r="A140" i="12" a="1"/>
  <c r="O139" i="12" l="1"/>
  <c r="Q139" i="12"/>
  <c r="U139" i="12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K140" i="12"/>
  <c r="AB140" i="12"/>
  <c r="D140" i="12"/>
  <c r="Z140" i="12"/>
  <c r="AF140" i="12"/>
  <c r="AK140" i="12"/>
  <c r="A141" i="12" a="1"/>
  <c r="Q140" i="12" l="1"/>
  <c r="V140" i="12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K141" i="12"/>
  <c r="L141" i="12"/>
  <c r="AR141" i="12"/>
  <c r="AH141" i="12"/>
  <c r="J141" i="12"/>
  <c r="AO141" i="12"/>
  <c r="AT141" i="12"/>
  <c r="AE141" i="12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S141" i="12" l="1"/>
  <c r="Q141" i="12"/>
  <c r="P141" i="12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AK142" i="12"/>
  <c r="AQ142" i="12"/>
  <c r="AM142" i="12"/>
  <c r="E142" i="12"/>
  <c r="AF142" i="12"/>
  <c r="I142" i="12"/>
  <c r="AN142" i="12"/>
  <c r="Y142" i="12"/>
  <c r="AG142" i="12"/>
  <c r="A143" i="12" a="1"/>
  <c r="N142" i="12" l="1"/>
  <c r="V142" i="12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O144" i="12" l="1"/>
  <c r="N144" i="12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AQ145" i="12"/>
  <c r="AG145" i="12"/>
  <c r="L145" i="12"/>
  <c r="K145" i="12"/>
  <c r="AK145" i="12"/>
  <c r="I145" i="12"/>
  <c r="AF145" i="12"/>
  <c r="Y145" i="12"/>
  <c r="AA145" i="12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AD145" i="12"/>
  <c r="A146" i="12" a="1"/>
  <c r="P145" i="12" l="1"/>
  <c r="T145" i="12"/>
  <c r="Q145" i="12"/>
  <c r="O145" i="12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AG146" i="12"/>
  <c r="AB146" i="12"/>
  <c r="J146" i="12"/>
  <c r="AE146" i="12"/>
  <c r="AA146" i="12"/>
  <c r="AN146" i="12"/>
  <c r="AL146" i="12"/>
  <c r="AC146" i="12"/>
  <c r="L146" i="12"/>
  <c r="AD146" i="12"/>
  <c r="AH146" i="12"/>
  <c r="AT146" i="12"/>
  <c r="AQ146" i="12"/>
  <c r="AR146" i="12"/>
  <c r="B146" i="12"/>
  <c r="A147" i="12" a="1"/>
  <c r="R146" i="12" l="1"/>
  <c r="U146" i="12"/>
  <c r="Q146" i="12"/>
  <c r="N146" i="12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A148" i="12" a="1"/>
  <c r="N147" i="12" l="1"/>
  <c r="P147" i="12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R148" i="12" l="1"/>
  <c r="T148" i="12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O149" i="12" s="1"/>
  <c r="AG149" i="12"/>
  <c r="AB149" i="12"/>
  <c r="J149" i="12"/>
  <c r="K149" i="12"/>
  <c r="AR149" i="12"/>
  <c r="AK149" i="12"/>
  <c r="AS149" i="12"/>
  <c r="D149" i="12"/>
  <c r="AC149" i="12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Q149" i="12" l="1"/>
  <c r="U149" i="12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O150" i="12" l="1"/>
  <c r="R150" i="12"/>
  <c r="V150" i="12"/>
  <c r="S150" i="12"/>
  <c r="Q150" i="12"/>
  <c r="A151" i="12"/>
  <c r="AU150" i="12"/>
  <c r="P150" i="12"/>
  <c r="AI150" i="12"/>
  <c r="M150" i="12"/>
  <c r="G150" i="12"/>
  <c r="H150" i="12"/>
  <c r="F150" i="12"/>
  <c r="U150" i="12"/>
  <c r="N150" i="12"/>
  <c r="T150" i="12"/>
  <c r="W150" i="12" l="1"/>
  <c r="AP151" i="12"/>
  <c r="Y151" i="12"/>
  <c r="AF151" i="12"/>
  <c r="C151" i="12"/>
  <c r="AQ151" i="12"/>
  <c r="E151" i="12"/>
  <c r="AD151" i="12"/>
  <c r="AB151" i="12"/>
  <c r="AR151" i="12"/>
  <c r="K151" i="12"/>
  <c r="AC151" i="12"/>
  <c r="AS151" i="12"/>
  <c r="AO151" i="12"/>
  <c r="Z151" i="12"/>
  <c r="B151" i="12"/>
  <c r="AH151" i="12"/>
  <c r="AM151" i="12"/>
  <c r="AN151" i="12"/>
  <c r="AE151" i="12"/>
  <c r="AL151" i="12"/>
  <c r="J151" i="12"/>
  <c r="AA151" i="12"/>
  <c r="AK151" i="12"/>
  <c r="AG151" i="12"/>
  <c r="I151" i="12"/>
  <c r="L151" i="12"/>
  <c r="AT151" i="12"/>
  <c r="D151" i="12"/>
  <c r="A152" i="12" a="1"/>
  <c r="T151" i="12" l="1"/>
  <c r="O151" i="12"/>
  <c r="R151" i="12"/>
  <c r="N151" i="12"/>
  <c r="P151" i="12"/>
  <c r="AU151" i="12"/>
  <c r="U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AE152" i="12"/>
  <c r="S152" i="12" s="1"/>
  <c r="D152" i="12"/>
  <c r="AT152" i="12"/>
  <c r="AQ152" i="12"/>
  <c r="K152" i="12"/>
  <c r="B152" i="12"/>
  <c r="Z152" i="12"/>
  <c r="AM152" i="12"/>
  <c r="AG152" i="12"/>
  <c r="L152" i="12"/>
  <c r="AR152" i="12"/>
  <c r="AL152" i="12"/>
  <c r="AS152" i="12"/>
  <c r="AO152" i="12"/>
  <c r="Y152" i="12"/>
  <c r="A153" i="12" a="1"/>
  <c r="U152" i="12" l="1"/>
  <c r="Q152" i="12"/>
  <c r="N152" i="12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AE153" i="12"/>
  <c r="K153" i="12"/>
  <c r="B153" i="12"/>
  <c r="AR153" i="12"/>
  <c r="AT153" i="12"/>
  <c r="AN153" i="12"/>
  <c r="AA153" i="12"/>
  <c r="Z153" i="12"/>
  <c r="N153" i="12" s="1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T153" i="12" l="1"/>
  <c r="O153" i="12"/>
  <c r="P153" i="12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AP154" i="12"/>
  <c r="L154" i="12"/>
  <c r="AE154" i="12"/>
  <c r="AB154" i="12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P154" i="12" l="1"/>
  <c r="O154" i="12"/>
  <c r="Q154" i="12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Y155" i="12"/>
  <c r="AG155" i="12"/>
  <c r="J155" i="12"/>
  <c r="K155" i="12"/>
  <c r="I155" i="12"/>
  <c r="AO155" i="12"/>
  <c r="AC155" i="12"/>
  <c r="AK155" i="12"/>
  <c r="B155" i="12"/>
  <c r="A156" i="12" a="1"/>
  <c r="U155" i="12" l="1"/>
  <c r="R155" i="12"/>
  <c r="Q155" i="12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AB157" i="12"/>
  <c r="AG157" i="12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V157" i="12" l="1"/>
  <c r="U157" i="12"/>
  <c r="P157" i="12"/>
  <c r="O157" i="12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K158" i="12"/>
  <c r="AB158" i="12"/>
  <c r="AP158" i="12"/>
  <c r="AQ158" i="12"/>
  <c r="AK158" i="12"/>
  <c r="Z158" i="12"/>
  <c r="AN158" i="12"/>
  <c r="AD158" i="12"/>
  <c r="D158" i="12"/>
  <c r="AG158" i="12"/>
  <c r="AH158" i="12"/>
  <c r="J158" i="12"/>
  <c r="AM158" i="12"/>
  <c r="C158" i="12"/>
  <c r="A159" i="12" a="1"/>
  <c r="R158" i="12" l="1"/>
  <c r="S158" i="12"/>
  <c r="A159" i="12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D159" i="12"/>
  <c r="AT159" i="12"/>
  <c r="Y159" i="12"/>
  <c r="K159" i="12"/>
  <c r="L159" i="12"/>
  <c r="AR159" i="12"/>
  <c r="AL159" i="12"/>
  <c r="B159" i="12"/>
  <c r="AK159" i="12"/>
  <c r="E159" i="12"/>
  <c r="AA159" i="12"/>
  <c r="AP159" i="12"/>
  <c r="I159" i="12"/>
  <c r="AQ159" i="12"/>
  <c r="A160" i="12" a="1"/>
  <c r="U159" i="12" l="1"/>
  <c r="O159" i="12"/>
  <c r="P159" i="12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AA161" i="12"/>
  <c r="AF161" i="12"/>
  <c r="AC161" i="12"/>
  <c r="D161" i="12"/>
  <c r="AD161" i="12"/>
  <c r="C161" i="12"/>
  <c r="AH161" i="12"/>
  <c r="AG161" i="12"/>
  <c r="AT161" i="12"/>
  <c r="AL161" i="12"/>
  <c r="AS161" i="12"/>
  <c r="B161" i="12"/>
  <c r="AK161" i="12"/>
  <c r="AR161" i="12"/>
  <c r="A162" i="12" a="1"/>
  <c r="P161" i="12" l="1"/>
  <c r="U161" i="12"/>
  <c r="R161" i="12"/>
  <c r="O161" i="12"/>
  <c r="A162" i="12"/>
  <c r="V161" i="12"/>
  <c r="H161" i="12"/>
  <c r="G161" i="12"/>
  <c r="F161" i="12"/>
  <c r="AI161" i="12"/>
  <c r="M161" i="12"/>
  <c r="AU161" i="12"/>
  <c r="S161" i="12"/>
  <c r="Q161" i="12"/>
  <c r="T161" i="12"/>
  <c r="N161" i="12"/>
  <c r="W161" i="12" l="1"/>
  <c r="AR162" i="12"/>
  <c r="AH162" i="12"/>
  <c r="Y162" i="12"/>
  <c r="AB162" i="12"/>
  <c r="P162" i="12" s="1"/>
  <c r="AP162" i="12"/>
  <c r="AD162" i="12"/>
  <c r="K162" i="12"/>
  <c r="C162" i="12"/>
  <c r="AN162" i="12"/>
  <c r="AS162" i="12"/>
  <c r="E162" i="12"/>
  <c r="AL162" i="12"/>
  <c r="B162" i="12"/>
  <c r="AE162" i="12"/>
  <c r="AF162" i="12"/>
  <c r="AK162" i="12"/>
  <c r="I162" i="12"/>
  <c r="AT162" i="12"/>
  <c r="J162" i="12"/>
  <c r="Z162" i="12"/>
  <c r="AM162" i="12"/>
  <c r="L162" i="12"/>
  <c r="AG162" i="12"/>
  <c r="AC162" i="12"/>
  <c r="AO162" i="12"/>
  <c r="AA162" i="12"/>
  <c r="D162" i="12"/>
  <c r="AQ162" i="12"/>
  <c r="A163" i="12" a="1"/>
  <c r="U162" i="12" l="1"/>
  <c r="T162" i="12"/>
  <c r="S162" i="12"/>
  <c r="Q162" i="12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AS163" i="12"/>
  <c r="Z163" i="12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P163" i="12" l="1"/>
  <c r="V163" i="12"/>
  <c r="N163" i="12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AQ164" i="12"/>
  <c r="K164" i="12"/>
  <c r="AE164" i="12"/>
  <c r="Y164" i="12"/>
  <c r="AF164" i="12"/>
  <c r="J164" i="12"/>
  <c r="AA164" i="12"/>
  <c r="L164" i="12"/>
  <c r="AN164" i="12"/>
  <c r="AL164" i="12"/>
  <c r="AS164" i="12"/>
  <c r="Z164" i="12"/>
  <c r="C164" i="12"/>
  <c r="AK164" i="12"/>
  <c r="AO164" i="12"/>
  <c r="AC164" i="12"/>
  <c r="A165" i="12" a="1"/>
  <c r="Q164" i="12" l="1"/>
  <c r="R164" i="12"/>
  <c r="O164" i="12"/>
  <c r="T164" i="12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U165" i="12" s="1"/>
  <c r="AD165" i="12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R165" i="12" l="1"/>
  <c r="S165" i="12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AB166" i="12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A167" i="12" a="1"/>
  <c r="P166" i="12" l="1"/>
  <c r="R166" i="12"/>
  <c r="O166" i="12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AR167" i="12"/>
  <c r="D167" i="12"/>
  <c r="AO167" i="12"/>
  <c r="AM167" i="12"/>
  <c r="AN167" i="12"/>
  <c r="AT167" i="12"/>
  <c r="AS167" i="12"/>
  <c r="Z167" i="12"/>
  <c r="AA167" i="12"/>
  <c r="AP167" i="12"/>
  <c r="E167" i="12"/>
  <c r="C167" i="12"/>
  <c r="AD167" i="12"/>
  <c r="AB167" i="12"/>
  <c r="A168" i="12" a="1"/>
  <c r="O167" i="12" l="1"/>
  <c r="P167" i="12"/>
  <c r="N167" i="12"/>
  <c r="R167" i="12"/>
  <c r="S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AQ168" i="12"/>
  <c r="C168" i="12"/>
  <c r="AF168" i="12"/>
  <c r="AE168" i="12"/>
  <c r="K168" i="12"/>
  <c r="AT168" i="12"/>
  <c r="AM168" i="12"/>
  <c r="AB168" i="12"/>
  <c r="AG168" i="12"/>
  <c r="B168" i="12"/>
  <c r="L168" i="12"/>
  <c r="AC168" i="12"/>
  <c r="AD168" i="12"/>
  <c r="AR168" i="12"/>
  <c r="AK168" i="12"/>
  <c r="AP168" i="12"/>
  <c r="J168" i="12"/>
  <c r="AH168" i="12"/>
  <c r="AL168" i="12"/>
  <c r="Z168" i="12"/>
  <c r="I168" i="12"/>
  <c r="D168" i="12"/>
  <c r="E168" i="12"/>
  <c r="AO168" i="12"/>
  <c r="Y168" i="12"/>
  <c r="A169" i="12" a="1"/>
  <c r="P168" i="12" l="1"/>
  <c r="U168" i="12"/>
  <c r="V168" i="12"/>
  <c r="T168" i="12"/>
  <c r="O168" i="12"/>
  <c r="Q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I169" i="12"/>
  <c r="AM169" i="12"/>
  <c r="AA169" i="12"/>
  <c r="AE169" i="12"/>
  <c r="AL169" i="12"/>
  <c r="A170" i="12" a="1"/>
  <c r="T169" i="12" l="1"/>
  <c r="O169" i="12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AT170" i="12"/>
  <c r="B170" i="12"/>
  <c r="Y170" i="12"/>
  <c r="AO170" i="12"/>
  <c r="AB170" i="12"/>
  <c r="D170" i="12"/>
  <c r="AC170" i="12"/>
  <c r="AN170" i="12"/>
  <c r="AR170" i="12"/>
  <c r="AF170" i="12"/>
  <c r="AA170" i="12"/>
  <c r="AP170" i="12"/>
  <c r="AD170" i="12"/>
  <c r="AS170" i="12"/>
  <c r="C170" i="12"/>
  <c r="A171" i="12" a="1"/>
  <c r="Q170" i="12" l="1"/>
  <c r="N170" i="12"/>
  <c r="T170" i="12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AT171" i="12"/>
  <c r="AC171" i="12"/>
  <c r="AA171" i="12"/>
  <c r="Z171" i="12"/>
  <c r="AH171" i="12"/>
  <c r="AQ171" i="12"/>
  <c r="AN171" i="12"/>
  <c r="A172" i="12" a="1"/>
  <c r="R171" i="12" l="1"/>
  <c r="Q171" i="12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A173" i="12" a="1"/>
  <c r="P172" i="12" l="1"/>
  <c r="T172" i="12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AQ173" i="12"/>
  <c r="AO173" i="12"/>
  <c r="AD173" i="12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A174" i="12" a="1"/>
  <c r="U173" i="12" l="1"/>
  <c r="T173" i="12"/>
  <c r="R173" i="12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I174" i="12"/>
  <c r="AT174" i="12"/>
  <c r="AR174" i="12"/>
  <c r="AH174" i="12"/>
  <c r="K174" i="12"/>
  <c r="AD174" i="12"/>
  <c r="AN174" i="12"/>
  <c r="Z174" i="12"/>
  <c r="AL174" i="12"/>
  <c r="AB174" i="12"/>
  <c r="E174" i="12"/>
  <c r="AE174" i="12"/>
  <c r="AK174" i="12"/>
  <c r="AQ174" i="12"/>
  <c r="AM174" i="12"/>
  <c r="B174" i="12"/>
  <c r="AC174" i="12"/>
  <c r="A175" i="12" a="1"/>
  <c r="Q174" i="12" l="1"/>
  <c r="P174" i="12"/>
  <c r="O174" i="12"/>
  <c r="S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AG175" i="12"/>
  <c r="L175" i="12"/>
  <c r="AA175" i="12"/>
  <c r="AC175" i="12"/>
  <c r="AQ175" i="12"/>
  <c r="AL175" i="12"/>
  <c r="AB175" i="12"/>
  <c r="B175" i="12"/>
  <c r="Y175" i="12"/>
  <c r="AF175" i="12"/>
  <c r="AK175" i="12"/>
  <c r="AD175" i="12"/>
  <c r="D175" i="12"/>
  <c r="AN175" i="12"/>
  <c r="AR175" i="12"/>
  <c r="E175" i="12"/>
  <c r="Z175" i="12"/>
  <c r="A176" i="12" a="1"/>
  <c r="N175" i="12" l="1"/>
  <c r="U175" i="12"/>
  <c r="T175" i="12"/>
  <c r="Q175" i="12"/>
  <c r="S175" i="12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AL176" i="12"/>
  <c r="AB176" i="12"/>
  <c r="L176" i="12"/>
  <c r="AK176" i="12"/>
  <c r="AG176" i="12"/>
  <c r="AC176" i="12"/>
  <c r="AF176" i="12"/>
  <c r="A177" i="12" a="1"/>
  <c r="R176" i="12" l="1"/>
  <c r="P176" i="12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AO177" i="12"/>
  <c r="AM177" i="12"/>
  <c r="E177" i="12"/>
  <c r="AA177" i="12"/>
  <c r="AD177" i="12"/>
  <c r="C177" i="12"/>
  <c r="K177" i="12"/>
  <c r="AR177" i="12"/>
  <c r="AK177" i="12"/>
  <c r="L177" i="12"/>
  <c r="Z177" i="12"/>
  <c r="AG177" i="12"/>
  <c r="AH177" i="12"/>
  <c r="V177" i="12" s="1"/>
  <c r="A178" i="12" a="1"/>
  <c r="O177" i="12" l="1"/>
  <c r="R177" i="12"/>
  <c r="Q177" i="12"/>
  <c r="N177" i="12"/>
  <c r="P177" i="12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AQ178" i="12"/>
  <c r="AK178" i="12"/>
  <c r="I178" i="12"/>
  <c r="AB178" i="12"/>
  <c r="AO178" i="12"/>
  <c r="Y178" i="12"/>
  <c r="AH178" i="12"/>
  <c r="AL178" i="12"/>
  <c r="AN178" i="12"/>
  <c r="B178" i="12"/>
  <c r="AF178" i="12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Q178" i="12" l="1"/>
  <c r="T178" i="12"/>
  <c r="N178" i="12"/>
  <c r="A179" i="12"/>
  <c r="AU178" i="12"/>
  <c r="V178" i="12"/>
  <c r="S178" i="12"/>
  <c r="O178" i="12"/>
  <c r="AI178" i="12"/>
  <c r="M178" i="12"/>
  <c r="H178" i="12"/>
  <c r="F178" i="12"/>
  <c r="G178" i="12"/>
  <c r="U178" i="12"/>
  <c r="R178" i="12"/>
  <c r="P178" i="12"/>
  <c r="W178" i="12" l="1"/>
  <c r="I179" i="12"/>
  <c r="AD179" i="12"/>
  <c r="AT179" i="12"/>
  <c r="E179" i="12"/>
  <c r="AB179" i="12"/>
  <c r="AM179" i="12"/>
  <c r="D179" i="12"/>
  <c r="L179" i="12"/>
  <c r="AG179" i="12"/>
  <c r="AP179" i="12"/>
  <c r="AA179" i="12"/>
  <c r="Y179" i="12"/>
  <c r="Z179" i="12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AS179" i="12"/>
  <c r="A180" i="12" a="1"/>
  <c r="V179" i="12" l="1"/>
  <c r="N179" i="12"/>
  <c r="P179" i="12"/>
  <c r="T179" i="12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C180" i="12"/>
  <c r="L180" i="12"/>
  <c r="A181" i="12" a="1"/>
  <c r="Q180" i="12" l="1"/>
  <c r="S180" i="12"/>
  <c r="T180" i="12"/>
  <c r="A181" i="12"/>
  <c r="R180" i="12"/>
  <c r="U180" i="12"/>
  <c r="O180" i="12"/>
  <c r="AI180" i="12"/>
  <c r="M180" i="12"/>
  <c r="F180" i="12"/>
  <c r="H180" i="12"/>
  <c r="G180" i="12"/>
  <c r="P180" i="12"/>
  <c r="N180" i="12"/>
  <c r="V180" i="12"/>
  <c r="AU180" i="12"/>
  <c r="W180" i="12" l="1"/>
  <c r="AT181" i="12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AQ181" i="12"/>
  <c r="A182" i="12" a="1"/>
  <c r="N181" i="12" l="1"/>
  <c r="O181" i="12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AE182" i="12"/>
  <c r="AR182" i="12"/>
  <c r="AN182" i="12"/>
  <c r="AF182" i="12"/>
  <c r="AB182" i="12"/>
  <c r="AH182" i="12"/>
  <c r="AP182" i="12"/>
  <c r="A183" i="12" a="1"/>
  <c r="N182" i="12" l="1"/>
  <c r="V182" i="12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AB183" i="12"/>
  <c r="AT183" i="12"/>
  <c r="D183" i="12"/>
  <c r="AE183" i="12"/>
  <c r="AQ183" i="12"/>
  <c r="Z183" i="12"/>
  <c r="C183" i="12"/>
  <c r="I183" i="12"/>
  <c r="Y183" i="12"/>
  <c r="AL183" i="12"/>
  <c r="AM183" i="12"/>
  <c r="AP183" i="12"/>
  <c r="AS183" i="12"/>
  <c r="AH183" i="12"/>
  <c r="V183" i="12" s="1"/>
  <c r="B183" i="12"/>
  <c r="AC183" i="12"/>
  <c r="AK183" i="12"/>
  <c r="L183" i="12"/>
  <c r="AN183" i="12"/>
  <c r="AR183" i="12"/>
  <c r="K183" i="12"/>
  <c r="AA183" i="12"/>
  <c r="O183" i="12" s="1"/>
  <c r="A184" i="12" a="1"/>
  <c r="N183" i="12" l="1"/>
  <c r="P183" i="12"/>
  <c r="Q183" i="12"/>
  <c r="T183" i="12"/>
  <c r="AU183" i="12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L184" i="12"/>
  <c r="C184" i="12"/>
  <c r="AQ184" i="12"/>
  <c r="AD184" i="12"/>
  <c r="AT184" i="12"/>
  <c r="AR184" i="12"/>
  <c r="E184" i="12"/>
  <c r="AP184" i="12"/>
  <c r="J184" i="12"/>
  <c r="AK184" i="12"/>
  <c r="AN184" i="12"/>
  <c r="AG184" i="12"/>
  <c r="U184" i="12" s="1"/>
  <c r="AB184" i="12"/>
  <c r="AL184" i="12"/>
  <c r="D184" i="12"/>
  <c r="AA184" i="12"/>
  <c r="I184" i="12"/>
  <c r="B184" i="12"/>
  <c r="A185" i="12" a="1"/>
  <c r="R184" i="12" l="1"/>
  <c r="T184" i="12"/>
  <c r="S184" i="12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P185" i="12" s="1"/>
  <c r="AC185" i="12"/>
  <c r="J185" i="12"/>
  <c r="AD185" i="12"/>
  <c r="AP185" i="12"/>
  <c r="AT185" i="12"/>
  <c r="AL185" i="12"/>
  <c r="AH185" i="12"/>
  <c r="V185" i="12" s="1"/>
  <c r="D185" i="12"/>
  <c r="AK185" i="12"/>
  <c r="Z185" i="12"/>
  <c r="N185" i="12" s="1"/>
  <c r="C185" i="12"/>
  <c r="K185" i="12"/>
  <c r="AA185" i="12"/>
  <c r="O185" i="12" s="1"/>
  <c r="AE185" i="12"/>
  <c r="E185" i="12"/>
  <c r="AS185" i="12"/>
  <c r="A186" i="12" a="1"/>
  <c r="R185" i="12" l="1"/>
  <c r="Q185" i="12"/>
  <c r="AU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AN186" i="12"/>
  <c r="C186" i="12"/>
  <c r="L186" i="12"/>
  <c r="J186" i="12"/>
  <c r="AH186" i="12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A187" i="12" a="1"/>
  <c r="O186" i="12" l="1"/>
  <c r="V186" i="12"/>
  <c r="P186" i="12"/>
  <c r="Q186" i="12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A188" i="12" a="1"/>
  <c r="R187" i="12" l="1"/>
  <c r="V187" i="12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AM188" i="12"/>
  <c r="AT188" i="12"/>
  <c r="I188" i="12"/>
  <c r="D188" i="12"/>
  <c r="AP188" i="12"/>
  <c r="AN188" i="12"/>
  <c r="C188" i="12"/>
  <c r="B188" i="12"/>
  <c r="A189" i="12" a="1"/>
  <c r="P188" i="12" l="1"/>
  <c r="T188" i="12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R189" i="12" s="1"/>
  <c r="AS189" i="12"/>
  <c r="C189" i="12"/>
  <c r="D189" i="12"/>
  <c r="AE189" i="12"/>
  <c r="AA189" i="12"/>
  <c r="AR189" i="12"/>
  <c r="AC189" i="12"/>
  <c r="AK189" i="12"/>
  <c r="AB189" i="12"/>
  <c r="B189" i="12"/>
  <c r="A190" i="12" a="1"/>
  <c r="S189" i="12" l="1"/>
  <c r="P189" i="12"/>
  <c r="O189" i="12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AE190" i="12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N190" i="12" l="1"/>
  <c r="S190" i="12"/>
  <c r="P190" i="12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AD191" i="12"/>
  <c r="AA191" i="12"/>
  <c r="Y191" i="12"/>
  <c r="AN191" i="12"/>
  <c r="AR191" i="12"/>
  <c r="AE191" i="12"/>
  <c r="AC191" i="12"/>
  <c r="AT191" i="12"/>
  <c r="AM191" i="12"/>
  <c r="I191" i="12"/>
  <c r="B191" i="12"/>
  <c r="AK191" i="12"/>
  <c r="AQ191" i="12"/>
  <c r="AG191" i="12"/>
  <c r="Z191" i="12"/>
  <c r="A192" i="12" a="1"/>
  <c r="N191" i="12" l="1"/>
  <c r="Q191" i="12"/>
  <c r="P191" i="12"/>
  <c r="R191" i="12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AC192" i="12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D192" i="12"/>
  <c r="AE192" i="12"/>
  <c r="I192" i="12"/>
  <c r="AQ192" i="12"/>
  <c r="AA192" i="12"/>
  <c r="AT192" i="12"/>
  <c r="E192" i="12"/>
  <c r="A193" i="12" a="1"/>
  <c r="P192" i="12" l="1"/>
  <c r="S192" i="12"/>
  <c r="R192" i="12"/>
  <c r="Q192" i="12"/>
  <c r="O192" i="12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T193" i="12" l="1"/>
  <c r="S193" i="12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Y195" i="12"/>
  <c r="AT195" i="12"/>
  <c r="AR195" i="12"/>
  <c r="AS195" i="12"/>
  <c r="AQ195" i="12"/>
  <c r="AB195" i="12"/>
  <c r="C195" i="12"/>
  <c r="AD195" i="12"/>
  <c r="AO195" i="12"/>
  <c r="AM195" i="12"/>
  <c r="B195" i="12"/>
  <c r="D195" i="12"/>
  <c r="AP195" i="12"/>
  <c r="AE195" i="12"/>
  <c r="K195" i="12"/>
  <c r="AA195" i="12"/>
  <c r="I195" i="12"/>
  <c r="J195" i="12"/>
  <c r="AL195" i="12"/>
  <c r="E195" i="12"/>
  <c r="AF195" i="12"/>
  <c r="T195" i="12" s="1"/>
  <c r="AC195" i="12"/>
  <c r="A196" i="12" a="1"/>
  <c r="S195" i="12" l="1"/>
  <c r="P195" i="12"/>
  <c r="U195" i="12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V196" i="12" s="1"/>
  <c r="I196" i="12"/>
  <c r="AK196" i="12"/>
  <c r="AA196" i="12"/>
  <c r="AL196" i="12"/>
  <c r="E196" i="12"/>
  <c r="AF196" i="12"/>
  <c r="AS196" i="12"/>
  <c r="L196" i="12"/>
  <c r="J196" i="12"/>
  <c r="B196" i="12"/>
  <c r="AD196" i="12"/>
  <c r="AP196" i="12"/>
  <c r="AG196" i="12"/>
  <c r="AC196" i="12"/>
  <c r="Y196" i="12"/>
  <c r="AO196" i="12"/>
  <c r="AB196" i="12"/>
  <c r="P196" i="12" s="1"/>
  <c r="D196" i="12"/>
  <c r="AQ196" i="12"/>
  <c r="C196" i="12"/>
  <c r="AT196" i="12"/>
  <c r="AM196" i="12"/>
  <c r="AE196" i="12"/>
  <c r="K196" i="12"/>
  <c r="A197" i="12" a="1"/>
  <c r="R196" i="12" l="1"/>
  <c r="AU196" i="12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D197" i="12"/>
  <c r="AB197" i="12"/>
  <c r="AE197" i="12"/>
  <c r="B197" i="12"/>
  <c r="Z197" i="12"/>
  <c r="N197" i="12" s="1"/>
  <c r="A198" i="12" a="1"/>
  <c r="U197" i="12" l="1"/>
  <c r="Q197" i="12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E198" i="12"/>
  <c r="AK198" i="12"/>
  <c r="J198" i="12"/>
  <c r="D198" i="12"/>
  <c r="AS198" i="12"/>
  <c r="AP198" i="12"/>
  <c r="AO198" i="12"/>
  <c r="AN198" i="12"/>
  <c r="AL198" i="12"/>
  <c r="Y198" i="12"/>
  <c r="AH198" i="12"/>
  <c r="AM198" i="12"/>
  <c r="AR198" i="12"/>
  <c r="AF198" i="12"/>
  <c r="I198" i="12"/>
  <c r="L198" i="12"/>
  <c r="A199" i="12" a="1"/>
  <c r="V198" i="12" l="1"/>
  <c r="U198" i="12"/>
  <c r="S198" i="12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Y199" i="12"/>
  <c r="AT199" i="12"/>
  <c r="AQ199" i="12"/>
  <c r="C199" i="12"/>
  <c r="L199" i="12"/>
  <c r="D199" i="12"/>
  <c r="E199" i="12"/>
  <c r="AS199" i="12"/>
  <c r="AL199" i="12"/>
  <c r="AR199" i="12"/>
  <c r="AA199" i="12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O199" i="12" l="1"/>
  <c r="R199" i="12"/>
  <c r="N199" i="12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AQ200" i="12"/>
  <c r="AB200" i="12"/>
  <c r="B200" i="12"/>
  <c r="K200" i="12"/>
  <c r="E200" i="12"/>
  <c r="AS200" i="12"/>
  <c r="Y200" i="12"/>
  <c r="AN200" i="12"/>
  <c r="AA200" i="12"/>
  <c r="AP200" i="12"/>
  <c r="Z200" i="12"/>
  <c r="N200" i="12" s="1"/>
  <c r="AG200" i="12"/>
  <c r="J200" i="12"/>
  <c r="D200" i="12"/>
  <c r="AT200" i="12"/>
  <c r="AC200" i="12"/>
  <c r="AH200" i="12"/>
  <c r="C200" i="12"/>
  <c r="AE200" i="12"/>
  <c r="L200" i="12"/>
  <c r="AO200" i="12"/>
  <c r="A201" i="12" a="1"/>
  <c r="S200" i="12" l="1"/>
  <c r="R200" i="12"/>
  <c r="Q200" i="12"/>
  <c r="A201" i="12"/>
  <c r="T200" i="12"/>
  <c r="U200" i="12"/>
  <c r="P200" i="12"/>
  <c r="M200" i="12"/>
  <c r="AI200" i="12"/>
  <c r="F200" i="12"/>
  <c r="G200" i="12"/>
  <c r="H200" i="12"/>
  <c r="AU200" i="12"/>
  <c r="V200" i="12"/>
  <c r="O200" i="12"/>
  <c r="W200" i="12" l="1"/>
  <c r="AL201" i="12"/>
  <c r="AT201" i="12"/>
  <c r="Y201" i="12"/>
  <c r="AD201" i="12"/>
  <c r="AB201" i="12"/>
  <c r="AA201" i="12"/>
  <c r="AF201" i="12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V201" i="12" s="1"/>
  <c r="J201" i="12"/>
  <c r="C201" i="12"/>
  <c r="B201" i="12"/>
  <c r="AO201" i="12"/>
  <c r="D201" i="12"/>
  <c r="AQ201" i="12"/>
  <c r="AM201" i="12"/>
  <c r="AE201" i="12"/>
  <c r="S201" i="12" s="1"/>
  <c r="A202" i="12" a="1"/>
  <c r="O201" i="12" l="1"/>
  <c r="T201" i="12"/>
  <c r="N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Q202" i="12" l="1"/>
  <c r="N202" i="12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AG203" i="12"/>
  <c r="U203" i="12" s="1"/>
  <c r="L203" i="12"/>
  <c r="B203" i="12"/>
  <c r="AT203" i="12"/>
  <c r="Z203" i="12"/>
  <c r="AR203" i="12"/>
  <c r="AN203" i="12"/>
  <c r="AO203" i="12"/>
  <c r="AK203" i="12"/>
  <c r="A204" i="12" a="1"/>
  <c r="P203" i="12" l="1"/>
  <c r="R203" i="12"/>
  <c r="O203" i="12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D204" i="12"/>
  <c r="AB204" i="12"/>
  <c r="P204" i="12" s="1"/>
  <c r="E204" i="12"/>
  <c r="AN204" i="12"/>
  <c r="AT204" i="12"/>
  <c r="Y204" i="12"/>
  <c r="Z204" i="12"/>
  <c r="A205" i="12" a="1"/>
  <c r="R204" i="12" l="1"/>
  <c r="N204" i="12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AM205" i="12"/>
  <c r="AD205" i="12"/>
  <c r="R205" i="12" s="1"/>
  <c r="A206" i="12" a="1"/>
  <c r="N205" i="12" l="1"/>
  <c r="O205" i="12"/>
  <c r="A206" i="12"/>
  <c r="G205" i="12"/>
  <c r="F205" i="12"/>
  <c r="H205" i="12"/>
  <c r="Q205" i="12"/>
  <c r="AI205" i="12"/>
  <c r="M205" i="12"/>
  <c r="AU205" i="12"/>
  <c r="V205" i="12"/>
  <c r="P205" i="12"/>
  <c r="U205" i="12"/>
  <c r="T205" i="12"/>
  <c r="S205" i="12"/>
  <c r="W205" i="12" l="1"/>
  <c r="J206" i="12"/>
  <c r="K206" i="12"/>
  <c r="AM206" i="12"/>
  <c r="AE206" i="12"/>
  <c r="AG206" i="12"/>
  <c r="Y206" i="12"/>
  <c r="AQ206" i="12"/>
  <c r="AT206" i="12"/>
  <c r="AL206" i="12"/>
  <c r="C206" i="12"/>
  <c r="AP206" i="12"/>
  <c r="L206" i="12"/>
  <c r="Z206" i="12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N206" i="12" l="1"/>
  <c r="U206" i="12"/>
  <c r="T206" i="12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E207" i="12"/>
  <c r="AP207" i="12"/>
  <c r="Y207" i="12"/>
  <c r="AQ207" i="12"/>
  <c r="D207" i="12"/>
  <c r="AS207" i="12"/>
  <c r="K207" i="12"/>
  <c r="AE207" i="12"/>
  <c r="AG207" i="12"/>
  <c r="J207" i="12"/>
  <c r="B207" i="12"/>
  <c r="AN207" i="12"/>
  <c r="L207" i="12"/>
  <c r="AD207" i="12"/>
  <c r="Z207" i="12"/>
  <c r="AA207" i="12"/>
  <c r="AM207" i="12"/>
  <c r="AL207" i="12"/>
  <c r="AK207" i="12"/>
  <c r="AB207" i="12"/>
  <c r="I207" i="12"/>
  <c r="AT207" i="12"/>
  <c r="A208" i="12" a="1"/>
  <c r="N207" i="12" l="1"/>
  <c r="R207" i="12"/>
  <c r="S207" i="12"/>
  <c r="Q207" i="12"/>
  <c r="P207" i="12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AT208" i="12"/>
  <c r="A209" i="12" a="1"/>
  <c r="O208" i="12" l="1"/>
  <c r="U208" i="12"/>
  <c r="R208" i="12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A210" i="12" a="1"/>
  <c r="V209" i="12" l="1"/>
  <c r="Q209" i="12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O210" i="12" s="1"/>
  <c r="AB210" i="12"/>
  <c r="AP210" i="12"/>
  <c r="L210" i="12"/>
  <c r="E210" i="12"/>
  <c r="AS210" i="12"/>
  <c r="C210" i="12"/>
  <c r="Y210" i="12"/>
  <c r="I210" i="12"/>
  <c r="K210" i="12"/>
  <c r="AC210" i="12"/>
  <c r="AH210" i="12"/>
  <c r="AT210" i="12"/>
  <c r="AR210" i="12"/>
  <c r="J210" i="12"/>
  <c r="AF210" i="12"/>
  <c r="A211" i="12" a="1"/>
  <c r="T210" i="12" l="1"/>
  <c r="P210" i="12"/>
  <c r="Q210" i="12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J211" i="12"/>
  <c r="AQ211" i="12"/>
  <c r="C211" i="12"/>
  <c r="AE211" i="12"/>
  <c r="AN211" i="12"/>
  <c r="AO211" i="12"/>
  <c r="AK211" i="12"/>
  <c r="B211" i="12"/>
  <c r="AD211" i="12"/>
  <c r="AL211" i="12"/>
  <c r="AS211" i="12"/>
  <c r="L211" i="12"/>
  <c r="D211" i="12"/>
  <c r="AM211" i="12"/>
  <c r="Z211" i="12"/>
  <c r="K211" i="12"/>
  <c r="AB211" i="12"/>
  <c r="P211" i="12" s="1"/>
  <c r="AR211" i="12"/>
  <c r="AC211" i="12"/>
  <c r="Y211" i="12"/>
  <c r="AP211" i="12"/>
  <c r="E211" i="12"/>
  <c r="I211" i="12"/>
  <c r="AH211" i="12"/>
  <c r="V211" i="12" s="1"/>
  <c r="A212" i="12" a="1"/>
  <c r="R211" i="12" l="1"/>
  <c r="Q211" i="12"/>
  <c r="O211" i="12"/>
  <c r="A212" i="12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Q212" i="12" s="1"/>
  <c r="A213" i="12" a="1"/>
  <c r="N212" i="12" l="1"/>
  <c r="U212" i="12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N213" i="12" s="1"/>
  <c r="D213" i="12"/>
  <c r="K213" i="12"/>
  <c r="AR213" i="12"/>
  <c r="AO213" i="12"/>
  <c r="AL213" i="12"/>
  <c r="Y213" i="12"/>
  <c r="AT213" i="12"/>
  <c r="AH213" i="12"/>
  <c r="AF213" i="12"/>
  <c r="AP213" i="12"/>
  <c r="AC213" i="12"/>
  <c r="J213" i="12"/>
  <c r="AM213" i="12"/>
  <c r="AN213" i="12"/>
  <c r="AS213" i="12"/>
  <c r="AG213" i="12"/>
  <c r="I213" i="12"/>
  <c r="AD213" i="12"/>
  <c r="E213" i="12"/>
  <c r="AE213" i="12"/>
  <c r="L213" i="12"/>
  <c r="AB213" i="12"/>
  <c r="AA213" i="12"/>
  <c r="C213" i="12"/>
  <c r="A214" i="12" a="1"/>
  <c r="U213" i="12" l="1"/>
  <c r="V213" i="12"/>
  <c r="O213" i="12"/>
  <c r="Q213" i="12"/>
  <c r="R213" i="12"/>
  <c r="P213" i="12"/>
  <c r="A214" i="12"/>
  <c r="G213" i="12"/>
  <c r="F213" i="12"/>
  <c r="H213" i="12"/>
  <c r="T213" i="12"/>
  <c r="AI213" i="12"/>
  <c r="M213" i="12"/>
  <c r="AU213" i="12"/>
  <c r="S213" i="12"/>
  <c r="W213" i="12" l="1"/>
  <c r="AR214" i="12"/>
  <c r="AG214" i="12"/>
  <c r="B214" i="12"/>
  <c r="D214" i="12"/>
  <c r="AE214" i="12"/>
  <c r="AK214" i="12"/>
  <c r="AL214" i="12"/>
  <c r="L214" i="12"/>
  <c r="AF214" i="12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T214" i="12" l="1"/>
  <c r="P214" i="12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AC215" i="12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T215" i="12" s="1"/>
  <c r="AE215" i="12"/>
  <c r="A216" i="12" a="1"/>
  <c r="Q215" i="12" l="1"/>
  <c r="O215" i="12"/>
  <c r="U215" i="12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E216" i="12"/>
  <c r="AH216" i="12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AK216" i="12"/>
  <c r="K216" i="12"/>
  <c r="AQ216" i="12"/>
  <c r="AE216" i="12"/>
  <c r="AG216" i="12"/>
  <c r="L216" i="12"/>
  <c r="Z216" i="12"/>
  <c r="I216" i="12"/>
  <c r="AN216" i="12"/>
  <c r="A217" i="12" a="1"/>
  <c r="N216" i="12" l="1"/>
  <c r="V216" i="12"/>
  <c r="R216" i="12"/>
  <c r="O216" i="12"/>
  <c r="S216" i="12"/>
  <c r="P216" i="12"/>
  <c r="A217" i="12"/>
  <c r="F216" i="12"/>
  <c r="H216" i="12"/>
  <c r="G216" i="12"/>
  <c r="T216" i="12"/>
  <c r="M216" i="12"/>
  <c r="AI216" i="12"/>
  <c r="AU216" i="12"/>
  <c r="Q216" i="12"/>
  <c r="U216" i="12"/>
  <c r="W216" i="12" l="1"/>
  <c r="AK217" i="12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J217" i="12"/>
  <c r="AS217" i="12"/>
  <c r="AN217" i="12"/>
  <c r="K217" i="12"/>
  <c r="A218" i="12" a="1"/>
  <c r="N217" i="12" l="1"/>
  <c r="Q217" i="12"/>
  <c r="P217" i="12"/>
  <c r="T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AR218" i="12"/>
  <c r="AF218" i="12"/>
  <c r="AP218" i="12"/>
  <c r="AE218" i="12"/>
  <c r="D218" i="12"/>
  <c r="AM218" i="12"/>
  <c r="C218" i="12"/>
  <c r="AD218" i="12"/>
  <c r="E218" i="12"/>
  <c r="AB218" i="12"/>
  <c r="AG218" i="12"/>
  <c r="Y218" i="12"/>
  <c r="J218" i="12"/>
  <c r="AL218" i="12"/>
  <c r="L218" i="12"/>
  <c r="K218" i="12"/>
  <c r="AQ218" i="12"/>
  <c r="AA218" i="12"/>
  <c r="A219" i="12" a="1"/>
  <c r="T218" i="12" l="1"/>
  <c r="S218" i="12"/>
  <c r="V218" i="12"/>
  <c r="U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AF219" i="12"/>
  <c r="AP219" i="12"/>
  <c r="Z219" i="12"/>
  <c r="AB219" i="12"/>
  <c r="Y219" i="12"/>
  <c r="C219" i="12"/>
  <c r="AL219" i="12"/>
  <c r="J219" i="12"/>
  <c r="A220" i="12" a="1"/>
  <c r="Q219" i="12" l="1"/>
  <c r="U219" i="12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O220" i="12" s="1"/>
  <c r="Z220" i="12"/>
  <c r="Y220" i="12"/>
  <c r="I220" i="12"/>
  <c r="AR220" i="12"/>
  <c r="AM220" i="12"/>
  <c r="AH220" i="12"/>
  <c r="L220" i="12"/>
  <c r="AQ220" i="12"/>
  <c r="A221" i="12" a="1"/>
  <c r="N220" i="12" l="1"/>
  <c r="Q220" i="12"/>
  <c r="A221" i="12"/>
  <c r="U220" i="12"/>
  <c r="H220" i="12"/>
  <c r="G220" i="12"/>
  <c r="F220" i="12"/>
  <c r="T220" i="12"/>
  <c r="M220" i="12"/>
  <c r="AI220" i="12"/>
  <c r="AU220" i="12"/>
  <c r="P220" i="12"/>
  <c r="V220" i="12"/>
  <c r="R220" i="12"/>
  <c r="S220" i="12"/>
  <c r="W220" i="12" l="1"/>
  <c r="AA221" i="12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Y222" i="12"/>
  <c r="AO222" i="12"/>
  <c r="AG222" i="12"/>
  <c r="U222" i="12" s="1"/>
  <c r="AL222" i="12"/>
  <c r="AN222" i="12"/>
  <c r="D222" i="12"/>
  <c r="E222" i="12"/>
  <c r="Z222" i="12"/>
  <c r="A223" i="12" a="1"/>
  <c r="N222" i="12" l="1"/>
  <c r="S222" i="12"/>
  <c r="P222" i="12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I223" i="12"/>
  <c r="C223" i="12"/>
  <c r="AM223" i="12"/>
  <c r="AK223" i="12"/>
  <c r="E223" i="12"/>
  <c r="D223" i="12"/>
  <c r="AC223" i="12"/>
  <c r="Z223" i="12"/>
  <c r="AN223" i="12"/>
  <c r="B223" i="12"/>
  <c r="AH223" i="12"/>
  <c r="AL223" i="12"/>
  <c r="AB223" i="12"/>
  <c r="AT223" i="12"/>
  <c r="AR223" i="12"/>
  <c r="L223" i="12"/>
  <c r="AE223" i="12"/>
  <c r="K223" i="12"/>
  <c r="AA223" i="12"/>
  <c r="O223" i="12" s="1"/>
  <c r="AP223" i="12"/>
  <c r="J223" i="12"/>
  <c r="AD223" i="12"/>
  <c r="AO223" i="12"/>
  <c r="AG223" i="12"/>
  <c r="Y223" i="12"/>
  <c r="A224" i="12" a="1"/>
  <c r="S223" i="12" l="1"/>
  <c r="U223" i="12"/>
  <c r="V223" i="12"/>
  <c r="T223" i="12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AG224" i="12"/>
  <c r="AA224" i="12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AD224" i="12"/>
  <c r="B224" i="12"/>
  <c r="A225" i="12" a="1"/>
  <c r="O224" i="12" l="1"/>
  <c r="P224" i="12"/>
  <c r="Q224" i="12"/>
  <c r="AU224" i="12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O225" i="12" l="1"/>
  <c r="V225" i="12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AP227" i="12"/>
  <c r="C227" i="12"/>
  <c r="AK227" i="12"/>
  <c r="K227" i="12"/>
  <c r="J227" i="12"/>
  <c r="I227" i="12"/>
  <c r="AC227" i="12"/>
  <c r="L227" i="12"/>
  <c r="A228" i="12" a="1"/>
  <c r="P227" i="12" l="1"/>
  <c r="N227" i="12"/>
  <c r="V227" i="12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AF228" i="12"/>
  <c r="AQ228" i="12"/>
  <c r="AL228" i="12"/>
  <c r="AK228" i="12"/>
  <c r="AT228" i="12"/>
  <c r="AC228" i="12"/>
  <c r="Z228" i="12"/>
  <c r="A229" i="12" a="1"/>
  <c r="N228" i="12" l="1"/>
  <c r="O228" i="12"/>
  <c r="P228" i="12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AC229" i="12"/>
  <c r="Y229" i="12"/>
  <c r="AA229" i="12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AQ229" i="12"/>
  <c r="I229" i="12"/>
  <c r="AO229" i="12"/>
  <c r="AD229" i="12"/>
  <c r="AL229" i="12"/>
  <c r="AR229" i="12"/>
  <c r="AE229" i="12"/>
  <c r="AS229" i="12"/>
  <c r="K229" i="12"/>
  <c r="A230" i="12" a="1"/>
  <c r="V229" i="12" l="1"/>
  <c r="P229" i="12"/>
  <c r="O229" i="12"/>
  <c r="R229" i="12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C230" i="12"/>
  <c r="A231" i="12" a="1"/>
  <c r="U230" i="12" l="1"/>
  <c r="Q230" i="12"/>
  <c r="S230" i="12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AL231" i="12"/>
  <c r="AS231" i="12"/>
  <c r="J231" i="12"/>
  <c r="L231" i="12"/>
  <c r="AK231" i="12"/>
  <c r="AQ231" i="12"/>
  <c r="K231" i="12"/>
  <c r="AM231" i="12"/>
  <c r="AG231" i="12"/>
  <c r="AC231" i="12"/>
  <c r="AH231" i="12"/>
  <c r="E231" i="12"/>
  <c r="AN231" i="12"/>
  <c r="AP231" i="12"/>
  <c r="AT231" i="12"/>
  <c r="AA231" i="12"/>
  <c r="D231" i="12"/>
  <c r="AE231" i="12"/>
  <c r="AF231" i="12"/>
  <c r="C231" i="12"/>
  <c r="I231" i="12"/>
  <c r="Z231" i="12"/>
  <c r="AR231" i="12"/>
  <c r="B231" i="12"/>
  <c r="A232" i="12" a="1"/>
  <c r="Q231" i="12" l="1"/>
  <c r="R231" i="12"/>
  <c r="T231" i="12"/>
  <c r="O231" i="12"/>
  <c r="V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AT232" i="12"/>
  <c r="AR232" i="12"/>
  <c r="AH232" i="12"/>
  <c r="AD232" i="12"/>
  <c r="D232" i="12"/>
  <c r="J232" i="12"/>
  <c r="E232" i="12"/>
  <c r="AG232" i="12"/>
  <c r="Z232" i="12"/>
  <c r="AP232" i="12"/>
  <c r="AE232" i="12"/>
  <c r="AS232" i="12"/>
  <c r="AO232" i="12"/>
  <c r="K232" i="12"/>
  <c r="AQ232" i="12"/>
  <c r="Y232" i="12"/>
  <c r="AM232" i="12"/>
  <c r="I232" i="12"/>
  <c r="AF232" i="12"/>
  <c r="AK232" i="12"/>
  <c r="AC232" i="12"/>
  <c r="L232" i="12"/>
  <c r="AN232" i="12"/>
  <c r="AL232" i="12"/>
  <c r="A233" i="12" a="1"/>
  <c r="N232" i="12" l="1"/>
  <c r="Q232" i="12"/>
  <c r="S232" i="12"/>
  <c r="P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AM233" i="12"/>
  <c r="AB233" i="12"/>
  <c r="E233" i="12"/>
  <c r="AN233" i="12"/>
  <c r="AE233" i="12"/>
  <c r="AT233" i="12"/>
  <c r="B233" i="12"/>
  <c r="A234" i="12" a="1"/>
  <c r="R233" i="12" l="1"/>
  <c r="Q233" i="12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R234" i="12" s="1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Q234" i="12" l="1"/>
  <c r="V234" i="12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I235" i="12"/>
  <c r="AA235" i="12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E235" i="12"/>
  <c r="AB235" i="12"/>
  <c r="AE235" i="12"/>
  <c r="AN235" i="12"/>
  <c r="AC235" i="12"/>
  <c r="B235" i="12"/>
  <c r="A236" i="12" a="1"/>
  <c r="V235" i="12" l="1"/>
  <c r="O235" i="12"/>
  <c r="N235" i="12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U236" i="12" l="1"/>
  <c r="S236" i="12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AD237" i="12"/>
  <c r="C237" i="12"/>
  <c r="AR237" i="12"/>
  <c r="Z237" i="12"/>
  <c r="AN237" i="12"/>
  <c r="E237" i="12"/>
  <c r="Y237" i="12"/>
  <c r="A238" i="12" a="1"/>
  <c r="T237" i="12" l="1"/>
  <c r="R237" i="12"/>
  <c r="P237" i="12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AB238" i="12"/>
  <c r="E238" i="12"/>
  <c r="AL238" i="12"/>
  <c r="AQ238" i="12"/>
  <c r="AR238" i="12"/>
  <c r="C238" i="12"/>
  <c r="Y238" i="12"/>
  <c r="AC238" i="12"/>
  <c r="AH238" i="12"/>
  <c r="K238" i="12"/>
  <c r="AE238" i="12"/>
  <c r="J238" i="12"/>
  <c r="AT238" i="12"/>
  <c r="AD238" i="12"/>
  <c r="AF238" i="12"/>
  <c r="A239" i="12" a="1"/>
  <c r="Q238" i="12" l="1"/>
  <c r="U238" i="12"/>
  <c r="T238" i="12"/>
  <c r="N238" i="12"/>
  <c r="R238" i="12"/>
  <c r="V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V239" i="12" s="1"/>
  <c r="Y239" i="12"/>
  <c r="AM239" i="12"/>
  <c r="I239" i="12"/>
  <c r="E239" i="12"/>
  <c r="L239" i="12"/>
  <c r="K239" i="12"/>
  <c r="AE239" i="12"/>
  <c r="S239" i="12" s="1"/>
  <c r="AO239" i="12"/>
  <c r="AK239" i="12"/>
  <c r="AR239" i="12"/>
  <c r="Z239" i="12"/>
  <c r="AS239" i="12"/>
  <c r="AF239" i="12"/>
  <c r="J239" i="12"/>
  <c r="AG239" i="12"/>
  <c r="U239" i="12" s="1"/>
  <c r="A240" i="12" a="1"/>
  <c r="N239" i="12" l="1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AS240" i="12"/>
  <c r="AB240" i="12"/>
  <c r="AM240" i="12"/>
  <c r="Y240" i="12"/>
  <c r="AN240" i="12"/>
  <c r="A241" i="12" a="1"/>
  <c r="V240" i="12" l="1"/>
  <c r="Q240" i="12"/>
  <c r="O240" i="12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AE241" i="12"/>
  <c r="J241" i="12"/>
  <c r="AM241" i="12"/>
  <c r="AS241" i="12"/>
  <c r="AO241" i="12"/>
  <c r="Y241" i="12"/>
  <c r="AG241" i="12"/>
  <c r="L241" i="12"/>
  <c r="AN241" i="12"/>
  <c r="AR241" i="12"/>
  <c r="E241" i="12"/>
  <c r="AP241" i="12"/>
  <c r="I241" i="12"/>
  <c r="AT241" i="12"/>
  <c r="AQ241" i="12"/>
  <c r="AA241" i="12"/>
  <c r="B241" i="12"/>
  <c r="K241" i="12"/>
  <c r="AB241" i="12"/>
  <c r="AL241" i="12"/>
  <c r="AK241" i="12"/>
  <c r="AC241" i="12"/>
  <c r="A242" i="12" a="1"/>
  <c r="Q241" i="12" l="1"/>
  <c r="O241" i="12"/>
  <c r="U241" i="12"/>
  <c r="R241" i="12"/>
  <c r="S241" i="12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AN242" i="12"/>
  <c r="AH242" i="12"/>
  <c r="L242" i="12"/>
  <c r="E242" i="12"/>
  <c r="AO242" i="12"/>
  <c r="A243" i="12" a="1"/>
  <c r="U242" i="12" l="1"/>
  <c r="S242" i="12"/>
  <c r="Q242" i="12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L243" i="12"/>
  <c r="AT243" i="12"/>
  <c r="E243" i="12"/>
  <c r="Y243" i="12"/>
  <c r="AN243" i="12"/>
  <c r="AQ243" i="12"/>
  <c r="AE243" i="12"/>
  <c r="S243" i="12" s="1"/>
  <c r="AD243" i="12"/>
  <c r="AA243" i="12"/>
  <c r="B243" i="12"/>
  <c r="I243" i="12"/>
  <c r="J243" i="12"/>
  <c r="AB243" i="12"/>
  <c r="AL243" i="12"/>
  <c r="AK243" i="12"/>
  <c r="AR243" i="12"/>
  <c r="A244" i="12" a="1"/>
  <c r="R243" i="12" l="1"/>
  <c r="N243" i="12"/>
  <c r="O243" i="12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B245" i="12"/>
  <c r="AQ245" i="12"/>
  <c r="AG245" i="12"/>
  <c r="AT245" i="12"/>
  <c r="I245" i="12"/>
  <c r="AE245" i="12"/>
  <c r="Z245" i="12"/>
  <c r="AD245" i="12"/>
  <c r="AP245" i="12"/>
  <c r="AC245" i="12"/>
  <c r="Q245" i="12" s="1"/>
  <c r="AA245" i="12"/>
  <c r="L245" i="12"/>
  <c r="AS245" i="12"/>
  <c r="AF245" i="12"/>
  <c r="A246" i="12" a="1"/>
  <c r="N245" i="12" l="1"/>
  <c r="V245" i="12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AO246" i="12"/>
  <c r="J246" i="12"/>
  <c r="AB246" i="12"/>
  <c r="AC246" i="12"/>
  <c r="AS246" i="12"/>
  <c r="AA246" i="12"/>
  <c r="A247" i="12" a="1"/>
  <c r="P246" i="12" l="1"/>
  <c r="N246" i="12"/>
  <c r="U246" i="12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D247" i="12"/>
  <c r="AM247" i="12"/>
  <c r="Y247" i="12"/>
  <c r="AR247" i="12"/>
  <c r="I247" i="12"/>
  <c r="AA247" i="12"/>
  <c r="B247" i="12"/>
  <c r="AH247" i="12"/>
  <c r="AS247" i="12"/>
  <c r="AK247" i="12"/>
  <c r="AP247" i="12"/>
  <c r="AG247" i="12"/>
  <c r="AO247" i="12"/>
  <c r="AN247" i="12"/>
  <c r="Z247" i="12"/>
  <c r="A248" i="12" a="1"/>
  <c r="N247" i="12" l="1"/>
  <c r="V247" i="12"/>
  <c r="P247" i="12"/>
  <c r="Q247" i="12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P248" i="12" l="1"/>
  <c r="R248" i="12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AR249" i="12"/>
  <c r="AF249" i="12"/>
  <c r="K249" i="12"/>
  <c r="AL249" i="12"/>
  <c r="AA249" i="12"/>
  <c r="AG249" i="12"/>
  <c r="AN249" i="12"/>
  <c r="AC249" i="12"/>
  <c r="AB249" i="12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P249" i="12" l="1"/>
  <c r="R249" i="12"/>
  <c r="Q249" i="12"/>
  <c r="T249" i="12"/>
  <c r="A250" i="12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AO250" i="12"/>
  <c r="AT250" i="12"/>
  <c r="Z250" i="12"/>
  <c r="AS250" i="12"/>
  <c r="AK250" i="12"/>
  <c r="AH250" i="12"/>
  <c r="AG250" i="12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U250" i="12" l="1"/>
  <c r="S250" i="12"/>
  <c r="T250" i="12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AR251" i="12"/>
  <c r="B251" i="12"/>
  <c r="I251" i="12"/>
  <c r="AE251" i="12"/>
  <c r="AM251" i="12"/>
  <c r="AB251" i="12"/>
  <c r="AS251" i="12"/>
  <c r="E251" i="12"/>
  <c r="A252" i="12" a="1"/>
  <c r="V251" i="12" l="1"/>
  <c r="AU251" i="12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AB253" i="12"/>
  <c r="AL253" i="12"/>
  <c r="C253" i="12"/>
  <c r="AE253" i="12"/>
  <c r="AS253" i="12"/>
  <c r="AM253" i="12"/>
  <c r="AK253" i="12"/>
  <c r="L253" i="12"/>
  <c r="AH253" i="12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AA253" i="12"/>
  <c r="A254" i="12" a="1"/>
  <c r="R253" i="12" l="1"/>
  <c r="O253" i="12"/>
  <c r="U253" i="12"/>
  <c r="V253" i="12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AK254" i="12"/>
  <c r="D254" i="12"/>
  <c r="AR254" i="12"/>
  <c r="AL254" i="12"/>
  <c r="AQ254" i="12"/>
  <c r="AC254" i="12"/>
  <c r="AT254" i="12"/>
  <c r="AO254" i="12"/>
  <c r="AA254" i="12"/>
  <c r="B254" i="12"/>
  <c r="AP254" i="12"/>
  <c r="AH254" i="12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U254" i="12" l="1"/>
  <c r="V254" i="12"/>
  <c r="O254" i="12"/>
  <c r="T254" i="12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E255" i="12"/>
  <c r="AT255" i="12"/>
  <c r="AR255" i="12"/>
  <c r="AH255" i="12"/>
  <c r="I255" i="12"/>
  <c r="C255" i="12"/>
  <c r="AD255" i="12"/>
  <c r="AP255" i="12"/>
  <c r="AG255" i="12"/>
  <c r="AK255" i="12"/>
  <c r="D255" i="12"/>
  <c r="AL255" i="12"/>
  <c r="AE255" i="12"/>
  <c r="AM255" i="12"/>
  <c r="AB255" i="12"/>
  <c r="L255" i="12"/>
  <c r="AC255" i="12"/>
  <c r="A256" i="12" a="1"/>
  <c r="Q255" i="12" l="1"/>
  <c r="U255" i="12"/>
  <c r="O255" i="12"/>
  <c r="P255" i="12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B256" i="12"/>
  <c r="I256" i="12"/>
  <c r="AO256" i="12"/>
  <c r="AH256" i="12"/>
  <c r="Y256" i="12"/>
  <c r="AQ256" i="12"/>
  <c r="K256" i="12"/>
  <c r="Z256" i="12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AL256" i="12"/>
  <c r="AB256" i="12"/>
  <c r="P256" i="12" s="1"/>
  <c r="D256" i="12"/>
  <c r="A257" i="12" a="1"/>
  <c r="N256" i="12" l="1"/>
  <c r="S256" i="12"/>
  <c r="O256" i="12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AG257" i="12"/>
  <c r="B257" i="12"/>
  <c r="AL257" i="12"/>
  <c r="AF257" i="12"/>
  <c r="AH257" i="12"/>
  <c r="AK257" i="12"/>
  <c r="AS257" i="12"/>
  <c r="Z257" i="12"/>
  <c r="AR257" i="12"/>
  <c r="AO257" i="12"/>
  <c r="I257" i="12"/>
  <c r="AE257" i="12"/>
  <c r="J257" i="12"/>
  <c r="AP257" i="12"/>
  <c r="AD257" i="12"/>
  <c r="C257" i="12"/>
  <c r="E257" i="12"/>
  <c r="A258" i="12" a="1"/>
  <c r="S257" i="12" l="1"/>
  <c r="U257" i="12"/>
  <c r="P257" i="12"/>
  <c r="V257" i="12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E258" i="12"/>
  <c r="D258" i="12"/>
  <c r="AP258" i="12"/>
  <c r="AD258" i="12"/>
  <c r="AL258" i="12"/>
  <c r="C258" i="12"/>
  <c r="Z258" i="12"/>
  <c r="N258" i="12" s="1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P258" i="12" l="1"/>
  <c r="V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R259" i="12" s="1"/>
  <c r="AE259" i="12"/>
  <c r="A260" i="12" a="1"/>
  <c r="Q259" i="12" l="1"/>
  <c r="S259" i="12"/>
  <c r="U259" i="12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A261" i="12" a="1"/>
  <c r="V260" i="12" l="1"/>
  <c r="P260" i="12"/>
  <c r="T260" i="12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AH261" i="12"/>
  <c r="Z261" i="12"/>
  <c r="AO261" i="12"/>
  <c r="AK261" i="12"/>
  <c r="AE261" i="12"/>
  <c r="AC261" i="12"/>
  <c r="AA261" i="12"/>
  <c r="AG261" i="12"/>
  <c r="B261" i="12"/>
  <c r="K261" i="12"/>
  <c r="AR261" i="12"/>
  <c r="AP261" i="12"/>
  <c r="Y261" i="12"/>
  <c r="AQ261" i="12"/>
  <c r="AF261" i="12"/>
  <c r="E261" i="12"/>
  <c r="D261" i="12"/>
  <c r="A262" i="12" a="1"/>
  <c r="U261" i="12" l="1"/>
  <c r="N261" i="12"/>
  <c r="P261" i="12"/>
  <c r="O261" i="12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S262" i="12" s="1"/>
  <c r="K262" i="12"/>
  <c r="J262" i="12"/>
  <c r="AA262" i="12"/>
  <c r="C262" i="12"/>
  <c r="AN262" i="12"/>
  <c r="AD262" i="12"/>
  <c r="I262" i="12"/>
  <c r="Z262" i="12"/>
  <c r="AR262" i="12"/>
  <c r="AC262" i="12"/>
  <c r="Q262" i="12" s="1"/>
  <c r="AH262" i="12"/>
  <c r="B262" i="12"/>
  <c r="AK262" i="12"/>
  <c r="L262" i="12"/>
  <c r="AF262" i="12"/>
  <c r="E262" i="12"/>
  <c r="AB262" i="12"/>
  <c r="P262" i="12" s="1"/>
  <c r="A263" i="12" a="1"/>
  <c r="O262" i="12" l="1"/>
  <c r="R262" i="12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V263" i="12" s="1"/>
  <c r="Z263" i="12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AS263" i="12"/>
  <c r="E263" i="12"/>
  <c r="AD263" i="12"/>
  <c r="R263" i="12" s="1"/>
  <c r="AR263" i="12"/>
  <c r="AE263" i="12"/>
  <c r="AG263" i="12"/>
  <c r="C263" i="12"/>
  <c r="L263" i="12"/>
  <c r="I263" i="12"/>
  <c r="AC263" i="12"/>
  <c r="AF263" i="12"/>
  <c r="A264" i="12" a="1"/>
  <c r="N263" i="12" l="1"/>
  <c r="P263" i="12"/>
  <c r="U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S264" i="12" s="1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A265" i="12" a="1"/>
  <c r="V264" i="12" l="1"/>
  <c r="R264" i="12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L265" i="12"/>
  <c r="AH265" i="12"/>
  <c r="C265" i="12"/>
  <c r="I265" i="12"/>
  <c r="B265" i="12"/>
  <c r="AS265" i="12"/>
  <c r="AC265" i="12"/>
  <c r="E265" i="12"/>
  <c r="AO265" i="12"/>
  <c r="A266" i="12" a="1"/>
  <c r="U265" i="12" l="1"/>
  <c r="S265" i="12"/>
  <c r="R265" i="12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AF266" i="12"/>
  <c r="AE266" i="12"/>
  <c r="L266" i="12"/>
  <c r="C266" i="12"/>
  <c r="AL266" i="12"/>
  <c r="AD266" i="12"/>
  <c r="AQ266" i="12"/>
  <c r="AR266" i="12"/>
  <c r="AO266" i="12"/>
  <c r="Z266" i="12"/>
  <c r="AB266" i="12"/>
  <c r="AP266" i="12"/>
  <c r="B266" i="12"/>
  <c r="I266" i="12"/>
  <c r="AC266" i="12"/>
  <c r="A267" i="12" a="1"/>
  <c r="U266" i="12" l="1"/>
  <c r="R266" i="12"/>
  <c r="N266" i="12"/>
  <c r="T266" i="12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O267" i="12" s="1"/>
  <c r="AL267" i="12"/>
  <c r="AB267" i="12"/>
  <c r="D267" i="12"/>
  <c r="AN267" i="12"/>
  <c r="AF267" i="12"/>
  <c r="J267" i="12"/>
  <c r="AH267" i="12"/>
  <c r="AR267" i="12"/>
  <c r="Z267" i="12"/>
  <c r="A268" i="12" a="1"/>
  <c r="N267" i="12" l="1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AK268" i="12"/>
  <c r="Y268" i="12"/>
  <c r="AR268" i="12"/>
  <c r="AN268" i="12"/>
  <c r="AB268" i="12"/>
  <c r="AQ268" i="12"/>
  <c r="AO268" i="12"/>
  <c r="AP268" i="12"/>
  <c r="AC268" i="12"/>
  <c r="AM268" i="12"/>
  <c r="C268" i="12"/>
  <c r="AS268" i="12"/>
  <c r="L268" i="12"/>
  <c r="A269" i="12" a="1"/>
  <c r="O268" i="12" l="1"/>
  <c r="N268" i="12"/>
  <c r="P268" i="12"/>
  <c r="Q268" i="12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Q269" i="12" s="1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AL269" i="12"/>
  <c r="Z269" i="12"/>
  <c r="B269" i="12"/>
  <c r="AS269" i="12"/>
  <c r="AG269" i="12"/>
  <c r="U269" i="12" s="1"/>
  <c r="A270" i="12" a="1"/>
  <c r="V269" i="12" l="1"/>
  <c r="R269" i="12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AC270" i="12"/>
  <c r="E270" i="12"/>
  <c r="Z270" i="12"/>
  <c r="AK270" i="12"/>
  <c r="AS270" i="12"/>
  <c r="AL270" i="12"/>
  <c r="D270" i="12"/>
  <c r="AF270" i="12"/>
  <c r="AO270" i="12"/>
  <c r="AA270" i="12"/>
  <c r="AN270" i="12"/>
  <c r="AR270" i="12"/>
  <c r="C270" i="12"/>
  <c r="AH270" i="12"/>
  <c r="L270" i="12"/>
  <c r="AT270" i="12"/>
  <c r="J270" i="12"/>
  <c r="B270" i="12"/>
  <c r="K270" i="12"/>
  <c r="AB270" i="12"/>
  <c r="AG270" i="12"/>
  <c r="U270" i="12" s="1"/>
  <c r="Y270" i="12"/>
  <c r="AM270" i="12"/>
  <c r="I270" i="12"/>
  <c r="AD270" i="12"/>
  <c r="A271" i="12" a="1"/>
  <c r="N270" i="12" l="1"/>
  <c r="O270" i="12"/>
  <c r="R270" i="12"/>
  <c r="S270" i="12"/>
  <c r="P270" i="12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C271" i="12"/>
  <c r="AO271" i="12"/>
  <c r="AD271" i="12"/>
  <c r="D271" i="12"/>
  <c r="AM271" i="12"/>
  <c r="AS271" i="12"/>
  <c r="AH271" i="12"/>
  <c r="A272" i="12" a="1"/>
  <c r="P271" i="12" l="1"/>
  <c r="T271" i="12"/>
  <c r="V271" i="12"/>
  <c r="U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I272" i="12"/>
  <c r="AN272" i="12"/>
  <c r="AS272" i="12"/>
  <c r="AF272" i="12"/>
  <c r="B272" i="12"/>
  <c r="AC272" i="12"/>
  <c r="E272" i="12"/>
  <c r="Y272" i="12"/>
  <c r="AH272" i="12"/>
  <c r="AE272" i="12"/>
  <c r="D272" i="12"/>
  <c r="AQ272" i="12"/>
  <c r="AD272" i="12"/>
  <c r="R272" i="12" s="1"/>
  <c r="L272" i="12"/>
  <c r="A273" i="12" a="1"/>
  <c r="Q272" i="12" l="1"/>
  <c r="U272" i="12"/>
  <c r="V272" i="12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D273" i="12"/>
  <c r="L273" i="12"/>
  <c r="AT273" i="12"/>
  <c r="AS273" i="12"/>
  <c r="AB273" i="12"/>
  <c r="AC273" i="12"/>
  <c r="Y273" i="12"/>
  <c r="A274" i="12" a="1"/>
  <c r="U273" i="12" l="1"/>
  <c r="O273" i="12"/>
  <c r="V273" i="12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A275" i="12" a="1"/>
  <c r="T274" i="12" l="1"/>
  <c r="P274" i="12"/>
  <c r="Q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AH275" i="12"/>
  <c r="V275" i="12" s="1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U275" i="12" l="1"/>
  <c r="Q275" i="12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Y276" i="12"/>
  <c r="C276" i="12"/>
  <c r="J276" i="12"/>
  <c r="Z276" i="12"/>
  <c r="AS276" i="12"/>
  <c r="AM276" i="12"/>
  <c r="L276" i="12"/>
  <c r="AT276" i="12"/>
  <c r="AC276" i="12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Q276" i="12" l="1"/>
  <c r="S276" i="12"/>
  <c r="U276" i="12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V277" i="12" s="1"/>
  <c r="AK277" i="12"/>
  <c r="AO277" i="12"/>
  <c r="L277" i="12"/>
  <c r="K277" i="12"/>
  <c r="AG277" i="12"/>
  <c r="AE277" i="12"/>
  <c r="I277" i="12"/>
  <c r="B277" i="12"/>
  <c r="A278" i="12" a="1"/>
  <c r="N277" i="12" l="1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L278" i="12"/>
  <c r="J278" i="12"/>
  <c r="AH278" i="12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D278" i="12"/>
  <c r="AB278" i="12"/>
  <c r="A279" i="12" a="1"/>
  <c r="R278" i="12" l="1"/>
  <c r="V278" i="12"/>
  <c r="O278" i="12"/>
  <c r="U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AO279" i="12"/>
  <c r="AF279" i="12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A280" i="12" a="1"/>
  <c r="T279" i="12" l="1"/>
  <c r="S279" i="12"/>
  <c r="N279" i="12"/>
  <c r="P279" i="12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K280" i="12"/>
  <c r="AE280" i="12"/>
  <c r="I280" i="12"/>
  <c r="AT280" i="12"/>
  <c r="AF280" i="12"/>
  <c r="AG280" i="12"/>
  <c r="L280" i="12"/>
  <c r="Y280" i="12"/>
  <c r="AN280" i="12"/>
  <c r="Z280" i="12"/>
  <c r="AC280" i="12"/>
  <c r="B280" i="12"/>
  <c r="C280" i="12"/>
  <c r="AP280" i="12"/>
  <c r="AB280" i="12"/>
  <c r="AD280" i="12"/>
  <c r="D280" i="12"/>
  <c r="AR280" i="12"/>
  <c r="AQ280" i="12"/>
  <c r="E280" i="12"/>
  <c r="AS280" i="12"/>
  <c r="AL280" i="12"/>
  <c r="AK280" i="12"/>
  <c r="AH280" i="12"/>
  <c r="AO280" i="12"/>
  <c r="A281" i="12" a="1"/>
  <c r="O280" i="12" l="1"/>
  <c r="R280" i="12"/>
  <c r="N280" i="12"/>
  <c r="Q280" i="12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N281" i="12" l="1"/>
  <c r="O281" i="12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K282" i="12"/>
  <c r="AF282" i="12"/>
  <c r="D282" i="12"/>
  <c r="AH282" i="12"/>
  <c r="Z282" i="12"/>
  <c r="AB282" i="12"/>
  <c r="E282" i="12"/>
  <c r="AD282" i="12"/>
  <c r="A283" i="12" a="1"/>
  <c r="R282" i="12" l="1"/>
  <c r="P282" i="12"/>
  <c r="S282" i="12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P283" i="12" s="1"/>
  <c r="L283" i="12"/>
  <c r="AT283" i="12"/>
  <c r="AN283" i="12"/>
  <c r="AE283" i="12"/>
  <c r="AP283" i="12"/>
  <c r="Z283" i="12"/>
  <c r="K283" i="12"/>
  <c r="AA283" i="12"/>
  <c r="AK283" i="12"/>
  <c r="AM283" i="12"/>
  <c r="AD283" i="12"/>
  <c r="E283" i="12"/>
  <c r="AH283" i="12"/>
  <c r="AO283" i="12"/>
  <c r="J283" i="12"/>
  <c r="A284" i="12" a="1"/>
  <c r="N283" i="12" l="1"/>
  <c r="S283" i="12"/>
  <c r="Q283" i="12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AN284" i="12"/>
  <c r="AO284" i="12"/>
  <c r="AG284" i="12"/>
  <c r="AF284" i="12"/>
  <c r="AE284" i="12"/>
  <c r="AL284" i="12"/>
  <c r="AB284" i="12"/>
  <c r="AA284" i="12"/>
  <c r="Z284" i="12"/>
  <c r="L284" i="12"/>
  <c r="J284" i="12"/>
  <c r="AD284" i="12"/>
  <c r="B284" i="12"/>
  <c r="AK284" i="12"/>
  <c r="AT284" i="12"/>
  <c r="AC284" i="12"/>
  <c r="I284" i="12"/>
  <c r="A285" i="12" a="1"/>
  <c r="R284" i="12" l="1"/>
  <c r="N284" i="12"/>
  <c r="V284" i="12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AS285" i="12"/>
  <c r="AT285" i="12"/>
  <c r="L285" i="12"/>
  <c r="AB285" i="12"/>
  <c r="AM285" i="12"/>
  <c r="I285" i="12"/>
  <c r="K285" i="12"/>
  <c r="A286" i="12" a="1"/>
  <c r="N285" i="12" l="1"/>
  <c r="Q285" i="12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AE286" i="12"/>
  <c r="AK286" i="12"/>
  <c r="K286" i="12"/>
  <c r="Z286" i="12"/>
  <c r="AF286" i="12"/>
  <c r="T286" i="12" s="1"/>
  <c r="Y286" i="12"/>
  <c r="AQ286" i="12"/>
  <c r="AO286" i="12"/>
  <c r="AL286" i="12"/>
  <c r="AC286" i="12"/>
  <c r="B286" i="12"/>
  <c r="AG286" i="12"/>
  <c r="D286" i="12"/>
  <c r="AT286" i="12"/>
  <c r="C286" i="12"/>
  <c r="AM286" i="12"/>
  <c r="A287" i="12" a="1"/>
  <c r="S286" i="12" l="1"/>
  <c r="V286" i="12"/>
  <c r="Q286" i="12"/>
  <c r="O286" i="12"/>
  <c r="AU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L287" i="12"/>
  <c r="AQ287" i="12"/>
  <c r="D287" i="12"/>
  <c r="AA287" i="12"/>
  <c r="J287" i="12"/>
  <c r="AN287" i="12"/>
  <c r="AB287" i="12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P287" i="12" l="1"/>
  <c r="V287" i="12"/>
  <c r="N287" i="12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AN288" i="12"/>
  <c r="E288" i="12"/>
  <c r="D288" i="12"/>
  <c r="K288" i="12"/>
  <c r="I288" i="12"/>
  <c r="L288" i="12"/>
  <c r="AO288" i="12"/>
  <c r="B288" i="12"/>
  <c r="AT288" i="12"/>
  <c r="J288" i="12"/>
  <c r="AF288" i="12"/>
  <c r="T288" i="12" s="1"/>
  <c r="Z288" i="12"/>
  <c r="AS288" i="12"/>
  <c r="AE288" i="12"/>
  <c r="AB288" i="12"/>
  <c r="AG288" i="12"/>
  <c r="A289" i="12" a="1"/>
  <c r="Q288" i="12" l="1"/>
  <c r="U288" i="12"/>
  <c r="AU288" i="12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L289" i="12"/>
  <c r="AR289" i="12"/>
  <c r="AH289" i="12"/>
  <c r="C289" i="12"/>
  <c r="Z289" i="12"/>
  <c r="AP289" i="12"/>
  <c r="AF289" i="12"/>
  <c r="AB289" i="12"/>
  <c r="AO289" i="12"/>
  <c r="AA289" i="12"/>
  <c r="B289" i="12"/>
  <c r="AS289" i="12"/>
  <c r="AC289" i="12"/>
  <c r="J289" i="12"/>
  <c r="AM289" i="12"/>
  <c r="AE289" i="12"/>
  <c r="AT289" i="12"/>
  <c r="Y289" i="12"/>
  <c r="AG289" i="12"/>
  <c r="AN289" i="12"/>
  <c r="K289" i="12"/>
  <c r="AL289" i="12"/>
  <c r="AK289" i="12"/>
  <c r="A290" i="12" a="1"/>
  <c r="P289" i="12" l="1"/>
  <c r="S289" i="12"/>
  <c r="R289" i="12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K290" i="12"/>
  <c r="AE290" i="12"/>
  <c r="E290" i="12"/>
  <c r="I290" i="12"/>
  <c r="AP290" i="12"/>
  <c r="B290" i="12"/>
  <c r="AT290" i="12"/>
  <c r="AK290" i="12"/>
  <c r="AN290" i="12"/>
  <c r="A291" i="12" a="1"/>
  <c r="S290" i="12" l="1"/>
  <c r="R290" i="12"/>
  <c r="T290" i="12"/>
  <c r="N290" i="12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N291" i="12" l="1"/>
  <c r="U291" i="12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AR292" i="12"/>
  <c r="AE292" i="12"/>
  <c r="AN292" i="12"/>
  <c r="AP292" i="12"/>
  <c r="AS292" i="12"/>
  <c r="AL292" i="12"/>
  <c r="AO292" i="12"/>
  <c r="K292" i="12"/>
  <c r="AA292" i="12"/>
  <c r="Y292" i="12"/>
  <c r="Z292" i="12"/>
  <c r="AD292" i="12"/>
  <c r="L292" i="12"/>
  <c r="AF292" i="12"/>
  <c r="J292" i="12"/>
  <c r="D292" i="12"/>
  <c r="AB292" i="12"/>
  <c r="A293" i="12" a="1"/>
  <c r="Q292" i="12" l="1"/>
  <c r="N292" i="12"/>
  <c r="R292" i="12"/>
  <c r="U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AE293" i="12"/>
  <c r="AG293" i="12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C293" i="12"/>
  <c r="K293" i="12"/>
  <c r="AK293" i="12"/>
  <c r="AH293" i="12"/>
  <c r="AS293" i="12"/>
  <c r="AA293" i="12"/>
  <c r="AB293" i="12"/>
  <c r="AL293" i="12"/>
  <c r="A294" i="12" a="1"/>
  <c r="Q293" i="12" l="1"/>
  <c r="T293" i="12"/>
  <c r="O293" i="12"/>
  <c r="U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R294" i="12" l="1"/>
  <c r="T294" i="12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Z295" i="12"/>
  <c r="K295" i="12"/>
  <c r="C295" i="12"/>
  <c r="AA295" i="12"/>
  <c r="AQ295" i="12"/>
  <c r="AB295" i="12"/>
  <c r="B295" i="12"/>
  <c r="AT295" i="12"/>
  <c r="AD295" i="12"/>
  <c r="AK295" i="12"/>
  <c r="D295" i="12"/>
  <c r="AG295" i="12"/>
  <c r="U295" i="12" s="1"/>
  <c r="AP295" i="12"/>
  <c r="E295" i="12"/>
  <c r="AR295" i="12"/>
  <c r="A296" i="12" a="1"/>
  <c r="R295" i="12" l="1"/>
  <c r="S295" i="12"/>
  <c r="P295" i="12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V296" i="12" s="1"/>
  <c r="AM296" i="12"/>
  <c r="I296" i="12"/>
  <c r="AD296" i="12"/>
  <c r="AB296" i="12"/>
  <c r="L296" i="12"/>
  <c r="AF296" i="12"/>
  <c r="T296" i="12" s="1"/>
  <c r="Y296" i="12"/>
  <c r="A297" i="12" a="1"/>
  <c r="N296" i="12" l="1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AC297" i="12"/>
  <c r="AO297" i="12"/>
  <c r="AM297" i="12"/>
  <c r="Y297" i="12"/>
  <c r="AR297" i="12"/>
  <c r="C297" i="12"/>
  <c r="AG297" i="12"/>
  <c r="AH297" i="12"/>
  <c r="V297" i="12" s="1"/>
  <c r="A298" i="12" a="1"/>
  <c r="U297" i="12" l="1"/>
  <c r="R297" i="12"/>
  <c r="T297" i="12"/>
  <c r="P297" i="12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AE298" i="12"/>
  <c r="AO298" i="12"/>
  <c r="AL298" i="12"/>
  <c r="AQ298" i="12"/>
  <c r="AD298" i="12"/>
  <c r="AB298" i="12"/>
  <c r="AM298" i="12"/>
  <c r="AA298" i="12"/>
  <c r="AN298" i="12"/>
  <c r="AS298" i="12"/>
  <c r="L298" i="12"/>
  <c r="AC298" i="12"/>
  <c r="Y298" i="12"/>
  <c r="I298" i="12"/>
  <c r="E298" i="12"/>
  <c r="AP298" i="12"/>
  <c r="AF298" i="12"/>
  <c r="AK298" i="12"/>
  <c r="AR298" i="12"/>
  <c r="AG298" i="12"/>
  <c r="D298" i="12"/>
  <c r="AH298" i="12"/>
  <c r="A299" i="12" a="1"/>
  <c r="V298" i="12" l="1"/>
  <c r="S298" i="12"/>
  <c r="T298" i="12"/>
  <c r="N298" i="12"/>
  <c r="U298" i="12"/>
  <c r="Q298" i="12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V299" i="12" s="1"/>
  <c r="I299" i="12"/>
  <c r="L299" i="12"/>
  <c r="AF299" i="12"/>
  <c r="AG299" i="12"/>
  <c r="AN299" i="12"/>
  <c r="AK299" i="12"/>
  <c r="AS299" i="12"/>
  <c r="AA299" i="12"/>
  <c r="O299" i="12" s="1"/>
  <c r="A300" i="12" a="1"/>
  <c r="T299" i="12" l="1"/>
  <c r="N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AH300" i="12"/>
  <c r="L300" i="12"/>
  <c r="AA300" i="12"/>
  <c r="AC300" i="12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Q300" i="12" l="1"/>
  <c r="V300" i="12"/>
  <c r="O300" i="12"/>
  <c r="N300" i="12"/>
  <c r="R300" i="12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<sst xmlns="http://schemas.openxmlformats.org/spreadsheetml/2006/main" count="2342" uniqueCount="1415">
  <si>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</si>
  <si>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</si>
  <si>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</si>
  <si>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</si>
  <si>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</si>
  <si>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</si>
  <si>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</si>
  <si>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</si>
  <si>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</si>
  <si>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</si>
  <si>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</si>
  <si>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</si>
  <si>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</si>
  <si>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</si>
  <si>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</si>
  <si>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</si>
  <si>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</si>
  <si>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</si>
  <si>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</si>
  <si>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</si>
  <si>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</si>
  <si>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</si>
  <si>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</si>
  <si>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</si>
  <si>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</si>
  <si>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</si>
  <si>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</si>
  <si>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</si>
  <si>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</si>
  <si>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</si>
  <si>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</si>
  <si>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</si>
  <si>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</si>
  <si>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</si>
  <si>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</si>
  <si>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</si>
  <si>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</si>
  <si>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</si>
  <si>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</si>
  <si>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</si>
  <si>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</si>
  <si>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</si>
  <si>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</si>
  <si>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</si>
  <si>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</si>
  <si>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</si>
  <si>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</si>
  <si>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</si>
  <si>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</si>
  <si>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</si>
  <si>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</si>
  <si>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</si>
  <si>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</si>
  <si>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</si>
  <si>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</si>
  <si>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</si>
  <si>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</si>
  <si>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</si>
  <si>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</si>
  <si>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</si>
  <si>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</si>
  <si>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</si>
  <si>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</si>
  <si>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</si>
  <si>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</si>
  <si>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</si>
  <si>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</si>
  <si>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</si>
  <si>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</si>
  <si>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</si>
  <si>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</si>
  <si>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</si>
  <si>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</si>
  <si>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</si>
  <si>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</si>
  <si>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</si>
  <si>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</si>
  <si>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</si>
  <si>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</si>
  <si>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</si>
  <si>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</si>
  <si>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</si>
  <si>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</si>
  <si>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</si>
  <si>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</si>
  <si>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</si>
  <si>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</si>
  <si>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</si>
  <si>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</si>
  <si>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</si>
  <si>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</si>
  <si>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</si>
  <si>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</si>
  <si>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</si>
  <si>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</si>
  <si>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</si>
  <si>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</si>
  <si>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</si>
  <si>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</si>
  <si>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</si>
  <si>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</si>
  <si>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</si>
  <si>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</si>
  <si>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</si>
  <si>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</si>
  <si>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</si>
  <si>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</si>
  <si>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</si>
  <si>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</si>
  <si>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</si>
  <si>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</si>
  <si>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</si>
  <si>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</si>
  <si>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</si>
  <si>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</si>
  <si>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</si>
  <si>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</si>
  <si>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</si>
  <si>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</si>
  <si>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</si>
  <si>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</si>
  <si>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</si>
  <si>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</si>
  <si>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</si>
  <si>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</si>
  <si>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</si>
  <si>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</si>
  <si>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</si>
  <si>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</si>
  <si>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</si>
  <si>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</si>
  <si>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</si>
  <si>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</si>
  <si>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</si>
  <si>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</si>
  <si>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</si>
  <si>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</si>
  <si>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</si>
  <si>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</si>
  <si>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</si>
  <si>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</si>
  <si>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</si>
  <si>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</si>
  <si>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</si>
  <si>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</si>
  <si>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</si>
  <si>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</si>
  <si>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</si>
  <si>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</si>
  <si>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</si>
  <si>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</si>
  <si>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</si>
  <si>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</si>
  <si>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</si>
  <si>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</si>
  <si>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</si>
  <si>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</si>
  <si>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</si>
  <si>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</si>
  <si>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</si>
  <si>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</si>
  <si>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</si>
  <si>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</si>
  <si>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</si>
  <si>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</si>
  <si>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</si>
  <si>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</si>
  <si>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</si>
  <si>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</si>
  <si>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</si>
  <si>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</si>
  <si>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</si>
  <si>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</si>
  <si>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</si>
  <si>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</si>
  <si>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</si>
  <si>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</si>
  <si>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</si>
  <si>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</si>
  <si>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</si>
  <si>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</si>
  <si>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</si>
  <si>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</si>
  <si>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</si>
  <si>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</si>
  <si>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</si>
  <si>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</si>
  <si>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</si>
  <si>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</si>
  <si>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</si>
  <si>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</si>
  <si>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</si>
  <si>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</si>
  <si>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</si>
  <si>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</si>
  <si>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</si>
  <si>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</si>
  <si>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</si>
  <si>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</si>
  <si>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</si>
  <si>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</si>
  <si>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</si>
  <si>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</si>
  <si>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</si>
  <si>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</si>
  <si>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</si>
  <si>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</si>
  <si>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</si>
  <si>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</si>
  <si>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</si>
  <si>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</si>
  <si>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</si>
  <si>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</si>
  <si>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</si>
  <si>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</si>
  <si>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</si>
  <si>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</si>
  <si>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</si>
  <si>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</si>
  <si>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</si>
  <si>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</si>
  <si>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</si>
  <si>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</si>
  <si>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</si>
  <si>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</si>
  <si>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</si>
  <si>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</si>
  <si>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</si>
  <si>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</si>
  <si>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</si>
  <si>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</si>
  <si>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</si>
  <si>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</si>
  <si>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</si>
  <si>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</si>
  <si>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</si>
  <si>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</si>
  <si>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</si>
  <si>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</si>
  <si>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</si>
  <si>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</si>
  <si>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</si>
  <si>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</si>
  <si>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</si>
  <si>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</si>
  <si>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</si>
  <si>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</si>
  <si>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</si>
  <si>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</si>
  <si>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</si>
  <si>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</si>
  <si>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</si>
  <si>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</si>
  <si>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</si>
  <si>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</si>
  <si>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</si>
  <si>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</si>
  <si>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</si>
  <si>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</si>
  <si>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</si>
  <si>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</si>
  <si>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</si>
  <si>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</si>
  <si>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</si>
  <si>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</si>
  <si>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</si>
  <si>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</si>
  <si>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</si>
  <si>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</si>
  <si>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</si>
  <si>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</si>
  <si>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</si>
  <si>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</si>
  <si>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</si>
  <si>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</si>
  <si>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</si>
  <si>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</si>
  <si>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</si>
  <si>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</si>
  <si>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</si>
  <si>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</si>
  <si>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</si>
  <si>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</si>
  <si>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</si>
  <si>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</si>
  <si>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</si>
  <si>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</si>
  <si>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</si>
  <si>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</si>
  <si>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</si>
  <si>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</si>
  <si>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</si>
  <si>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</si>
  <si>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</si>
  <si>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</si>
  <si>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</si>
  <si>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</si>
  <si>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</si>
  <si>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</si>
  <si>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</si>
  <si>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</si>
  <si>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</si>
  <si>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</si>
  <si>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</si>
  <si>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</si>
  <si>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</si>
  <si>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</si>
  <si>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</si>
  <si>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</si>
  <si>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</si>
  <si>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</si>
  <si>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</si>
  <si>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</si>
  <si>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</si>
  <si>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</si>
  <si>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</si>
  <si>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</si>
  <si>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</si>
  <si>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</si>
  <si>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</si>
  <si>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</si>
  <si>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</si>
  <si>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</si>
  <si>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</si>
  <si>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</si>
  <si>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</si>
  <si>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</si>
  <si>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</si>
  <si>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</si>
  <si>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</si>
  <si>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</si>
  <si>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</si>
  <si>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</si>
  <si>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</si>
  <si>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</si>
  <si>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</si>
  <si>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</si>
  <si>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</si>
  <si>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</si>
  <si>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</si>
  <si>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</si>
  <si>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</si>
  <si>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</si>
  <si>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</si>
  <si>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</si>
  <si>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</si>
  <si>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</si>
  <si>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</si>
  <si>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</si>
  <si>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</si>
  <si>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</si>
  <si>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</si>
  <si>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</si>
  <si>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</si>
  <si>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</si>
  <si>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</si>
  <si>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</si>
  <si>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</si>
  <si>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</si>
  <si>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</si>
  <si>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</si>
  <si>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</si>
  <si>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</si>
  <si>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</si>
  <si>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</si>
  <si>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</si>
  <si>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</si>
  <si>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</si>
  <si>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</si>
  <si>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</si>
  <si>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</si>
  <si>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</si>
  <si>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</si>
  <si>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</si>
  <si>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</si>
  <si>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</si>
  <si>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</si>
  <si>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</si>
  <si>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</si>
  <si>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</si>
  <si>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</si>
  <si>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</si>
  <si>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</si>
  <si>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</si>
  <si>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</si>
  <si>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</si>
  <si>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</si>
  <si>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</si>
  <si>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</si>
  <si>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</si>
  <si>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</si>
  <si>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</si>
  <si>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</si>
  <si>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</si>
  <si>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</si>
  <si>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</si>
  <si>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</si>
  <si>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</si>
  <si>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</si>
  <si>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</si>
  <si>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</si>
  <si>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</si>
  <si>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</si>
  <si>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</si>
  <si>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</si>
  <si>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</si>
  <si>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</si>
  <si>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</si>
  <si>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</si>
  <si>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</si>
  <si>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</si>
  <si>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</si>
  <si>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</si>
  <si>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</si>
  <si>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</si>
  <si>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</si>
  <si>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</si>
  <si>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</si>
  <si>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</si>
  <si>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</si>
  <si>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</si>
  <si>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</si>
  <si>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</si>
  <si>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</si>
  <si>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</si>
  <si>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</si>
  <si>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</si>
  <si>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</si>
  <si>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</si>
  <si>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</si>
  <si>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</si>
  <si>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</si>
  <si>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</si>
  <si>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</si>
  <si>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</si>
  <si>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</si>
  <si>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</si>
  <si>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</si>
  <si>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</si>
  <si>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</si>
  <si>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</si>
  <si>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</si>
  <si>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</si>
  <si>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</si>
  <si>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</si>
  <si>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</si>
  <si>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</si>
  <si>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</si>
  <si>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</si>
  <si>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</si>
  <si>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</si>
  <si>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</si>
  <si>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</si>
  <si>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</si>
  <si>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</si>
  <si>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</si>
  <si>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</si>
  <si>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</si>
  <si>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</si>
  <si>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</si>
  <si>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</si>
  <si>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</si>
  <si>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</si>
  <si>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</si>
  <si>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</si>
  <si>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</si>
  <si>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</si>
  <si>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</si>
  <si>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</si>
  <si>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</si>
  <si>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</si>
  <si>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</si>
  <si>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</si>
  <si>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</si>
  <si>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</si>
  <si>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</si>
  <si>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</si>
  <si>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</si>
  <si>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</si>
  <si>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</si>
  <si>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</si>
  <si>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</si>
  <si>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</si>
  <si>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</si>
  <si>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</si>
  <si>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</si>
  <si>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</si>
  <si>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</si>
  <si>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</si>
  <si>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</si>
  <si>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</si>
  <si>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</si>
  <si>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</si>
  <si>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</si>
  <si>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</si>
  <si>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</si>
  <si>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</si>
  <si>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</si>
  <si>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</si>
  <si>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</si>
  <si>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</si>
  <si>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</si>
  <si>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</si>
  <si>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</si>
  <si>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</si>
  <si>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</si>
  <si>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</si>
  <si>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</si>
  <si>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</si>
  <si>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</si>
  <si>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</si>
  <si>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</si>
  <si>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</si>
  <si>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</si>
  <si>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</si>
  <si>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</si>
  <si>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</si>
  <si>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</si>
  <si>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</si>
  <si>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</si>
  <si>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</si>
  <si>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</si>
  <si>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</si>
  <si>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</si>
  <si>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</si>
  <si>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</si>
  <si>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</si>
  <si>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</si>
  <si>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</si>
  <si>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</si>
  <si>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</si>
  <si>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</si>
  <si>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</si>
  <si>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</si>
  <si>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</si>
  <si>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</si>
  <si>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</si>
  <si>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</si>
  <si>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</si>
  <si>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</si>
  <si>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</si>
  <si>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</si>
  <si>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</si>
  <si>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</si>
  <si>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</si>
  <si>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</si>
  <si>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</si>
  <si>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</si>
  <si>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</si>
  <si>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</si>
  <si>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</si>
  <si>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</si>
  <si>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</si>
  <si>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</si>
  <si>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</si>
  <si>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</si>
  <si>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</si>
  <si>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</si>
  <si>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</si>
  <si>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</si>
  <si>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</si>
  <si>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</si>
  <si>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</si>
  <si>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</si>
  <si>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</si>
  <si>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</si>
  <si>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</si>
  <si>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</si>
  <si>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</si>
  <si>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</si>
  <si>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</si>
  <si>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</si>
  <si>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</si>
  <si>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</si>
  <si>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</si>
  <si>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</si>
  <si>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</si>
  <si>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</si>
  <si>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</si>
  <si>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</si>
  <si>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</si>
  <si>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</si>
  <si>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</si>
  <si>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</si>
  <si>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</si>
  <si>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</si>
  <si>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</si>
  <si>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</si>
  <si>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</si>
  <si>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</si>
  <si>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</si>
  <si>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</si>
  <si>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</si>
  <si>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</si>
  <si>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</si>
  <si>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</si>
  <si>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</si>
  <si>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</si>
  <si>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</si>
  <si>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</si>
  <si>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</si>
  <si>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</si>
  <si>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</si>
  <si>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</si>
  <si>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</si>
  <si>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</si>
  <si>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</si>
  <si>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</si>
  <si>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</si>
  <si>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</si>
  <si>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</si>
  <si>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</si>
  <si>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</si>
  <si>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</si>
  <si>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</si>
  <si>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</si>
  <si>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</si>
  <si>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</si>
  <si>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</si>
  <si>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</si>
  <si>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</si>
  <si>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</si>
  <si>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</si>
  <si>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</si>
  <si>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</si>
  <si>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</si>
  <si>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</si>
  <si>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</si>
  <si>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</si>
  <si>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</si>
  <si>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</si>
  <si>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</si>
  <si>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</si>
  <si>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</si>
  <si>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</si>
  <si>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</si>
  <si>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</si>
  <si>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</si>
  <si>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</si>
  <si>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</si>
  <si>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</si>
  <si>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</si>
  <si>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</si>
  <si>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</si>
  <si>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</si>
  <si>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</si>
  <si>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</si>
  <si>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</si>
  <si>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</si>
  <si>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</si>
  <si>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</si>
  <si>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</si>
  <si>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</si>
  <si>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</si>
  <si>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</si>
  <si>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</si>
  <si>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</si>
  <si>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</si>
  <si>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</si>
  <si>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</si>
  <si>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</si>
  <si>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</si>
  <si>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</si>
  <si>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</si>
  <si>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</si>
  <si>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</si>
  <si>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</si>
  <si>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</si>
  <si>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</si>
  <si>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</si>
  <si>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</si>
  <si>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</si>
  <si>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</si>
  <si>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</si>
  <si>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</si>
  <si>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</si>
  <si>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</si>
  <si>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</si>
  <si>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</si>
  <si>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</si>
  <si>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</si>
  <si>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</si>
  <si>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</si>
  <si>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</si>
  <si>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</si>
  <si>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</si>
  <si>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</si>
  <si>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</si>
  <si>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</si>
  <si>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</si>
  <si>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</si>
  <si>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</si>
  <si>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</si>
  <si>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</si>
  <si>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</si>
  <si>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</si>
  <si>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</si>
  <si>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</si>
  <si>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</si>
  <si>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</si>
  <si>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</si>
  <si>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</si>
  <si>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</si>
  <si>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</si>
  <si>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</si>
  <si>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</si>
  <si>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</si>
  <si>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</si>
  <si>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</si>
  <si>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</si>
  <si>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</si>
  <si>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</si>
  <si>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</si>
  <si>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</si>
  <si>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</si>
  <si>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</si>
  <si>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</si>
  <si>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</si>
  <si>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</si>
  <si>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</si>
  <si>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</si>
  <si>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</si>
  <si>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</si>
  <si>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</si>
  <si>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</si>
  <si>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</si>
  <si>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</si>
  <si>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</si>
  <si>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</si>
  <si>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</si>
  <si>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</si>
  <si>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</si>
  <si>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</si>
  <si>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</si>
  <si>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</si>
  <si>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</si>
  <si>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</si>
  <si>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</si>
  <si>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</si>
  <si>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</si>
  <si>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</si>
  <si>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</si>
  <si>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</si>
  <si>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</si>
  <si>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</si>
  <si>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</si>
  <si>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</si>
  <si>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</si>
  <si>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</si>
  <si>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</si>
  <si>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</si>
  <si>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</si>
  <si>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</si>
  <si>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</si>
  <si>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</si>
  <si>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</si>
  <si>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</si>
  <si>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</si>
  <si>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</si>
  <si>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</si>
  <si>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</si>
  <si>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</si>
  <si>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</si>
  <si>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</si>
  <si>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</si>
  <si>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</si>
  <si>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</si>
  <si>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</si>
  <si>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</si>
  <si>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</si>
  <si>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</si>
  <si>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</si>
  <si>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</si>
  <si>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</si>
  <si>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</si>
  <si>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</si>
  <si>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</si>
  <si>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</si>
  <si>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</si>
  <si>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</si>
  <si>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</si>
  <si>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</si>
  <si>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</si>
  <si>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</si>
  <si>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</si>
  <si>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</si>
  <si>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</si>
  <si>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</si>
  <si>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</si>
  <si>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</si>
  <si>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</si>
  <si>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</si>
  <si>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</si>
  <si>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</si>
  <si>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</si>
  <si>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</si>
  <si>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</si>
  <si>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</si>
  <si>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</si>
  <si>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</si>
  <si>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</si>
  <si>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</si>
  <si>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</si>
  <si>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</si>
  <si>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</si>
  <si>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</si>
  <si>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</si>
  <si>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</si>
  <si>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</si>
  <si>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</si>
  <si>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</si>
  <si>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</si>
  <si>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</si>
  <si>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</si>
  <si>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</si>
  <si>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</si>
  <si>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</si>
  <si>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</si>
  <si>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</si>
  <si>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</si>
  <si>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</si>
  <si>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</si>
  <si>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</si>
  <si>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</si>
  <si>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</si>
  <si>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</si>
  <si>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</si>
  <si>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</si>
  <si>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</si>
  <si>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</si>
  <si>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</si>
  <si>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</si>
  <si>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</si>
  <si>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</si>
  <si>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</si>
  <si>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</si>
  <si>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</si>
  <si>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</si>
  <si>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</si>
  <si>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</si>
  <si>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</si>
  <si>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</si>
  <si>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</si>
  <si>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</si>
  <si>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</si>
  <si>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</si>
  <si>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</si>
  <si>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</si>
  <si>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</si>
  <si>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</si>
  <si>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</si>
  <si>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</si>
  <si>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</si>
  <si>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</si>
  <si>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</si>
  <si>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</si>
  <si>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</si>
  <si>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</si>
  <si>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</si>
  <si>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</si>
  <si>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</si>
  <si>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</si>
  <si>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</si>
  <si>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</si>
  <si>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</si>
  <si>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</si>
  <si>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</si>
  <si>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</si>
  <si>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</si>
  <si>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</si>
  <si>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</si>
  <si>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</si>
  <si>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</si>
  <si>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</si>
  <si>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</si>
  <si>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</si>
  <si>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</si>
  <si>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</si>
  <si>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</si>
  <si>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</si>
  <si>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</si>
  <si>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</si>
  <si>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</si>
  <si>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</si>
  <si>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</si>
  <si>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</si>
  <si>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</si>
  <si>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</si>
  <si>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</si>
  <si>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</si>
  <si>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</si>
  <si>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</si>
  <si>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</si>
  <si>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</si>
  <si>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</si>
  <si>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</si>
  <si>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</si>
  <si>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</si>
  <si>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</si>
  <si>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</si>
  <si>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</si>
  <si>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</si>
  <si>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</si>
  <si>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</si>
  <si>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</si>
  <si>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</si>
  <si>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</si>
  <si>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</si>
  <si>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</si>
  <si>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</si>
  <si>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</si>
  <si>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</si>
  <si>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</si>
  <si>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</si>
  <si>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</si>
  <si>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</si>
  <si>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</si>
  <si>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</si>
  <si>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</si>
  <si>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</si>
  <si>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</si>
  <si>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</si>
  <si>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</si>
  <si>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</si>
  <si>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</si>
  <si>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</si>
  <si>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</si>
  <si>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</si>
  <si>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</si>
  <si>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</si>
  <si>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</si>
  <si>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</si>
  <si>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</si>
  <si>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</si>
  <si>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</si>
  <si>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</si>
  <si>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</si>
  <si>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</si>
  <si>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</si>
  <si>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</si>
  <si>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</si>
  <si>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</si>
  <si>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</si>
  <si>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</si>
  <si>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</si>
  <si>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</si>
  <si>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</si>
  <si>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</si>
  <si>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</si>
  <si>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</si>
  <si>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</si>
  <si>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</si>
  <si>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</si>
  <si>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</si>
  <si>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</si>
  <si>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</si>
  <si>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</si>
  <si>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</si>
  <si>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</si>
  <si>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</si>
  <si>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</si>
  <si>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</si>
  <si>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</si>
  <si>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</si>
  <si>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</si>
  <si>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</si>
  <si>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</si>
  <si>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</si>
  <si>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</si>
  <si>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</si>
  <si>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</si>
  <si>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</si>
  <si>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</si>
  <si>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</si>
  <si>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</si>
  <si>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</si>
  <si>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</si>
  <si>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</si>
  <si>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</si>
  <si>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</si>
  <si>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</si>
  <si>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</si>
  <si>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</si>
  <si>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</si>
  <si>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</si>
  <si>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</si>
  <si>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</si>
  <si>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</si>
  <si>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</si>
  <si>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</si>
  <si>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</si>
  <si>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</si>
  <si>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</si>
  <si>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</si>
  <si>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</si>
  <si>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</si>
  <si>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</si>
  <si>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</si>
  <si>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</si>
  <si>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</si>
  <si>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</si>
  <si>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</si>
  <si>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</si>
  <si>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</si>
  <si>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</si>
  <si>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</si>
  <si>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</si>
  <si>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</si>
  <si>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</si>
  <si>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</si>
  <si>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</si>
  <si>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</si>
  <si>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</si>
  <si>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</si>
  <si>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</si>
  <si>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</si>
  <si>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</si>
  <si>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</si>
  <si>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</si>
  <si>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</si>
  <si>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</si>
  <si>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</si>
  <si>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</si>
  <si>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</si>
  <si>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</si>
  <si>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</si>
  <si>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</si>
  <si>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</si>
  <si>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</si>
  <si>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</si>
  <si>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</si>
  <si>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</si>
  <si>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</si>
  <si>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</si>
  <si>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</si>
  <si>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</si>
  <si>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</si>
  <si>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</si>
  <si>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</si>
  <si>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</si>
  <si>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</si>
  <si>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</si>
  <si>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</si>
  <si>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</si>
  <si>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</si>
  <si>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</si>
  <si>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</si>
  <si>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</si>
  <si>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</si>
  <si>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</si>
  <si>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</si>
  <si>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</si>
  <si>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</si>
  <si>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</si>
  <si>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</si>
  <si>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</si>
  <si>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</si>
  <si>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</si>
  <si>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</si>
  <si>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</si>
  <si>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</si>
  <si>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</si>
  <si>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</si>
  <si>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</si>
  <si>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</si>
  <si>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</si>
  <si>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</si>
  <si>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</si>
  <si>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</si>
  <si>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</si>
  <si>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</si>
  <si>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</si>
  <si>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</si>
  <si>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</si>
  <si>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</si>
  <si>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</si>
  <si>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</si>
  <si>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</si>
  <si>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</si>
  <si>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</si>
  <si>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</si>
  <si>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</si>
  <si>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</si>
  <si>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</si>
  <si>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</si>
  <si>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</si>
  <si>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</si>
  <si>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</si>
  <si>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</si>
  <si>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</si>
  <si>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</si>
  <si>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</si>
  <si>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</si>
  <si>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</si>
  <si>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</si>
  <si>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</si>
  <si>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</si>
  <si>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</si>
  <si>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</si>
  <si>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</si>
  <si>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</si>
  <si>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</si>
  <si>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</si>
  <si>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</si>
  <si>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</si>
  <si>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</si>
  <si>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</si>
  <si>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</si>
  <si>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</si>
  <si>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</si>
  <si>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</si>
  <si>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</si>
  <si>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</si>
  <si>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</si>
  <si>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</si>
  <si>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</si>
  <si>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</si>
  <si>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</si>
  <si>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</si>
  <si>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</si>
  <si>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</si>
  <si>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</si>
  <si>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</si>
  <si>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</si>
  <si>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</si>
  <si>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</si>
  <si>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</si>
  <si>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</si>
  <si>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</si>
  <si>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</si>
  <si>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</si>
  <si>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</si>
  <si>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</si>
  <si>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</si>
  <si>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</si>
  <si>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</si>
  <si>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</si>
  <si>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</si>
  <si>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</si>
  <si>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</si>
  <si>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</si>
  <si>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</si>
  <si>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</si>
  <si>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</si>
  <si>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</si>
  <si>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</si>
  <si>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</si>
  <si>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</si>
  <si>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</si>
  <si>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</si>
  <si>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</si>
  <si>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</si>
  <si>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</si>
  <si>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</si>
  <si>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</si>
  <si>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</si>
  <si>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</si>
  <si>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</si>
  <si>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</si>
  <si>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</si>
  <si>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</si>
  <si>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</si>
  <si>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</si>
  <si>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</si>
  <si>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</si>
  <si>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</si>
  <si>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</si>
  <si>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</si>
  <si>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</si>
  <si>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</si>
  <si>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</si>
  <si>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</si>
  <si>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</si>
  <si>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</si>
  <si>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</si>
  <si>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</si>
  <si>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</si>
  <si>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</si>
  <si>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</si>
  <si>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</si>
  <si>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</si>
  <si>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</si>
  <si>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</si>
  <si>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</si>
  <si>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</si>
  <si>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</si>
  <si>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</si>
  <si>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</si>
  <si>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</si>
  <si>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</si>
  <si>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</si>
  <si>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</si>
  <si>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</si>
  <si>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</si>
  <si>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</si>
  <si>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</si>
  <si>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</si>
  <si>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</si>
  <si>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</si>
  <si>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</si>
  <si>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</si>
  <si>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</si>
  <si>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</si>
  <si>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</si>
  <si>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</si>
  <si>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</si>
  <si>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</si>
  <si>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</si>
  <si>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</si>
  <si>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</si>
  <si>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</si>
  <si>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</si>
  <si>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</si>
  <si>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</si>
  <si>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</si>
  <si>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</si>
  <si>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</si>
  <si>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</si>
  <si>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</si>
  <si>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</si>
  <si>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</si>
  <si>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</si>
  <si>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</si>
  <si>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</si>
  <si>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</si>
  <si>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</si>
  <si>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</si>
  <si>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</si>
  <si>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</si>
  <si>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</si>
  <si>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</si>
  <si>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</si>
  <si>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</si>
  <si>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</si>
  <si>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</si>
  <si>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</si>
  <si>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</si>
  <si>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</si>
  <si>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</si>
  <si>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</si>
  <si>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</si>
  <si>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</si>
  <si>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</si>
  <si>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</si>
  <si>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</si>
  <si>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</si>
  <si>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</si>
  <si>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</si>
  <si>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</si>
  <si>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</si>
  <si>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</si>
  <si>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</si>
  <si>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</si>
  <si>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</si>
  <si>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</si>
  <si>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</si>
  <si>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</si>
  <si>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</si>
  <si>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</si>
  <si>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</si>
  <si>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</si>
  <si>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</si>
  <si>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</si>
  <si>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</si>
  <si>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</si>
  <si>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</si>
  <si>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</si>
  <si>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</si>
  <si>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</si>
  <si>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</si>
  <si>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</si>
  <si>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</si>
  <si>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</si>
  <si>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</si>
  <si>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</si>
  <si>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</si>
  <si>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</si>
  <si>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</si>
  <si>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</si>
  <si>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</si>
  <si>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</si>
  <si>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</si>
  <si>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</si>
  <si>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</si>
  <si>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</si>
  <si>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</si>
  <si>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</si>
  <si>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</si>
  <si>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</si>
  <si>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</si>
  <si>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</si>
  <si>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</si>
  <si>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</si>
  <si>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</si>
  <si>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</si>
  <si>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</si>
  <si>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</si>
  <si>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</si>
  <si>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</si>
  <si>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</si>
  <si>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</si>
  <si>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</si>
  <si>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</si>
  <si>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</si>
  <si>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</si>
  <si>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</si>
  <si>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</si>
  <si>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</si>
  <si>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</si>
  <si>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</si>
  <si>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</si>
  <si>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</si>
  <si>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</si>
  <si>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</si>
  <si>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</si>
  <si>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</si>
  <si>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</si>
  <si>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</si>
  <si>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</si>
  <si>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</si>
  <si>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</si>
  <si>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</si>
  <si>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</si>
  <si>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</si>
  <si>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</si>
  <si>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</si>
  <si>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</si>
  <si>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</si>
  <si>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</si>
  <si>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</si>
  <si>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</si>
  <si>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</si>
  <si>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</si>
  <si>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</si>
  <si>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</si>
  <si>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</si>
  <si>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</si>
  <si>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</si>
  <si>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</si>
  <si>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</si>
  <si>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</si>
  <si>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</si>
  <si>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</si>
  <si>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</si>
  <si>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</si>
  <si>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</si>
  <si>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</si>
  <si>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</si>
  <si>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</si>
  <si>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</si>
  <si>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</si>
  <si>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</si>
  <si>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</si>
  <si>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</si>
  <si>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</si>
  <si>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</si>
  <si>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</si>
  <si>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</si>
  <si>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</si>
  <si>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</si>
  <si>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</si>
  <si>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</si>
  <si>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</si>
  <si>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</si>
  <si>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</si>
  <si>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</si>
  <si>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</si>
  <si>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</si>
  <si>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</si>
  <si>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</si>
  <si>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</si>
  <si>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</si>
  <si>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</si>
  <si>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</si>
  <si>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</si>
  <si>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</si>
  <si>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</si>
  <si>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</si>
  <si>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</si>
  <si>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</si>
  <si>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</si>
  <si>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</si>
  <si>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</si>
  <si>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</si>
  <si>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</si>
  <si>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</si>
  <si>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</si>
  <si>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</si>
  <si>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</si>
  <si>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</si>
  <si>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</si>
  <si>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</si>
  <si>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</si>
  <si>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</si>
  <si>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</si>
  <si>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</si>
  <si>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</si>
  <si>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</si>
  <si>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</si>
  <si>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</si>
  <si>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</si>
  <si>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</si>
  <si>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</si>
  <si>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</si>
  <si>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</si>
  <si>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</si>
  <si>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</si>
  <si>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</si>
  <si>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</si>
  <si>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</si>
  <si>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Ghost Festival</t>
  </si>
  <si>
    <t>Kiki Liang</t>
  </si>
  <si>
    <t>Wendy Hsu</t>
  </si>
  <si>
    <t>Richard Tang</t>
    <phoneticPr fontId="2" type="noConversion"/>
  </si>
  <si>
    <t>Valerin Limantomo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</si>
</sst>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&quot;/&quot;yyyy"/>
  </numFmts>
  <fonts count="41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b/>
      <sz val="20"/>
      <color theme="0" tint="-0.499984740745262"/>
      <name val="Helvetica"/>
      <family val="2"/>
    </font>
    <font>
      <sz val="18"/>
      <color rgb="FF0C0C0C"/>
      <name val="Helvetica Neue"/>
      <family val="2"/>
    </font>
    <font>
      <sz val="18"/>
      <color theme="1"/>
      <name val="Helvetica"/>
      <family val="2"/>
    </font>
    <font>
      <sz val="20"/>
      <name val="Helvetica Neue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05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 wrapText="1"/>
      <protection locked="0"/>
    </xf>
    <xf numFmtId="20" fontId="30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7" fillId="0" borderId="0" xfId="0" applyNumberFormat="1" applyFont="1" applyAlignment="1">
      <alignment horizontal="center" vertical="center" wrapText="1"/>
    </xf>
    <xf numFmtId="0" fontId="30" fillId="0" borderId="0" xfId="0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38" fillId="0" borderId="0" xfId="0" applyFont="1" applyAlignment="1" applyProtection="1">
      <alignment horizontal="left" vertical="center" wrapText="1"/>
      <protection locked="0"/>
    </xf>
    <xf numFmtId="0" fontId="39" fillId="0" borderId="0" xfId="0" applyFont="1" applyAlignment="1" applyProtection="1">
      <alignment horizontal="left" vertical="center" wrapText="1"/>
      <protection locked="0"/>
    </xf>
    <xf numFmtId="0" fontId="22" fillId="0" borderId="0" xfId="0" applyFont="1" applyAlignment="1" applyProtection="1">
      <alignment vertical="center"/>
      <protection locked="0"/>
    </xf>
    <xf numFmtId="20" fontId="40" fillId="0" borderId="0" xfId="0" applyNumberFormat="1" applyFont="1" applyAlignment="1" applyProtection="1">
      <alignment horizontal="center" vertical="center"/>
      <protection locked="0"/>
    </xf>
  </cellXfs>
  <cellStyles count="1">
    <cellStyle name="Normal" xfId="0" builtinId="0"/>
  </cellStyles>
  <dxfs count="26"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zoomScale="72" zoomScaleNormal="72" workbookViewId="0">
      <pane xSplit="3" ySplit="1" topLeftCell="X2" activePane="bottomRight" state="frozen"/>
      <selection pane="topRight" activeCell="D1" sqref="D1"/>
      <selection pane="bottomLeft" activeCell="A2" sqref="A2"/>
      <selection pane="bottomRight" activeCell="AQ2" sqref="AQ2:AQ4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28.5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45957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45958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45959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45960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45961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45962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45963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45964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36" t="s">
        <v>55</v>
      </c>
    </row>
    <row r="2" spans="1:89" ht="38" customHeight="1">
      <c r="A2" s="74">
        <f t="shared" ref="A2:A33" si="0">IF(ISNA(AZ2),"",AZ2)</f>
        <v>10048</v>
      </c>
      <c r="B2" s="98" t="s">
        <v>27</v>
      </c>
      <c r="C2" s="99" t="s">
        <v>1411</v>
      </c>
      <c r="D2" s="75"/>
      <c r="E2" s="75"/>
      <c r="F2" s="92">
        <f>BA2-BB2</f>
        <v>0</v>
      </c>
      <c r="G2" s="75">
        <v>0.37847222222222227</v>
      </c>
      <c r="H2" s="75">
        <v>0.70833333333333337</v>
      </c>
      <c r="I2" s="92">
        <f>BF2-BG2</f>
        <v>7.4166666666666661</v>
      </c>
      <c r="J2" s="75"/>
      <c r="K2" s="75"/>
      <c r="L2" s="92">
        <f>BK2-BL2</f>
        <v>0</v>
      </c>
      <c r="M2" s="75">
        <v>0.375</v>
      </c>
      <c r="N2" s="75">
        <v>0.7104166666666667</v>
      </c>
      <c r="O2" s="92">
        <f>BP2-BQ2</f>
        <v>7.5500000000000007</v>
      </c>
      <c r="P2" s="75"/>
      <c r="Q2" s="75"/>
      <c r="R2" s="92">
        <f>BU2-BV2</f>
        <v>0</v>
      </c>
      <c r="S2" s="75"/>
      <c r="T2" s="75"/>
      <c r="U2" s="92">
        <f>BZ2-CA2</f>
        <v>0</v>
      </c>
      <c r="V2" s="75"/>
      <c r="W2" s="75"/>
      <c r="X2" s="92">
        <f>CE2-CF2</f>
        <v>0</v>
      </c>
      <c r="Y2" s="92"/>
      <c r="Z2" s="92"/>
      <c r="AA2" s="92"/>
      <c r="AB2" s="92">
        <f>SUM(F2,I2,L2,O2,R2,U2,X2)</f>
        <v>14.966666666666667</v>
      </c>
      <c r="AC2" s="93"/>
      <c r="AD2" s="77">
        <v>100.62</v>
      </c>
      <c r="AE2" s="94">
        <f t="shared" ref="AE2:AE40" si="1">SUMIF($BC$1:$CI$1,AE$1,$BC2:$CI2)+AD2</f>
        <v>115.58666666666667</v>
      </c>
      <c r="AF2" s="77">
        <v>2.02</v>
      </c>
      <c r="AG2" s="94">
        <f t="shared" ref="AG2:AG40" si="2">SUMIF($BC$1:$CI$1,AG$1,$BC2:$CI2)+AF2</f>
        <v>2.02</v>
      </c>
      <c r="AH2" s="78"/>
      <c r="AI2" s="94">
        <f t="shared" ref="AI2:AI40" si="3">SUMIF($BC$1:$CI$1,AI$1,$BC2:$CI2)+AH2</f>
        <v>0</v>
      </c>
      <c r="AJ2" s="77"/>
      <c r="AK2" s="94">
        <f t="shared" ref="AK2:AK40" si="4">SUMIF($BC$1:$CI$1,AK$1,$BC2:$CI2)+AJ2</f>
        <v>0</v>
      </c>
      <c r="AL2" s="77"/>
      <c r="AM2" s="94">
        <f t="shared" ref="AM2:AM40" si="5">SUMIF($BC$1:$CI$1,AM$1,$BC2:$CI2)+AL2</f>
        <v>0</v>
      </c>
      <c r="AN2" s="77"/>
      <c r="AO2" s="94">
        <f t="shared" ref="AO2:AO40" si="6">SUMIF($BC$1:$CI$1,AO$1,$BC2:$CI2)+AN2</f>
        <v>0</v>
      </c>
      <c r="AP2" s="95">
        <f>CK2</f>
        <v>2</v>
      </c>
      <c r="AQ2" s="77"/>
      <c r="AR2" s="77"/>
      <c r="AS2" s="77"/>
      <c r="AT2" s="44">
        <f>AE2+AG2+AI2+AK2+AM2+AO2+SUM(AQ2:AS2)</f>
        <v>117.60666666666667</v>
      </c>
      <c r="AU2" s="78"/>
      <c r="AV2" s="5"/>
      <c r="AW2" s="5"/>
      <c r="AX2" s="5"/>
      <c r="AY2" s="5"/>
      <c r="AZ2" s="24">
        <f>VLOOKUP(C2,Employees!D:I,6,FALSE)</f>
        <v>10048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7.9166666666666661</v>
      </c>
      <c r="BG2" s="5">
        <f>IF(BF2&gt;$AY$1,1,IF(BF2&gt;=$AX$1,0.5,0))</f>
        <v>0.5</v>
      </c>
      <c r="BH2" s="5">
        <f>BF2-BG2-BI2-BJ2</f>
        <v>7.4166666666666661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8.0500000000000007</v>
      </c>
      <c r="BQ2" s="5">
        <f>IF(BP2&gt;$AY$1,1,IF(BP2&gt;=$AX$1,0.5,0))</f>
        <v>0.5</v>
      </c>
      <c r="BR2" s="5">
        <f>BP2-BQ2-BS2-BT2</f>
        <v>7.5500000000000007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3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2</v>
      </c>
    </row>
    <row r="3" spans="1:89" ht="38" customHeight="1">
      <c r="A3" s="74">
        <f t="shared" si="0"/>
        <v>10282</v>
      </c>
      <c r="B3" s="98" t="s">
        <v>27</v>
      </c>
      <c r="C3" s="100" t="s">
        <v>1412</v>
      </c>
      <c r="D3" s="75"/>
      <c r="E3" s="75"/>
      <c r="F3" s="92">
        <f t="shared" ref="F3:F69" si="15">BA3-BB3</f>
        <v>0</v>
      </c>
      <c r="G3" s="75"/>
      <c r="H3" s="75"/>
      <c r="I3" s="92">
        <f t="shared" ref="I3:I69" si="16">BF3-BG3</f>
        <v>0</v>
      </c>
      <c r="J3" s="75"/>
      <c r="K3" s="75"/>
      <c r="L3" s="92">
        <f t="shared" ref="L3:L69" si="17">BK3-BL3</f>
        <v>0</v>
      </c>
      <c r="M3" s="75"/>
      <c r="N3" s="75"/>
      <c r="O3" s="92">
        <f t="shared" ref="O3:O69" si="18">BP3-BQ3</f>
        <v>0</v>
      </c>
      <c r="P3" s="75">
        <v>0.375</v>
      </c>
      <c r="Q3" s="75">
        <v>0.74236111111111114</v>
      </c>
      <c r="R3" s="92">
        <f t="shared" ref="R3:R69" si="19">BU3-BV3</f>
        <v>8.3166666666666664</v>
      </c>
      <c r="S3" s="75"/>
      <c r="T3" s="75"/>
      <c r="U3" s="92">
        <f t="shared" ref="U3:U69" si="20">BZ3-CA3</f>
        <v>0</v>
      </c>
      <c r="V3" s="75">
        <v>0.37916666666666665</v>
      </c>
      <c r="W3" s="75">
        <v>0.70833333333333337</v>
      </c>
      <c r="X3" s="92">
        <f t="shared" ref="X3:X69" si="21">CE3-CF3</f>
        <v>7.4000000000000012</v>
      </c>
      <c r="Y3" s="92"/>
      <c r="Z3" s="92"/>
      <c r="AA3" s="92"/>
      <c r="AB3" s="92">
        <f t="shared" ref="AB3:AB69" si="22">SUM(F3,I3,L3,O3,R3,U3,X3)</f>
        <v>15.716666666666669</v>
      </c>
      <c r="AC3" s="93"/>
      <c r="AD3" s="78"/>
      <c r="AE3" s="94">
        <f t="shared" si="1"/>
        <v>8.3166666666666664</v>
      </c>
      <c r="AF3" s="77"/>
      <c r="AG3" s="94">
        <f t="shared" si="2"/>
        <v>0</v>
      </c>
      <c r="AH3" s="78"/>
      <c r="AI3" s="94">
        <f t="shared" si="3"/>
        <v>7.4000000000000012</v>
      </c>
      <c r="AJ3" s="77"/>
      <c r="AK3" s="94">
        <f t="shared" si="4"/>
        <v>0</v>
      </c>
      <c r="AL3" s="77"/>
      <c r="AM3" s="94">
        <f t="shared" si="5"/>
        <v>0</v>
      </c>
      <c r="AN3" s="77"/>
      <c r="AO3" s="94">
        <f t="shared" si="6"/>
        <v>0</v>
      </c>
      <c r="AP3" s="95">
        <f t="shared" ref="AP3:AP69" si="23">CK3</f>
        <v>2</v>
      </c>
      <c r="AQ3" s="77"/>
      <c r="AR3" s="77"/>
      <c r="AS3" s="77"/>
      <c r="AT3" s="44">
        <f t="shared" ref="AT3:AT69" si="24">AE3+AG3+AI3+AK3+AM3+AO3+SUM(AQ3:AS3)</f>
        <v>15.716666666666669</v>
      </c>
      <c r="AU3" s="78"/>
      <c r="AV3" s="5"/>
      <c r="AW3" s="5"/>
      <c r="AX3" s="5"/>
      <c r="AY3" s="5"/>
      <c r="AZ3" s="24">
        <f>VLOOKUP(C3,Employees!D:I,6,FALSE)</f>
        <v>10282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0</v>
      </c>
      <c r="BG3" s="5">
        <f t="shared" ref="BG3:BG66" si="30">IF(BF3&gt;$AY$1,1,IF(BF3&gt;=$AX$1,0.5,0))</f>
        <v>0</v>
      </c>
      <c r="BH3" s="5">
        <f t="shared" ref="BH3:BH66" si="31">BF3-BG3-BI3-BJ3</f>
        <v>0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0</v>
      </c>
      <c r="BL3" s="5">
        <f t="shared" ref="BL3:BL66" si="35">IF(BK3&gt;$AY$1,1,IF(BK3&gt;=$AX$1,0.5,0))</f>
        <v>0</v>
      </c>
      <c r="BM3" s="5">
        <f t="shared" ref="BM3:BM66" si="36">BK3-BL3-BN3-BO3</f>
        <v>0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0</v>
      </c>
      <c r="BQ3" s="5">
        <f t="shared" ref="BQ3:BQ66" si="40">IF(BP3&gt;$AY$1,1,IF(BP3&gt;=$AX$1,0.5,0))</f>
        <v>0</v>
      </c>
      <c r="BR3" s="5">
        <f t="shared" ref="BR3:BR66" si="41">BP3-BQ3-BS3-BT3</f>
        <v>0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8.8166666666666664</v>
      </c>
      <c r="BV3" s="5">
        <f t="shared" ref="BV3:BV66" si="45">IF(BU3&gt;$AY$1,1,IF(BU3&gt;=$AX$1,0.5,0))</f>
        <v>0.5</v>
      </c>
      <c r="BW3" s="5">
        <f t="shared" ref="BW3:BW66" si="46">BU3-BV3-BX3-BY3</f>
        <v>8.3166666666666664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0</v>
      </c>
      <c r="CA3" s="5">
        <f t="shared" ref="CA3:CA66" si="49">IF(BZ3&gt;$AY$1,1,IF(BZ3&gt;=$AX$1,0.5,0))</f>
        <v>0</v>
      </c>
      <c r="CB3" s="5">
        <f t="shared" ref="CB3:CB66" si="50">BZ3-CA3-CC3-CD3</f>
        <v>0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7.9000000000000012</v>
      </c>
      <c r="CF3" s="5">
        <f t="shared" ref="CF3:CF66" si="54">IF(CE3&gt;$AY$1,1,IF(CE3&gt;=$AX$1,0.5,0))</f>
        <v>0.5</v>
      </c>
      <c r="CG3" s="5">
        <f t="shared" ref="CG3:CG66" si="55">CE3-CF3-CH3-CI3</f>
        <v>7.4000000000000012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2</v>
      </c>
    </row>
    <row r="4" spans="1:89" ht="38" customHeight="1">
      <c r="A4" s="74">
        <f t="shared" si="0"/>
        <v>10329</v>
      </c>
      <c r="B4" s="98" t="s">
        <v>27</v>
      </c>
      <c r="C4" s="101" t="s">
        <v>916</v>
      </c>
      <c r="D4" s="75">
        <v>0.375</v>
      </c>
      <c r="E4" s="75">
        <v>0.70833333333333337</v>
      </c>
      <c r="F4" s="92">
        <f t="shared" si="15"/>
        <v>7.5</v>
      </c>
      <c r="G4" s="75"/>
      <c r="H4" s="75"/>
      <c r="I4" s="92">
        <f t="shared" si="16"/>
        <v>0</v>
      </c>
      <c r="J4" s="75"/>
      <c r="K4" s="75"/>
      <c r="L4" s="92">
        <f t="shared" si="17"/>
        <v>0</v>
      </c>
      <c r="M4" s="76"/>
      <c r="N4" s="75"/>
      <c r="O4" s="92">
        <f t="shared" si="18"/>
        <v>0</v>
      </c>
      <c r="P4" s="75">
        <v>0.50277777777777777</v>
      </c>
      <c r="Q4" s="75">
        <v>0.8125</v>
      </c>
      <c r="R4" s="92">
        <f t="shared" si="19"/>
        <v>6.9333333333333336</v>
      </c>
      <c r="S4" s="75">
        <v>0.46249999999999997</v>
      </c>
      <c r="T4" s="75">
        <v>0.75</v>
      </c>
      <c r="U4" s="92">
        <f t="shared" si="20"/>
        <v>6.4</v>
      </c>
      <c r="V4" s="75"/>
      <c r="W4" s="75"/>
      <c r="X4" s="92">
        <f t="shared" si="21"/>
        <v>0</v>
      </c>
      <c r="Y4" s="92"/>
      <c r="Z4" s="92"/>
      <c r="AA4" s="92"/>
      <c r="AB4" s="92">
        <f t="shared" si="22"/>
        <v>20.833333333333336</v>
      </c>
      <c r="AC4" s="93"/>
      <c r="AD4" s="78"/>
      <c r="AE4" s="94">
        <f t="shared" si="1"/>
        <v>14.433333333333334</v>
      </c>
      <c r="AF4" s="77"/>
      <c r="AG4" s="94">
        <f t="shared" si="2"/>
        <v>6.4</v>
      </c>
      <c r="AH4" s="78"/>
      <c r="AI4" s="94">
        <f t="shared" si="3"/>
        <v>0</v>
      </c>
      <c r="AJ4" s="77"/>
      <c r="AK4" s="94">
        <f t="shared" si="4"/>
        <v>0</v>
      </c>
      <c r="AL4" s="77"/>
      <c r="AM4" s="94">
        <f t="shared" si="5"/>
        <v>0</v>
      </c>
      <c r="AN4" s="77"/>
      <c r="AO4" s="94">
        <f t="shared" si="6"/>
        <v>0</v>
      </c>
      <c r="AP4" s="95">
        <f t="shared" si="23"/>
        <v>3</v>
      </c>
      <c r="AQ4" s="77">
        <v>7</v>
      </c>
      <c r="AR4" s="77"/>
      <c r="AS4" s="77"/>
      <c r="AT4" s="44">
        <f t="shared" si="24"/>
        <v>27.833333333333336</v>
      </c>
      <c r="AU4" s="78"/>
      <c r="AV4" s="5"/>
      <c r="AW4" s="5"/>
      <c r="AX4" s="5"/>
      <c r="AY4" s="5"/>
      <c r="AZ4" s="24">
        <f>VLOOKUP(C4,Employees!D:I,6,FALSE)</f>
        <v>10329</v>
      </c>
      <c r="BA4" s="5">
        <f t="shared" si="25"/>
        <v>8</v>
      </c>
      <c r="BB4" s="5">
        <f t="shared" si="26"/>
        <v>0.5</v>
      </c>
      <c r="BC4" s="5">
        <f t="shared" si="27"/>
        <v>7.5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0</v>
      </c>
      <c r="BG4" s="5">
        <f t="shared" si="30"/>
        <v>0</v>
      </c>
      <c r="BH4" s="5">
        <f t="shared" si="31"/>
        <v>0</v>
      </c>
      <c r="BI4" s="5">
        <f t="shared" si="32"/>
        <v>0</v>
      </c>
      <c r="BJ4" s="5">
        <f t="shared" si="33"/>
        <v>0</v>
      </c>
      <c r="BK4" s="5">
        <f t="shared" si="34"/>
        <v>0</v>
      </c>
      <c r="BL4" s="5">
        <f t="shared" si="35"/>
        <v>0</v>
      </c>
      <c r="BM4" s="5">
        <f t="shared" si="36"/>
        <v>0</v>
      </c>
      <c r="BN4" s="5">
        <f t="shared" si="37"/>
        <v>0</v>
      </c>
      <c r="BO4" s="5">
        <f t="shared" si="38"/>
        <v>0</v>
      </c>
      <c r="BP4" s="5">
        <f t="shared" si="39"/>
        <v>0</v>
      </c>
      <c r="BQ4" s="5">
        <f t="shared" si="40"/>
        <v>0</v>
      </c>
      <c r="BR4" s="5">
        <f t="shared" si="41"/>
        <v>0</v>
      </c>
      <c r="BS4" s="5">
        <f t="shared" si="42"/>
        <v>0</v>
      </c>
      <c r="BT4" s="5">
        <f t="shared" si="43"/>
        <v>0</v>
      </c>
      <c r="BU4" s="5">
        <f t="shared" si="44"/>
        <v>7.4333333333333336</v>
      </c>
      <c r="BV4" s="5">
        <f t="shared" si="45"/>
        <v>0.5</v>
      </c>
      <c r="BW4" s="5">
        <f t="shared" si="46"/>
        <v>6.9333333333333336</v>
      </c>
      <c r="BX4" s="5">
        <f t="shared" si="47"/>
        <v>0</v>
      </c>
      <c r="BY4" s="5">
        <f t="shared" si="11"/>
        <v>0</v>
      </c>
      <c r="BZ4" s="5">
        <f t="shared" si="48"/>
        <v>6.9</v>
      </c>
      <c r="CA4" s="5">
        <f t="shared" si="49"/>
        <v>0.5</v>
      </c>
      <c r="CB4" s="5">
        <f t="shared" si="50"/>
        <v>6.4</v>
      </c>
      <c r="CC4" s="5">
        <f t="shared" si="51"/>
        <v>0</v>
      </c>
      <c r="CD4" s="5">
        <f t="shared" si="52"/>
        <v>0</v>
      </c>
      <c r="CE4" s="5">
        <f t="shared" si="53"/>
        <v>0</v>
      </c>
      <c r="CF4" s="5">
        <f t="shared" si="54"/>
        <v>0</v>
      </c>
      <c r="CG4" s="5">
        <f t="shared" si="55"/>
        <v>0</v>
      </c>
      <c r="CH4" s="5">
        <f t="shared" si="56"/>
        <v>0</v>
      </c>
      <c r="CI4" s="5">
        <f t="shared" si="57"/>
        <v>0</v>
      </c>
      <c r="CJ4" s="5"/>
      <c r="CK4" s="4">
        <f t="shared" si="14"/>
        <v>3</v>
      </c>
    </row>
    <row r="5" spans="1:89" ht="38" customHeight="1">
      <c r="A5" s="74">
        <f t="shared" si="0"/>
        <v>10389</v>
      </c>
      <c r="B5" s="98" t="s">
        <v>27</v>
      </c>
      <c r="C5" s="102" t="s">
        <v>1413</v>
      </c>
      <c r="D5" s="75"/>
      <c r="E5" s="75"/>
      <c r="F5" s="92">
        <f t="shared" si="15"/>
        <v>0</v>
      </c>
      <c r="G5" s="75">
        <v>0.50277777777777777</v>
      </c>
      <c r="H5" s="75">
        <v>0.79583333333333339</v>
      </c>
      <c r="I5" s="92">
        <f t="shared" si="16"/>
        <v>6.533333333333335</v>
      </c>
      <c r="J5" s="76"/>
      <c r="K5" s="75"/>
      <c r="L5" s="92">
        <f t="shared" si="17"/>
        <v>0</v>
      </c>
      <c r="M5" s="75"/>
      <c r="N5" s="75"/>
      <c r="O5" s="92">
        <f t="shared" si="18"/>
        <v>0</v>
      </c>
      <c r="P5" s="85"/>
      <c r="Q5" s="84"/>
      <c r="R5" s="92">
        <f t="shared" si="19"/>
        <v>0</v>
      </c>
      <c r="S5" s="75">
        <v>0.50902777777777775</v>
      </c>
      <c r="T5" s="75">
        <v>0.79791666666666661</v>
      </c>
      <c r="U5" s="92">
        <f t="shared" si="20"/>
        <v>6.4333333333333327</v>
      </c>
      <c r="V5" s="75"/>
      <c r="W5" s="75"/>
      <c r="X5" s="92">
        <f t="shared" si="21"/>
        <v>0</v>
      </c>
      <c r="Y5" s="92"/>
      <c r="Z5" s="92"/>
      <c r="AA5" s="92"/>
      <c r="AB5" s="92">
        <f t="shared" si="22"/>
        <v>12.966666666666669</v>
      </c>
      <c r="AC5" s="93"/>
      <c r="AD5" s="78"/>
      <c r="AE5" s="94">
        <f t="shared" si="1"/>
        <v>6.533333333333335</v>
      </c>
      <c r="AF5" s="77"/>
      <c r="AG5" s="94">
        <f t="shared" si="2"/>
        <v>6.4333333333333327</v>
      </c>
      <c r="AH5" s="78"/>
      <c r="AI5" s="94">
        <f t="shared" si="3"/>
        <v>0</v>
      </c>
      <c r="AJ5" s="77"/>
      <c r="AK5" s="94">
        <f t="shared" si="4"/>
        <v>0</v>
      </c>
      <c r="AL5" s="77"/>
      <c r="AM5" s="94">
        <f t="shared" si="5"/>
        <v>0</v>
      </c>
      <c r="AN5" s="77"/>
      <c r="AO5" s="94">
        <f t="shared" si="6"/>
        <v>0</v>
      </c>
      <c r="AP5" s="95">
        <f t="shared" si="23"/>
        <v>2</v>
      </c>
      <c r="AQ5" s="77"/>
      <c r="AR5" s="77"/>
      <c r="AS5" s="77"/>
      <c r="AT5" s="44">
        <f t="shared" si="24"/>
        <v>12.966666666666669</v>
      </c>
      <c r="AU5" s="78"/>
      <c r="AV5" s="5"/>
      <c r="AW5" s="5"/>
      <c r="AX5" s="5"/>
      <c r="AY5" s="5"/>
      <c r="AZ5" s="24">
        <f>VLOOKUP(C5,Employees!D:I,6,FALSE)</f>
        <v>10389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58"/>
        <v>0</v>
      </c>
      <c r="BE5" s="5">
        <f t="shared" si="28"/>
        <v>0</v>
      </c>
      <c r="BF5" s="5">
        <f t="shared" si="29"/>
        <v>7.033333333333335</v>
      </c>
      <c r="BG5" s="5">
        <f t="shared" si="30"/>
        <v>0.5</v>
      </c>
      <c r="BH5" s="5">
        <f t="shared" si="31"/>
        <v>6.533333333333335</v>
      </c>
      <c r="BI5" s="5">
        <f t="shared" si="32"/>
        <v>0</v>
      </c>
      <c r="BJ5" s="5">
        <f t="shared" si="33"/>
        <v>0</v>
      </c>
      <c r="BK5" s="5">
        <f t="shared" si="34"/>
        <v>0</v>
      </c>
      <c r="BL5" s="5">
        <f t="shared" si="35"/>
        <v>0</v>
      </c>
      <c r="BM5" s="5">
        <f t="shared" si="36"/>
        <v>0</v>
      </c>
      <c r="BN5" s="5">
        <f t="shared" si="37"/>
        <v>0</v>
      </c>
      <c r="BO5" s="5">
        <f t="shared" si="38"/>
        <v>0</v>
      </c>
      <c r="BP5" s="5">
        <f t="shared" si="39"/>
        <v>0</v>
      </c>
      <c r="BQ5" s="5">
        <f t="shared" si="40"/>
        <v>0</v>
      </c>
      <c r="BR5" s="5">
        <f t="shared" si="41"/>
        <v>0</v>
      </c>
      <c r="BS5" s="5">
        <f t="shared" si="42"/>
        <v>0</v>
      </c>
      <c r="BT5" s="5">
        <f t="shared" si="43"/>
        <v>0</v>
      </c>
      <c r="BU5" s="5">
        <f t="shared" si="44"/>
        <v>0</v>
      </c>
      <c r="BV5" s="5">
        <f t="shared" si="45"/>
        <v>0</v>
      </c>
      <c r="BW5" s="5">
        <f t="shared" si="46"/>
        <v>0</v>
      </c>
      <c r="BX5" s="5">
        <f t="shared" si="47"/>
        <v>0</v>
      </c>
      <c r="BY5" s="5">
        <f t="shared" si="11"/>
        <v>0</v>
      </c>
      <c r="BZ5" s="5">
        <f t="shared" si="48"/>
        <v>6.9333333333333327</v>
      </c>
      <c r="CA5" s="5">
        <f t="shared" si="49"/>
        <v>0.5</v>
      </c>
      <c r="CB5" s="5">
        <f t="shared" si="50"/>
        <v>6.4333333333333327</v>
      </c>
      <c r="CC5" s="5">
        <f t="shared" si="51"/>
        <v>0</v>
      </c>
      <c r="CD5" s="5">
        <f t="shared" si="52"/>
        <v>0</v>
      </c>
      <c r="CE5" s="5">
        <f t="shared" si="53"/>
        <v>0</v>
      </c>
      <c r="CF5" s="5">
        <f t="shared" si="54"/>
        <v>0</v>
      </c>
      <c r="CG5" s="5">
        <f t="shared" si="55"/>
        <v>0</v>
      </c>
      <c r="CH5" s="5">
        <f t="shared" si="56"/>
        <v>0</v>
      </c>
      <c r="CI5" s="5">
        <f t="shared" si="57"/>
        <v>0</v>
      </c>
      <c r="CJ5" s="5"/>
      <c r="CK5" s="4">
        <f t="shared" si="14"/>
        <v>2</v>
      </c>
    </row>
    <row r="6" spans="1:89" ht="38" customHeight="1">
      <c r="A6" s="74">
        <f t="shared" si="0"/>
        <v>210428</v>
      </c>
      <c r="B6" s="98" t="s">
        <v>27</v>
      </c>
      <c r="C6" s="103" t="s">
        <v>1174</v>
      </c>
      <c r="D6" s="85"/>
      <c r="E6" s="85"/>
      <c r="F6" s="92">
        <f t="shared" si="15"/>
        <v>0</v>
      </c>
      <c r="G6" s="85"/>
      <c r="H6" s="85"/>
      <c r="I6" s="92">
        <f t="shared" si="16"/>
        <v>0</v>
      </c>
      <c r="J6" s="85"/>
      <c r="K6" s="85"/>
      <c r="L6" s="92">
        <f t="shared" si="17"/>
        <v>0</v>
      </c>
      <c r="M6" s="75">
        <v>0.5</v>
      </c>
      <c r="N6" s="75">
        <v>0.80902777777777779</v>
      </c>
      <c r="O6" s="92">
        <f t="shared" si="18"/>
        <v>6.916666666666667</v>
      </c>
      <c r="P6" s="85"/>
      <c r="Q6" s="85"/>
      <c r="R6" s="92">
        <f t="shared" si="19"/>
        <v>0</v>
      </c>
      <c r="S6" s="75"/>
      <c r="T6" s="75"/>
      <c r="U6" s="92">
        <f t="shared" si="20"/>
        <v>0</v>
      </c>
      <c r="V6" s="75">
        <v>0.5</v>
      </c>
      <c r="W6" s="75">
        <v>0.8041666666666667</v>
      </c>
      <c r="X6" s="92">
        <f t="shared" si="21"/>
        <v>6.8000000000000007</v>
      </c>
      <c r="Y6" s="92"/>
      <c r="Z6" s="92"/>
      <c r="AA6" s="92"/>
      <c r="AB6" s="92">
        <f t="shared" si="22"/>
        <v>13.716666666666669</v>
      </c>
      <c r="AC6" s="93"/>
      <c r="AD6" s="78"/>
      <c r="AE6" s="94">
        <f t="shared" si="1"/>
        <v>6.916666666666667</v>
      </c>
      <c r="AF6" s="77"/>
      <c r="AG6" s="94">
        <f t="shared" si="2"/>
        <v>0</v>
      </c>
      <c r="AH6" s="78"/>
      <c r="AI6" s="94">
        <f t="shared" si="3"/>
        <v>6.8000000000000007</v>
      </c>
      <c r="AJ6" s="77"/>
      <c r="AK6" s="94">
        <f t="shared" si="4"/>
        <v>0</v>
      </c>
      <c r="AL6" s="77"/>
      <c r="AM6" s="94">
        <f t="shared" si="5"/>
        <v>0</v>
      </c>
      <c r="AN6" s="77"/>
      <c r="AO6" s="94">
        <f t="shared" si="6"/>
        <v>0</v>
      </c>
      <c r="AP6" s="95">
        <f t="shared" si="23"/>
        <v>2</v>
      </c>
      <c r="AQ6" s="77"/>
      <c r="AR6" s="77"/>
      <c r="AS6" s="77"/>
      <c r="AT6" s="44">
        <f t="shared" si="24"/>
        <v>13.716666666666669</v>
      </c>
      <c r="AU6" s="78"/>
      <c r="AV6" s="5"/>
      <c r="AW6" s="5"/>
      <c r="AX6" s="5"/>
      <c r="AY6" s="5"/>
      <c r="AZ6" s="24">
        <f>VLOOKUP(C6,Employees!D:I,6,FALSE)</f>
        <v>210428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0</v>
      </c>
      <c r="BG6" s="5">
        <f t="shared" si="30"/>
        <v>0</v>
      </c>
      <c r="BH6" s="5">
        <f t="shared" si="31"/>
        <v>0</v>
      </c>
      <c r="BI6" s="5">
        <f t="shared" si="32"/>
        <v>0</v>
      </c>
      <c r="BJ6" s="5">
        <f t="shared" si="33"/>
        <v>0</v>
      </c>
      <c r="BK6" s="5">
        <f t="shared" si="34"/>
        <v>0</v>
      </c>
      <c r="BL6" s="5">
        <f t="shared" si="35"/>
        <v>0</v>
      </c>
      <c r="BM6" s="5">
        <f t="shared" si="36"/>
        <v>0</v>
      </c>
      <c r="BN6" s="5">
        <f t="shared" si="37"/>
        <v>0</v>
      </c>
      <c r="BO6" s="5">
        <f t="shared" si="38"/>
        <v>0</v>
      </c>
      <c r="BP6" s="5">
        <f t="shared" si="39"/>
        <v>7.416666666666667</v>
      </c>
      <c r="BQ6" s="5">
        <f t="shared" si="40"/>
        <v>0.5</v>
      </c>
      <c r="BR6" s="5">
        <f t="shared" si="41"/>
        <v>6.916666666666667</v>
      </c>
      <c r="BS6" s="5">
        <f t="shared" si="42"/>
        <v>0</v>
      </c>
      <c r="BT6" s="5">
        <f t="shared" si="43"/>
        <v>0</v>
      </c>
      <c r="BU6" s="5">
        <f t="shared" si="44"/>
        <v>0</v>
      </c>
      <c r="BV6" s="5">
        <f t="shared" si="45"/>
        <v>0</v>
      </c>
      <c r="BW6" s="5">
        <f t="shared" si="46"/>
        <v>0</v>
      </c>
      <c r="BX6" s="5">
        <f t="shared" si="47"/>
        <v>0</v>
      </c>
      <c r="BY6" s="5">
        <f t="shared" si="11"/>
        <v>0</v>
      </c>
      <c r="BZ6" s="5">
        <f t="shared" si="48"/>
        <v>0</v>
      </c>
      <c r="CA6" s="5">
        <f t="shared" si="49"/>
        <v>0</v>
      </c>
      <c r="CB6" s="5">
        <f t="shared" si="50"/>
        <v>0</v>
      </c>
      <c r="CC6" s="5">
        <f t="shared" si="51"/>
        <v>0</v>
      </c>
      <c r="CD6" s="5">
        <f t="shared" si="52"/>
        <v>0</v>
      </c>
      <c r="CE6" s="5">
        <f t="shared" si="53"/>
        <v>7.3000000000000007</v>
      </c>
      <c r="CF6" s="5">
        <f t="shared" si="54"/>
        <v>0.5</v>
      </c>
      <c r="CG6" s="5">
        <f t="shared" si="55"/>
        <v>6.8000000000000007</v>
      </c>
      <c r="CH6" s="5">
        <f t="shared" si="56"/>
        <v>0</v>
      </c>
      <c r="CI6" s="5">
        <f t="shared" si="57"/>
        <v>0</v>
      </c>
      <c r="CJ6" s="5"/>
      <c r="CK6" s="4">
        <f t="shared" si="14"/>
        <v>2</v>
      </c>
    </row>
    <row r="7" spans="1:89" ht="38" customHeight="1">
      <c r="A7" s="74">
        <f t="shared" si="0"/>
        <v>210429</v>
      </c>
      <c r="B7" s="98" t="s">
        <v>27</v>
      </c>
      <c r="C7" s="100" t="s">
        <v>1176</v>
      </c>
      <c r="D7" s="75">
        <v>0.5</v>
      </c>
      <c r="E7" s="75">
        <v>0.8125</v>
      </c>
      <c r="F7" s="92">
        <f t="shared" si="15"/>
        <v>7</v>
      </c>
      <c r="G7" s="85"/>
      <c r="H7" s="85"/>
      <c r="I7" s="92">
        <f t="shared" si="16"/>
        <v>0</v>
      </c>
      <c r="J7" s="75">
        <v>0.375</v>
      </c>
      <c r="K7" s="75">
        <v>0.70833333333333337</v>
      </c>
      <c r="L7" s="92">
        <f t="shared" si="17"/>
        <v>7.5</v>
      </c>
      <c r="M7" s="84"/>
      <c r="N7" s="85"/>
      <c r="O7" s="92">
        <f t="shared" si="18"/>
        <v>0</v>
      </c>
      <c r="P7" s="84"/>
      <c r="Q7" s="85"/>
      <c r="R7" s="92">
        <f t="shared" si="19"/>
        <v>0</v>
      </c>
      <c r="S7" s="75">
        <v>0.58333333333333337</v>
      </c>
      <c r="T7" s="75">
        <v>0.79166666666666663</v>
      </c>
      <c r="U7" s="92">
        <f t="shared" si="20"/>
        <v>4.9999999999999982</v>
      </c>
      <c r="V7" s="104">
        <v>0.56111111111111112</v>
      </c>
      <c r="W7" s="75">
        <v>0.77083333333333337</v>
      </c>
      <c r="X7" s="92">
        <f t="shared" si="21"/>
        <v>5.0333333333333341</v>
      </c>
      <c r="Y7" s="92"/>
      <c r="Z7" s="92"/>
      <c r="AA7" s="92"/>
      <c r="AB7" s="92">
        <f t="shared" si="22"/>
        <v>24.533333333333335</v>
      </c>
      <c r="AC7" s="93"/>
      <c r="AD7" s="78"/>
      <c r="AE7" s="94">
        <f t="shared" si="1"/>
        <v>14.5</v>
      </c>
      <c r="AF7" s="77"/>
      <c r="AG7" s="94">
        <f t="shared" si="2"/>
        <v>4.9999999999999982</v>
      </c>
      <c r="AH7" s="77"/>
      <c r="AI7" s="94">
        <f t="shared" si="3"/>
        <v>5.0333333333333341</v>
      </c>
      <c r="AJ7" s="77"/>
      <c r="AK7" s="94">
        <f t="shared" si="4"/>
        <v>0</v>
      </c>
      <c r="AL7" s="77"/>
      <c r="AM7" s="94">
        <f t="shared" si="5"/>
        <v>0</v>
      </c>
      <c r="AN7" s="77"/>
      <c r="AO7" s="94">
        <f t="shared" si="6"/>
        <v>0</v>
      </c>
      <c r="AP7" s="95">
        <f t="shared" si="23"/>
        <v>4</v>
      </c>
      <c r="AQ7" s="77"/>
      <c r="AR7" s="77"/>
      <c r="AS7" s="77"/>
      <c r="AT7" s="44">
        <f t="shared" si="24"/>
        <v>24.533333333333335</v>
      </c>
      <c r="AU7" s="78"/>
      <c r="AV7" s="5"/>
      <c r="AW7" s="5"/>
      <c r="AX7" s="5"/>
      <c r="AY7" s="5"/>
      <c r="AZ7" s="24">
        <f>VLOOKUP(C7,Employees!D:I,6,FALSE)</f>
        <v>210429</v>
      </c>
      <c r="BA7" s="5">
        <f t="shared" si="25"/>
        <v>7.5</v>
      </c>
      <c r="BB7" s="5">
        <f t="shared" si="26"/>
        <v>0.5</v>
      </c>
      <c r="BC7" s="5">
        <f t="shared" si="27"/>
        <v>7</v>
      </c>
      <c r="BD7" s="5">
        <f t="shared" si="58"/>
        <v>0</v>
      </c>
      <c r="BE7" s="5">
        <f t="shared" si="28"/>
        <v>0</v>
      </c>
      <c r="BF7" s="5">
        <f t="shared" si="29"/>
        <v>0</v>
      </c>
      <c r="BG7" s="5">
        <f t="shared" si="30"/>
        <v>0</v>
      </c>
      <c r="BH7" s="5">
        <f t="shared" si="31"/>
        <v>0</v>
      </c>
      <c r="BI7" s="5">
        <f t="shared" si="32"/>
        <v>0</v>
      </c>
      <c r="BJ7" s="5">
        <f t="shared" si="33"/>
        <v>0</v>
      </c>
      <c r="BK7" s="5">
        <f t="shared" si="34"/>
        <v>8</v>
      </c>
      <c r="BL7" s="5">
        <f t="shared" si="35"/>
        <v>0.5</v>
      </c>
      <c r="BM7" s="5">
        <f t="shared" si="36"/>
        <v>7.5</v>
      </c>
      <c r="BN7" s="5">
        <f t="shared" si="37"/>
        <v>0</v>
      </c>
      <c r="BO7" s="5">
        <f t="shared" si="38"/>
        <v>0</v>
      </c>
      <c r="BP7" s="5">
        <f t="shared" si="39"/>
        <v>0</v>
      </c>
      <c r="BQ7" s="5">
        <f t="shared" si="40"/>
        <v>0</v>
      </c>
      <c r="BR7" s="5">
        <f t="shared" si="41"/>
        <v>0</v>
      </c>
      <c r="BS7" s="5">
        <f t="shared" si="42"/>
        <v>0</v>
      </c>
      <c r="BT7" s="5">
        <f t="shared" si="43"/>
        <v>0</v>
      </c>
      <c r="BU7" s="5">
        <f t="shared" si="44"/>
        <v>0</v>
      </c>
      <c r="BV7" s="5">
        <f t="shared" si="45"/>
        <v>0</v>
      </c>
      <c r="BW7" s="5">
        <f t="shared" si="46"/>
        <v>0</v>
      </c>
      <c r="BX7" s="5">
        <f t="shared" si="47"/>
        <v>0</v>
      </c>
      <c r="BY7" s="5">
        <f t="shared" si="11"/>
        <v>0</v>
      </c>
      <c r="BZ7" s="5">
        <f t="shared" si="48"/>
        <v>4.9999999999999982</v>
      </c>
      <c r="CA7" s="5">
        <f t="shared" si="49"/>
        <v>0</v>
      </c>
      <c r="CB7" s="5">
        <f t="shared" si="50"/>
        <v>4.9999999999999982</v>
      </c>
      <c r="CC7" s="5">
        <f t="shared" si="51"/>
        <v>0</v>
      </c>
      <c r="CD7" s="5">
        <f t="shared" si="52"/>
        <v>0</v>
      </c>
      <c r="CE7" s="5">
        <f t="shared" si="53"/>
        <v>5.0333333333333341</v>
      </c>
      <c r="CF7" s="5">
        <f t="shared" si="54"/>
        <v>0</v>
      </c>
      <c r="CG7" s="5">
        <f t="shared" si="55"/>
        <v>5.0333333333333341</v>
      </c>
      <c r="CH7" s="5">
        <f t="shared" si="56"/>
        <v>0</v>
      </c>
      <c r="CI7" s="5">
        <f t="shared" si="57"/>
        <v>0</v>
      </c>
      <c r="CJ7" s="5"/>
      <c r="CK7" s="4">
        <f t="shared" si="14"/>
        <v>4</v>
      </c>
    </row>
    <row r="8" spans="1:89" ht="38" customHeight="1">
      <c r="A8" s="74">
        <f t="shared" si="0"/>
        <v>210507</v>
      </c>
      <c r="B8" s="98" t="s">
        <v>27</v>
      </c>
      <c r="C8" s="102" t="s">
        <v>1414</v>
      </c>
      <c r="D8" s="84"/>
      <c r="E8" s="85"/>
      <c r="F8" s="92">
        <f t="shared" si="15"/>
        <v>0</v>
      </c>
      <c r="G8" s="85"/>
      <c r="H8" s="85"/>
      <c r="I8" s="92">
        <f t="shared" si="16"/>
        <v>0</v>
      </c>
      <c r="J8" s="75">
        <v>0.5</v>
      </c>
      <c r="K8" s="75">
        <v>0.8125</v>
      </c>
      <c r="L8" s="92">
        <f t="shared" si="17"/>
        <v>7</v>
      </c>
      <c r="M8" s="85"/>
      <c r="N8" s="85"/>
      <c r="O8" s="92">
        <f t="shared" si="18"/>
        <v>0</v>
      </c>
      <c r="P8" s="84"/>
      <c r="Q8" s="85"/>
      <c r="R8" s="92">
        <f t="shared" si="19"/>
        <v>0</v>
      </c>
      <c r="S8" s="84"/>
      <c r="T8" s="85"/>
      <c r="U8" s="92">
        <f t="shared" si="20"/>
        <v>0</v>
      </c>
      <c r="V8" s="85"/>
      <c r="W8" s="85"/>
      <c r="X8" s="92">
        <f t="shared" si="21"/>
        <v>0</v>
      </c>
      <c r="Y8" s="92"/>
      <c r="Z8" s="92"/>
      <c r="AA8" s="92"/>
      <c r="AB8" s="92">
        <f t="shared" si="22"/>
        <v>7</v>
      </c>
      <c r="AC8" s="93"/>
      <c r="AD8" s="78"/>
      <c r="AE8" s="94">
        <f t="shared" si="1"/>
        <v>7</v>
      </c>
      <c r="AF8" s="77"/>
      <c r="AG8" s="94">
        <f t="shared" si="2"/>
        <v>0</v>
      </c>
      <c r="AH8" s="77"/>
      <c r="AI8" s="94">
        <f t="shared" si="3"/>
        <v>0</v>
      </c>
      <c r="AJ8" s="77"/>
      <c r="AK8" s="94">
        <f t="shared" si="4"/>
        <v>0</v>
      </c>
      <c r="AL8" s="77"/>
      <c r="AM8" s="94">
        <f t="shared" si="5"/>
        <v>0</v>
      </c>
      <c r="AN8" s="77"/>
      <c r="AO8" s="94">
        <f t="shared" si="6"/>
        <v>0</v>
      </c>
      <c r="AP8" s="95">
        <f t="shared" si="23"/>
        <v>1</v>
      </c>
      <c r="AQ8" s="77"/>
      <c r="AR8" s="77"/>
      <c r="AS8" s="77"/>
      <c r="AT8" s="44">
        <f t="shared" si="24"/>
        <v>7</v>
      </c>
      <c r="AU8" s="78"/>
      <c r="AV8" s="5"/>
      <c r="AW8" s="5"/>
      <c r="AX8" s="5"/>
      <c r="AY8" s="5"/>
      <c r="AZ8" s="24">
        <f>VLOOKUP(C8,Employees!D:I,6,FALSE)</f>
        <v>210507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7.5</v>
      </c>
      <c r="BL8" s="5">
        <f t="shared" si="35"/>
        <v>0.5</v>
      </c>
      <c r="BM8" s="5">
        <f t="shared" si="36"/>
        <v>7</v>
      </c>
      <c r="BN8" s="5">
        <f t="shared" si="37"/>
        <v>0</v>
      </c>
      <c r="BO8" s="5">
        <f t="shared" si="38"/>
        <v>0</v>
      </c>
      <c r="BP8" s="5">
        <f t="shared" si="39"/>
        <v>0</v>
      </c>
      <c r="BQ8" s="5">
        <f t="shared" si="40"/>
        <v>0</v>
      </c>
      <c r="BR8" s="5">
        <f t="shared" si="41"/>
        <v>0</v>
      </c>
      <c r="BS8" s="5">
        <f t="shared" si="42"/>
        <v>0</v>
      </c>
      <c r="BT8" s="5">
        <f t="shared" si="43"/>
        <v>0</v>
      </c>
      <c r="BU8" s="5">
        <f t="shared" si="44"/>
        <v>0</v>
      </c>
      <c r="BV8" s="5">
        <f t="shared" si="45"/>
        <v>0</v>
      </c>
      <c r="BW8" s="5">
        <f t="shared" si="46"/>
        <v>0</v>
      </c>
      <c r="BX8" s="5">
        <f t="shared" si="47"/>
        <v>0</v>
      </c>
      <c r="BY8" s="5">
        <f t="shared" si="11"/>
        <v>0</v>
      </c>
      <c r="BZ8" s="5">
        <f t="shared" si="48"/>
        <v>0</v>
      </c>
      <c r="CA8" s="5">
        <f t="shared" si="49"/>
        <v>0</v>
      </c>
      <c r="CB8" s="5">
        <f t="shared" si="50"/>
        <v>0</v>
      </c>
      <c r="CC8" s="5">
        <f t="shared" si="51"/>
        <v>0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1</v>
      </c>
    </row>
    <row r="9" spans="1:89" ht="38" customHeight="1">
      <c r="A9" s="74" t="str">
        <f t="shared" si="0"/>
        <v/>
      </c>
      <c r="B9" s="81"/>
      <c r="C9" s="86"/>
      <c r="D9" s="85"/>
      <c r="E9" s="85"/>
      <c r="F9" s="92">
        <f t="shared" si="15"/>
        <v>0</v>
      </c>
      <c r="G9" s="85"/>
      <c r="H9" s="85"/>
      <c r="I9" s="92">
        <f t="shared" si="16"/>
        <v>0</v>
      </c>
      <c r="J9" s="85"/>
      <c r="K9" s="85"/>
      <c r="L9" s="92">
        <f t="shared" si="17"/>
        <v>0</v>
      </c>
      <c r="M9" s="84"/>
      <c r="N9" s="85"/>
      <c r="O9" s="92">
        <f t="shared" si="18"/>
        <v>0</v>
      </c>
      <c r="P9" s="85"/>
      <c r="Q9" s="85"/>
      <c r="R9" s="92">
        <f t="shared" si="19"/>
        <v>0</v>
      </c>
      <c r="S9" s="84"/>
      <c r="T9" s="85"/>
      <c r="U9" s="92">
        <f t="shared" si="20"/>
        <v>0</v>
      </c>
      <c r="V9" s="85"/>
      <c r="W9" s="85"/>
      <c r="X9" s="92">
        <f t="shared" si="21"/>
        <v>0</v>
      </c>
      <c r="Y9" s="92"/>
      <c r="Z9" s="92"/>
      <c r="AA9" s="92"/>
      <c r="AB9" s="92">
        <f t="shared" si="22"/>
        <v>0</v>
      </c>
      <c r="AC9" s="93"/>
      <c r="AD9" s="78"/>
      <c r="AE9" s="94">
        <f t="shared" si="1"/>
        <v>0</v>
      </c>
      <c r="AF9" s="77"/>
      <c r="AG9" s="94">
        <f t="shared" si="2"/>
        <v>0</v>
      </c>
      <c r="AH9" s="77"/>
      <c r="AI9" s="94">
        <f t="shared" si="3"/>
        <v>0</v>
      </c>
      <c r="AJ9" s="77"/>
      <c r="AK9" s="94">
        <f t="shared" si="4"/>
        <v>0</v>
      </c>
      <c r="AL9" s="77"/>
      <c r="AM9" s="94">
        <f t="shared" si="5"/>
        <v>0</v>
      </c>
      <c r="AN9" s="77"/>
      <c r="AO9" s="94">
        <f t="shared" si="6"/>
        <v>0</v>
      </c>
      <c r="AP9" s="95">
        <f t="shared" si="23"/>
        <v>0</v>
      </c>
      <c r="AQ9" s="77"/>
      <c r="AR9" s="77"/>
      <c r="AS9" s="77"/>
      <c r="AT9" s="44">
        <f t="shared" si="24"/>
        <v>0</v>
      </c>
      <c r="AU9" s="78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0</v>
      </c>
      <c r="BV9" s="5">
        <f t="shared" si="45"/>
        <v>0</v>
      </c>
      <c r="BW9" s="5">
        <f t="shared" si="46"/>
        <v>0</v>
      </c>
      <c r="BX9" s="5">
        <f t="shared" si="47"/>
        <v>0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0</v>
      </c>
    </row>
    <row r="10" spans="1:89" ht="38" customHeight="1">
      <c r="A10" s="74" t="str">
        <f t="shared" si="0"/>
        <v/>
      </c>
      <c r="B10" s="81"/>
      <c r="C10" s="86"/>
      <c r="D10" s="84"/>
      <c r="E10" s="84"/>
      <c r="F10" s="92">
        <f t="shared" si="15"/>
        <v>0</v>
      </c>
      <c r="G10" s="85"/>
      <c r="H10" s="85"/>
      <c r="I10" s="92">
        <f t="shared" si="16"/>
        <v>0</v>
      </c>
      <c r="J10" s="84"/>
      <c r="K10" s="85"/>
      <c r="L10" s="92">
        <f t="shared" si="17"/>
        <v>0</v>
      </c>
      <c r="M10" s="85"/>
      <c r="N10" s="85"/>
      <c r="O10" s="92">
        <f t="shared" si="18"/>
        <v>0</v>
      </c>
      <c r="P10" s="85"/>
      <c r="Q10" s="85"/>
      <c r="R10" s="92">
        <f t="shared" si="19"/>
        <v>0</v>
      </c>
      <c r="S10" s="84"/>
      <c r="T10" s="85"/>
      <c r="U10" s="92">
        <f t="shared" si="20"/>
        <v>0</v>
      </c>
      <c r="V10" s="85"/>
      <c r="W10" s="85"/>
      <c r="X10" s="92">
        <f t="shared" si="21"/>
        <v>0</v>
      </c>
      <c r="Y10" s="92"/>
      <c r="Z10" s="92"/>
      <c r="AA10" s="92"/>
      <c r="AB10" s="92">
        <f t="shared" si="22"/>
        <v>0</v>
      </c>
      <c r="AC10" s="93"/>
      <c r="AD10" s="77"/>
      <c r="AE10" s="94">
        <f t="shared" si="1"/>
        <v>0</v>
      </c>
      <c r="AF10" s="77"/>
      <c r="AG10" s="94">
        <f t="shared" si="2"/>
        <v>0</v>
      </c>
      <c r="AH10" s="77"/>
      <c r="AI10" s="94">
        <f t="shared" si="3"/>
        <v>0</v>
      </c>
      <c r="AJ10" s="77"/>
      <c r="AK10" s="94">
        <f t="shared" si="4"/>
        <v>0</v>
      </c>
      <c r="AL10" s="77"/>
      <c r="AM10" s="94">
        <f t="shared" si="5"/>
        <v>0</v>
      </c>
      <c r="AN10" s="77"/>
      <c r="AO10" s="94">
        <f t="shared" si="6"/>
        <v>0</v>
      </c>
      <c r="AP10" s="95">
        <f t="shared" si="23"/>
        <v>0</v>
      </c>
      <c r="AQ10" s="77"/>
      <c r="AR10" s="77"/>
      <c r="AS10" s="77"/>
      <c r="AT10" s="44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0</v>
      </c>
    </row>
    <row r="11" spans="1:89" ht="38" customHeight="1">
      <c r="A11" s="74" t="str">
        <f t="shared" si="0"/>
        <v/>
      </c>
      <c r="B11" s="81"/>
      <c r="C11" s="86"/>
      <c r="D11" s="85"/>
      <c r="E11" s="85"/>
      <c r="F11" s="92">
        <f t="shared" si="15"/>
        <v>0</v>
      </c>
      <c r="G11" s="85"/>
      <c r="H11" s="85"/>
      <c r="I11" s="92">
        <f t="shared" si="16"/>
        <v>0</v>
      </c>
      <c r="J11" s="84"/>
      <c r="K11" s="85"/>
      <c r="L11" s="92">
        <f t="shared" si="17"/>
        <v>0</v>
      </c>
      <c r="M11" s="85"/>
      <c r="N11" s="85"/>
      <c r="O11" s="92">
        <f t="shared" si="18"/>
        <v>0</v>
      </c>
      <c r="P11" s="84"/>
      <c r="Q11" s="85"/>
      <c r="R11" s="92">
        <f t="shared" si="19"/>
        <v>0</v>
      </c>
      <c r="S11" s="75"/>
      <c r="T11" s="75"/>
      <c r="U11" s="92">
        <f t="shared" si="20"/>
        <v>0</v>
      </c>
      <c r="V11" s="84"/>
      <c r="W11" s="85"/>
      <c r="X11" s="92">
        <f t="shared" si="21"/>
        <v>0</v>
      </c>
      <c r="Y11" s="92"/>
      <c r="Z11" s="92"/>
      <c r="AA11" s="92"/>
      <c r="AB11" s="92">
        <f t="shared" si="22"/>
        <v>0</v>
      </c>
      <c r="AC11" s="93"/>
      <c r="AD11" s="78"/>
      <c r="AE11" s="94">
        <f t="shared" si="1"/>
        <v>0</v>
      </c>
      <c r="AF11" s="77"/>
      <c r="AG11" s="94">
        <f t="shared" si="2"/>
        <v>0</v>
      </c>
      <c r="AH11" s="77"/>
      <c r="AI11" s="94">
        <f t="shared" si="3"/>
        <v>0</v>
      </c>
      <c r="AJ11" s="77"/>
      <c r="AK11" s="94">
        <f t="shared" si="4"/>
        <v>0</v>
      </c>
      <c r="AL11" s="77"/>
      <c r="AM11" s="94">
        <f t="shared" si="5"/>
        <v>0</v>
      </c>
      <c r="AN11" s="77"/>
      <c r="AO11" s="94">
        <f t="shared" si="6"/>
        <v>0</v>
      </c>
      <c r="AP11" s="95">
        <f t="shared" si="23"/>
        <v>0</v>
      </c>
      <c r="AQ11" s="77"/>
      <c r="AR11" s="77"/>
      <c r="AS11" s="77"/>
      <c r="AT11" s="44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0</v>
      </c>
    </row>
    <row r="12" spans="1:89" ht="38" customHeight="1">
      <c r="A12" s="74" t="str">
        <f t="shared" si="0"/>
        <v/>
      </c>
      <c r="B12" s="81"/>
      <c r="C12" s="86"/>
      <c r="D12" s="85"/>
      <c r="E12" s="85"/>
      <c r="F12" s="92">
        <f t="shared" si="15"/>
        <v>0</v>
      </c>
      <c r="G12" s="85"/>
      <c r="H12" s="85"/>
      <c r="I12" s="92">
        <f t="shared" si="16"/>
        <v>0</v>
      </c>
      <c r="J12" s="76"/>
      <c r="K12" s="75"/>
      <c r="L12" s="92">
        <f t="shared" si="17"/>
        <v>0</v>
      </c>
      <c r="M12" s="85"/>
      <c r="N12" s="85"/>
      <c r="O12" s="92">
        <f t="shared" si="18"/>
        <v>0</v>
      </c>
      <c r="P12" s="75"/>
      <c r="Q12" s="75"/>
      <c r="R12" s="92">
        <f t="shared" si="19"/>
        <v>0</v>
      </c>
      <c r="S12" s="75"/>
      <c r="T12" s="75"/>
      <c r="U12" s="92">
        <f t="shared" si="20"/>
        <v>0</v>
      </c>
      <c r="V12" s="75"/>
      <c r="W12" s="75"/>
      <c r="X12" s="92">
        <f t="shared" si="21"/>
        <v>0</v>
      </c>
      <c r="Y12" s="92"/>
      <c r="Z12" s="92"/>
      <c r="AA12" s="92"/>
      <c r="AB12" s="92">
        <f t="shared" si="22"/>
        <v>0</v>
      </c>
      <c r="AC12" s="93"/>
      <c r="AD12" s="78"/>
      <c r="AE12" s="94">
        <f t="shared" si="1"/>
        <v>0</v>
      </c>
      <c r="AF12" s="77"/>
      <c r="AG12" s="94">
        <f t="shared" si="2"/>
        <v>0</v>
      </c>
      <c r="AH12" s="77"/>
      <c r="AI12" s="94">
        <f t="shared" si="3"/>
        <v>0</v>
      </c>
      <c r="AJ12" s="77"/>
      <c r="AK12" s="94">
        <f t="shared" si="4"/>
        <v>0</v>
      </c>
      <c r="AL12" s="77"/>
      <c r="AM12" s="94">
        <f t="shared" si="5"/>
        <v>0</v>
      </c>
      <c r="AN12" s="77"/>
      <c r="AO12" s="94">
        <f t="shared" si="6"/>
        <v>0</v>
      </c>
      <c r="AP12" s="95">
        <f t="shared" si="23"/>
        <v>0</v>
      </c>
      <c r="AQ12" s="77"/>
      <c r="AR12" s="77"/>
      <c r="AS12" s="77"/>
      <c r="AT12" s="44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0</v>
      </c>
    </row>
    <row r="13" spans="1:89" ht="38" customHeight="1">
      <c r="A13" s="74" t="str">
        <f t="shared" si="0"/>
        <v/>
      </c>
      <c r="B13" s="81"/>
      <c r="C13" s="86"/>
      <c r="D13" s="84"/>
      <c r="E13" s="85"/>
      <c r="F13" s="92">
        <f t="shared" si="15"/>
        <v>0</v>
      </c>
      <c r="G13" s="85"/>
      <c r="H13" s="84"/>
      <c r="I13" s="92">
        <f t="shared" si="16"/>
        <v>0</v>
      </c>
      <c r="J13" s="76"/>
      <c r="K13" s="75"/>
      <c r="L13" s="92">
        <f t="shared" si="17"/>
        <v>0</v>
      </c>
      <c r="M13" s="85"/>
      <c r="N13" s="84"/>
      <c r="O13" s="92">
        <f t="shared" si="18"/>
        <v>0</v>
      </c>
      <c r="P13" s="85"/>
      <c r="Q13" s="84"/>
      <c r="R13" s="92">
        <f t="shared" si="19"/>
        <v>0</v>
      </c>
      <c r="S13" s="75"/>
      <c r="T13" s="75"/>
      <c r="U13" s="92">
        <f t="shared" si="20"/>
        <v>0</v>
      </c>
      <c r="V13" s="75"/>
      <c r="W13" s="75"/>
      <c r="X13" s="92">
        <f t="shared" si="21"/>
        <v>0</v>
      </c>
      <c r="Y13" s="92"/>
      <c r="Z13" s="92"/>
      <c r="AA13" s="92"/>
      <c r="AB13" s="92">
        <f t="shared" si="22"/>
        <v>0</v>
      </c>
      <c r="AC13" s="93"/>
      <c r="AD13" s="78"/>
      <c r="AE13" s="94">
        <f t="shared" si="1"/>
        <v>0</v>
      </c>
      <c r="AF13" s="77"/>
      <c r="AG13" s="94">
        <f t="shared" si="2"/>
        <v>0</v>
      </c>
      <c r="AH13" s="77"/>
      <c r="AI13" s="94">
        <f t="shared" si="3"/>
        <v>0</v>
      </c>
      <c r="AJ13" s="77"/>
      <c r="AK13" s="94">
        <f t="shared" si="4"/>
        <v>0</v>
      </c>
      <c r="AL13" s="77"/>
      <c r="AM13" s="94">
        <f t="shared" si="5"/>
        <v>0</v>
      </c>
      <c r="AN13" s="77"/>
      <c r="AO13" s="94">
        <f t="shared" si="6"/>
        <v>0</v>
      </c>
      <c r="AP13" s="95">
        <f t="shared" si="23"/>
        <v>0</v>
      </c>
      <c r="AQ13" s="77"/>
      <c r="AR13" s="77"/>
      <c r="AS13" s="77"/>
      <c r="AT13" s="44">
        <f t="shared" si="24"/>
        <v>0</v>
      </c>
      <c r="AU13" s="78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0</v>
      </c>
    </row>
    <row r="14" spans="1:89" ht="38" customHeight="1">
      <c r="A14" s="74" t="str">
        <f t="shared" si="0"/>
        <v/>
      </c>
      <c r="B14" s="81"/>
      <c r="C14" s="86"/>
      <c r="D14" s="75"/>
      <c r="E14" s="75"/>
      <c r="F14" s="92">
        <f t="shared" si="15"/>
        <v>0</v>
      </c>
      <c r="G14" s="85"/>
      <c r="H14" s="85"/>
      <c r="I14" s="92">
        <f t="shared" si="16"/>
        <v>0</v>
      </c>
      <c r="J14" s="76"/>
      <c r="K14" s="75"/>
      <c r="L14" s="92">
        <f t="shared" si="17"/>
        <v>0</v>
      </c>
      <c r="M14" s="75"/>
      <c r="N14" s="75"/>
      <c r="O14" s="92">
        <f t="shared" si="18"/>
        <v>0</v>
      </c>
      <c r="P14" s="85"/>
      <c r="Q14" s="84"/>
      <c r="R14" s="92">
        <f t="shared" si="19"/>
        <v>0</v>
      </c>
      <c r="S14" s="75"/>
      <c r="T14" s="75"/>
      <c r="U14" s="92">
        <f t="shared" si="20"/>
        <v>0</v>
      </c>
      <c r="V14" s="75"/>
      <c r="W14" s="75"/>
      <c r="X14" s="92">
        <f t="shared" si="21"/>
        <v>0</v>
      </c>
      <c r="Y14" s="92"/>
      <c r="Z14" s="92"/>
      <c r="AA14" s="92"/>
      <c r="AB14" s="92">
        <f t="shared" si="22"/>
        <v>0</v>
      </c>
      <c r="AC14" s="93"/>
      <c r="AD14" s="77"/>
      <c r="AE14" s="94">
        <f t="shared" si="1"/>
        <v>0</v>
      </c>
      <c r="AF14" s="77"/>
      <c r="AG14" s="94">
        <f t="shared" si="2"/>
        <v>0</v>
      </c>
      <c r="AH14" s="77"/>
      <c r="AI14" s="94">
        <f t="shared" si="3"/>
        <v>0</v>
      </c>
      <c r="AJ14" s="77"/>
      <c r="AK14" s="94">
        <f t="shared" si="4"/>
        <v>0</v>
      </c>
      <c r="AL14" s="77"/>
      <c r="AM14" s="94">
        <f t="shared" si="5"/>
        <v>0</v>
      </c>
      <c r="AN14" s="77"/>
      <c r="AO14" s="94">
        <f t="shared" si="6"/>
        <v>0</v>
      </c>
      <c r="AP14" s="95">
        <f t="shared" si="23"/>
        <v>0</v>
      </c>
      <c r="AQ14" s="77"/>
      <c r="AR14" s="77"/>
      <c r="AS14" s="77"/>
      <c r="AT14" s="44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4" t="str">
        <f t="shared" si="0"/>
        <v/>
      </c>
      <c r="B15" s="73"/>
      <c r="C15" s="97"/>
      <c r="D15" s="75"/>
      <c r="E15" s="75"/>
      <c r="F15" s="92">
        <f t="shared" si="15"/>
        <v>0</v>
      </c>
      <c r="G15" s="75"/>
      <c r="H15" s="75"/>
      <c r="I15" s="92">
        <f t="shared" si="16"/>
        <v>0</v>
      </c>
      <c r="J15" s="76"/>
      <c r="K15" s="75"/>
      <c r="L15" s="92">
        <f t="shared" si="17"/>
        <v>0</v>
      </c>
      <c r="M15" s="75"/>
      <c r="N15" s="75"/>
      <c r="O15" s="92">
        <f t="shared" si="18"/>
        <v>0</v>
      </c>
      <c r="P15" s="75"/>
      <c r="Q15" s="75"/>
      <c r="R15" s="92">
        <f t="shared" si="19"/>
        <v>0</v>
      </c>
      <c r="S15" s="75"/>
      <c r="T15" s="75"/>
      <c r="U15" s="92">
        <f t="shared" si="20"/>
        <v>0</v>
      </c>
      <c r="V15" s="75"/>
      <c r="W15" s="75"/>
      <c r="X15" s="92">
        <f t="shared" si="21"/>
        <v>0</v>
      </c>
      <c r="Y15" s="92"/>
      <c r="Z15" s="92"/>
      <c r="AA15" s="92"/>
      <c r="AB15" s="92">
        <f t="shared" si="22"/>
        <v>0</v>
      </c>
      <c r="AC15" s="93"/>
      <c r="AD15" s="77"/>
      <c r="AE15" s="94">
        <f t="shared" si="1"/>
        <v>0</v>
      </c>
      <c r="AF15" s="77"/>
      <c r="AG15" s="94">
        <f t="shared" si="2"/>
        <v>0</v>
      </c>
      <c r="AH15" s="77"/>
      <c r="AI15" s="94">
        <f t="shared" si="3"/>
        <v>0</v>
      </c>
      <c r="AJ15" s="77"/>
      <c r="AK15" s="94">
        <f t="shared" si="4"/>
        <v>0</v>
      </c>
      <c r="AL15" s="77"/>
      <c r="AM15" s="94">
        <f t="shared" si="5"/>
        <v>0</v>
      </c>
      <c r="AN15" s="77"/>
      <c r="AO15" s="94">
        <f t="shared" si="6"/>
        <v>0</v>
      </c>
      <c r="AP15" s="95">
        <f t="shared" si="23"/>
        <v>0</v>
      </c>
      <c r="AQ15" s="77"/>
      <c r="AR15" s="77"/>
      <c r="AS15" s="77"/>
      <c r="AT15" s="44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4" t="str">
        <f t="shared" si="0"/>
        <v/>
      </c>
      <c r="B16" s="73"/>
      <c r="C16" s="87"/>
      <c r="D16" s="75"/>
      <c r="E16" s="75"/>
      <c r="F16" s="92">
        <f t="shared" si="15"/>
        <v>0</v>
      </c>
      <c r="G16" s="75"/>
      <c r="H16" s="75"/>
      <c r="I16" s="92">
        <f t="shared" si="16"/>
        <v>0</v>
      </c>
      <c r="J16" s="76"/>
      <c r="K16" s="75"/>
      <c r="L16" s="92">
        <f t="shared" si="17"/>
        <v>0</v>
      </c>
      <c r="M16" s="75"/>
      <c r="N16" s="75"/>
      <c r="O16" s="92">
        <f t="shared" si="18"/>
        <v>0</v>
      </c>
      <c r="P16" s="75"/>
      <c r="Q16" s="75"/>
      <c r="R16" s="92">
        <f t="shared" si="19"/>
        <v>0</v>
      </c>
      <c r="S16" s="75"/>
      <c r="T16" s="75"/>
      <c r="U16" s="92">
        <f t="shared" si="20"/>
        <v>0</v>
      </c>
      <c r="V16" s="75"/>
      <c r="W16" s="75"/>
      <c r="X16" s="92">
        <f t="shared" si="21"/>
        <v>0</v>
      </c>
      <c r="Y16" s="92"/>
      <c r="Z16" s="92"/>
      <c r="AA16" s="92"/>
      <c r="AB16" s="92">
        <f t="shared" si="22"/>
        <v>0</v>
      </c>
      <c r="AC16" s="93"/>
      <c r="AD16" s="77"/>
      <c r="AE16" s="94">
        <f t="shared" si="1"/>
        <v>0</v>
      </c>
      <c r="AF16" s="77"/>
      <c r="AG16" s="94">
        <f t="shared" si="2"/>
        <v>0</v>
      </c>
      <c r="AH16" s="77"/>
      <c r="AI16" s="94">
        <f t="shared" si="3"/>
        <v>0</v>
      </c>
      <c r="AJ16" s="77"/>
      <c r="AK16" s="94">
        <f t="shared" si="4"/>
        <v>0</v>
      </c>
      <c r="AL16" s="77"/>
      <c r="AM16" s="94">
        <f t="shared" si="5"/>
        <v>0</v>
      </c>
      <c r="AN16" s="77"/>
      <c r="AO16" s="94">
        <f t="shared" si="6"/>
        <v>0</v>
      </c>
      <c r="AP16" s="95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7"/>
      <c r="D17" s="75"/>
      <c r="E17" s="75"/>
      <c r="F17" s="92">
        <f t="shared" si="15"/>
        <v>0</v>
      </c>
      <c r="G17" s="75"/>
      <c r="H17" s="75"/>
      <c r="I17" s="92">
        <f t="shared" si="16"/>
        <v>0</v>
      </c>
      <c r="J17" s="76"/>
      <c r="K17" s="75"/>
      <c r="L17" s="92">
        <f t="shared" si="17"/>
        <v>0</v>
      </c>
      <c r="M17" s="75"/>
      <c r="N17" s="75"/>
      <c r="O17" s="92">
        <f t="shared" si="18"/>
        <v>0</v>
      </c>
      <c r="P17" s="75"/>
      <c r="Q17" s="75"/>
      <c r="R17" s="92">
        <f t="shared" si="19"/>
        <v>0</v>
      </c>
      <c r="S17" s="75"/>
      <c r="T17" s="75"/>
      <c r="U17" s="92">
        <f t="shared" si="20"/>
        <v>0</v>
      </c>
      <c r="V17" s="75"/>
      <c r="W17" s="75"/>
      <c r="X17" s="92">
        <f t="shared" si="21"/>
        <v>0</v>
      </c>
      <c r="Y17" s="92"/>
      <c r="Z17" s="92"/>
      <c r="AA17" s="92"/>
      <c r="AB17" s="92">
        <f t="shared" si="22"/>
        <v>0</v>
      </c>
      <c r="AC17" s="93"/>
      <c r="AD17" s="77"/>
      <c r="AE17" s="94">
        <f t="shared" si="1"/>
        <v>0</v>
      </c>
      <c r="AF17" s="77"/>
      <c r="AG17" s="94">
        <f t="shared" si="2"/>
        <v>0</v>
      </c>
      <c r="AH17" s="77"/>
      <c r="AI17" s="94">
        <f t="shared" si="3"/>
        <v>0</v>
      </c>
      <c r="AJ17" s="77"/>
      <c r="AK17" s="94">
        <f t="shared" si="4"/>
        <v>0</v>
      </c>
      <c r="AL17" s="77"/>
      <c r="AM17" s="94">
        <f t="shared" si="5"/>
        <v>0</v>
      </c>
      <c r="AN17" s="77"/>
      <c r="AO17" s="94">
        <f t="shared" si="6"/>
        <v>0</v>
      </c>
      <c r="AP17" s="95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2">
        <f t="shared" si="15"/>
        <v>0</v>
      </c>
      <c r="G18" s="75"/>
      <c r="H18" s="75"/>
      <c r="I18" s="92">
        <f t="shared" si="16"/>
        <v>0</v>
      </c>
      <c r="J18" s="76"/>
      <c r="K18" s="75"/>
      <c r="L18" s="92">
        <f t="shared" si="17"/>
        <v>0</v>
      </c>
      <c r="M18" s="75"/>
      <c r="N18" s="75"/>
      <c r="O18" s="92">
        <f t="shared" si="18"/>
        <v>0</v>
      </c>
      <c r="P18" s="75"/>
      <c r="Q18" s="75"/>
      <c r="R18" s="92">
        <f t="shared" si="19"/>
        <v>0</v>
      </c>
      <c r="S18" s="75"/>
      <c r="T18" s="75"/>
      <c r="U18" s="92">
        <f t="shared" si="20"/>
        <v>0</v>
      </c>
      <c r="V18" s="75"/>
      <c r="W18" s="75"/>
      <c r="X18" s="92">
        <f t="shared" si="21"/>
        <v>0</v>
      </c>
      <c r="Y18" s="92"/>
      <c r="Z18" s="92"/>
      <c r="AA18" s="92"/>
      <c r="AB18" s="92">
        <f t="shared" si="22"/>
        <v>0</v>
      </c>
      <c r="AC18" s="93"/>
      <c r="AD18" s="77"/>
      <c r="AE18" s="94">
        <f t="shared" si="1"/>
        <v>0</v>
      </c>
      <c r="AF18" s="77"/>
      <c r="AG18" s="94">
        <f t="shared" si="2"/>
        <v>0</v>
      </c>
      <c r="AH18" s="77"/>
      <c r="AI18" s="94">
        <f t="shared" si="3"/>
        <v>0</v>
      </c>
      <c r="AJ18" s="77"/>
      <c r="AK18" s="94">
        <f t="shared" si="4"/>
        <v>0</v>
      </c>
      <c r="AL18" s="77"/>
      <c r="AM18" s="94">
        <f t="shared" si="5"/>
        <v>0</v>
      </c>
      <c r="AN18" s="77"/>
      <c r="AO18" s="94">
        <f t="shared" si="6"/>
        <v>0</v>
      </c>
      <c r="AP18" s="95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2">
        <f t="shared" si="15"/>
        <v>0</v>
      </c>
      <c r="G19" s="75"/>
      <c r="H19" s="75"/>
      <c r="I19" s="92">
        <f t="shared" si="16"/>
        <v>0</v>
      </c>
      <c r="J19" s="76"/>
      <c r="K19" s="75"/>
      <c r="L19" s="92">
        <f t="shared" si="17"/>
        <v>0</v>
      </c>
      <c r="M19" s="75"/>
      <c r="N19" s="75"/>
      <c r="O19" s="92">
        <f t="shared" si="18"/>
        <v>0</v>
      </c>
      <c r="P19" s="75"/>
      <c r="Q19" s="75"/>
      <c r="R19" s="92">
        <f t="shared" si="19"/>
        <v>0</v>
      </c>
      <c r="S19" s="75"/>
      <c r="T19" s="75"/>
      <c r="U19" s="92">
        <f t="shared" si="20"/>
        <v>0</v>
      </c>
      <c r="V19" s="75"/>
      <c r="W19" s="75"/>
      <c r="X19" s="92">
        <f t="shared" si="21"/>
        <v>0</v>
      </c>
      <c r="Y19" s="92"/>
      <c r="Z19" s="92"/>
      <c r="AA19" s="92"/>
      <c r="AB19" s="92">
        <f t="shared" si="22"/>
        <v>0</v>
      </c>
      <c r="AC19" s="93"/>
      <c r="AD19" s="77"/>
      <c r="AE19" s="94">
        <f t="shared" si="1"/>
        <v>0</v>
      </c>
      <c r="AF19" s="77"/>
      <c r="AG19" s="94">
        <f t="shared" si="2"/>
        <v>0</v>
      </c>
      <c r="AH19" s="77"/>
      <c r="AI19" s="94">
        <f t="shared" si="3"/>
        <v>0</v>
      </c>
      <c r="AJ19" s="77"/>
      <c r="AK19" s="94">
        <f t="shared" si="4"/>
        <v>0</v>
      </c>
      <c r="AL19" s="77"/>
      <c r="AM19" s="94">
        <f t="shared" si="5"/>
        <v>0</v>
      </c>
      <c r="AN19" s="77"/>
      <c r="AO19" s="94">
        <f t="shared" si="6"/>
        <v>0</v>
      </c>
      <c r="AP19" s="95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2">
        <f t="shared" si="15"/>
        <v>0</v>
      </c>
      <c r="G20" s="75"/>
      <c r="H20" s="75"/>
      <c r="I20" s="92">
        <f t="shared" si="16"/>
        <v>0</v>
      </c>
      <c r="J20" s="76"/>
      <c r="K20" s="75"/>
      <c r="L20" s="92">
        <f t="shared" si="17"/>
        <v>0</v>
      </c>
      <c r="M20" s="75"/>
      <c r="N20" s="75"/>
      <c r="O20" s="92">
        <f t="shared" si="18"/>
        <v>0</v>
      </c>
      <c r="P20" s="75"/>
      <c r="Q20" s="75"/>
      <c r="R20" s="92">
        <f t="shared" si="19"/>
        <v>0</v>
      </c>
      <c r="S20" s="75"/>
      <c r="T20" s="75"/>
      <c r="U20" s="92">
        <f t="shared" si="20"/>
        <v>0</v>
      </c>
      <c r="V20" s="75"/>
      <c r="W20" s="75"/>
      <c r="X20" s="92">
        <f t="shared" si="21"/>
        <v>0</v>
      </c>
      <c r="Y20" s="92"/>
      <c r="Z20" s="92"/>
      <c r="AA20" s="92"/>
      <c r="AB20" s="92">
        <f t="shared" si="22"/>
        <v>0</v>
      </c>
      <c r="AC20" s="93"/>
      <c r="AD20" s="77"/>
      <c r="AE20" s="94">
        <f t="shared" si="1"/>
        <v>0</v>
      </c>
      <c r="AF20" s="77"/>
      <c r="AG20" s="94">
        <f t="shared" si="2"/>
        <v>0</v>
      </c>
      <c r="AH20" s="77"/>
      <c r="AI20" s="94">
        <f t="shared" si="3"/>
        <v>0</v>
      </c>
      <c r="AJ20" s="77"/>
      <c r="AK20" s="94">
        <f t="shared" si="4"/>
        <v>0</v>
      </c>
      <c r="AL20" s="77"/>
      <c r="AM20" s="94">
        <f t="shared" si="5"/>
        <v>0</v>
      </c>
      <c r="AN20" s="77"/>
      <c r="AO20" s="94">
        <f t="shared" si="6"/>
        <v>0</v>
      </c>
      <c r="AP20" s="95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2">
        <f t="shared" ref="F21:F29" si="59">BA21-BB21</f>
        <v>0</v>
      </c>
      <c r="G21" s="75"/>
      <c r="H21" s="75"/>
      <c r="I21" s="92">
        <f t="shared" ref="I21:I29" si="60">BF21-BG21</f>
        <v>0</v>
      </c>
      <c r="J21" s="76"/>
      <c r="K21" s="75"/>
      <c r="L21" s="92">
        <f t="shared" ref="L21:L29" si="61">BK21-BL21</f>
        <v>0</v>
      </c>
      <c r="M21" s="75"/>
      <c r="N21" s="75"/>
      <c r="O21" s="92">
        <f t="shared" ref="O21:O29" si="62">BP21-BQ21</f>
        <v>0</v>
      </c>
      <c r="P21" s="75"/>
      <c r="Q21" s="75"/>
      <c r="R21" s="92">
        <f t="shared" ref="R21:R29" si="63">BU21-BV21</f>
        <v>0</v>
      </c>
      <c r="S21" s="75"/>
      <c r="T21" s="75"/>
      <c r="U21" s="92">
        <f t="shared" ref="U21:U29" si="64">BZ21-CA21</f>
        <v>0</v>
      </c>
      <c r="V21" s="75"/>
      <c r="W21" s="75"/>
      <c r="X21" s="92">
        <f t="shared" ref="X21:X29" si="65">CE21-CF21</f>
        <v>0</v>
      </c>
      <c r="Y21" s="92"/>
      <c r="Z21" s="92"/>
      <c r="AA21" s="92"/>
      <c r="AB21" s="92">
        <f t="shared" ref="AB21:AB29" si="66">SUM(F21,I21,L21,O21,R21,U21,X21)</f>
        <v>0</v>
      </c>
      <c r="AC21" s="93"/>
      <c r="AD21" s="77"/>
      <c r="AE21" s="94">
        <f t="shared" ref="AE21:AE29" si="67">SUMIF($BC$1:$CI$1,AE$1,$BC21:$CI21)+AD21</f>
        <v>0</v>
      </c>
      <c r="AF21" s="77"/>
      <c r="AG21" s="94">
        <f t="shared" ref="AG21:AG29" si="68">SUMIF($BC$1:$CI$1,AG$1,$BC21:$CI21)+AF21</f>
        <v>0</v>
      </c>
      <c r="AH21" s="77"/>
      <c r="AI21" s="94">
        <f t="shared" ref="AI21:AI29" si="69">SUMIF($BC$1:$CI$1,AI$1,$BC21:$CI21)+AH21</f>
        <v>0</v>
      </c>
      <c r="AJ21" s="77"/>
      <c r="AK21" s="94">
        <f t="shared" ref="AK21:AK29" si="70">SUMIF($BC$1:$CI$1,AK$1,$BC21:$CI21)+AJ21</f>
        <v>0</v>
      </c>
      <c r="AL21" s="77"/>
      <c r="AM21" s="94">
        <f t="shared" ref="AM21:AM29" si="71">SUMIF($BC$1:$CI$1,AM$1,$BC21:$CI21)+AL21</f>
        <v>0</v>
      </c>
      <c r="AN21" s="77"/>
      <c r="AO21" s="94">
        <f t="shared" ref="AO21:AO29" si="72">SUMIF($BC$1:$CI$1,AO$1,$BC21:$CI21)+AN21</f>
        <v>0</v>
      </c>
      <c r="AP21" s="95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2">
        <f t="shared" si="59"/>
        <v>0</v>
      </c>
      <c r="G22" s="75"/>
      <c r="H22" s="75"/>
      <c r="I22" s="92">
        <f t="shared" si="60"/>
        <v>0</v>
      </c>
      <c r="J22" s="76"/>
      <c r="K22" s="75"/>
      <c r="L22" s="92">
        <f t="shared" si="61"/>
        <v>0</v>
      </c>
      <c r="M22" s="75"/>
      <c r="N22" s="75"/>
      <c r="O22" s="92">
        <f t="shared" si="62"/>
        <v>0</v>
      </c>
      <c r="P22" s="75"/>
      <c r="Q22" s="75"/>
      <c r="R22" s="92">
        <f t="shared" si="63"/>
        <v>0</v>
      </c>
      <c r="S22" s="75"/>
      <c r="T22" s="75"/>
      <c r="U22" s="92">
        <f t="shared" si="64"/>
        <v>0</v>
      </c>
      <c r="V22" s="75"/>
      <c r="W22" s="75"/>
      <c r="X22" s="92">
        <f t="shared" si="65"/>
        <v>0</v>
      </c>
      <c r="Y22" s="92"/>
      <c r="Z22" s="92"/>
      <c r="AA22" s="92"/>
      <c r="AB22" s="92">
        <f t="shared" si="66"/>
        <v>0</v>
      </c>
      <c r="AC22" s="93"/>
      <c r="AD22" s="77"/>
      <c r="AE22" s="94">
        <f t="shared" si="67"/>
        <v>0</v>
      </c>
      <c r="AF22" s="77"/>
      <c r="AG22" s="94">
        <f t="shared" si="68"/>
        <v>0</v>
      </c>
      <c r="AH22" s="77"/>
      <c r="AI22" s="94">
        <f t="shared" si="69"/>
        <v>0</v>
      </c>
      <c r="AJ22" s="77"/>
      <c r="AK22" s="94">
        <f t="shared" si="70"/>
        <v>0</v>
      </c>
      <c r="AL22" s="77"/>
      <c r="AM22" s="94">
        <f t="shared" si="71"/>
        <v>0</v>
      </c>
      <c r="AN22" s="77"/>
      <c r="AO22" s="94">
        <f t="shared" si="72"/>
        <v>0</v>
      </c>
      <c r="AP22" s="95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2">
        <f t="shared" si="59"/>
        <v>0</v>
      </c>
      <c r="G23" s="75"/>
      <c r="H23" s="75"/>
      <c r="I23" s="92">
        <f t="shared" si="60"/>
        <v>0</v>
      </c>
      <c r="J23" s="76"/>
      <c r="K23" s="75"/>
      <c r="L23" s="92">
        <f t="shared" si="61"/>
        <v>0</v>
      </c>
      <c r="M23" s="75"/>
      <c r="N23" s="75"/>
      <c r="O23" s="92">
        <f t="shared" si="62"/>
        <v>0</v>
      </c>
      <c r="P23" s="75"/>
      <c r="Q23" s="75"/>
      <c r="R23" s="92">
        <f t="shared" si="63"/>
        <v>0</v>
      </c>
      <c r="S23" s="75"/>
      <c r="T23" s="75"/>
      <c r="U23" s="92">
        <f t="shared" si="64"/>
        <v>0</v>
      </c>
      <c r="V23" s="75"/>
      <c r="W23" s="75"/>
      <c r="X23" s="92">
        <f t="shared" si="65"/>
        <v>0</v>
      </c>
      <c r="Y23" s="92"/>
      <c r="Z23" s="92"/>
      <c r="AA23" s="92"/>
      <c r="AB23" s="92">
        <f t="shared" si="66"/>
        <v>0</v>
      </c>
      <c r="AC23" s="93"/>
      <c r="AD23" s="77"/>
      <c r="AE23" s="94">
        <f t="shared" si="67"/>
        <v>0</v>
      </c>
      <c r="AF23" s="77"/>
      <c r="AG23" s="94">
        <f t="shared" si="68"/>
        <v>0</v>
      </c>
      <c r="AH23" s="77"/>
      <c r="AI23" s="94">
        <f t="shared" si="69"/>
        <v>0</v>
      </c>
      <c r="AJ23" s="77"/>
      <c r="AK23" s="94">
        <f t="shared" si="70"/>
        <v>0</v>
      </c>
      <c r="AL23" s="77"/>
      <c r="AM23" s="94">
        <f t="shared" si="71"/>
        <v>0</v>
      </c>
      <c r="AN23" s="77"/>
      <c r="AO23" s="94">
        <f t="shared" si="72"/>
        <v>0</v>
      </c>
      <c r="AP23" s="95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2">
        <f t="shared" si="59"/>
        <v>0</v>
      </c>
      <c r="G24" s="75"/>
      <c r="H24" s="75"/>
      <c r="I24" s="92">
        <f t="shared" si="60"/>
        <v>0</v>
      </c>
      <c r="J24" s="76"/>
      <c r="K24" s="75"/>
      <c r="L24" s="92">
        <f t="shared" si="61"/>
        <v>0</v>
      </c>
      <c r="M24" s="75"/>
      <c r="N24" s="75"/>
      <c r="O24" s="92">
        <f t="shared" si="62"/>
        <v>0</v>
      </c>
      <c r="P24" s="75"/>
      <c r="Q24" s="75"/>
      <c r="R24" s="92">
        <f t="shared" si="63"/>
        <v>0</v>
      </c>
      <c r="S24" s="75"/>
      <c r="T24" s="75"/>
      <c r="U24" s="92">
        <f t="shared" si="64"/>
        <v>0</v>
      </c>
      <c r="V24" s="75"/>
      <c r="W24" s="75"/>
      <c r="X24" s="92">
        <f t="shared" si="65"/>
        <v>0</v>
      </c>
      <c r="Y24" s="92"/>
      <c r="Z24" s="92"/>
      <c r="AA24" s="92"/>
      <c r="AB24" s="92">
        <f t="shared" si="66"/>
        <v>0</v>
      </c>
      <c r="AC24" s="93"/>
      <c r="AD24" s="77"/>
      <c r="AE24" s="94">
        <f t="shared" si="67"/>
        <v>0</v>
      </c>
      <c r="AF24" s="77"/>
      <c r="AG24" s="94">
        <f t="shared" si="68"/>
        <v>0</v>
      </c>
      <c r="AH24" s="77"/>
      <c r="AI24" s="94">
        <f t="shared" si="69"/>
        <v>0</v>
      </c>
      <c r="AJ24" s="77"/>
      <c r="AK24" s="94">
        <f t="shared" si="70"/>
        <v>0</v>
      </c>
      <c r="AL24" s="77"/>
      <c r="AM24" s="94">
        <f t="shared" si="71"/>
        <v>0</v>
      </c>
      <c r="AN24" s="77"/>
      <c r="AO24" s="94">
        <f t="shared" si="72"/>
        <v>0</v>
      </c>
      <c r="AP24" s="95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2">
        <f t="shared" si="59"/>
        <v>0</v>
      </c>
      <c r="G25" s="75"/>
      <c r="H25" s="75"/>
      <c r="I25" s="92">
        <f t="shared" si="60"/>
        <v>0</v>
      </c>
      <c r="J25" s="76"/>
      <c r="K25" s="75"/>
      <c r="L25" s="92">
        <f t="shared" si="61"/>
        <v>0</v>
      </c>
      <c r="M25" s="75"/>
      <c r="N25" s="75"/>
      <c r="O25" s="92">
        <f t="shared" si="62"/>
        <v>0</v>
      </c>
      <c r="P25" s="75"/>
      <c r="Q25" s="75"/>
      <c r="R25" s="92">
        <f t="shared" si="63"/>
        <v>0</v>
      </c>
      <c r="S25" s="75"/>
      <c r="T25" s="75"/>
      <c r="U25" s="92">
        <f t="shared" si="64"/>
        <v>0</v>
      </c>
      <c r="V25" s="75"/>
      <c r="W25" s="75"/>
      <c r="X25" s="92">
        <f t="shared" si="65"/>
        <v>0</v>
      </c>
      <c r="Y25" s="92"/>
      <c r="Z25" s="92"/>
      <c r="AA25" s="92"/>
      <c r="AB25" s="92">
        <f t="shared" si="66"/>
        <v>0</v>
      </c>
      <c r="AC25" s="93"/>
      <c r="AD25" s="77"/>
      <c r="AE25" s="94">
        <f t="shared" si="67"/>
        <v>0</v>
      </c>
      <c r="AF25" s="77"/>
      <c r="AG25" s="94">
        <f t="shared" si="68"/>
        <v>0</v>
      </c>
      <c r="AH25" s="77"/>
      <c r="AI25" s="94">
        <f t="shared" si="69"/>
        <v>0</v>
      </c>
      <c r="AJ25" s="77"/>
      <c r="AK25" s="94">
        <f t="shared" si="70"/>
        <v>0</v>
      </c>
      <c r="AL25" s="77"/>
      <c r="AM25" s="94">
        <f t="shared" si="71"/>
        <v>0</v>
      </c>
      <c r="AN25" s="77"/>
      <c r="AO25" s="94">
        <f t="shared" si="72"/>
        <v>0</v>
      </c>
      <c r="AP25" s="95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2">
        <f t="shared" si="59"/>
        <v>0</v>
      </c>
      <c r="G26" s="75"/>
      <c r="H26" s="75"/>
      <c r="I26" s="92">
        <f t="shared" si="60"/>
        <v>0</v>
      </c>
      <c r="J26" s="76"/>
      <c r="K26" s="75"/>
      <c r="L26" s="92">
        <f t="shared" si="61"/>
        <v>0</v>
      </c>
      <c r="M26" s="75"/>
      <c r="N26" s="75"/>
      <c r="O26" s="92">
        <f t="shared" si="62"/>
        <v>0</v>
      </c>
      <c r="P26" s="75"/>
      <c r="Q26" s="75"/>
      <c r="R26" s="92">
        <f t="shared" si="63"/>
        <v>0</v>
      </c>
      <c r="S26" s="75"/>
      <c r="T26" s="75"/>
      <c r="U26" s="92">
        <f t="shared" si="64"/>
        <v>0</v>
      </c>
      <c r="V26" s="75"/>
      <c r="W26" s="75"/>
      <c r="X26" s="92">
        <f t="shared" si="65"/>
        <v>0</v>
      </c>
      <c r="Y26" s="92"/>
      <c r="Z26" s="92"/>
      <c r="AA26" s="92"/>
      <c r="AB26" s="92">
        <f t="shared" si="66"/>
        <v>0</v>
      </c>
      <c r="AC26" s="93"/>
      <c r="AD26" s="77"/>
      <c r="AE26" s="94">
        <f t="shared" si="67"/>
        <v>0</v>
      </c>
      <c r="AF26" s="77"/>
      <c r="AG26" s="94">
        <f t="shared" si="68"/>
        <v>0</v>
      </c>
      <c r="AH26" s="77"/>
      <c r="AI26" s="94">
        <f t="shared" si="69"/>
        <v>0</v>
      </c>
      <c r="AJ26" s="77"/>
      <c r="AK26" s="94">
        <f t="shared" si="70"/>
        <v>0</v>
      </c>
      <c r="AL26" s="77"/>
      <c r="AM26" s="94">
        <f t="shared" si="71"/>
        <v>0</v>
      </c>
      <c r="AN26" s="77"/>
      <c r="AO26" s="94">
        <f t="shared" si="72"/>
        <v>0</v>
      </c>
      <c r="AP26" s="95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2">
        <f t="shared" si="59"/>
        <v>0</v>
      </c>
      <c r="G27" s="75"/>
      <c r="H27" s="75"/>
      <c r="I27" s="92">
        <f t="shared" si="60"/>
        <v>0</v>
      </c>
      <c r="J27" s="76"/>
      <c r="K27" s="75"/>
      <c r="L27" s="92">
        <f t="shared" si="61"/>
        <v>0</v>
      </c>
      <c r="M27" s="75"/>
      <c r="N27" s="75"/>
      <c r="O27" s="92">
        <f t="shared" si="62"/>
        <v>0</v>
      </c>
      <c r="P27" s="75"/>
      <c r="Q27" s="75"/>
      <c r="R27" s="92">
        <f t="shared" si="63"/>
        <v>0</v>
      </c>
      <c r="S27" s="75"/>
      <c r="T27" s="75"/>
      <c r="U27" s="92">
        <f t="shared" si="64"/>
        <v>0</v>
      </c>
      <c r="V27" s="75"/>
      <c r="W27" s="75"/>
      <c r="X27" s="92">
        <f t="shared" si="65"/>
        <v>0</v>
      </c>
      <c r="Y27" s="92"/>
      <c r="Z27" s="92"/>
      <c r="AA27" s="92"/>
      <c r="AB27" s="92">
        <f t="shared" si="66"/>
        <v>0</v>
      </c>
      <c r="AC27" s="93"/>
      <c r="AD27" s="77"/>
      <c r="AE27" s="94">
        <f t="shared" si="67"/>
        <v>0</v>
      </c>
      <c r="AF27" s="77"/>
      <c r="AG27" s="94">
        <f t="shared" si="68"/>
        <v>0</v>
      </c>
      <c r="AH27" s="77"/>
      <c r="AI27" s="94">
        <f t="shared" si="69"/>
        <v>0</v>
      </c>
      <c r="AJ27" s="77"/>
      <c r="AK27" s="94">
        <f t="shared" si="70"/>
        <v>0</v>
      </c>
      <c r="AL27" s="77"/>
      <c r="AM27" s="94">
        <f t="shared" si="71"/>
        <v>0</v>
      </c>
      <c r="AN27" s="77"/>
      <c r="AO27" s="94">
        <f t="shared" si="72"/>
        <v>0</v>
      </c>
      <c r="AP27" s="95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2">
        <f t="shared" si="59"/>
        <v>0</v>
      </c>
      <c r="G28" s="75"/>
      <c r="H28" s="75"/>
      <c r="I28" s="92">
        <f t="shared" si="60"/>
        <v>0</v>
      </c>
      <c r="J28" s="76"/>
      <c r="K28" s="75"/>
      <c r="L28" s="92">
        <f t="shared" si="61"/>
        <v>0</v>
      </c>
      <c r="M28" s="75"/>
      <c r="N28" s="75"/>
      <c r="O28" s="92">
        <f t="shared" si="62"/>
        <v>0</v>
      </c>
      <c r="P28" s="75"/>
      <c r="Q28" s="75"/>
      <c r="R28" s="92">
        <f t="shared" si="63"/>
        <v>0</v>
      </c>
      <c r="S28" s="75"/>
      <c r="T28" s="75"/>
      <c r="U28" s="92">
        <f t="shared" si="64"/>
        <v>0</v>
      </c>
      <c r="V28" s="75"/>
      <c r="W28" s="75"/>
      <c r="X28" s="92">
        <f t="shared" si="65"/>
        <v>0</v>
      </c>
      <c r="Y28" s="92"/>
      <c r="Z28" s="92"/>
      <c r="AA28" s="92"/>
      <c r="AB28" s="92">
        <f t="shared" si="66"/>
        <v>0</v>
      </c>
      <c r="AC28" s="93"/>
      <c r="AD28" s="77"/>
      <c r="AE28" s="94">
        <f t="shared" si="67"/>
        <v>0</v>
      </c>
      <c r="AF28" s="77"/>
      <c r="AG28" s="94">
        <f t="shared" si="68"/>
        <v>0</v>
      </c>
      <c r="AH28" s="77"/>
      <c r="AI28" s="94">
        <f t="shared" si="69"/>
        <v>0</v>
      </c>
      <c r="AJ28" s="77"/>
      <c r="AK28" s="94">
        <f t="shared" si="70"/>
        <v>0</v>
      </c>
      <c r="AL28" s="77"/>
      <c r="AM28" s="94">
        <f t="shared" si="71"/>
        <v>0</v>
      </c>
      <c r="AN28" s="77"/>
      <c r="AO28" s="94">
        <f t="shared" si="72"/>
        <v>0</v>
      </c>
      <c r="AP28" s="95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2">
        <f t="shared" si="59"/>
        <v>0</v>
      </c>
      <c r="G29" s="75"/>
      <c r="H29" s="75"/>
      <c r="I29" s="92">
        <f t="shared" si="60"/>
        <v>0</v>
      </c>
      <c r="J29" s="76"/>
      <c r="K29" s="75"/>
      <c r="L29" s="92">
        <f t="shared" si="61"/>
        <v>0</v>
      </c>
      <c r="M29" s="75"/>
      <c r="N29" s="75"/>
      <c r="O29" s="92">
        <f t="shared" si="62"/>
        <v>0</v>
      </c>
      <c r="P29" s="75"/>
      <c r="Q29" s="75"/>
      <c r="R29" s="92">
        <f t="shared" si="63"/>
        <v>0</v>
      </c>
      <c r="S29" s="75"/>
      <c r="T29" s="75"/>
      <c r="U29" s="92">
        <f t="shared" si="64"/>
        <v>0</v>
      </c>
      <c r="V29" s="75"/>
      <c r="W29" s="75"/>
      <c r="X29" s="92">
        <f t="shared" si="65"/>
        <v>0</v>
      </c>
      <c r="Y29" s="92"/>
      <c r="Z29" s="92"/>
      <c r="AA29" s="92"/>
      <c r="AB29" s="92">
        <f t="shared" si="66"/>
        <v>0</v>
      </c>
      <c r="AC29" s="93"/>
      <c r="AD29" s="77"/>
      <c r="AE29" s="94">
        <f t="shared" si="67"/>
        <v>0</v>
      </c>
      <c r="AF29" s="77"/>
      <c r="AG29" s="94">
        <f t="shared" si="68"/>
        <v>0</v>
      </c>
      <c r="AH29" s="77"/>
      <c r="AI29" s="94">
        <f t="shared" si="69"/>
        <v>0</v>
      </c>
      <c r="AJ29" s="77"/>
      <c r="AK29" s="94">
        <f t="shared" si="70"/>
        <v>0</v>
      </c>
      <c r="AL29" s="77"/>
      <c r="AM29" s="94">
        <f t="shared" si="71"/>
        <v>0</v>
      </c>
      <c r="AN29" s="77"/>
      <c r="AO29" s="94">
        <f t="shared" si="72"/>
        <v>0</v>
      </c>
      <c r="AP29" s="95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2">
        <f t="shared" si="15"/>
        <v>0</v>
      </c>
      <c r="G30" s="75"/>
      <c r="H30" s="75"/>
      <c r="I30" s="92">
        <f t="shared" si="16"/>
        <v>0</v>
      </c>
      <c r="J30" s="76"/>
      <c r="K30" s="75"/>
      <c r="L30" s="92">
        <f t="shared" si="17"/>
        <v>0</v>
      </c>
      <c r="M30" s="75"/>
      <c r="N30" s="75"/>
      <c r="O30" s="92">
        <f t="shared" si="18"/>
        <v>0</v>
      </c>
      <c r="P30" s="75"/>
      <c r="Q30" s="75"/>
      <c r="R30" s="92">
        <f t="shared" si="19"/>
        <v>0</v>
      </c>
      <c r="S30" s="75"/>
      <c r="T30" s="75"/>
      <c r="U30" s="92">
        <f t="shared" si="20"/>
        <v>0</v>
      </c>
      <c r="V30" s="75"/>
      <c r="W30" s="75"/>
      <c r="X30" s="92">
        <f t="shared" si="21"/>
        <v>0</v>
      </c>
      <c r="Y30" s="92"/>
      <c r="Z30" s="92"/>
      <c r="AA30" s="92"/>
      <c r="AB30" s="92">
        <f t="shared" si="22"/>
        <v>0</v>
      </c>
      <c r="AC30" s="93"/>
      <c r="AD30" s="77"/>
      <c r="AE30" s="94">
        <f t="shared" si="1"/>
        <v>0</v>
      </c>
      <c r="AF30" s="77"/>
      <c r="AG30" s="94">
        <f t="shared" si="2"/>
        <v>0</v>
      </c>
      <c r="AH30" s="77"/>
      <c r="AI30" s="94">
        <f t="shared" si="3"/>
        <v>0</v>
      </c>
      <c r="AJ30" s="77"/>
      <c r="AK30" s="94">
        <f t="shared" si="4"/>
        <v>0</v>
      </c>
      <c r="AL30" s="77"/>
      <c r="AM30" s="94">
        <f t="shared" si="5"/>
        <v>0</v>
      </c>
      <c r="AN30" s="77"/>
      <c r="AO30" s="94">
        <f t="shared" si="6"/>
        <v>0</v>
      </c>
      <c r="AP30" s="95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2">
        <f t="shared" si="15"/>
        <v>0</v>
      </c>
      <c r="G31" s="75"/>
      <c r="H31" s="75"/>
      <c r="I31" s="92">
        <f t="shared" si="16"/>
        <v>0</v>
      </c>
      <c r="J31" s="76"/>
      <c r="K31" s="75"/>
      <c r="L31" s="92">
        <f t="shared" si="17"/>
        <v>0</v>
      </c>
      <c r="M31" s="75"/>
      <c r="N31" s="75"/>
      <c r="O31" s="92">
        <f t="shared" si="18"/>
        <v>0</v>
      </c>
      <c r="P31" s="75"/>
      <c r="Q31" s="75"/>
      <c r="R31" s="92">
        <f t="shared" si="19"/>
        <v>0</v>
      </c>
      <c r="S31" s="75"/>
      <c r="T31" s="75"/>
      <c r="U31" s="92">
        <f t="shared" si="20"/>
        <v>0</v>
      </c>
      <c r="V31" s="75"/>
      <c r="W31" s="75"/>
      <c r="X31" s="92">
        <f t="shared" si="21"/>
        <v>0</v>
      </c>
      <c r="Y31" s="92"/>
      <c r="Z31" s="92"/>
      <c r="AA31" s="92"/>
      <c r="AB31" s="92">
        <f t="shared" si="22"/>
        <v>0</v>
      </c>
      <c r="AC31" s="93"/>
      <c r="AD31" s="77"/>
      <c r="AE31" s="94">
        <f t="shared" si="1"/>
        <v>0</v>
      </c>
      <c r="AF31" s="77"/>
      <c r="AG31" s="94">
        <f t="shared" si="2"/>
        <v>0</v>
      </c>
      <c r="AH31" s="77"/>
      <c r="AI31" s="94">
        <f t="shared" si="3"/>
        <v>0</v>
      </c>
      <c r="AJ31" s="77"/>
      <c r="AK31" s="94">
        <f t="shared" si="4"/>
        <v>0</v>
      </c>
      <c r="AL31" s="77"/>
      <c r="AM31" s="94">
        <f t="shared" si="5"/>
        <v>0</v>
      </c>
      <c r="AN31" s="77"/>
      <c r="AO31" s="94">
        <f t="shared" si="6"/>
        <v>0</v>
      </c>
      <c r="AP31" s="95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2">
        <f t="shared" si="15"/>
        <v>0</v>
      </c>
      <c r="G32" s="75"/>
      <c r="H32" s="75"/>
      <c r="I32" s="92">
        <f t="shared" si="16"/>
        <v>0</v>
      </c>
      <c r="J32" s="76"/>
      <c r="K32" s="75"/>
      <c r="L32" s="92">
        <f t="shared" si="17"/>
        <v>0</v>
      </c>
      <c r="M32" s="75"/>
      <c r="N32" s="75"/>
      <c r="O32" s="92">
        <f t="shared" si="18"/>
        <v>0</v>
      </c>
      <c r="P32" s="75"/>
      <c r="Q32" s="75"/>
      <c r="R32" s="92">
        <f t="shared" si="19"/>
        <v>0</v>
      </c>
      <c r="S32" s="75"/>
      <c r="T32" s="75"/>
      <c r="U32" s="92">
        <f t="shared" si="20"/>
        <v>0</v>
      </c>
      <c r="V32" s="75"/>
      <c r="W32" s="75"/>
      <c r="X32" s="92">
        <f t="shared" si="21"/>
        <v>0</v>
      </c>
      <c r="Y32" s="92"/>
      <c r="Z32" s="92"/>
      <c r="AA32" s="92"/>
      <c r="AB32" s="92">
        <f t="shared" si="22"/>
        <v>0</v>
      </c>
      <c r="AC32" s="93"/>
      <c r="AD32" s="77"/>
      <c r="AE32" s="94">
        <f t="shared" si="1"/>
        <v>0</v>
      </c>
      <c r="AF32" s="77"/>
      <c r="AG32" s="94">
        <f t="shared" si="2"/>
        <v>0</v>
      </c>
      <c r="AH32" s="77"/>
      <c r="AI32" s="94">
        <f t="shared" si="3"/>
        <v>0</v>
      </c>
      <c r="AJ32" s="77"/>
      <c r="AK32" s="94">
        <f t="shared" si="4"/>
        <v>0</v>
      </c>
      <c r="AL32" s="77"/>
      <c r="AM32" s="94">
        <f t="shared" si="5"/>
        <v>0</v>
      </c>
      <c r="AN32" s="77"/>
      <c r="AO32" s="94">
        <f t="shared" si="6"/>
        <v>0</v>
      </c>
      <c r="AP32" s="95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2">
        <f t="shared" si="15"/>
        <v>0</v>
      </c>
      <c r="G33" s="75"/>
      <c r="H33" s="75"/>
      <c r="I33" s="92">
        <f t="shared" si="16"/>
        <v>0</v>
      </c>
      <c r="J33" s="76"/>
      <c r="K33" s="75"/>
      <c r="L33" s="92">
        <f t="shared" si="17"/>
        <v>0</v>
      </c>
      <c r="M33" s="75"/>
      <c r="N33" s="75"/>
      <c r="O33" s="92">
        <f t="shared" si="18"/>
        <v>0</v>
      </c>
      <c r="P33" s="75"/>
      <c r="Q33" s="75"/>
      <c r="R33" s="92">
        <f t="shared" si="19"/>
        <v>0</v>
      </c>
      <c r="S33" s="75"/>
      <c r="T33" s="75"/>
      <c r="U33" s="92">
        <f t="shared" si="20"/>
        <v>0</v>
      </c>
      <c r="V33" s="75"/>
      <c r="W33" s="75"/>
      <c r="X33" s="92">
        <f t="shared" si="21"/>
        <v>0</v>
      </c>
      <c r="Y33" s="92"/>
      <c r="Z33" s="92"/>
      <c r="AA33" s="92"/>
      <c r="AB33" s="92">
        <f t="shared" si="22"/>
        <v>0</v>
      </c>
      <c r="AC33" s="93"/>
      <c r="AD33" s="77"/>
      <c r="AE33" s="94">
        <f t="shared" si="1"/>
        <v>0</v>
      </c>
      <c r="AF33" s="77"/>
      <c r="AG33" s="94">
        <f t="shared" si="2"/>
        <v>0</v>
      </c>
      <c r="AH33" s="77"/>
      <c r="AI33" s="94">
        <f t="shared" si="3"/>
        <v>0</v>
      </c>
      <c r="AJ33" s="77"/>
      <c r="AK33" s="94">
        <f t="shared" si="4"/>
        <v>0</v>
      </c>
      <c r="AL33" s="77"/>
      <c r="AM33" s="94">
        <f t="shared" si="5"/>
        <v>0</v>
      </c>
      <c r="AN33" s="77"/>
      <c r="AO33" s="94">
        <f t="shared" si="6"/>
        <v>0</v>
      </c>
      <c r="AP33" s="95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2">
        <f t="shared" si="15"/>
        <v>0</v>
      </c>
      <c r="G34" s="75"/>
      <c r="H34" s="75"/>
      <c r="I34" s="92">
        <f t="shared" si="16"/>
        <v>0</v>
      </c>
      <c r="J34" s="76"/>
      <c r="K34" s="75"/>
      <c r="L34" s="92">
        <f t="shared" si="17"/>
        <v>0</v>
      </c>
      <c r="M34" s="75"/>
      <c r="N34" s="75"/>
      <c r="O34" s="92">
        <f t="shared" si="18"/>
        <v>0</v>
      </c>
      <c r="P34" s="75"/>
      <c r="Q34" s="75"/>
      <c r="R34" s="92">
        <f t="shared" si="19"/>
        <v>0</v>
      </c>
      <c r="S34" s="75"/>
      <c r="T34" s="75"/>
      <c r="U34" s="92">
        <f t="shared" si="20"/>
        <v>0</v>
      </c>
      <c r="V34" s="75"/>
      <c r="W34" s="75"/>
      <c r="X34" s="92">
        <f t="shared" si="21"/>
        <v>0</v>
      </c>
      <c r="Y34" s="92"/>
      <c r="Z34" s="92"/>
      <c r="AA34" s="92"/>
      <c r="AB34" s="92">
        <f t="shared" si="22"/>
        <v>0</v>
      </c>
      <c r="AC34" s="93"/>
      <c r="AD34" s="77"/>
      <c r="AE34" s="94">
        <f t="shared" si="1"/>
        <v>0</v>
      </c>
      <c r="AF34" s="77"/>
      <c r="AG34" s="94">
        <f t="shared" si="2"/>
        <v>0</v>
      </c>
      <c r="AH34" s="77"/>
      <c r="AI34" s="94">
        <f t="shared" si="3"/>
        <v>0</v>
      </c>
      <c r="AJ34" s="77"/>
      <c r="AK34" s="94">
        <f t="shared" si="4"/>
        <v>0</v>
      </c>
      <c r="AL34" s="77"/>
      <c r="AM34" s="94">
        <f t="shared" si="5"/>
        <v>0</v>
      </c>
      <c r="AN34" s="77"/>
      <c r="AO34" s="94">
        <f t="shared" si="6"/>
        <v>0</v>
      </c>
      <c r="AP34" s="95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2">
        <f t="shared" si="15"/>
        <v>0</v>
      </c>
      <c r="G35" s="75"/>
      <c r="H35" s="75"/>
      <c r="I35" s="92">
        <f t="shared" si="16"/>
        <v>0</v>
      </c>
      <c r="J35" s="76"/>
      <c r="K35" s="75"/>
      <c r="L35" s="92">
        <f t="shared" si="17"/>
        <v>0</v>
      </c>
      <c r="M35" s="75"/>
      <c r="N35" s="75"/>
      <c r="O35" s="92">
        <f t="shared" si="18"/>
        <v>0</v>
      </c>
      <c r="P35" s="75"/>
      <c r="Q35" s="75"/>
      <c r="R35" s="92">
        <f t="shared" si="19"/>
        <v>0</v>
      </c>
      <c r="S35" s="75"/>
      <c r="T35" s="75"/>
      <c r="U35" s="92">
        <f t="shared" si="20"/>
        <v>0</v>
      </c>
      <c r="V35" s="75"/>
      <c r="W35" s="75"/>
      <c r="X35" s="92">
        <f t="shared" si="21"/>
        <v>0</v>
      </c>
      <c r="Y35" s="92"/>
      <c r="Z35" s="92"/>
      <c r="AA35" s="92"/>
      <c r="AB35" s="92">
        <f t="shared" si="22"/>
        <v>0</v>
      </c>
      <c r="AC35" s="93"/>
      <c r="AD35" s="77"/>
      <c r="AE35" s="94">
        <f t="shared" si="1"/>
        <v>0</v>
      </c>
      <c r="AF35" s="77"/>
      <c r="AG35" s="94">
        <f t="shared" si="2"/>
        <v>0</v>
      </c>
      <c r="AH35" s="77"/>
      <c r="AI35" s="94">
        <f t="shared" si="3"/>
        <v>0</v>
      </c>
      <c r="AJ35" s="77"/>
      <c r="AK35" s="94">
        <f t="shared" si="4"/>
        <v>0</v>
      </c>
      <c r="AL35" s="77"/>
      <c r="AM35" s="94">
        <f t="shared" si="5"/>
        <v>0</v>
      </c>
      <c r="AN35" s="77"/>
      <c r="AO35" s="94">
        <f t="shared" si="6"/>
        <v>0</v>
      </c>
      <c r="AP35" s="95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2">
        <f t="shared" si="15"/>
        <v>0</v>
      </c>
      <c r="G36" s="75"/>
      <c r="H36" s="75"/>
      <c r="I36" s="92">
        <f t="shared" si="16"/>
        <v>0</v>
      </c>
      <c r="J36" s="76"/>
      <c r="K36" s="75"/>
      <c r="L36" s="92">
        <f t="shared" si="17"/>
        <v>0</v>
      </c>
      <c r="M36" s="75"/>
      <c r="N36" s="75"/>
      <c r="O36" s="92">
        <f t="shared" si="18"/>
        <v>0</v>
      </c>
      <c r="P36" s="75"/>
      <c r="Q36" s="75"/>
      <c r="R36" s="92">
        <f t="shared" si="19"/>
        <v>0</v>
      </c>
      <c r="S36" s="75"/>
      <c r="T36" s="75"/>
      <c r="U36" s="92">
        <f t="shared" si="20"/>
        <v>0</v>
      </c>
      <c r="V36" s="75"/>
      <c r="W36" s="75"/>
      <c r="X36" s="92">
        <f t="shared" si="21"/>
        <v>0</v>
      </c>
      <c r="Y36" s="92"/>
      <c r="Z36" s="92"/>
      <c r="AA36" s="92"/>
      <c r="AB36" s="92">
        <f t="shared" si="22"/>
        <v>0</v>
      </c>
      <c r="AC36" s="93"/>
      <c r="AD36" s="77"/>
      <c r="AE36" s="94">
        <f t="shared" si="1"/>
        <v>0</v>
      </c>
      <c r="AF36" s="77"/>
      <c r="AG36" s="94">
        <f t="shared" si="2"/>
        <v>0</v>
      </c>
      <c r="AH36" s="77"/>
      <c r="AI36" s="94">
        <f t="shared" si="3"/>
        <v>0</v>
      </c>
      <c r="AJ36" s="77"/>
      <c r="AK36" s="94">
        <f t="shared" si="4"/>
        <v>0</v>
      </c>
      <c r="AL36" s="77"/>
      <c r="AM36" s="94">
        <f t="shared" si="5"/>
        <v>0</v>
      </c>
      <c r="AN36" s="77"/>
      <c r="AO36" s="94">
        <f t="shared" si="6"/>
        <v>0</v>
      </c>
      <c r="AP36" s="95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8"/>
      <c r="D37" s="89"/>
      <c r="E37" s="89"/>
      <c r="F37" s="44">
        <f t="shared" si="15"/>
        <v>0</v>
      </c>
      <c r="G37" s="89"/>
      <c r="H37" s="89"/>
      <c r="I37" s="44">
        <f t="shared" si="16"/>
        <v>0</v>
      </c>
      <c r="J37" s="90"/>
      <c r="K37" s="91"/>
      <c r="L37" s="44">
        <f t="shared" si="17"/>
        <v>0</v>
      </c>
      <c r="M37" s="91"/>
      <c r="N37" s="91"/>
      <c r="O37" s="44">
        <f t="shared" si="18"/>
        <v>0</v>
      </c>
      <c r="P37" s="91"/>
      <c r="Q37" s="91"/>
      <c r="R37" s="44">
        <f t="shared" si="19"/>
        <v>0</v>
      </c>
      <c r="S37" s="91"/>
      <c r="T37" s="91"/>
      <c r="U37" s="44">
        <f t="shared" si="20"/>
        <v>0</v>
      </c>
      <c r="V37" s="91"/>
      <c r="W37" s="91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8"/>
      <c r="D38" s="89"/>
      <c r="E38" s="89"/>
      <c r="F38" s="44">
        <f t="shared" si="15"/>
        <v>0</v>
      </c>
      <c r="G38" s="89"/>
      <c r="H38" s="89"/>
      <c r="I38" s="44">
        <f t="shared" si="16"/>
        <v>0</v>
      </c>
      <c r="J38" s="90"/>
      <c r="K38" s="91"/>
      <c r="L38" s="44">
        <f t="shared" si="17"/>
        <v>0</v>
      </c>
      <c r="M38" s="90"/>
      <c r="N38" s="91"/>
      <c r="O38" s="44">
        <f t="shared" si="18"/>
        <v>0</v>
      </c>
      <c r="P38" s="91"/>
      <c r="Q38" s="91"/>
      <c r="R38" s="44">
        <f t="shared" si="19"/>
        <v>0</v>
      </c>
      <c r="S38" s="91"/>
      <c r="T38" s="91"/>
      <c r="U38" s="44">
        <f t="shared" si="20"/>
        <v>0</v>
      </c>
      <c r="V38" s="91"/>
      <c r="W38" s="91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8"/>
      <c r="D39" s="89"/>
      <c r="E39" s="89"/>
      <c r="F39" s="44">
        <f t="shared" si="15"/>
        <v>0</v>
      </c>
      <c r="G39" s="89"/>
      <c r="H39" s="89"/>
      <c r="I39" s="44">
        <f t="shared" si="16"/>
        <v>0</v>
      </c>
      <c r="J39" s="90"/>
      <c r="K39" s="91"/>
      <c r="L39" s="44">
        <f t="shared" si="17"/>
        <v>0</v>
      </c>
      <c r="M39" s="91"/>
      <c r="N39" s="91"/>
      <c r="O39" s="44">
        <f t="shared" si="18"/>
        <v>0</v>
      </c>
      <c r="P39" s="91"/>
      <c r="Q39" s="91"/>
      <c r="R39" s="44">
        <f t="shared" si="19"/>
        <v>0</v>
      </c>
      <c r="S39" s="91"/>
      <c r="T39" s="91"/>
      <c r="U39" s="44">
        <f t="shared" si="20"/>
        <v>0</v>
      </c>
      <c r="V39" s="91"/>
      <c r="W39" s="91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8"/>
      <c r="D40" s="89"/>
      <c r="E40" s="89"/>
      <c r="F40" s="44">
        <f t="shared" si="15"/>
        <v>0</v>
      </c>
      <c r="G40" s="89"/>
      <c r="H40" s="89"/>
      <c r="I40" s="44">
        <f t="shared" si="16"/>
        <v>0</v>
      </c>
      <c r="J40" s="90"/>
      <c r="K40" s="91"/>
      <c r="L40" s="44">
        <f t="shared" si="17"/>
        <v>0</v>
      </c>
      <c r="M40" s="91"/>
      <c r="N40" s="91"/>
      <c r="O40" s="44">
        <f t="shared" si="18"/>
        <v>0</v>
      </c>
      <c r="P40" s="91"/>
      <c r="Q40" s="91"/>
      <c r="R40" s="44">
        <f t="shared" si="19"/>
        <v>0</v>
      </c>
      <c r="S40" s="91"/>
      <c r="T40" s="91"/>
      <c r="U40" s="44">
        <f t="shared" si="20"/>
        <v>0</v>
      </c>
      <c r="V40" s="91"/>
      <c r="W40" s="91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8"/>
      <c r="D41" s="89"/>
      <c r="E41" s="89"/>
      <c r="F41" s="44">
        <f t="shared" ref="F41:F60" si="77">BA41-BB41</f>
        <v>0</v>
      </c>
      <c r="G41" s="89"/>
      <c r="H41" s="89"/>
      <c r="I41" s="44">
        <f t="shared" ref="I41:I60" si="78">BF41-BG41</f>
        <v>0</v>
      </c>
      <c r="J41" s="90"/>
      <c r="K41" s="91"/>
      <c r="L41" s="44">
        <f t="shared" ref="L41:L60" si="79">BK41-BL41</f>
        <v>0</v>
      </c>
      <c r="M41" s="91"/>
      <c r="N41" s="91"/>
      <c r="O41" s="44">
        <f t="shared" ref="O41:O60" si="80">BP41-BQ41</f>
        <v>0</v>
      </c>
      <c r="P41" s="91"/>
      <c r="Q41" s="91"/>
      <c r="R41" s="44">
        <f t="shared" ref="R41:R60" si="81">BU41-BV41</f>
        <v>0</v>
      </c>
      <c r="S41" s="91"/>
      <c r="T41" s="91"/>
      <c r="U41" s="44">
        <f t="shared" ref="U41:U60" si="82">BZ41-CA41</f>
        <v>0</v>
      </c>
      <c r="V41" s="91"/>
      <c r="W41" s="91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8"/>
      <c r="D42" s="89"/>
      <c r="E42" s="89"/>
      <c r="F42" s="44">
        <f t="shared" si="77"/>
        <v>0</v>
      </c>
      <c r="G42" s="89"/>
      <c r="H42" s="89"/>
      <c r="I42" s="44">
        <f t="shared" si="78"/>
        <v>0</v>
      </c>
      <c r="J42" s="90"/>
      <c r="K42" s="91"/>
      <c r="L42" s="44">
        <f t="shared" si="79"/>
        <v>0</v>
      </c>
      <c r="M42" s="91"/>
      <c r="N42" s="91"/>
      <c r="O42" s="44">
        <f t="shared" si="80"/>
        <v>0</v>
      </c>
      <c r="P42" s="91"/>
      <c r="Q42" s="91"/>
      <c r="R42" s="44">
        <f t="shared" si="81"/>
        <v>0</v>
      </c>
      <c r="S42" s="91"/>
      <c r="T42" s="91"/>
      <c r="U42" s="44">
        <f t="shared" si="82"/>
        <v>0</v>
      </c>
      <c r="V42" s="91"/>
      <c r="W42" s="91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8"/>
      <c r="D43" s="89"/>
      <c r="E43" s="89"/>
      <c r="F43" s="44">
        <f t="shared" si="77"/>
        <v>0</v>
      </c>
      <c r="G43" s="89"/>
      <c r="H43" s="89"/>
      <c r="I43" s="44">
        <f t="shared" si="78"/>
        <v>0</v>
      </c>
      <c r="J43" s="90"/>
      <c r="K43" s="91"/>
      <c r="L43" s="44">
        <f t="shared" si="79"/>
        <v>0</v>
      </c>
      <c r="M43" s="91"/>
      <c r="N43" s="91"/>
      <c r="O43" s="44">
        <f t="shared" si="80"/>
        <v>0</v>
      </c>
      <c r="P43" s="91"/>
      <c r="Q43" s="91"/>
      <c r="R43" s="44">
        <f t="shared" si="81"/>
        <v>0</v>
      </c>
      <c r="S43" s="91"/>
      <c r="T43" s="91"/>
      <c r="U43" s="44">
        <f t="shared" si="82"/>
        <v>0</v>
      </c>
      <c r="V43" s="91"/>
      <c r="W43" s="91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8"/>
      <c r="D44" s="89"/>
      <c r="E44" s="89"/>
      <c r="F44" s="44">
        <f t="shared" si="77"/>
        <v>0</v>
      </c>
      <c r="G44" s="89"/>
      <c r="H44" s="89"/>
      <c r="I44" s="44">
        <f t="shared" si="78"/>
        <v>0</v>
      </c>
      <c r="J44" s="90"/>
      <c r="K44" s="91"/>
      <c r="L44" s="44">
        <f t="shared" si="79"/>
        <v>0</v>
      </c>
      <c r="M44" s="91"/>
      <c r="N44" s="91"/>
      <c r="O44" s="44">
        <f t="shared" si="80"/>
        <v>0</v>
      </c>
      <c r="P44" s="91"/>
      <c r="Q44" s="91"/>
      <c r="R44" s="44">
        <f t="shared" si="81"/>
        <v>0</v>
      </c>
      <c r="S44" s="91"/>
      <c r="T44" s="91"/>
      <c r="U44" s="44">
        <f t="shared" si="82"/>
        <v>0</v>
      </c>
      <c r="V44" s="91"/>
      <c r="W44" s="91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8"/>
      <c r="D45" s="89"/>
      <c r="E45" s="89"/>
      <c r="F45" s="44">
        <f t="shared" si="77"/>
        <v>0</v>
      </c>
      <c r="G45" s="89"/>
      <c r="H45" s="89"/>
      <c r="I45" s="44">
        <f t="shared" si="78"/>
        <v>0</v>
      </c>
      <c r="J45" s="90"/>
      <c r="K45" s="91"/>
      <c r="L45" s="44">
        <f t="shared" si="79"/>
        <v>0</v>
      </c>
      <c r="M45" s="91"/>
      <c r="N45" s="91"/>
      <c r="O45" s="44">
        <f t="shared" si="80"/>
        <v>0</v>
      </c>
      <c r="P45" s="91"/>
      <c r="Q45" s="91"/>
      <c r="R45" s="44">
        <f t="shared" si="81"/>
        <v>0</v>
      </c>
      <c r="S45" s="91"/>
      <c r="T45" s="91"/>
      <c r="U45" s="44">
        <f t="shared" si="82"/>
        <v>0</v>
      </c>
      <c r="V45" s="91"/>
      <c r="W45" s="91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8"/>
      <c r="D46" s="89"/>
      <c r="E46" s="89"/>
      <c r="F46" s="44">
        <f t="shared" si="77"/>
        <v>0</v>
      </c>
      <c r="G46" s="89"/>
      <c r="H46" s="89"/>
      <c r="I46" s="44">
        <f t="shared" si="78"/>
        <v>0</v>
      </c>
      <c r="J46" s="90"/>
      <c r="K46" s="91"/>
      <c r="L46" s="44">
        <f t="shared" si="79"/>
        <v>0</v>
      </c>
      <c r="M46" s="91"/>
      <c r="N46" s="91"/>
      <c r="O46" s="44">
        <f t="shared" si="80"/>
        <v>0</v>
      </c>
      <c r="P46" s="91"/>
      <c r="Q46" s="91"/>
      <c r="R46" s="44">
        <f t="shared" si="81"/>
        <v>0</v>
      </c>
      <c r="S46" s="91"/>
      <c r="T46" s="91"/>
      <c r="U46" s="44">
        <f t="shared" si="82"/>
        <v>0</v>
      </c>
      <c r="V46" s="91"/>
      <c r="W46" s="91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8"/>
      <c r="D47" s="89"/>
      <c r="E47" s="89"/>
      <c r="F47" s="44">
        <f t="shared" si="77"/>
        <v>0</v>
      </c>
      <c r="G47" s="89"/>
      <c r="H47" s="89"/>
      <c r="I47" s="44">
        <f t="shared" si="78"/>
        <v>0</v>
      </c>
      <c r="J47" s="90"/>
      <c r="K47" s="91"/>
      <c r="L47" s="44">
        <f t="shared" si="79"/>
        <v>0</v>
      </c>
      <c r="M47" s="91"/>
      <c r="N47" s="91"/>
      <c r="O47" s="44">
        <f t="shared" si="80"/>
        <v>0</v>
      </c>
      <c r="P47" s="91"/>
      <c r="Q47" s="91"/>
      <c r="R47" s="44">
        <f t="shared" si="81"/>
        <v>0</v>
      </c>
      <c r="S47" s="91"/>
      <c r="T47" s="91"/>
      <c r="U47" s="44">
        <f t="shared" si="82"/>
        <v>0</v>
      </c>
      <c r="V47" s="91"/>
      <c r="W47" s="91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8"/>
      <c r="D48" s="89"/>
      <c r="E48" s="89"/>
      <c r="F48" s="44">
        <f t="shared" ref="F48:F59" si="93">BA48-BB48</f>
        <v>0</v>
      </c>
      <c r="G48" s="89"/>
      <c r="H48" s="89"/>
      <c r="I48" s="44">
        <f t="shared" ref="I48:I59" si="94">BF48-BG48</f>
        <v>0</v>
      </c>
      <c r="J48" s="90"/>
      <c r="K48" s="91"/>
      <c r="L48" s="44">
        <f t="shared" ref="L48:L59" si="95">BK48-BL48</f>
        <v>0</v>
      </c>
      <c r="M48" s="91"/>
      <c r="N48" s="91"/>
      <c r="O48" s="44">
        <f t="shared" ref="O48:O59" si="96">BP48-BQ48</f>
        <v>0</v>
      </c>
      <c r="P48" s="91"/>
      <c r="Q48" s="91"/>
      <c r="R48" s="44">
        <f t="shared" ref="R48:R59" si="97">BU48-BV48</f>
        <v>0</v>
      </c>
      <c r="S48" s="91"/>
      <c r="T48" s="91"/>
      <c r="U48" s="44">
        <f t="shared" ref="U48:U59" si="98">BZ48-CA48</f>
        <v>0</v>
      </c>
      <c r="V48" s="91"/>
      <c r="W48" s="91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8"/>
      <c r="D49" s="89"/>
      <c r="E49" s="89"/>
      <c r="F49" s="44">
        <f t="shared" si="93"/>
        <v>0</v>
      </c>
      <c r="G49" s="89"/>
      <c r="H49" s="89"/>
      <c r="I49" s="44">
        <f t="shared" si="94"/>
        <v>0</v>
      </c>
      <c r="J49" s="90"/>
      <c r="K49" s="91"/>
      <c r="L49" s="44">
        <f t="shared" si="95"/>
        <v>0</v>
      </c>
      <c r="M49" s="91"/>
      <c r="N49" s="91"/>
      <c r="O49" s="44">
        <f t="shared" si="96"/>
        <v>0</v>
      </c>
      <c r="P49" s="91"/>
      <c r="Q49" s="91"/>
      <c r="R49" s="44">
        <f t="shared" si="97"/>
        <v>0</v>
      </c>
      <c r="S49" s="91"/>
      <c r="T49" s="91"/>
      <c r="U49" s="44">
        <f t="shared" si="98"/>
        <v>0</v>
      </c>
      <c r="V49" s="91"/>
      <c r="W49" s="91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8"/>
      <c r="D50" s="89"/>
      <c r="E50" s="89"/>
      <c r="F50" s="44">
        <f t="shared" si="93"/>
        <v>0</v>
      </c>
      <c r="G50" s="89"/>
      <c r="H50" s="89"/>
      <c r="I50" s="44">
        <f t="shared" si="94"/>
        <v>0</v>
      </c>
      <c r="J50" s="90"/>
      <c r="K50" s="91"/>
      <c r="L50" s="44">
        <f t="shared" si="95"/>
        <v>0</v>
      </c>
      <c r="M50" s="91"/>
      <c r="N50" s="91"/>
      <c r="O50" s="44">
        <f t="shared" si="96"/>
        <v>0</v>
      </c>
      <c r="P50" s="91"/>
      <c r="Q50" s="91"/>
      <c r="R50" s="44">
        <f t="shared" si="97"/>
        <v>0</v>
      </c>
      <c r="S50" s="91"/>
      <c r="T50" s="91"/>
      <c r="U50" s="44">
        <f t="shared" si="98"/>
        <v>0</v>
      </c>
      <c r="V50" s="91"/>
      <c r="W50" s="91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8"/>
      <c r="D51" s="89"/>
      <c r="E51" s="89"/>
      <c r="F51" s="44">
        <f t="shared" si="93"/>
        <v>0</v>
      </c>
      <c r="G51" s="89"/>
      <c r="H51" s="89"/>
      <c r="I51" s="44">
        <f t="shared" si="94"/>
        <v>0</v>
      </c>
      <c r="J51" s="90"/>
      <c r="K51" s="91"/>
      <c r="L51" s="44">
        <f t="shared" si="95"/>
        <v>0</v>
      </c>
      <c r="M51" s="91"/>
      <c r="N51" s="91"/>
      <c r="O51" s="44">
        <f t="shared" si="96"/>
        <v>0</v>
      </c>
      <c r="P51" s="91"/>
      <c r="Q51" s="91"/>
      <c r="R51" s="44">
        <f t="shared" si="97"/>
        <v>0</v>
      </c>
      <c r="S51" s="91"/>
      <c r="T51" s="91"/>
      <c r="U51" s="44">
        <f t="shared" si="98"/>
        <v>0</v>
      </c>
      <c r="V51" s="91"/>
      <c r="W51" s="91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8"/>
      <c r="D52" s="89"/>
      <c r="E52" s="89"/>
      <c r="F52" s="44">
        <f t="shared" si="93"/>
        <v>0</v>
      </c>
      <c r="G52" s="89"/>
      <c r="H52" s="89"/>
      <c r="I52" s="44">
        <f t="shared" si="94"/>
        <v>0</v>
      </c>
      <c r="J52" s="90"/>
      <c r="K52" s="91"/>
      <c r="L52" s="44">
        <f t="shared" si="95"/>
        <v>0</v>
      </c>
      <c r="M52" s="91"/>
      <c r="N52" s="91"/>
      <c r="O52" s="44">
        <f t="shared" si="96"/>
        <v>0</v>
      </c>
      <c r="P52" s="91"/>
      <c r="Q52" s="91"/>
      <c r="R52" s="44">
        <f t="shared" si="97"/>
        <v>0</v>
      </c>
      <c r="S52" s="91"/>
      <c r="T52" s="91"/>
      <c r="U52" s="44">
        <f t="shared" si="98"/>
        <v>0</v>
      </c>
      <c r="V52" s="91"/>
      <c r="W52" s="91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8"/>
      <c r="D53" s="89"/>
      <c r="E53" s="89"/>
      <c r="F53" s="44">
        <f t="shared" si="93"/>
        <v>0</v>
      </c>
      <c r="G53" s="89"/>
      <c r="H53" s="89"/>
      <c r="I53" s="44">
        <f t="shared" si="94"/>
        <v>0</v>
      </c>
      <c r="J53" s="90"/>
      <c r="K53" s="91"/>
      <c r="L53" s="44">
        <f t="shared" si="95"/>
        <v>0</v>
      </c>
      <c r="M53" s="91"/>
      <c r="N53" s="91"/>
      <c r="O53" s="44">
        <f t="shared" si="96"/>
        <v>0</v>
      </c>
      <c r="P53" s="91"/>
      <c r="Q53" s="91"/>
      <c r="R53" s="44">
        <f t="shared" si="97"/>
        <v>0</v>
      </c>
      <c r="S53" s="91"/>
      <c r="T53" s="91"/>
      <c r="U53" s="44">
        <f t="shared" si="98"/>
        <v>0</v>
      </c>
      <c r="V53" s="91"/>
      <c r="W53" s="91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8"/>
      <c r="D54" s="89"/>
      <c r="E54" s="89"/>
      <c r="F54" s="44">
        <f t="shared" si="93"/>
        <v>0</v>
      </c>
      <c r="G54" s="89"/>
      <c r="H54" s="89"/>
      <c r="I54" s="44">
        <f t="shared" si="94"/>
        <v>0</v>
      </c>
      <c r="J54" s="90"/>
      <c r="K54" s="91"/>
      <c r="L54" s="44">
        <f t="shared" si="95"/>
        <v>0</v>
      </c>
      <c r="M54" s="91"/>
      <c r="N54" s="91"/>
      <c r="O54" s="44">
        <f t="shared" si="96"/>
        <v>0</v>
      </c>
      <c r="P54" s="91"/>
      <c r="Q54" s="91"/>
      <c r="R54" s="44">
        <f t="shared" si="97"/>
        <v>0</v>
      </c>
      <c r="S54" s="91"/>
      <c r="T54" s="91"/>
      <c r="U54" s="44">
        <f t="shared" si="98"/>
        <v>0</v>
      </c>
      <c r="V54" s="91"/>
      <c r="W54" s="91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8"/>
      <c r="D55" s="89"/>
      <c r="E55" s="89"/>
      <c r="F55" s="44">
        <f t="shared" si="93"/>
        <v>0</v>
      </c>
      <c r="G55" s="89"/>
      <c r="H55" s="89"/>
      <c r="I55" s="44">
        <f t="shared" si="94"/>
        <v>0</v>
      </c>
      <c r="J55" s="90"/>
      <c r="K55" s="91"/>
      <c r="L55" s="44">
        <f t="shared" si="95"/>
        <v>0</v>
      </c>
      <c r="M55" s="91"/>
      <c r="N55" s="91"/>
      <c r="O55" s="44">
        <f t="shared" si="96"/>
        <v>0</v>
      </c>
      <c r="P55" s="91"/>
      <c r="Q55" s="91"/>
      <c r="R55" s="44">
        <f t="shared" si="97"/>
        <v>0</v>
      </c>
      <c r="S55" s="91"/>
      <c r="T55" s="91"/>
      <c r="U55" s="44">
        <f t="shared" si="98"/>
        <v>0</v>
      </c>
      <c r="V55" s="91"/>
      <c r="W55" s="91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8"/>
      <c r="D56" s="89"/>
      <c r="E56" s="89"/>
      <c r="F56" s="44">
        <f t="shared" si="93"/>
        <v>0</v>
      </c>
      <c r="G56" s="89"/>
      <c r="H56" s="89"/>
      <c r="I56" s="44">
        <f t="shared" si="94"/>
        <v>0</v>
      </c>
      <c r="J56" s="90"/>
      <c r="K56" s="91"/>
      <c r="L56" s="44">
        <f t="shared" si="95"/>
        <v>0</v>
      </c>
      <c r="M56" s="91"/>
      <c r="N56" s="91"/>
      <c r="O56" s="44">
        <f t="shared" si="96"/>
        <v>0</v>
      </c>
      <c r="P56" s="91"/>
      <c r="Q56" s="91"/>
      <c r="R56" s="44">
        <f t="shared" si="97"/>
        <v>0</v>
      </c>
      <c r="S56" s="91"/>
      <c r="T56" s="91"/>
      <c r="U56" s="44">
        <f t="shared" si="98"/>
        <v>0</v>
      </c>
      <c r="V56" s="91"/>
      <c r="W56" s="91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8"/>
      <c r="D57" s="89"/>
      <c r="E57" s="89"/>
      <c r="F57" s="44">
        <f t="shared" si="93"/>
        <v>0</v>
      </c>
      <c r="G57" s="89"/>
      <c r="H57" s="89"/>
      <c r="I57" s="44">
        <f t="shared" si="94"/>
        <v>0</v>
      </c>
      <c r="J57" s="90"/>
      <c r="K57" s="91"/>
      <c r="L57" s="44">
        <f t="shared" si="95"/>
        <v>0</v>
      </c>
      <c r="M57" s="91"/>
      <c r="N57" s="91"/>
      <c r="O57" s="44">
        <f t="shared" si="96"/>
        <v>0</v>
      </c>
      <c r="P57" s="91"/>
      <c r="Q57" s="91"/>
      <c r="R57" s="44">
        <f t="shared" si="97"/>
        <v>0</v>
      </c>
      <c r="S57" s="91"/>
      <c r="T57" s="91"/>
      <c r="U57" s="44">
        <f t="shared" si="98"/>
        <v>0</v>
      </c>
      <c r="V57" s="91"/>
      <c r="W57" s="91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8"/>
      <c r="D58" s="89"/>
      <c r="E58" s="89"/>
      <c r="F58" s="44">
        <f t="shared" si="93"/>
        <v>0</v>
      </c>
      <c r="G58" s="89"/>
      <c r="H58" s="89"/>
      <c r="I58" s="44">
        <f t="shared" si="94"/>
        <v>0</v>
      </c>
      <c r="J58" s="90"/>
      <c r="K58" s="91"/>
      <c r="L58" s="44">
        <f t="shared" si="95"/>
        <v>0</v>
      </c>
      <c r="M58" s="91"/>
      <c r="N58" s="91"/>
      <c r="O58" s="44">
        <f t="shared" si="96"/>
        <v>0</v>
      </c>
      <c r="P58" s="91"/>
      <c r="Q58" s="91"/>
      <c r="R58" s="44">
        <f t="shared" si="97"/>
        <v>0</v>
      </c>
      <c r="S58" s="91"/>
      <c r="T58" s="91"/>
      <c r="U58" s="44">
        <f t="shared" si="98"/>
        <v>0</v>
      </c>
      <c r="V58" s="91"/>
      <c r="W58" s="91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8"/>
      <c r="D59" s="89"/>
      <c r="E59" s="89"/>
      <c r="F59" s="44">
        <f t="shared" si="93"/>
        <v>0</v>
      </c>
      <c r="G59" s="89"/>
      <c r="H59" s="89"/>
      <c r="I59" s="44">
        <f t="shared" si="94"/>
        <v>0</v>
      </c>
      <c r="J59" s="90"/>
      <c r="K59" s="91"/>
      <c r="L59" s="44">
        <f t="shared" si="95"/>
        <v>0</v>
      </c>
      <c r="M59" s="91"/>
      <c r="N59" s="91"/>
      <c r="O59" s="44">
        <f t="shared" si="96"/>
        <v>0</v>
      </c>
      <c r="P59" s="91"/>
      <c r="Q59" s="91"/>
      <c r="R59" s="44">
        <f t="shared" si="97"/>
        <v>0</v>
      </c>
      <c r="S59" s="91"/>
      <c r="T59" s="91"/>
      <c r="U59" s="44">
        <f t="shared" si="98"/>
        <v>0</v>
      </c>
      <c r="V59" s="91"/>
      <c r="W59" s="91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8"/>
      <c r="D60" s="89"/>
      <c r="E60" s="89"/>
      <c r="F60" s="44">
        <f t="shared" si="77"/>
        <v>0</v>
      </c>
      <c r="G60" s="89"/>
      <c r="H60" s="89"/>
      <c r="I60" s="44">
        <f t="shared" si="78"/>
        <v>0</v>
      </c>
      <c r="J60" s="90"/>
      <c r="K60" s="91"/>
      <c r="L60" s="44">
        <f t="shared" si="79"/>
        <v>0</v>
      </c>
      <c r="M60" s="91"/>
      <c r="N60" s="91"/>
      <c r="O60" s="44">
        <f t="shared" si="80"/>
        <v>0</v>
      </c>
      <c r="P60" s="91"/>
      <c r="Q60" s="91"/>
      <c r="R60" s="44">
        <f t="shared" si="81"/>
        <v>0</v>
      </c>
      <c r="S60" s="91"/>
      <c r="T60" s="91"/>
      <c r="U60" s="44">
        <f t="shared" si="82"/>
        <v>0</v>
      </c>
      <c r="V60" s="91"/>
      <c r="W60" s="91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8"/>
      <c r="D61" s="89"/>
      <c r="E61" s="89"/>
      <c r="F61" s="44">
        <f t="shared" si="15"/>
        <v>0</v>
      </c>
      <c r="G61" s="89"/>
      <c r="H61" s="89"/>
      <c r="I61" s="44">
        <f t="shared" si="16"/>
        <v>0</v>
      </c>
      <c r="J61" s="90"/>
      <c r="K61" s="91"/>
      <c r="L61" s="44">
        <f t="shared" si="17"/>
        <v>0</v>
      </c>
      <c r="M61" s="91"/>
      <c r="N61" s="91"/>
      <c r="O61" s="44">
        <f t="shared" si="18"/>
        <v>0</v>
      </c>
      <c r="P61" s="91"/>
      <c r="Q61" s="91"/>
      <c r="R61" s="44">
        <f t="shared" si="19"/>
        <v>0</v>
      </c>
      <c r="S61" s="91"/>
      <c r="T61" s="91"/>
      <c r="U61" s="44">
        <f t="shared" si="20"/>
        <v>0</v>
      </c>
      <c r="V61" s="91"/>
      <c r="W61" s="91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8"/>
      <c r="D62" s="89"/>
      <c r="E62" s="89"/>
      <c r="F62" s="44">
        <f t="shared" si="15"/>
        <v>0</v>
      </c>
      <c r="G62" s="89"/>
      <c r="H62" s="89"/>
      <c r="I62" s="44">
        <f t="shared" si="16"/>
        <v>0</v>
      </c>
      <c r="J62" s="90"/>
      <c r="K62" s="91"/>
      <c r="L62" s="44">
        <f t="shared" si="17"/>
        <v>0</v>
      </c>
      <c r="M62" s="91"/>
      <c r="N62" s="91"/>
      <c r="O62" s="44">
        <f t="shared" si="18"/>
        <v>0</v>
      </c>
      <c r="P62" s="91"/>
      <c r="Q62" s="91"/>
      <c r="R62" s="44">
        <f t="shared" si="19"/>
        <v>0</v>
      </c>
      <c r="S62" s="91"/>
      <c r="T62" s="91"/>
      <c r="U62" s="44">
        <f t="shared" si="20"/>
        <v>0</v>
      </c>
      <c r="V62" s="91"/>
      <c r="W62" s="91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8"/>
      <c r="D63" s="89"/>
      <c r="E63" s="89"/>
      <c r="F63" s="44">
        <f t="shared" si="15"/>
        <v>0</v>
      </c>
      <c r="G63" s="89"/>
      <c r="H63" s="89"/>
      <c r="I63" s="44">
        <f t="shared" si="16"/>
        <v>0</v>
      </c>
      <c r="J63" s="90"/>
      <c r="K63" s="91"/>
      <c r="L63" s="44">
        <f t="shared" si="17"/>
        <v>0</v>
      </c>
      <c r="M63" s="91"/>
      <c r="N63" s="91"/>
      <c r="O63" s="44">
        <f t="shared" si="18"/>
        <v>0</v>
      </c>
      <c r="P63" s="91"/>
      <c r="Q63" s="91"/>
      <c r="R63" s="44">
        <f t="shared" si="19"/>
        <v>0</v>
      </c>
      <c r="S63" s="91"/>
      <c r="T63" s="91"/>
      <c r="U63" s="44">
        <f t="shared" si="20"/>
        <v>0</v>
      </c>
      <c r="V63" s="91"/>
      <c r="W63" s="91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8"/>
      <c r="D64" s="89"/>
      <c r="E64" s="89"/>
      <c r="F64" s="44">
        <f t="shared" si="15"/>
        <v>0</v>
      </c>
      <c r="G64" s="89"/>
      <c r="H64" s="89"/>
      <c r="I64" s="44">
        <f t="shared" si="16"/>
        <v>0</v>
      </c>
      <c r="J64" s="90"/>
      <c r="K64" s="91"/>
      <c r="L64" s="44">
        <f t="shared" si="17"/>
        <v>0</v>
      </c>
      <c r="M64" s="91"/>
      <c r="N64" s="91"/>
      <c r="O64" s="44">
        <f t="shared" si="18"/>
        <v>0</v>
      </c>
      <c r="P64" s="91"/>
      <c r="Q64" s="91"/>
      <c r="R64" s="44">
        <f t="shared" si="19"/>
        <v>0</v>
      </c>
      <c r="S64" s="91"/>
      <c r="T64" s="91"/>
      <c r="U64" s="44">
        <f t="shared" si="20"/>
        <v>0</v>
      </c>
      <c r="V64" s="91"/>
      <c r="W64" s="91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8"/>
      <c r="D65" s="89"/>
      <c r="E65" s="89"/>
      <c r="F65" s="44">
        <f t="shared" si="15"/>
        <v>0</v>
      </c>
      <c r="G65" s="89"/>
      <c r="H65" s="89"/>
      <c r="I65" s="44">
        <f t="shared" si="16"/>
        <v>0</v>
      </c>
      <c r="J65" s="90"/>
      <c r="K65" s="91"/>
      <c r="L65" s="44">
        <f t="shared" si="17"/>
        <v>0</v>
      </c>
      <c r="M65" s="91"/>
      <c r="N65" s="91"/>
      <c r="O65" s="44">
        <f t="shared" si="18"/>
        <v>0</v>
      </c>
      <c r="P65" s="91"/>
      <c r="Q65" s="91"/>
      <c r="R65" s="44">
        <f t="shared" si="19"/>
        <v>0</v>
      </c>
      <c r="S65" s="91"/>
      <c r="T65" s="91"/>
      <c r="U65" s="44">
        <f t="shared" si="20"/>
        <v>0</v>
      </c>
      <c r="V65" s="91"/>
      <c r="W65" s="91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8"/>
      <c r="D66" s="89"/>
      <c r="E66" s="89"/>
      <c r="F66" s="44">
        <f t="shared" si="15"/>
        <v>0</v>
      </c>
      <c r="G66" s="89"/>
      <c r="H66" s="89"/>
      <c r="I66" s="44">
        <f t="shared" si="16"/>
        <v>0</v>
      </c>
      <c r="J66" s="90"/>
      <c r="K66" s="91"/>
      <c r="L66" s="44">
        <f t="shared" si="17"/>
        <v>0</v>
      </c>
      <c r="M66" s="91"/>
      <c r="N66" s="91"/>
      <c r="O66" s="44">
        <f t="shared" si="18"/>
        <v>0</v>
      </c>
      <c r="P66" s="91"/>
      <c r="Q66" s="91"/>
      <c r="R66" s="44">
        <f t="shared" si="19"/>
        <v>0</v>
      </c>
      <c r="S66" s="91"/>
      <c r="T66" s="91"/>
      <c r="U66" s="44">
        <f t="shared" si="20"/>
        <v>0</v>
      </c>
      <c r="V66" s="91"/>
      <c r="W66" s="91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8"/>
      <c r="D67" s="89"/>
      <c r="E67" s="89"/>
      <c r="F67" s="44">
        <f t="shared" si="15"/>
        <v>0</v>
      </c>
      <c r="G67" s="89"/>
      <c r="H67" s="91"/>
      <c r="I67" s="44">
        <f t="shared" si="16"/>
        <v>0</v>
      </c>
      <c r="J67" s="90"/>
      <c r="K67" s="91"/>
      <c r="L67" s="44">
        <f t="shared" si="17"/>
        <v>0</v>
      </c>
      <c r="M67" s="91"/>
      <c r="N67" s="91"/>
      <c r="O67" s="44">
        <f t="shared" si="18"/>
        <v>0</v>
      </c>
      <c r="P67" s="91"/>
      <c r="Q67" s="91"/>
      <c r="R67" s="44">
        <f t="shared" si="19"/>
        <v>0</v>
      </c>
      <c r="S67" s="91"/>
      <c r="T67" s="91"/>
      <c r="U67" s="44">
        <f t="shared" si="20"/>
        <v>0</v>
      </c>
      <c r="V67" s="91"/>
      <c r="W67" s="91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8"/>
      <c r="D68" s="89"/>
      <c r="E68" s="89"/>
      <c r="F68" s="44">
        <f t="shared" si="15"/>
        <v>0</v>
      </c>
      <c r="G68" s="89"/>
      <c r="H68" s="89"/>
      <c r="I68" s="44">
        <f t="shared" si="16"/>
        <v>0</v>
      </c>
      <c r="J68" s="90"/>
      <c r="K68" s="91"/>
      <c r="L68" s="44">
        <f t="shared" si="17"/>
        <v>0</v>
      </c>
      <c r="M68" s="91"/>
      <c r="N68" s="91"/>
      <c r="O68" s="44">
        <f t="shared" si="18"/>
        <v>0</v>
      </c>
      <c r="P68" s="91"/>
      <c r="Q68" s="91"/>
      <c r="R68" s="44">
        <f t="shared" si="19"/>
        <v>0</v>
      </c>
      <c r="S68" s="91"/>
      <c r="T68" s="91"/>
      <c r="U68" s="44">
        <f t="shared" si="20"/>
        <v>0</v>
      </c>
      <c r="V68" s="91"/>
      <c r="W68" s="91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8"/>
      <c r="D69" s="89"/>
      <c r="E69" s="89"/>
      <c r="F69" s="44">
        <f t="shared" si="15"/>
        <v>0</v>
      </c>
      <c r="G69" s="89"/>
      <c r="H69" s="89"/>
      <c r="I69" s="44">
        <f t="shared" si="16"/>
        <v>0</v>
      </c>
      <c r="J69" s="90"/>
      <c r="K69" s="91"/>
      <c r="L69" s="44">
        <f t="shared" si="17"/>
        <v>0</v>
      </c>
      <c r="M69" s="91"/>
      <c r="N69" s="91"/>
      <c r="O69" s="44">
        <f t="shared" si="18"/>
        <v>0</v>
      </c>
      <c r="P69" s="91"/>
      <c r="Q69" s="91"/>
      <c r="R69" s="44">
        <f t="shared" si="19"/>
        <v>0</v>
      </c>
      <c r="S69" s="91"/>
      <c r="T69" s="91"/>
      <c r="U69" s="44">
        <f t="shared" si="20"/>
        <v>0</v>
      </c>
      <c r="V69" s="91"/>
      <c r="W69" s="91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8"/>
      <c r="D70" s="89"/>
      <c r="E70" s="89"/>
      <c r="F70" s="44">
        <f t="shared" ref="F70:F100" si="152">BA70-BB70</f>
        <v>0</v>
      </c>
      <c r="G70" s="89"/>
      <c r="H70" s="89"/>
      <c r="I70" s="44">
        <f t="shared" ref="I70:I100" si="153">BF70-BG70</f>
        <v>0</v>
      </c>
      <c r="J70" s="90"/>
      <c r="K70" s="91"/>
      <c r="L70" s="44">
        <f t="shared" ref="L70:L100" si="154">BK70-BL70</f>
        <v>0</v>
      </c>
      <c r="M70" s="91"/>
      <c r="N70" s="91"/>
      <c r="O70" s="44">
        <f t="shared" ref="O70:O100" si="155">BP70-BQ70</f>
        <v>0</v>
      </c>
      <c r="P70" s="91"/>
      <c r="Q70" s="91"/>
      <c r="R70" s="44">
        <f t="shared" ref="R70:R100" si="156">BU70-BV70</f>
        <v>0</v>
      </c>
      <c r="S70" s="91"/>
      <c r="T70" s="91"/>
      <c r="U70" s="44">
        <f t="shared" ref="U70:U100" si="157">BZ70-CA70</f>
        <v>0</v>
      </c>
      <c r="V70" s="91"/>
      <c r="W70" s="91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8"/>
      <c r="D71" s="89"/>
      <c r="E71" s="89"/>
      <c r="F71" s="44">
        <f t="shared" si="152"/>
        <v>0</v>
      </c>
      <c r="G71" s="89"/>
      <c r="H71" s="89"/>
      <c r="I71" s="44">
        <f t="shared" si="153"/>
        <v>0</v>
      </c>
      <c r="J71" s="90"/>
      <c r="K71" s="91"/>
      <c r="L71" s="44">
        <f t="shared" si="154"/>
        <v>0</v>
      </c>
      <c r="M71" s="91"/>
      <c r="N71" s="91"/>
      <c r="O71" s="44">
        <f t="shared" si="155"/>
        <v>0</v>
      </c>
      <c r="P71" s="91"/>
      <c r="Q71" s="91"/>
      <c r="R71" s="44">
        <f t="shared" si="156"/>
        <v>0</v>
      </c>
      <c r="S71" s="91"/>
      <c r="T71" s="91"/>
      <c r="U71" s="44">
        <f t="shared" si="157"/>
        <v>0</v>
      </c>
      <c r="V71" s="91"/>
      <c r="W71" s="91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8"/>
      <c r="D72" s="89"/>
      <c r="E72" s="89"/>
      <c r="F72" s="44">
        <f t="shared" si="152"/>
        <v>0</v>
      </c>
      <c r="G72" s="89"/>
      <c r="H72" s="89"/>
      <c r="I72" s="44">
        <f t="shared" si="153"/>
        <v>0</v>
      </c>
      <c r="J72" s="90"/>
      <c r="K72" s="91"/>
      <c r="L72" s="44">
        <f t="shared" si="154"/>
        <v>0</v>
      </c>
      <c r="M72" s="91"/>
      <c r="N72" s="91"/>
      <c r="O72" s="44">
        <f t="shared" si="155"/>
        <v>0</v>
      </c>
      <c r="P72" s="91"/>
      <c r="Q72" s="91"/>
      <c r="R72" s="44">
        <f t="shared" si="156"/>
        <v>0</v>
      </c>
      <c r="S72" s="91"/>
      <c r="T72" s="91"/>
      <c r="U72" s="44">
        <f t="shared" si="157"/>
        <v>0</v>
      </c>
      <c r="V72" s="91"/>
      <c r="W72" s="91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8"/>
      <c r="D73" s="89"/>
      <c r="E73" s="89"/>
      <c r="F73" s="44">
        <f t="shared" si="152"/>
        <v>0</v>
      </c>
      <c r="G73" s="89"/>
      <c r="H73" s="89"/>
      <c r="I73" s="44">
        <f t="shared" si="153"/>
        <v>0</v>
      </c>
      <c r="J73" s="90"/>
      <c r="K73" s="91"/>
      <c r="L73" s="44">
        <f t="shared" si="154"/>
        <v>0</v>
      </c>
      <c r="M73" s="91"/>
      <c r="N73" s="91"/>
      <c r="O73" s="44">
        <f t="shared" si="155"/>
        <v>0</v>
      </c>
      <c r="P73" s="91"/>
      <c r="Q73" s="91"/>
      <c r="R73" s="44">
        <f t="shared" si="156"/>
        <v>0</v>
      </c>
      <c r="S73" s="91"/>
      <c r="T73" s="91"/>
      <c r="U73" s="44">
        <f t="shared" si="157"/>
        <v>0</v>
      </c>
      <c r="V73" s="91"/>
      <c r="W73" s="91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8"/>
      <c r="D74" s="89"/>
      <c r="E74" s="89"/>
      <c r="F74" s="44">
        <f t="shared" si="152"/>
        <v>0</v>
      </c>
      <c r="G74" s="89"/>
      <c r="H74" s="89"/>
      <c r="I74" s="44">
        <f t="shared" si="153"/>
        <v>0</v>
      </c>
      <c r="J74" s="90"/>
      <c r="K74" s="91"/>
      <c r="L74" s="44">
        <f t="shared" si="154"/>
        <v>0</v>
      </c>
      <c r="M74" s="91"/>
      <c r="N74" s="91"/>
      <c r="O74" s="44">
        <f t="shared" si="155"/>
        <v>0</v>
      </c>
      <c r="P74" s="91"/>
      <c r="Q74" s="91"/>
      <c r="R74" s="44">
        <f t="shared" si="156"/>
        <v>0</v>
      </c>
      <c r="S74" s="91"/>
      <c r="T74" s="91"/>
      <c r="U74" s="44">
        <f t="shared" si="157"/>
        <v>0</v>
      </c>
      <c r="V74" s="91"/>
      <c r="W74" s="91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8"/>
      <c r="D75" s="89"/>
      <c r="E75" s="89"/>
      <c r="F75" s="44">
        <f t="shared" si="152"/>
        <v>0</v>
      </c>
      <c r="G75" s="89"/>
      <c r="H75" s="89"/>
      <c r="I75" s="44">
        <f t="shared" si="153"/>
        <v>0</v>
      </c>
      <c r="J75" s="90"/>
      <c r="K75" s="91"/>
      <c r="L75" s="44">
        <f t="shared" si="154"/>
        <v>0</v>
      </c>
      <c r="M75" s="91"/>
      <c r="N75" s="91"/>
      <c r="O75" s="44">
        <f t="shared" si="155"/>
        <v>0</v>
      </c>
      <c r="P75" s="91"/>
      <c r="Q75" s="91"/>
      <c r="R75" s="44">
        <f t="shared" si="156"/>
        <v>0</v>
      </c>
      <c r="S75" s="91"/>
      <c r="T75" s="91"/>
      <c r="U75" s="44">
        <f t="shared" si="157"/>
        <v>0</v>
      </c>
      <c r="V75" s="91"/>
      <c r="W75" s="91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8"/>
      <c r="D76" s="89"/>
      <c r="E76" s="89"/>
      <c r="F76" s="44">
        <f t="shared" si="152"/>
        <v>0</v>
      </c>
      <c r="G76" s="89"/>
      <c r="H76" s="89"/>
      <c r="I76" s="44">
        <f t="shared" si="153"/>
        <v>0</v>
      </c>
      <c r="J76" s="90"/>
      <c r="K76" s="91"/>
      <c r="L76" s="44">
        <f t="shared" si="154"/>
        <v>0</v>
      </c>
      <c r="M76" s="91"/>
      <c r="N76" s="91"/>
      <c r="O76" s="44">
        <f t="shared" si="155"/>
        <v>0</v>
      </c>
      <c r="P76" s="91"/>
      <c r="Q76" s="91"/>
      <c r="R76" s="44">
        <f t="shared" si="156"/>
        <v>0</v>
      </c>
      <c r="S76" s="91"/>
      <c r="T76" s="91"/>
      <c r="U76" s="44">
        <f t="shared" si="157"/>
        <v>0</v>
      </c>
      <c r="V76" s="91"/>
      <c r="W76" s="91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8"/>
      <c r="D77" s="89"/>
      <c r="E77" s="89"/>
      <c r="F77" s="44">
        <f t="shared" si="152"/>
        <v>0</v>
      </c>
      <c r="G77" s="89"/>
      <c r="H77" s="89"/>
      <c r="I77" s="44">
        <f t="shared" si="153"/>
        <v>0</v>
      </c>
      <c r="J77" s="90"/>
      <c r="K77" s="91"/>
      <c r="L77" s="44">
        <f t="shared" si="154"/>
        <v>0</v>
      </c>
      <c r="M77" s="91"/>
      <c r="N77" s="91"/>
      <c r="O77" s="44">
        <f t="shared" si="155"/>
        <v>0</v>
      </c>
      <c r="P77" s="91"/>
      <c r="Q77" s="91"/>
      <c r="R77" s="44">
        <f t="shared" si="156"/>
        <v>0</v>
      </c>
      <c r="S77" s="91"/>
      <c r="T77" s="91"/>
      <c r="U77" s="44">
        <f t="shared" si="157"/>
        <v>0</v>
      </c>
      <c r="V77" s="91"/>
      <c r="W77" s="91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8"/>
      <c r="D78" s="89"/>
      <c r="E78" s="89"/>
      <c r="F78" s="44">
        <f t="shared" si="152"/>
        <v>0</v>
      </c>
      <c r="G78" s="89"/>
      <c r="H78" s="89"/>
      <c r="I78" s="44">
        <f t="shared" si="153"/>
        <v>0</v>
      </c>
      <c r="J78" s="90"/>
      <c r="K78" s="91"/>
      <c r="L78" s="44">
        <f t="shared" si="154"/>
        <v>0</v>
      </c>
      <c r="M78" s="91"/>
      <c r="N78" s="91"/>
      <c r="O78" s="44">
        <f t="shared" si="155"/>
        <v>0</v>
      </c>
      <c r="P78" s="91"/>
      <c r="Q78" s="91"/>
      <c r="R78" s="44">
        <f t="shared" si="156"/>
        <v>0</v>
      </c>
      <c r="S78" s="91"/>
      <c r="T78" s="91"/>
      <c r="U78" s="44">
        <f t="shared" si="157"/>
        <v>0</v>
      </c>
      <c r="V78" s="91"/>
      <c r="W78" s="91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8"/>
      <c r="D79" s="89"/>
      <c r="E79" s="89"/>
      <c r="F79" s="44">
        <f t="shared" si="152"/>
        <v>0</v>
      </c>
      <c r="G79" s="89"/>
      <c r="H79" s="89"/>
      <c r="I79" s="44">
        <f t="shared" si="153"/>
        <v>0</v>
      </c>
      <c r="J79" s="90"/>
      <c r="K79" s="91"/>
      <c r="L79" s="44">
        <f t="shared" si="154"/>
        <v>0</v>
      </c>
      <c r="M79" s="91"/>
      <c r="N79" s="91"/>
      <c r="O79" s="44">
        <f t="shared" si="155"/>
        <v>0</v>
      </c>
      <c r="P79" s="91"/>
      <c r="Q79" s="91"/>
      <c r="R79" s="44">
        <f t="shared" si="156"/>
        <v>0</v>
      </c>
      <c r="S79" s="91"/>
      <c r="T79" s="91"/>
      <c r="U79" s="44">
        <f t="shared" si="157"/>
        <v>0</v>
      </c>
      <c r="V79" s="91"/>
      <c r="W79" s="91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8"/>
      <c r="D80" s="89"/>
      <c r="E80" s="89"/>
      <c r="F80" s="44">
        <f t="shared" si="152"/>
        <v>0</v>
      </c>
      <c r="G80" s="89"/>
      <c r="H80" s="89"/>
      <c r="I80" s="44">
        <f t="shared" si="153"/>
        <v>0</v>
      </c>
      <c r="J80" s="90"/>
      <c r="K80" s="91"/>
      <c r="L80" s="44">
        <f t="shared" si="154"/>
        <v>0</v>
      </c>
      <c r="M80" s="91"/>
      <c r="N80" s="91"/>
      <c r="O80" s="44">
        <f t="shared" si="155"/>
        <v>0</v>
      </c>
      <c r="P80" s="91"/>
      <c r="Q80" s="91"/>
      <c r="R80" s="44">
        <f t="shared" si="156"/>
        <v>0</v>
      </c>
      <c r="S80" s="91"/>
      <c r="T80" s="91"/>
      <c r="U80" s="44">
        <f t="shared" si="157"/>
        <v>0</v>
      </c>
      <c r="V80" s="91"/>
      <c r="W80" s="91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8"/>
      <c r="D81" s="89"/>
      <c r="E81" s="89"/>
      <c r="F81" s="44">
        <f t="shared" si="152"/>
        <v>0</v>
      </c>
      <c r="G81" s="89"/>
      <c r="H81" s="89"/>
      <c r="I81" s="44">
        <f t="shared" si="153"/>
        <v>0</v>
      </c>
      <c r="J81" s="90"/>
      <c r="K81" s="91"/>
      <c r="L81" s="44">
        <f t="shared" si="154"/>
        <v>0</v>
      </c>
      <c r="M81" s="91"/>
      <c r="N81" s="91"/>
      <c r="O81" s="44">
        <f t="shared" si="155"/>
        <v>0</v>
      </c>
      <c r="P81" s="91"/>
      <c r="Q81" s="91"/>
      <c r="R81" s="44">
        <f t="shared" si="156"/>
        <v>0</v>
      </c>
      <c r="S81" s="91"/>
      <c r="T81" s="91"/>
      <c r="U81" s="44">
        <f t="shared" si="157"/>
        <v>0</v>
      </c>
      <c r="V81" s="91"/>
      <c r="W81" s="91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8"/>
      <c r="D82" s="89"/>
      <c r="E82" s="89"/>
      <c r="F82" s="44">
        <f t="shared" si="152"/>
        <v>0</v>
      </c>
      <c r="G82" s="89"/>
      <c r="H82" s="89"/>
      <c r="I82" s="44">
        <f t="shared" si="153"/>
        <v>0</v>
      </c>
      <c r="J82" s="90"/>
      <c r="K82" s="91"/>
      <c r="L82" s="44">
        <f t="shared" si="154"/>
        <v>0</v>
      </c>
      <c r="M82" s="91"/>
      <c r="N82" s="91"/>
      <c r="O82" s="44">
        <f t="shared" si="155"/>
        <v>0</v>
      </c>
      <c r="P82" s="91"/>
      <c r="Q82" s="91"/>
      <c r="R82" s="44">
        <f t="shared" si="156"/>
        <v>0</v>
      </c>
      <c r="S82" s="91"/>
      <c r="T82" s="91"/>
      <c r="U82" s="44">
        <f t="shared" si="157"/>
        <v>0</v>
      </c>
      <c r="V82" s="91"/>
      <c r="W82" s="91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8"/>
      <c r="D83" s="89"/>
      <c r="E83" s="89"/>
      <c r="F83" s="44">
        <f t="shared" si="152"/>
        <v>0</v>
      </c>
      <c r="G83" s="89"/>
      <c r="H83" s="89"/>
      <c r="I83" s="44">
        <f t="shared" si="153"/>
        <v>0</v>
      </c>
      <c r="J83" s="90"/>
      <c r="K83" s="91"/>
      <c r="L83" s="44">
        <f t="shared" si="154"/>
        <v>0</v>
      </c>
      <c r="M83" s="91"/>
      <c r="N83" s="91"/>
      <c r="O83" s="44">
        <f t="shared" si="155"/>
        <v>0</v>
      </c>
      <c r="P83" s="91"/>
      <c r="Q83" s="91"/>
      <c r="R83" s="44">
        <f t="shared" si="156"/>
        <v>0</v>
      </c>
      <c r="S83" s="91"/>
      <c r="T83" s="91"/>
      <c r="U83" s="44">
        <f t="shared" si="157"/>
        <v>0</v>
      </c>
      <c r="V83" s="91"/>
      <c r="W83" s="91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8"/>
      <c r="D84" s="89"/>
      <c r="E84" s="89"/>
      <c r="F84" s="44">
        <f t="shared" si="152"/>
        <v>0</v>
      </c>
      <c r="G84" s="89"/>
      <c r="H84" s="89"/>
      <c r="I84" s="44">
        <f t="shared" si="153"/>
        <v>0</v>
      </c>
      <c r="J84" s="90"/>
      <c r="K84" s="91"/>
      <c r="L84" s="44">
        <f t="shared" si="154"/>
        <v>0</v>
      </c>
      <c r="M84" s="91"/>
      <c r="N84" s="91"/>
      <c r="O84" s="44">
        <f t="shared" si="155"/>
        <v>0</v>
      </c>
      <c r="P84" s="91"/>
      <c r="Q84" s="91"/>
      <c r="R84" s="44">
        <f t="shared" si="156"/>
        <v>0</v>
      </c>
      <c r="S84" s="91"/>
      <c r="T84" s="91"/>
      <c r="U84" s="44">
        <f t="shared" si="157"/>
        <v>0</v>
      </c>
      <c r="V84" s="91"/>
      <c r="W84" s="91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8"/>
      <c r="D85" s="89"/>
      <c r="E85" s="89"/>
      <c r="F85" s="44">
        <f t="shared" si="152"/>
        <v>0</v>
      </c>
      <c r="G85" s="89"/>
      <c r="H85" s="89"/>
      <c r="I85" s="44">
        <f t="shared" si="153"/>
        <v>0</v>
      </c>
      <c r="J85" s="90"/>
      <c r="K85" s="91"/>
      <c r="L85" s="44">
        <f t="shared" si="154"/>
        <v>0</v>
      </c>
      <c r="M85" s="91"/>
      <c r="N85" s="91"/>
      <c r="O85" s="44">
        <f t="shared" si="155"/>
        <v>0</v>
      </c>
      <c r="P85" s="91"/>
      <c r="Q85" s="91"/>
      <c r="R85" s="44">
        <f t="shared" si="156"/>
        <v>0</v>
      </c>
      <c r="S85" s="91"/>
      <c r="T85" s="91"/>
      <c r="U85" s="44">
        <f t="shared" si="157"/>
        <v>0</v>
      </c>
      <c r="V85" s="91"/>
      <c r="W85" s="91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8"/>
      <c r="D86" s="89"/>
      <c r="E86" s="89"/>
      <c r="F86" s="44">
        <f t="shared" si="152"/>
        <v>0</v>
      </c>
      <c r="G86" s="89"/>
      <c r="H86" s="89"/>
      <c r="I86" s="44">
        <f t="shared" si="153"/>
        <v>0</v>
      </c>
      <c r="J86" s="90"/>
      <c r="K86" s="91"/>
      <c r="L86" s="44">
        <f t="shared" si="154"/>
        <v>0</v>
      </c>
      <c r="M86" s="91"/>
      <c r="N86" s="91"/>
      <c r="O86" s="44">
        <f t="shared" si="155"/>
        <v>0</v>
      </c>
      <c r="P86" s="91"/>
      <c r="Q86" s="91"/>
      <c r="R86" s="44">
        <f t="shared" si="156"/>
        <v>0</v>
      </c>
      <c r="S86" s="91"/>
      <c r="T86" s="91"/>
      <c r="U86" s="44">
        <f t="shared" si="157"/>
        <v>0</v>
      </c>
      <c r="V86" s="91"/>
      <c r="W86" s="91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8"/>
      <c r="D87" s="89"/>
      <c r="E87" s="89"/>
      <c r="F87" s="44">
        <f t="shared" si="152"/>
        <v>0</v>
      </c>
      <c r="G87" s="89"/>
      <c r="H87" s="89"/>
      <c r="I87" s="44">
        <f t="shared" si="153"/>
        <v>0</v>
      </c>
      <c r="J87" s="90"/>
      <c r="K87" s="91"/>
      <c r="L87" s="44">
        <f t="shared" si="154"/>
        <v>0</v>
      </c>
      <c r="M87" s="91"/>
      <c r="N87" s="91"/>
      <c r="O87" s="44">
        <f t="shared" si="155"/>
        <v>0</v>
      </c>
      <c r="P87" s="91"/>
      <c r="Q87" s="91"/>
      <c r="R87" s="44">
        <f t="shared" si="156"/>
        <v>0</v>
      </c>
      <c r="S87" s="91"/>
      <c r="T87" s="91"/>
      <c r="U87" s="44">
        <f t="shared" si="157"/>
        <v>0</v>
      </c>
      <c r="V87" s="91"/>
      <c r="W87" s="91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8"/>
      <c r="D88" s="89"/>
      <c r="E88" s="89"/>
      <c r="F88" s="44">
        <f t="shared" si="152"/>
        <v>0</v>
      </c>
      <c r="G88" s="89"/>
      <c r="H88" s="89"/>
      <c r="I88" s="44">
        <f t="shared" si="153"/>
        <v>0</v>
      </c>
      <c r="J88" s="90"/>
      <c r="K88" s="91"/>
      <c r="L88" s="44">
        <f t="shared" si="154"/>
        <v>0</v>
      </c>
      <c r="M88" s="91"/>
      <c r="N88" s="91"/>
      <c r="O88" s="44">
        <f t="shared" si="155"/>
        <v>0</v>
      </c>
      <c r="P88" s="91"/>
      <c r="Q88" s="91"/>
      <c r="R88" s="44">
        <f t="shared" si="156"/>
        <v>0</v>
      </c>
      <c r="S88" s="91"/>
      <c r="T88" s="91"/>
      <c r="U88" s="44">
        <f t="shared" si="157"/>
        <v>0</v>
      </c>
      <c r="V88" s="91"/>
      <c r="W88" s="91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8"/>
      <c r="D89" s="89"/>
      <c r="E89" s="89"/>
      <c r="F89" s="44">
        <f t="shared" si="152"/>
        <v>0</v>
      </c>
      <c r="G89" s="89"/>
      <c r="H89" s="89"/>
      <c r="I89" s="44">
        <f t="shared" si="153"/>
        <v>0</v>
      </c>
      <c r="J89" s="90"/>
      <c r="K89" s="91"/>
      <c r="L89" s="44">
        <f t="shared" si="154"/>
        <v>0</v>
      </c>
      <c r="M89" s="91"/>
      <c r="N89" s="91"/>
      <c r="O89" s="44">
        <f t="shared" si="155"/>
        <v>0</v>
      </c>
      <c r="P89" s="91"/>
      <c r="Q89" s="91"/>
      <c r="R89" s="44">
        <f t="shared" si="156"/>
        <v>0</v>
      </c>
      <c r="S89" s="91"/>
      <c r="T89" s="91"/>
      <c r="U89" s="44">
        <f t="shared" si="157"/>
        <v>0</v>
      </c>
      <c r="V89" s="91"/>
      <c r="W89" s="91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8"/>
      <c r="D90" s="89"/>
      <c r="E90" s="89"/>
      <c r="F90" s="44">
        <f t="shared" si="152"/>
        <v>0</v>
      </c>
      <c r="G90" s="89"/>
      <c r="H90" s="89"/>
      <c r="I90" s="44">
        <f t="shared" si="153"/>
        <v>0</v>
      </c>
      <c r="J90" s="90"/>
      <c r="K90" s="91"/>
      <c r="L90" s="44">
        <f t="shared" si="154"/>
        <v>0</v>
      </c>
      <c r="M90" s="91"/>
      <c r="N90" s="91"/>
      <c r="O90" s="44">
        <f t="shared" si="155"/>
        <v>0</v>
      </c>
      <c r="P90" s="91"/>
      <c r="Q90" s="91"/>
      <c r="R90" s="44">
        <f t="shared" si="156"/>
        <v>0</v>
      </c>
      <c r="S90" s="91"/>
      <c r="T90" s="91"/>
      <c r="U90" s="44">
        <f t="shared" si="157"/>
        <v>0</v>
      </c>
      <c r="V90" s="91"/>
      <c r="W90" s="91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8"/>
      <c r="D91" s="89"/>
      <c r="E91" s="89"/>
      <c r="F91" s="44">
        <f t="shared" si="152"/>
        <v>0</v>
      </c>
      <c r="G91" s="89"/>
      <c r="H91" s="89"/>
      <c r="I91" s="44">
        <f t="shared" si="153"/>
        <v>0</v>
      </c>
      <c r="J91" s="90"/>
      <c r="K91" s="91"/>
      <c r="L91" s="44">
        <f t="shared" si="154"/>
        <v>0</v>
      </c>
      <c r="M91" s="91"/>
      <c r="N91" s="91"/>
      <c r="O91" s="44">
        <f t="shared" si="155"/>
        <v>0</v>
      </c>
      <c r="P91" s="91"/>
      <c r="Q91" s="91"/>
      <c r="R91" s="44">
        <f t="shared" si="156"/>
        <v>0</v>
      </c>
      <c r="S91" s="91"/>
      <c r="T91" s="91"/>
      <c r="U91" s="44">
        <f t="shared" si="157"/>
        <v>0</v>
      </c>
      <c r="V91" s="91"/>
      <c r="W91" s="91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8"/>
      <c r="D92" s="89"/>
      <c r="E92" s="89"/>
      <c r="F92" s="44">
        <f t="shared" si="152"/>
        <v>0</v>
      </c>
      <c r="G92" s="89"/>
      <c r="H92" s="89"/>
      <c r="I92" s="44">
        <f t="shared" si="153"/>
        <v>0</v>
      </c>
      <c r="J92" s="90"/>
      <c r="K92" s="91"/>
      <c r="L92" s="44">
        <f t="shared" si="154"/>
        <v>0</v>
      </c>
      <c r="M92" s="91"/>
      <c r="N92" s="91"/>
      <c r="O92" s="44">
        <f t="shared" si="155"/>
        <v>0</v>
      </c>
      <c r="P92" s="91"/>
      <c r="Q92" s="91"/>
      <c r="R92" s="44">
        <f t="shared" si="156"/>
        <v>0</v>
      </c>
      <c r="S92" s="91"/>
      <c r="T92" s="91"/>
      <c r="U92" s="44">
        <f t="shared" si="157"/>
        <v>0</v>
      </c>
      <c r="V92" s="91"/>
      <c r="W92" s="91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8"/>
      <c r="D93" s="89"/>
      <c r="E93" s="89"/>
      <c r="F93" s="44">
        <f t="shared" si="152"/>
        <v>0</v>
      </c>
      <c r="G93" s="89"/>
      <c r="H93" s="89"/>
      <c r="I93" s="44">
        <f t="shared" si="153"/>
        <v>0</v>
      </c>
      <c r="J93" s="90"/>
      <c r="K93" s="91"/>
      <c r="L93" s="44">
        <f t="shared" si="154"/>
        <v>0</v>
      </c>
      <c r="M93" s="91"/>
      <c r="N93" s="91"/>
      <c r="O93" s="44">
        <f t="shared" si="155"/>
        <v>0</v>
      </c>
      <c r="P93" s="91"/>
      <c r="Q93" s="91"/>
      <c r="R93" s="44">
        <f t="shared" si="156"/>
        <v>0</v>
      </c>
      <c r="S93" s="91"/>
      <c r="T93" s="91"/>
      <c r="U93" s="44">
        <f t="shared" si="157"/>
        <v>0</v>
      </c>
      <c r="V93" s="91"/>
      <c r="W93" s="91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8"/>
      <c r="D94" s="89"/>
      <c r="E94" s="89"/>
      <c r="F94" s="44">
        <f t="shared" si="152"/>
        <v>0</v>
      </c>
      <c r="G94" s="89"/>
      <c r="H94" s="89"/>
      <c r="I94" s="44">
        <f t="shared" si="153"/>
        <v>0</v>
      </c>
      <c r="J94" s="90"/>
      <c r="K94" s="91"/>
      <c r="L94" s="44">
        <f t="shared" si="154"/>
        <v>0</v>
      </c>
      <c r="M94" s="91"/>
      <c r="N94" s="91"/>
      <c r="O94" s="44">
        <f t="shared" si="155"/>
        <v>0</v>
      </c>
      <c r="P94" s="91"/>
      <c r="Q94" s="91"/>
      <c r="R94" s="44">
        <f t="shared" si="156"/>
        <v>0</v>
      </c>
      <c r="S94" s="91"/>
      <c r="T94" s="91"/>
      <c r="U94" s="44">
        <f t="shared" si="157"/>
        <v>0</v>
      </c>
      <c r="V94" s="91"/>
      <c r="W94" s="91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8"/>
      <c r="D95" s="89"/>
      <c r="E95" s="89"/>
      <c r="F95" s="44">
        <f t="shared" si="152"/>
        <v>0</v>
      </c>
      <c r="G95" s="89"/>
      <c r="H95" s="89"/>
      <c r="I95" s="44">
        <f t="shared" si="153"/>
        <v>0</v>
      </c>
      <c r="J95" s="90"/>
      <c r="K95" s="91"/>
      <c r="L95" s="44">
        <f t="shared" si="154"/>
        <v>0</v>
      </c>
      <c r="M95" s="91"/>
      <c r="N95" s="91"/>
      <c r="O95" s="44">
        <f t="shared" si="155"/>
        <v>0</v>
      </c>
      <c r="P95" s="91"/>
      <c r="Q95" s="91"/>
      <c r="R95" s="44">
        <f t="shared" si="156"/>
        <v>0</v>
      </c>
      <c r="S95" s="91"/>
      <c r="T95" s="91"/>
      <c r="U95" s="44">
        <f t="shared" si="157"/>
        <v>0</v>
      </c>
      <c r="V95" s="91"/>
      <c r="W95" s="91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8"/>
      <c r="D96" s="89"/>
      <c r="E96" s="89"/>
      <c r="F96" s="44">
        <f t="shared" si="152"/>
        <v>0</v>
      </c>
      <c r="G96" s="89"/>
      <c r="H96" s="89"/>
      <c r="I96" s="44">
        <f t="shared" si="153"/>
        <v>0</v>
      </c>
      <c r="J96" s="90"/>
      <c r="K96" s="91"/>
      <c r="L96" s="44">
        <f t="shared" si="154"/>
        <v>0</v>
      </c>
      <c r="M96" s="91"/>
      <c r="N96" s="91"/>
      <c r="O96" s="44">
        <f t="shared" si="155"/>
        <v>0</v>
      </c>
      <c r="P96" s="91"/>
      <c r="Q96" s="91"/>
      <c r="R96" s="44">
        <f t="shared" si="156"/>
        <v>0</v>
      </c>
      <c r="S96" s="91"/>
      <c r="T96" s="91"/>
      <c r="U96" s="44">
        <f t="shared" si="157"/>
        <v>0</v>
      </c>
      <c r="V96" s="91"/>
      <c r="W96" s="91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8"/>
      <c r="D97" s="89"/>
      <c r="E97" s="89"/>
      <c r="F97" s="44">
        <f t="shared" si="152"/>
        <v>0</v>
      </c>
      <c r="G97" s="89"/>
      <c r="H97" s="89"/>
      <c r="I97" s="44">
        <f t="shared" si="153"/>
        <v>0</v>
      </c>
      <c r="J97" s="90"/>
      <c r="K97" s="91"/>
      <c r="L97" s="44">
        <f t="shared" si="154"/>
        <v>0</v>
      </c>
      <c r="M97" s="91"/>
      <c r="N97" s="91"/>
      <c r="O97" s="44">
        <f t="shared" si="155"/>
        <v>0</v>
      </c>
      <c r="P97" s="91"/>
      <c r="Q97" s="91"/>
      <c r="R97" s="44">
        <f t="shared" si="156"/>
        <v>0</v>
      </c>
      <c r="S97" s="91"/>
      <c r="T97" s="91"/>
      <c r="U97" s="44">
        <f t="shared" si="157"/>
        <v>0</v>
      </c>
      <c r="V97" s="91"/>
      <c r="W97" s="91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8"/>
      <c r="D98" s="89"/>
      <c r="E98" s="89"/>
      <c r="F98" s="44">
        <f t="shared" si="152"/>
        <v>0</v>
      </c>
      <c r="G98" s="89"/>
      <c r="H98" s="89"/>
      <c r="I98" s="44">
        <f t="shared" si="153"/>
        <v>0</v>
      </c>
      <c r="J98" s="90"/>
      <c r="K98" s="91"/>
      <c r="L98" s="44">
        <f t="shared" si="154"/>
        <v>0</v>
      </c>
      <c r="M98" s="91"/>
      <c r="N98" s="91"/>
      <c r="O98" s="44">
        <f t="shared" si="155"/>
        <v>0</v>
      </c>
      <c r="P98" s="91"/>
      <c r="Q98" s="91"/>
      <c r="R98" s="44">
        <f t="shared" si="156"/>
        <v>0</v>
      </c>
      <c r="S98" s="91"/>
      <c r="T98" s="91"/>
      <c r="U98" s="44">
        <f t="shared" si="157"/>
        <v>0</v>
      </c>
      <c r="V98" s="91"/>
      <c r="W98" s="91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8"/>
      <c r="D99" s="89"/>
      <c r="E99" s="89"/>
      <c r="F99" s="44">
        <f t="shared" si="152"/>
        <v>0</v>
      </c>
      <c r="G99" s="89"/>
      <c r="H99" s="89"/>
      <c r="I99" s="44">
        <f t="shared" si="153"/>
        <v>0</v>
      </c>
      <c r="J99" s="90"/>
      <c r="K99" s="91"/>
      <c r="L99" s="44">
        <f t="shared" si="154"/>
        <v>0</v>
      </c>
      <c r="M99" s="91"/>
      <c r="N99" s="91"/>
      <c r="O99" s="44">
        <f t="shared" si="155"/>
        <v>0</v>
      </c>
      <c r="P99" s="91"/>
      <c r="Q99" s="91"/>
      <c r="R99" s="44">
        <f t="shared" si="156"/>
        <v>0</v>
      </c>
      <c r="S99" s="91"/>
      <c r="T99" s="91"/>
      <c r="U99" s="44">
        <f t="shared" si="157"/>
        <v>0</v>
      </c>
      <c r="V99" s="91"/>
      <c r="W99" s="91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8"/>
      <c r="D100" s="89"/>
      <c r="E100" s="89"/>
      <c r="F100" s="44">
        <f t="shared" si="152"/>
        <v>0</v>
      </c>
      <c r="G100" s="89"/>
      <c r="H100" s="89"/>
      <c r="I100" s="44">
        <f t="shared" si="153"/>
        <v>0</v>
      </c>
      <c r="J100" s="90"/>
      <c r="K100" s="91"/>
      <c r="L100" s="44">
        <f t="shared" si="154"/>
        <v>0</v>
      </c>
      <c r="M100" s="91"/>
      <c r="N100" s="91"/>
      <c r="O100" s="44">
        <f t="shared" si="155"/>
        <v>0</v>
      </c>
      <c r="P100" s="91"/>
      <c r="Q100" s="91"/>
      <c r="R100" s="44">
        <f t="shared" si="156"/>
        <v>0</v>
      </c>
      <c r="S100" s="91"/>
      <c r="T100" s="91"/>
      <c r="U100" s="44">
        <f t="shared" si="157"/>
        <v>0</v>
      </c>
      <c r="V100" s="91"/>
      <c r="W100" s="91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25" priority="703" operator="equal">
      <formula>"Pub"</formula>
    </cfRule>
  </conditionalFormatting>
  <conditionalFormatting sqref="F2:F100 I2:I100 L2:L100 O2:O100 R2:R100 U2:U100 X2:AB100 AT2:AT100">
    <cfRule type="cellIs" dxfId="24" priority="705" operator="lessThan">
      <formula>0</formula>
    </cfRule>
    <cfRule type="cellIs" dxfId="23" priority="706" operator="between">
      <formula>3</formula>
      <formula>0.01</formula>
    </cfRule>
    <cfRule type="cellIs" dxfId="22" priority="778" operator="lessThan">
      <formula>SUMIF($C:$C,$C2,F:F)</formula>
    </cfRule>
  </conditionalFormatting>
  <conditionalFormatting sqref="AD3:AD100">
    <cfRule type="notContainsBlanks" dxfId="21" priority="7">
      <formula>LEN(TRIM(AD3))&gt;0</formula>
    </cfRule>
  </conditionalFormatting>
  <conditionalFormatting sqref="AF3:AF100">
    <cfRule type="notContainsBlanks" dxfId="20" priority="6">
      <formula>LEN(TRIM(AF3))&gt;0</formula>
    </cfRule>
  </conditionalFormatting>
  <conditionalFormatting sqref="AH2:AH100">
    <cfRule type="notContainsBlanks" dxfId="19" priority="4">
      <formula>LEN(TRIM(AH2))&gt;0</formula>
    </cfRule>
  </conditionalFormatting>
  <conditionalFormatting sqref="AJ2:AJ100 AL2:AL100 AN2:AN100 AQ5:AS100 AR2:AS4">
    <cfRule type="notContainsBlanks" dxfId="18" priority="779">
      <formula>LEN(TRIM(AJ2))&gt;0</formula>
    </cfRule>
  </conditionalFormatting>
  <conditionalFormatting sqref="AT1">
    <cfRule type="cellIs" dxfId="17" priority="698" operator="equal">
      <formula>"Pub"</formula>
    </cfRule>
  </conditionalFormatting>
  <conditionalFormatting sqref="AD2">
    <cfRule type="notContainsBlanks" dxfId="4" priority="3">
      <formula>LEN(TRIM(AD2))&gt;0</formula>
    </cfRule>
  </conditionalFormatting>
  <conditionalFormatting sqref="AF2">
    <cfRule type="notContainsBlanks" dxfId="3" priority="2">
      <formula>LEN(TRIM(AF2))&gt;0</formula>
    </cfRule>
  </conditionalFormatting>
  <conditionalFormatting sqref="AQ2:AQ4">
    <cfRule type="notContainsBlanks" dxfId="2" priority="1">
      <formula>LEN(TRIM(AQ2))&gt;0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tabSelected="1" zoomScale="60" zoomScaleNormal="60" workbookViewId="0">
      <pane xSplit="3" ySplit="1" topLeftCell="O2" activePane="bottomRight" state="frozen"/>
      <selection pane="topRight" activeCell="D1" sqref="D1"/>
      <selection pane="bottomLeft" activeCell="A2" sqref="A2"/>
      <selection pane="bottomRight" activeCell="AN8" sqref="AN8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45964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45965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45966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45967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45968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45969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45970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45971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>
        <f t="shared" ref="A2:A33" si="0">IF(ISNA(AZ2),"",AZ2)</f>
        <v>10048</v>
      </c>
      <c r="B2" s="98" t="s">
        <v>27</v>
      </c>
      <c r="C2" s="99" t="s">
        <v>1411</v>
      </c>
      <c r="D2" s="75"/>
      <c r="E2" s="75"/>
      <c r="F2" s="92">
        <f>BA2-BB2</f>
        <v>0</v>
      </c>
      <c r="G2" s="75"/>
      <c r="H2" s="75"/>
      <c r="I2" s="92">
        <f>BF2-BG2</f>
        <v>0</v>
      </c>
      <c r="J2" s="75"/>
      <c r="K2" s="75"/>
      <c r="L2" s="92">
        <f>BK2-BL2</f>
        <v>0</v>
      </c>
      <c r="M2" s="75">
        <v>0.37916666666666665</v>
      </c>
      <c r="N2" s="75">
        <v>0.70833333333333337</v>
      </c>
      <c r="O2" s="92">
        <f>BP2-BQ2</f>
        <v>7.4000000000000012</v>
      </c>
      <c r="P2" s="75"/>
      <c r="Q2" s="75"/>
      <c r="R2" s="92">
        <f>BU2-BV2</f>
        <v>0</v>
      </c>
      <c r="S2" s="75">
        <v>0.37777777777777777</v>
      </c>
      <c r="T2" s="75">
        <v>0.71388888888888891</v>
      </c>
      <c r="U2" s="92">
        <f>BZ2-CA2</f>
        <v>7.5666666666666664</v>
      </c>
      <c r="V2" s="75"/>
      <c r="W2" s="75"/>
      <c r="X2" s="92">
        <f>CE2-CF2</f>
        <v>0</v>
      </c>
      <c r="Y2" s="92"/>
      <c r="Z2" s="92"/>
      <c r="AA2" s="92"/>
      <c r="AB2" s="96">
        <f>SUM(F2,I2,L2,O2,R2,U2,X2)</f>
        <v>14.966666666666669</v>
      </c>
      <c r="AC2" s="93"/>
      <c r="AD2" s="77">
        <v>1.5</v>
      </c>
      <c r="AE2" s="94">
        <f>SUMIF($BC$1:$CI$1,AE$1,$BC2:$CI2)+AD2</f>
        <v>8.9000000000000021</v>
      </c>
      <c r="AF2" s="77">
        <v>0.5</v>
      </c>
      <c r="AG2" s="94">
        <f>SUMIF($BC$1:$CI$1,AG$1,$BC2:$CI2)+AF2</f>
        <v>8.0666666666666664</v>
      </c>
      <c r="AH2" s="78"/>
      <c r="AI2" s="94">
        <f>SUMIF($BC$1:$CI$1,AI$1,$BC2:$CI2)+AH2</f>
        <v>0</v>
      </c>
      <c r="AJ2" s="77"/>
      <c r="AK2" s="94">
        <f>SUMIF($BC$1:$CI$1,AK$1,$BC2:$CI2)+AJ2</f>
        <v>0</v>
      </c>
      <c r="AL2" s="78"/>
      <c r="AM2" s="94">
        <f>SUMIF($BC$1:$CI$1,AM$1,$BC2:$CI2)+AL2</f>
        <v>0</v>
      </c>
      <c r="AN2" s="77"/>
      <c r="AO2" s="94">
        <f>SUMIF($BC$1:$CI$1,AO$1,$BC2:$CI2)+AN2</f>
        <v>0</v>
      </c>
      <c r="AP2" s="95">
        <f>CK2</f>
        <v>2</v>
      </c>
      <c r="AQ2" s="77"/>
      <c r="AR2" s="77"/>
      <c r="AS2" s="77"/>
      <c r="AT2" s="63">
        <f>AE2+AG2+AI2+AK2+AM2+AO2+SUM(AQ2:AS2)</f>
        <v>16.966666666666669</v>
      </c>
      <c r="AU2" s="78"/>
      <c r="AV2" s="5"/>
      <c r="AW2" s="5"/>
      <c r="AX2" s="5"/>
      <c r="AY2" s="5"/>
      <c r="AZ2" s="24">
        <f>VLOOKUP(C2,Employees!D:I,6,FALSE)</f>
        <v>10048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7.9000000000000012</v>
      </c>
      <c r="BQ2" s="5">
        <f>IF(BP2&gt;$AY$1,1,IF(BP2&gt;=$AX$1,0.5,0))</f>
        <v>0.5</v>
      </c>
      <c r="BR2" s="5">
        <f>BP2-BQ2-BS2-BT2</f>
        <v>7.4000000000000012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8.0666666666666664</v>
      </c>
      <c r="CA2" s="5">
        <f>IF(BZ2&gt;$AY$1,1,IF(BZ2&gt;=$AX$1,0.5,0))</f>
        <v>0.5</v>
      </c>
      <c r="CB2" s="5">
        <f>BZ2-CA2-CC2-CD2</f>
        <v>7.5666666666666664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7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2</v>
      </c>
    </row>
    <row r="3" spans="1:89" ht="47" customHeight="1">
      <c r="A3" s="74">
        <f t="shared" si="0"/>
        <v>10282</v>
      </c>
      <c r="B3" s="98" t="s">
        <v>27</v>
      </c>
      <c r="C3" s="100" t="s">
        <v>1412</v>
      </c>
      <c r="D3" s="75"/>
      <c r="E3" s="75"/>
      <c r="F3" s="92">
        <f t="shared" ref="F3:F74" si="9">BA3-BB3</f>
        <v>0</v>
      </c>
      <c r="G3" s="75"/>
      <c r="H3" s="75"/>
      <c r="I3" s="92">
        <f t="shared" ref="I3:I74" si="10">BF3-BG3</f>
        <v>0</v>
      </c>
      <c r="J3" s="75"/>
      <c r="K3" s="75"/>
      <c r="L3" s="92">
        <f t="shared" ref="L3:L74" si="11">BK3-BL3</f>
        <v>0</v>
      </c>
      <c r="M3" s="75"/>
      <c r="N3" s="75"/>
      <c r="O3" s="92">
        <f t="shared" ref="O3:O74" si="12">BP3-BQ3</f>
        <v>0</v>
      </c>
      <c r="P3" s="75">
        <v>0.37708333333333338</v>
      </c>
      <c r="Q3" s="75">
        <v>0.70833333333333337</v>
      </c>
      <c r="R3" s="92">
        <f t="shared" ref="R3:R74" si="13">BU3-BV3</f>
        <v>7.4499999999999993</v>
      </c>
      <c r="S3" s="75"/>
      <c r="T3" s="75"/>
      <c r="U3" s="92">
        <f t="shared" ref="U3:U74" si="14">BZ3-CA3</f>
        <v>0</v>
      </c>
      <c r="V3" s="75">
        <v>0.37916666666666665</v>
      </c>
      <c r="W3" s="75">
        <v>0.72222222222222221</v>
      </c>
      <c r="X3" s="92">
        <f t="shared" ref="X3:X74" si="15">CE3-CF3</f>
        <v>7.7333333333333343</v>
      </c>
      <c r="Y3" s="92"/>
      <c r="Z3" s="92"/>
      <c r="AA3" s="92"/>
      <c r="AB3" s="96">
        <f t="shared" ref="AB3:AB74" si="16">SUM(F3,I3,L3,O3,R3,U3,X3)</f>
        <v>15.183333333333334</v>
      </c>
      <c r="AC3" s="93"/>
      <c r="AD3" s="77">
        <v>1.5</v>
      </c>
      <c r="AE3" s="94">
        <f t="shared" ref="AE3:AE74" si="17">SUMIF($BC$1:$CI$1,AE$1,$BC3:$CI3)+AD3</f>
        <v>8.9499999999999993</v>
      </c>
      <c r="AF3" s="77"/>
      <c r="AG3" s="94">
        <f t="shared" ref="AG3:AG74" si="18">SUMIF($BC$1:$CI$1,AG$1,$BC3:$CI3)+AF3</f>
        <v>0</v>
      </c>
      <c r="AH3" s="78"/>
      <c r="AI3" s="94">
        <f t="shared" ref="AI3:AI74" si="19">SUMIF($BC$1:$CI$1,AI$1,$BC3:$CI3)+AH3</f>
        <v>7.7333333333333343</v>
      </c>
      <c r="AJ3" s="77"/>
      <c r="AK3" s="94">
        <f t="shared" ref="AK3:AK74" si="20">SUMIF($BC$1:$CI$1,AK$1,$BC3:$CI3)+AJ3</f>
        <v>0</v>
      </c>
      <c r="AL3" s="78"/>
      <c r="AM3" s="94">
        <f t="shared" ref="AM3:AM74" si="21">SUMIF($BC$1:$CI$1,AM$1,$BC3:$CI3)+AL3</f>
        <v>0</v>
      </c>
      <c r="AN3" s="77"/>
      <c r="AO3" s="94">
        <f t="shared" ref="AO3:AO74" si="22">SUMIF($BC$1:$CI$1,AO$1,$BC3:$CI3)+AN3</f>
        <v>0</v>
      </c>
      <c r="AP3" s="95">
        <f t="shared" ref="AP3:AP74" si="23">CK3</f>
        <v>2</v>
      </c>
      <c r="AQ3" s="77"/>
      <c r="AR3" s="77"/>
      <c r="AS3" s="77"/>
      <c r="AT3" s="63">
        <f t="shared" ref="AT3:AT74" si="24">AE3+AG3+AI3+AK3+AM3+AO3+SUM(AQ3:AS3)</f>
        <v>16.683333333333334</v>
      </c>
      <c r="AU3" s="78"/>
      <c r="AV3" s="5"/>
      <c r="AW3" s="5"/>
      <c r="AX3" s="5"/>
      <c r="AY3" s="5"/>
      <c r="AZ3" s="24">
        <f>VLOOKUP(C3,Employees!D:I,6,FALSE)</f>
        <v>10282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0</v>
      </c>
      <c r="BG3" s="5">
        <f t="shared" ref="BG3:BG66" si="31">IF(BF3&gt;$AY$1,1,IF(BF3&gt;=$AX$1,0.5,0))</f>
        <v>0</v>
      </c>
      <c r="BH3" s="5">
        <f t="shared" ref="BH3:BH66" si="32">BF3-BG3-BI3-BJ3</f>
        <v>0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0</v>
      </c>
      <c r="BL3" s="5">
        <f t="shared" ref="BL3:BL66" si="36">IF(BK3&gt;$AY$1,1,IF(BK3&gt;=$AX$1,0.5,0))</f>
        <v>0</v>
      </c>
      <c r="BM3" s="5">
        <f t="shared" ref="BM3:BM66" si="37">BK3-BL3-BN3-BO3</f>
        <v>0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0</v>
      </c>
      <c r="BQ3" s="5">
        <f t="shared" ref="BQ3:BQ66" si="41">IF(BP3&gt;$AY$1,1,IF(BP3&gt;=$AX$1,0.5,0))</f>
        <v>0</v>
      </c>
      <c r="BR3" s="5">
        <f t="shared" ref="BR3:BR66" si="42">BP3-BQ3-BS3-BT3</f>
        <v>0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7.9499999999999993</v>
      </c>
      <c r="BV3" s="5">
        <f t="shared" ref="BV3:BV66" si="46">IF(BU3&gt;$AY$1,1,IF(BU3&gt;=$AX$1,0.5,0))</f>
        <v>0.5</v>
      </c>
      <c r="BW3" s="5">
        <f t="shared" ref="BW3:BW66" si="47">BU3-BV3-BX3-BY3</f>
        <v>7.4499999999999993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0</v>
      </c>
      <c r="CA3" s="5">
        <f t="shared" ref="CA3:CA66" si="51">IF(BZ3&gt;$AY$1,1,IF(BZ3&gt;=$AX$1,0.5,0))</f>
        <v>0</v>
      </c>
      <c r="CB3" s="5">
        <f t="shared" ref="CB3:CB66" si="52">BZ3-CA3-CC3-CD3</f>
        <v>0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8.2333333333333343</v>
      </c>
      <c r="CF3" s="5">
        <f t="shared" ref="CF3:CF66" si="56">IF(CE3&gt;$AY$1,1,IF(CE3&gt;=$AX$1,0.5,0))</f>
        <v>0.5</v>
      </c>
      <c r="CG3" s="5">
        <f t="shared" ref="CG3:CG66" si="57">CE3-CF3-CH3-CI3</f>
        <v>7.7333333333333343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2</v>
      </c>
    </row>
    <row r="4" spans="1:89" ht="47" customHeight="1">
      <c r="A4" s="74">
        <f t="shared" si="0"/>
        <v>10329</v>
      </c>
      <c r="B4" s="98" t="s">
        <v>27</v>
      </c>
      <c r="C4" s="101" t="s">
        <v>916</v>
      </c>
      <c r="D4" s="75"/>
      <c r="E4" s="75"/>
      <c r="F4" s="92">
        <f t="shared" si="9"/>
        <v>0</v>
      </c>
      <c r="G4" s="75"/>
      <c r="H4" s="75"/>
      <c r="I4" s="92">
        <f t="shared" si="10"/>
        <v>0</v>
      </c>
      <c r="J4" s="75">
        <v>0.375</v>
      </c>
      <c r="K4" s="75">
        <v>0.70833333333333337</v>
      </c>
      <c r="L4" s="92">
        <f t="shared" si="11"/>
        <v>7.5</v>
      </c>
      <c r="M4" s="76">
        <v>0.5</v>
      </c>
      <c r="N4" s="76">
        <v>0.8125</v>
      </c>
      <c r="O4" s="92">
        <f t="shared" si="12"/>
        <v>7</v>
      </c>
      <c r="P4" s="75"/>
      <c r="Q4" s="75"/>
      <c r="R4" s="92">
        <f t="shared" si="13"/>
        <v>0</v>
      </c>
      <c r="S4" s="75">
        <v>0.54375000000000007</v>
      </c>
      <c r="T4" s="75">
        <v>0.79166666666666663</v>
      </c>
      <c r="U4" s="92">
        <f t="shared" si="14"/>
        <v>5.4499999999999975</v>
      </c>
      <c r="V4" s="75"/>
      <c r="W4" s="75"/>
      <c r="X4" s="92">
        <f t="shared" si="15"/>
        <v>0</v>
      </c>
      <c r="Y4" s="92"/>
      <c r="Z4" s="92"/>
      <c r="AA4" s="92"/>
      <c r="AB4" s="96">
        <f t="shared" si="16"/>
        <v>19.949999999999996</v>
      </c>
      <c r="AC4" s="93"/>
      <c r="AD4" s="78"/>
      <c r="AE4" s="94">
        <f t="shared" si="17"/>
        <v>14.5</v>
      </c>
      <c r="AF4" s="77">
        <v>0.5</v>
      </c>
      <c r="AG4" s="94">
        <f t="shared" si="18"/>
        <v>5.9499999999999975</v>
      </c>
      <c r="AH4" s="78"/>
      <c r="AI4" s="94">
        <f t="shared" si="19"/>
        <v>0</v>
      </c>
      <c r="AJ4" s="77"/>
      <c r="AK4" s="94">
        <f t="shared" si="20"/>
        <v>0</v>
      </c>
      <c r="AL4" s="78"/>
      <c r="AM4" s="94">
        <f t="shared" si="21"/>
        <v>0</v>
      </c>
      <c r="AN4" s="77"/>
      <c r="AO4" s="94">
        <f t="shared" si="22"/>
        <v>0</v>
      </c>
      <c r="AP4" s="95">
        <f t="shared" si="23"/>
        <v>3</v>
      </c>
      <c r="AQ4" s="77"/>
      <c r="AR4" s="77"/>
      <c r="AS4" s="77"/>
      <c r="AT4" s="63">
        <f t="shared" si="24"/>
        <v>20.449999999999996</v>
      </c>
      <c r="AU4" s="78"/>
      <c r="AV4" s="5"/>
      <c r="AW4" s="5"/>
      <c r="AX4" s="5"/>
      <c r="AY4" s="5"/>
      <c r="AZ4" s="24">
        <f>VLOOKUP(C4,Employees!D:I,6,FALSE)</f>
        <v>10329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si="28"/>
        <v>0</v>
      </c>
      <c r="BE4" s="5">
        <f t="shared" si="29"/>
        <v>0</v>
      </c>
      <c r="BF4" s="5">
        <f t="shared" si="30"/>
        <v>0</v>
      </c>
      <c r="BG4" s="5">
        <f t="shared" si="31"/>
        <v>0</v>
      </c>
      <c r="BH4" s="5">
        <f t="shared" si="32"/>
        <v>0</v>
      </c>
      <c r="BI4" s="5">
        <f t="shared" si="33"/>
        <v>0</v>
      </c>
      <c r="BJ4" s="5">
        <f t="shared" si="34"/>
        <v>0</v>
      </c>
      <c r="BK4" s="5">
        <f t="shared" si="35"/>
        <v>8</v>
      </c>
      <c r="BL4" s="5">
        <f t="shared" si="36"/>
        <v>0.5</v>
      </c>
      <c r="BM4" s="5">
        <f t="shared" si="37"/>
        <v>7.5</v>
      </c>
      <c r="BN4" s="5">
        <f t="shared" si="38"/>
        <v>0</v>
      </c>
      <c r="BO4" s="5">
        <f t="shared" si="39"/>
        <v>0</v>
      </c>
      <c r="BP4" s="5">
        <f t="shared" si="40"/>
        <v>7.5</v>
      </c>
      <c r="BQ4" s="5">
        <f t="shared" si="41"/>
        <v>0.5</v>
      </c>
      <c r="BR4" s="5">
        <f t="shared" si="42"/>
        <v>7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5.9499999999999975</v>
      </c>
      <c r="CA4" s="5">
        <f t="shared" si="51"/>
        <v>0.5</v>
      </c>
      <c r="CB4" s="5">
        <f t="shared" si="52"/>
        <v>5.4499999999999975</v>
      </c>
      <c r="CC4" s="5">
        <f t="shared" si="53"/>
        <v>0</v>
      </c>
      <c r="CD4" s="5">
        <f t="shared" si="54"/>
        <v>0</v>
      </c>
      <c r="CE4" s="5">
        <f t="shared" si="55"/>
        <v>0</v>
      </c>
      <c r="CF4" s="5">
        <f t="shared" si="56"/>
        <v>0</v>
      </c>
      <c r="CG4" s="5">
        <f t="shared" si="57"/>
        <v>0</v>
      </c>
      <c r="CH4" s="5">
        <f t="shared" si="58"/>
        <v>0</v>
      </c>
      <c r="CI4" s="5">
        <f t="shared" si="59"/>
        <v>0</v>
      </c>
      <c r="CJ4" s="5"/>
      <c r="CK4" s="4">
        <f t="shared" si="8"/>
        <v>3</v>
      </c>
    </row>
    <row r="5" spans="1:89" ht="47" customHeight="1">
      <c r="A5" s="74">
        <f t="shared" si="0"/>
        <v>10389</v>
      </c>
      <c r="B5" s="98" t="s">
        <v>27</v>
      </c>
      <c r="C5" s="102" t="s">
        <v>1413</v>
      </c>
      <c r="D5" s="75"/>
      <c r="E5" s="75"/>
      <c r="F5" s="92">
        <f t="shared" si="9"/>
        <v>0</v>
      </c>
      <c r="G5" s="75">
        <v>0.50347222222222221</v>
      </c>
      <c r="H5" s="75">
        <v>0.79652777777777783</v>
      </c>
      <c r="I5" s="92">
        <f t="shared" si="10"/>
        <v>6.533333333333335</v>
      </c>
      <c r="J5" s="75"/>
      <c r="K5" s="75"/>
      <c r="L5" s="92">
        <f t="shared" si="11"/>
        <v>0</v>
      </c>
      <c r="M5" s="75"/>
      <c r="N5" s="75"/>
      <c r="O5" s="92">
        <f t="shared" si="12"/>
        <v>0</v>
      </c>
      <c r="P5" s="75"/>
      <c r="Q5" s="75"/>
      <c r="R5" s="92">
        <f t="shared" si="13"/>
        <v>0</v>
      </c>
      <c r="S5" s="76">
        <v>0.50416666666666665</v>
      </c>
      <c r="T5" s="76">
        <v>0.7944444444444444</v>
      </c>
      <c r="U5" s="92">
        <f t="shared" si="14"/>
        <v>6.4666666666666659</v>
      </c>
      <c r="V5" s="75"/>
      <c r="W5" s="75"/>
      <c r="X5" s="92">
        <f t="shared" si="15"/>
        <v>0</v>
      </c>
      <c r="Y5" s="92"/>
      <c r="Z5" s="92"/>
      <c r="AA5" s="92"/>
      <c r="AB5" s="96">
        <f t="shared" si="16"/>
        <v>13</v>
      </c>
      <c r="AC5" s="93"/>
      <c r="AD5" s="78"/>
      <c r="AE5" s="94">
        <f t="shared" si="17"/>
        <v>6.533333333333335</v>
      </c>
      <c r="AF5" s="78"/>
      <c r="AG5" s="94">
        <f t="shared" si="18"/>
        <v>6.4666666666666659</v>
      </c>
      <c r="AH5" s="78"/>
      <c r="AI5" s="94">
        <f t="shared" si="19"/>
        <v>0</v>
      </c>
      <c r="AJ5" s="77"/>
      <c r="AK5" s="94">
        <f t="shared" si="20"/>
        <v>0</v>
      </c>
      <c r="AL5" s="78"/>
      <c r="AM5" s="94">
        <f t="shared" si="21"/>
        <v>0</v>
      </c>
      <c r="AN5" s="77"/>
      <c r="AO5" s="94">
        <f t="shared" si="22"/>
        <v>0</v>
      </c>
      <c r="AP5" s="95">
        <f t="shared" si="23"/>
        <v>2</v>
      </c>
      <c r="AQ5" s="77"/>
      <c r="AR5" s="77"/>
      <c r="AS5" s="77"/>
      <c r="AT5" s="63">
        <f t="shared" si="24"/>
        <v>13</v>
      </c>
      <c r="AU5" s="78"/>
      <c r="AV5" s="5"/>
      <c r="AW5" s="5"/>
      <c r="AX5" s="5"/>
      <c r="AY5" s="5"/>
      <c r="AZ5" s="24">
        <f>VLOOKUP(C5,Employees!D:I,6,FALSE)</f>
        <v>10389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28"/>
        <v>0</v>
      </c>
      <c r="BE5" s="5">
        <f t="shared" si="29"/>
        <v>0</v>
      </c>
      <c r="BF5" s="5">
        <f t="shared" si="30"/>
        <v>7.033333333333335</v>
      </c>
      <c r="BG5" s="5">
        <f t="shared" si="31"/>
        <v>0.5</v>
      </c>
      <c r="BH5" s="5">
        <f t="shared" si="32"/>
        <v>6.533333333333335</v>
      </c>
      <c r="BI5" s="5">
        <f t="shared" si="33"/>
        <v>0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0</v>
      </c>
      <c r="BQ5" s="5">
        <f t="shared" si="41"/>
        <v>0</v>
      </c>
      <c r="BR5" s="5">
        <f t="shared" si="42"/>
        <v>0</v>
      </c>
      <c r="BS5" s="5">
        <f t="shared" si="43"/>
        <v>0</v>
      </c>
      <c r="BT5" s="5">
        <f t="shared" si="44"/>
        <v>0</v>
      </c>
      <c r="BU5" s="5">
        <f t="shared" si="45"/>
        <v>0</v>
      </c>
      <c r="BV5" s="5">
        <f t="shared" si="46"/>
        <v>0</v>
      </c>
      <c r="BW5" s="5">
        <f t="shared" si="47"/>
        <v>0</v>
      </c>
      <c r="BX5" s="5">
        <f t="shared" si="48"/>
        <v>0</v>
      </c>
      <c r="BY5" s="5">
        <f t="shared" si="49"/>
        <v>0</v>
      </c>
      <c r="BZ5" s="5">
        <f t="shared" si="50"/>
        <v>6.9666666666666659</v>
      </c>
      <c r="CA5" s="5">
        <f t="shared" si="51"/>
        <v>0.5</v>
      </c>
      <c r="CB5" s="5">
        <f t="shared" si="52"/>
        <v>6.4666666666666659</v>
      </c>
      <c r="CC5" s="5">
        <f t="shared" si="53"/>
        <v>0</v>
      </c>
      <c r="CD5" s="5">
        <f t="shared" si="54"/>
        <v>0</v>
      </c>
      <c r="CE5" s="5">
        <f t="shared" si="55"/>
        <v>0</v>
      </c>
      <c r="CF5" s="5">
        <f t="shared" si="56"/>
        <v>0</v>
      </c>
      <c r="CG5" s="5">
        <f t="shared" si="57"/>
        <v>0</v>
      </c>
      <c r="CH5" s="5">
        <f t="shared" si="58"/>
        <v>0</v>
      </c>
      <c r="CI5" s="5">
        <f t="shared" si="59"/>
        <v>0</v>
      </c>
      <c r="CJ5" s="5"/>
      <c r="CK5" s="4">
        <f t="shared" si="8"/>
        <v>2</v>
      </c>
    </row>
    <row r="6" spans="1:89" ht="47" customHeight="1">
      <c r="A6" s="74">
        <f t="shared" si="0"/>
        <v>210428</v>
      </c>
      <c r="B6" s="98" t="s">
        <v>27</v>
      </c>
      <c r="C6" s="103" t="s">
        <v>1174</v>
      </c>
      <c r="D6" s="75">
        <v>0.375</v>
      </c>
      <c r="E6" s="75">
        <v>0.70833333333333337</v>
      </c>
      <c r="F6" s="92">
        <f t="shared" si="9"/>
        <v>7.5</v>
      </c>
      <c r="G6" s="75">
        <v>0.375</v>
      </c>
      <c r="H6" s="75">
        <v>0.70833333333333337</v>
      </c>
      <c r="I6" s="92">
        <f t="shared" si="10"/>
        <v>7.5</v>
      </c>
      <c r="J6" s="76"/>
      <c r="K6" s="76"/>
      <c r="L6" s="92">
        <f t="shared" si="11"/>
        <v>0</v>
      </c>
      <c r="M6" s="76"/>
      <c r="N6" s="76"/>
      <c r="O6" s="92">
        <f t="shared" si="12"/>
        <v>0</v>
      </c>
      <c r="P6" s="75"/>
      <c r="Q6" s="75"/>
      <c r="R6" s="92">
        <f t="shared" si="13"/>
        <v>0</v>
      </c>
      <c r="S6" s="75"/>
      <c r="T6" s="75"/>
      <c r="U6" s="92">
        <f t="shared" si="14"/>
        <v>0</v>
      </c>
      <c r="V6" s="76">
        <v>0.5</v>
      </c>
      <c r="W6" s="76">
        <v>0.79861111111111116</v>
      </c>
      <c r="X6" s="92">
        <f t="shared" si="15"/>
        <v>6.6666666666666679</v>
      </c>
      <c r="Y6" s="92"/>
      <c r="Z6" s="92"/>
      <c r="AA6" s="92"/>
      <c r="AB6" s="96">
        <f t="shared" si="16"/>
        <v>21.666666666666668</v>
      </c>
      <c r="AC6" s="93"/>
      <c r="AD6" s="78"/>
      <c r="AE6" s="94">
        <f t="shared" si="17"/>
        <v>15</v>
      </c>
      <c r="AF6" s="78"/>
      <c r="AG6" s="94">
        <f t="shared" si="18"/>
        <v>0</v>
      </c>
      <c r="AH6" s="78"/>
      <c r="AI6" s="94">
        <f t="shared" si="19"/>
        <v>6.6666666666666679</v>
      </c>
      <c r="AJ6" s="77"/>
      <c r="AK6" s="94">
        <f t="shared" si="20"/>
        <v>0</v>
      </c>
      <c r="AL6" s="78"/>
      <c r="AM6" s="94">
        <f t="shared" si="21"/>
        <v>0</v>
      </c>
      <c r="AN6" s="77"/>
      <c r="AO6" s="94">
        <f t="shared" si="22"/>
        <v>0</v>
      </c>
      <c r="AP6" s="95">
        <f t="shared" si="23"/>
        <v>3</v>
      </c>
      <c r="AQ6" s="77"/>
      <c r="AR6" s="77"/>
      <c r="AS6" s="77"/>
      <c r="AT6" s="63">
        <f t="shared" si="24"/>
        <v>21.666666666666668</v>
      </c>
      <c r="AU6" s="78"/>
      <c r="AV6" s="5"/>
      <c r="AW6" s="5"/>
      <c r="AX6" s="5"/>
      <c r="AY6" s="5"/>
      <c r="AZ6" s="24">
        <f>VLOOKUP(C6,Employees!D:I,6,FALSE)</f>
        <v>210428</v>
      </c>
      <c r="BA6" s="5">
        <f t="shared" si="25"/>
        <v>8</v>
      </c>
      <c r="BB6" s="5">
        <f t="shared" si="26"/>
        <v>0.5</v>
      </c>
      <c r="BC6" s="5">
        <f t="shared" si="27"/>
        <v>7.5</v>
      </c>
      <c r="BD6" s="5">
        <f t="shared" si="28"/>
        <v>0</v>
      </c>
      <c r="BE6" s="5">
        <f t="shared" si="29"/>
        <v>0</v>
      </c>
      <c r="BF6" s="5">
        <f t="shared" si="30"/>
        <v>8</v>
      </c>
      <c r="BG6" s="5">
        <f t="shared" si="31"/>
        <v>0.5</v>
      </c>
      <c r="BH6" s="5">
        <f t="shared" si="32"/>
        <v>7.5</v>
      </c>
      <c r="BI6" s="5">
        <f t="shared" si="33"/>
        <v>0</v>
      </c>
      <c r="BJ6" s="5">
        <f t="shared" si="34"/>
        <v>0</v>
      </c>
      <c r="BK6" s="5">
        <f t="shared" si="35"/>
        <v>0</v>
      </c>
      <c r="BL6" s="5">
        <f t="shared" si="36"/>
        <v>0</v>
      </c>
      <c r="BM6" s="5">
        <f t="shared" si="37"/>
        <v>0</v>
      </c>
      <c r="BN6" s="5">
        <f t="shared" si="38"/>
        <v>0</v>
      </c>
      <c r="BO6" s="5">
        <f t="shared" si="39"/>
        <v>0</v>
      </c>
      <c r="BP6" s="5">
        <f t="shared" si="40"/>
        <v>0</v>
      </c>
      <c r="BQ6" s="5">
        <f t="shared" si="41"/>
        <v>0</v>
      </c>
      <c r="BR6" s="5">
        <f t="shared" si="42"/>
        <v>0</v>
      </c>
      <c r="BS6" s="5">
        <f t="shared" si="43"/>
        <v>0</v>
      </c>
      <c r="BT6" s="5">
        <f t="shared" si="44"/>
        <v>0</v>
      </c>
      <c r="BU6" s="5">
        <f t="shared" si="45"/>
        <v>0</v>
      </c>
      <c r="BV6" s="5">
        <f t="shared" si="46"/>
        <v>0</v>
      </c>
      <c r="BW6" s="5">
        <f t="shared" si="47"/>
        <v>0</v>
      </c>
      <c r="BX6" s="5">
        <f t="shared" si="48"/>
        <v>0</v>
      </c>
      <c r="BY6" s="5">
        <f t="shared" si="49"/>
        <v>0</v>
      </c>
      <c r="BZ6" s="5">
        <f t="shared" si="50"/>
        <v>0</v>
      </c>
      <c r="CA6" s="5">
        <f t="shared" si="51"/>
        <v>0</v>
      </c>
      <c r="CB6" s="5">
        <f t="shared" si="52"/>
        <v>0</v>
      </c>
      <c r="CC6" s="5">
        <f t="shared" si="53"/>
        <v>0</v>
      </c>
      <c r="CD6" s="5">
        <f t="shared" si="54"/>
        <v>0</v>
      </c>
      <c r="CE6" s="5">
        <f t="shared" si="55"/>
        <v>7.1666666666666679</v>
      </c>
      <c r="CF6" s="5">
        <f t="shared" si="56"/>
        <v>0.5</v>
      </c>
      <c r="CG6" s="5">
        <f t="shared" si="57"/>
        <v>6.6666666666666679</v>
      </c>
      <c r="CH6" s="5">
        <f t="shared" si="58"/>
        <v>0</v>
      </c>
      <c r="CI6" s="5">
        <f t="shared" si="59"/>
        <v>0</v>
      </c>
      <c r="CJ6" s="5"/>
      <c r="CK6" s="4">
        <f t="shared" si="8"/>
        <v>3</v>
      </c>
    </row>
    <row r="7" spans="1:89" ht="47" customHeight="1">
      <c r="A7" s="74">
        <f t="shared" si="0"/>
        <v>210429</v>
      </c>
      <c r="B7" s="98" t="s">
        <v>27</v>
      </c>
      <c r="C7" s="100" t="s">
        <v>1176</v>
      </c>
      <c r="D7" s="76"/>
      <c r="E7" s="75"/>
      <c r="F7" s="92">
        <f t="shared" si="9"/>
        <v>0</v>
      </c>
      <c r="G7" s="76"/>
      <c r="H7" s="76"/>
      <c r="I7" s="92">
        <f t="shared" si="10"/>
        <v>0</v>
      </c>
      <c r="J7" s="76"/>
      <c r="K7" s="76"/>
      <c r="L7" s="92">
        <f t="shared" si="11"/>
        <v>0</v>
      </c>
      <c r="M7" s="76"/>
      <c r="N7" s="76"/>
      <c r="O7" s="92">
        <f t="shared" si="12"/>
        <v>0</v>
      </c>
      <c r="P7" s="76"/>
      <c r="Q7" s="75"/>
      <c r="R7" s="92">
        <f t="shared" si="13"/>
        <v>0</v>
      </c>
      <c r="S7" s="76"/>
      <c r="T7" s="75"/>
      <c r="U7" s="92">
        <f t="shared" si="14"/>
        <v>0</v>
      </c>
      <c r="V7" s="75"/>
      <c r="W7" s="76"/>
      <c r="X7" s="92">
        <f t="shared" si="15"/>
        <v>0</v>
      </c>
      <c r="Y7" s="92"/>
      <c r="Z7" s="92"/>
      <c r="AA7" s="92"/>
      <c r="AB7" s="96">
        <f t="shared" si="16"/>
        <v>0</v>
      </c>
      <c r="AC7" s="93"/>
      <c r="AD7" s="78"/>
      <c r="AE7" s="94">
        <f t="shared" si="17"/>
        <v>0</v>
      </c>
      <c r="AF7" s="77"/>
      <c r="AG7" s="94">
        <f t="shared" si="18"/>
        <v>0</v>
      </c>
      <c r="AH7" s="78"/>
      <c r="AI7" s="94">
        <f t="shared" si="19"/>
        <v>0</v>
      </c>
      <c r="AJ7" s="77"/>
      <c r="AK7" s="94">
        <f t="shared" si="20"/>
        <v>0</v>
      </c>
      <c r="AL7" s="78"/>
      <c r="AM7" s="94">
        <f t="shared" si="21"/>
        <v>0</v>
      </c>
      <c r="AN7" s="77"/>
      <c r="AO7" s="94">
        <f t="shared" si="22"/>
        <v>0</v>
      </c>
      <c r="AP7" s="95">
        <f t="shared" si="23"/>
        <v>0</v>
      </c>
      <c r="AQ7" s="77"/>
      <c r="AR7" s="77"/>
      <c r="AS7" s="77"/>
      <c r="AT7" s="63">
        <f t="shared" si="24"/>
        <v>0</v>
      </c>
      <c r="AU7" s="78"/>
      <c r="AV7" s="5"/>
      <c r="AW7" s="5"/>
      <c r="AX7" s="5"/>
      <c r="AY7" s="5"/>
      <c r="AZ7" s="24">
        <f>VLOOKUP(C7,Employees!D:I,6,FALSE)</f>
        <v>210429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0</v>
      </c>
      <c r="BG7" s="5">
        <f t="shared" si="31"/>
        <v>0</v>
      </c>
      <c r="BH7" s="5">
        <f t="shared" si="32"/>
        <v>0</v>
      </c>
      <c r="BI7" s="5">
        <f t="shared" si="33"/>
        <v>0</v>
      </c>
      <c r="BJ7" s="5">
        <f t="shared" si="34"/>
        <v>0</v>
      </c>
      <c r="BK7" s="5">
        <f t="shared" si="35"/>
        <v>0</v>
      </c>
      <c r="BL7" s="5">
        <f t="shared" si="36"/>
        <v>0</v>
      </c>
      <c r="BM7" s="5">
        <f t="shared" si="37"/>
        <v>0</v>
      </c>
      <c r="BN7" s="5">
        <f t="shared" si="38"/>
        <v>0</v>
      </c>
      <c r="BO7" s="5">
        <f t="shared" si="39"/>
        <v>0</v>
      </c>
      <c r="BP7" s="5">
        <f t="shared" si="40"/>
        <v>0</v>
      </c>
      <c r="BQ7" s="5">
        <f t="shared" si="41"/>
        <v>0</v>
      </c>
      <c r="BR7" s="5">
        <f t="shared" si="42"/>
        <v>0</v>
      </c>
      <c r="BS7" s="5">
        <f t="shared" si="43"/>
        <v>0</v>
      </c>
      <c r="BT7" s="5">
        <f t="shared" si="44"/>
        <v>0</v>
      </c>
      <c r="BU7" s="5">
        <f t="shared" si="45"/>
        <v>0</v>
      </c>
      <c r="BV7" s="5">
        <f t="shared" si="46"/>
        <v>0</v>
      </c>
      <c r="BW7" s="5">
        <f t="shared" si="47"/>
        <v>0</v>
      </c>
      <c r="BX7" s="5">
        <f t="shared" si="48"/>
        <v>0</v>
      </c>
      <c r="BY7" s="5">
        <f t="shared" si="49"/>
        <v>0</v>
      </c>
      <c r="BZ7" s="5">
        <f t="shared" si="50"/>
        <v>0</v>
      </c>
      <c r="CA7" s="5">
        <f t="shared" si="51"/>
        <v>0</v>
      </c>
      <c r="CB7" s="5">
        <f t="shared" si="52"/>
        <v>0</v>
      </c>
      <c r="CC7" s="5">
        <f t="shared" si="53"/>
        <v>0</v>
      </c>
      <c r="CD7" s="5">
        <f t="shared" si="54"/>
        <v>0</v>
      </c>
      <c r="CE7" s="5">
        <f t="shared" si="55"/>
        <v>0</v>
      </c>
      <c r="CF7" s="5">
        <f t="shared" si="56"/>
        <v>0</v>
      </c>
      <c r="CG7" s="5">
        <f t="shared" si="57"/>
        <v>0</v>
      </c>
      <c r="CH7" s="5">
        <f t="shared" si="58"/>
        <v>0</v>
      </c>
      <c r="CI7" s="5">
        <f t="shared" si="59"/>
        <v>0</v>
      </c>
      <c r="CJ7" s="5"/>
      <c r="CK7" s="4">
        <f t="shared" si="8"/>
        <v>0</v>
      </c>
    </row>
    <row r="8" spans="1:89" ht="47" customHeight="1">
      <c r="A8" s="74">
        <f t="shared" si="0"/>
        <v>210507</v>
      </c>
      <c r="B8" s="98" t="s">
        <v>27</v>
      </c>
      <c r="C8" s="102" t="s">
        <v>1414</v>
      </c>
      <c r="D8" s="76">
        <v>0.5</v>
      </c>
      <c r="E8" s="76">
        <v>0.80972222222222223</v>
      </c>
      <c r="F8" s="92">
        <f t="shared" si="9"/>
        <v>6.9333333333333336</v>
      </c>
      <c r="G8" s="76"/>
      <c r="H8" s="75"/>
      <c r="I8" s="92">
        <f t="shared" si="10"/>
        <v>0</v>
      </c>
      <c r="J8" s="76">
        <v>0.5</v>
      </c>
      <c r="K8" s="76">
        <v>0.80694444444444446</v>
      </c>
      <c r="L8" s="92">
        <f t="shared" si="11"/>
        <v>6.8666666666666671</v>
      </c>
      <c r="M8" s="76"/>
      <c r="N8" s="75"/>
      <c r="O8" s="92">
        <f t="shared" si="12"/>
        <v>0</v>
      </c>
      <c r="P8" s="76">
        <v>0.5</v>
      </c>
      <c r="Q8" s="76">
        <v>0.8125</v>
      </c>
      <c r="R8" s="92">
        <f t="shared" si="13"/>
        <v>7</v>
      </c>
      <c r="S8" s="76"/>
      <c r="T8" s="76"/>
      <c r="U8" s="92">
        <f t="shared" si="14"/>
        <v>0</v>
      </c>
      <c r="V8" s="75">
        <v>0.58333333333333337</v>
      </c>
      <c r="W8" s="76">
        <v>0.79166666666666663</v>
      </c>
      <c r="X8" s="92">
        <f t="shared" si="15"/>
        <v>4.9999999999999982</v>
      </c>
      <c r="Y8" s="92"/>
      <c r="Z8" s="92"/>
      <c r="AA8" s="92"/>
      <c r="AB8" s="96">
        <f t="shared" si="16"/>
        <v>25.799999999999997</v>
      </c>
      <c r="AC8" s="93"/>
      <c r="AD8" s="78"/>
      <c r="AE8" s="94">
        <f t="shared" si="17"/>
        <v>20.8</v>
      </c>
      <c r="AF8" s="77"/>
      <c r="AG8" s="94">
        <f t="shared" si="18"/>
        <v>0</v>
      </c>
      <c r="AH8" s="78"/>
      <c r="AI8" s="94">
        <f t="shared" si="19"/>
        <v>4.9999999999999982</v>
      </c>
      <c r="AJ8" s="77"/>
      <c r="AK8" s="94">
        <f t="shared" si="20"/>
        <v>0</v>
      </c>
      <c r="AL8" s="78"/>
      <c r="AM8" s="94">
        <f t="shared" si="21"/>
        <v>0</v>
      </c>
      <c r="AN8" s="77"/>
      <c r="AO8" s="94">
        <f t="shared" si="22"/>
        <v>0</v>
      </c>
      <c r="AP8" s="95">
        <f t="shared" si="23"/>
        <v>4</v>
      </c>
      <c r="AQ8" s="77"/>
      <c r="AR8" s="77"/>
      <c r="AS8" s="77"/>
      <c r="AT8" s="63">
        <f t="shared" si="24"/>
        <v>25.799999999999997</v>
      </c>
      <c r="AU8" s="78"/>
      <c r="AV8" s="5"/>
      <c r="AW8" s="5"/>
      <c r="AX8" s="5"/>
      <c r="AY8" s="5"/>
      <c r="AZ8" s="24">
        <f>VLOOKUP(C8,Employees!D:I,6,FALSE)</f>
        <v>210507</v>
      </c>
      <c r="BA8" s="5">
        <f t="shared" si="25"/>
        <v>7.4333333333333336</v>
      </c>
      <c r="BB8" s="5">
        <f t="shared" si="26"/>
        <v>0.5</v>
      </c>
      <c r="BC8" s="5">
        <f t="shared" si="27"/>
        <v>6.9333333333333336</v>
      </c>
      <c r="BD8" s="5">
        <f t="shared" si="28"/>
        <v>0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7.3666666666666671</v>
      </c>
      <c r="BL8" s="5">
        <f t="shared" si="36"/>
        <v>0.5</v>
      </c>
      <c r="BM8" s="5">
        <f t="shared" si="37"/>
        <v>6.8666666666666671</v>
      </c>
      <c r="BN8" s="5">
        <f t="shared" si="38"/>
        <v>0</v>
      </c>
      <c r="BO8" s="5">
        <f t="shared" si="39"/>
        <v>0</v>
      </c>
      <c r="BP8" s="5">
        <f t="shared" si="40"/>
        <v>0</v>
      </c>
      <c r="BQ8" s="5">
        <f t="shared" si="41"/>
        <v>0</v>
      </c>
      <c r="BR8" s="5">
        <f t="shared" si="42"/>
        <v>0</v>
      </c>
      <c r="BS8" s="5">
        <f t="shared" si="43"/>
        <v>0</v>
      </c>
      <c r="BT8" s="5">
        <f t="shared" si="44"/>
        <v>0</v>
      </c>
      <c r="BU8" s="5">
        <f t="shared" si="45"/>
        <v>7.5</v>
      </c>
      <c r="BV8" s="5">
        <f t="shared" si="46"/>
        <v>0.5</v>
      </c>
      <c r="BW8" s="5">
        <f t="shared" si="47"/>
        <v>7</v>
      </c>
      <c r="BX8" s="5">
        <f t="shared" si="48"/>
        <v>0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4.9999999999999982</v>
      </c>
      <c r="CF8" s="5">
        <f t="shared" si="56"/>
        <v>0</v>
      </c>
      <c r="CG8" s="5">
        <f t="shared" si="57"/>
        <v>4.9999999999999982</v>
      </c>
      <c r="CH8" s="5">
        <f t="shared" si="58"/>
        <v>0</v>
      </c>
      <c r="CI8" s="5">
        <f t="shared" si="59"/>
        <v>0</v>
      </c>
      <c r="CJ8" s="5"/>
      <c r="CK8" s="4">
        <f t="shared" si="8"/>
        <v>4</v>
      </c>
    </row>
    <row r="9" spans="1:89" ht="47" customHeight="1">
      <c r="A9" s="74" t="str">
        <f t="shared" si="0"/>
        <v/>
      </c>
      <c r="B9" s="81"/>
      <c r="C9" s="86"/>
      <c r="D9" s="76"/>
      <c r="E9" s="75"/>
      <c r="F9" s="92">
        <f t="shared" si="9"/>
        <v>0</v>
      </c>
      <c r="G9" s="75"/>
      <c r="H9" s="76"/>
      <c r="I9" s="92">
        <f t="shared" si="10"/>
        <v>0</v>
      </c>
      <c r="J9" s="76"/>
      <c r="K9" s="76"/>
      <c r="L9" s="92">
        <f t="shared" si="11"/>
        <v>0</v>
      </c>
      <c r="M9" s="75"/>
      <c r="N9" s="75"/>
      <c r="O9" s="92">
        <f t="shared" si="12"/>
        <v>0</v>
      </c>
      <c r="P9" s="76"/>
      <c r="Q9" s="75"/>
      <c r="R9" s="92">
        <f t="shared" si="13"/>
        <v>0</v>
      </c>
      <c r="S9" s="76"/>
      <c r="T9" s="75"/>
      <c r="U9" s="92">
        <f t="shared" si="14"/>
        <v>0</v>
      </c>
      <c r="V9" s="75"/>
      <c r="W9" s="76"/>
      <c r="X9" s="92">
        <f t="shared" si="15"/>
        <v>0</v>
      </c>
      <c r="Y9" s="92"/>
      <c r="Z9" s="92"/>
      <c r="AA9" s="92"/>
      <c r="AB9" s="96">
        <f t="shared" si="16"/>
        <v>0</v>
      </c>
      <c r="AC9" s="93"/>
      <c r="AD9" s="78"/>
      <c r="AE9" s="94">
        <f t="shared" si="17"/>
        <v>0</v>
      </c>
      <c r="AF9" s="77"/>
      <c r="AG9" s="94">
        <f t="shared" si="18"/>
        <v>0</v>
      </c>
      <c r="AH9" s="78"/>
      <c r="AI9" s="94">
        <f t="shared" si="19"/>
        <v>0</v>
      </c>
      <c r="AJ9" s="77"/>
      <c r="AK9" s="94">
        <f t="shared" si="20"/>
        <v>0</v>
      </c>
      <c r="AL9" s="78"/>
      <c r="AM9" s="94">
        <f t="shared" si="21"/>
        <v>0</v>
      </c>
      <c r="AN9" s="77"/>
      <c r="AO9" s="94">
        <f t="shared" si="22"/>
        <v>0</v>
      </c>
      <c r="AP9" s="95">
        <f t="shared" si="23"/>
        <v>0</v>
      </c>
      <c r="AQ9" s="77"/>
      <c r="AR9" s="77"/>
      <c r="AS9" s="77"/>
      <c r="AT9" s="63">
        <f t="shared" si="24"/>
        <v>0</v>
      </c>
      <c r="AU9" s="78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0</v>
      </c>
    </row>
    <row r="10" spans="1:89" ht="47" customHeight="1">
      <c r="A10" s="74" t="str">
        <f t="shared" si="0"/>
        <v/>
      </c>
      <c r="B10" s="81"/>
      <c r="C10" s="86"/>
      <c r="D10" s="76"/>
      <c r="E10" s="75"/>
      <c r="F10" s="92">
        <f t="shared" si="9"/>
        <v>0</v>
      </c>
      <c r="G10" s="75"/>
      <c r="H10" s="76"/>
      <c r="I10" s="92">
        <f t="shared" si="10"/>
        <v>0</v>
      </c>
      <c r="J10" s="76"/>
      <c r="K10" s="76"/>
      <c r="L10" s="92">
        <f t="shared" si="11"/>
        <v>0</v>
      </c>
      <c r="M10" s="75"/>
      <c r="N10" s="75"/>
      <c r="O10" s="92">
        <f t="shared" si="12"/>
        <v>0</v>
      </c>
      <c r="P10" s="76"/>
      <c r="Q10" s="75"/>
      <c r="R10" s="92">
        <f t="shared" si="13"/>
        <v>0</v>
      </c>
      <c r="S10" s="76"/>
      <c r="T10" s="75"/>
      <c r="U10" s="92">
        <f t="shared" si="14"/>
        <v>0</v>
      </c>
      <c r="V10" s="75"/>
      <c r="W10" s="76"/>
      <c r="X10" s="92">
        <f t="shared" si="15"/>
        <v>0</v>
      </c>
      <c r="Y10" s="92"/>
      <c r="Z10" s="92"/>
      <c r="AA10" s="92"/>
      <c r="AB10" s="96">
        <f t="shared" si="16"/>
        <v>0</v>
      </c>
      <c r="AC10" s="93"/>
      <c r="AD10" s="78"/>
      <c r="AE10" s="94">
        <f t="shared" si="17"/>
        <v>0</v>
      </c>
      <c r="AF10" s="77"/>
      <c r="AG10" s="94">
        <f t="shared" si="18"/>
        <v>0</v>
      </c>
      <c r="AH10" s="78"/>
      <c r="AI10" s="94">
        <f t="shared" si="19"/>
        <v>0</v>
      </c>
      <c r="AJ10" s="77"/>
      <c r="AK10" s="94">
        <f t="shared" si="20"/>
        <v>0</v>
      </c>
      <c r="AL10" s="78"/>
      <c r="AM10" s="94">
        <f t="shared" si="21"/>
        <v>0</v>
      </c>
      <c r="AN10" s="77"/>
      <c r="AO10" s="94">
        <f t="shared" si="22"/>
        <v>0</v>
      </c>
      <c r="AP10" s="95">
        <f t="shared" si="23"/>
        <v>0</v>
      </c>
      <c r="AQ10" s="77"/>
      <c r="AR10" s="77"/>
      <c r="AS10" s="77"/>
      <c r="AT10" s="63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0</v>
      </c>
    </row>
    <row r="11" spans="1:89" ht="47" customHeight="1">
      <c r="A11" s="74" t="str">
        <f t="shared" si="0"/>
        <v/>
      </c>
      <c r="B11" s="81"/>
      <c r="C11" s="86"/>
      <c r="D11" s="76"/>
      <c r="E11" s="75"/>
      <c r="F11" s="92">
        <f t="shared" si="9"/>
        <v>0</v>
      </c>
      <c r="G11" s="75"/>
      <c r="H11" s="76"/>
      <c r="I11" s="92">
        <f t="shared" si="10"/>
        <v>0</v>
      </c>
      <c r="J11" s="76"/>
      <c r="K11" s="76"/>
      <c r="L11" s="92">
        <f t="shared" si="11"/>
        <v>0</v>
      </c>
      <c r="M11" s="75"/>
      <c r="N11" s="75"/>
      <c r="O11" s="92">
        <f t="shared" si="12"/>
        <v>0</v>
      </c>
      <c r="P11" s="76"/>
      <c r="Q11" s="75"/>
      <c r="R11" s="92">
        <f t="shared" si="13"/>
        <v>0</v>
      </c>
      <c r="S11" s="76"/>
      <c r="T11" s="75"/>
      <c r="U11" s="92">
        <f t="shared" si="14"/>
        <v>0</v>
      </c>
      <c r="V11" s="75"/>
      <c r="W11" s="76"/>
      <c r="X11" s="92">
        <f t="shared" si="15"/>
        <v>0</v>
      </c>
      <c r="Y11" s="92"/>
      <c r="Z11" s="92"/>
      <c r="AA11" s="92"/>
      <c r="AB11" s="96">
        <f t="shared" si="16"/>
        <v>0</v>
      </c>
      <c r="AC11" s="93"/>
      <c r="AD11" s="78"/>
      <c r="AE11" s="94">
        <f t="shared" si="17"/>
        <v>0</v>
      </c>
      <c r="AF11" s="77"/>
      <c r="AG11" s="94">
        <f t="shared" si="18"/>
        <v>0</v>
      </c>
      <c r="AH11" s="78"/>
      <c r="AI11" s="94">
        <f t="shared" si="19"/>
        <v>0</v>
      </c>
      <c r="AJ11" s="77"/>
      <c r="AK11" s="94">
        <f t="shared" si="20"/>
        <v>0</v>
      </c>
      <c r="AL11" s="78"/>
      <c r="AM11" s="94">
        <f t="shared" si="21"/>
        <v>0</v>
      </c>
      <c r="AN11" s="77"/>
      <c r="AO11" s="94">
        <f t="shared" si="22"/>
        <v>0</v>
      </c>
      <c r="AP11" s="95">
        <f t="shared" si="23"/>
        <v>0</v>
      </c>
      <c r="AQ11" s="77"/>
      <c r="AR11" s="77"/>
      <c r="AS11" s="77"/>
      <c r="AT11" s="63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0</v>
      </c>
    </row>
    <row r="12" spans="1:89" ht="47" customHeight="1">
      <c r="A12" s="74" t="str">
        <f t="shared" si="0"/>
        <v/>
      </c>
      <c r="B12" s="81"/>
      <c r="C12" s="86"/>
      <c r="D12" s="76"/>
      <c r="E12" s="75"/>
      <c r="F12" s="92">
        <f t="shared" si="9"/>
        <v>0</v>
      </c>
      <c r="G12" s="75"/>
      <c r="H12" s="76"/>
      <c r="I12" s="92">
        <f t="shared" si="10"/>
        <v>0</v>
      </c>
      <c r="J12" s="76"/>
      <c r="K12" s="76"/>
      <c r="L12" s="92">
        <f t="shared" si="11"/>
        <v>0</v>
      </c>
      <c r="M12" s="75"/>
      <c r="N12" s="75"/>
      <c r="O12" s="92">
        <f t="shared" si="12"/>
        <v>0</v>
      </c>
      <c r="P12" s="76"/>
      <c r="Q12" s="75"/>
      <c r="R12" s="92">
        <f t="shared" si="13"/>
        <v>0</v>
      </c>
      <c r="S12" s="76"/>
      <c r="T12" s="75"/>
      <c r="U12" s="92">
        <f t="shared" si="14"/>
        <v>0</v>
      </c>
      <c r="V12" s="75"/>
      <c r="W12" s="76"/>
      <c r="X12" s="92">
        <f t="shared" si="15"/>
        <v>0</v>
      </c>
      <c r="Y12" s="92"/>
      <c r="Z12" s="92"/>
      <c r="AA12" s="92"/>
      <c r="AB12" s="96">
        <f t="shared" si="16"/>
        <v>0</v>
      </c>
      <c r="AC12" s="93"/>
      <c r="AD12" s="78"/>
      <c r="AE12" s="94">
        <f t="shared" si="17"/>
        <v>0</v>
      </c>
      <c r="AF12" s="77"/>
      <c r="AG12" s="94">
        <f t="shared" si="18"/>
        <v>0</v>
      </c>
      <c r="AH12" s="77"/>
      <c r="AI12" s="94">
        <f t="shared" si="19"/>
        <v>0</v>
      </c>
      <c r="AJ12" s="77"/>
      <c r="AK12" s="94">
        <f t="shared" si="20"/>
        <v>0</v>
      </c>
      <c r="AL12" s="78"/>
      <c r="AM12" s="94">
        <f t="shared" si="21"/>
        <v>0</v>
      </c>
      <c r="AN12" s="77"/>
      <c r="AO12" s="94">
        <f t="shared" si="22"/>
        <v>0</v>
      </c>
      <c r="AP12" s="95">
        <f t="shared" si="23"/>
        <v>0</v>
      </c>
      <c r="AQ12" s="77"/>
      <c r="AR12" s="77"/>
      <c r="AS12" s="77"/>
      <c r="AT12" s="63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4" t="str">
        <f t="shared" si="0"/>
        <v/>
      </c>
      <c r="B13" s="81"/>
      <c r="C13" s="86"/>
      <c r="D13" s="76"/>
      <c r="E13" s="75"/>
      <c r="F13" s="92">
        <f t="shared" si="9"/>
        <v>0</v>
      </c>
      <c r="G13" s="75"/>
      <c r="H13" s="76"/>
      <c r="I13" s="92">
        <f t="shared" si="10"/>
        <v>0</v>
      </c>
      <c r="J13" s="76"/>
      <c r="K13" s="76"/>
      <c r="L13" s="92">
        <f t="shared" si="11"/>
        <v>0</v>
      </c>
      <c r="M13" s="75"/>
      <c r="N13" s="75"/>
      <c r="O13" s="92">
        <f t="shared" si="12"/>
        <v>0</v>
      </c>
      <c r="P13" s="76"/>
      <c r="Q13" s="75"/>
      <c r="R13" s="92">
        <f t="shared" si="13"/>
        <v>0</v>
      </c>
      <c r="S13" s="76"/>
      <c r="T13" s="75"/>
      <c r="U13" s="92">
        <f t="shared" si="14"/>
        <v>0</v>
      </c>
      <c r="V13" s="75"/>
      <c r="W13" s="76"/>
      <c r="X13" s="92">
        <f t="shared" si="15"/>
        <v>0</v>
      </c>
      <c r="Y13" s="92"/>
      <c r="Z13" s="92"/>
      <c r="AA13" s="92"/>
      <c r="AB13" s="96">
        <f t="shared" si="16"/>
        <v>0</v>
      </c>
      <c r="AC13" s="93"/>
      <c r="AD13" s="77"/>
      <c r="AE13" s="94">
        <f t="shared" si="17"/>
        <v>0</v>
      </c>
      <c r="AF13" s="77"/>
      <c r="AG13" s="94">
        <f t="shared" si="18"/>
        <v>0</v>
      </c>
      <c r="AH13" s="77"/>
      <c r="AI13" s="94">
        <f t="shared" si="19"/>
        <v>0</v>
      </c>
      <c r="AJ13" s="77"/>
      <c r="AK13" s="94">
        <f t="shared" si="20"/>
        <v>0</v>
      </c>
      <c r="AL13" s="78"/>
      <c r="AM13" s="94">
        <f t="shared" si="21"/>
        <v>0</v>
      </c>
      <c r="AN13" s="77"/>
      <c r="AO13" s="94">
        <f t="shared" si="22"/>
        <v>0</v>
      </c>
      <c r="AP13" s="95">
        <f t="shared" si="23"/>
        <v>0</v>
      </c>
      <c r="AQ13" s="77"/>
      <c r="AR13" s="77"/>
      <c r="AS13" s="77"/>
      <c r="AT13" s="63">
        <f t="shared" si="24"/>
        <v>0</v>
      </c>
      <c r="AU13" s="77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4" t="str">
        <f t="shared" si="0"/>
        <v/>
      </c>
      <c r="B14" s="81"/>
      <c r="C14" s="86"/>
      <c r="D14" s="76"/>
      <c r="E14" s="75"/>
      <c r="F14" s="92">
        <f t="shared" si="9"/>
        <v>0</v>
      </c>
      <c r="G14" s="75"/>
      <c r="H14" s="76"/>
      <c r="I14" s="92">
        <f t="shared" si="10"/>
        <v>0</v>
      </c>
      <c r="J14" s="76"/>
      <c r="K14" s="76"/>
      <c r="L14" s="92">
        <f t="shared" si="11"/>
        <v>0</v>
      </c>
      <c r="M14" s="75"/>
      <c r="N14" s="75"/>
      <c r="O14" s="92">
        <f t="shared" si="12"/>
        <v>0</v>
      </c>
      <c r="P14" s="76"/>
      <c r="Q14" s="75"/>
      <c r="R14" s="92">
        <f t="shared" si="13"/>
        <v>0</v>
      </c>
      <c r="S14" s="76"/>
      <c r="T14" s="75"/>
      <c r="U14" s="92">
        <f t="shared" si="14"/>
        <v>0</v>
      </c>
      <c r="V14" s="75"/>
      <c r="W14" s="76"/>
      <c r="X14" s="92">
        <f t="shared" si="15"/>
        <v>0</v>
      </c>
      <c r="Y14" s="92"/>
      <c r="Z14" s="92"/>
      <c r="AA14" s="92"/>
      <c r="AB14" s="96">
        <f t="shared" si="16"/>
        <v>0</v>
      </c>
      <c r="AC14" s="93"/>
      <c r="AD14" s="77"/>
      <c r="AE14" s="94">
        <f t="shared" si="17"/>
        <v>0</v>
      </c>
      <c r="AF14" s="77"/>
      <c r="AG14" s="94">
        <f t="shared" si="18"/>
        <v>0</v>
      </c>
      <c r="AH14" s="77"/>
      <c r="AI14" s="94">
        <f t="shared" si="19"/>
        <v>0</v>
      </c>
      <c r="AJ14" s="77"/>
      <c r="AK14" s="94">
        <f t="shared" si="20"/>
        <v>0</v>
      </c>
      <c r="AL14" s="78"/>
      <c r="AM14" s="94">
        <f t="shared" si="21"/>
        <v>0</v>
      </c>
      <c r="AN14" s="77"/>
      <c r="AO14" s="94">
        <f t="shared" si="22"/>
        <v>0</v>
      </c>
      <c r="AP14" s="95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7"/>
      <c r="D15" s="76"/>
      <c r="E15" s="75"/>
      <c r="F15" s="92">
        <f t="shared" si="9"/>
        <v>0</v>
      </c>
      <c r="G15" s="75"/>
      <c r="H15" s="76"/>
      <c r="I15" s="92">
        <f t="shared" si="10"/>
        <v>0</v>
      </c>
      <c r="J15" s="76"/>
      <c r="K15" s="76"/>
      <c r="L15" s="92">
        <f t="shared" si="11"/>
        <v>0</v>
      </c>
      <c r="M15" s="75"/>
      <c r="N15" s="75"/>
      <c r="O15" s="92">
        <f t="shared" si="12"/>
        <v>0</v>
      </c>
      <c r="P15" s="76"/>
      <c r="Q15" s="75"/>
      <c r="R15" s="92">
        <f t="shared" si="13"/>
        <v>0</v>
      </c>
      <c r="S15" s="76"/>
      <c r="T15" s="75"/>
      <c r="U15" s="92">
        <f t="shared" si="14"/>
        <v>0</v>
      </c>
      <c r="V15" s="75"/>
      <c r="W15" s="76"/>
      <c r="X15" s="92">
        <f t="shared" si="15"/>
        <v>0</v>
      </c>
      <c r="Y15" s="92"/>
      <c r="Z15" s="92"/>
      <c r="AA15" s="92"/>
      <c r="AB15" s="96">
        <f t="shared" si="16"/>
        <v>0</v>
      </c>
      <c r="AC15" s="93"/>
      <c r="AD15" s="77"/>
      <c r="AE15" s="94">
        <f t="shared" si="17"/>
        <v>0</v>
      </c>
      <c r="AF15" s="77"/>
      <c r="AG15" s="94">
        <f t="shared" si="18"/>
        <v>0</v>
      </c>
      <c r="AH15" s="77"/>
      <c r="AI15" s="94">
        <f t="shared" si="19"/>
        <v>0</v>
      </c>
      <c r="AJ15" s="77"/>
      <c r="AK15" s="94">
        <f t="shared" si="20"/>
        <v>0</v>
      </c>
      <c r="AL15" s="78"/>
      <c r="AM15" s="94">
        <f t="shared" si="21"/>
        <v>0</v>
      </c>
      <c r="AN15" s="77"/>
      <c r="AO15" s="94">
        <f t="shared" si="22"/>
        <v>0</v>
      </c>
      <c r="AP15" s="95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7"/>
      <c r="D16" s="76"/>
      <c r="E16" s="75"/>
      <c r="F16" s="92">
        <f t="shared" si="9"/>
        <v>0</v>
      </c>
      <c r="G16" s="75"/>
      <c r="H16" s="76"/>
      <c r="I16" s="92">
        <f>BF16-BG16</f>
        <v>0</v>
      </c>
      <c r="J16" s="76"/>
      <c r="K16" s="76"/>
      <c r="L16" s="92">
        <f t="shared" si="11"/>
        <v>0</v>
      </c>
      <c r="M16" s="75"/>
      <c r="N16" s="75"/>
      <c r="O16" s="92">
        <f t="shared" si="12"/>
        <v>0</v>
      </c>
      <c r="P16" s="76"/>
      <c r="Q16" s="75"/>
      <c r="R16" s="92">
        <f t="shared" si="13"/>
        <v>0</v>
      </c>
      <c r="S16" s="76"/>
      <c r="T16" s="75"/>
      <c r="U16" s="92">
        <f t="shared" si="14"/>
        <v>0</v>
      </c>
      <c r="V16" s="75"/>
      <c r="W16" s="76"/>
      <c r="X16" s="92">
        <f t="shared" si="15"/>
        <v>0</v>
      </c>
      <c r="Y16" s="92"/>
      <c r="Z16" s="92"/>
      <c r="AA16" s="92"/>
      <c r="AB16" s="96">
        <f t="shared" si="16"/>
        <v>0</v>
      </c>
      <c r="AC16" s="93"/>
      <c r="AD16" s="77"/>
      <c r="AE16" s="94">
        <f t="shared" si="17"/>
        <v>0</v>
      </c>
      <c r="AF16" s="77"/>
      <c r="AG16" s="94">
        <f t="shared" si="18"/>
        <v>0</v>
      </c>
      <c r="AH16" s="77"/>
      <c r="AI16" s="94">
        <f t="shared" si="19"/>
        <v>0</v>
      </c>
      <c r="AJ16" s="77"/>
      <c r="AK16" s="94">
        <f t="shared" si="20"/>
        <v>0</v>
      </c>
      <c r="AL16" s="78"/>
      <c r="AM16" s="94">
        <f t="shared" si="21"/>
        <v>0</v>
      </c>
      <c r="AN16" s="77"/>
      <c r="AO16" s="94">
        <f t="shared" si="22"/>
        <v>0</v>
      </c>
      <c r="AP16" s="95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76"/>
      <c r="E17" s="75"/>
      <c r="F17" s="92">
        <f t="shared" si="9"/>
        <v>0</v>
      </c>
      <c r="G17" s="75"/>
      <c r="H17" s="76"/>
      <c r="I17" s="92">
        <f t="shared" si="10"/>
        <v>0</v>
      </c>
      <c r="J17" s="76"/>
      <c r="K17" s="76"/>
      <c r="L17" s="92">
        <f t="shared" si="11"/>
        <v>0</v>
      </c>
      <c r="M17" s="75"/>
      <c r="N17" s="75"/>
      <c r="O17" s="92">
        <f t="shared" si="12"/>
        <v>0</v>
      </c>
      <c r="P17" s="76"/>
      <c r="Q17" s="75"/>
      <c r="R17" s="92">
        <f t="shared" si="13"/>
        <v>0</v>
      </c>
      <c r="S17" s="76"/>
      <c r="T17" s="75"/>
      <c r="U17" s="92">
        <f t="shared" si="14"/>
        <v>0</v>
      </c>
      <c r="V17" s="75"/>
      <c r="W17" s="76"/>
      <c r="X17" s="92">
        <f t="shared" si="15"/>
        <v>0</v>
      </c>
      <c r="Y17" s="92"/>
      <c r="Z17" s="92"/>
      <c r="AA17" s="92"/>
      <c r="AB17" s="96">
        <f t="shared" si="16"/>
        <v>0</v>
      </c>
      <c r="AC17" s="93"/>
      <c r="AD17" s="77"/>
      <c r="AE17" s="94">
        <f t="shared" si="17"/>
        <v>0</v>
      </c>
      <c r="AF17" s="77"/>
      <c r="AG17" s="94">
        <f t="shared" si="18"/>
        <v>0</v>
      </c>
      <c r="AH17" s="77"/>
      <c r="AI17" s="94">
        <f t="shared" si="19"/>
        <v>0</v>
      </c>
      <c r="AJ17" s="77"/>
      <c r="AK17" s="94">
        <f t="shared" si="20"/>
        <v>0</v>
      </c>
      <c r="AL17" s="78"/>
      <c r="AM17" s="94">
        <f t="shared" si="21"/>
        <v>0</v>
      </c>
      <c r="AN17" s="77"/>
      <c r="AO17" s="94">
        <f t="shared" si="22"/>
        <v>0</v>
      </c>
      <c r="AP17" s="95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76"/>
      <c r="E18" s="75"/>
      <c r="F18" s="92">
        <f t="shared" si="9"/>
        <v>0</v>
      </c>
      <c r="G18" s="75"/>
      <c r="H18" s="76"/>
      <c r="I18" s="92">
        <f t="shared" si="10"/>
        <v>0</v>
      </c>
      <c r="J18" s="76"/>
      <c r="K18" s="76"/>
      <c r="L18" s="92">
        <f t="shared" si="11"/>
        <v>0</v>
      </c>
      <c r="M18" s="75"/>
      <c r="N18" s="75"/>
      <c r="O18" s="92">
        <f t="shared" si="12"/>
        <v>0</v>
      </c>
      <c r="P18" s="76"/>
      <c r="Q18" s="75"/>
      <c r="R18" s="92">
        <f t="shared" si="13"/>
        <v>0</v>
      </c>
      <c r="S18" s="76"/>
      <c r="T18" s="75"/>
      <c r="U18" s="92">
        <f t="shared" si="14"/>
        <v>0</v>
      </c>
      <c r="V18" s="75"/>
      <c r="W18" s="76"/>
      <c r="X18" s="92">
        <f t="shared" si="15"/>
        <v>0</v>
      </c>
      <c r="Y18" s="92"/>
      <c r="Z18" s="92"/>
      <c r="AA18" s="92"/>
      <c r="AB18" s="96">
        <f t="shared" si="16"/>
        <v>0</v>
      </c>
      <c r="AC18" s="93"/>
      <c r="AD18" s="77"/>
      <c r="AE18" s="94">
        <f t="shared" si="17"/>
        <v>0</v>
      </c>
      <c r="AF18" s="77"/>
      <c r="AG18" s="94">
        <f t="shared" si="18"/>
        <v>0</v>
      </c>
      <c r="AH18" s="77"/>
      <c r="AI18" s="94">
        <f t="shared" si="19"/>
        <v>0</v>
      </c>
      <c r="AJ18" s="77"/>
      <c r="AK18" s="94">
        <f t="shared" si="20"/>
        <v>0</v>
      </c>
      <c r="AL18" s="78"/>
      <c r="AM18" s="94">
        <f t="shared" si="21"/>
        <v>0</v>
      </c>
      <c r="AN18" s="77"/>
      <c r="AO18" s="94">
        <f t="shared" si="22"/>
        <v>0</v>
      </c>
      <c r="AP18" s="95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76"/>
      <c r="E19" s="75"/>
      <c r="F19" s="92">
        <f t="shared" si="9"/>
        <v>0</v>
      </c>
      <c r="G19" s="75"/>
      <c r="H19" s="76"/>
      <c r="I19" s="92">
        <f t="shared" si="10"/>
        <v>0</v>
      </c>
      <c r="J19" s="76"/>
      <c r="K19" s="76"/>
      <c r="L19" s="92">
        <f t="shared" si="11"/>
        <v>0</v>
      </c>
      <c r="M19" s="75"/>
      <c r="N19" s="75"/>
      <c r="O19" s="92">
        <f t="shared" si="12"/>
        <v>0</v>
      </c>
      <c r="P19" s="76"/>
      <c r="Q19" s="75"/>
      <c r="R19" s="92">
        <f t="shared" si="13"/>
        <v>0</v>
      </c>
      <c r="S19" s="76"/>
      <c r="T19" s="75"/>
      <c r="U19" s="92">
        <f t="shared" si="14"/>
        <v>0</v>
      </c>
      <c r="V19" s="75"/>
      <c r="W19" s="76"/>
      <c r="X19" s="92">
        <f t="shared" si="15"/>
        <v>0</v>
      </c>
      <c r="Y19" s="92"/>
      <c r="Z19" s="92"/>
      <c r="AA19" s="92"/>
      <c r="AB19" s="96">
        <f t="shared" si="16"/>
        <v>0</v>
      </c>
      <c r="AC19" s="93"/>
      <c r="AD19" s="77"/>
      <c r="AE19" s="94">
        <f t="shared" si="17"/>
        <v>0</v>
      </c>
      <c r="AF19" s="77"/>
      <c r="AG19" s="94">
        <f t="shared" si="18"/>
        <v>0</v>
      </c>
      <c r="AH19" s="77"/>
      <c r="AI19" s="94">
        <f t="shared" si="19"/>
        <v>0</v>
      </c>
      <c r="AJ19" s="77"/>
      <c r="AK19" s="94">
        <f t="shared" si="20"/>
        <v>0</v>
      </c>
      <c r="AL19" s="78"/>
      <c r="AM19" s="94">
        <f t="shared" si="21"/>
        <v>0</v>
      </c>
      <c r="AN19" s="77"/>
      <c r="AO19" s="94">
        <f t="shared" si="22"/>
        <v>0</v>
      </c>
      <c r="AP19" s="95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76"/>
      <c r="E20" s="75"/>
      <c r="F20" s="92">
        <f t="shared" si="9"/>
        <v>0</v>
      </c>
      <c r="G20" s="75"/>
      <c r="H20" s="76"/>
      <c r="I20" s="92">
        <f t="shared" si="10"/>
        <v>0</v>
      </c>
      <c r="J20" s="76"/>
      <c r="K20" s="76"/>
      <c r="L20" s="92">
        <f t="shared" si="11"/>
        <v>0</v>
      </c>
      <c r="M20" s="75"/>
      <c r="N20" s="75"/>
      <c r="O20" s="92">
        <f t="shared" si="12"/>
        <v>0</v>
      </c>
      <c r="P20" s="76"/>
      <c r="Q20" s="75"/>
      <c r="R20" s="92">
        <f t="shared" si="13"/>
        <v>0</v>
      </c>
      <c r="S20" s="76"/>
      <c r="T20" s="75"/>
      <c r="U20" s="92">
        <f t="shared" si="14"/>
        <v>0</v>
      </c>
      <c r="V20" s="75"/>
      <c r="W20" s="76"/>
      <c r="X20" s="92">
        <f t="shared" si="15"/>
        <v>0</v>
      </c>
      <c r="Y20" s="92"/>
      <c r="Z20" s="92"/>
      <c r="AA20" s="92"/>
      <c r="AB20" s="96">
        <f t="shared" si="16"/>
        <v>0</v>
      </c>
      <c r="AC20" s="93"/>
      <c r="AD20" s="77"/>
      <c r="AE20" s="94">
        <f t="shared" si="17"/>
        <v>0</v>
      </c>
      <c r="AF20" s="77"/>
      <c r="AG20" s="94">
        <f t="shared" si="18"/>
        <v>0</v>
      </c>
      <c r="AH20" s="77"/>
      <c r="AI20" s="94">
        <f t="shared" si="19"/>
        <v>0</v>
      </c>
      <c r="AJ20" s="77"/>
      <c r="AK20" s="94">
        <f t="shared" si="20"/>
        <v>0</v>
      </c>
      <c r="AL20" s="78"/>
      <c r="AM20" s="94">
        <f t="shared" si="21"/>
        <v>0</v>
      </c>
      <c r="AN20" s="77"/>
      <c r="AO20" s="94">
        <f t="shared" si="22"/>
        <v>0</v>
      </c>
      <c r="AP20" s="95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76"/>
      <c r="E21" s="75"/>
      <c r="F21" s="92">
        <f t="shared" ref="F21:F29" si="60">BA21-BB21</f>
        <v>0</v>
      </c>
      <c r="G21" s="75"/>
      <c r="H21" s="76"/>
      <c r="I21" s="92">
        <f t="shared" ref="I21:I29" si="61">BF21-BG21</f>
        <v>0</v>
      </c>
      <c r="J21" s="76"/>
      <c r="K21" s="76"/>
      <c r="L21" s="92">
        <f t="shared" ref="L21:L29" si="62">BK21-BL21</f>
        <v>0</v>
      </c>
      <c r="M21" s="75"/>
      <c r="N21" s="75"/>
      <c r="O21" s="92">
        <f t="shared" ref="O21:O29" si="63">BP21-BQ21</f>
        <v>0</v>
      </c>
      <c r="P21" s="76"/>
      <c r="Q21" s="75"/>
      <c r="R21" s="92">
        <f t="shared" ref="R21:R29" si="64">BU21-BV21</f>
        <v>0</v>
      </c>
      <c r="S21" s="76"/>
      <c r="T21" s="76"/>
      <c r="U21" s="92">
        <f t="shared" ref="U21:U29" si="65">BZ21-CA21</f>
        <v>0</v>
      </c>
      <c r="V21" s="75"/>
      <c r="W21" s="76"/>
      <c r="X21" s="92">
        <f t="shared" ref="X21:X29" si="66">CE21-CF21</f>
        <v>0</v>
      </c>
      <c r="Y21" s="92"/>
      <c r="Z21" s="92"/>
      <c r="AA21" s="92"/>
      <c r="AB21" s="96">
        <f t="shared" ref="AB21:AB29" si="67">SUM(F21,I21,L21,O21,R21,U21,X21)</f>
        <v>0</v>
      </c>
      <c r="AC21" s="93"/>
      <c r="AD21" s="77"/>
      <c r="AE21" s="94">
        <f t="shared" ref="AE21:AE29" si="68">SUMIF($BC$1:$CI$1,AE$1,$BC21:$CI21)+AD21</f>
        <v>0</v>
      </c>
      <c r="AF21" s="77"/>
      <c r="AG21" s="94">
        <f t="shared" ref="AG21:AG29" si="69">SUMIF($BC$1:$CI$1,AG$1,$BC21:$CI21)+AF21</f>
        <v>0</v>
      </c>
      <c r="AH21" s="77"/>
      <c r="AI21" s="94">
        <f t="shared" ref="AI21:AI29" si="70">SUMIF($BC$1:$CI$1,AI$1,$BC21:$CI21)+AH21</f>
        <v>0</v>
      </c>
      <c r="AJ21" s="77"/>
      <c r="AK21" s="94">
        <f t="shared" ref="AK21:AK29" si="71">SUMIF($BC$1:$CI$1,AK$1,$BC21:$CI21)+AJ21</f>
        <v>0</v>
      </c>
      <c r="AL21" s="78"/>
      <c r="AM21" s="94">
        <f t="shared" ref="AM21:AM29" si="72">SUMIF($BC$1:$CI$1,AM$1,$BC21:$CI21)+AL21</f>
        <v>0</v>
      </c>
      <c r="AN21" s="77"/>
      <c r="AO21" s="94">
        <f t="shared" ref="AO21:AO29" si="73">SUMIF($BC$1:$CI$1,AO$1,$BC21:$CI21)+AN21</f>
        <v>0</v>
      </c>
      <c r="AP21" s="95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76"/>
      <c r="E22" s="75"/>
      <c r="F22" s="92">
        <f t="shared" si="60"/>
        <v>0</v>
      </c>
      <c r="G22" s="75"/>
      <c r="H22" s="76"/>
      <c r="I22" s="92">
        <f t="shared" si="61"/>
        <v>0</v>
      </c>
      <c r="J22" s="76"/>
      <c r="K22" s="76"/>
      <c r="L22" s="92">
        <f t="shared" si="62"/>
        <v>0</v>
      </c>
      <c r="M22" s="75"/>
      <c r="N22" s="75"/>
      <c r="O22" s="92">
        <f t="shared" si="63"/>
        <v>0</v>
      </c>
      <c r="P22" s="76"/>
      <c r="Q22" s="75"/>
      <c r="R22" s="92">
        <f t="shared" si="64"/>
        <v>0</v>
      </c>
      <c r="S22" s="76"/>
      <c r="T22" s="76"/>
      <c r="U22" s="92">
        <f t="shared" si="65"/>
        <v>0</v>
      </c>
      <c r="V22" s="75"/>
      <c r="W22" s="76"/>
      <c r="X22" s="92">
        <f t="shared" si="66"/>
        <v>0</v>
      </c>
      <c r="Y22" s="92"/>
      <c r="Z22" s="92"/>
      <c r="AA22" s="92"/>
      <c r="AB22" s="96">
        <f t="shared" si="67"/>
        <v>0</v>
      </c>
      <c r="AC22" s="93"/>
      <c r="AD22" s="77"/>
      <c r="AE22" s="94">
        <f t="shared" si="68"/>
        <v>0</v>
      </c>
      <c r="AF22" s="77"/>
      <c r="AG22" s="94">
        <f t="shared" si="69"/>
        <v>0</v>
      </c>
      <c r="AH22" s="77"/>
      <c r="AI22" s="94">
        <f t="shared" si="70"/>
        <v>0</v>
      </c>
      <c r="AJ22" s="77"/>
      <c r="AK22" s="94">
        <f t="shared" si="71"/>
        <v>0</v>
      </c>
      <c r="AL22" s="78"/>
      <c r="AM22" s="94">
        <f t="shared" si="72"/>
        <v>0</v>
      </c>
      <c r="AN22" s="77"/>
      <c r="AO22" s="94">
        <f t="shared" si="73"/>
        <v>0</v>
      </c>
      <c r="AP22" s="95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92">
        <f t="shared" si="60"/>
        <v>0</v>
      </c>
      <c r="G23" s="75"/>
      <c r="H23" s="76"/>
      <c r="I23" s="92">
        <f t="shared" si="61"/>
        <v>0</v>
      </c>
      <c r="J23" s="76"/>
      <c r="K23" s="76"/>
      <c r="L23" s="92">
        <f t="shared" si="62"/>
        <v>0</v>
      </c>
      <c r="M23" s="75"/>
      <c r="N23" s="75"/>
      <c r="O23" s="92">
        <f t="shared" si="63"/>
        <v>0</v>
      </c>
      <c r="P23" s="76"/>
      <c r="Q23" s="75"/>
      <c r="R23" s="92">
        <f t="shared" si="64"/>
        <v>0</v>
      </c>
      <c r="S23" s="76"/>
      <c r="T23" s="76"/>
      <c r="U23" s="92">
        <f t="shared" si="65"/>
        <v>0</v>
      </c>
      <c r="V23" s="75"/>
      <c r="W23" s="76"/>
      <c r="X23" s="92">
        <f t="shared" si="66"/>
        <v>0</v>
      </c>
      <c r="Y23" s="92"/>
      <c r="Z23" s="92"/>
      <c r="AA23" s="92"/>
      <c r="AB23" s="96">
        <f t="shared" si="67"/>
        <v>0</v>
      </c>
      <c r="AC23" s="93"/>
      <c r="AD23" s="77"/>
      <c r="AE23" s="94">
        <f t="shared" si="68"/>
        <v>0</v>
      </c>
      <c r="AF23" s="77"/>
      <c r="AG23" s="94">
        <f t="shared" si="69"/>
        <v>0</v>
      </c>
      <c r="AH23" s="77"/>
      <c r="AI23" s="94">
        <f t="shared" si="70"/>
        <v>0</v>
      </c>
      <c r="AJ23" s="77"/>
      <c r="AK23" s="94">
        <f t="shared" si="71"/>
        <v>0</v>
      </c>
      <c r="AL23" s="78"/>
      <c r="AM23" s="94">
        <f t="shared" si="72"/>
        <v>0</v>
      </c>
      <c r="AN23" s="77"/>
      <c r="AO23" s="94">
        <f t="shared" si="73"/>
        <v>0</v>
      </c>
      <c r="AP23" s="95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2">
        <f t="shared" si="60"/>
        <v>0</v>
      </c>
      <c r="G24" s="75"/>
      <c r="H24" s="76"/>
      <c r="I24" s="92">
        <f t="shared" si="61"/>
        <v>0</v>
      </c>
      <c r="J24" s="76"/>
      <c r="K24" s="76"/>
      <c r="L24" s="92">
        <f t="shared" si="62"/>
        <v>0</v>
      </c>
      <c r="M24" s="75"/>
      <c r="N24" s="75"/>
      <c r="O24" s="92">
        <f t="shared" si="63"/>
        <v>0</v>
      </c>
      <c r="P24" s="76"/>
      <c r="Q24" s="76"/>
      <c r="R24" s="92">
        <f t="shared" si="64"/>
        <v>0</v>
      </c>
      <c r="S24" s="76"/>
      <c r="T24" s="76"/>
      <c r="U24" s="92">
        <f t="shared" si="65"/>
        <v>0</v>
      </c>
      <c r="V24" s="75"/>
      <c r="W24" s="76"/>
      <c r="X24" s="92">
        <f t="shared" si="66"/>
        <v>0</v>
      </c>
      <c r="Y24" s="92"/>
      <c r="Z24" s="92"/>
      <c r="AA24" s="92"/>
      <c r="AB24" s="96">
        <f t="shared" si="67"/>
        <v>0</v>
      </c>
      <c r="AC24" s="93"/>
      <c r="AD24" s="77"/>
      <c r="AE24" s="94">
        <f t="shared" si="68"/>
        <v>0</v>
      </c>
      <c r="AF24" s="77"/>
      <c r="AG24" s="94">
        <f t="shared" si="69"/>
        <v>0</v>
      </c>
      <c r="AH24" s="77"/>
      <c r="AI24" s="94">
        <f t="shared" si="70"/>
        <v>0</v>
      </c>
      <c r="AJ24" s="77"/>
      <c r="AK24" s="94">
        <f t="shared" si="71"/>
        <v>0</v>
      </c>
      <c r="AL24" s="78"/>
      <c r="AM24" s="94">
        <f t="shared" si="72"/>
        <v>0</v>
      </c>
      <c r="AN24" s="77"/>
      <c r="AO24" s="94">
        <f t="shared" si="73"/>
        <v>0</v>
      </c>
      <c r="AP24" s="95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2">
        <f t="shared" si="60"/>
        <v>0</v>
      </c>
      <c r="G25" s="75"/>
      <c r="H25" s="76"/>
      <c r="I25" s="92">
        <f t="shared" si="61"/>
        <v>0</v>
      </c>
      <c r="J25" s="76"/>
      <c r="K25" s="76"/>
      <c r="L25" s="92">
        <f t="shared" si="62"/>
        <v>0</v>
      </c>
      <c r="M25" s="75"/>
      <c r="N25" s="75"/>
      <c r="O25" s="92">
        <f t="shared" si="63"/>
        <v>0</v>
      </c>
      <c r="P25" s="76"/>
      <c r="Q25" s="76"/>
      <c r="R25" s="92">
        <f t="shared" si="64"/>
        <v>0</v>
      </c>
      <c r="S25" s="76"/>
      <c r="T25" s="76"/>
      <c r="U25" s="92">
        <f t="shared" si="65"/>
        <v>0</v>
      </c>
      <c r="V25" s="75"/>
      <c r="W25" s="76"/>
      <c r="X25" s="92">
        <f t="shared" si="66"/>
        <v>0</v>
      </c>
      <c r="Y25" s="92"/>
      <c r="Z25" s="92"/>
      <c r="AA25" s="92"/>
      <c r="AB25" s="96">
        <f t="shared" si="67"/>
        <v>0</v>
      </c>
      <c r="AC25" s="93"/>
      <c r="AD25" s="77"/>
      <c r="AE25" s="94">
        <f t="shared" si="68"/>
        <v>0</v>
      </c>
      <c r="AF25" s="77"/>
      <c r="AG25" s="94">
        <f t="shared" si="69"/>
        <v>0</v>
      </c>
      <c r="AH25" s="77"/>
      <c r="AI25" s="94">
        <f t="shared" si="70"/>
        <v>0</v>
      </c>
      <c r="AJ25" s="77"/>
      <c r="AK25" s="94">
        <f t="shared" si="71"/>
        <v>0</v>
      </c>
      <c r="AL25" s="78"/>
      <c r="AM25" s="94">
        <f t="shared" si="72"/>
        <v>0</v>
      </c>
      <c r="AN25" s="77"/>
      <c r="AO25" s="94">
        <f t="shared" si="73"/>
        <v>0</v>
      </c>
      <c r="AP25" s="95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2">
        <f t="shared" si="60"/>
        <v>0</v>
      </c>
      <c r="G26" s="75"/>
      <c r="H26" s="76"/>
      <c r="I26" s="92">
        <f t="shared" si="61"/>
        <v>0</v>
      </c>
      <c r="J26" s="76"/>
      <c r="K26" s="76"/>
      <c r="L26" s="92">
        <f t="shared" si="62"/>
        <v>0</v>
      </c>
      <c r="M26" s="75"/>
      <c r="N26" s="75"/>
      <c r="O26" s="92">
        <f t="shared" si="63"/>
        <v>0</v>
      </c>
      <c r="P26" s="76"/>
      <c r="Q26" s="76"/>
      <c r="R26" s="92">
        <f t="shared" si="64"/>
        <v>0</v>
      </c>
      <c r="S26" s="76"/>
      <c r="T26" s="76"/>
      <c r="U26" s="92">
        <f t="shared" si="65"/>
        <v>0</v>
      </c>
      <c r="V26" s="75"/>
      <c r="W26" s="76"/>
      <c r="X26" s="92">
        <f t="shared" si="66"/>
        <v>0</v>
      </c>
      <c r="Y26" s="92"/>
      <c r="Z26" s="92"/>
      <c r="AA26" s="92"/>
      <c r="AB26" s="96">
        <f t="shared" si="67"/>
        <v>0</v>
      </c>
      <c r="AC26" s="93"/>
      <c r="AD26" s="77"/>
      <c r="AE26" s="94">
        <f t="shared" si="68"/>
        <v>0</v>
      </c>
      <c r="AF26" s="77"/>
      <c r="AG26" s="94">
        <f t="shared" si="69"/>
        <v>0</v>
      </c>
      <c r="AH26" s="77"/>
      <c r="AI26" s="94">
        <f t="shared" si="70"/>
        <v>0</v>
      </c>
      <c r="AJ26" s="77"/>
      <c r="AK26" s="94">
        <f t="shared" si="71"/>
        <v>0</v>
      </c>
      <c r="AL26" s="78"/>
      <c r="AM26" s="94">
        <f t="shared" si="72"/>
        <v>0</v>
      </c>
      <c r="AN26" s="77"/>
      <c r="AO26" s="94">
        <f t="shared" si="73"/>
        <v>0</v>
      </c>
      <c r="AP26" s="95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2">
        <f t="shared" si="60"/>
        <v>0</v>
      </c>
      <c r="G27" s="75"/>
      <c r="H27" s="76"/>
      <c r="I27" s="92">
        <f t="shared" si="61"/>
        <v>0</v>
      </c>
      <c r="J27" s="76"/>
      <c r="K27" s="76"/>
      <c r="L27" s="92">
        <f t="shared" si="62"/>
        <v>0</v>
      </c>
      <c r="M27" s="75"/>
      <c r="N27" s="75"/>
      <c r="O27" s="92">
        <f t="shared" si="63"/>
        <v>0</v>
      </c>
      <c r="P27" s="76"/>
      <c r="Q27" s="76"/>
      <c r="R27" s="92">
        <f t="shared" si="64"/>
        <v>0</v>
      </c>
      <c r="S27" s="76"/>
      <c r="T27" s="76"/>
      <c r="U27" s="92">
        <f t="shared" si="65"/>
        <v>0</v>
      </c>
      <c r="V27" s="75"/>
      <c r="W27" s="76"/>
      <c r="X27" s="92">
        <f t="shared" si="66"/>
        <v>0</v>
      </c>
      <c r="Y27" s="92"/>
      <c r="Z27" s="92"/>
      <c r="AA27" s="92"/>
      <c r="AB27" s="96">
        <f t="shared" si="67"/>
        <v>0</v>
      </c>
      <c r="AC27" s="93"/>
      <c r="AD27" s="77"/>
      <c r="AE27" s="94">
        <f t="shared" si="68"/>
        <v>0</v>
      </c>
      <c r="AF27" s="77"/>
      <c r="AG27" s="94">
        <f t="shared" si="69"/>
        <v>0</v>
      </c>
      <c r="AH27" s="77"/>
      <c r="AI27" s="94">
        <f t="shared" si="70"/>
        <v>0</v>
      </c>
      <c r="AJ27" s="77"/>
      <c r="AK27" s="94">
        <f t="shared" si="71"/>
        <v>0</v>
      </c>
      <c r="AL27" s="78"/>
      <c r="AM27" s="94">
        <f t="shared" si="72"/>
        <v>0</v>
      </c>
      <c r="AN27" s="77"/>
      <c r="AO27" s="94">
        <f t="shared" si="73"/>
        <v>0</v>
      </c>
      <c r="AP27" s="95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2">
        <f t="shared" si="60"/>
        <v>0</v>
      </c>
      <c r="G28" s="75"/>
      <c r="H28" s="76"/>
      <c r="I28" s="92">
        <f t="shared" si="61"/>
        <v>0</v>
      </c>
      <c r="J28" s="76"/>
      <c r="K28" s="76"/>
      <c r="L28" s="92">
        <f t="shared" si="62"/>
        <v>0</v>
      </c>
      <c r="M28" s="75"/>
      <c r="N28" s="75"/>
      <c r="O28" s="92">
        <f t="shared" si="63"/>
        <v>0</v>
      </c>
      <c r="P28" s="76"/>
      <c r="Q28" s="76"/>
      <c r="R28" s="92">
        <f t="shared" si="64"/>
        <v>0</v>
      </c>
      <c r="S28" s="76"/>
      <c r="T28" s="76"/>
      <c r="U28" s="92">
        <f t="shared" si="65"/>
        <v>0</v>
      </c>
      <c r="V28" s="75"/>
      <c r="W28" s="76"/>
      <c r="X28" s="92">
        <f t="shared" si="66"/>
        <v>0</v>
      </c>
      <c r="Y28" s="92"/>
      <c r="Z28" s="92"/>
      <c r="AA28" s="92"/>
      <c r="AB28" s="96">
        <f t="shared" si="67"/>
        <v>0</v>
      </c>
      <c r="AC28" s="93"/>
      <c r="AD28" s="77"/>
      <c r="AE28" s="94">
        <f t="shared" si="68"/>
        <v>0</v>
      </c>
      <c r="AF28" s="77"/>
      <c r="AG28" s="94">
        <f t="shared" si="69"/>
        <v>0</v>
      </c>
      <c r="AH28" s="77"/>
      <c r="AI28" s="94">
        <f t="shared" si="70"/>
        <v>0</v>
      </c>
      <c r="AJ28" s="77"/>
      <c r="AK28" s="94">
        <f t="shared" si="71"/>
        <v>0</v>
      </c>
      <c r="AL28" s="78"/>
      <c r="AM28" s="94">
        <f t="shared" si="72"/>
        <v>0</v>
      </c>
      <c r="AN28" s="77"/>
      <c r="AO28" s="94">
        <f t="shared" si="73"/>
        <v>0</v>
      </c>
      <c r="AP28" s="95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2">
        <f t="shared" si="60"/>
        <v>0</v>
      </c>
      <c r="G29" s="75"/>
      <c r="H29" s="76"/>
      <c r="I29" s="92">
        <f t="shared" si="61"/>
        <v>0</v>
      </c>
      <c r="J29" s="76"/>
      <c r="K29" s="76"/>
      <c r="L29" s="92">
        <f t="shared" si="62"/>
        <v>0</v>
      </c>
      <c r="M29" s="75"/>
      <c r="N29" s="75"/>
      <c r="O29" s="92">
        <f t="shared" si="63"/>
        <v>0</v>
      </c>
      <c r="P29" s="76"/>
      <c r="Q29" s="76"/>
      <c r="R29" s="92">
        <f t="shared" si="64"/>
        <v>0</v>
      </c>
      <c r="S29" s="76"/>
      <c r="T29" s="76"/>
      <c r="U29" s="92">
        <f t="shared" si="65"/>
        <v>0</v>
      </c>
      <c r="V29" s="75"/>
      <c r="W29" s="76"/>
      <c r="X29" s="92">
        <f t="shared" si="66"/>
        <v>0</v>
      </c>
      <c r="Y29" s="92"/>
      <c r="Z29" s="92"/>
      <c r="AA29" s="92"/>
      <c r="AB29" s="96">
        <f t="shared" si="67"/>
        <v>0</v>
      </c>
      <c r="AC29" s="93"/>
      <c r="AD29" s="77"/>
      <c r="AE29" s="94">
        <f t="shared" si="68"/>
        <v>0</v>
      </c>
      <c r="AF29" s="77"/>
      <c r="AG29" s="94">
        <f t="shared" si="69"/>
        <v>0</v>
      </c>
      <c r="AH29" s="77"/>
      <c r="AI29" s="94">
        <f t="shared" si="70"/>
        <v>0</v>
      </c>
      <c r="AJ29" s="77"/>
      <c r="AK29" s="94">
        <f t="shared" si="71"/>
        <v>0</v>
      </c>
      <c r="AL29" s="78"/>
      <c r="AM29" s="94">
        <f t="shared" si="72"/>
        <v>0</v>
      </c>
      <c r="AN29" s="77"/>
      <c r="AO29" s="94">
        <f t="shared" si="73"/>
        <v>0</v>
      </c>
      <c r="AP29" s="95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2">
        <f t="shared" si="9"/>
        <v>0</v>
      </c>
      <c r="G30" s="75"/>
      <c r="H30" s="76"/>
      <c r="I30" s="92">
        <f t="shared" si="10"/>
        <v>0</v>
      </c>
      <c r="J30" s="76"/>
      <c r="K30" s="76"/>
      <c r="L30" s="92">
        <f t="shared" si="11"/>
        <v>0</v>
      </c>
      <c r="M30" s="75"/>
      <c r="N30" s="75"/>
      <c r="O30" s="92">
        <f t="shared" si="12"/>
        <v>0</v>
      </c>
      <c r="P30" s="76"/>
      <c r="Q30" s="76"/>
      <c r="R30" s="92">
        <f t="shared" si="13"/>
        <v>0</v>
      </c>
      <c r="S30" s="76"/>
      <c r="T30" s="76"/>
      <c r="U30" s="92">
        <f t="shared" si="14"/>
        <v>0</v>
      </c>
      <c r="V30" s="75"/>
      <c r="W30" s="76"/>
      <c r="X30" s="92">
        <f t="shared" si="15"/>
        <v>0</v>
      </c>
      <c r="Y30" s="92"/>
      <c r="Z30" s="92"/>
      <c r="AA30" s="92"/>
      <c r="AB30" s="96">
        <f t="shared" si="16"/>
        <v>0</v>
      </c>
      <c r="AC30" s="93"/>
      <c r="AD30" s="77"/>
      <c r="AE30" s="94">
        <f t="shared" si="17"/>
        <v>0</v>
      </c>
      <c r="AF30" s="77"/>
      <c r="AG30" s="94">
        <f t="shared" si="18"/>
        <v>0</v>
      </c>
      <c r="AH30" s="77"/>
      <c r="AI30" s="94">
        <f t="shared" si="19"/>
        <v>0</v>
      </c>
      <c r="AJ30" s="77"/>
      <c r="AK30" s="94">
        <f t="shared" si="20"/>
        <v>0</v>
      </c>
      <c r="AL30" s="78"/>
      <c r="AM30" s="94">
        <f t="shared" si="21"/>
        <v>0</v>
      </c>
      <c r="AN30" s="77"/>
      <c r="AO30" s="94">
        <f t="shared" si="22"/>
        <v>0</v>
      </c>
      <c r="AP30" s="95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2">
        <f t="shared" si="9"/>
        <v>0</v>
      </c>
      <c r="G31" s="75"/>
      <c r="H31" s="76"/>
      <c r="I31" s="92">
        <f t="shared" si="10"/>
        <v>0</v>
      </c>
      <c r="J31" s="76"/>
      <c r="K31" s="76"/>
      <c r="L31" s="92">
        <f t="shared" si="11"/>
        <v>0</v>
      </c>
      <c r="M31" s="75"/>
      <c r="N31" s="75"/>
      <c r="O31" s="92">
        <f t="shared" si="12"/>
        <v>0</v>
      </c>
      <c r="P31" s="76"/>
      <c r="Q31" s="76"/>
      <c r="R31" s="92">
        <f t="shared" si="13"/>
        <v>0</v>
      </c>
      <c r="S31" s="76"/>
      <c r="T31" s="76"/>
      <c r="U31" s="92">
        <f t="shared" si="14"/>
        <v>0</v>
      </c>
      <c r="V31" s="75"/>
      <c r="W31" s="76"/>
      <c r="X31" s="92">
        <f t="shared" si="15"/>
        <v>0</v>
      </c>
      <c r="Y31" s="92"/>
      <c r="Z31" s="92"/>
      <c r="AA31" s="92"/>
      <c r="AB31" s="96">
        <f t="shared" si="16"/>
        <v>0</v>
      </c>
      <c r="AC31" s="93"/>
      <c r="AD31" s="77"/>
      <c r="AE31" s="94">
        <f t="shared" si="17"/>
        <v>0</v>
      </c>
      <c r="AF31" s="77"/>
      <c r="AG31" s="94">
        <f t="shared" si="18"/>
        <v>0</v>
      </c>
      <c r="AH31" s="77"/>
      <c r="AI31" s="94">
        <f t="shared" si="19"/>
        <v>0</v>
      </c>
      <c r="AJ31" s="77"/>
      <c r="AK31" s="94">
        <f t="shared" si="20"/>
        <v>0</v>
      </c>
      <c r="AL31" s="78"/>
      <c r="AM31" s="94">
        <f t="shared" si="21"/>
        <v>0</v>
      </c>
      <c r="AN31" s="77"/>
      <c r="AO31" s="94">
        <f t="shared" si="22"/>
        <v>0</v>
      </c>
      <c r="AP31" s="95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2">
        <f t="shared" ref="F32" si="76">BA32-BB32</f>
        <v>0</v>
      </c>
      <c r="G32" s="75"/>
      <c r="H32" s="76"/>
      <c r="I32" s="92">
        <f t="shared" ref="I32" si="77">BF32-BG32</f>
        <v>0</v>
      </c>
      <c r="J32" s="76"/>
      <c r="K32" s="76"/>
      <c r="L32" s="92">
        <f t="shared" ref="L32" si="78">BK32-BL32</f>
        <v>0</v>
      </c>
      <c r="M32" s="75"/>
      <c r="N32" s="75"/>
      <c r="O32" s="92">
        <f t="shared" ref="O32" si="79">BP32-BQ32</f>
        <v>0</v>
      </c>
      <c r="P32" s="76"/>
      <c r="Q32" s="76"/>
      <c r="R32" s="92">
        <f t="shared" ref="R32" si="80">BU32-BV32</f>
        <v>0</v>
      </c>
      <c r="S32" s="76"/>
      <c r="T32" s="76"/>
      <c r="U32" s="92">
        <f t="shared" ref="U32" si="81">BZ32-CA32</f>
        <v>0</v>
      </c>
      <c r="V32" s="75"/>
      <c r="W32" s="76"/>
      <c r="X32" s="92">
        <f t="shared" ref="X32" si="82">CE32-CF32</f>
        <v>0</v>
      </c>
      <c r="Y32" s="92"/>
      <c r="Z32" s="92"/>
      <c r="AA32" s="92"/>
      <c r="AB32" s="96">
        <f t="shared" ref="AB32" si="83">SUM(F32,I32,L32,O32,R32,U32,X32)</f>
        <v>0</v>
      </c>
      <c r="AC32" s="93"/>
      <c r="AD32" s="77"/>
      <c r="AE32" s="94">
        <f t="shared" ref="AE32" si="84">SUMIF($BC$1:$CI$1,AE$1,$BC32:$CI32)+AD32</f>
        <v>0</v>
      </c>
      <c r="AF32" s="77"/>
      <c r="AG32" s="94">
        <f t="shared" ref="AG32" si="85">SUMIF($BC$1:$CI$1,AG$1,$BC32:$CI32)+AF32</f>
        <v>0</v>
      </c>
      <c r="AH32" s="77"/>
      <c r="AI32" s="94">
        <f t="shared" ref="AI32" si="86">SUMIF($BC$1:$CI$1,AI$1,$BC32:$CI32)+AH32</f>
        <v>0</v>
      </c>
      <c r="AJ32" s="77"/>
      <c r="AK32" s="94">
        <f t="shared" ref="AK32" si="87">SUMIF($BC$1:$CI$1,AK$1,$BC32:$CI32)+AJ32</f>
        <v>0</v>
      </c>
      <c r="AL32" s="78"/>
      <c r="AM32" s="94">
        <f t="shared" ref="AM32" si="88">SUMIF($BC$1:$CI$1,AM$1,$BC32:$CI32)+AL32</f>
        <v>0</v>
      </c>
      <c r="AN32" s="77"/>
      <c r="AO32" s="94">
        <f t="shared" ref="AO32" si="89">SUMIF($BC$1:$CI$1,AO$1,$BC32:$CI32)+AN32</f>
        <v>0</v>
      </c>
      <c r="AP32" s="95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2">
        <f t="shared" si="9"/>
        <v>0</v>
      </c>
      <c r="G33" s="75"/>
      <c r="H33" s="76"/>
      <c r="I33" s="92">
        <f t="shared" si="10"/>
        <v>0</v>
      </c>
      <c r="J33" s="76"/>
      <c r="K33" s="75"/>
      <c r="L33" s="92">
        <f t="shared" si="11"/>
        <v>0</v>
      </c>
      <c r="M33" s="76"/>
      <c r="N33" s="75"/>
      <c r="O33" s="92">
        <f t="shared" si="12"/>
        <v>0</v>
      </c>
      <c r="P33" s="76"/>
      <c r="Q33" s="75"/>
      <c r="R33" s="92">
        <f t="shared" si="13"/>
        <v>0</v>
      </c>
      <c r="S33" s="76"/>
      <c r="T33" s="76"/>
      <c r="U33" s="92">
        <f t="shared" si="14"/>
        <v>0</v>
      </c>
      <c r="V33" s="75"/>
      <c r="W33" s="76"/>
      <c r="X33" s="92">
        <f t="shared" si="15"/>
        <v>0</v>
      </c>
      <c r="Y33" s="92"/>
      <c r="Z33" s="92"/>
      <c r="AA33" s="92"/>
      <c r="AB33" s="96">
        <f t="shared" si="16"/>
        <v>0</v>
      </c>
      <c r="AC33" s="93"/>
      <c r="AD33" s="77"/>
      <c r="AE33" s="94">
        <f t="shared" si="17"/>
        <v>0</v>
      </c>
      <c r="AF33" s="77"/>
      <c r="AG33" s="94">
        <f t="shared" si="18"/>
        <v>0</v>
      </c>
      <c r="AH33" s="77"/>
      <c r="AI33" s="94">
        <f t="shared" si="19"/>
        <v>0</v>
      </c>
      <c r="AJ33" s="77"/>
      <c r="AK33" s="94">
        <f t="shared" si="20"/>
        <v>0</v>
      </c>
      <c r="AL33" s="78"/>
      <c r="AM33" s="94">
        <f t="shared" si="21"/>
        <v>0</v>
      </c>
      <c r="AN33" s="77"/>
      <c r="AO33" s="94">
        <f t="shared" si="22"/>
        <v>0</v>
      </c>
      <c r="AP33" s="95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2">
        <f t="shared" si="9"/>
        <v>0</v>
      </c>
      <c r="G34" s="75"/>
      <c r="H34" s="76"/>
      <c r="I34" s="92">
        <f t="shared" si="10"/>
        <v>0</v>
      </c>
      <c r="J34" s="76"/>
      <c r="K34" s="76"/>
      <c r="L34" s="92">
        <f t="shared" si="11"/>
        <v>0</v>
      </c>
      <c r="M34" s="75"/>
      <c r="N34" s="75"/>
      <c r="O34" s="92">
        <f t="shared" si="12"/>
        <v>0</v>
      </c>
      <c r="P34" s="76"/>
      <c r="Q34" s="76"/>
      <c r="R34" s="92">
        <f t="shared" si="13"/>
        <v>0</v>
      </c>
      <c r="S34" s="76"/>
      <c r="T34" s="76"/>
      <c r="U34" s="92">
        <f t="shared" si="14"/>
        <v>0</v>
      </c>
      <c r="V34" s="75"/>
      <c r="W34" s="76"/>
      <c r="X34" s="92">
        <f t="shared" si="15"/>
        <v>0</v>
      </c>
      <c r="Y34" s="92"/>
      <c r="Z34" s="92"/>
      <c r="AA34" s="92"/>
      <c r="AB34" s="96">
        <f t="shared" si="16"/>
        <v>0</v>
      </c>
      <c r="AC34" s="93"/>
      <c r="AD34" s="77"/>
      <c r="AE34" s="94">
        <f t="shared" si="17"/>
        <v>0</v>
      </c>
      <c r="AF34" s="77"/>
      <c r="AG34" s="94">
        <f t="shared" si="18"/>
        <v>0</v>
      </c>
      <c r="AH34" s="77"/>
      <c r="AI34" s="94">
        <f t="shared" si="19"/>
        <v>0</v>
      </c>
      <c r="AJ34" s="77"/>
      <c r="AK34" s="94">
        <f t="shared" si="20"/>
        <v>0</v>
      </c>
      <c r="AL34" s="78"/>
      <c r="AM34" s="94">
        <f t="shared" si="21"/>
        <v>0</v>
      </c>
      <c r="AN34" s="77"/>
      <c r="AO34" s="94">
        <f t="shared" si="22"/>
        <v>0</v>
      </c>
      <c r="AP34" s="95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2">
        <f t="shared" si="9"/>
        <v>0</v>
      </c>
      <c r="G35" s="75"/>
      <c r="H35" s="76"/>
      <c r="I35" s="92">
        <f t="shared" si="10"/>
        <v>0</v>
      </c>
      <c r="J35" s="76"/>
      <c r="K35" s="76"/>
      <c r="L35" s="92">
        <f t="shared" si="11"/>
        <v>0</v>
      </c>
      <c r="M35" s="75"/>
      <c r="N35" s="75"/>
      <c r="O35" s="92">
        <f t="shared" si="12"/>
        <v>0</v>
      </c>
      <c r="P35" s="76"/>
      <c r="Q35" s="76"/>
      <c r="R35" s="92">
        <f t="shared" si="13"/>
        <v>0</v>
      </c>
      <c r="S35" s="76"/>
      <c r="T35" s="76"/>
      <c r="U35" s="92">
        <f t="shared" si="14"/>
        <v>0</v>
      </c>
      <c r="V35" s="75"/>
      <c r="W35" s="76"/>
      <c r="X35" s="92">
        <f t="shared" si="15"/>
        <v>0</v>
      </c>
      <c r="Y35" s="92"/>
      <c r="Z35" s="92"/>
      <c r="AA35" s="92"/>
      <c r="AB35" s="96">
        <f t="shared" si="16"/>
        <v>0</v>
      </c>
      <c r="AC35" s="93"/>
      <c r="AD35" s="77"/>
      <c r="AE35" s="94">
        <f t="shared" si="17"/>
        <v>0</v>
      </c>
      <c r="AF35" s="77"/>
      <c r="AG35" s="94">
        <f t="shared" si="18"/>
        <v>0</v>
      </c>
      <c r="AH35" s="77"/>
      <c r="AI35" s="94">
        <f t="shared" si="19"/>
        <v>0</v>
      </c>
      <c r="AJ35" s="77"/>
      <c r="AK35" s="94">
        <f t="shared" si="20"/>
        <v>0</v>
      </c>
      <c r="AL35" s="78"/>
      <c r="AM35" s="94">
        <f t="shared" si="21"/>
        <v>0</v>
      </c>
      <c r="AN35" s="77"/>
      <c r="AO35" s="94">
        <f t="shared" si="22"/>
        <v>0</v>
      </c>
      <c r="AP35" s="95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6" priority="734" operator="equal">
      <formula>"Pub"</formula>
    </cfRule>
  </conditionalFormatting>
  <conditionalFormatting sqref="F2:F100 I2:I100 L2:L100 O2:O100 R2:R100 U2:U100 X2:AB100 AT2:AT100">
    <cfRule type="cellIs" dxfId="15" priority="735" operator="lessThan">
      <formula>0</formula>
    </cfRule>
    <cfRule type="cellIs" dxfId="14" priority="736" operator="between">
      <formula>3</formula>
      <formula>0.01</formula>
    </cfRule>
    <cfRule type="cellIs" dxfId="13" priority="737" operator="lessThan">
      <formula>SUMIF($C:$C,$C2,F:F)</formula>
    </cfRule>
  </conditionalFormatting>
  <conditionalFormatting sqref="AD4:AD100">
    <cfRule type="notContainsBlanks" dxfId="12" priority="5">
      <formula>LEN(TRIM(AD4))&gt;0</formula>
    </cfRule>
  </conditionalFormatting>
  <conditionalFormatting sqref="AF5:AF100">
    <cfRule type="notContainsBlanks" dxfId="11" priority="4">
      <formula>LEN(TRIM(AF5))&gt;0</formula>
    </cfRule>
  </conditionalFormatting>
  <conditionalFormatting sqref="AH2:AH100">
    <cfRule type="notContainsBlanks" dxfId="10" priority="3">
      <formula>LEN(TRIM(AH2))&gt;0</formula>
    </cfRule>
  </conditionalFormatting>
  <conditionalFormatting sqref="AL2:AL100">
    <cfRule type="notContainsBlanks" dxfId="9" priority="262">
      <formula>LEN(TRIM(AL2))&gt;0</formula>
    </cfRule>
  </conditionalFormatting>
  <conditionalFormatting sqref="AL21:AL29 AL61:AL63 AL75:AL100 AJ2:AJ100 AN2:AN100 AQ2:AS100">
    <cfRule type="notContainsBlanks" dxfId="8" priority="738">
      <formula>LEN(TRIM(AJ2))&gt;0</formula>
    </cfRule>
  </conditionalFormatting>
  <conditionalFormatting sqref="AT1">
    <cfRule type="cellIs" dxfId="7" priority="730" operator="equal">
      <formula>"Pub"</formula>
    </cfRule>
  </conditionalFormatting>
  <conditionalFormatting sqref="AD2:AD3">
    <cfRule type="notContainsBlanks" dxfId="1" priority="2">
      <formula>LEN(TRIM(AD2))&gt;0</formula>
    </cfRule>
  </conditionalFormatting>
  <conditionalFormatting sqref="AF2:AF4">
    <cfRule type="notContainsBlanks" dxfId="0" priority="1">
      <formula>LEN(TRIM(AF2))&gt;0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zoomScale="120" zoomScaleNormal="120" workbookViewId="0">
      <selection activeCell="J7" sqref="J7"/>
    </sheetView>
  </sheetViews>
  <sheetFormatPr baseColWidth="10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26/10/25</v>
      </c>
      <c r="G1" s="13" t="str">
        <f>_xlfn.CONCAT("Age on ",TEXT( 'Week 1 Roster'!$D$1+14,"dd/mm/yy"))</f>
        <v>Age on 10/11/25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10048</v>
      </c>
      <c r="B2" s="28">
        <f ca="1">IF(A2=0,"",_xlfn.NUMBERVALUE(A2))</f>
        <v>10048</v>
      </c>
      <c r="C2" s="28" t="str">
        <f ca="1">IF($A2=0,"",VLOOKUP($B2,Employees!$A:$G,2,FALSE))</f>
        <v>Xinqi</v>
      </c>
      <c r="D2" s="28" t="str">
        <f ca="1">IF($A2=0,"",VLOOKUP($B2,Employees!$A:$G,3,FALSE))</f>
        <v>Liang</v>
      </c>
      <c r="E2" s="26">
        <f ca="1">IF($A2=0,"",VLOOKUP($B2,Employees!$A:$G,5,FALSE))</f>
        <v>35083</v>
      </c>
      <c r="F2" s="13">
        <f ca="1">IF($E2="","",ROUNDDOWN(YEARFRAC($E2, 'Week 1 Roster'!$D$1-1, 1), 0))</f>
        <v>29</v>
      </c>
      <c r="G2" s="13">
        <f ca="1">IF($E2="","",ROUNDDOWN(YEARFRAC($E2, 'Week 1 Roster'!$D$1+14, 1), 0))</f>
        <v>29</v>
      </c>
      <c r="H2" s="13" t="b">
        <f ca="1">IF($E2="","",IF(AND(F2&lt;21,F2&lt;&gt;G2),TRUE,FALSE))</f>
        <v>0</v>
      </c>
      <c r="I2" s="13">
        <f ca="1">IF($A2=0,"",VLOOKUP($B2,Employees!$A:$G,6,FALSE))</f>
        <v>48</v>
      </c>
      <c r="J2" s="13" t="str">
        <f ca="1">IF($A2=0,"",VLOOKUP($B2,Employees!$A:$G,7,FALSE))</f>
        <v>GCM</v>
      </c>
      <c r="K2" s="13" t="str">
        <f ca="1">IF($A2=0,"",IF(ISNA(VLOOKUP(A2,'Week 1 Roster'!A:C,2,0)),VLOOKUP(A2,'Week 2 Roster'!A:C,2,0),VLOOKUP(A2,'Week 1 Roster'!A:C,2,0)))</f>
        <v>Westfield Syd</v>
      </c>
      <c r="L2" s="13" t="str">
        <f ca="1">IF($A2=0,"",VLOOKUP(K2,Stores!A:B,2,0))</f>
        <v>Superb</v>
      </c>
      <c r="M2" s="14">
        <f t="shared" ref="M2" ca="1" si="0">Y2+AK2</f>
        <v>124.48666666666668</v>
      </c>
      <c r="N2" s="14">
        <f t="shared" ref="N2" ca="1" si="1">Z2+AL2</f>
        <v>10.086666666666666</v>
      </c>
      <c r="O2" s="14">
        <f t="shared" ref="O2" ca="1" si="2">AA2+AM2</f>
        <v>0</v>
      </c>
      <c r="P2" s="14">
        <f t="shared" ref="P2" ca="1" si="3">AB2+AN2</f>
        <v>0</v>
      </c>
      <c r="Q2" s="14">
        <f t="shared" ref="Q2" ca="1" si="4">AC2+AO2</f>
        <v>0</v>
      </c>
      <c r="R2" s="14">
        <f t="shared" ref="R2:S2" ca="1" si="5">AD2+AP2</f>
        <v>0</v>
      </c>
      <c r="S2" s="28">
        <f t="shared" ca="1" si="5"/>
        <v>4</v>
      </c>
      <c r="T2" s="14">
        <f t="shared" ref="T2" ca="1" si="6">AF2+AR2</f>
        <v>0</v>
      </c>
      <c r="U2" s="14">
        <f t="shared" ref="U2" ca="1" si="7">AG2+AS2</f>
        <v>0</v>
      </c>
      <c r="V2" s="14">
        <f t="shared" ref="V2" ca="1" si="8">AH2+AT2</f>
        <v>0</v>
      </c>
      <c r="W2" s="14">
        <f ca="1">SUM(M2:R2,T2:V2)</f>
        <v>134.57333333333335</v>
      </c>
      <c r="Y2" s="17">
        <f ca="1">IF($A2=0,0,SUMIF('Week 1 Roster'!$AZ:$AZ,$B2,'Week 1 Roster'!$AE:$AE))</f>
        <v>115.58666666666667</v>
      </c>
      <c r="Z2" s="17">
        <f ca="1">IF($A2=0,0,SUMIF('Week 1 Roster'!$AZ:$AZ,$B2,'Week 1 Roster'!$AG:$AG))</f>
        <v>2.02</v>
      </c>
      <c r="AA2" s="17">
        <f ca="1">IF($A2=0,0,SUMIF('Week 1 Roster'!$AZ:$AZ,$B2,'Week 1 Roster'!$AI:$AI))</f>
        <v>0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0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2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117.60666666666667</v>
      </c>
      <c r="AK2" s="17">
        <f ca="1">IF($A2=0,0,SUMIF('Week 2 Roster'!$AZ:$AZ,$B2,'Week 2 Roster'!$AE:$AE))</f>
        <v>8.9000000000000021</v>
      </c>
      <c r="AL2" s="17">
        <f ca="1">IF($A2=0,0,SUMIF('Week 2 Roster'!$AZ:$AZ,$B2,'Week 2 Roster'!$AG:$AG))</f>
        <v>8.0666666666666664</v>
      </c>
      <c r="AM2" s="17">
        <f ca="1">IF($A2=0,0,SUMIF('Week 2 Roster'!$AZ:$AZ,$B2,'Week 2 Roster'!$AI:$AI))</f>
        <v>0</v>
      </c>
      <c r="AN2" s="17">
        <f ca="1">IF($A2=0,0,SUMIF('Week 2 Roster'!$AZ:$AZ,$B2,'Week 2 Roster'!$AK:$AK))</f>
        <v>0</v>
      </c>
      <c r="AO2" s="17">
        <f ca="1">IF($A2=0,0,SUMIF('Week 2 Roster'!$AZ:$AZ,$B2,'Week 2 Roster'!$AM:$AM))</f>
        <v>0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2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16.966666666666669</v>
      </c>
      <c r="AV2" s="17"/>
      <c r="AW2" s="25">
        <f>'Week 1 Roster'!A2</f>
        <v>10048</v>
      </c>
      <c r="AX2" s="25">
        <f>'Week 2 Roster'!A2</f>
        <v>10048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10282</v>
      </c>
      <c r="B3" s="28">
        <f t="shared" ref="B3:B66" ca="1" si="9">IF(A3=0,"",_xlfn.NUMBERVALUE(A3))</f>
        <v>10282</v>
      </c>
      <c r="C3" s="28" t="str">
        <f ca="1">IF($A3=0,"",VLOOKUP($B3,Employees!$A:$G,2,FALSE))</f>
        <v>CHINGAN</v>
      </c>
      <c r="D3" s="28" t="str">
        <f ca="1">IF($A3=0,"",VLOOKUP($B3,Employees!$A:$G,3,FALSE))</f>
        <v>HSU</v>
      </c>
      <c r="E3" s="26">
        <f ca="1">IF($A3=0,"",VLOOKUP($B3,Employees!$A:$G,5,FALSE))</f>
        <v>34304</v>
      </c>
      <c r="F3" s="13">
        <f ca="1">IF($E3="","",ROUNDDOWN(YEARFRAC($E3, 'Week 1 Roster'!$D$1-1, 1), 0))</f>
        <v>31</v>
      </c>
      <c r="G3" s="13">
        <f ca="1">IF($E3="","",ROUNDDOWN(YEARFRAC($E3, 'Week 1 Roster'!$D$1+14, 1), 0))</f>
        <v>31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76</v>
      </c>
      <c r="J3" s="13" t="str">
        <f ca="1">IF($A3=0,"",VLOOKUP($B3,Employees!$A:$G,7,FALSE))</f>
        <v>GCM</v>
      </c>
      <c r="K3" s="13" t="str">
        <f ca="1">IF($A3=0,"",IF(ISNA(VLOOKUP(A3,'Week 1 Roster'!A:C,2,0)),VLOOKUP(A3,'Week 2 Roster'!A:C,2,0),VLOOKUP(A3,'Week 1 Roster'!A:C,2,0)))</f>
        <v>Westfield Syd</v>
      </c>
      <c r="L3" s="13" t="str">
        <f ca="1">IF($A3=0,"",VLOOKUP(K3,Stores!A:B,2,0))</f>
        <v>Superb</v>
      </c>
      <c r="M3" s="14">
        <f t="shared" ref="M3:M66" ca="1" si="11">Y3+AK3</f>
        <v>17.266666666666666</v>
      </c>
      <c r="N3" s="14">
        <f t="shared" ref="N3:N66" ca="1" si="12">Z3+AL3</f>
        <v>0</v>
      </c>
      <c r="O3" s="14">
        <f t="shared" ref="O3:O66" ca="1" si="13">AA3+AM3</f>
        <v>15.133333333333336</v>
      </c>
      <c r="P3" s="14">
        <f t="shared" ref="P3:P66" ca="1" si="14">AB3+AN3</f>
        <v>0</v>
      </c>
      <c r="Q3" s="14">
        <f t="shared" ref="Q3:Q66" ca="1" si="15">AC3+AO3</f>
        <v>0</v>
      </c>
      <c r="R3" s="14">
        <f t="shared" ref="R3:R66" ca="1" si="16">AD3+AP3</f>
        <v>0</v>
      </c>
      <c r="S3" s="28">
        <f t="shared" ref="S3:S66" ca="1" si="17">AE3+AQ3</f>
        <v>4</v>
      </c>
      <c r="T3" s="14">
        <f t="shared" ref="T3:T66" ca="1" si="18">AF3+AR3</f>
        <v>0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32.400000000000006</v>
      </c>
      <c r="Y3" s="17">
        <f ca="1">IF($A3=0,0,SUMIF('Week 1 Roster'!$AZ:$AZ,$B3,'Week 1 Roster'!$AE:$AE))</f>
        <v>8.3166666666666664</v>
      </c>
      <c r="Z3" s="17">
        <f ca="1">IF($A3=0,0,SUMIF('Week 1 Roster'!$AZ:$AZ,$B3,'Week 1 Roster'!$AG:$AG))</f>
        <v>0</v>
      </c>
      <c r="AA3" s="17">
        <f ca="1">IF($A3=0,0,SUMIF('Week 1 Roster'!$AZ:$AZ,$B3,'Week 1 Roster'!$AI:$AI))</f>
        <v>7.4000000000000012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0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2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15.716666666666669</v>
      </c>
      <c r="AK3" s="17">
        <f ca="1">IF($A3=0,0,SUMIF('Week 2 Roster'!$AZ:$AZ,$B3,'Week 2 Roster'!$AE:$AE))</f>
        <v>8.9499999999999993</v>
      </c>
      <c r="AL3" s="17">
        <f ca="1">IF($A3=0,0,SUMIF('Week 2 Roster'!$AZ:$AZ,$B3,'Week 2 Roster'!$AG:$AG))</f>
        <v>0</v>
      </c>
      <c r="AM3" s="17">
        <f ca="1">IF($A3=0,0,SUMIF('Week 2 Roster'!$AZ:$AZ,$B3,'Week 2 Roster'!$AI:$AI))</f>
        <v>7.7333333333333343</v>
      </c>
      <c r="AN3" s="17">
        <f ca="1">IF($A3=0,0,SUMIF('Week 2 Roster'!$AZ:$AZ,$B3,'Week 2 Roster'!$AK:$AK))</f>
        <v>0</v>
      </c>
      <c r="AO3" s="17">
        <f ca="1">IF($A3=0,0,SUMIF('Week 2 Roster'!$AZ:$AZ,$B3,'Week 2 Roster'!$AM:$AM))</f>
        <v>0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2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16.683333333333334</v>
      </c>
      <c r="AV3" s="17"/>
      <c r="AW3" s="25">
        <f>'Week 1 Roster'!A3</f>
        <v>10282</v>
      </c>
      <c r="AX3" s="25">
        <f>'Week 2 Roster'!A3</f>
        <v>10282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10329</v>
      </c>
      <c r="B4" s="28">
        <f t="shared" ca="1" si="9"/>
        <v>10329</v>
      </c>
      <c r="C4" s="28" t="str">
        <f ca="1">IF($A4=0,"",VLOOKUP($B4,Employees!$A:$G,2,FALSE))</f>
        <v>Vinh Hien</v>
      </c>
      <c r="D4" s="28" t="str">
        <f ca="1">IF($A4=0,"",VLOOKUP($B4,Employees!$A:$G,3,FALSE))</f>
        <v>Le</v>
      </c>
      <c r="E4" s="26">
        <f ca="1">IF($A4=0,"",VLOOKUP($B4,Employees!$A:$G,5,FALSE))</f>
        <v>37827</v>
      </c>
      <c r="F4" s="13">
        <f ca="1">IF($E4="","",ROUNDDOWN(YEARFRAC($E4, 'Week 1 Roster'!$D$1-1, 1), 0))</f>
        <v>22</v>
      </c>
      <c r="G4" s="13">
        <f ca="1">IF($E4="","",ROUNDDOWN(YEARFRAC($E4, 'Week 1 Roster'!$D$1+14, 1), 0))</f>
        <v>22</v>
      </c>
      <c r="H4" s="13" t="b">
        <f t="shared" ca="1" si="10"/>
        <v>0</v>
      </c>
      <c r="I4" s="13">
        <f ca="1">IF($A4=0,"",VLOOKUP($B4,Employees!$A:$G,6,FALSE))</f>
        <v>76</v>
      </c>
      <c r="J4" s="13" t="str">
        <f ca="1">IF($A4=0,"",VLOOKUP($B4,Employees!$A:$G,7,FALSE))</f>
        <v>SS</v>
      </c>
      <c r="K4" s="13" t="str">
        <f ca="1">IF($A4=0,"",IF(ISNA(VLOOKUP(A4,'Week 1 Roster'!A:C,2,0)),VLOOKUP(A4,'Week 2 Roster'!A:C,2,0),VLOOKUP(A4,'Week 1 Roster'!A:C,2,0)))</f>
        <v>Westfield Syd</v>
      </c>
      <c r="L4" s="13" t="str">
        <f ca="1">IF($A4=0,"",VLOOKUP(K4,Stores!A:B,2,0))</f>
        <v>Superb</v>
      </c>
      <c r="M4" s="14">
        <f t="shared" ca="1" si="11"/>
        <v>28.933333333333334</v>
      </c>
      <c r="N4" s="14">
        <f t="shared" ca="1" si="12"/>
        <v>12.349999999999998</v>
      </c>
      <c r="O4" s="14">
        <f t="shared" ca="1" si="13"/>
        <v>0</v>
      </c>
      <c r="P4" s="14">
        <f t="shared" ca="1" si="14"/>
        <v>0</v>
      </c>
      <c r="Q4" s="14">
        <f t="shared" ca="1" si="15"/>
        <v>0</v>
      </c>
      <c r="R4" s="14">
        <f t="shared" ca="1" si="16"/>
        <v>0</v>
      </c>
      <c r="S4" s="28">
        <f t="shared" ca="1" si="17"/>
        <v>6</v>
      </c>
      <c r="T4" s="14">
        <f t="shared" ca="1" si="18"/>
        <v>7</v>
      </c>
      <c r="U4" s="14">
        <f t="shared" ca="1" si="19"/>
        <v>0</v>
      </c>
      <c r="V4" s="14">
        <f t="shared" ca="1" si="20"/>
        <v>0</v>
      </c>
      <c r="W4" s="14">
        <f t="shared" ca="1" si="21"/>
        <v>48.283333333333331</v>
      </c>
      <c r="Y4" s="17">
        <f ca="1">IF($A4=0,0,SUMIF('Week 1 Roster'!$AZ:$AZ,$B4,'Week 1 Roster'!$AE:$AE))</f>
        <v>14.433333333333334</v>
      </c>
      <c r="Z4" s="17">
        <f ca="1">IF($A4=0,0,SUMIF('Week 1 Roster'!$AZ:$AZ,$B4,'Week 1 Roster'!$AG:$AG))</f>
        <v>6.4</v>
      </c>
      <c r="AA4" s="17">
        <f ca="1">IF($A4=0,0,SUMIF('Week 1 Roster'!$AZ:$AZ,$B4,'Week 1 Roster'!$AI:$AI))</f>
        <v>0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0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3</v>
      </c>
      <c r="AF4" s="17">
        <f ca="1">IF($A4=0,0,SUMIF('Week 1 Roster'!$AZ:$AZ,$B4,'Week 1 Roster'!$AQ:$AQ))</f>
        <v>7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27.833333333333336</v>
      </c>
      <c r="AK4" s="17">
        <f ca="1">IF($A4=0,0,SUMIF('Week 2 Roster'!$AZ:$AZ,$B4,'Week 2 Roster'!$AE:$AE))</f>
        <v>14.5</v>
      </c>
      <c r="AL4" s="17">
        <f ca="1">IF($A4=0,0,SUMIF('Week 2 Roster'!$AZ:$AZ,$B4,'Week 2 Roster'!$AG:$AG))</f>
        <v>5.9499999999999975</v>
      </c>
      <c r="AM4" s="17">
        <f ca="1">IF($A4=0,0,SUMIF('Week 2 Roster'!$AZ:$AZ,$B4,'Week 2 Roster'!$AI:$AI))</f>
        <v>0</v>
      </c>
      <c r="AN4" s="17">
        <f ca="1">IF($A4=0,0,SUMIF('Week 2 Roster'!$AZ:$AZ,$B4,'Week 2 Roster'!$AK:$AK))</f>
        <v>0</v>
      </c>
      <c r="AO4" s="17">
        <f ca="1">IF($A4=0,0,SUMIF('Week 2 Roster'!$AZ:$AZ,$B4,'Week 2 Roster'!$AM:$AM))</f>
        <v>0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3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20.449999999999996</v>
      </c>
      <c r="AV4" s="17"/>
      <c r="AW4" s="25">
        <f>'Week 1 Roster'!A4</f>
        <v>10329</v>
      </c>
      <c r="AX4" s="25">
        <f>'Week 2 Roster'!A4</f>
        <v>10329</v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10389</v>
      </c>
      <c r="B5" s="28">
        <f t="shared" ca="1" si="9"/>
        <v>10389</v>
      </c>
      <c r="C5" s="28" t="str">
        <f ca="1">IF($A5=0,"",VLOOKUP($B5,Employees!$A:$G,2,FALSE))</f>
        <v>Zekai</v>
      </c>
      <c r="D5" s="28" t="str">
        <f ca="1">IF($A5=0,"",VLOOKUP($B5,Employees!$A:$G,3,FALSE))</f>
        <v>Tang</v>
      </c>
      <c r="E5" s="26">
        <f ca="1">IF($A5=0,"",VLOOKUP($B5,Employees!$A:$G,5,FALSE))</f>
        <v>38379</v>
      </c>
      <c r="F5" s="13">
        <f ca="1">IF($E5="","",ROUNDDOWN(YEARFRAC($E5, 'Week 1 Roster'!$D$1-1, 1), 0))</f>
        <v>20</v>
      </c>
      <c r="G5" s="13">
        <f ca="1">IF($E5="","",ROUNDDOWN(YEARFRAC($E5, 'Week 1 Roster'!$D$1+14, 1), 0))</f>
        <v>20</v>
      </c>
      <c r="H5" s="13" t="b">
        <f t="shared" ca="1" si="10"/>
        <v>0</v>
      </c>
      <c r="I5" s="13">
        <f ca="1">IF($A5=0,"",VLOOKUP($B5,Employees!$A:$G,6,FALSE))</f>
        <v>48</v>
      </c>
      <c r="J5" s="13" t="str">
        <f ca="1">IF($A5=0,"",VLOOKUP($B5,Employees!$A:$G,7,FALSE))</f>
        <v>SS</v>
      </c>
      <c r="K5" s="13" t="str">
        <f ca="1">IF($A5=0,"",IF(ISNA(VLOOKUP(A5,'Week 1 Roster'!A:C,2,0)),VLOOKUP(A5,'Week 2 Roster'!A:C,2,0),VLOOKUP(A5,'Week 1 Roster'!A:C,2,0)))</f>
        <v>Westfield Syd</v>
      </c>
      <c r="L5" s="13" t="str">
        <f ca="1">IF($A5=0,"",VLOOKUP(K5,Stores!A:B,2,0))</f>
        <v>Superb</v>
      </c>
      <c r="M5" s="14">
        <f t="shared" ca="1" si="11"/>
        <v>13.06666666666667</v>
      </c>
      <c r="N5" s="14">
        <f t="shared" ca="1" si="12"/>
        <v>12.899999999999999</v>
      </c>
      <c r="O5" s="14">
        <f t="shared" ca="1" si="13"/>
        <v>0</v>
      </c>
      <c r="P5" s="14">
        <f t="shared" ca="1" si="14"/>
        <v>0</v>
      </c>
      <c r="Q5" s="14">
        <f t="shared" ca="1" si="15"/>
        <v>0</v>
      </c>
      <c r="R5" s="14">
        <f t="shared" ca="1" si="16"/>
        <v>0</v>
      </c>
      <c r="S5" s="28">
        <f t="shared" ca="1" si="17"/>
        <v>4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25.966666666666669</v>
      </c>
      <c r="Y5" s="17">
        <f ca="1">IF($A5=0,0,SUMIF('Week 1 Roster'!$AZ:$AZ,$B5,'Week 1 Roster'!$AE:$AE))</f>
        <v>6.533333333333335</v>
      </c>
      <c r="Z5" s="17">
        <f ca="1">IF($A5=0,0,SUMIF('Week 1 Roster'!$AZ:$AZ,$B5,'Week 1 Roster'!$AG:$AG))</f>
        <v>6.4333333333333327</v>
      </c>
      <c r="AA5" s="17">
        <f ca="1">IF($A5=0,0,SUMIF('Week 1 Roster'!$AZ:$AZ,$B5,'Week 1 Roster'!$AI:$AI))</f>
        <v>0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0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2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12.966666666666669</v>
      </c>
      <c r="AK5" s="17">
        <f ca="1">IF($A5=0,0,SUMIF('Week 2 Roster'!$AZ:$AZ,$B5,'Week 2 Roster'!$AE:$AE))</f>
        <v>6.533333333333335</v>
      </c>
      <c r="AL5" s="17">
        <f ca="1">IF($A5=0,0,SUMIF('Week 2 Roster'!$AZ:$AZ,$B5,'Week 2 Roster'!$AG:$AG))</f>
        <v>6.4666666666666659</v>
      </c>
      <c r="AM5" s="17">
        <f ca="1">IF($A5=0,0,SUMIF('Week 2 Roster'!$AZ:$AZ,$B5,'Week 2 Roster'!$AI:$AI))</f>
        <v>0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0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2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13</v>
      </c>
      <c r="AV5" s="17"/>
      <c r="AW5" s="25">
        <f>'Week 1 Roster'!A5</f>
        <v>10389</v>
      </c>
      <c r="AX5" s="25">
        <f>'Week 2 Roster'!A5</f>
        <v>10389</v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210428</v>
      </c>
      <c r="B6" s="28">
        <f t="shared" ca="1" si="9"/>
        <v>210428</v>
      </c>
      <c r="C6" s="28" t="str">
        <f ca="1">IF($A6=0,"",VLOOKUP($B6,Employees!$A:$G,2,FALSE))</f>
        <v>Michael</v>
      </c>
      <c r="D6" s="28" t="str">
        <f ca="1">IF($A6=0,"",VLOOKUP($B6,Employees!$A:$G,3,FALSE))</f>
        <v>Guagliardo</v>
      </c>
      <c r="E6" s="26">
        <f ca="1">IF($A6=0,"",VLOOKUP($B6,Employees!$A:$G,5,FALSE))</f>
        <v>35913</v>
      </c>
      <c r="F6" s="13">
        <f ca="1">IF($E6="","",ROUNDDOWN(YEARFRAC($E6, 'Week 1 Roster'!$D$1-1, 1), 0))</f>
        <v>27</v>
      </c>
      <c r="G6" s="13">
        <f ca="1">IF($E6="","",ROUNDDOWN(YEARFRAC($E6, 'Week 1 Roster'!$D$1+14, 1), 0))</f>
        <v>27</v>
      </c>
      <c r="H6" s="13" t="b">
        <f t="shared" ca="1" si="10"/>
        <v>0</v>
      </c>
      <c r="I6" s="13">
        <f ca="1">IF($A6=0,"",VLOOKUP($B6,Employees!$A:$G,6,FALSE))</f>
        <v>76</v>
      </c>
      <c r="J6" s="13" t="str">
        <f ca="1">IF($A6=0,"",VLOOKUP($B6,Employees!$A:$G,7,FALSE))</f>
        <v>SS</v>
      </c>
      <c r="K6" s="13" t="str">
        <f ca="1">IF($A6=0,"",IF(ISNA(VLOOKUP(A6,'Week 1 Roster'!A:C,2,0)),VLOOKUP(A6,'Week 2 Roster'!A:C,2,0),VLOOKUP(A6,'Week 1 Roster'!A:C,2,0)))</f>
        <v>Westfield Syd</v>
      </c>
      <c r="L6" s="13" t="str">
        <f ca="1">IF($A6=0,"",VLOOKUP(K6,Stores!A:B,2,0))</f>
        <v>Superb</v>
      </c>
      <c r="M6" s="14">
        <f t="shared" ca="1" si="11"/>
        <v>21.916666666666668</v>
      </c>
      <c r="N6" s="14">
        <f t="shared" ca="1" si="12"/>
        <v>0</v>
      </c>
      <c r="O6" s="14">
        <f t="shared" ca="1" si="13"/>
        <v>13.466666666666669</v>
      </c>
      <c r="P6" s="14">
        <f t="shared" ca="1" si="14"/>
        <v>0</v>
      </c>
      <c r="Q6" s="14">
        <f t="shared" ca="1" si="15"/>
        <v>0</v>
      </c>
      <c r="R6" s="14">
        <f t="shared" ca="1" si="16"/>
        <v>0</v>
      </c>
      <c r="S6" s="28">
        <f t="shared" ca="1" si="17"/>
        <v>5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35.38333333333334</v>
      </c>
      <c r="Y6" s="17">
        <f ca="1">IF($A6=0,0,SUMIF('Week 1 Roster'!$AZ:$AZ,$B6,'Week 1 Roster'!$AE:$AE))</f>
        <v>6.916666666666667</v>
      </c>
      <c r="Z6" s="17">
        <f ca="1">IF($A6=0,0,SUMIF('Week 1 Roster'!$AZ:$AZ,$B6,'Week 1 Roster'!$AG:$AG))</f>
        <v>0</v>
      </c>
      <c r="AA6" s="17">
        <f ca="1">IF($A6=0,0,SUMIF('Week 1 Roster'!$AZ:$AZ,$B6,'Week 1 Roster'!$AI:$AI))</f>
        <v>6.8000000000000007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0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2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13.716666666666669</v>
      </c>
      <c r="AK6" s="17">
        <f ca="1">IF($A6=0,0,SUMIF('Week 2 Roster'!$AZ:$AZ,$B6,'Week 2 Roster'!$AE:$AE))</f>
        <v>15</v>
      </c>
      <c r="AL6" s="17">
        <f ca="1">IF($A6=0,0,SUMIF('Week 2 Roster'!$AZ:$AZ,$B6,'Week 2 Roster'!$AG:$AG))</f>
        <v>0</v>
      </c>
      <c r="AM6" s="17">
        <f ca="1">IF($A6=0,0,SUMIF('Week 2 Roster'!$AZ:$AZ,$B6,'Week 2 Roster'!$AI:$AI))</f>
        <v>6.6666666666666679</v>
      </c>
      <c r="AN6" s="17">
        <f ca="1">IF($A6=0,0,SUMIF('Week 2 Roster'!$AZ:$AZ,$B6,'Week 2 Roster'!$AK:$AK))</f>
        <v>0</v>
      </c>
      <c r="AO6" s="17">
        <f ca="1">IF($A6=0,0,SUMIF('Week 2 Roster'!$AZ:$AZ,$B6,'Week 2 Roster'!$AM:$AM))</f>
        <v>0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3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21.666666666666668</v>
      </c>
      <c r="AV6" s="17"/>
      <c r="AW6" s="25">
        <f>'Week 1 Roster'!A6</f>
        <v>210428</v>
      </c>
      <c r="AX6" s="25">
        <f>'Week 2 Roster'!A6</f>
        <v>210428</v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210429</v>
      </c>
      <c r="B7" s="28">
        <f t="shared" ca="1" si="9"/>
        <v>210429</v>
      </c>
      <c r="C7" s="28" t="str">
        <f ca="1">IF($A7=0,"",VLOOKUP($B7,Employees!$A:$G,2,FALSE))</f>
        <v>Amy</v>
      </c>
      <c r="D7" s="28" t="str">
        <f ca="1">IF($A7=0,"",VLOOKUP($B7,Employees!$A:$G,3,FALSE))</f>
        <v>Watson</v>
      </c>
      <c r="E7" s="26">
        <f ca="1">IF($A7=0,"",VLOOKUP($B7,Employees!$A:$G,5,FALSE))</f>
        <v>37158</v>
      </c>
      <c r="F7" s="13">
        <f ca="1">IF($E7="","",ROUNDDOWN(YEARFRAC($E7, 'Week 1 Roster'!$D$1-1, 1), 0))</f>
        <v>24</v>
      </c>
      <c r="G7" s="13">
        <f ca="1">IF($E7="","",ROUNDDOWN(YEARFRAC($E7, 'Week 1 Roster'!$D$1+14, 1), 0))</f>
        <v>24</v>
      </c>
      <c r="H7" s="13" t="b">
        <f t="shared" ca="1" si="10"/>
        <v>0</v>
      </c>
      <c r="I7" s="13">
        <f ca="1">IF($A7=0,"",VLOOKUP($B7,Employees!$A:$G,6,FALSE))</f>
        <v>76</v>
      </c>
      <c r="J7" s="13" t="str">
        <f ca="1">IF($A7=0,"",VLOOKUP($B7,Employees!$A:$G,7,FALSE))</f>
        <v>SS</v>
      </c>
      <c r="K7" s="13" t="str">
        <f ca="1">IF($A7=0,"",IF(ISNA(VLOOKUP(A7,'Week 1 Roster'!A:C,2,0)),VLOOKUP(A7,'Week 2 Roster'!A:C,2,0),VLOOKUP(A7,'Week 1 Roster'!A:C,2,0)))</f>
        <v>Westfield Syd</v>
      </c>
      <c r="L7" s="13" t="str">
        <f ca="1">IF($A7=0,"",VLOOKUP(K7,Stores!A:B,2,0))</f>
        <v>Superb</v>
      </c>
      <c r="M7" s="14">
        <f t="shared" ca="1" si="11"/>
        <v>14.5</v>
      </c>
      <c r="N7" s="14">
        <f t="shared" ca="1" si="12"/>
        <v>4.9999999999999982</v>
      </c>
      <c r="O7" s="14">
        <f t="shared" ca="1" si="13"/>
        <v>5.0333333333333341</v>
      </c>
      <c r="P7" s="14">
        <f t="shared" ca="1" si="14"/>
        <v>0</v>
      </c>
      <c r="Q7" s="14">
        <f t="shared" ca="1" si="15"/>
        <v>0</v>
      </c>
      <c r="R7" s="14">
        <f t="shared" ca="1" si="16"/>
        <v>0</v>
      </c>
      <c r="S7" s="28">
        <f t="shared" ca="1" si="17"/>
        <v>4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24.533333333333335</v>
      </c>
      <c r="Y7" s="17">
        <f ca="1">IF($A7=0,0,SUMIF('Week 1 Roster'!$AZ:$AZ,$B7,'Week 1 Roster'!$AE:$AE))</f>
        <v>14.5</v>
      </c>
      <c r="Z7" s="17">
        <f ca="1">IF($A7=0,0,SUMIF('Week 1 Roster'!$AZ:$AZ,$B7,'Week 1 Roster'!$AG:$AG))</f>
        <v>4.9999999999999982</v>
      </c>
      <c r="AA7" s="17">
        <f ca="1">IF($A7=0,0,SUMIF('Week 1 Roster'!$AZ:$AZ,$B7,'Week 1 Roster'!$AI:$AI))</f>
        <v>5.0333333333333341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4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24.533333333333335</v>
      </c>
      <c r="AK7" s="17">
        <f ca="1">IF($A7=0,0,SUMIF('Week 2 Roster'!$AZ:$AZ,$B7,'Week 2 Roster'!$AE:$AE))</f>
        <v>0</v>
      </c>
      <c r="AL7" s="17">
        <f ca="1">IF($A7=0,0,SUMIF('Week 2 Roster'!$AZ:$AZ,$B7,'Week 2 Roster'!$AG:$AG))</f>
        <v>0</v>
      </c>
      <c r="AM7" s="17">
        <f ca="1">IF($A7=0,0,SUMIF('Week 2 Roster'!$AZ:$AZ,$B7,'Week 2 Roster'!$AI:$AI))</f>
        <v>0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0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0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0</v>
      </c>
      <c r="AV7" s="17"/>
      <c r="AW7" s="25">
        <f>'Week 1 Roster'!A7</f>
        <v>210429</v>
      </c>
      <c r="AX7" s="25">
        <f>'Week 2 Roster'!A7</f>
        <v>210429</v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210507</v>
      </c>
      <c r="B8" s="28">
        <f t="shared" ca="1" si="9"/>
        <v>210507</v>
      </c>
      <c r="C8" s="28" t="str">
        <f ca="1">IF($A8=0,"",VLOOKUP($B8,Employees!$A:$G,2,FALSE))</f>
        <v>Valerin</v>
      </c>
      <c r="D8" s="28" t="str">
        <f ca="1">IF($A8=0,"",VLOOKUP($B8,Employees!$A:$G,3,FALSE))</f>
        <v>Limantomo</v>
      </c>
      <c r="E8" s="26">
        <f ca="1">IF($A8=0,"",VLOOKUP($B8,Employees!$A:$G,5,FALSE))</f>
        <v>38605</v>
      </c>
      <c r="F8" s="13">
        <f ca="1">IF($E8="","",ROUNDDOWN(YEARFRAC($E8, 'Week 1 Roster'!$D$1-1, 1), 0))</f>
        <v>20</v>
      </c>
      <c r="G8" s="13">
        <f ca="1">IF($E8="","",ROUNDDOWN(YEARFRAC($E8, 'Week 1 Roster'!$D$1+14, 1), 0))</f>
        <v>20</v>
      </c>
      <c r="H8" s="13" t="b">
        <f t="shared" ca="1" si="10"/>
        <v>0</v>
      </c>
      <c r="I8" s="13">
        <f ca="1">IF($A8=0,"",VLOOKUP($B8,Employees!$A:$G,6,FALSE))</f>
        <v>48</v>
      </c>
      <c r="J8" s="13" t="str">
        <f ca="1">IF($A8=0,"",VLOOKUP($B8,Employees!$A:$G,7,FALSE))</f>
        <v>Win</v>
      </c>
      <c r="K8" s="13" t="str">
        <f ca="1">IF($A8=0,"",IF(ISNA(VLOOKUP(A8,'Week 1 Roster'!A:C,2,0)),VLOOKUP(A8,'Week 2 Roster'!A:C,2,0),VLOOKUP(A8,'Week 1 Roster'!A:C,2,0)))</f>
        <v>Westfield Syd</v>
      </c>
      <c r="L8" s="13" t="str">
        <f ca="1">IF($A8=0,"",VLOOKUP(K8,Stores!A:B,2,0))</f>
        <v>Superb</v>
      </c>
      <c r="M8" s="14">
        <f t="shared" ca="1" si="11"/>
        <v>27.8</v>
      </c>
      <c r="N8" s="14">
        <f t="shared" ca="1" si="12"/>
        <v>0</v>
      </c>
      <c r="O8" s="14">
        <f t="shared" ca="1" si="13"/>
        <v>4.9999999999999982</v>
      </c>
      <c r="P8" s="14">
        <f t="shared" ca="1" si="14"/>
        <v>0</v>
      </c>
      <c r="Q8" s="14">
        <f t="shared" ca="1" si="15"/>
        <v>0</v>
      </c>
      <c r="R8" s="14">
        <f t="shared" ca="1" si="16"/>
        <v>0</v>
      </c>
      <c r="S8" s="28">
        <f t="shared" ca="1" si="17"/>
        <v>5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32.799999999999997</v>
      </c>
      <c r="Y8" s="17">
        <f ca="1">IF($A8=0,0,SUMIF('Week 1 Roster'!$AZ:$AZ,$B8,'Week 1 Roster'!$AE:$AE))</f>
        <v>7</v>
      </c>
      <c r="Z8" s="17">
        <f ca="1">IF($A8=0,0,SUMIF('Week 1 Roster'!$AZ:$AZ,$B8,'Week 1 Roster'!$AG:$AG))</f>
        <v>0</v>
      </c>
      <c r="AA8" s="17">
        <f ca="1">IF($A8=0,0,SUMIF('Week 1 Roster'!$AZ:$AZ,$B8,'Week 1 Roster'!$AI:$AI))</f>
        <v>0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1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7</v>
      </c>
      <c r="AK8" s="17">
        <f ca="1">IF($A8=0,0,SUMIF('Week 2 Roster'!$AZ:$AZ,$B8,'Week 2 Roster'!$AE:$AE))</f>
        <v>20.8</v>
      </c>
      <c r="AL8" s="17">
        <f ca="1">IF($A8=0,0,SUMIF('Week 2 Roster'!$AZ:$AZ,$B8,'Week 2 Roster'!$AG:$AG))</f>
        <v>0</v>
      </c>
      <c r="AM8" s="17">
        <f ca="1">IF($A8=0,0,SUMIF('Week 2 Roster'!$AZ:$AZ,$B8,'Week 2 Roster'!$AI:$AI))</f>
        <v>4.9999999999999982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4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25.799999999999997</v>
      </c>
      <c r="AV8" s="17"/>
      <c r="AW8" s="25">
        <f>'Week 1 Roster'!A8</f>
        <v>210507</v>
      </c>
      <c r="AX8" s="25">
        <f>'Week 2 Roster'!A8</f>
        <v>210507</v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0</v>
      </c>
      <c r="B9" s="28" t="str">
        <f t="shared" ca="1" si="9"/>
        <v/>
      </c>
      <c r="C9" s="28" t="str">
        <f ca="1">IF($A9=0,"",VLOOKUP($B9,Employees!$A:$G,2,FALSE))</f>
        <v/>
      </c>
      <c r="D9" s="28" t="str">
        <f ca="1">IF($A9=0,"",VLOOKUP($B9,Employees!$A:$G,3,FALSE))</f>
        <v/>
      </c>
      <c r="E9" s="26" t="str">
        <f ca="1">IF($A9=0,"",VLOOKUP($B9,Employees!$A:$G,5,FALSE))</f>
        <v/>
      </c>
      <c r="F9" s="13" t="str">
        <f ca="1">IF($E9="","",ROUNDDOWN(YEARFRAC($E9, 'Week 1 Roster'!$D$1-1, 1), 0))</f>
        <v/>
      </c>
      <c r="G9" s="13" t="str">
        <f ca="1">IF($E9="","",ROUNDDOWN(YEARFRAC($E9, 'Week 1 Roster'!$D$1+14, 1), 0))</f>
        <v/>
      </c>
      <c r="H9" s="13" t="str">
        <f t="shared" ca="1" si="10"/>
        <v/>
      </c>
      <c r="I9" s="13" t="str">
        <f ca="1">IF($A9=0,"",VLOOKUP($B9,Employees!$A:$G,6,FALSE))</f>
        <v/>
      </c>
      <c r="J9" s="13" t="str">
        <f ca="1">IF($A9=0,"",VLOOKUP($B9,Employees!$A:$G,7,FALSE))</f>
        <v/>
      </c>
      <c r="K9" s="13" t="str">
        <f ca="1">IF($A9=0,"",IF(ISNA(VLOOKUP(A9,'Week 1 Roster'!A:C,2,0)),VLOOKUP(A9,'Week 2 Roster'!A:C,2,0),VLOOKUP(A9,'Week 1 Roster'!A:C,2,0)))</f>
        <v/>
      </c>
      <c r="L9" s="13" t="str">
        <f ca="1">IF($A9=0,"",VLOOKUP(K9,Stores!A:B,2,0))</f>
        <v/>
      </c>
      <c r="M9" s="14">
        <f t="shared" ca="1" si="11"/>
        <v>0</v>
      </c>
      <c r="N9" s="14">
        <f t="shared" ca="1" si="12"/>
        <v>0</v>
      </c>
      <c r="O9" s="14">
        <f t="shared" ca="1" si="13"/>
        <v>0</v>
      </c>
      <c r="P9" s="14">
        <f t="shared" ca="1" si="14"/>
        <v>0</v>
      </c>
      <c r="Q9" s="14">
        <f t="shared" ca="1" si="15"/>
        <v>0</v>
      </c>
      <c r="R9" s="14">
        <f t="shared" ca="1" si="16"/>
        <v>0</v>
      </c>
      <c r="S9" s="28">
        <f t="shared" ca="1" si="17"/>
        <v>0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0</v>
      </c>
      <c r="Y9" s="17">
        <f ca="1">IF($A9=0,0,SUMIF('Week 1 Roster'!$AZ:$AZ,$B9,'Week 1 Roster'!$AE:$AE))</f>
        <v>0</v>
      </c>
      <c r="Z9" s="17">
        <f ca="1">IF($A9=0,0,SUMIF('Week 1 Roster'!$AZ:$AZ,$B9,'Week 1 Roster'!$AG:$AG))</f>
        <v>0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0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0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0</v>
      </c>
      <c r="AK9" s="17">
        <f ca="1">IF($A9=0,0,SUMIF('Week 2 Roster'!$AZ:$AZ,$B9,'Week 2 Roster'!$AE:$AE))</f>
        <v>0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0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0</v>
      </c>
      <c r="AV9" s="17"/>
      <c r="AW9" s="25" t="str">
        <f>'Week 1 Roster'!A9</f>
        <v/>
      </c>
      <c r="AX9" s="25" t="str">
        <f>'Week 2 Roster'!A9</f>
        <v/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0</v>
      </c>
      <c r="B10" s="28" t="str">
        <f t="shared" ca="1" si="9"/>
        <v/>
      </c>
      <c r="C10" s="28" t="str">
        <f ca="1">IF($A10=0,"",VLOOKUP($B10,Employees!$A:$G,2,FALSE))</f>
        <v/>
      </c>
      <c r="D10" s="28" t="str">
        <f ca="1">IF($A10=0,"",VLOOKUP($B10,Employees!$A:$G,3,FALSE))</f>
        <v/>
      </c>
      <c r="E10" s="26" t="str">
        <f ca="1">IF($A10=0,"",VLOOKUP($B10,Employees!$A:$G,5,FALSE))</f>
        <v/>
      </c>
      <c r="F10" s="13" t="str">
        <f ca="1">IF($E10="","",ROUNDDOWN(YEARFRAC($E10, 'Week 1 Roster'!$D$1-1, 1), 0))</f>
        <v/>
      </c>
      <c r="G10" s="13" t="str">
        <f ca="1">IF($E10="","",ROUNDDOWN(YEARFRAC($E10, 'Week 1 Roster'!$D$1+14, 1), 0))</f>
        <v/>
      </c>
      <c r="H10" s="13" t="str">
        <f t="shared" ca="1" si="10"/>
        <v/>
      </c>
      <c r="I10" s="13" t="str">
        <f ca="1">IF($A10=0,"",VLOOKUP($B10,Employees!$A:$G,6,FALSE))</f>
        <v/>
      </c>
      <c r="J10" s="13" t="str">
        <f ca="1">IF($A10=0,"",VLOOKUP($B10,Employees!$A:$G,7,FALSE))</f>
        <v/>
      </c>
      <c r="K10" s="13" t="str">
        <f ca="1">IF($A10=0,"",IF(ISNA(VLOOKUP(A10,'Week 1 Roster'!A:C,2,0)),VLOOKUP(A10,'Week 2 Roster'!A:C,2,0),VLOOKUP(A10,'Week 1 Roster'!A:C,2,0)))</f>
        <v/>
      </c>
      <c r="L10" s="13" t="str">
        <f ca="1">IF($A10=0,"",VLOOKUP(K10,Stores!A:B,2,0))</f>
        <v/>
      </c>
      <c r="M10" s="14">
        <f t="shared" ca="1" si="11"/>
        <v>0</v>
      </c>
      <c r="N10" s="14">
        <f t="shared" ca="1" si="12"/>
        <v>0</v>
      </c>
      <c r="O10" s="14">
        <f t="shared" ca="1" si="13"/>
        <v>0</v>
      </c>
      <c r="P10" s="14">
        <f t="shared" ca="1" si="14"/>
        <v>0</v>
      </c>
      <c r="Q10" s="14">
        <f t="shared" ca="1" si="15"/>
        <v>0</v>
      </c>
      <c r="R10" s="14">
        <f t="shared" ca="1" si="16"/>
        <v>0</v>
      </c>
      <c r="S10" s="28">
        <f t="shared" ca="1" si="17"/>
        <v>0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0</v>
      </c>
      <c r="Y10" s="17">
        <f ca="1">IF($A10=0,0,SUMIF('Week 1 Roster'!$AZ:$AZ,$B10,'Week 1 Roster'!$AE:$AE))</f>
        <v>0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0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0</v>
      </c>
      <c r="AK10" s="17">
        <f ca="1">IF($A10=0,0,SUMIF('Week 2 Roster'!$AZ:$AZ,$B10,'Week 2 Roster'!$AE:$AE))</f>
        <v>0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0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0</v>
      </c>
      <c r="AV10" s="17"/>
      <c r="AW10" s="25" t="str">
        <f>'Week 1 Roster'!A10</f>
        <v/>
      </c>
      <c r="AX10" s="25" t="str">
        <f>'Week 2 Roster'!A10</f>
        <v/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0</v>
      </c>
      <c r="B11" s="28" t="str">
        <f t="shared" ca="1" si="9"/>
        <v/>
      </c>
      <c r="C11" s="28" t="str">
        <f ca="1">IF($A11=0,"",VLOOKUP($B11,Employees!$A:$G,2,FALSE))</f>
        <v/>
      </c>
      <c r="D11" s="28" t="str">
        <f ca="1">IF($A11=0,"",VLOOKUP($B11,Employees!$A:$G,3,FALSE))</f>
        <v/>
      </c>
      <c r="E11" s="26" t="str">
        <f ca="1">IF($A11=0,"",VLOOKUP($B11,Employees!$A:$G,5,FALSE))</f>
        <v/>
      </c>
      <c r="F11" s="13" t="str">
        <f ca="1">IF($E11="","",ROUNDDOWN(YEARFRAC($E11, 'Week 1 Roster'!$D$1-1, 1), 0))</f>
        <v/>
      </c>
      <c r="G11" s="13" t="str">
        <f ca="1">IF($E11="","",ROUNDDOWN(YEARFRAC($E11, 'Week 1 Roster'!$D$1+14, 1), 0))</f>
        <v/>
      </c>
      <c r="H11" s="13" t="str">
        <f t="shared" ca="1" si="10"/>
        <v/>
      </c>
      <c r="I11" s="13" t="str">
        <f ca="1">IF($A11=0,"",VLOOKUP($B11,Employees!$A:$G,6,FALSE))</f>
        <v/>
      </c>
      <c r="J11" s="13" t="str">
        <f ca="1">IF($A11=0,"",VLOOKUP($B11,Employees!$A:$G,7,FALSE))</f>
        <v/>
      </c>
      <c r="K11" s="13" t="str">
        <f ca="1">IF($A11=0,"",IF(ISNA(VLOOKUP(A11,'Week 1 Roster'!A:C,2,0)),VLOOKUP(A11,'Week 2 Roster'!A:C,2,0),VLOOKUP(A11,'Week 1 Roster'!A:C,2,0)))</f>
        <v/>
      </c>
      <c r="L11" s="13" t="str">
        <f ca="1">IF($A11=0,"",VLOOKUP(K11,Stores!A:B,2,0))</f>
        <v/>
      </c>
      <c r="M11" s="14">
        <f t="shared" ca="1" si="11"/>
        <v>0</v>
      </c>
      <c r="N11" s="14">
        <f t="shared" ca="1" si="12"/>
        <v>0</v>
      </c>
      <c r="O11" s="14">
        <f t="shared" ca="1" si="13"/>
        <v>0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0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0</v>
      </c>
      <c r="Y11" s="17">
        <f ca="1">IF($A11=0,0,SUMIF('Week 1 Roster'!$AZ:$AZ,$B11,'Week 1 Roster'!$AE:$AE))</f>
        <v>0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0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0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0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0</v>
      </c>
      <c r="AV11" s="17"/>
      <c r="AW11" s="25" t="str">
        <f>'Week 1 Roster'!A11</f>
        <v/>
      </c>
      <c r="AX11" s="25" t="str">
        <f>'Week 2 Roster'!A11</f>
        <v/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0</v>
      </c>
      <c r="B12" s="28" t="str">
        <f t="shared" ca="1" si="9"/>
        <v/>
      </c>
      <c r="C12" s="28" t="str">
        <f ca="1">IF($A12=0,"",VLOOKUP($B12,Employees!$A:$G,2,FALSE))</f>
        <v/>
      </c>
      <c r="D12" s="28" t="str">
        <f ca="1">IF($A12=0,"",VLOOKUP($B12,Employees!$A:$G,3,FALSE))</f>
        <v/>
      </c>
      <c r="E12" s="26" t="str">
        <f ca="1">IF($A12=0,"",VLOOKUP($B12,Employees!$A:$G,5,FALSE))</f>
        <v/>
      </c>
      <c r="F12" s="13" t="str">
        <f ca="1">IF($E12="","",ROUNDDOWN(YEARFRAC($E12, 'Week 1 Roster'!$D$1-1, 1), 0))</f>
        <v/>
      </c>
      <c r="G12" s="13" t="str">
        <f ca="1">IF($E12="","",ROUNDDOWN(YEARFRAC($E12, 'Week 1 Roster'!$D$1+14, 1), 0))</f>
        <v/>
      </c>
      <c r="H12" s="13" t="str">
        <f t="shared" ca="1" si="10"/>
        <v/>
      </c>
      <c r="I12" s="13" t="str">
        <f ca="1">IF($A12=0,"",VLOOKUP($B12,Employees!$A:$G,6,FALSE))</f>
        <v/>
      </c>
      <c r="J12" s="13" t="str">
        <f ca="1">IF($A12=0,"",VLOOKUP($B12,Employees!$A:$G,7,FALSE))</f>
        <v/>
      </c>
      <c r="K12" s="13" t="str">
        <f ca="1">IF($A12=0,"",IF(ISNA(VLOOKUP(A12,'Week 1 Roster'!A:C,2,0)),VLOOKUP(A12,'Week 2 Roster'!A:C,2,0),VLOOKUP(A12,'Week 1 Roster'!A:C,2,0)))</f>
        <v/>
      </c>
      <c r="L12" s="13" t="str">
        <f ca="1">IF($A12=0,"",VLOOKUP(K12,Stores!A:B,2,0))</f>
        <v/>
      </c>
      <c r="M12" s="14">
        <f t="shared" ca="1" si="11"/>
        <v>0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0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0</v>
      </c>
      <c r="Y12" s="17">
        <f ca="1">IF($A12=0,0,SUMIF('Week 1 Roster'!$AZ:$AZ,$B12,'Week 1 Roster'!$AE:$AE))</f>
        <v>0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0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0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 t="str">
        <f>'Week 1 Roster'!A12</f>
        <v/>
      </c>
      <c r="AX12" s="25" t="str">
        <f>'Week 2 Roster'!A12</f>
        <v/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0</v>
      </c>
      <c r="B13" s="28" t="str">
        <f t="shared" ca="1" si="9"/>
        <v/>
      </c>
      <c r="C13" s="28" t="str">
        <f ca="1">IF($A13=0,"",VLOOKUP($B13,Employees!$A:$G,2,FALSE))</f>
        <v/>
      </c>
      <c r="D13" s="28" t="str">
        <f ca="1">IF($A13=0,"",VLOOKUP($B13,Employees!$A:$G,3,FALSE))</f>
        <v/>
      </c>
      <c r="E13" s="26" t="str">
        <f ca="1">IF($A13=0,"",VLOOKUP($B13,Employees!$A:$G,5,FALSE))</f>
        <v/>
      </c>
      <c r="F13" s="13" t="str">
        <f ca="1">IF($E13="","",ROUNDDOWN(YEARFRAC($E13, 'Week 1 Roster'!$D$1-1, 1), 0))</f>
        <v/>
      </c>
      <c r="G13" s="13" t="str">
        <f ca="1">IF($E13="","",ROUNDDOWN(YEARFRAC($E13, 'Week 1 Roster'!$D$1+14, 1), 0))</f>
        <v/>
      </c>
      <c r="H13" s="13" t="str">
        <f t="shared" ca="1" si="10"/>
        <v/>
      </c>
      <c r="I13" s="13" t="str">
        <f ca="1">IF($A13=0,"",VLOOKUP($B13,Employees!$A:$G,6,FALSE))</f>
        <v/>
      </c>
      <c r="J13" s="13" t="str">
        <f ca="1">IF($A13=0,"",VLOOKUP($B13,Employees!$A:$G,7,FALSE))</f>
        <v/>
      </c>
      <c r="K13" s="13" t="str">
        <f ca="1">IF($A13=0,"",IF(ISNA(VLOOKUP(A13,'Week 1 Roster'!A:C,2,0)),VLOOKUP(A13,'Week 2 Roster'!A:C,2,0),VLOOKUP(A13,'Week 1 Roster'!A:C,2,0)))</f>
        <v/>
      </c>
      <c r="L13" s="13" t="str">
        <f ca="1">IF($A13=0,"",VLOOKUP(K13,Stores!A:B,2,0))</f>
        <v/>
      </c>
      <c r="M13" s="14">
        <f t="shared" ca="1" si="11"/>
        <v>0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0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0</v>
      </c>
      <c r="Y13" s="17">
        <f ca="1">IF($A13=0,0,SUMIF('Week 1 Roster'!$AZ:$AZ,$B13,'Week 1 Roster'!$AE:$AE))</f>
        <v>0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0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0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 t="str">
        <f>'Week 1 Roster'!A13</f>
        <v/>
      </c>
      <c r="AX13" s="25" t="str">
        <f>'Week 2 Roster'!A13</f>
        <v/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6" priority="1" operator="equal">
      <formula>FALSE</formula>
    </cfRule>
  </conditionalFormatting>
  <conditionalFormatting sqref="M1:AU1048576">
    <cfRule type="cellIs" dxfId="5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464" zoomScale="186" zoomScaleNormal="186" workbookViewId="0">
      <selection activeCell="D253" sqref="D253"/>
    </sheetView>
  </sheetViews>
  <sheetFormatPr baseColWidth="10" defaultRowHeight="13"/>
  <cols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/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 t="s">
        <v>1348</v>
      </c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/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76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 t="s">
        <v>1348</v>
      </c>
      <c r="I177" s="12">
        <f t="shared" si="2"/>
        <v>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4880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10188</v>
      </c>
      <c r="B189" s="39" t="s">
        <v>347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435</v>
      </c>
      <c r="H189" s="39"/>
      <c r="I189" s="12">
        <f t="shared" si="2"/>
        <v>10188</v>
      </c>
    </row>
    <row r="190" spans="1:9">
      <c r="A190" s="2">
        <v>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434</v>
      </c>
      <c r="H190" s="39"/>
      <c r="I190" s="12">
        <f t="shared" si="2"/>
        <v>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 t="s">
        <v>1348</v>
      </c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48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871</v>
      </c>
      <c r="H391" s="39"/>
      <c r="I391" s="12">
        <f t="shared" si="6"/>
        <v>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210431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871</v>
      </c>
      <c r="H432" s="39"/>
      <c r="I432" s="12">
        <f t="shared" si="7"/>
        <v>210431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48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210491</v>
      </c>
      <c r="B492" s="67" t="s">
        <v>1342</v>
      </c>
      <c r="C492" s="67" t="s">
        <v>1341</v>
      </c>
      <c r="D492" s="67" t="s">
        <v>1343</v>
      </c>
      <c r="E492" s="1"/>
      <c r="F492" s="32">
        <v>76</v>
      </c>
      <c r="G492" s="39" t="s">
        <v>871</v>
      </c>
      <c r="H492" s="39"/>
      <c r="I492" s="12">
        <f t="shared" si="8"/>
        <v>210491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210503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48</v>
      </c>
      <c r="G504" s="39" t="s">
        <v>1376</v>
      </c>
      <c r="I504" s="12">
        <f t="shared" si="8"/>
        <v>210503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48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/>
      <c r="B515" s="2"/>
      <c r="C515" s="2"/>
      <c r="D515" s="2"/>
      <c r="E515" s="1"/>
      <c r="G515" s="39"/>
      <c r="I515" s="12">
        <f t="shared" si="9"/>
        <v>0</v>
      </c>
    </row>
    <row r="516" spans="1:9">
      <c r="I516" s="12">
        <f t="shared" si="9"/>
        <v>0</v>
      </c>
    </row>
    <row r="517" spans="1:9">
      <c r="I517" s="12">
        <f t="shared" si="9"/>
        <v>0</v>
      </c>
    </row>
    <row r="518" spans="1:9">
      <c r="I518" s="12">
        <f t="shared" si="9"/>
        <v>0</v>
      </c>
    </row>
    <row r="519" spans="1:9">
      <c r="I519" s="12">
        <f t="shared" si="9"/>
        <v>0</v>
      </c>
    </row>
    <row r="520" spans="1:9">
      <c r="I520" s="12">
        <f t="shared" si="9"/>
        <v>0</v>
      </c>
    </row>
    <row r="521" spans="1:9">
      <c r="I521" s="12">
        <f t="shared" si="9"/>
        <v>0</v>
      </c>
    </row>
    <row r="522" spans="1:9">
      <c r="I522" s="12">
        <f t="shared" si="9"/>
        <v>0</v>
      </c>
    </row>
    <row r="523" spans="1:9">
      <c r="I523" s="12">
        <f t="shared" si="9"/>
        <v>0</v>
      </c>
    </row>
    <row r="524" spans="1:9">
      <c r="I524" s="12">
        <f t="shared" si="9"/>
        <v>0</v>
      </c>
    </row>
    <row r="525" spans="1:9">
      <c r="I525" s="12">
        <f t="shared" si="9"/>
        <v>0</v>
      </c>
    </row>
    <row r="526" spans="1:9">
      <c r="I526" s="12">
        <f t="shared" si="9"/>
        <v>0</v>
      </c>
    </row>
    <row r="527" spans="1:9">
      <c r="I527" s="12">
        <f t="shared" si="9"/>
        <v>0</v>
      </c>
    </row>
    <row r="528" spans="1:9">
      <c r="I528" s="12">
        <f t="shared" si="9"/>
        <v>0</v>
      </c>
    </row>
    <row r="529" spans="9:9">
      <c r="I529" s="12">
        <f t="shared" si="9"/>
        <v>0</v>
      </c>
    </row>
    <row r="530" spans="9:9">
      <c r="I530" s="12">
        <f t="shared" si="9"/>
        <v>0</v>
      </c>
    </row>
    <row r="531" spans="9:9">
      <c r="I531" s="12">
        <f t="shared" si="9"/>
        <v>0</v>
      </c>
    </row>
    <row r="532" spans="9:9">
      <c r="I532" s="12">
        <f t="shared" si="9"/>
        <v>0</v>
      </c>
    </row>
    <row r="533" spans="9:9">
      <c r="I533" s="12">
        <f t="shared" si="9"/>
        <v>0</v>
      </c>
    </row>
    <row r="534" spans="9:9">
      <c r="I534" s="12">
        <f t="shared" si="9"/>
        <v>0</v>
      </c>
    </row>
    <row r="535" spans="9:9">
      <c r="I535" s="12">
        <f t="shared" si="9"/>
        <v>0</v>
      </c>
    </row>
    <row r="536" spans="9:9">
      <c r="I536" s="12">
        <f t="shared" si="9"/>
        <v>0</v>
      </c>
    </row>
    <row r="537" spans="9:9">
      <c r="I537" s="12">
        <f t="shared" si="9"/>
        <v>0</v>
      </c>
    </row>
    <row r="538" spans="9:9">
      <c r="I538" s="12">
        <f t="shared" si="9"/>
        <v>0</v>
      </c>
    </row>
    <row r="539" spans="9:9">
      <c r="I539" s="12">
        <f t="shared" si="9"/>
        <v>0</v>
      </c>
    </row>
    <row r="540" spans="9:9">
      <c r="I540" s="12">
        <f t="shared" si="9"/>
        <v>0</v>
      </c>
    </row>
    <row r="541" spans="9:9">
      <c r="I541" s="12">
        <f t="shared" si="9"/>
        <v>0</v>
      </c>
    </row>
    <row r="542" spans="9:9">
      <c r="I542" s="12">
        <f t="shared" si="9"/>
        <v>0</v>
      </c>
    </row>
    <row r="543" spans="9:9">
      <c r="I543" s="12">
        <f t="shared" si="9"/>
        <v>0</v>
      </c>
    </row>
    <row r="544" spans="9:9">
      <c r="I544" s="12">
        <f t="shared" si="9"/>
        <v>0</v>
      </c>
    </row>
    <row r="545" spans="9:9">
      <c r="I545" s="12">
        <f t="shared" si="9"/>
        <v>0</v>
      </c>
    </row>
    <row r="546" spans="9:9">
      <c r="I546" s="12">
        <f t="shared" si="9"/>
        <v>0</v>
      </c>
    </row>
    <row r="547" spans="9:9">
      <c r="I547" s="12">
        <f t="shared" si="9"/>
        <v>0</v>
      </c>
    </row>
    <row r="548" spans="9:9">
      <c r="I548" s="12">
        <f t="shared" si="9"/>
        <v>0</v>
      </c>
    </row>
    <row r="549" spans="9:9">
      <c r="I549" s="12">
        <f t="shared" si="9"/>
        <v>0</v>
      </c>
    </row>
    <row r="550" spans="9:9">
      <c r="I550" s="12">
        <f t="shared" si="9"/>
        <v>0</v>
      </c>
    </row>
    <row r="551" spans="9:9">
      <c r="I551" s="12">
        <f t="shared" si="9"/>
        <v>0</v>
      </c>
    </row>
    <row r="552" spans="9:9">
      <c r="I552" s="12">
        <f t="shared" si="9"/>
        <v>0</v>
      </c>
    </row>
    <row r="553" spans="9:9">
      <c r="I553" s="12">
        <f t="shared" si="9"/>
        <v>0</v>
      </c>
    </row>
    <row r="554" spans="9:9">
      <c r="I554" s="12">
        <f t="shared" si="9"/>
        <v>0</v>
      </c>
    </row>
    <row r="555" spans="9:9">
      <c r="I555" s="12">
        <f t="shared" si="9"/>
        <v>0</v>
      </c>
    </row>
    <row r="556" spans="9:9">
      <c r="I556" s="12">
        <f t="shared" si="9"/>
        <v>0</v>
      </c>
    </row>
    <row r="557" spans="9:9">
      <c r="I557" s="12">
        <f t="shared" si="9"/>
        <v>0</v>
      </c>
    </row>
    <row r="558" spans="9:9">
      <c r="I558" s="12">
        <f t="shared" si="9"/>
        <v>0</v>
      </c>
    </row>
    <row r="559" spans="9:9">
      <c r="I559" s="12">
        <f t="shared" si="9"/>
        <v>0</v>
      </c>
    </row>
    <row r="560" spans="9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algorithmName="SHA-512" hashValue="fCWOh3EEH/jaBVeAgBxVk5lQ71Aedn5rEbxoLMAbPFgrbJoC4S64sGL1r1+qxMd9T3an/ldITF8wSMf/wZliBA==" saltValue="EeMdznbBQmI6mvMzVSVInw==" spinCount="100000" sheet="1"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6"/>
  <sheetViews>
    <sheetView zoomScale="128" zoomScaleNormal="128" workbookViewId="0">
      <selection activeCell="D9" sqref="D9"/>
    </sheetView>
  </sheetViews>
  <sheetFormatPr baseColWidth="10" defaultRowHeight="13"/>
  <cols>
    <col min="1" max="1" width="15" style="9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  <row r="36" spans="1:2">
      <c r="A36" s="8" t="s">
        <v>1410</v>
      </c>
    </row>
  </sheetData>
  <sheetProtection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48"/>
  <sheetViews>
    <sheetView zoomScale="164" zoomScaleNormal="164" workbookViewId="0">
      <selection activeCell="F30" sqref="F30"/>
    </sheetView>
  </sheetViews>
  <sheetFormatPr baseColWidth="10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</sheetData>
  <sheetProtection algorithmName="SHA-512" hashValue="aWB7gRwROSmvc8r9eggQw6E6o7exdHl7ewolfOlY4wbk/lZgLX8KckYmjJKthcUUX62VtXneipvjfmWCVJQqjQ==" saltValue="MBF5nH6+IS9vb+l5VTut0g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Eddy Xu</cp:lastModifiedBy>
  <cp:lastPrinted>2018-08-22T07:05:44Z</cp:lastPrinted>
  <dcterms:created xsi:type="dcterms:W3CDTF">2018-08-22T06:29:13Z</dcterms:created>
  <dcterms:modified xsi:type="dcterms:W3CDTF">2025-11-10T06:27:30Z</dcterms:modified>
</cp:coreProperties>
</file>