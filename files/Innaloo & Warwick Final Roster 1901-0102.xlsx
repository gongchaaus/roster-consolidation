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E36F3CE1-7E3F-944A-B0D9-D0269868B45F}" xr6:coauthVersionLast="47" xr6:coauthVersionMax="47" xr10:uidLastSave="{00000000-0000-0000-0000-000000000000}"/>
  <bookViews>
    <workbookView xWindow="0" yWindow="740" windowWidth="28800" windowHeight="1584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93" i="18" s="1"/>
  <c r="AX93" i="12" s="1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85" i="18" s="1"/>
  <c r="AX85" i="12" s="1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1" i="18"/>
  <c r="AX91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X14" i="2" l="1"/>
  <c r="L10" i="2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I3" i="12" l="1"/>
  <c r="J3" i="12"/>
  <c r="D3" i="12"/>
  <c r="AH3" i="12"/>
  <c r="V3" i="12" s="1"/>
  <c r="AR3" i="12"/>
  <c r="AF3" i="12"/>
  <c r="AG3" i="12"/>
  <c r="E3" i="12"/>
  <c r="G3" i="12" s="1"/>
  <c r="AQ3" i="12"/>
  <c r="Z3" i="12"/>
  <c r="AS3" i="12"/>
  <c r="AE3" i="12"/>
  <c r="C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S3" i="12" l="1"/>
  <c r="T3" i="12"/>
  <c r="U3" i="12"/>
  <c r="F3" i="12"/>
  <c r="H3" i="12" s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P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T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U297" i="12" l="1"/>
  <c r="V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<sst xmlns="http://schemas.openxmlformats.org/spreadsheetml/2006/main" count="2548" uniqueCount="1520">
  <si>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</si>
  <si>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</si>
  <si>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</si>
  <si>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</si>
  <si>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</si>
  <si>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</si>
  <si>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</si>
  <si>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</si>
  <si>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</si>
  <si>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</si>
  <si>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</si>
  <si>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</si>
  <si>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</si>
  <si>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</si>
  <si>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</si>
  <si>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</si>
  <si>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</si>
  <si>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</si>
  <si>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</si>
  <si>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</si>
  <si>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</si>
  <si>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</si>
  <si>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</si>
  <si>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</si>
  <si>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</si>
  <si>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</si>
  <si>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</si>
  <si>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</si>
  <si>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</si>
  <si>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</si>
  <si>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</si>
  <si>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</si>
  <si>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</si>
  <si>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</si>
  <si>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</si>
  <si>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</si>
  <si>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</si>
  <si>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</si>
  <si>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</si>
  <si>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</si>
  <si>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</si>
  <si>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</si>
  <si>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</si>
  <si>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</si>
  <si>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</si>
  <si>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</si>
  <si>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</si>
  <si>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</si>
  <si>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</si>
  <si>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</si>
  <si>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</si>
  <si>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</si>
  <si>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</si>
  <si>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</si>
  <si>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</si>
  <si>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</si>
  <si>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</si>
  <si>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</si>
  <si>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</si>
  <si>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</si>
  <si>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</si>
  <si>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</si>
  <si>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</si>
  <si>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</si>
  <si>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</si>
  <si>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</si>
  <si>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</si>
  <si>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</si>
  <si>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</si>
  <si>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</si>
  <si>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</si>
  <si>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</si>
  <si>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</si>
  <si>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</si>
  <si>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</si>
  <si>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</si>
  <si>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</si>
  <si>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</si>
  <si>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</si>
  <si>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</si>
  <si>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</si>
  <si>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</si>
  <si>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</si>
  <si>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</si>
  <si>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</si>
  <si>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</si>
  <si>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</si>
  <si>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</si>
  <si>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</si>
  <si>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</si>
  <si>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</si>
  <si>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</si>
  <si>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</si>
  <si>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</si>
  <si>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</si>
  <si>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</si>
  <si>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</si>
  <si>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</si>
  <si>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</si>
  <si>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</si>
  <si>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</si>
  <si>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</si>
  <si>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</si>
  <si>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</si>
  <si>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</si>
  <si>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</si>
  <si>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</si>
  <si>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</si>
  <si>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</si>
  <si>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</si>
  <si>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</si>
  <si>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</si>
  <si>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</si>
  <si>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</si>
  <si>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</si>
  <si>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</si>
  <si>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</si>
  <si>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</si>
  <si>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</si>
  <si>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</si>
  <si>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</si>
  <si>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</si>
  <si>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</si>
  <si>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</si>
  <si>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</si>
  <si>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</si>
  <si>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</si>
  <si>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</si>
  <si>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</si>
  <si>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</si>
  <si>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</si>
  <si>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</si>
  <si>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</si>
  <si>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</si>
  <si>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</si>
  <si>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</si>
  <si>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</si>
  <si>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</si>
  <si>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</si>
  <si>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</si>
  <si>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</si>
  <si>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</si>
  <si>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</si>
  <si>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</si>
  <si>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</si>
  <si>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</si>
  <si>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</si>
  <si>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</si>
  <si>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</si>
  <si>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</si>
  <si>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</si>
  <si>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</si>
  <si>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</si>
  <si>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</si>
  <si>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</si>
  <si>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</si>
  <si>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</si>
  <si>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</si>
  <si>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</si>
  <si>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</si>
  <si>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</si>
  <si>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</si>
  <si>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</si>
  <si>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</si>
  <si>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</si>
  <si>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</si>
  <si>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</si>
  <si>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</si>
  <si>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</si>
  <si>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</si>
  <si>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</si>
  <si>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</si>
  <si>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</si>
  <si>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</si>
  <si>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</si>
  <si>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</si>
  <si>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</si>
  <si>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</si>
  <si>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</si>
  <si>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</si>
  <si>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</si>
  <si>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</si>
  <si>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</si>
  <si>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</si>
  <si>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</si>
  <si>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</si>
  <si>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</si>
  <si>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</si>
  <si>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</si>
  <si>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</si>
  <si>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</si>
  <si>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</si>
  <si>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</si>
  <si>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</si>
  <si>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</si>
  <si>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</si>
  <si>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</si>
  <si>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</si>
  <si>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</si>
  <si>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</si>
  <si>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</si>
  <si>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</si>
  <si>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</si>
  <si>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</si>
  <si>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</si>
  <si>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</si>
  <si>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</si>
  <si>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</si>
  <si>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</si>
  <si>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</si>
  <si>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</si>
  <si>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</si>
  <si>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</si>
  <si>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</si>
  <si>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</si>
  <si>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</si>
  <si>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</si>
  <si>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</si>
  <si>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</si>
  <si>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</si>
  <si>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</si>
  <si>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</si>
  <si>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</si>
  <si>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</si>
  <si>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</si>
  <si>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</si>
  <si>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</si>
  <si>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</si>
  <si>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</si>
  <si>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</si>
  <si>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</si>
  <si>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</si>
  <si>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</si>
  <si>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</si>
  <si>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</si>
  <si>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</si>
  <si>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</si>
  <si>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</si>
  <si>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</si>
  <si>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</si>
  <si>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</si>
  <si>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</si>
  <si>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</si>
  <si>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</si>
  <si>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</si>
  <si>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</si>
  <si>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</si>
  <si>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</si>
  <si>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</si>
  <si>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</si>
  <si>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</si>
  <si>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</si>
  <si>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</si>
  <si>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</si>
  <si>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</si>
  <si>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</si>
  <si>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</si>
  <si>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</si>
  <si>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</si>
  <si>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</si>
  <si>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</si>
  <si>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</si>
  <si>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</si>
  <si>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</si>
  <si>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</si>
  <si>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</si>
  <si>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</si>
  <si>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</si>
  <si>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</si>
  <si>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</si>
  <si>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</si>
  <si>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</si>
  <si>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</si>
  <si>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</si>
  <si>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</si>
  <si>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</si>
  <si>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</si>
  <si>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</si>
  <si>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</si>
  <si>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</si>
  <si>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</si>
  <si>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</si>
  <si>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</si>
  <si>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</si>
  <si>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</si>
  <si>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</si>
  <si>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</si>
  <si>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</si>
  <si>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</si>
  <si>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</si>
  <si>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</si>
  <si>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</si>
  <si>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</si>
  <si>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</si>
  <si>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</si>
  <si>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</si>
  <si>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</si>
  <si>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</si>
  <si>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</si>
  <si>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</si>
  <si>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</si>
  <si>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</si>
  <si>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</si>
  <si>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</si>
  <si>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</si>
  <si>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</si>
  <si>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</si>
  <si>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</si>
  <si>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</si>
  <si>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</si>
  <si>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</si>
  <si>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</si>
  <si>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</si>
  <si>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</si>
  <si>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</si>
  <si>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</si>
  <si>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</si>
  <si>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</si>
  <si>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</si>
  <si>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</si>
  <si>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</si>
  <si>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</si>
  <si>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</si>
  <si>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</si>
  <si>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</si>
  <si>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</si>
  <si>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</si>
  <si>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</si>
  <si>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</si>
  <si>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</si>
  <si>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</si>
  <si>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</si>
  <si>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</si>
  <si>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</si>
  <si>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</si>
  <si>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</si>
  <si>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</si>
  <si>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</si>
  <si>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</si>
  <si>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</si>
  <si>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</si>
  <si>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</si>
  <si>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</si>
  <si>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</si>
  <si>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</si>
  <si>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</si>
  <si>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</si>
  <si>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</si>
  <si>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</si>
  <si>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</si>
  <si>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</si>
  <si>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</si>
  <si>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</si>
  <si>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</si>
  <si>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</si>
  <si>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</si>
  <si>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</si>
  <si>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</si>
  <si>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</si>
  <si>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</si>
  <si>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</si>
  <si>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</si>
  <si>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</si>
  <si>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</si>
  <si>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</si>
  <si>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</si>
  <si>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</si>
  <si>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</si>
  <si>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</si>
  <si>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</si>
  <si>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</si>
  <si>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</si>
  <si>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</si>
  <si>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</si>
  <si>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</si>
  <si>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</si>
  <si>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</si>
  <si>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</si>
  <si>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</si>
  <si>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</si>
  <si>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</si>
  <si>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</si>
  <si>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</si>
  <si>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</si>
  <si>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</si>
  <si>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</si>
  <si>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</si>
  <si>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</si>
  <si>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</si>
  <si>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</si>
  <si>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</si>
  <si>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</si>
  <si>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</si>
  <si>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</si>
  <si>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</si>
  <si>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</si>
  <si>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</si>
  <si>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</si>
  <si>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</si>
  <si>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</si>
  <si>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</si>
  <si>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</si>
  <si>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</si>
  <si>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</si>
  <si>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</si>
  <si>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</si>
  <si>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</si>
  <si>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</si>
  <si>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</si>
  <si>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</si>
  <si>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</si>
  <si>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</si>
  <si>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</si>
  <si>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</si>
  <si>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</si>
  <si>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</si>
  <si>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</si>
  <si>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</si>
  <si>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</si>
  <si>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</si>
  <si>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</si>
  <si>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</si>
  <si>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</si>
  <si>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</si>
  <si>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</si>
  <si>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</si>
  <si>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</si>
  <si>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</si>
  <si>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</si>
  <si>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</si>
  <si>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</si>
  <si>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</si>
  <si>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</si>
  <si>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</si>
  <si>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</si>
  <si>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</si>
  <si>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</si>
  <si>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</si>
  <si>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</si>
  <si>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</si>
  <si>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</si>
  <si>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</si>
  <si>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</si>
  <si>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</si>
  <si>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</si>
  <si>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</si>
  <si>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</si>
  <si>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</si>
  <si>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</si>
  <si>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</si>
  <si>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</si>
  <si>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</si>
  <si>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</si>
  <si>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</si>
  <si>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</si>
  <si>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</si>
  <si>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</si>
  <si>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</si>
  <si>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</si>
  <si>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</si>
  <si>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</si>
  <si>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</si>
  <si>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</si>
  <si>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</si>
  <si>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</si>
  <si>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</si>
  <si>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</si>
  <si>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</si>
  <si>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</si>
  <si>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</si>
  <si>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</si>
  <si>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</si>
  <si>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</si>
  <si>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</si>
  <si>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</si>
  <si>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</si>
  <si>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</si>
  <si>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</si>
  <si>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</si>
  <si>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</si>
  <si>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</si>
  <si>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</si>
  <si>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</si>
  <si>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</si>
  <si>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</si>
  <si>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</si>
  <si>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</si>
  <si>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</si>
  <si>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</si>
  <si>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</si>
  <si>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</si>
  <si>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</si>
  <si>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</si>
  <si>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</si>
  <si>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</si>
  <si>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</si>
  <si>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</si>
  <si>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</si>
  <si>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</si>
  <si>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</si>
  <si>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</si>
  <si>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</si>
  <si>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</si>
  <si>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</si>
  <si>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</si>
  <si>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</si>
  <si>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</si>
  <si>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</si>
  <si>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</si>
  <si>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</si>
  <si>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</si>
  <si>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</si>
  <si>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</si>
  <si>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</si>
  <si>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</si>
  <si>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</si>
  <si>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</si>
  <si>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</si>
  <si>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</si>
  <si>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</si>
  <si>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</si>
  <si>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</si>
  <si>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</si>
  <si>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</si>
  <si>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</si>
  <si>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</si>
  <si>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</si>
  <si>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</si>
  <si>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</si>
  <si>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</si>
  <si>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</si>
  <si>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</si>
  <si>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</si>
  <si>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</si>
  <si>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</si>
  <si>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</si>
  <si>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</si>
  <si>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</si>
  <si>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</si>
  <si>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</si>
  <si>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</si>
  <si>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</si>
  <si>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</si>
  <si>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</si>
  <si>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</si>
  <si>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</si>
  <si>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</si>
  <si>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</si>
  <si>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</si>
  <si>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</si>
  <si>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</si>
  <si>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</si>
  <si>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</si>
  <si>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</si>
  <si>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</si>
  <si>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</si>
  <si>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</si>
  <si>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</si>
  <si>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</si>
  <si>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</si>
  <si>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</si>
  <si>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</si>
  <si>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</si>
  <si>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</si>
  <si>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</si>
  <si>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</si>
  <si>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</si>
  <si>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</si>
  <si>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</si>
  <si>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</si>
  <si>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</si>
  <si>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</si>
  <si>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</si>
  <si>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</si>
  <si>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</si>
  <si>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</si>
  <si>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</si>
  <si>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</si>
  <si>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</si>
  <si>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</si>
  <si>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</si>
  <si>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</si>
  <si>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</si>
  <si>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</si>
  <si>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</si>
  <si>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</si>
  <si>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</si>
  <si>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</si>
  <si>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</si>
  <si>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</si>
  <si>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</si>
  <si>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</si>
  <si>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</si>
  <si>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</si>
  <si>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</si>
  <si>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</si>
  <si>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</si>
  <si>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</si>
  <si>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</si>
  <si>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</si>
  <si>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</si>
  <si>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</si>
  <si>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</si>
  <si>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</si>
  <si>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</si>
  <si>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</si>
  <si>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</si>
  <si>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</si>
  <si>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</si>
  <si>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</si>
  <si>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</si>
  <si>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</si>
  <si>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</si>
  <si>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</si>
  <si>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</si>
  <si>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</si>
  <si>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</si>
  <si>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</si>
  <si>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</si>
  <si>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</si>
  <si>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</si>
  <si>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</si>
  <si>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</si>
  <si>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</si>
  <si>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</si>
  <si>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</si>
  <si>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</si>
  <si>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</si>
  <si>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</si>
  <si>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</si>
  <si>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</si>
  <si>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</si>
  <si>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</si>
  <si>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</si>
  <si>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</si>
  <si>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</si>
  <si>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</si>
  <si>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</si>
  <si>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</si>
  <si>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</si>
  <si>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</si>
  <si>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</si>
  <si>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</si>
  <si>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</si>
  <si>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</si>
  <si>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</si>
  <si>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</si>
  <si>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</si>
  <si>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</si>
  <si>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</si>
  <si>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</si>
  <si>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</si>
  <si>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</si>
  <si>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</si>
  <si>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</si>
  <si>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</si>
  <si>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</si>
  <si>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</si>
  <si>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</si>
  <si>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</si>
  <si>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</si>
  <si>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</si>
  <si>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</si>
  <si>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</si>
  <si>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</si>
  <si>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</si>
  <si>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</si>
  <si>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</si>
  <si>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</si>
  <si>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</si>
  <si>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</si>
  <si>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</si>
  <si>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</si>
  <si>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</si>
  <si>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</si>
  <si>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</si>
  <si>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</si>
  <si>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</si>
  <si>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</si>
  <si>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</si>
  <si>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</si>
  <si>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</si>
  <si>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</si>
  <si>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</si>
  <si>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</si>
  <si>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</si>
  <si>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</si>
  <si>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</si>
  <si>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</si>
  <si>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</si>
  <si>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</si>
  <si>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</si>
  <si>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</si>
  <si>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</si>
  <si>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</si>
  <si>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</si>
  <si>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</si>
  <si>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</si>
  <si>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</si>
  <si>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</si>
  <si>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</si>
  <si>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</si>
  <si>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</si>
  <si>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</si>
  <si>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</si>
  <si>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</si>
  <si>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</si>
  <si>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</si>
  <si>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</si>
  <si>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</si>
  <si>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</si>
  <si>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</si>
  <si>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</si>
  <si>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</si>
  <si>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</si>
  <si>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</si>
  <si>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</si>
  <si>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</si>
  <si>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</si>
  <si>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</si>
  <si>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</si>
  <si>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</si>
  <si>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</si>
  <si>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</si>
  <si>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</si>
  <si>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</si>
  <si>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</si>
  <si>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</si>
  <si>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</si>
  <si>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</si>
  <si>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</si>
  <si>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</si>
  <si>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</si>
  <si>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</si>
  <si>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</si>
  <si>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</si>
  <si>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</si>
  <si>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</si>
  <si>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</si>
  <si>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</si>
  <si>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</si>
  <si>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</si>
  <si>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</si>
  <si>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</si>
  <si>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</si>
  <si>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</si>
  <si>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</si>
  <si>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</si>
  <si>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</si>
  <si>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</si>
  <si>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</si>
  <si>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</si>
  <si>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</si>
  <si>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</si>
  <si>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</si>
  <si>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</si>
  <si>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</si>
  <si>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</si>
  <si>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</si>
  <si>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</si>
  <si>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</si>
  <si>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</si>
  <si>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</si>
  <si>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</si>
  <si>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</si>
  <si>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</si>
  <si>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</si>
  <si>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</si>
  <si>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</si>
  <si>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</si>
  <si>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</si>
  <si>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</si>
  <si>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</si>
  <si>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</si>
  <si>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</si>
  <si>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</si>
  <si>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</si>
  <si>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</si>
  <si>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</si>
  <si>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</si>
  <si>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</si>
  <si>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</si>
  <si>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</si>
  <si>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</si>
  <si>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</si>
  <si>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</si>
  <si>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</si>
  <si>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</si>
  <si>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</si>
  <si>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</si>
  <si>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</si>
  <si>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</si>
  <si>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</si>
  <si>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</si>
  <si>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</si>
  <si>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</si>
  <si>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</si>
  <si>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</si>
  <si>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</si>
  <si>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</si>
  <si>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</si>
  <si>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</si>
  <si>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</si>
  <si>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</si>
  <si>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</si>
  <si>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</si>
  <si>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</si>
  <si>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</si>
  <si>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</si>
  <si>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</si>
  <si>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</si>
  <si>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</si>
  <si>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</si>
  <si>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</si>
  <si>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</si>
  <si>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</si>
  <si>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</si>
  <si>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</si>
  <si>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</si>
  <si>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</si>
  <si>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</si>
  <si>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</si>
  <si>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</si>
  <si>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</si>
  <si>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</si>
  <si>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</si>
  <si>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</si>
  <si>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</si>
  <si>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</si>
  <si>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</si>
  <si>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</si>
  <si>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</si>
  <si>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</si>
  <si>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</si>
  <si>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</si>
  <si>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</si>
  <si>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</si>
  <si>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</si>
  <si>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</si>
  <si>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</si>
  <si>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</si>
  <si>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</si>
  <si>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</si>
  <si>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</si>
  <si>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</si>
  <si>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</si>
  <si>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</si>
  <si>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</si>
  <si>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</si>
  <si>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</si>
  <si>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</si>
  <si>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</si>
  <si>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</si>
  <si>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</si>
  <si>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</si>
  <si>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</si>
  <si>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</si>
  <si>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</si>
  <si>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</si>
  <si>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</si>
  <si>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</si>
  <si>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</si>
  <si>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</si>
  <si>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</si>
  <si>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</si>
  <si>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</si>
  <si>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</si>
  <si>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</si>
  <si>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</si>
  <si>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</si>
  <si>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</si>
  <si>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</si>
  <si>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</si>
  <si>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</si>
  <si>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</si>
  <si>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</si>
  <si>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</si>
  <si>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</si>
  <si>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</si>
  <si>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</si>
  <si>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</si>
  <si>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</si>
  <si>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</si>
  <si>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</si>
  <si>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</si>
  <si>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</si>
  <si>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</si>
  <si>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</si>
  <si>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</si>
  <si>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</si>
  <si>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</si>
  <si>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</si>
  <si>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</si>
  <si>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</si>
  <si>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</si>
  <si>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</si>
  <si>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</si>
  <si>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</si>
  <si>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</si>
  <si>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</si>
  <si>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</si>
  <si>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</si>
  <si>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</si>
  <si>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</si>
  <si>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</si>
  <si>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</si>
  <si>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</si>
  <si>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</si>
  <si>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</si>
  <si>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</si>
  <si>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</si>
  <si>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</si>
  <si>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</si>
  <si>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</si>
  <si>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</si>
  <si>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</si>
  <si>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</si>
  <si>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</si>
  <si>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</si>
  <si>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</si>
  <si>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</si>
  <si>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</si>
  <si>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</si>
  <si>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</si>
  <si>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</si>
  <si>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</si>
  <si>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</si>
  <si>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</si>
  <si>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</si>
  <si>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</si>
  <si>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</si>
  <si>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</si>
  <si>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</si>
  <si>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</si>
  <si>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</si>
  <si>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</si>
  <si>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</si>
  <si>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</si>
  <si>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</si>
  <si>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</si>
  <si>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</si>
  <si>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</si>
  <si>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</si>
  <si>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</si>
  <si>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</si>
  <si>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</si>
  <si>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</si>
  <si>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</si>
  <si>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</si>
  <si>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</si>
  <si>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</si>
  <si>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</si>
  <si>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</si>
  <si>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</si>
  <si>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</si>
  <si>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</si>
  <si>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</si>
  <si>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</si>
  <si>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</si>
  <si>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</si>
  <si>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</si>
  <si>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</si>
  <si>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</si>
  <si>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</si>
  <si>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</si>
  <si>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</si>
  <si>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</si>
  <si>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</si>
  <si>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</si>
  <si>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</si>
  <si>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</si>
  <si>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</si>
  <si>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</si>
  <si>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</si>
  <si>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</si>
  <si>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</si>
  <si>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</si>
  <si>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</si>
  <si>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</si>
  <si>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</si>
  <si>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</si>
  <si>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</si>
  <si>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</si>
  <si>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</si>
  <si>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</si>
  <si>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</si>
  <si>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</si>
  <si>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</si>
  <si>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</si>
  <si>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</si>
  <si>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</si>
  <si>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</si>
  <si>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</si>
  <si>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</si>
  <si>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</si>
  <si>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</si>
  <si>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</si>
  <si>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</si>
  <si>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</si>
  <si>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</si>
  <si>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</si>
  <si>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</si>
  <si>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</si>
  <si>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</si>
  <si>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</si>
  <si>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</si>
  <si>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</si>
  <si>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</si>
  <si>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</si>
  <si>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</si>
  <si>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</si>
  <si>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</si>
  <si>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</si>
  <si>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</si>
  <si>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</si>
  <si>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</si>
  <si>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</si>
  <si>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</si>
  <si>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</si>
  <si>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</si>
  <si>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</si>
  <si>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</si>
  <si>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</si>
  <si>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</si>
  <si>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</si>
  <si>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</si>
  <si>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</si>
  <si>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</si>
  <si>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</si>
  <si>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</si>
  <si>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</si>
  <si>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</si>
  <si>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</si>
  <si>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</si>
  <si>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</si>
  <si>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</si>
  <si>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</si>
  <si>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</si>
  <si>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</si>
  <si>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</si>
  <si>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</si>
  <si>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</si>
  <si>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</si>
  <si>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</si>
  <si>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</si>
  <si>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</si>
  <si>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</si>
  <si>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</si>
  <si>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</si>
  <si>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</si>
  <si>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</si>
  <si>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</si>
  <si>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</si>
  <si>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</si>
  <si>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</si>
  <si>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</si>
  <si>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</si>
  <si>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</si>
  <si>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</si>
  <si>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</si>
  <si>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</si>
  <si>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</si>
  <si>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</si>
  <si>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</si>
  <si>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</si>
  <si>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</si>
  <si>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</si>
  <si>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</si>
  <si>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</si>
  <si>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</si>
  <si>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</si>
  <si>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</si>
  <si>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</si>
  <si>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</si>
  <si>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</si>
  <si>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</si>
  <si>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</si>
  <si>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</si>
  <si>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</si>
  <si>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</si>
  <si>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</si>
  <si>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</si>
  <si>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</si>
  <si>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</si>
  <si>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</si>
  <si>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</si>
  <si>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</si>
  <si>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</si>
  <si>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</si>
  <si>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</si>
  <si>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</si>
  <si>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</si>
  <si>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</si>
  <si>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</si>
  <si>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</si>
  <si>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</si>
  <si>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</si>
  <si>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</si>
  <si>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</si>
  <si>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</si>
  <si>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</si>
  <si>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</si>
  <si>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</si>
  <si>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</si>
  <si>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</si>
  <si>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</si>
  <si>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</si>
  <si>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</si>
  <si>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</si>
  <si>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</si>
  <si>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</si>
  <si>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</si>
  <si>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</si>
  <si>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</si>
  <si>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</si>
  <si>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</si>
  <si>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</si>
  <si>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</si>
  <si>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</si>
  <si>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</si>
  <si>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</si>
  <si>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</si>
  <si>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</si>
  <si>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</si>
  <si>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</si>
  <si>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</si>
  <si>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</si>
  <si>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</si>
  <si>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</si>
  <si>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</si>
  <si>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</si>
  <si>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</si>
  <si>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</si>
  <si>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</si>
  <si>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</si>
  <si>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</si>
  <si>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</si>
  <si>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</si>
  <si>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</si>
  <si>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</si>
  <si>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</si>
  <si>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</si>
  <si>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</si>
  <si>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</si>
  <si>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</si>
  <si>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</si>
  <si>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</si>
  <si>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</si>
  <si>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</si>
  <si>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</si>
  <si>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</si>
  <si>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</si>
  <si>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</si>
  <si>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</si>
  <si>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</si>
  <si>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</si>
  <si>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</si>
  <si>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</si>
  <si>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</si>
  <si>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</si>
  <si>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</si>
  <si>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</si>
  <si>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</si>
  <si>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</si>
  <si>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</si>
  <si>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</si>
  <si>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</si>
  <si>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</si>
  <si>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</si>
  <si>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</si>
  <si>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</si>
  <si>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</si>
  <si>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</si>
  <si>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</si>
  <si>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</si>
  <si>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</si>
  <si>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</si>
  <si>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</si>
  <si>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</si>
  <si>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</si>
  <si>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</si>
  <si>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</si>
  <si>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</si>
  <si>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</si>
  <si>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</si>
  <si>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</si>
  <si>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</si>
  <si>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</si>
  <si>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</si>
  <si>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</si>
  <si>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</si>
  <si>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</si>
  <si>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</si>
  <si>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</si>
  <si>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</si>
  <si>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</si>
  <si>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</si>
  <si>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</si>
  <si>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</si>
  <si>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</si>
  <si>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</si>
  <si>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</si>
  <si>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</si>
  <si>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</si>
  <si>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</si>
  <si>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</si>
  <si>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</si>
  <si>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</si>
  <si>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</si>
  <si>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</si>
  <si>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</si>
  <si>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</si>
  <si>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</si>
  <si>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</si>
  <si>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</si>
  <si>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</si>
  <si>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</si>
  <si>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</si>
  <si>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</si>
  <si>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</si>
  <si>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</si>
  <si>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</si>
  <si>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</si>
  <si>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</si>
  <si>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</si>
  <si>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</si>
  <si>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</si>
  <si>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</si>
  <si>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</si>
  <si>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</si>
  <si>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</si>
  <si>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</si>
  <si>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</si>
  <si>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</si>
  <si>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</si>
  <si>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</si>
  <si>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</si>
  <si>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</si>
  <si>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</si>
  <si>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</si>
  <si>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</si>
  <si>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</si>
  <si>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</si>
  <si>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</si>
  <si>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</si>
  <si>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</si>
  <si>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</si>
  <si>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</si>
  <si>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</si>
  <si>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</si>
  <si>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</si>
  <si>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</si>
  <si>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</si>
  <si>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</si>
  <si>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</si>
  <si>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</si>
  <si>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</si>
  <si>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</si>
  <si>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</si>
  <si>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</si>
  <si>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</si>
  <si>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</si>
  <si>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</si>
  <si>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</si>
  <si>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</si>
  <si>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</si>
  <si>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</si>
  <si>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</si>
  <si>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</si>
  <si>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</si>
  <si>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</si>
  <si>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</si>
  <si>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</si>
  <si>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</si>
  <si>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</si>
  <si>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</si>
  <si>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</si>
  <si>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</si>
  <si>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</si>
  <si>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</si>
  <si>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</si>
  <si>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</si>
  <si>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</si>
  <si>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</si>
  <si>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</si>
  <si>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</si>
  <si>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</si>
  <si>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</si>
  <si>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</si>
  <si>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</si>
  <si>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</si>
  <si>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</si>
  <si>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</si>
  <si>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</si>
  <si>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</si>
  <si>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</si>
  <si>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</si>
  <si>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</si>
  <si>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</si>
  <si>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</si>
  <si>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</si>
  <si>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</si>
  <si>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</si>
  <si>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</si>
  <si>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</si>
  <si>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</si>
  <si>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</si>
  <si>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</si>
  <si>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</si>
  <si>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</si>
  <si>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</si>
  <si>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</si>
  <si>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</si>
  <si>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</si>
  <si>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</si>
  <si>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</si>
  <si>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</si>
  <si>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</si>
  <si>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</si>
  <si>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</si>
  <si>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</si>
  <si>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</si>
  <si>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</si>
  <si>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</si>
  <si>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</si>
  <si>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</si>
  <si>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</si>
  <si>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</si>
  <si>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</si>
  <si>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</si>
  <si>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</si>
  <si>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</si>
  <si>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</si>
  <si>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</si>
  <si>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</si>
  <si>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</si>
  <si>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</si>
  <si>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</si>
  <si>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</si>
  <si>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</si>
  <si>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</si>
  <si>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</si>
  <si>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</si>
  <si>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</si>
  <si>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</si>
  <si>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</si>
  <si>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</si>
  <si>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</si>
  <si>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</si>
  <si>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</si>
  <si>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</si>
  <si>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</si>
  <si>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</si>
  <si>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</si>
  <si>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</si>
  <si>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</si>
  <si>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</si>
  <si>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</si>
  <si>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</si>
  <si>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</si>
  <si>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</si>
  <si>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</si>
  <si>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</si>
  <si>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</si>
  <si>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</si>
  <si>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</si>
  <si>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</si>
  <si>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</si>
  <si>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</si>
  <si>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</si>
  <si>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</si>
  <si>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</si>
  <si>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</si>
  <si>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</si>
  <si>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</si>
  <si>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</si>
  <si>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</si>
  <si>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</si>
  <si>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</si>
  <si>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</si>
  <si>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</si>
  <si>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</si>
  <si>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</si>
  <si>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</si>
  <si>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</si>
  <si>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</si>
  <si>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</si>
  <si>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</si>
  <si>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</si>
  <si>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</si>
  <si>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</si>
  <si>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</si>
  <si>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</si>
  <si>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</si>
  <si>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</si>
  <si>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</si>
  <si>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</si>
  <si>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</si>
  <si>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</si>
  <si>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</si>
  <si>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</si>
  <si>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</si>
  <si>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</si>
  <si>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</si>
  <si>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</si>
  <si>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</si>
  <si>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</si>
  <si>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</si>
  <si>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</si>
  <si>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</si>
  <si>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</si>
  <si>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</si>
  <si>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</si>
  <si>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</si>
  <si>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</si>
  <si>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</si>
  <si>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</si>
  <si>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</si>
  <si>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</si>
  <si>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</si>
  <si>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</si>
  <si>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</si>
  <si>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</si>
  <si>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</si>
  <si>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</si>
  <si>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</si>
  <si>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</si>
  <si>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</si>
  <si>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</si>
  <si>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</si>
  <si>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</si>
  <si>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</si>
  <si>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</si>
  <si>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</si>
  <si>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</si>
  <si>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</si>
  <si>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</si>
  <si>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</si>
  <si>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</si>
  <si>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</si>
  <si>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</si>
  <si>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</si>
  <si>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</si>
  <si>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</si>
  <si>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</si>
  <si>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</si>
  <si>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</si>
  <si>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</si>
  <si>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</si>
  <si>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</si>
  <si>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</si>
  <si>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</si>
  <si>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</si>
  <si>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</si>
  <si>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</si>
  <si>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</si>
  <si>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</si>
  <si>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</si>
  <si>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</si>
  <si>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</si>
  <si>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</si>
  <si>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</si>
  <si>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</si>
  <si>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</si>
  <si>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</si>
  <si>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</si>
  <si>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</si>
  <si>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</si>
  <si>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</si>
  <si>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</si>
  <si>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</si>
  <si>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</si>
  <si>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</si>
  <si>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</si>
  <si>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</si>
  <si>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</si>
  <si>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</si>
  <si>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</si>
  <si>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</si>
  <si>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</si>
  <si>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</si>
  <si>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</si>
  <si>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</si>
  <si>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</si>
  <si>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</si>
  <si>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</si>
  <si>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</si>
  <si>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</si>
  <si>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</si>
  <si>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</si>
  <si>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</si>
  <si>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</si>
  <si>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</si>
  <si>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</si>
  <si>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</si>
  <si>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</si>
  <si>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</si>
  <si>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</si>
  <si>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</si>
  <si>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</si>
  <si>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</si>
  <si>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</si>
  <si>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</si>
  <si>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</si>
  <si>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</si>
  <si>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</si>
  <si>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</si>
  <si>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</si>
  <si>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</si>
  <si>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周四没休</t>
  </si>
  <si>
    <t>周五没休</t>
  </si>
  <si>
    <t>周四六没休，排班+1</t>
  </si>
  <si>
    <t>周五日没休</t>
  </si>
  <si>
    <t>周二日没休</t>
  </si>
  <si>
    <t>周一四六日没休，排班+1</t>
  </si>
  <si>
    <t>周三六没休</t>
  </si>
  <si>
    <t>周日没休</t>
  </si>
  <si>
    <t>周六没休</t>
  </si>
  <si>
    <t>Koh</t>
  </si>
  <si>
    <t>Kimberley Koh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</si>
</sst>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57" zoomScaleNormal="57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D11" sqref="AD11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10371</v>
      </c>
      <c r="B2" s="81" t="s">
        <v>1042</v>
      </c>
      <c r="C2" s="91" t="s">
        <v>1021</v>
      </c>
      <c r="D2" s="98"/>
      <c r="E2" s="84"/>
      <c r="F2" s="92">
        <f>BA2-BB2</f>
        <v>0</v>
      </c>
      <c r="G2" s="84"/>
      <c r="H2" s="84"/>
      <c r="I2" s="92">
        <f>BF2-BG2</f>
        <v>0</v>
      </c>
      <c r="J2" s="84"/>
      <c r="K2" s="84"/>
      <c r="L2" s="92">
        <f>BK2-BL2</f>
        <v>0</v>
      </c>
      <c r="M2" s="84">
        <v>0.375</v>
      </c>
      <c r="N2" s="98">
        <v>0.66666666666666663</v>
      </c>
      <c r="O2" s="92">
        <f>BP2-BQ2</f>
        <v>6.4999999999999991</v>
      </c>
      <c r="P2" s="98"/>
      <c r="Q2" s="84"/>
      <c r="R2" s="92">
        <f>BU2-BV2</f>
        <v>0</v>
      </c>
      <c r="S2" s="84"/>
      <c r="T2" s="84"/>
      <c r="U2" s="92">
        <f>BZ2-CA2</f>
        <v>0</v>
      </c>
      <c r="V2" s="84"/>
      <c r="W2" s="84"/>
      <c r="X2" s="92">
        <f>CE2-CF2</f>
        <v>0</v>
      </c>
      <c r="Y2" s="92"/>
      <c r="Z2" s="92"/>
      <c r="AA2" s="92"/>
      <c r="AB2" s="92">
        <f>SUM(F2,I2,L2,O2,R2,U2,X2)</f>
        <v>6.4999999999999991</v>
      </c>
      <c r="AC2" s="93"/>
      <c r="AD2" s="77">
        <v>0.5</v>
      </c>
      <c r="AE2" s="94">
        <f t="shared" ref="AE2:AE40" si="1">SUMIF($BC$1:$CI$1,AE$1,$BC2:$CI2)+AD2</f>
        <v>6.9999999999999991</v>
      </c>
      <c r="AF2" s="77"/>
      <c r="AG2" s="94">
        <f t="shared" ref="AG2:AG40" si="2">SUMIF($BC$1:$CI$1,AG$1,$BC2:$CI2)+AF2</f>
        <v>0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1</v>
      </c>
      <c r="AQ2" s="77"/>
      <c r="AR2" s="77"/>
      <c r="AS2" s="77"/>
      <c r="AT2" s="44">
        <f>AE2+AG2+AI2+AK2+AM2+AO2+SUM(AQ2:AS2)</f>
        <v>6.9999999999999991</v>
      </c>
      <c r="AU2" s="78" t="s">
        <v>1509</v>
      </c>
      <c r="AV2" s="5"/>
      <c r="AW2" s="5"/>
      <c r="AX2" s="5"/>
      <c r="AY2" s="5"/>
      <c r="AZ2" s="24">
        <f>VLOOKUP(C2,Employees!D:I,6,FALSE)</f>
        <v>10371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6.9999999999999991</v>
      </c>
      <c r="BQ2" s="5">
        <f>IF(BP2&gt;$AY$1,1,IF(BP2&gt;=$AX$1,0.5,0))</f>
        <v>0.5</v>
      </c>
      <c r="BR2" s="5">
        <f>BP2-BQ2-BS2-BT2</f>
        <v>6.4999999999999991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1</v>
      </c>
    </row>
    <row r="3" spans="1:89" ht="38" customHeight="1">
      <c r="A3" s="74">
        <f t="shared" si="0"/>
        <v>210556</v>
      </c>
      <c r="B3" s="81" t="s">
        <v>1042</v>
      </c>
      <c r="C3" s="91" t="s">
        <v>1519</v>
      </c>
      <c r="D3" s="98"/>
      <c r="E3" s="84"/>
      <c r="F3" s="92">
        <f t="shared" ref="F3:F69" si="15">BA3-BB3</f>
        <v>0</v>
      </c>
      <c r="G3" s="84">
        <v>0.5</v>
      </c>
      <c r="H3" s="84">
        <v>0.66666666666666663</v>
      </c>
      <c r="I3" s="92">
        <f t="shared" ref="I3:I69" si="16">BF3-BG3</f>
        <v>3.9999999999999991</v>
      </c>
      <c r="J3" s="84"/>
      <c r="K3" s="84"/>
      <c r="L3" s="92">
        <f t="shared" ref="L3:L69" si="17">BK3-BL3</f>
        <v>0</v>
      </c>
      <c r="M3" s="84">
        <v>0.54166666666666663</v>
      </c>
      <c r="N3" s="98">
        <v>0.70833333333333337</v>
      </c>
      <c r="O3" s="92">
        <f t="shared" ref="O3:O69" si="18">BP3-BQ3</f>
        <v>4.0000000000000018</v>
      </c>
      <c r="P3" s="98">
        <v>0.5</v>
      </c>
      <c r="Q3" s="84">
        <v>0.76388888888888884</v>
      </c>
      <c r="R3" s="92">
        <f t="shared" ref="R3:R69" si="19">BU3-BV3</f>
        <v>5.8333333333333321</v>
      </c>
      <c r="S3" s="84"/>
      <c r="T3" s="84"/>
      <c r="U3" s="92">
        <f t="shared" ref="U3:U69" si="20">BZ3-CA3</f>
        <v>0</v>
      </c>
      <c r="V3" s="84">
        <v>0.5</v>
      </c>
      <c r="W3" s="84">
        <v>0.72916666666666663</v>
      </c>
      <c r="X3" s="92">
        <f t="shared" ref="X3:X69" si="21">CE3-CF3</f>
        <v>4.9999999999999991</v>
      </c>
      <c r="Y3" s="92"/>
      <c r="Z3" s="92"/>
      <c r="AA3" s="92"/>
      <c r="AB3" s="92">
        <f t="shared" ref="AB3:AB69" si="22">SUM(F3,I3,L3,O3,R3,U3,X3)</f>
        <v>18.833333333333332</v>
      </c>
      <c r="AC3" s="93"/>
      <c r="AD3" s="77">
        <v>0.5</v>
      </c>
      <c r="AE3" s="94">
        <f t="shared" si="1"/>
        <v>14.333333333333332</v>
      </c>
      <c r="AF3" s="77"/>
      <c r="AG3" s="94">
        <f t="shared" si="2"/>
        <v>0</v>
      </c>
      <c r="AH3" s="78">
        <v>0.5</v>
      </c>
      <c r="AI3" s="94">
        <f t="shared" si="3"/>
        <v>5.4999999999999991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19.833333333333332</v>
      </c>
      <c r="AU3" s="78" t="s">
        <v>1512</v>
      </c>
      <c r="AV3" s="5"/>
      <c r="AW3" s="5"/>
      <c r="AX3" s="5"/>
      <c r="AY3" s="5"/>
      <c r="AZ3" s="24">
        <f>VLOOKUP(C3,Employees!D:I,6,FALSE)</f>
        <v>210556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3.9999999999999991</v>
      </c>
      <c r="BG3" s="5">
        <f t="shared" ref="BG3:BG66" si="30">IF(BF3&gt;$AY$1,1,IF(BF3&gt;=$AX$1,0.5,0))</f>
        <v>0</v>
      </c>
      <c r="BH3" s="5">
        <f t="shared" ref="BH3:BH66" si="31">BF3-BG3-BI3-BJ3</f>
        <v>3.9999999999999991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4.0000000000000018</v>
      </c>
      <c r="BQ3" s="5">
        <f t="shared" ref="BQ3:BQ66" si="40">IF(BP3&gt;$AY$1,1,IF(BP3&gt;=$AX$1,0.5,0))</f>
        <v>0</v>
      </c>
      <c r="BR3" s="5">
        <f t="shared" ref="BR3:BR66" si="41">BP3-BQ3-BS3-BT3</f>
        <v>4.0000000000000018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6.3333333333333321</v>
      </c>
      <c r="BV3" s="5">
        <f t="shared" ref="BV3:BV66" si="45">IF(BU3&gt;$AY$1,1,IF(BU3&gt;=$AX$1,0.5,0))</f>
        <v>0.5</v>
      </c>
      <c r="BW3" s="5">
        <f t="shared" ref="BW3:BW66" si="46">BU3-BV3-BX3-BY3</f>
        <v>5.8333333333333321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5.4999999999999991</v>
      </c>
      <c r="CF3" s="5">
        <f t="shared" ref="CF3:CF66" si="54">IF(CE3&gt;$AY$1,1,IF(CE3&gt;=$AX$1,0.5,0))</f>
        <v>0.5</v>
      </c>
      <c r="CG3" s="5">
        <f t="shared" ref="CG3:CG66" si="55">CE3-CF3-CH3-CI3</f>
        <v>4.9999999999999991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10022</v>
      </c>
      <c r="B4" s="81" t="s">
        <v>1042</v>
      </c>
      <c r="C4" s="85" t="s">
        <v>370</v>
      </c>
      <c r="D4" s="84"/>
      <c r="E4" s="84"/>
      <c r="F4" s="92">
        <f t="shared" si="15"/>
        <v>0</v>
      </c>
      <c r="G4" s="84"/>
      <c r="H4" s="84"/>
      <c r="I4" s="92">
        <f t="shared" si="16"/>
        <v>0</v>
      </c>
      <c r="J4" s="84"/>
      <c r="K4" s="84"/>
      <c r="L4" s="92">
        <f t="shared" si="17"/>
        <v>0</v>
      </c>
      <c r="M4" s="84">
        <v>0.66666666666666663</v>
      </c>
      <c r="N4" s="84">
        <v>0.89583333333333337</v>
      </c>
      <c r="O4" s="92">
        <f t="shared" si="18"/>
        <v>5.0000000000000018</v>
      </c>
      <c r="P4" s="75"/>
      <c r="Q4" s="75"/>
      <c r="R4" s="92">
        <f t="shared" si="19"/>
        <v>0</v>
      </c>
      <c r="S4" s="75">
        <v>0.375</v>
      </c>
      <c r="T4" s="75">
        <v>0.70833333333333337</v>
      </c>
      <c r="U4" s="92">
        <f t="shared" si="20"/>
        <v>7.5</v>
      </c>
      <c r="V4" s="84"/>
      <c r="W4" s="84"/>
      <c r="X4" s="92">
        <f t="shared" si="21"/>
        <v>0</v>
      </c>
      <c r="Y4" s="92"/>
      <c r="Z4" s="92"/>
      <c r="AA4" s="92"/>
      <c r="AB4" s="92">
        <f t="shared" si="22"/>
        <v>12.500000000000002</v>
      </c>
      <c r="AC4" s="93"/>
      <c r="AD4" s="77">
        <v>1.5</v>
      </c>
      <c r="AE4" s="94">
        <f t="shared" si="1"/>
        <v>6.5000000000000018</v>
      </c>
      <c r="AF4" s="77">
        <v>0.5</v>
      </c>
      <c r="AG4" s="94">
        <f t="shared" si="2"/>
        <v>8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2</v>
      </c>
      <c r="AQ4" s="77"/>
      <c r="AR4" s="77"/>
      <c r="AS4" s="77"/>
      <c r="AT4" s="44">
        <f t="shared" si="24"/>
        <v>14.500000000000002</v>
      </c>
      <c r="AU4" s="78" t="s">
        <v>1511</v>
      </c>
      <c r="AV4" s="5"/>
      <c r="AW4" s="5"/>
      <c r="AX4" s="5"/>
      <c r="AY4" s="5"/>
      <c r="AZ4" s="24">
        <f>VLOOKUP(C4,Employees!D:I,6,FALSE)</f>
        <v>10022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5.5000000000000018</v>
      </c>
      <c r="BQ4" s="5">
        <f t="shared" si="40"/>
        <v>0.5</v>
      </c>
      <c r="BR4" s="5">
        <f t="shared" si="41"/>
        <v>5.0000000000000018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8</v>
      </c>
      <c r="CA4" s="5">
        <f t="shared" si="49"/>
        <v>0.5</v>
      </c>
      <c r="CB4" s="5">
        <f t="shared" si="50"/>
        <v>7.5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210523</v>
      </c>
      <c r="B5" s="81" t="s">
        <v>1042</v>
      </c>
      <c r="C5" s="85" t="s">
        <v>1433</v>
      </c>
      <c r="D5" s="75"/>
      <c r="E5" s="75"/>
      <c r="F5" s="92">
        <f t="shared" si="15"/>
        <v>0</v>
      </c>
      <c r="G5" s="84">
        <v>0.375</v>
      </c>
      <c r="H5" s="84">
        <v>0.75</v>
      </c>
      <c r="I5" s="92">
        <f t="shared" si="16"/>
        <v>8.5</v>
      </c>
      <c r="J5" s="84">
        <v>0.375</v>
      </c>
      <c r="K5" s="84">
        <v>0.75</v>
      </c>
      <c r="L5" s="92">
        <f t="shared" si="17"/>
        <v>8.5</v>
      </c>
      <c r="M5" s="75"/>
      <c r="N5" s="75"/>
      <c r="O5" s="92">
        <f t="shared" si="18"/>
        <v>0</v>
      </c>
      <c r="P5" s="75">
        <v>0.375</v>
      </c>
      <c r="Q5" s="75">
        <v>0.68055555555555558</v>
      </c>
      <c r="R5" s="92">
        <f t="shared" si="19"/>
        <v>6.8333333333333339</v>
      </c>
      <c r="S5" s="75"/>
      <c r="T5" s="75"/>
      <c r="U5" s="92">
        <f t="shared" si="20"/>
        <v>0</v>
      </c>
      <c r="V5" s="84">
        <v>0.41666666666666669</v>
      </c>
      <c r="W5" s="84">
        <v>0.70833333333333337</v>
      </c>
      <c r="X5" s="92">
        <f t="shared" si="21"/>
        <v>6.5</v>
      </c>
      <c r="Y5" s="92"/>
      <c r="Z5" s="92"/>
      <c r="AA5" s="92"/>
      <c r="AB5" s="92">
        <f t="shared" si="22"/>
        <v>30.333333333333336</v>
      </c>
      <c r="AC5" s="93"/>
      <c r="AD5" s="78">
        <v>0.5</v>
      </c>
      <c r="AE5" s="94">
        <f t="shared" si="1"/>
        <v>24.333333333333336</v>
      </c>
      <c r="AF5" s="77"/>
      <c r="AG5" s="94">
        <f t="shared" si="2"/>
        <v>0</v>
      </c>
      <c r="AH5" s="78">
        <v>0.5</v>
      </c>
      <c r="AI5" s="94">
        <f t="shared" si="3"/>
        <v>7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4</v>
      </c>
      <c r="AQ5" s="77"/>
      <c r="AR5" s="77"/>
      <c r="AS5" s="77"/>
      <c r="AT5" s="44">
        <f t="shared" si="24"/>
        <v>31.333333333333336</v>
      </c>
      <c r="AU5" s="78" t="s">
        <v>1512</v>
      </c>
      <c r="AV5" s="5"/>
      <c r="AW5" s="5"/>
      <c r="AX5" s="5"/>
      <c r="AY5" s="5"/>
      <c r="AZ5" s="24">
        <f>VLOOKUP(C5,Employees!D:I,6,FALSE)</f>
        <v>210523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9</v>
      </c>
      <c r="BG5" s="5">
        <f t="shared" si="30"/>
        <v>0.5</v>
      </c>
      <c r="BH5" s="5">
        <f t="shared" si="31"/>
        <v>8.5</v>
      </c>
      <c r="BI5" s="5">
        <f t="shared" si="32"/>
        <v>0</v>
      </c>
      <c r="BJ5" s="5">
        <f t="shared" si="33"/>
        <v>0</v>
      </c>
      <c r="BK5" s="5">
        <f t="shared" si="34"/>
        <v>9</v>
      </c>
      <c r="BL5" s="5">
        <f t="shared" si="35"/>
        <v>0.5</v>
      </c>
      <c r="BM5" s="5">
        <f t="shared" si="36"/>
        <v>8.5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7.3333333333333339</v>
      </c>
      <c r="BV5" s="5">
        <f t="shared" si="45"/>
        <v>0.5</v>
      </c>
      <c r="BW5" s="5">
        <f t="shared" si="46"/>
        <v>6.8333333333333339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7</v>
      </c>
      <c r="CF5" s="5">
        <f t="shared" si="54"/>
        <v>0.5</v>
      </c>
      <c r="CG5" s="5">
        <f t="shared" si="55"/>
        <v>6.5</v>
      </c>
      <c r="CH5" s="5">
        <f t="shared" si="56"/>
        <v>0</v>
      </c>
      <c r="CI5" s="5">
        <f t="shared" si="57"/>
        <v>0</v>
      </c>
      <c r="CJ5" s="5"/>
      <c r="CK5" s="4">
        <f t="shared" si="14"/>
        <v>4</v>
      </c>
    </row>
    <row r="6" spans="1:89" ht="38" customHeight="1">
      <c r="A6" s="74" t="str">
        <f t="shared" si="0"/>
        <v/>
      </c>
      <c r="B6" s="81"/>
      <c r="C6" s="85"/>
      <c r="D6" s="84"/>
      <c r="E6" s="84"/>
      <c r="F6" s="92">
        <f t="shared" si="15"/>
        <v>0</v>
      </c>
      <c r="G6" s="84"/>
      <c r="H6" s="84"/>
      <c r="I6" s="92">
        <f t="shared" si="16"/>
        <v>0</v>
      </c>
      <c r="J6" s="84"/>
      <c r="K6" s="84"/>
      <c r="L6" s="92">
        <f t="shared" si="17"/>
        <v>0</v>
      </c>
      <c r="M6" s="75"/>
      <c r="N6" s="75"/>
      <c r="O6" s="92">
        <f t="shared" si="18"/>
        <v>0</v>
      </c>
      <c r="P6" s="75"/>
      <c r="Q6" s="75"/>
      <c r="R6" s="92">
        <f t="shared" si="19"/>
        <v>0</v>
      </c>
      <c r="S6" s="75"/>
      <c r="T6" s="75"/>
      <c r="U6" s="92">
        <f t="shared" si="20"/>
        <v>0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0</v>
      </c>
      <c r="AC6" s="93"/>
      <c r="AD6" s="78"/>
      <c r="AE6" s="94">
        <f t="shared" si="1"/>
        <v>0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>
        <f t="shared" si="0"/>
        <v>210550</v>
      </c>
      <c r="B7" s="81" t="s">
        <v>1042</v>
      </c>
      <c r="C7" s="85" t="s">
        <v>1498</v>
      </c>
      <c r="D7" s="75">
        <v>0.5</v>
      </c>
      <c r="E7" s="75">
        <v>0.66666666666666663</v>
      </c>
      <c r="F7" s="92">
        <f t="shared" si="15"/>
        <v>3.9999999999999991</v>
      </c>
      <c r="G7" s="75"/>
      <c r="H7" s="75"/>
      <c r="I7" s="92">
        <f t="shared" si="16"/>
        <v>0</v>
      </c>
      <c r="J7" s="84">
        <v>0.5</v>
      </c>
      <c r="K7" s="84">
        <v>0.67708333333333337</v>
      </c>
      <c r="L7" s="92">
        <f t="shared" si="17"/>
        <v>4.2500000000000009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>
        <v>0.47916666666666669</v>
      </c>
      <c r="T7" s="75">
        <v>0.72916666666666663</v>
      </c>
      <c r="U7" s="92">
        <f t="shared" si="20"/>
        <v>5.4999999999999982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13.749999999999998</v>
      </c>
      <c r="AC7" s="93"/>
      <c r="AD7" s="78"/>
      <c r="AE7" s="94">
        <f t="shared" si="1"/>
        <v>8.25</v>
      </c>
      <c r="AF7" s="77"/>
      <c r="AG7" s="94">
        <f t="shared" si="2"/>
        <v>5.4999999999999982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3</v>
      </c>
      <c r="AQ7" s="77"/>
      <c r="AR7" s="77"/>
      <c r="AS7" s="77"/>
      <c r="AT7" s="44">
        <f t="shared" si="24"/>
        <v>13.749999999999998</v>
      </c>
      <c r="AU7" s="78"/>
      <c r="AV7" s="5"/>
      <c r="AW7" s="5"/>
      <c r="AX7" s="5"/>
      <c r="AY7" s="5"/>
      <c r="AZ7" s="24">
        <f>VLOOKUP(C7,Employees!D:I,6,FALSE)</f>
        <v>210550</v>
      </c>
      <c r="BA7" s="5">
        <f t="shared" si="25"/>
        <v>3.9999999999999991</v>
      </c>
      <c r="BB7" s="5">
        <f t="shared" si="26"/>
        <v>0</v>
      </c>
      <c r="BC7" s="5">
        <f t="shared" si="27"/>
        <v>3.9999999999999991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4.2500000000000009</v>
      </c>
      <c r="BL7" s="5">
        <f t="shared" si="35"/>
        <v>0</v>
      </c>
      <c r="BM7" s="5">
        <f t="shared" si="36"/>
        <v>4.2500000000000009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5.9999999999999982</v>
      </c>
      <c r="CA7" s="5">
        <f t="shared" si="49"/>
        <v>0.5</v>
      </c>
      <c r="CB7" s="5">
        <f t="shared" si="50"/>
        <v>5.4999999999999982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10370</v>
      </c>
      <c r="B8" s="81" t="s">
        <v>1042</v>
      </c>
      <c r="C8" s="85" t="s">
        <v>1020</v>
      </c>
      <c r="D8" s="75">
        <v>0.375</v>
      </c>
      <c r="E8" s="75">
        <v>0.75</v>
      </c>
      <c r="F8" s="92">
        <f t="shared" si="15"/>
        <v>8.5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8.5</v>
      </c>
      <c r="AC8" s="93"/>
      <c r="AD8" s="78"/>
      <c r="AE8" s="94">
        <f t="shared" si="1"/>
        <v>8.5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1</v>
      </c>
      <c r="AQ8" s="77"/>
      <c r="AR8" s="77"/>
      <c r="AS8" s="77"/>
      <c r="AT8" s="44">
        <f t="shared" si="24"/>
        <v>8.5</v>
      </c>
      <c r="AU8" s="78"/>
      <c r="AV8" s="5"/>
      <c r="AW8" s="5"/>
      <c r="AX8" s="5"/>
      <c r="AY8" s="5"/>
      <c r="AZ8" s="24">
        <f>VLOOKUP(C8,Employees!D:I,6,FALSE)</f>
        <v>10370</v>
      </c>
      <c r="BA8" s="5">
        <f t="shared" si="25"/>
        <v>9</v>
      </c>
      <c r="BB8" s="5">
        <f t="shared" si="26"/>
        <v>0.5</v>
      </c>
      <c r="BC8" s="5">
        <f t="shared" si="27"/>
        <v>8.5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 t="str">
        <f t="shared" si="0"/>
        <v/>
      </c>
      <c r="B9" s="81"/>
      <c r="C9" s="85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>
        <f t="shared" si="0"/>
        <v>10371</v>
      </c>
      <c r="B10" s="81" t="s">
        <v>1082</v>
      </c>
      <c r="C10" s="85" t="s">
        <v>1021</v>
      </c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>
        <v>0.41666666666666669</v>
      </c>
      <c r="K10" s="75">
        <v>0.75</v>
      </c>
      <c r="L10" s="92">
        <f t="shared" si="17"/>
        <v>7.5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>
        <v>0.375</v>
      </c>
      <c r="T10" s="75">
        <v>0.72916666666666663</v>
      </c>
      <c r="U10" s="92">
        <f t="shared" si="20"/>
        <v>8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15.5</v>
      </c>
      <c r="AC10" s="93"/>
      <c r="AD10" s="78">
        <v>6.5</v>
      </c>
      <c r="AE10" s="94">
        <f t="shared" si="1"/>
        <v>14</v>
      </c>
      <c r="AF10" s="77"/>
      <c r="AG10" s="94">
        <f t="shared" si="2"/>
        <v>8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2</v>
      </c>
      <c r="AQ10" s="77"/>
      <c r="AR10" s="77"/>
      <c r="AS10" s="77"/>
      <c r="AT10" s="44">
        <f t="shared" si="24"/>
        <v>22</v>
      </c>
      <c r="AU10" s="78"/>
      <c r="AV10" s="5"/>
      <c r="AW10" s="5"/>
      <c r="AX10" s="5"/>
      <c r="AY10" s="5"/>
      <c r="AZ10" s="24">
        <f>VLOOKUP(C10,Employees!D:I,6,FALSE)</f>
        <v>10371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8</v>
      </c>
      <c r="BL10" s="5">
        <f t="shared" si="35"/>
        <v>0.5</v>
      </c>
      <c r="BM10" s="5">
        <f t="shared" si="36"/>
        <v>7.5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8.5</v>
      </c>
      <c r="CA10" s="5">
        <f t="shared" si="49"/>
        <v>0.5</v>
      </c>
      <c r="CB10" s="5">
        <f t="shared" si="50"/>
        <v>8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2</v>
      </c>
    </row>
    <row r="11" spans="1:89" ht="38" customHeight="1">
      <c r="A11" s="74">
        <f t="shared" si="0"/>
        <v>210523</v>
      </c>
      <c r="B11" s="81" t="s">
        <v>1082</v>
      </c>
      <c r="C11" s="85" t="s">
        <v>1433</v>
      </c>
      <c r="D11" s="75">
        <v>0.41666666666666669</v>
      </c>
      <c r="E11" s="75">
        <v>0.75</v>
      </c>
      <c r="F11" s="92">
        <f t="shared" si="15"/>
        <v>7.5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>
        <v>0.41666666666666669</v>
      </c>
      <c r="N11" s="75">
        <v>0.75</v>
      </c>
      <c r="O11" s="92">
        <f t="shared" si="18"/>
        <v>7.5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15</v>
      </c>
      <c r="AC11" s="93"/>
      <c r="AD11" s="78">
        <v>2.5</v>
      </c>
      <c r="AE11" s="94">
        <f t="shared" si="1"/>
        <v>17.5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2</v>
      </c>
      <c r="AQ11" s="77"/>
      <c r="AR11" s="77"/>
      <c r="AS11" s="77"/>
      <c r="AT11" s="44">
        <f t="shared" si="24"/>
        <v>17.5</v>
      </c>
      <c r="AU11" s="78"/>
      <c r="AV11" s="5"/>
      <c r="AW11" s="5"/>
      <c r="AX11" s="5"/>
      <c r="AY11" s="5"/>
      <c r="AZ11" s="24">
        <f>VLOOKUP(C11,Employees!D:I,6,FALSE)</f>
        <v>210523</v>
      </c>
      <c r="BA11" s="5">
        <f t="shared" si="25"/>
        <v>8</v>
      </c>
      <c r="BB11" s="5">
        <f t="shared" si="26"/>
        <v>0.5</v>
      </c>
      <c r="BC11" s="5">
        <f t="shared" si="27"/>
        <v>7.5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8</v>
      </c>
      <c r="BQ11" s="5">
        <f t="shared" si="40"/>
        <v>0.5</v>
      </c>
      <c r="BR11" s="5">
        <f t="shared" si="41"/>
        <v>7.5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2</v>
      </c>
    </row>
    <row r="12" spans="1:89" ht="38" customHeight="1">
      <c r="A12" s="74">
        <f t="shared" si="0"/>
        <v>10370</v>
      </c>
      <c r="B12" s="81" t="s">
        <v>1082</v>
      </c>
      <c r="C12" s="85" t="s">
        <v>1020</v>
      </c>
      <c r="D12" s="75"/>
      <c r="E12" s="75"/>
      <c r="F12" s="92">
        <f t="shared" si="15"/>
        <v>0</v>
      </c>
      <c r="G12" s="75">
        <v>0.41666666666666669</v>
      </c>
      <c r="H12" s="75">
        <v>0.75</v>
      </c>
      <c r="I12" s="92">
        <f t="shared" si="16"/>
        <v>7.5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>
        <v>0.41666666666666669</v>
      </c>
      <c r="W12" s="75">
        <v>0.72916666666666663</v>
      </c>
      <c r="X12" s="92">
        <f t="shared" si="21"/>
        <v>6.9999999999999982</v>
      </c>
      <c r="Y12" s="92"/>
      <c r="Z12" s="92"/>
      <c r="AA12" s="92"/>
      <c r="AB12" s="92">
        <f t="shared" si="22"/>
        <v>14.499999999999998</v>
      </c>
      <c r="AC12" s="93"/>
      <c r="AD12" s="78">
        <v>0.5</v>
      </c>
      <c r="AE12" s="94">
        <f t="shared" si="1"/>
        <v>8</v>
      </c>
      <c r="AF12" s="77"/>
      <c r="AG12" s="94">
        <f t="shared" si="2"/>
        <v>0</v>
      </c>
      <c r="AH12" s="77">
        <v>0.5</v>
      </c>
      <c r="AI12" s="94">
        <f t="shared" si="3"/>
        <v>7.4999999999999982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2</v>
      </c>
      <c r="AQ12" s="77">
        <v>8</v>
      </c>
      <c r="AR12" s="77"/>
      <c r="AS12" s="77"/>
      <c r="AT12" s="44">
        <f t="shared" si="24"/>
        <v>23.5</v>
      </c>
      <c r="AU12" s="78" t="s">
        <v>1513</v>
      </c>
      <c r="AV12" s="5"/>
      <c r="AW12" s="5"/>
      <c r="AX12" s="5"/>
      <c r="AY12" s="5"/>
      <c r="AZ12" s="24">
        <f>VLOOKUP(C12,Employees!D:I,6,FALSE)</f>
        <v>10370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8</v>
      </c>
      <c r="BG12" s="5">
        <f t="shared" si="30"/>
        <v>0.5</v>
      </c>
      <c r="BH12" s="5">
        <f t="shared" si="31"/>
        <v>7.5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7.4999999999999982</v>
      </c>
      <c r="CF12" s="5">
        <f t="shared" si="54"/>
        <v>0.5</v>
      </c>
      <c r="CG12" s="5">
        <f t="shared" si="55"/>
        <v>6.9999999999999982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2</v>
      </c>
    </row>
    <row r="13" spans="1:89" ht="38" customHeight="1">
      <c r="A13" s="74">
        <f t="shared" si="0"/>
        <v>210550</v>
      </c>
      <c r="B13" s="81" t="s">
        <v>1082</v>
      </c>
      <c r="C13" s="85" t="s">
        <v>1498</v>
      </c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>
        <f>VLOOKUP(C13,Employees!D:I,6,FALSE)</f>
        <v>210550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>
        <f t="shared" si="0"/>
        <v>10022</v>
      </c>
      <c r="B14" s="81" t="s">
        <v>1082</v>
      </c>
      <c r="C14" s="85" t="s">
        <v>370</v>
      </c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>
        <v>0.41666666666666669</v>
      </c>
      <c r="Q14" s="75">
        <v>0.75</v>
      </c>
      <c r="R14" s="92">
        <f t="shared" si="19"/>
        <v>7.5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7.5</v>
      </c>
      <c r="AC14" s="93"/>
      <c r="AD14" s="77">
        <v>37.5</v>
      </c>
      <c r="AE14" s="94">
        <f t="shared" si="1"/>
        <v>45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1</v>
      </c>
      <c r="AQ14" s="77"/>
      <c r="AR14" s="77"/>
      <c r="AS14" s="77"/>
      <c r="AT14" s="44">
        <f t="shared" si="24"/>
        <v>45</v>
      </c>
      <c r="AU14" s="77" t="s">
        <v>1510</v>
      </c>
      <c r="AV14" s="5"/>
      <c r="AW14" s="5"/>
      <c r="AX14" s="5"/>
      <c r="AY14" s="5"/>
      <c r="AZ14" s="24">
        <f>VLOOKUP(C14,Employees!D:I,6,FALSE)</f>
        <v>10022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8</v>
      </c>
      <c r="BV14" s="5">
        <f t="shared" si="45"/>
        <v>0.5</v>
      </c>
      <c r="BW14" s="5">
        <f t="shared" si="46"/>
        <v>7.5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1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6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AR5" sqref="AR5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10371</v>
      </c>
      <c r="B2" s="81" t="s">
        <v>1042</v>
      </c>
      <c r="C2" s="91" t="s">
        <v>1021</v>
      </c>
      <c r="D2" s="75">
        <v>0.41666666666666669</v>
      </c>
      <c r="E2" s="75">
        <v>0.58333333333333337</v>
      </c>
      <c r="F2" s="92">
        <f>BA2-BB2</f>
        <v>4</v>
      </c>
      <c r="G2" s="75">
        <v>0.375</v>
      </c>
      <c r="H2" s="76">
        <v>0.75</v>
      </c>
      <c r="I2" s="92">
        <f>BF2-BG2</f>
        <v>8.5</v>
      </c>
      <c r="J2" s="75"/>
      <c r="K2" s="76"/>
      <c r="L2" s="92">
        <f>BK2-BL2</f>
        <v>0</v>
      </c>
      <c r="M2" s="75"/>
      <c r="N2" s="76"/>
      <c r="O2" s="92">
        <f>BP2-BQ2</f>
        <v>0</v>
      </c>
      <c r="P2" s="75">
        <v>0.375</v>
      </c>
      <c r="Q2" s="76">
        <v>0.75</v>
      </c>
      <c r="R2" s="92">
        <f>BU2-BV2</f>
        <v>8.5</v>
      </c>
      <c r="S2" s="75"/>
      <c r="T2" s="75"/>
      <c r="U2" s="92">
        <f>BZ2-CA2</f>
        <v>0</v>
      </c>
      <c r="V2" s="75"/>
      <c r="W2" s="99"/>
      <c r="X2" s="92">
        <f>CE2-CF2</f>
        <v>0</v>
      </c>
      <c r="Y2" s="92"/>
      <c r="Z2" s="92"/>
      <c r="AA2" s="92"/>
      <c r="AB2" s="96">
        <f>SUM(F2,I2,L2,O2,R2,U2,X2)</f>
        <v>21</v>
      </c>
      <c r="AC2" s="93"/>
      <c r="AD2" s="78"/>
      <c r="AE2" s="94">
        <f>SUMIF($BC$1:$CI$1,AE$1,$BC2:$CI2)+AD2</f>
        <v>17</v>
      </c>
      <c r="AF2" s="78"/>
      <c r="AG2" s="94">
        <f>SUMIF($BC$1:$CI$1,AG$1,$BC2:$CI2)+AF2</f>
        <v>0</v>
      </c>
      <c r="AH2" s="78"/>
      <c r="AI2" s="94">
        <f>SUMIF($BC$1:$CI$1,AI$1,$BC2:$CI2)+AH2</f>
        <v>0</v>
      </c>
      <c r="AJ2" s="77"/>
      <c r="AK2" s="94">
        <f>SUMIF($BC$1:$CI$1,AK$1,$BC2:$CI2)+AJ2</f>
        <v>4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3</v>
      </c>
      <c r="AQ2" s="77"/>
      <c r="AR2" s="77">
        <v>8</v>
      </c>
      <c r="AS2" s="77"/>
      <c r="AT2" s="63">
        <f>AE2+AG2+AI2+AK2+AM2+AO2+SUM(AQ2:AS2)</f>
        <v>29</v>
      </c>
      <c r="AU2" s="78"/>
      <c r="AV2" s="5"/>
      <c r="AW2" s="5"/>
      <c r="AX2" s="5"/>
      <c r="AY2" s="5"/>
      <c r="AZ2" s="24">
        <f>VLOOKUP(C2,Employees!D:I,6,FALSE)</f>
        <v>10371</v>
      </c>
      <c r="BA2" s="5">
        <f>IF(ISBLANK(D2),0,(E2-D2)*24)</f>
        <v>4</v>
      </c>
      <c r="BB2" s="5">
        <f>IF(BA2&gt;$AY$1,1,IF(BA2&gt;=$AX$1,0.5,0))</f>
        <v>0</v>
      </c>
      <c r="BC2" s="5">
        <f>BA2-BB2-BD2-BE2</f>
        <v>4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9</v>
      </c>
      <c r="BG2" s="5">
        <f>IF(BF2&gt;$AY$1,1,IF(BF2&gt;=$AX$1,0.5,0))</f>
        <v>0.5</v>
      </c>
      <c r="BH2" s="5">
        <f>BF2-BG2-BI2-BJ2</f>
        <v>8.5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9</v>
      </c>
      <c r="BV2" s="5">
        <f>IF(BU2&gt;$AY$1,1,IF(BU2&gt;=$AX$1,0.5,0))</f>
        <v>0.5</v>
      </c>
      <c r="BW2" s="5">
        <f>BU2-BV2-BX2-BY2</f>
        <v>8.5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210556</v>
      </c>
      <c r="B3" s="81" t="s">
        <v>1042</v>
      </c>
      <c r="C3" s="91" t="s">
        <v>1519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>
        <v>0.5</v>
      </c>
      <c r="K3" s="75">
        <v>0.75</v>
      </c>
      <c r="L3" s="92">
        <f t="shared" ref="L3:L74" si="11">BK3-BL3</f>
        <v>5.5</v>
      </c>
      <c r="M3" s="75"/>
      <c r="N3" s="75"/>
      <c r="O3" s="92">
        <f t="shared" ref="O3:O74" si="12">BP3-BQ3</f>
        <v>0</v>
      </c>
      <c r="P3" s="84">
        <v>0.5</v>
      </c>
      <c r="Q3" s="84">
        <v>0.66666666666666663</v>
      </c>
      <c r="R3" s="92">
        <f t="shared" ref="R3:R74" si="13">BU3-BV3</f>
        <v>3.9999999999999991</v>
      </c>
      <c r="S3" s="84">
        <v>0.47916666666666669</v>
      </c>
      <c r="T3" s="84">
        <v>0.73958333333333337</v>
      </c>
      <c r="U3" s="92">
        <f t="shared" ref="U3:U74" si="14">BZ3-CA3</f>
        <v>5.75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15.25</v>
      </c>
      <c r="AC3" s="93"/>
      <c r="AD3" s="78">
        <v>0.5</v>
      </c>
      <c r="AE3" s="94">
        <f t="shared" ref="AE3:AE74" si="17">SUMIF($BC$1:$CI$1,AE$1,$BC3:$CI3)+AD3</f>
        <v>10</v>
      </c>
      <c r="AF3" s="78">
        <v>0.5</v>
      </c>
      <c r="AG3" s="94">
        <f t="shared" ref="AG3:AG74" si="18">SUMIF($BC$1:$CI$1,AG$1,$BC3:$CI3)+AF3</f>
        <v>6.25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3</v>
      </c>
      <c r="AQ3" s="77"/>
      <c r="AR3" s="77"/>
      <c r="AS3" s="77"/>
      <c r="AT3" s="63">
        <f t="shared" ref="AT3:AT74" si="24">AE3+AG3+AI3+AK3+AM3+AO3+SUM(AQ3:AS3)</f>
        <v>16.25</v>
      </c>
      <c r="AU3" s="78" t="s">
        <v>1515</v>
      </c>
      <c r="AV3" s="5"/>
      <c r="AW3" s="5"/>
      <c r="AX3" s="5"/>
      <c r="AY3" s="5"/>
      <c r="AZ3" s="24">
        <f>VLOOKUP(C3,Employees!D:I,6,FALSE)</f>
        <v>210556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6</v>
      </c>
      <c r="BL3" s="5">
        <f t="shared" ref="BL3:BL66" si="36">IF(BK3&gt;$AY$1,1,IF(BK3&gt;=$AX$1,0.5,0))</f>
        <v>0.5</v>
      </c>
      <c r="BM3" s="5">
        <f t="shared" ref="BM3:BM66" si="37">BK3-BL3-BN3-BO3</f>
        <v>5.5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3.9999999999999991</v>
      </c>
      <c r="BV3" s="5">
        <f t="shared" ref="BV3:BV66" si="46">IF(BU3&gt;$AY$1,1,IF(BU3&gt;=$AX$1,0.5,0))</f>
        <v>0</v>
      </c>
      <c r="BW3" s="5">
        <f t="shared" ref="BW3:BW66" si="47">BU3-BV3-BX3-BY3</f>
        <v>3.9999999999999991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6.25</v>
      </c>
      <c r="CA3" s="5">
        <f t="shared" ref="CA3:CA66" si="51">IF(BZ3&gt;$AY$1,1,IF(BZ3&gt;=$AX$1,0.5,0))</f>
        <v>0.5</v>
      </c>
      <c r="CB3" s="5">
        <f t="shared" ref="CB3:CB66" si="52">BZ3-CA3-CC3-CD3</f>
        <v>5.75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4">
        <f t="shared" si="0"/>
        <v>10022</v>
      </c>
      <c r="B4" s="81" t="s">
        <v>1042</v>
      </c>
      <c r="C4" s="85" t="s">
        <v>370</v>
      </c>
      <c r="D4" s="75">
        <v>0.5</v>
      </c>
      <c r="E4" s="75">
        <v>0.72916666666666663</v>
      </c>
      <c r="F4" s="92">
        <f t="shared" si="9"/>
        <v>4.9999999999999991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>
        <v>0.66666666666666663</v>
      </c>
      <c r="N4" s="75">
        <v>0.89583333333333337</v>
      </c>
      <c r="O4" s="92">
        <f t="shared" si="12"/>
        <v>5.0000000000000018</v>
      </c>
      <c r="P4" s="75"/>
      <c r="Q4" s="75"/>
      <c r="R4" s="92">
        <f t="shared" si="13"/>
        <v>0</v>
      </c>
      <c r="S4" s="75">
        <v>0.375</v>
      </c>
      <c r="T4" s="75">
        <v>0.72916666666666663</v>
      </c>
      <c r="U4" s="92">
        <f t="shared" si="14"/>
        <v>8</v>
      </c>
      <c r="V4" s="75">
        <v>0.41666666666666669</v>
      </c>
      <c r="W4" s="75">
        <v>0.72916666666666663</v>
      </c>
      <c r="X4" s="92">
        <f t="shared" si="15"/>
        <v>6.9999999999999982</v>
      </c>
      <c r="Y4" s="92"/>
      <c r="Z4" s="92"/>
      <c r="AA4" s="92"/>
      <c r="AB4" s="96">
        <f t="shared" si="16"/>
        <v>25</v>
      </c>
      <c r="AC4" s="93"/>
      <c r="AD4" s="78">
        <v>2</v>
      </c>
      <c r="AE4" s="94">
        <f t="shared" si="17"/>
        <v>7.0000000000000018</v>
      </c>
      <c r="AF4" s="78">
        <v>0.5</v>
      </c>
      <c r="AG4" s="94">
        <f t="shared" si="18"/>
        <v>8.5</v>
      </c>
      <c r="AH4" s="78">
        <v>0.5</v>
      </c>
      <c r="AI4" s="94">
        <f t="shared" si="19"/>
        <v>7.4999999999999982</v>
      </c>
      <c r="AJ4" s="77"/>
      <c r="AK4" s="94">
        <f t="shared" si="20"/>
        <v>4.9999999999999991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4</v>
      </c>
      <c r="AQ4" s="77"/>
      <c r="AR4" s="77"/>
      <c r="AS4" s="77"/>
      <c r="AT4" s="63">
        <f t="shared" si="24"/>
        <v>28</v>
      </c>
      <c r="AU4" s="78" t="s">
        <v>1514</v>
      </c>
      <c r="AV4" s="5"/>
      <c r="AW4" s="5"/>
      <c r="AX4" s="5"/>
      <c r="AY4" s="5"/>
      <c r="AZ4" s="24">
        <f>VLOOKUP(C4,Employees!D:I,6,FALSE)</f>
        <v>10022</v>
      </c>
      <c r="BA4" s="5">
        <f t="shared" si="25"/>
        <v>5.4999999999999991</v>
      </c>
      <c r="BB4" s="5">
        <f t="shared" si="26"/>
        <v>0.5</v>
      </c>
      <c r="BC4" s="5">
        <f t="shared" si="27"/>
        <v>4.9999999999999991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5.5000000000000018</v>
      </c>
      <c r="BQ4" s="5">
        <f t="shared" si="41"/>
        <v>0.5</v>
      </c>
      <c r="BR4" s="5">
        <f t="shared" si="42"/>
        <v>5.0000000000000018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8.5</v>
      </c>
      <c r="CA4" s="5">
        <f t="shared" si="51"/>
        <v>0.5</v>
      </c>
      <c r="CB4" s="5">
        <f t="shared" si="52"/>
        <v>8</v>
      </c>
      <c r="CC4" s="5">
        <f t="shared" si="53"/>
        <v>0</v>
      </c>
      <c r="CD4" s="5">
        <f t="shared" si="54"/>
        <v>0</v>
      </c>
      <c r="CE4" s="5">
        <f t="shared" si="55"/>
        <v>7.4999999999999982</v>
      </c>
      <c r="CF4" s="5">
        <f t="shared" si="56"/>
        <v>0.5</v>
      </c>
      <c r="CG4" s="5">
        <f t="shared" si="57"/>
        <v>6.9999999999999982</v>
      </c>
      <c r="CH4" s="5">
        <f t="shared" si="58"/>
        <v>0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>
        <f t="shared" si="0"/>
        <v>210523</v>
      </c>
      <c r="B5" s="81" t="s">
        <v>1042</v>
      </c>
      <c r="C5" s="85" t="s">
        <v>1433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>
        <v>0.375</v>
      </c>
      <c r="K5" s="76">
        <v>0.66666666666666663</v>
      </c>
      <c r="L5" s="92">
        <f t="shared" si="11"/>
        <v>6.4999999999999991</v>
      </c>
      <c r="M5" s="75">
        <v>0.375</v>
      </c>
      <c r="N5" s="75">
        <v>0.66666666666666663</v>
      </c>
      <c r="O5" s="92">
        <f t="shared" si="12"/>
        <v>6.4999999999999991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12.999999999999998</v>
      </c>
      <c r="AC5" s="93"/>
      <c r="AD5" s="78">
        <v>0.5</v>
      </c>
      <c r="AE5" s="94">
        <f t="shared" si="17"/>
        <v>13.499999999999998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2</v>
      </c>
      <c r="AQ5" s="77"/>
      <c r="AR5" s="77"/>
      <c r="AS5" s="77"/>
      <c r="AT5" s="63">
        <f t="shared" si="24"/>
        <v>13.499999999999998</v>
      </c>
      <c r="AU5" s="78" t="s">
        <v>1509</v>
      </c>
      <c r="AV5" s="5"/>
      <c r="AW5" s="5"/>
      <c r="AX5" s="5"/>
      <c r="AY5" s="5"/>
      <c r="AZ5" s="24">
        <f>VLOOKUP(C5,Employees!D:I,6,FALSE)</f>
        <v>210523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6.9999999999999991</v>
      </c>
      <c r="BL5" s="5">
        <f t="shared" si="36"/>
        <v>0.5</v>
      </c>
      <c r="BM5" s="5">
        <f t="shared" si="37"/>
        <v>6.4999999999999991</v>
      </c>
      <c r="BN5" s="5">
        <f t="shared" si="38"/>
        <v>0</v>
      </c>
      <c r="BO5" s="5">
        <f t="shared" si="39"/>
        <v>0</v>
      </c>
      <c r="BP5" s="5">
        <f t="shared" si="40"/>
        <v>6.9999999999999991</v>
      </c>
      <c r="BQ5" s="5">
        <f t="shared" si="41"/>
        <v>0.5</v>
      </c>
      <c r="BR5" s="5">
        <f t="shared" si="42"/>
        <v>6.4999999999999991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 t="str">
        <f t="shared" si="0"/>
        <v/>
      </c>
      <c r="B6" s="81"/>
      <c r="C6" s="85"/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0</v>
      </c>
      <c r="AC6" s="93"/>
      <c r="AD6" s="78"/>
      <c r="AE6" s="94">
        <f t="shared" si="17"/>
        <v>0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>
        <f t="shared" si="0"/>
        <v>210550</v>
      </c>
      <c r="B7" s="81" t="s">
        <v>1042</v>
      </c>
      <c r="C7" s="85" t="s">
        <v>1498</v>
      </c>
      <c r="D7" s="76"/>
      <c r="E7" s="76"/>
      <c r="F7" s="92">
        <f t="shared" si="9"/>
        <v>0</v>
      </c>
      <c r="G7" s="76">
        <v>0.5</v>
      </c>
      <c r="H7" s="76">
        <v>0.66666666666666663</v>
      </c>
      <c r="I7" s="92">
        <f t="shared" si="10"/>
        <v>3.9999999999999991</v>
      </c>
      <c r="J7" s="76"/>
      <c r="K7" s="76"/>
      <c r="L7" s="92">
        <f t="shared" si="11"/>
        <v>0</v>
      </c>
      <c r="M7" s="76">
        <v>0.5</v>
      </c>
      <c r="N7" s="76">
        <v>0.70833333333333337</v>
      </c>
      <c r="O7" s="92">
        <f t="shared" si="12"/>
        <v>5.0000000000000009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9</v>
      </c>
      <c r="AC7" s="93"/>
      <c r="AD7" s="78"/>
      <c r="AE7" s="94">
        <f t="shared" si="17"/>
        <v>9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2</v>
      </c>
      <c r="AQ7" s="77"/>
      <c r="AR7" s="77"/>
      <c r="AS7" s="77"/>
      <c r="AT7" s="63">
        <f t="shared" si="24"/>
        <v>9</v>
      </c>
      <c r="AU7" s="78"/>
      <c r="AV7" s="5"/>
      <c r="AW7" s="5"/>
      <c r="AX7" s="5"/>
      <c r="AY7" s="5"/>
      <c r="AZ7" s="24">
        <f>VLOOKUP(C7,Employees!D:I,6,FALSE)</f>
        <v>210550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3.9999999999999991</v>
      </c>
      <c r="BG7" s="5">
        <f t="shared" si="31"/>
        <v>0</v>
      </c>
      <c r="BH7" s="5">
        <f t="shared" si="32"/>
        <v>3.9999999999999991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5.0000000000000009</v>
      </c>
      <c r="BQ7" s="5">
        <f t="shared" si="41"/>
        <v>0</v>
      </c>
      <c r="BR7" s="5">
        <f t="shared" si="42"/>
        <v>5.0000000000000009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>
        <f t="shared" si="0"/>
        <v>10370</v>
      </c>
      <c r="B8" s="81" t="s">
        <v>1042</v>
      </c>
      <c r="C8" s="85" t="s">
        <v>1020</v>
      </c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>
        <f>VLOOKUP(C8,Employees!D:I,6,FALSE)</f>
        <v>10370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>
        <f t="shared" si="0"/>
        <v>10371</v>
      </c>
      <c r="B10" s="81" t="s">
        <v>1082</v>
      </c>
      <c r="C10" s="85" t="s">
        <v>1021</v>
      </c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>
        <v>0.39583333333333331</v>
      </c>
      <c r="N10" s="75">
        <v>0.75</v>
      </c>
      <c r="O10" s="92">
        <f t="shared" si="12"/>
        <v>8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8</v>
      </c>
      <c r="AC10" s="93"/>
      <c r="AD10" s="78"/>
      <c r="AE10" s="94">
        <f t="shared" si="17"/>
        <v>8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1</v>
      </c>
      <c r="AQ10" s="77"/>
      <c r="AR10" s="77"/>
      <c r="AS10" s="77"/>
      <c r="AT10" s="63">
        <f t="shared" si="24"/>
        <v>8</v>
      </c>
      <c r="AU10" s="78"/>
      <c r="AV10" s="5"/>
      <c r="AW10" s="5"/>
      <c r="AX10" s="5"/>
      <c r="AY10" s="5"/>
      <c r="AZ10" s="24">
        <f>VLOOKUP(C10,Employees!D:I,6,FALSE)</f>
        <v>10371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8.5</v>
      </c>
      <c r="BQ10" s="5">
        <f t="shared" si="41"/>
        <v>0.5</v>
      </c>
      <c r="BR10" s="5">
        <f t="shared" si="42"/>
        <v>8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4">
        <f t="shared" si="0"/>
        <v>210523</v>
      </c>
      <c r="B11" s="81" t="s">
        <v>1082</v>
      </c>
      <c r="C11" s="85" t="s">
        <v>1433</v>
      </c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>
        <v>0.375</v>
      </c>
      <c r="T11" s="75">
        <v>0.72916666666666663</v>
      </c>
      <c r="U11" s="92">
        <f t="shared" si="14"/>
        <v>8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8</v>
      </c>
      <c r="AC11" s="93"/>
      <c r="AD11" s="78"/>
      <c r="AE11" s="94">
        <f t="shared" si="17"/>
        <v>0</v>
      </c>
      <c r="AF11" s="77">
        <v>0.5</v>
      </c>
      <c r="AG11" s="94">
        <f t="shared" si="18"/>
        <v>8.5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1</v>
      </c>
      <c r="AQ11" s="77"/>
      <c r="AR11" s="77"/>
      <c r="AS11" s="77"/>
      <c r="AT11" s="63">
        <f t="shared" si="24"/>
        <v>8.5</v>
      </c>
      <c r="AU11" s="78" t="s">
        <v>1517</v>
      </c>
      <c r="AV11" s="5"/>
      <c r="AW11" s="5"/>
      <c r="AX11" s="5"/>
      <c r="AY11" s="5"/>
      <c r="AZ11" s="24">
        <f>VLOOKUP(C11,Employees!D:I,6,FALSE)</f>
        <v>210523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8.5</v>
      </c>
      <c r="CA11" s="5">
        <f t="shared" si="51"/>
        <v>0.5</v>
      </c>
      <c r="CB11" s="5">
        <f t="shared" si="52"/>
        <v>8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1</v>
      </c>
    </row>
    <row r="12" spans="1:89" ht="47" customHeight="1">
      <c r="A12" s="74">
        <f t="shared" si="0"/>
        <v>10370</v>
      </c>
      <c r="B12" s="81" t="s">
        <v>1082</v>
      </c>
      <c r="C12" s="85" t="s">
        <v>1020</v>
      </c>
      <c r="D12" s="76"/>
      <c r="E12" s="75"/>
      <c r="F12" s="92">
        <f t="shared" si="9"/>
        <v>0</v>
      </c>
      <c r="G12" s="75">
        <v>0.41666666666666669</v>
      </c>
      <c r="H12" s="76">
        <v>0.75</v>
      </c>
      <c r="I12" s="92">
        <f t="shared" si="10"/>
        <v>7.5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>
        <v>0.41666666666666669</v>
      </c>
      <c r="Q12" s="75">
        <v>0.75</v>
      </c>
      <c r="R12" s="92">
        <f t="shared" si="13"/>
        <v>7.5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15</v>
      </c>
      <c r="AC12" s="93"/>
      <c r="AD12" s="78"/>
      <c r="AE12" s="94">
        <f t="shared" si="17"/>
        <v>15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2</v>
      </c>
      <c r="AQ12" s="77"/>
      <c r="AR12" s="77"/>
      <c r="AS12" s="77"/>
      <c r="AT12" s="63">
        <f t="shared" si="24"/>
        <v>15</v>
      </c>
      <c r="AU12" s="78"/>
      <c r="AV12" s="5"/>
      <c r="AW12" s="5"/>
      <c r="AX12" s="5"/>
      <c r="AY12" s="5"/>
      <c r="AZ12" s="24">
        <f>VLOOKUP(C12,Employees!D:I,6,FALSE)</f>
        <v>10370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8</v>
      </c>
      <c r="BG12" s="5">
        <f t="shared" si="31"/>
        <v>0.5</v>
      </c>
      <c r="BH12" s="5">
        <f t="shared" si="32"/>
        <v>7.5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8</v>
      </c>
      <c r="BV12" s="5">
        <f t="shared" si="46"/>
        <v>0.5</v>
      </c>
      <c r="BW12" s="5">
        <f t="shared" si="47"/>
        <v>7.5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2</v>
      </c>
    </row>
    <row r="13" spans="1:89" ht="47" customHeight="1">
      <c r="A13" s="74">
        <f t="shared" si="0"/>
        <v>210550</v>
      </c>
      <c r="B13" s="81" t="s">
        <v>1082</v>
      </c>
      <c r="C13" s="85" t="s">
        <v>1498</v>
      </c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>
        <v>0.41666666666666669</v>
      </c>
      <c r="K13" s="76">
        <v>0.75</v>
      </c>
      <c r="L13" s="92">
        <f t="shared" si="11"/>
        <v>7.5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>
        <v>0.5</v>
      </c>
      <c r="W13" s="76">
        <v>0.72916666666666663</v>
      </c>
      <c r="X13" s="92">
        <f t="shared" si="15"/>
        <v>4.9999999999999991</v>
      </c>
      <c r="Y13" s="92"/>
      <c r="Z13" s="92"/>
      <c r="AA13" s="92"/>
      <c r="AB13" s="96">
        <f t="shared" si="16"/>
        <v>12.5</v>
      </c>
      <c r="AC13" s="93"/>
      <c r="AD13" s="77"/>
      <c r="AE13" s="94">
        <f t="shared" si="17"/>
        <v>7.5</v>
      </c>
      <c r="AF13" s="77"/>
      <c r="AG13" s="94">
        <f t="shared" si="18"/>
        <v>0</v>
      </c>
      <c r="AH13" s="77">
        <v>0.5</v>
      </c>
      <c r="AI13" s="94">
        <f t="shared" si="19"/>
        <v>5.4999999999999991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2</v>
      </c>
      <c r="AQ13" s="77"/>
      <c r="AR13" s="77"/>
      <c r="AS13" s="77"/>
      <c r="AT13" s="63">
        <f t="shared" si="24"/>
        <v>13</v>
      </c>
      <c r="AU13" s="77" t="s">
        <v>1516</v>
      </c>
      <c r="AV13" s="5"/>
      <c r="AW13" s="5"/>
      <c r="AX13" s="5"/>
      <c r="AY13" s="5"/>
      <c r="AZ13" s="24">
        <f>VLOOKUP(C13,Employees!D:I,6,FALSE)</f>
        <v>210550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8</v>
      </c>
      <c r="BL13" s="5">
        <f t="shared" si="36"/>
        <v>0.5</v>
      </c>
      <c r="BM13" s="5">
        <f t="shared" si="37"/>
        <v>7.5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5.4999999999999991</v>
      </c>
      <c r="CF13" s="5">
        <f t="shared" si="56"/>
        <v>0.5</v>
      </c>
      <c r="CG13" s="5">
        <f t="shared" si="57"/>
        <v>4.9999999999999991</v>
      </c>
      <c r="CH13" s="5">
        <f t="shared" si="58"/>
        <v>0</v>
      </c>
      <c r="CI13" s="5">
        <f t="shared" si="59"/>
        <v>0</v>
      </c>
      <c r="CJ13" s="5"/>
      <c r="CK13" s="4">
        <f t="shared" si="8"/>
        <v>2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G1" zoomScale="120" zoomScaleNormal="120" workbookViewId="0">
      <selection activeCell="W5" sqref="W5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10371</v>
      </c>
      <c r="B2" s="28">
        <f ca="1">IF(A2=0,"",_xlfn.NUMBERVALUE(A2))</f>
        <v>10371</v>
      </c>
      <c r="C2" s="28" t="str">
        <f ca="1">IF($A2=0,"",VLOOKUP($B2,Employees!$A:$G,2,FALSE))</f>
        <v>Sangay</v>
      </c>
      <c r="D2" s="28" t="str">
        <f ca="1">IF($A2=0,"",VLOOKUP($B2,Employees!$A:$G,3,FALSE))</f>
        <v>Lhazom</v>
      </c>
      <c r="E2" s="26">
        <f ca="1">IF($A2=0,"",VLOOKUP($B2,Employees!$A:$G,5,FALSE))</f>
        <v>36214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Innaloo</v>
      </c>
      <c r="L2" s="13" t="str">
        <f ca="1">IF($A2=0,"",VLOOKUP(K2,Stores!A:B,2,0))</f>
        <v>Winlada</v>
      </c>
      <c r="M2" s="14">
        <f t="shared" ref="M2" ca="1" si="0">Y2+AK2</f>
        <v>46</v>
      </c>
      <c r="N2" s="14">
        <f t="shared" ref="N2" ca="1" si="1">Z2+AL2</f>
        <v>8</v>
      </c>
      <c r="O2" s="14">
        <f t="shared" ref="O2" ca="1" si="2">AA2+AM2</f>
        <v>0</v>
      </c>
      <c r="P2" s="14">
        <f t="shared" ref="P2" ca="1" si="3">AB2+AN2</f>
        <v>4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7</v>
      </c>
      <c r="T2" s="14">
        <f t="shared" ref="T2" ca="1" si="6">AF2+AR2</f>
        <v>0</v>
      </c>
      <c r="U2" s="14">
        <f t="shared" ref="U2" ca="1" si="7">AG2+AS2</f>
        <v>8</v>
      </c>
      <c r="V2" s="14">
        <f t="shared" ref="V2" ca="1" si="8">AH2+AT2</f>
        <v>0</v>
      </c>
      <c r="W2" s="14">
        <f ca="1">SUM(M2:R2,T2:V2)</f>
        <v>66</v>
      </c>
      <c r="Y2" s="17">
        <f ca="1">IF($A2=0,0,SUMIF('Week 1 Roster'!$AZ:$AZ,$B2,'Week 1 Roster'!$AE:$AE))</f>
        <v>21</v>
      </c>
      <c r="Z2" s="17">
        <f ca="1">IF($A2=0,0,SUMIF('Week 1 Roster'!$AZ:$AZ,$B2,'Week 1 Roster'!$AG:$AG))</f>
        <v>8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29</v>
      </c>
      <c r="AK2" s="17">
        <f ca="1">IF($A2=0,0,SUMIF('Week 2 Roster'!$AZ:$AZ,$B2,'Week 2 Roster'!$AE:$AE))</f>
        <v>25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4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8</v>
      </c>
      <c r="AT2" s="17">
        <f ca="1">IF($A2=0,0,SUMIF('Week 2 Roster'!$AZ:$AZ,$B2,'Week 2 Roster'!$AS:$AS))</f>
        <v>0</v>
      </c>
      <c r="AU2" s="17">
        <f ca="1">SUM(AK2:AP2,AR2:AT2)</f>
        <v>37</v>
      </c>
      <c r="AV2" s="17"/>
      <c r="AW2" s="25">
        <f>'Week 1 Roster'!A2</f>
        <v>10371</v>
      </c>
      <c r="AX2" s="25">
        <f>'Week 2 Roster'!A2</f>
        <v>10371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210556</v>
      </c>
      <c r="B3" s="28">
        <f t="shared" ref="B3:B66" ca="1" si="9">IF(A3=0,"",_xlfn.NUMBERVALUE(A3))</f>
        <v>210556</v>
      </c>
      <c r="C3" s="28" t="str">
        <f ca="1">IF($A3=0,"",VLOOKUP($B3,Employees!$A:$G,2,FALSE))</f>
        <v>Kimberley</v>
      </c>
      <c r="D3" s="28" t="str">
        <f ca="1">IF($A3=0,"",VLOOKUP($B3,Employees!$A:$G,3,FALSE))</f>
        <v>Koh</v>
      </c>
      <c r="E3" s="26">
        <f ca="1">IF($A3=0,"",VLOOKUP($B3,Employees!$A:$G,5,FALSE))</f>
        <v>39273</v>
      </c>
      <c r="F3" s="13">
        <f ca="1">IF($E3="","",ROUNDDOWN(YEARFRAC($E3, 'Week 1 Roster'!$D$1-1, 1), 0))</f>
        <v>18</v>
      </c>
      <c r="G3" s="13">
        <f ca="1">IF($E3="","",ROUNDDOWN(YEARFRAC($E3, 'Week 1 Roster'!$D$1+14, 1), 0))</f>
        <v>18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Win</v>
      </c>
      <c r="K3" s="13" t="str">
        <f ca="1">IF($A3=0,"",IF(ISNA(VLOOKUP(A3,'Week 1 Roster'!A:C,2,0)),VLOOKUP(A3,'Week 2 Roster'!A:C,2,0),VLOOKUP(A3,'Week 1 Roster'!A:C,2,0)))</f>
        <v>Innaloo</v>
      </c>
      <c r="L3" s="13" t="str">
        <f ca="1">IF($A3=0,"",VLOOKUP(K3,Stores!A:B,2,0))</f>
        <v>Winlada</v>
      </c>
      <c r="M3" s="14">
        <f t="shared" ref="M3:M66" ca="1" si="11">Y3+AK3</f>
        <v>24.333333333333332</v>
      </c>
      <c r="N3" s="14">
        <f t="shared" ref="N3:N66" ca="1" si="12">Z3+AL3</f>
        <v>6.25</v>
      </c>
      <c r="O3" s="14">
        <f t="shared" ref="O3:O66" ca="1" si="13">AA3+AM3</f>
        <v>5.4999999999999991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7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36.083333333333329</v>
      </c>
      <c r="Y3" s="17">
        <f ca="1">IF($A3=0,0,SUMIF('Week 1 Roster'!$AZ:$AZ,$B3,'Week 1 Roster'!$AE:$AE))</f>
        <v>14.333333333333332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5.4999999999999991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19.833333333333332</v>
      </c>
      <c r="AK3" s="17">
        <f ca="1">IF($A3=0,0,SUMIF('Week 2 Roster'!$AZ:$AZ,$B3,'Week 2 Roster'!$AE:$AE))</f>
        <v>10</v>
      </c>
      <c r="AL3" s="17">
        <f ca="1">IF($A3=0,0,SUMIF('Week 2 Roster'!$AZ:$AZ,$B3,'Week 2 Roster'!$AG:$AG))</f>
        <v>6.25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16.25</v>
      </c>
      <c r="AV3" s="17"/>
      <c r="AW3" s="25">
        <f>'Week 1 Roster'!A3</f>
        <v>210556</v>
      </c>
      <c r="AX3" s="25">
        <f>'Week 2 Roster'!A3</f>
        <v>210556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10022</v>
      </c>
      <c r="B4" s="28">
        <f t="shared" ca="1" si="9"/>
        <v>10022</v>
      </c>
      <c r="C4" s="28" t="str">
        <f ca="1">IF($A4=0,"",VLOOKUP($B4,Employees!$A:$G,2,FALSE))</f>
        <v>Jingwen</v>
      </c>
      <c r="D4" s="28" t="str">
        <f ca="1">IF($A4=0,"",VLOOKUP($B4,Employees!$A:$G,3,FALSE))</f>
        <v>Chen</v>
      </c>
      <c r="E4" s="26">
        <f ca="1">IF($A4=0,"",VLOOKUP($B4,Employees!$A:$G,5,FALSE))</f>
        <v>35862</v>
      </c>
      <c r="F4" s="13">
        <f ca="1">IF($E4="","",ROUNDDOWN(YEARFRAC($E4, 'Week 1 Roster'!$D$1-1, 1), 0))</f>
        <v>27</v>
      </c>
      <c r="G4" s="13">
        <f ca="1">IF($E4="","",ROUNDDOWN(YEARFRAC($E4, 'Week 1 Roster'!$D$1+14, 1), 0))</f>
        <v>27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Innaloo</v>
      </c>
      <c r="L4" s="13" t="str">
        <f ca="1">IF($A4=0,"",VLOOKUP(K4,Stores!A:B,2,0))</f>
        <v>Winlada</v>
      </c>
      <c r="M4" s="14">
        <f t="shared" ca="1" si="11"/>
        <v>58.5</v>
      </c>
      <c r="N4" s="14">
        <f t="shared" ca="1" si="12"/>
        <v>16.5</v>
      </c>
      <c r="O4" s="14">
        <f t="shared" ca="1" si="13"/>
        <v>7.4999999999999982</v>
      </c>
      <c r="P4" s="14">
        <f t="shared" ca="1" si="14"/>
        <v>4.9999999999999991</v>
      </c>
      <c r="Q4" s="14">
        <f t="shared" ca="1" si="15"/>
        <v>0</v>
      </c>
      <c r="R4" s="14">
        <f t="shared" ca="1" si="16"/>
        <v>0</v>
      </c>
      <c r="S4" s="28">
        <f t="shared" ca="1" si="17"/>
        <v>7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87.5</v>
      </c>
      <c r="Y4" s="17">
        <f ca="1">IF($A4=0,0,SUMIF('Week 1 Roster'!$AZ:$AZ,$B4,'Week 1 Roster'!$AE:$AE))</f>
        <v>51.5</v>
      </c>
      <c r="Z4" s="17">
        <f ca="1">IF($A4=0,0,SUMIF('Week 1 Roster'!$AZ:$AZ,$B4,'Week 1 Roster'!$AG:$AG))</f>
        <v>8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59.5</v>
      </c>
      <c r="AK4" s="17">
        <f ca="1">IF($A4=0,0,SUMIF('Week 2 Roster'!$AZ:$AZ,$B4,'Week 2 Roster'!$AE:$AE))</f>
        <v>7.0000000000000018</v>
      </c>
      <c r="AL4" s="17">
        <f ca="1">IF($A4=0,0,SUMIF('Week 2 Roster'!$AZ:$AZ,$B4,'Week 2 Roster'!$AG:$AG))</f>
        <v>8.5</v>
      </c>
      <c r="AM4" s="17">
        <f ca="1">IF($A4=0,0,SUMIF('Week 2 Roster'!$AZ:$AZ,$B4,'Week 2 Roster'!$AI:$AI))</f>
        <v>7.4999999999999982</v>
      </c>
      <c r="AN4" s="17">
        <f ca="1">IF($A4=0,0,SUMIF('Week 2 Roster'!$AZ:$AZ,$B4,'Week 2 Roster'!$AK:$AK))</f>
        <v>4.9999999999999991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28</v>
      </c>
      <c r="AV4" s="17"/>
      <c r="AW4" s="25">
        <f>'Week 1 Roster'!A4</f>
        <v>10022</v>
      </c>
      <c r="AX4" s="25">
        <f>'Week 2 Roster'!A4</f>
        <v>10022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210523</v>
      </c>
      <c r="B5" s="28">
        <f t="shared" ca="1" si="9"/>
        <v>210523</v>
      </c>
      <c r="C5" s="28" t="str">
        <f ca="1">IF($A5=0,"",VLOOKUP($B5,Employees!$A:$G,2,FALSE))</f>
        <v>Yiting</v>
      </c>
      <c r="D5" s="28" t="str">
        <f ca="1">IF($A5=0,"",VLOOKUP($B5,Employees!$A:$G,3,FALSE))</f>
        <v>Chen</v>
      </c>
      <c r="E5" s="26">
        <f ca="1">IF($A5=0,"",VLOOKUP($B5,Employees!$A:$G,5,FALSE))</f>
        <v>35507</v>
      </c>
      <c r="F5" s="13">
        <f ca="1">IF($E5="","",ROUNDDOWN(YEARFRAC($E5, 'Week 1 Roster'!$D$1-1, 1), 0))</f>
        <v>28</v>
      </c>
      <c r="G5" s="13">
        <f ca="1">IF($E5="","",ROUNDDOWN(YEARFRAC($E5, 'Week 1 Roster'!$D$1+14, 1), 0))</f>
        <v>28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Win</v>
      </c>
      <c r="K5" s="13" t="str">
        <f ca="1">IF($A5=0,"",IF(ISNA(VLOOKUP(A5,'Week 1 Roster'!A:C,2,0)),VLOOKUP(A5,'Week 2 Roster'!A:C,2,0),VLOOKUP(A5,'Week 1 Roster'!A:C,2,0)))</f>
        <v>Innaloo</v>
      </c>
      <c r="L5" s="13" t="str">
        <f ca="1">IF($A5=0,"",VLOOKUP(K5,Stores!A:B,2,0))</f>
        <v>Winlada</v>
      </c>
      <c r="M5" s="14">
        <f t="shared" ca="1" si="11"/>
        <v>55.333333333333336</v>
      </c>
      <c r="N5" s="14">
        <f t="shared" ca="1" si="12"/>
        <v>8.5</v>
      </c>
      <c r="O5" s="14">
        <f t="shared" ca="1" si="13"/>
        <v>7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9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70.833333333333343</v>
      </c>
      <c r="Y5" s="17">
        <f ca="1">IF($A5=0,0,SUMIF('Week 1 Roster'!$AZ:$AZ,$B5,'Week 1 Roster'!$AE:$AE))</f>
        <v>41.833333333333336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7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6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48.833333333333336</v>
      </c>
      <c r="AK5" s="17">
        <f ca="1">IF($A5=0,0,SUMIF('Week 2 Roster'!$AZ:$AZ,$B5,'Week 2 Roster'!$AE:$AE))</f>
        <v>13.499999999999998</v>
      </c>
      <c r="AL5" s="17">
        <f ca="1">IF($A5=0,0,SUMIF('Week 2 Roster'!$AZ:$AZ,$B5,'Week 2 Roster'!$AG:$AG))</f>
        <v>8.5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22</v>
      </c>
      <c r="AV5" s="17"/>
      <c r="AW5" s="25">
        <f>'Week 1 Roster'!A5</f>
        <v>210523</v>
      </c>
      <c r="AX5" s="25">
        <f>'Week 2 Roster'!A5</f>
        <v>210523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210550</v>
      </c>
      <c r="B6" s="28">
        <f t="shared" ca="1" si="9"/>
        <v>210550</v>
      </c>
      <c r="C6" s="28" t="str">
        <f ca="1">IF($A6=0,"",VLOOKUP($B6,Employees!$A:$G,2,FALSE))</f>
        <v>Liam</v>
      </c>
      <c r="D6" s="28" t="str">
        <f ca="1">IF($A6=0,"",VLOOKUP($B6,Employees!$A:$G,3,FALSE))</f>
        <v>Nguyen</v>
      </c>
      <c r="E6" s="26">
        <f ca="1">IF($A6=0,"",VLOOKUP($B6,Employees!$A:$G,5,FALSE))</f>
        <v>39027</v>
      </c>
      <c r="F6" s="13">
        <f ca="1">IF($E6="","",ROUNDDOWN(YEARFRAC($E6, 'Week 1 Roster'!$D$1-1, 1), 0))</f>
        <v>19</v>
      </c>
      <c r="G6" s="13">
        <f ca="1">IF($E6="","",ROUNDDOWN(YEARFRAC($E6, 'Week 1 Roster'!$D$1+14, 1), 0))</f>
        <v>19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Innaloo</v>
      </c>
      <c r="L6" s="13" t="str">
        <f ca="1">IF($A6=0,"",VLOOKUP(K6,Stores!A:B,2,0))</f>
        <v>Winlada</v>
      </c>
      <c r="M6" s="14">
        <f t="shared" ca="1" si="11"/>
        <v>24.75</v>
      </c>
      <c r="N6" s="14">
        <f t="shared" ca="1" si="12"/>
        <v>5.4999999999999982</v>
      </c>
      <c r="O6" s="14">
        <f t="shared" ca="1" si="13"/>
        <v>5.4999999999999991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7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35.75</v>
      </c>
      <c r="Y6" s="17">
        <f ca="1">IF($A6=0,0,SUMIF('Week 1 Roster'!$AZ:$AZ,$B6,'Week 1 Roster'!$AE:$AE))</f>
        <v>8.25</v>
      </c>
      <c r="Z6" s="17">
        <f ca="1">IF($A6=0,0,SUMIF('Week 1 Roster'!$AZ:$AZ,$B6,'Week 1 Roster'!$AG:$AG))</f>
        <v>5.4999999999999982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13.749999999999998</v>
      </c>
      <c r="AK6" s="17">
        <f ca="1">IF($A6=0,0,SUMIF('Week 2 Roster'!$AZ:$AZ,$B6,'Week 2 Roster'!$AE:$AE))</f>
        <v>16.5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5.4999999999999991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22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10370</v>
      </c>
      <c r="B7" s="28">
        <f t="shared" ca="1" si="9"/>
        <v>10370</v>
      </c>
      <c r="C7" s="28" t="str">
        <f ca="1">IF($A7=0,"",VLOOKUP($B7,Employees!$A:$G,2,FALSE))</f>
        <v>Chien Liang</v>
      </c>
      <c r="D7" s="28" t="str">
        <f ca="1">IF($A7=0,"",VLOOKUP($B7,Employees!$A:$G,3,FALSE))</f>
        <v>Liu</v>
      </c>
      <c r="E7" s="26">
        <f ca="1">IF($A7=0,"",VLOOKUP($B7,Employees!$A:$G,5,FALSE))</f>
        <v>35639</v>
      </c>
      <c r="F7" s="13">
        <f ca="1">IF($E7="","",ROUNDDOWN(YEARFRAC($E7, 'Week 1 Roster'!$D$1-1, 1), 0))</f>
        <v>28</v>
      </c>
      <c r="G7" s="13">
        <f ca="1">IF($E7="","",ROUNDDOWN(YEARFRAC($E7, 'Week 1 Roster'!$D$1+14, 1), 0))</f>
        <v>28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Innaloo</v>
      </c>
      <c r="L7" s="13" t="str">
        <f ca="1">IF($A7=0,"",VLOOKUP(K7,Stores!A:B,2,0))</f>
        <v>Winlada</v>
      </c>
      <c r="M7" s="14">
        <f t="shared" ca="1" si="11"/>
        <v>31.5</v>
      </c>
      <c r="N7" s="14">
        <f t="shared" ca="1" si="12"/>
        <v>0</v>
      </c>
      <c r="O7" s="14">
        <f t="shared" ca="1" si="13"/>
        <v>7.4999999999999982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5</v>
      </c>
      <c r="T7" s="14">
        <f t="shared" ca="1" si="18"/>
        <v>8</v>
      </c>
      <c r="U7" s="14">
        <f t="shared" ca="1" si="19"/>
        <v>0</v>
      </c>
      <c r="V7" s="14">
        <f t="shared" ca="1" si="20"/>
        <v>0</v>
      </c>
      <c r="W7" s="14">
        <f t="shared" ca="1" si="21"/>
        <v>47</v>
      </c>
      <c r="Y7" s="17">
        <f ca="1">IF($A7=0,0,SUMIF('Week 1 Roster'!$AZ:$AZ,$B7,'Week 1 Roster'!$AE:$AE))</f>
        <v>16.5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7.4999999999999982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8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32</v>
      </c>
      <c r="AK7" s="17">
        <f ca="1">IF($A7=0,0,SUMIF('Week 2 Roster'!$AZ:$AZ,$B7,'Week 2 Roster'!$AE:$AE))</f>
        <v>15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2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15</v>
      </c>
      <c r="AV7" s="17"/>
      <c r="AW7" s="25">
        <f>'Week 1 Roster'!A7</f>
        <v>210550</v>
      </c>
      <c r="AX7" s="25">
        <f>'Week 2 Roster'!A7</f>
        <v>210550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10370</v>
      </c>
      <c r="AX8" s="25">
        <f>'Week 2 Roster'!A8</f>
        <v>10370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10371</v>
      </c>
      <c r="AX10" s="25">
        <f>'Week 2 Roster'!A10</f>
        <v>10371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210523</v>
      </c>
      <c r="AX11" s="25">
        <f>'Week 2 Roster'!A11</f>
        <v>210523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10370</v>
      </c>
      <c r="AX12" s="25">
        <f>'Week 2 Roster'!A12</f>
        <v>10370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210550</v>
      </c>
      <c r="AX13" s="25">
        <f>'Week 2 Roster'!A13</f>
        <v>210550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>
        <f>'Week 1 Roster'!A14</f>
        <v>10022</v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371" zoomScale="186" zoomScaleNormal="186" workbookViewId="0">
      <selection activeCell="F377" sqref="F377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76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76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0" t="s">
        <v>123</v>
      </c>
      <c r="D551" s="100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1518</v>
      </c>
      <c r="D557" s="67" t="s">
        <v>1519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2026-02-02T04:33:58Z</dcterms:modified>
</cp:coreProperties>
</file>