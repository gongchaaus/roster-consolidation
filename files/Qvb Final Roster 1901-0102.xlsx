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FD5FDDEB-0149-C842-94A6-97DE22474205}" xr6:coauthVersionLast="47" xr6:coauthVersionMax="47" xr10:uidLastSave="{00000000-0000-0000-0000-000000000000}"/>
  <bookViews>
    <workbookView xWindow="0" yWindow="740" windowWidth="29400" windowHeight="17220" activeTab="3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0" i="18"/>
  <c r="A10" i="18" s="1"/>
  <c r="AX10" i="12" s="1"/>
  <c r="AZ7" i="18"/>
  <c r="A7" i="18" s="1"/>
  <c r="AX7" i="12" s="1"/>
  <c r="AZ4" i="18"/>
  <c r="A4" i="18" s="1"/>
  <c r="AX4" i="12" s="1"/>
  <c r="AZ3" i="18"/>
  <c r="A3" i="18" s="1"/>
  <c r="AX3" i="12" s="1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AZ4" i="2" s="1"/>
  <c r="A4" i="2" s="1"/>
  <c r="AW4" i="12" s="1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AZ5" i="18" s="1"/>
  <c r="A5" i="18" s="1"/>
  <c r="AX5" i="12" s="1"/>
  <c r="I189" i="6"/>
  <c r="AZ10" i="2" s="1"/>
  <c r="A10" i="2" s="1"/>
  <c r="AW10" i="12" s="1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AZ6" i="18" s="1"/>
  <c r="A6" i="18" s="1"/>
  <c r="AX6" i="12" s="1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AZ7" i="2" s="1"/>
  <c r="A7" i="2" s="1"/>
  <c r="AW7" i="12" s="1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AZ12" i="2" s="1"/>
  <c r="A12" i="2" s="1"/>
  <c r="AW12" i="12" s="1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AZ8" i="2" s="1"/>
  <c r="A8" i="2" s="1"/>
  <c r="AW8" i="12" s="1"/>
  <c r="I447" i="6"/>
  <c r="I448" i="6"/>
  <c r="AZ9" i="2" s="1"/>
  <c r="A9" i="2" s="1"/>
  <c r="AW9" i="12" s="1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AZ11" i="2" s="1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AZ3" i="2" s="1"/>
  <c r="A3" i="2" s="1"/>
  <c r="AW3" i="12" s="1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N86" i="18"/>
  <c r="BN85" i="18"/>
  <c r="BN84" i="18"/>
  <c r="BN83" i="18"/>
  <c r="BN82" i="18"/>
  <c r="BN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BY100" i="18"/>
  <c r="BX100" i="18"/>
  <c r="BU100" i="18"/>
  <c r="BV100" i="18" s="1"/>
  <c r="BT100" i="18"/>
  <c r="BS100" i="18"/>
  <c r="BP100" i="18"/>
  <c r="BO100" i="18"/>
  <c r="BL100" i="18"/>
  <c r="BK100" i="18"/>
  <c r="BJ100" i="18"/>
  <c r="BI100" i="18"/>
  <c r="BG100" i="18"/>
  <c r="BF100" i="18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T99" i="18"/>
  <c r="BS99" i="18"/>
  <c r="BQ99" i="18"/>
  <c r="BR99" i="18" s="1"/>
  <c r="BP99" i="18"/>
  <c r="BO99" i="18"/>
  <c r="BK99" i="18"/>
  <c r="BJ99" i="18"/>
  <c r="BI99" i="18"/>
  <c r="BF99" i="18"/>
  <c r="BG99" i="18" s="1"/>
  <c r="BE99" i="18"/>
  <c r="BD99" i="18"/>
  <c r="BA99" i="18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E96" i="18"/>
  <c r="CF96" i="18" s="1"/>
  <c r="CD96" i="18"/>
  <c r="CC96" i="18"/>
  <c r="BZ96" i="18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E96" i="18"/>
  <c r="BD96" i="18"/>
  <c r="BA96" i="18"/>
  <c r="BB96" i="18" s="1"/>
  <c r="CI95" i="18"/>
  <c r="CH95" i="18"/>
  <c r="CE95" i="18"/>
  <c r="CD95" i="18"/>
  <c r="CC95" i="18"/>
  <c r="CA95" i="18"/>
  <c r="BZ95" i="18"/>
  <c r="BY95" i="18"/>
  <c r="BX95" i="18"/>
  <c r="BV95" i="18"/>
  <c r="BU95" i="18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CI94" i="18"/>
  <c r="CH94" i="18"/>
  <c r="CE94" i="18"/>
  <c r="CF94" i="18" s="1"/>
  <c r="CG94" i="18" s="1"/>
  <c r="CD94" i="18"/>
  <c r="CC94" i="18"/>
  <c r="BZ94" i="18"/>
  <c r="BY94" i="18"/>
  <c r="BX94" i="18"/>
  <c r="BU94" i="18"/>
  <c r="BV94" i="18" s="1"/>
  <c r="BT94" i="18"/>
  <c r="BS94" i="18"/>
  <c r="BP94" i="18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D93" i="18"/>
  <c r="CC93" i="18"/>
  <c r="CA93" i="18"/>
  <c r="BZ93" i="18"/>
  <c r="BY93" i="18"/>
  <c r="BX93" i="18"/>
  <c r="BU93" i="18"/>
  <c r="BT93" i="18"/>
  <c r="BS93" i="18"/>
  <c r="BQ93" i="18"/>
  <c r="BP93" i="18"/>
  <c r="BO93" i="18"/>
  <c r="BK93" i="18"/>
  <c r="BJ93" i="18"/>
  <c r="BI93" i="18"/>
  <c r="BF93" i="18"/>
  <c r="BE93" i="18"/>
  <c r="BD93" i="18"/>
  <c r="BA93" i="18"/>
  <c r="BB93" i="18" s="1"/>
  <c r="CI92" i="18"/>
  <c r="CH92" i="18"/>
  <c r="CE92" i="18"/>
  <c r="CF92" i="18" s="1"/>
  <c r="CD92" i="18"/>
  <c r="CC92" i="18"/>
  <c r="BZ92" i="18"/>
  <c r="CA92" i="18" s="1"/>
  <c r="BY92" i="18"/>
  <c r="BX92" i="18"/>
  <c r="BV92" i="18"/>
  <c r="BU92" i="18"/>
  <c r="BT92" i="18"/>
  <c r="BS92" i="18"/>
  <c r="BP92" i="18"/>
  <c r="BO92" i="18"/>
  <c r="BK92" i="18"/>
  <c r="BL92" i="18" s="1"/>
  <c r="BJ92" i="18"/>
  <c r="BI92" i="18"/>
  <c r="BF92" i="18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T91" i="18"/>
  <c r="BS91" i="18"/>
  <c r="BP91" i="18"/>
  <c r="BQ91" i="18" s="1"/>
  <c r="BR91" i="18" s="1"/>
  <c r="BO91" i="18"/>
  <c r="BK91" i="18"/>
  <c r="BJ91" i="18"/>
  <c r="BI91" i="18"/>
  <c r="BF91" i="18"/>
  <c r="BG91" i="18" s="1"/>
  <c r="BE91" i="18"/>
  <c r="BD91" i="18"/>
  <c r="BB91" i="18"/>
  <c r="BA91" i="18"/>
  <c r="CI90" i="18"/>
  <c r="CH90" i="18"/>
  <c r="CE90" i="18"/>
  <c r="CF90" i="18" s="1"/>
  <c r="CD90" i="18"/>
  <c r="CC90" i="18"/>
  <c r="CB90" i="18"/>
  <c r="BZ90" i="18"/>
  <c r="CA90" i="18" s="1"/>
  <c r="BY90" i="18"/>
  <c r="BX90" i="18"/>
  <c r="BU90" i="18"/>
  <c r="BT90" i="18"/>
  <c r="BS90" i="18"/>
  <c r="BP90" i="18"/>
  <c r="BQ90" i="18" s="1"/>
  <c r="BO90" i="18"/>
  <c r="BK90" i="18"/>
  <c r="BL90" i="18" s="1"/>
  <c r="BM90" i="18" s="1"/>
  <c r="BJ90" i="18"/>
  <c r="BI90" i="18"/>
  <c r="BF90" i="18"/>
  <c r="BE90" i="18"/>
  <c r="BD90" i="18"/>
  <c r="BA90" i="18"/>
  <c r="BB90" i="18" s="1"/>
  <c r="CI89" i="18"/>
  <c r="CH89" i="18"/>
  <c r="CE89" i="18"/>
  <c r="CD89" i="18"/>
  <c r="CC89" i="18"/>
  <c r="CA89" i="18"/>
  <c r="BZ89" i="18"/>
  <c r="BY89" i="18"/>
  <c r="BX89" i="18"/>
  <c r="BU89" i="18"/>
  <c r="BT89" i="18"/>
  <c r="BS89" i="18"/>
  <c r="BP89" i="18"/>
  <c r="BO89" i="18"/>
  <c r="BK89" i="18"/>
  <c r="BL89" i="18" s="1"/>
  <c r="BJ89" i="18"/>
  <c r="BI89" i="18"/>
  <c r="BF89" i="18"/>
  <c r="BG89" i="18" s="1"/>
  <c r="BH89" i="18" s="1"/>
  <c r="BE89" i="18"/>
  <c r="BD89" i="18"/>
  <c r="BA89" i="18"/>
  <c r="CI88" i="18"/>
  <c r="CH88" i="18"/>
  <c r="CF88" i="18"/>
  <c r="CE88" i="18"/>
  <c r="CD88" i="18"/>
  <c r="CC88" i="18"/>
  <c r="BZ88" i="18"/>
  <c r="CA88" i="18" s="1"/>
  <c r="CB88" i="18" s="1"/>
  <c r="BY88" i="18"/>
  <c r="BX88" i="18"/>
  <c r="BV88" i="18"/>
  <c r="BU88" i="18"/>
  <c r="BT88" i="18"/>
  <c r="BS88" i="18"/>
  <c r="BP88" i="18"/>
  <c r="BQ88" i="18" s="1"/>
  <c r="BO88" i="18"/>
  <c r="BK88" i="18"/>
  <c r="BL88" i="18" s="1"/>
  <c r="BJ88" i="18"/>
  <c r="BI88" i="18"/>
  <c r="BH88" i="18"/>
  <c r="BF88" i="18"/>
  <c r="BG88" i="18" s="1"/>
  <c r="BE88" i="18"/>
  <c r="BD88" i="18"/>
  <c r="BB88" i="18"/>
  <c r="BC88" i="18" s="1"/>
  <c r="BA88" i="18"/>
  <c r="CI87" i="18"/>
  <c r="CH87" i="18"/>
  <c r="CE87" i="18"/>
  <c r="CD87" i="18"/>
  <c r="CC87" i="18"/>
  <c r="BZ87" i="18"/>
  <c r="CA87" i="18" s="1"/>
  <c r="CB87" i="18" s="1"/>
  <c r="BY87" i="18"/>
  <c r="BX87" i="18"/>
  <c r="BU87" i="18"/>
  <c r="BV87" i="18" s="1"/>
  <c r="BW87" i="18" s="1"/>
  <c r="BT87" i="18"/>
  <c r="BS87" i="18"/>
  <c r="BQ87" i="18"/>
  <c r="BP87" i="18"/>
  <c r="BO87" i="18"/>
  <c r="BK87" i="18"/>
  <c r="BL87" i="18" s="1"/>
  <c r="BJ87" i="18"/>
  <c r="BI87" i="18"/>
  <c r="BF87" i="18"/>
  <c r="BE87" i="18"/>
  <c r="BD87" i="18"/>
  <c r="BA87" i="18"/>
  <c r="BB87" i="18" s="1"/>
  <c r="CI86" i="18"/>
  <c r="CH86" i="18"/>
  <c r="CE86" i="18"/>
  <c r="CF86" i="18" s="1"/>
  <c r="CG86" i="18" s="1"/>
  <c r="CD86" i="18"/>
  <c r="CC86" i="18"/>
  <c r="BZ86" i="18"/>
  <c r="BY86" i="18"/>
  <c r="BX86" i="18"/>
  <c r="BV86" i="18"/>
  <c r="BU86" i="18"/>
  <c r="BT86" i="18"/>
  <c r="BS86" i="18"/>
  <c r="BP86" i="18"/>
  <c r="BO86" i="18"/>
  <c r="BK86" i="18"/>
  <c r="BL86" i="18" s="1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A85" i="18"/>
  <c r="CB85" i="18" s="1"/>
  <c r="BZ85" i="18"/>
  <c r="BY85" i="18"/>
  <c r="BX85" i="18"/>
  <c r="BU85" i="18"/>
  <c r="BT85" i="18"/>
  <c r="BS85" i="18"/>
  <c r="BP85" i="18"/>
  <c r="BQ85" i="18" s="1"/>
  <c r="BR85" i="18" s="1"/>
  <c r="BO85" i="18"/>
  <c r="BK85" i="18"/>
  <c r="BJ85" i="18"/>
  <c r="BI85" i="18"/>
  <c r="BG85" i="18"/>
  <c r="BF85" i="18"/>
  <c r="BE85" i="18"/>
  <c r="BD85" i="18"/>
  <c r="BA85" i="18"/>
  <c r="BB85" i="18" s="1"/>
  <c r="CI84" i="18"/>
  <c r="CH84" i="18"/>
  <c r="CE84" i="18"/>
  <c r="CD84" i="18"/>
  <c r="CC84" i="18"/>
  <c r="BZ84" i="18"/>
  <c r="CA84" i="18" s="1"/>
  <c r="BY84" i="18"/>
  <c r="BX84" i="18"/>
  <c r="BU84" i="18"/>
  <c r="BV84" i="18" s="1"/>
  <c r="BT84" i="18"/>
  <c r="BS84" i="18"/>
  <c r="BP84" i="18"/>
  <c r="BO84" i="18"/>
  <c r="BL84" i="18"/>
  <c r="BK84" i="18"/>
  <c r="BJ84" i="18"/>
  <c r="BI84" i="18"/>
  <c r="BG84" i="18"/>
  <c r="I84" i="18" s="1"/>
  <c r="BF84" i="18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P83" i="18"/>
  <c r="BQ83" i="18" s="1"/>
  <c r="BR83" i="18" s="1"/>
  <c r="BO83" i="18"/>
  <c r="BK83" i="18"/>
  <c r="BJ83" i="18"/>
  <c r="BI83" i="18"/>
  <c r="BF83" i="18"/>
  <c r="BG83" i="18" s="1"/>
  <c r="BE83" i="18"/>
  <c r="BD83" i="18"/>
  <c r="BA83" i="18"/>
  <c r="CI82" i="18"/>
  <c r="CH82" i="18"/>
  <c r="CE82" i="18"/>
  <c r="CF82" i="18" s="1"/>
  <c r="CD82" i="18"/>
  <c r="CC82" i="18"/>
  <c r="BZ82" i="18"/>
  <c r="BY82" i="18"/>
  <c r="BX82" i="18"/>
  <c r="BU82" i="18"/>
  <c r="BT82" i="18"/>
  <c r="BS82" i="18"/>
  <c r="BP82" i="18"/>
  <c r="BQ82" i="18" s="1"/>
  <c r="BO82" i="18"/>
  <c r="BK82" i="18"/>
  <c r="BL82" i="18" s="1"/>
  <c r="BJ82" i="18"/>
  <c r="BI82" i="18"/>
  <c r="BF82" i="18"/>
  <c r="BE82" i="18"/>
  <c r="BD82" i="18"/>
  <c r="BA82" i="18"/>
  <c r="BB82" i="18" s="1"/>
  <c r="CI81" i="18"/>
  <c r="CH81" i="18"/>
  <c r="CF81" i="18"/>
  <c r="CE81" i="18"/>
  <c r="CD81" i="18"/>
  <c r="CC81" i="18"/>
  <c r="BZ81" i="18"/>
  <c r="CA81" i="18" s="1"/>
  <c r="BY81" i="18"/>
  <c r="BX81" i="18"/>
  <c r="BW81" i="18" s="1"/>
  <c r="BU81" i="18"/>
  <c r="BV81" i="18" s="1"/>
  <c r="BT81" i="18"/>
  <c r="BS81" i="18"/>
  <c r="BP81" i="18"/>
  <c r="BO81" i="18"/>
  <c r="BK81" i="18"/>
  <c r="BL81" i="18" s="1"/>
  <c r="BJ81" i="18"/>
  <c r="BI81" i="18"/>
  <c r="BF81" i="18"/>
  <c r="BG81" i="18" s="1"/>
  <c r="BH81" i="18" s="1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U80" i="18"/>
  <c r="BT80" i="18"/>
  <c r="BS80" i="18"/>
  <c r="BP80" i="18"/>
  <c r="BO80" i="18"/>
  <c r="BK80" i="18"/>
  <c r="BJ80" i="18"/>
  <c r="BI80" i="18"/>
  <c r="BF80" i="18"/>
  <c r="BG80" i="18" s="1"/>
  <c r="BE80" i="18"/>
  <c r="BD80" i="18"/>
  <c r="BB80" i="18"/>
  <c r="BC80" i="18" s="1"/>
  <c r="BA80" i="18"/>
  <c r="CI79" i="18"/>
  <c r="CH79" i="18"/>
  <c r="CE79" i="18"/>
  <c r="CD79" i="18"/>
  <c r="CC79" i="18"/>
  <c r="BZ79" i="18"/>
  <c r="CA79" i="18" s="1"/>
  <c r="BY79" i="18"/>
  <c r="BX79" i="18"/>
  <c r="BV79" i="18"/>
  <c r="BW79" i="18" s="1"/>
  <c r="BU79" i="18"/>
  <c r="BT79" i="18"/>
  <c r="BS79" i="18"/>
  <c r="BP79" i="18"/>
  <c r="BO79" i="18"/>
  <c r="BK79" i="18"/>
  <c r="BL79" i="18" s="1"/>
  <c r="BJ79" i="18"/>
  <c r="BI79" i="18"/>
  <c r="BG79" i="18"/>
  <c r="BF79" i="18"/>
  <c r="BE79" i="18"/>
  <c r="BD79" i="18"/>
  <c r="BA79" i="18"/>
  <c r="BB79" i="18" s="1"/>
  <c r="CI78" i="18"/>
  <c r="CH78" i="18"/>
  <c r="CF78" i="18"/>
  <c r="CG78" i="18" s="1"/>
  <c r="CE78" i="18"/>
  <c r="CD78" i="18"/>
  <c r="CC78" i="18"/>
  <c r="BZ78" i="18"/>
  <c r="BY78" i="18"/>
  <c r="BX78" i="18"/>
  <c r="BU78" i="18"/>
  <c r="BV78" i="18" s="1"/>
  <c r="BW78" i="18" s="1"/>
  <c r="BT78" i="18"/>
  <c r="BS78" i="18"/>
  <c r="BR78" i="18"/>
  <c r="BP78" i="18"/>
  <c r="BQ78" i="18" s="1"/>
  <c r="BO78" i="18"/>
  <c r="BL78" i="18"/>
  <c r="BK78" i="18"/>
  <c r="BJ78" i="18"/>
  <c r="BI78" i="18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BZ77" i="18"/>
  <c r="CA77" i="18" s="1"/>
  <c r="CB77" i="18" s="1"/>
  <c r="BY77" i="18"/>
  <c r="BX77" i="18"/>
  <c r="BU77" i="18"/>
  <c r="BT77" i="18"/>
  <c r="BS77" i="18"/>
  <c r="BQ77" i="18"/>
  <c r="BP77" i="18"/>
  <c r="BO77" i="18"/>
  <c r="BK77" i="18"/>
  <c r="BL77" i="18" s="1"/>
  <c r="BM77" i="18" s="1"/>
  <c r="BJ77" i="18"/>
  <c r="BI77" i="18"/>
  <c r="BG77" i="18"/>
  <c r="BF77" i="18"/>
  <c r="BE77" i="18"/>
  <c r="BD77" i="18"/>
  <c r="BA77" i="18"/>
  <c r="BB77" i="18" s="1"/>
  <c r="CI76" i="18"/>
  <c r="CH76" i="18"/>
  <c r="CE76" i="18"/>
  <c r="CF76" i="18" s="1"/>
  <c r="CD76" i="18"/>
  <c r="CC76" i="18"/>
  <c r="BZ76" i="18"/>
  <c r="CA76" i="18" s="1"/>
  <c r="BY76" i="18"/>
  <c r="BX76" i="18"/>
  <c r="BW76" i="18"/>
  <c r="BU76" i="18"/>
  <c r="BV76" i="18" s="1"/>
  <c r="BT76" i="18"/>
  <c r="BS76" i="18"/>
  <c r="BP76" i="18"/>
  <c r="BO76" i="18"/>
  <c r="BL76" i="18"/>
  <c r="BK76" i="18"/>
  <c r="BJ76" i="18"/>
  <c r="BI76" i="18"/>
  <c r="BF76" i="18"/>
  <c r="BE76" i="18"/>
  <c r="BD76" i="18"/>
  <c r="BA76" i="18"/>
  <c r="CI75" i="18"/>
  <c r="CH75" i="18"/>
  <c r="CE75" i="18"/>
  <c r="CF75" i="18" s="1"/>
  <c r="CD75" i="18"/>
  <c r="CC75" i="18"/>
  <c r="BZ75" i="18"/>
  <c r="BY75" i="18"/>
  <c r="BX75" i="18"/>
  <c r="BU75" i="18"/>
  <c r="BV75" i="18" s="1"/>
  <c r="BT75" i="18"/>
  <c r="BS75" i="18"/>
  <c r="BQ75" i="18"/>
  <c r="BP75" i="18"/>
  <c r="BO75" i="18"/>
  <c r="BK75" i="18"/>
  <c r="BJ75" i="18"/>
  <c r="BI75" i="18"/>
  <c r="BF75" i="18"/>
  <c r="BG75" i="18" s="1"/>
  <c r="BE75" i="18"/>
  <c r="BD75" i="18"/>
  <c r="BA75" i="18"/>
  <c r="CI74" i="18"/>
  <c r="CH74" i="18"/>
  <c r="CE74" i="18"/>
  <c r="CF74" i="18" s="1"/>
  <c r="CD74" i="18"/>
  <c r="CC74" i="18"/>
  <c r="BZ74" i="18"/>
  <c r="BY74" i="18"/>
  <c r="BX74" i="18"/>
  <c r="BU74" i="18"/>
  <c r="BV74" i="18" s="1"/>
  <c r="BT74" i="18"/>
  <c r="BS74" i="18"/>
  <c r="BP74" i="18"/>
  <c r="BO74" i="18"/>
  <c r="BM74" i="18" s="1"/>
  <c r="BK74" i="18"/>
  <c r="BL74" i="18" s="1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BZ73" i="18"/>
  <c r="CA73" i="18" s="1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E72" i="18"/>
  <c r="CF72" i="18" s="1"/>
  <c r="CD72" i="18"/>
  <c r="CC72" i="18"/>
  <c r="CA72" i="18"/>
  <c r="BZ72" i="18"/>
  <c r="BY72" i="18"/>
  <c r="BX72" i="18"/>
  <c r="BU72" i="18"/>
  <c r="BV72" i="18" s="1"/>
  <c r="BT72" i="18"/>
  <c r="BS72" i="18"/>
  <c r="BR72" i="18"/>
  <c r="BP72" i="18"/>
  <c r="BQ72" i="18" s="1"/>
  <c r="BO72" i="18"/>
  <c r="BK72" i="18"/>
  <c r="BL72" i="18" s="1"/>
  <c r="BJ72" i="18"/>
  <c r="BI72" i="18"/>
  <c r="BF72" i="18"/>
  <c r="BE72" i="18"/>
  <c r="BD72" i="18"/>
  <c r="BA72" i="18"/>
  <c r="BB72" i="18" s="1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P71" i="18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U70" i="18"/>
  <c r="BV70" i="18" s="1"/>
  <c r="BT70" i="18"/>
  <c r="BS70" i="18"/>
  <c r="BP70" i="18"/>
  <c r="BQ70" i="18" s="1"/>
  <c r="BO70" i="18"/>
  <c r="BK70" i="18"/>
  <c r="BL70" i="18" s="1"/>
  <c r="BJ70" i="18"/>
  <c r="BI70" i="18"/>
  <c r="BF70" i="18"/>
  <c r="BG70" i="18" s="1"/>
  <c r="BE70" i="18"/>
  <c r="BD70" i="18"/>
  <c r="BA70" i="18"/>
  <c r="BB70" i="18" s="1"/>
  <c r="CI69" i="18"/>
  <c r="CG69" i="18" s="1"/>
  <c r="CH69" i="18"/>
  <c r="CE69" i="18"/>
  <c r="CF69" i="18" s="1"/>
  <c r="CD69" i="18"/>
  <c r="CC69" i="18"/>
  <c r="BZ69" i="18"/>
  <c r="CA69" i="18" s="1"/>
  <c r="BY69" i="18"/>
  <c r="BX69" i="18"/>
  <c r="BU69" i="18"/>
  <c r="BT69" i="18"/>
  <c r="BS69" i="18"/>
  <c r="BQ69" i="18"/>
  <c r="BP69" i="18"/>
  <c r="BO69" i="18"/>
  <c r="BM69" i="18"/>
  <c r="BK69" i="18"/>
  <c r="BL69" i="18" s="1"/>
  <c r="BJ69" i="18"/>
  <c r="BI69" i="18"/>
  <c r="BG69" i="18"/>
  <c r="BF69" i="18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U68" i="18"/>
  <c r="BV68" i="18" s="1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CI67" i="18"/>
  <c r="CH67" i="18"/>
  <c r="CE67" i="18"/>
  <c r="CF67" i="18" s="1"/>
  <c r="CD67" i="18"/>
  <c r="CC67" i="18"/>
  <c r="BZ67" i="18"/>
  <c r="BY67" i="18"/>
  <c r="BX67" i="18"/>
  <c r="BU67" i="18"/>
  <c r="BV67" i="18" s="1"/>
  <c r="BT67" i="18"/>
  <c r="BS67" i="18"/>
  <c r="BP67" i="18"/>
  <c r="BO67" i="18"/>
  <c r="BK67" i="18"/>
  <c r="BJ67" i="18"/>
  <c r="BI67" i="18"/>
  <c r="BF67" i="18"/>
  <c r="BG67" i="18" s="1"/>
  <c r="BE67" i="18"/>
  <c r="BD67" i="18"/>
  <c r="BA67" i="18"/>
  <c r="BB67" i="18" s="1"/>
  <c r="CI66" i="18"/>
  <c r="CH66" i="18"/>
  <c r="CE66" i="18"/>
  <c r="CF66" i="18" s="1"/>
  <c r="CD66" i="18"/>
  <c r="CC66" i="18"/>
  <c r="BZ66" i="18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A66" i="18"/>
  <c r="CI65" i="18"/>
  <c r="CH65" i="18"/>
  <c r="CE65" i="18"/>
  <c r="CD65" i="18"/>
  <c r="CC65" i="18"/>
  <c r="BZ65" i="18"/>
  <c r="BY65" i="18"/>
  <c r="BX65" i="18"/>
  <c r="BV65" i="18"/>
  <c r="BW65" i="18" s="1"/>
  <c r="BU65" i="18"/>
  <c r="BT65" i="18"/>
  <c r="BS65" i="18"/>
  <c r="BP65" i="18"/>
  <c r="BQ65" i="18" s="1"/>
  <c r="BO65" i="18"/>
  <c r="BK65" i="18"/>
  <c r="BJ65" i="18"/>
  <c r="BI65" i="18"/>
  <c r="BH65" i="18"/>
  <c r="BF65" i="18"/>
  <c r="BG65" i="18" s="1"/>
  <c r="BE65" i="18"/>
  <c r="BD65" i="18"/>
  <c r="BA65" i="18"/>
  <c r="CI64" i="18"/>
  <c r="CH64" i="18"/>
  <c r="CE64" i="18"/>
  <c r="CD64" i="18"/>
  <c r="CC64" i="18"/>
  <c r="BZ64" i="18"/>
  <c r="BY64" i="18"/>
  <c r="BX64" i="18"/>
  <c r="BU64" i="18"/>
  <c r="BT64" i="18"/>
  <c r="BS64" i="18"/>
  <c r="BP64" i="18"/>
  <c r="BO64" i="18"/>
  <c r="BL64" i="18"/>
  <c r="BK64" i="18"/>
  <c r="BJ64" i="18"/>
  <c r="BI64" i="18"/>
  <c r="BF64" i="18"/>
  <c r="BE64" i="18"/>
  <c r="BD64" i="18"/>
  <c r="BA64" i="18"/>
  <c r="BB64" i="18" s="1"/>
  <c r="BC64" i="18" s="1"/>
  <c r="CI63" i="18"/>
  <c r="CH63" i="18"/>
  <c r="CG63" i="18"/>
  <c r="CE63" i="18"/>
  <c r="CF63" i="18" s="1"/>
  <c r="CD63" i="18"/>
  <c r="CC63" i="18"/>
  <c r="CA63" i="18"/>
  <c r="CB63" i="18" s="1"/>
  <c r="BZ63" i="18"/>
  <c r="BY63" i="18"/>
  <c r="BX63" i="18"/>
  <c r="BU63" i="18"/>
  <c r="BT63" i="18"/>
  <c r="BS63" i="18"/>
  <c r="BP63" i="18"/>
  <c r="BQ63" i="18" s="1"/>
  <c r="BO63" i="18"/>
  <c r="BK63" i="18"/>
  <c r="BL63" i="18" s="1"/>
  <c r="BJ63" i="18"/>
  <c r="BI63" i="18"/>
  <c r="BF63" i="18"/>
  <c r="BE63" i="18"/>
  <c r="BD63" i="18"/>
  <c r="BA63" i="18"/>
  <c r="BB63" i="18" s="1"/>
  <c r="CI62" i="18"/>
  <c r="CH62" i="18"/>
  <c r="CF62" i="18"/>
  <c r="CE62" i="18"/>
  <c r="CD62" i="18"/>
  <c r="CC62" i="18"/>
  <c r="CB62" i="18"/>
  <c r="BZ62" i="18"/>
  <c r="CA62" i="18" s="1"/>
  <c r="BY62" i="18"/>
  <c r="BX62" i="18"/>
  <c r="BW62" i="18" s="1"/>
  <c r="BV62" i="18"/>
  <c r="BU62" i="18"/>
  <c r="BT62" i="18"/>
  <c r="BS62" i="18"/>
  <c r="BP62" i="18"/>
  <c r="BO62" i="18"/>
  <c r="BL62" i="18"/>
  <c r="BK62" i="18"/>
  <c r="BJ62" i="18"/>
  <c r="BI62" i="18"/>
  <c r="BF62" i="18"/>
  <c r="BE62" i="18"/>
  <c r="BD62" i="18"/>
  <c r="BA62" i="18"/>
  <c r="BB62" i="18" s="1"/>
  <c r="CI61" i="18"/>
  <c r="CH61" i="18"/>
  <c r="CE61" i="18"/>
  <c r="CD61" i="18"/>
  <c r="CC61" i="18"/>
  <c r="BZ61" i="18"/>
  <c r="CA61" i="18" s="1"/>
  <c r="BY61" i="18"/>
  <c r="BX61" i="18"/>
  <c r="BW61" i="18"/>
  <c r="BU61" i="18"/>
  <c r="BV61" i="18" s="1"/>
  <c r="BT61" i="18"/>
  <c r="BS61" i="18"/>
  <c r="BP61" i="18"/>
  <c r="BO61" i="18"/>
  <c r="BK61" i="18"/>
  <c r="BJ61" i="18"/>
  <c r="BI61" i="18"/>
  <c r="BG61" i="18"/>
  <c r="BF61" i="18"/>
  <c r="BE61" i="18"/>
  <c r="BD61" i="18"/>
  <c r="BA61" i="18"/>
  <c r="CI60" i="18"/>
  <c r="CH60" i="18"/>
  <c r="CE60" i="18"/>
  <c r="CD60" i="18"/>
  <c r="CC60" i="18"/>
  <c r="BZ60" i="18"/>
  <c r="CA60" i="18" s="1"/>
  <c r="BY60" i="18"/>
  <c r="BX60" i="18"/>
  <c r="BU60" i="18"/>
  <c r="BT60" i="18"/>
  <c r="BS60" i="18"/>
  <c r="BP60" i="18"/>
  <c r="BO60" i="18"/>
  <c r="BK60" i="18"/>
  <c r="BL60" i="18" s="1"/>
  <c r="BJ60" i="18"/>
  <c r="BI60" i="18"/>
  <c r="BF60" i="18"/>
  <c r="BE60" i="18"/>
  <c r="BD60" i="18"/>
  <c r="BA60" i="18"/>
  <c r="BB60" i="18" s="1"/>
  <c r="CI59" i="18"/>
  <c r="CH59" i="18"/>
  <c r="CE59" i="18"/>
  <c r="CD59" i="18"/>
  <c r="CC59" i="18"/>
  <c r="BZ59" i="18"/>
  <c r="BY59" i="18"/>
  <c r="BX59" i="18"/>
  <c r="BU59" i="18"/>
  <c r="BT59" i="18"/>
  <c r="BS59" i="18"/>
  <c r="BP59" i="18"/>
  <c r="BO59" i="18"/>
  <c r="BK59" i="18"/>
  <c r="BL59" i="18" s="1"/>
  <c r="BJ59" i="18"/>
  <c r="BI59" i="18"/>
  <c r="BF59" i="18"/>
  <c r="BG59" i="18" s="1"/>
  <c r="BE59" i="18"/>
  <c r="BD59" i="18"/>
  <c r="BA59" i="18"/>
  <c r="CI58" i="18"/>
  <c r="CH58" i="18"/>
  <c r="CE58" i="18"/>
  <c r="CD58" i="18"/>
  <c r="CC58" i="18"/>
  <c r="CA58" i="18"/>
  <c r="BZ58" i="18"/>
  <c r="BY58" i="18"/>
  <c r="BX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A58" i="18"/>
  <c r="BB58" i="18" s="1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E57" i="18"/>
  <c r="BD57" i="18"/>
  <c r="BA57" i="18"/>
  <c r="BB57" i="18" s="1"/>
  <c r="CI56" i="18"/>
  <c r="CH56" i="18"/>
  <c r="CE56" i="18"/>
  <c r="CF56" i="18" s="1"/>
  <c r="CD56" i="18"/>
  <c r="CC56" i="18"/>
  <c r="BZ56" i="18"/>
  <c r="BY56" i="18"/>
  <c r="BX56" i="18"/>
  <c r="BU56" i="18"/>
  <c r="BV56" i="18" s="1"/>
  <c r="BT56" i="18"/>
  <c r="BS56" i="18"/>
  <c r="BQ56" i="18"/>
  <c r="BP56" i="18"/>
  <c r="BO56" i="18"/>
  <c r="BM56" i="18" s="1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E54" i="18"/>
  <c r="CD54" i="18"/>
  <c r="CC54" i="18"/>
  <c r="CB54" i="18" s="1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P53" i="18"/>
  <c r="BQ53" i="18" s="1"/>
  <c r="BR53" i="18" s="1"/>
  <c r="BO53" i="18"/>
  <c r="BK53" i="18"/>
  <c r="BJ53" i="18"/>
  <c r="BI53" i="18"/>
  <c r="BF53" i="18"/>
  <c r="BE53" i="18"/>
  <c r="BD53" i="18"/>
  <c r="BA53" i="18"/>
  <c r="CI52" i="18"/>
  <c r="CH52" i="18"/>
  <c r="CE52" i="18"/>
  <c r="CD52" i="18"/>
  <c r="CC52" i="18"/>
  <c r="BZ52" i="18"/>
  <c r="CA52" i="18" s="1"/>
  <c r="BY52" i="18"/>
  <c r="BX52" i="18"/>
  <c r="BV52" i="18"/>
  <c r="BW52" i="18" s="1"/>
  <c r="BU52" i="18"/>
  <c r="BT52" i="18"/>
  <c r="BS52" i="18"/>
  <c r="BP52" i="18"/>
  <c r="BQ52" i="18" s="1"/>
  <c r="BO52" i="18"/>
  <c r="BK52" i="18"/>
  <c r="BL52" i="18" s="1"/>
  <c r="BJ52" i="18"/>
  <c r="BI52" i="18"/>
  <c r="BF52" i="18"/>
  <c r="BE52" i="18"/>
  <c r="BD52" i="18"/>
  <c r="BB52" i="18"/>
  <c r="BA52" i="18"/>
  <c r="CI51" i="18"/>
  <c r="CH51" i="18"/>
  <c r="CG51" i="18"/>
  <c r="CE51" i="18"/>
  <c r="CF51" i="18" s="1"/>
  <c r="CD51" i="18"/>
  <c r="CC51" i="18"/>
  <c r="BZ51" i="18"/>
  <c r="BY51" i="18"/>
  <c r="BX51" i="18"/>
  <c r="BU51" i="18"/>
  <c r="BT51" i="18"/>
  <c r="BS51" i="18"/>
  <c r="BP51" i="18"/>
  <c r="BQ51" i="18" s="1"/>
  <c r="BR51" i="18" s="1"/>
  <c r="BO51" i="18"/>
  <c r="BK51" i="18"/>
  <c r="BJ51" i="18"/>
  <c r="BI51" i="18"/>
  <c r="BG51" i="18"/>
  <c r="BF51" i="18"/>
  <c r="BE51" i="18"/>
  <c r="BD51" i="18"/>
  <c r="BA51" i="18"/>
  <c r="CI50" i="18"/>
  <c r="CH50" i="18"/>
  <c r="CE50" i="18"/>
  <c r="CF50" i="18" s="1"/>
  <c r="CD50" i="18"/>
  <c r="CC50" i="18"/>
  <c r="BZ50" i="18"/>
  <c r="BY50" i="18"/>
  <c r="BX50" i="18"/>
  <c r="BU50" i="18"/>
  <c r="BT50" i="18"/>
  <c r="BS50" i="18"/>
  <c r="BQ50" i="18"/>
  <c r="BP50" i="18"/>
  <c r="BO50" i="18"/>
  <c r="BK50" i="18"/>
  <c r="BL50" i="18" s="1"/>
  <c r="BJ50" i="18"/>
  <c r="BH50" i="18" s="1"/>
  <c r="BI50" i="18"/>
  <c r="BF50" i="18"/>
  <c r="BG50" i="18" s="1"/>
  <c r="BE50" i="18"/>
  <c r="BD50" i="18"/>
  <c r="BA50" i="18"/>
  <c r="BB50" i="18" s="1"/>
  <c r="CI49" i="18"/>
  <c r="CH49" i="18"/>
  <c r="CE49" i="18"/>
  <c r="CD49" i="18"/>
  <c r="CC49" i="18"/>
  <c r="BZ49" i="18"/>
  <c r="BY49" i="18"/>
  <c r="BW49" i="18" s="1"/>
  <c r="BX49" i="18"/>
  <c r="BU49" i="18"/>
  <c r="BV49" i="18" s="1"/>
  <c r="BT49" i="18"/>
  <c r="BS49" i="18"/>
  <c r="BP49" i="18"/>
  <c r="BO49" i="18"/>
  <c r="BL49" i="18"/>
  <c r="BK49" i="18"/>
  <c r="BJ49" i="18"/>
  <c r="BI49" i="18"/>
  <c r="BF49" i="18"/>
  <c r="BG49" i="18" s="1"/>
  <c r="BE49" i="18"/>
  <c r="BD49" i="18"/>
  <c r="BA49" i="18"/>
  <c r="BB49" i="18" s="1"/>
  <c r="CI48" i="18"/>
  <c r="CH48" i="18"/>
  <c r="CE48" i="18"/>
  <c r="CF48" i="18" s="1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F48" i="18"/>
  <c r="BE48" i="18"/>
  <c r="BD48" i="18"/>
  <c r="BB48" i="18"/>
  <c r="BC48" i="18" s="1"/>
  <c r="BA48" i="18"/>
  <c r="CI47" i="18"/>
  <c r="CH47" i="18"/>
  <c r="CE47" i="18"/>
  <c r="CF47" i="18" s="1"/>
  <c r="CD47" i="18"/>
  <c r="CC47" i="18"/>
  <c r="BZ47" i="18"/>
  <c r="CA47" i="18" s="1"/>
  <c r="U47" i="18" s="1"/>
  <c r="BY47" i="18"/>
  <c r="BX47" i="18"/>
  <c r="BU47" i="18"/>
  <c r="BT47" i="18"/>
  <c r="BS47" i="18"/>
  <c r="BP47" i="18"/>
  <c r="BQ47" i="18" s="1"/>
  <c r="BR47" i="18" s="1"/>
  <c r="BO47" i="18"/>
  <c r="BK47" i="18"/>
  <c r="BL47" i="18" s="1"/>
  <c r="BJ47" i="18"/>
  <c r="BI47" i="18"/>
  <c r="BF47" i="18"/>
  <c r="BG47" i="18" s="1"/>
  <c r="BE47" i="18"/>
  <c r="BD47" i="18"/>
  <c r="BA47" i="18"/>
  <c r="BB47" i="18" s="1"/>
  <c r="CI46" i="18"/>
  <c r="CH46" i="18"/>
  <c r="CE46" i="18"/>
  <c r="CF46" i="18" s="1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E45" i="18"/>
  <c r="CF45" i="18" s="1"/>
  <c r="CD45" i="18"/>
  <c r="CC45" i="18"/>
  <c r="CA45" i="18"/>
  <c r="CB45" i="18" s="1"/>
  <c r="BZ45" i="18"/>
  <c r="BY45" i="18"/>
  <c r="BX45" i="18"/>
  <c r="BU45" i="18"/>
  <c r="BV45" i="18" s="1"/>
  <c r="BT45" i="18"/>
  <c r="BS45" i="18"/>
  <c r="BP45" i="18"/>
  <c r="BO45" i="18"/>
  <c r="BK45" i="18"/>
  <c r="BJ45" i="18"/>
  <c r="BI45" i="18"/>
  <c r="BF45" i="18"/>
  <c r="BG45" i="18" s="1"/>
  <c r="BH45" i="18" s="1"/>
  <c r="BE45" i="18"/>
  <c r="BD45" i="18"/>
  <c r="BA45" i="18"/>
  <c r="BB45" i="18" s="1"/>
  <c r="CI44" i="18"/>
  <c r="CH44" i="18"/>
  <c r="CE44" i="18"/>
  <c r="CD44" i="18"/>
  <c r="CC44" i="18"/>
  <c r="BZ44" i="18"/>
  <c r="CA44" i="18" s="1"/>
  <c r="BY44" i="18"/>
  <c r="BX44" i="18"/>
  <c r="BU44" i="18"/>
  <c r="BV44" i="18" s="1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A44" i="18"/>
  <c r="BB44" i="18" s="1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P43" i="18"/>
  <c r="BQ43" i="18" s="1"/>
  <c r="BR43" i="18" s="1"/>
  <c r="BO43" i="18"/>
  <c r="BK43" i="18"/>
  <c r="BL43" i="18" s="1"/>
  <c r="BJ43" i="18"/>
  <c r="BI43" i="18"/>
  <c r="BF43" i="18"/>
  <c r="BE43" i="18"/>
  <c r="BD43" i="18"/>
  <c r="BA43" i="18"/>
  <c r="CI42" i="18"/>
  <c r="CH42" i="18"/>
  <c r="CE42" i="18"/>
  <c r="CF42" i="18" s="1"/>
  <c r="X42" i="18" s="1"/>
  <c r="CD42" i="18"/>
  <c r="CC42" i="18"/>
  <c r="BZ42" i="18"/>
  <c r="CA42" i="18" s="1"/>
  <c r="BY42" i="18"/>
  <c r="BX42" i="18"/>
  <c r="BU42" i="18"/>
  <c r="BT42" i="18"/>
  <c r="BS42" i="18"/>
  <c r="BP42" i="18"/>
  <c r="BO42" i="18"/>
  <c r="BK42" i="18"/>
  <c r="BL42" i="18" s="1"/>
  <c r="BM42" i="18" s="1"/>
  <c r="BJ42" i="18"/>
  <c r="BI42" i="18"/>
  <c r="BF42" i="18"/>
  <c r="BG42" i="18" s="1"/>
  <c r="BE42" i="18"/>
  <c r="BD42" i="18"/>
  <c r="BA42" i="18"/>
  <c r="BB42" i="18" s="1"/>
  <c r="CI41" i="18"/>
  <c r="CH41" i="18"/>
  <c r="CE41" i="18"/>
  <c r="CD41" i="18"/>
  <c r="CC41" i="18"/>
  <c r="CA41" i="18"/>
  <c r="BZ41" i="18"/>
  <c r="BY41" i="18"/>
  <c r="BX41" i="18"/>
  <c r="BU41" i="18"/>
  <c r="BV41" i="18" s="1"/>
  <c r="BT41" i="18"/>
  <c r="BS41" i="18"/>
  <c r="BP41" i="18"/>
  <c r="BO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BZ40" i="18"/>
  <c r="BY40" i="18"/>
  <c r="BX40" i="18"/>
  <c r="BU40" i="18"/>
  <c r="BV40" i="18" s="1"/>
  <c r="BT40" i="18"/>
  <c r="BS40" i="18"/>
  <c r="BP40" i="18"/>
  <c r="BO40" i="18"/>
  <c r="BK40" i="18"/>
  <c r="BJ40" i="18"/>
  <c r="BI40" i="18"/>
  <c r="BG40" i="18"/>
  <c r="BF40" i="18"/>
  <c r="BH40" i="18" s="1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T39" i="18"/>
  <c r="BS39" i="18"/>
  <c r="BP39" i="18"/>
  <c r="BQ39" i="18" s="1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P38" i="18"/>
  <c r="BO38" i="18"/>
  <c r="BK38" i="18"/>
  <c r="BL38" i="18" s="1"/>
  <c r="BJ38" i="18"/>
  <c r="BI38" i="18"/>
  <c r="BF38" i="18"/>
  <c r="BE38" i="18"/>
  <c r="BD38" i="18"/>
  <c r="BA38" i="18"/>
  <c r="CI37" i="18"/>
  <c r="CH37" i="18"/>
  <c r="CE37" i="18"/>
  <c r="CF37" i="18" s="1"/>
  <c r="CG37" i="18" s="1"/>
  <c r="CD37" i="18"/>
  <c r="CC37" i="18"/>
  <c r="BZ37" i="18"/>
  <c r="CA37" i="18" s="1"/>
  <c r="BY37" i="18"/>
  <c r="BX37" i="18"/>
  <c r="BU37" i="18"/>
  <c r="BT37" i="18"/>
  <c r="BS37" i="18"/>
  <c r="BP37" i="18"/>
  <c r="BO37" i="18"/>
  <c r="BK37" i="18"/>
  <c r="BJ37" i="18"/>
  <c r="BI37" i="18"/>
  <c r="BF37" i="18"/>
  <c r="BG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F36" i="18"/>
  <c r="BE36" i="18"/>
  <c r="BD36" i="18"/>
  <c r="BC36" i="18"/>
  <c r="BA36" i="18"/>
  <c r="BB36" i="18" s="1"/>
  <c r="CI35" i="18"/>
  <c r="CH35" i="18"/>
  <c r="CF35" i="18"/>
  <c r="CE35" i="18"/>
  <c r="CD35" i="18"/>
  <c r="CC35" i="18"/>
  <c r="BZ35" i="18"/>
  <c r="BY35" i="18"/>
  <c r="BX35" i="18"/>
  <c r="BU35" i="18"/>
  <c r="BV35" i="18" s="1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F34" i="18"/>
  <c r="CE34" i="18"/>
  <c r="CG34" i="18" s="1"/>
  <c r="CD34" i="18"/>
  <c r="CC34" i="18"/>
  <c r="BZ34" i="18"/>
  <c r="BY34" i="18"/>
  <c r="BX34" i="18"/>
  <c r="BU34" i="18"/>
  <c r="BT34" i="18"/>
  <c r="BS34" i="18"/>
  <c r="BP34" i="18"/>
  <c r="BO34" i="18"/>
  <c r="BM34" i="18"/>
  <c r="BK34" i="18"/>
  <c r="BL34" i="18" s="1"/>
  <c r="BJ34" i="18"/>
  <c r="BI34" i="18"/>
  <c r="BF34" i="18"/>
  <c r="BE34" i="18"/>
  <c r="BD34" i="18"/>
  <c r="BA34" i="18"/>
  <c r="BB34" i="18" s="1"/>
  <c r="BC34" i="18" s="1"/>
  <c r="CI33" i="18"/>
  <c r="CH33" i="18"/>
  <c r="CF33" i="18"/>
  <c r="CE33" i="18"/>
  <c r="CD33" i="18"/>
  <c r="CC33" i="18"/>
  <c r="BZ33" i="18"/>
  <c r="CA33" i="18" s="1"/>
  <c r="BY33" i="18"/>
  <c r="BX33" i="18"/>
  <c r="BU33" i="18"/>
  <c r="BT33" i="18"/>
  <c r="BS33" i="18"/>
  <c r="BP33" i="18"/>
  <c r="BO33" i="18"/>
  <c r="BK33" i="18"/>
  <c r="BL33" i="18" s="1"/>
  <c r="BM33" i="18" s="1"/>
  <c r="BJ33" i="18"/>
  <c r="BI33" i="18"/>
  <c r="BH33" i="18"/>
  <c r="BF33" i="18"/>
  <c r="BG33" i="18" s="1"/>
  <c r="BE33" i="18"/>
  <c r="BD33" i="18"/>
  <c r="BA33" i="18"/>
  <c r="CI32" i="18"/>
  <c r="CH32" i="18"/>
  <c r="CE32" i="18"/>
  <c r="CF32" i="18" s="1"/>
  <c r="CD32" i="18"/>
  <c r="CC32" i="18"/>
  <c r="BZ32" i="18"/>
  <c r="BY32" i="18"/>
  <c r="BX32" i="18"/>
  <c r="BV32" i="18"/>
  <c r="BU32" i="18"/>
  <c r="BT32" i="18"/>
  <c r="BS32" i="18"/>
  <c r="BP32" i="18"/>
  <c r="BO32" i="18"/>
  <c r="BK32" i="18"/>
  <c r="BJ32" i="18"/>
  <c r="BI32" i="18"/>
  <c r="BF32" i="18"/>
  <c r="BG32" i="18" s="1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T31" i="18"/>
  <c r="BS31" i="18"/>
  <c r="BQ31" i="18"/>
  <c r="BP31" i="18"/>
  <c r="BO31" i="18"/>
  <c r="BK31" i="18"/>
  <c r="BJ31" i="18"/>
  <c r="BI31" i="18"/>
  <c r="BF31" i="18"/>
  <c r="BE31" i="18"/>
  <c r="BD31" i="18"/>
  <c r="BB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O30" i="18"/>
  <c r="BK30" i="18"/>
  <c r="BL30" i="18" s="1"/>
  <c r="BJ30" i="18"/>
  <c r="BI30" i="18"/>
  <c r="BF30" i="18"/>
  <c r="BE30" i="18"/>
  <c r="BD30" i="18"/>
  <c r="BA30" i="18"/>
  <c r="CI29" i="18"/>
  <c r="CH29" i="18"/>
  <c r="CE29" i="18"/>
  <c r="CF29" i="18" s="1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BZ28" i="18"/>
  <c r="BY28" i="18"/>
  <c r="BX28" i="18"/>
  <c r="BU28" i="18"/>
  <c r="BT28" i="18"/>
  <c r="BS28" i="18"/>
  <c r="BP28" i="18"/>
  <c r="BO28" i="18"/>
  <c r="BK28" i="18"/>
  <c r="BL28" i="18" s="1"/>
  <c r="BJ28" i="18"/>
  <c r="BI28" i="18"/>
  <c r="BF28" i="18"/>
  <c r="BE28" i="18"/>
  <c r="BD28" i="18"/>
  <c r="BA28" i="18"/>
  <c r="CI27" i="18"/>
  <c r="CH27" i="18"/>
  <c r="CE27" i="18"/>
  <c r="CD27" i="18"/>
  <c r="CC27" i="18"/>
  <c r="BZ27" i="18"/>
  <c r="BY27" i="18"/>
  <c r="BX27" i="18"/>
  <c r="BU27" i="18"/>
  <c r="BV27" i="18" s="1"/>
  <c r="BW27" i="18" s="1"/>
  <c r="BT27" i="18"/>
  <c r="BS27" i="18"/>
  <c r="BR27" i="18" s="1"/>
  <c r="BP27" i="18"/>
  <c r="BQ27" i="18" s="1"/>
  <c r="BO27" i="18"/>
  <c r="BK27" i="18"/>
  <c r="BJ27" i="18"/>
  <c r="BI27" i="18"/>
  <c r="BF27" i="18"/>
  <c r="BG27" i="18" s="1"/>
  <c r="BE27" i="18"/>
  <c r="BD27" i="18"/>
  <c r="BA27" i="18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A26" i="18"/>
  <c r="BB26" i="18" s="1"/>
  <c r="CI25" i="18"/>
  <c r="CH25" i="18"/>
  <c r="CE25" i="18"/>
  <c r="CD25" i="18"/>
  <c r="CC25" i="18"/>
  <c r="BZ25" i="18"/>
  <c r="BY25" i="18"/>
  <c r="BX25" i="18"/>
  <c r="BU25" i="18"/>
  <c r="BT25" i="18"/>
  <c r="BS25" i="18"/>
  <c r="BP25" i="18"/>
  <c r="BO25" i="18"/>
  <c r="BL25" i="18"/>
  <c r="BK25" i="18"/>
  <c r="BJ25" i="18"/>
  <c r="BI25" i="18"/>
  <c r="BF25" i="18"/>
  <c r="BE25" i="18"/>
  <c r="BD25" i="18"/>
  <c r="BA25" i="18"/>
  <c r="CI24" i="18"/>
  <c r="CH24" i="18"/>
  <c r="CE24" i="18"/>
  <c r="CF24" i="18" s="1"/>
  <c r="CG24" i="18" s="1"/>
  <c r="CD24" i="18"/>
  <c r="CC24" i="18"/>
  <c r="BZ24" i="18"/>
  <c r="BY24" i="18"/>
  <c r="BW24" i="18" s="1"/>
  <c r="BX24" i="18"/>
  <c r="BU24" i="18"/>
  <c r="BV24" i="18" s="1"/>
  <c r="BT24" i="18"/>
  <c r="BS24" i="18"/>
  <c r="BP24" i="18"/>
  <c r="BO24" i="18"/>
  <c r="BK24" i="18"/>
  <c r="BJ24" i="18"/>
  <c r="BI24" i="18"/>
  <c r="BF24" i="18"/>
  <c r="BG24" i="18" s="1"/>
  <c r="BH24" i="18" s="1"/>
  <c r="BE24" i="18"/>
  <c r="BD24" i="18"/>
  <c r="BA24" i="18"/>
  <c r="BB24" i="18" s="1"/>
  <c r="CI23" i="18"/>
  <c r="CH23" i="18"/>
  <c r="CE23" i="18"/>
  <c r="CF23" i="18" s="1"/>
  <c r="CG23" i="18" s="1"/>
  <c r="CD23" i="18"/>
  <c r="CC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A23" i="18"/>
  <c r="BB23" i="18" s="1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Q22" i="18" s="1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G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K21" i="18"/>
  <c r="BJ21" i="18"/>
  <c r="BI21" i="18"/>
  <c r="BF21" i="18"/>
  <c r="BG21" i="18" s="1"/>
  <c r="BE21" i="18"/>
  <c r="BD21" i="18"/>
  <c r="BA21" i="18"/>
  <c r="CI20" i="18"/>
  <c r="CH20" i="18"/>
  <c r="CE20" i="18"/>
  <c r="CD20" i="18"/>
  <c r="CC20" i="18"/>
  <c r="BZ20" i="18"/>
  <c r="CA20" i="18" s="1"/>
  <c r="CB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E20" i="18"/>
  <c r="BD20" i="18"/>
  <c r="BA20" i="18"/>
  <c r="BB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CI18" i="18"/>
  <c r="CG18" i="18" s="1"/>
  <c r="CH18" i="18"/>
  <c r="CE18" i="18"/>
  <c r="CF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E17" i="18"/>
  <c r="CF17" i="18" s="1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BB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K13" i="18"/>
  <c r="B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C12" i="18" s="1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G96" i="2" s="1"/>
  <c r="CH95" i="2"/>
  <c r="CH94" i="2"/>
  <c r="CH93" i="2"/>
  <c r="CH92" i="2"/>
  <c r="CH91" i="2"/>
  <c r="CH90" i="2"/>
  <c r="CH89" i="2"/>
  <c r="CH88" i="2"/>
  <c r="CG88" i="2" s="1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B72" i="2" s="1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W57" i="2" s="1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CI100" i="2"/>
  <c r="CE100" i="2"/>
  <c r="BZ100" i="2"/>
  <c r="CA100" i="2" s="1"/>
  <c r="BX100" i="2"/>
  <c r="BU100" i="2"/>
  <c r="BT100" i="2"/>
  <c r="BS100" i="2"/>
  <c r="BP100" i="2"/>
  <c r="BO100" i="2"/>
  <c r="BK100" i="2"/>
  <c r="BL100" i="2" s="1"/>
  <c r="BJ100" i="2"/>
  <c r="BI100" i="2"/>
  <c r="BF100" i="2"/>
  <c r="BG100" i="2" s="1"/>
  <c r="I100" i="2" s="1"/>
  <c r="BE100" i="2"/>
  <c r="BD100" i="2"/>
  <c r="BA100" i="2"/>
  <c r="BB100" i="2" s="1"/>
  <c r="BC100" i="2" s="1"/>
  <c r="CI99" i="2"/>
  <c r="CE99" i="2"/>
  <c r="CF99" i="2" s="1"/>
  <c r="CA99" i="2"/>
  <c r="BZ99" i="2"/>
  <c r="BX99" i="2"/>
  <c r="BU99" i="2"/>
  <c r="BV99" i="2" s="1"/>
  <c r="BT99" i="2"/>
  <c r="BS99" i="2"/>
  <c r="BQ99" i="2"/>
  <c r="BP99" i="2"/>
  <c r="BR99" i="2" s="1"/>
  <c r="BO99" i="2"/>
  <c r="BK99" i="2"/>
  <c r="BJ99" i="2"/>
  <c r="BI99" i="2"/>
  <c r="BF99" i="2"/>
  <c r="BG99" i="2" s="1"/>
  <c r="I99" i="2" s="1"/>
  <c r="BE99" i="2"/>
  <c r="BD99" i="2"/>
  <c r="BA99" i="2"/>
  <c r="CI98" i="2"/>
  <c r="CE98" i="2"/>
  <c r="CF98" i="2" s="1"/>
  <c r="CA98" i="2"/>
  <c r="BZ98" i="2"/>
  <c r="BX98" i="2"/>
  <c r="BV98" i="2"/>
  <c r="BU98" i="2"/>
  <c r="BT98" i="2"/>
  <c r="BS98" i="2"/>
  <c r="BP98" i="2"/>
  <c r="BQ98" i="2" s="1"/>
  <c r="BO98" i="2"/>
  <c r="BK98" i="2"/>
  <c r="BL98" i="2" s="1"/>
  <c r="BM98" i="2" s="1"/>
  <c r="BJ98" i="2"/>
  <c r="BI98" i="2"/>
  <c r="BF98" i="2"/>
  <c r="BE98" i="2"/>
  <c r="BD98" i="2"/>
  <c r="BB98" i="2"/>
  <c r="BA98" i="2"/>
  <c r="CI97" i="2"/>
  <c r="CE97" i="2"/>
  <c r="BZ97" i="2"/>
  <c r="CA97" i="2" s="1"/>
  <c r="BX97" i="2"/>
  <c r="BU97" i="2"/>
  <c r="BV97" i="2" s="1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E96" i="2"/>
  <c r="CF96" i="2" s="1"/>
  <c r="BZ96" i="2"/>
  <c r="CA96" i="2" s="1"/>
  <c r="BX96" i="2"/>
  <c r="BV96" i="2"/>
  <c r="BU96" i="2"/>
  <c r="BT96" i="2"/>
  <c r="BS96" i="2"/>
  <c r="BP96" i="2"/>
  <c r="BQ96" i="2" s="1"/>
  <c r="BR96" i="2" s="1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U95" i="2"/>
  <c r="BT95" i="2"/>
  <c r="BS95" i="2"/>
  <c r="BP95" i="2"/>
  <c r="BQ95" i="2" s="1"/>
  <c r="BO95" i="2"/>
  <c r="BK95" i="2"/>
  <c r="BL95" i="2" s="1"/>
  <c r="BJ95" i="2"/>
  <c r="BI95" i="2"/>
  <c r="BF95" i="2"/>
  <c r="BE95" i="2"/>
  <c r="BD95" i="2"/>
  <c r="BA95" i="2"/>
  <c r="BB95" i="2" s="1"/>
  <c r="CI94" i="2"/>
  <c r="CE94" i="2"/>
  <c r="BZ94" i="2"/>
  <c r="BX94" i="2"/>
  <c r="BW94" i="2" s="1"/>
  <c r="BU94" i="2"/>
  <c r="BV94" i="2" s="1"/>
  <c r="BT94" i="2"/>
  <c r="BS94" i="2"/>
  <c r="BP94" i="2"/>
  <c r="BO94" i="2"/>
  <c r="BK94" i="2"/>
  <c r="BL94" i="2" s="1"/>
  <c r="L94" i="2" s="1"/>
  <c r="BJ94" i="2"/>
  <c r="BI94" i="2"/>
  <c r="BG94" i="2"/>
  <c r="BH94" i="2" s="1"/>
  <c r="BF94" i="2"/>
  <c r="BE94" i="2"/>
  <c r="BD94" i="2"/>
  <c r="BA94" i="2"/>
  <c r="BB94" i="2" s="1"/>
  <c r="F94" i="2" s="1"/>
  <c r="CI93" i="2"/>
  <c r="CE93" i="2"/>
  <c r="CF93" i="2" s="1"/>
  <c r="CA93" i="2"/>
  <c r="CB93" i="2" s="1"/>
  <c r="BZ93" i="2"/>
  <c r="BX93" i="2"/>
  <c r="BU93" i="2"/>
  <c r="BT93" i="2"/>
  <c r="BS93" i="2"/>
  <c r="BR93" i="2" s="1"/>
  <c r="BP93" i="2"/>
  <c r="BQ93" i="2" s="1"/>
  <c r="BO93" i="2"/>
  <c r="BK93" i="2"/>
  <c r="BJ93" i="2"/>
  <c r="BI93" i="2"/>
  <c r="BG93" i="2"/>
  <c r="BF93" i="2"/>
  <c r="BE93" i="2"/>
  <c r="BD93" i="2"/>
  <c r="BB93" i="2"/>
  <c r="BA93" i="2"/>
  <c r="CI92" i="2"/>
  <c r="CE92" i="2"/>
  <c r="BZ92" i="2"/>
  <c r="CA92" i="2" s="1"/>
  <c r="BX92" i="2"/>
  <c r="BU92" i="2"/>
  <c r="BV92" i="2" s="1"/>
  <c r="BT92" i="2"/>
  <c r="BS92" i="2"/>
  <c r="BP92" i="2"/>
  <c r="BO92" i="2"/>
  <c r="BL92" i="2"/>
  <c r="BK92" i="2"/>
  <c r="BJ92" i="2"/>
  <c r="BI92" i="2"/>
  <c r="BF92" i="2"/>
  <c r="BE92" i="2"/>
  <c r="BD92" i="2"/>
  <c r="BA92" i="2"/>
  <c r="BB92" i="2" s="1"/>
  <c r="CI91" i="2"/>
  <c r="CE91" i="2"/>
  <c r="CF91" i="2" s="1"/>
  <c r="BZ91" i="2"/>
  <c r="BX91" i="2"/>
  <c r="BU91" i="2"/>
  <c r="BV91" i="2" s="1"/>
  <c r="BW91" i="2" s="1"/>
  <c r="BT91" i="2"/>
  <c r="BS91" i="2"/>
  <c r="BP91" i="2"/>
  <c r="BO91" i="2"/>
  <c r="BK91" i="2"/>
  <c r="BJ91" i="2"/>
  <c r="BI91" i="2"/>
  <c r="BG91" i="2"/>
  <c r="BF91" i="2"/>
  <c r="BE91" i="2"/>
  <c r="BD91" i="2"/>
  <c r="BB91" i="2"/>
  <c r="BA91" i="2"/>
  <c r="CI90" i="2"/>
  <c r="CF90" i="2"/>
  <c r="CG90" i="2" s="1"/>
  <c r="CE90" i="2"/>
  <c r="BZ90" i="2"/>
  <c r="CA90" i="2" s="1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A90" i="2"/>
  <c r="BB90" i="2" s="1"/>
  <c r="CI89" i="2"/>
  <c r="CE89" i="2"/>
  <c r="CA89" i="2"/>
  <c r="BZ89" i="2"/>
  <c r="BX89" i="2"/>
  <c r="BV89" i="2"/>
  <c r="BU89" i="2"/>
  <c r="BT89" i="2"/>
  <c r="BS89" i="2"/>
  <c r="BP89" i="2"/>
  <c r="BQ89" i="2" s="1"/>
  <c r="BO89" i="2"/>
  <c r="BK89" i="2"/>
  <c r="BL89" i="2" s="1"/>
  <c r="BJ89" i="2"/>
  <c r="BI89" i="2"/>
  <c r="BG89" i="2"/>
  <c r="BH89" i="2" s="1"/>
  <c r="BF89" i="2"/>
  <c r="BE89" i="2"/>
  <c r="BD89" i="2"/>
  <c r="BA89" i="2"/>
  <c r="CI88" i="2"/>
  <c r="CE88" i="2"/>
  <c r="CF88" i="2" s="1"/>
  <c r="BZ88" i="2"/>
  <c r="BX88" i="2"/>
  <c r="BU88" i="2"/>
  <c r="BV88" i="2" s="1"/>
  <c r="R88" i="2" s="1"/>
  <c r="BT88" i="2"/>
  <c r="BS88" i="2"/>
  <c r="BP88" i="2"/>
  <c r="BQ88" i="2" s="1"/>
  <c r="BO88" i="2"/>
  <c r="BK88" i="2"/>
  <c r="BJ88" i="2"/>
  <c r="BI88" i="2"/>
  <c r="BF88" i="2"/>
  <c r="BG88" i="2" s="1"/>
  <c r="BE88" i="2"/>
  <c r="BD88" i="2"/>
  <c r="BA88" i="2"/>
  <c r="BB88" i="2" s="1"/>
  <c r="CI87" i="2"/>
  <c r="CE87" i="2"/>
  <c r="CA87" i="2"/>
  <c r="BZ87" i="2"/>
  <c r="BX87" i="2"/>
  <c r="BV87" i="2"/>
  <c r="BW87" i="2" s="1"/>
  <c r="BU87" i="2"/>
  <c r="BT87" i="2"/>
  <c r="BS87" i="2"/>
  <c r="BP87" i="2"/>
  <c r="BQ87" i="2" s="1"/>
  <c r="BO87" i="2"/>
  <c r="BM87" i="2" s="1"/>
  <c r="BK87" i="2"/>
  <c r="BL87" i="2" s="1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Q86" i="2"/>
  <c r="BP86" i="2"/>
  <c r="BO86" i="2"/>
  <c r="BK86" i="2"/>
  <c r="BL86" i="2" s="1"/>
  <c r="BM86" i="2" s="1"/>
  <c r="BJ86" i="2"/>
  <c r="BI86" i="2"/>
  <c r="BF86" i="2"/>
  <c r="BG86" i="2" s="1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P85" i="2"/>
  <c r="BQ85" i="2" s="1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E84" i="2"/>
  <c r="CF84" i="2" s="1"/>
  <c r="X84" i="2" s="1"/>
  <c r="BZ84" i="2"/>
  <c r="CA84" i="2" s="1"/>
  <c r="BX84" i="2"/>
  <c r="BV84" i="2"/>
  <c r="BW84" i="2" s="1"/>
  <c r="BU84" i="2"/>
  <c r="BT84" i="2"/>
  <c r="BS84" i="2"/>
  <c r="BP84" i="2"/>
  <c r="BO84" i="2"/>
  <c r="BK84" i="2"/>
  <c r="BJ84" i="2"/>
  <c r="BI84" i="2"/>
  <c r="BF84" i="2"/>
  <c r="BE84" i="2"/>
  <c r="BD84" i="2"/>
  <c r="BA84" i="2"/>
  <c r="BB84" i="2" s="1"/>
  <c r="CI83" i="2"/>
  <c r="CE83" i="2"/>
  <c r="CF83" i="2" s="1"/>
  <c r="CA83" i="2"/>
  <c r="BZ83" i="2"/>
  <c r="BX83" i="2"/>
  <c r="BU83" i="2"/>
  <c r="BV83" i="2" s="1"/>
  <c r="BT83" i="2"/>
  <c r="BS83" i="2"/>
  <c r="BR83" i="2" s="1"/>
  <c r="BP83" i="2"/>
  <c r="BQ83" i="2" s="1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O82" i="2"/>
  <c r="BK82" i="2"/>
  <c r="BJ82" i="2"/>
  <c r="BI82" i="2"/>
  <c r="BF82" i="2"/>
  <c r="BE82" i="2"/>
  <c r="BD82" i="2"/>
  <c r="BC82" i="2" s="1"/>
  <c r="BB82" i="2"/>
  <c r="F82" i="2" s="1"/>
  <c r="BA82" i="2"/>
  <c r="CI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K80" i="2"/>
  <c r="BL80" i="2" s="1"/>
  <c r="BJ80" i="2"/>
  <c r="BI80" i="2"/>
  <c r="BF80" i="2"/>
  <c r="BG80" i="2" s="1"/>
  <c r="BE80" i="2"/>
  <c r="BD80" i="2"/>
  <c r="BB80" i="2"/>
  <c r="F80" i="2" s="1"/>
  <c r="BA80" i="2"/>
  <c r="CI79" i="2"/>
  <c r="CE79" i="2"/>
  <c r="CB79" i="2"/>
  <c r="BZ79" i="2"/>
  <c r="CA79" i="2" s="1"/>
  <c r="BX79" i="2"/>
  <c r="BU79" i="2"/>
  <c r="BT79" i="2"/>
  <c r="BS79" i="2"/>
  <c r="BP79" i="2"/>
  <c r="BQ79" i="2" s="1"/>
  <c r="O79" i="2" s="1"/>
  <c r="BO79" i="2"/>
  <c r="BK79" i="2"/>
  <c r="BL79" i="2" s="1"/>
  <c r="BJ79" i="2"/>
  <c r="BI79" i="2"/>
  <c r="BF79" i="2"/>
  <c r="BG79" i="2" s="1"/>
  <c r="BE79" i="2"/>
  <c r="BD79" i="2"/>
  <c r="BA79" i="2"/>
  <c r="BB79" i="2" s="1"/>
  <c r="BC79" i="2" s="1"/>
  <c r="CI78" i="2"/>
  <c r="CE78" i="2"/>
  <c r="CF78" i="2" s="1"/>
  <c r="BZ78" i="2"/>
  <c r="BX78" i="2"/>
  <c r="BV78" i="2"/>
  <c r="BU78" i="2"/>
  <c r="BT78" i="2"/>
  <c r="BS78" i="2"/>
  <c r="BP78" i="2"/>
  <c r="BQ78" i="2" s="1"/>
  <c r="BO78" i="2"/>
  <c r="BK78" i="2"/>
  <c r="BL78" i="2" s="1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P77" i="2"/>
  <c r="BQ77" i="2" s="1"/>
  <c r="BO77" i="2"/>
  <c r="BL77" i="2"/>
  <c r="BK77" i="2"/>
  <c r="BJ77" i="2"/>
  <c r="BI77" i="2"/>
  <c r="BF77" i="2"/>
  <c r="BG77" i="2" s="1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K76" i="2"/>
  <c r="BL76" i="2" s="1"/>
  <c r="BJ76" i="2"/>
  <c r="BI76" i="2"/>
  <c r="BF76" i="2"/>
  <c r="BE76" i="2"/>
  <c r="BD76" i="2"/>
  <c r="BB76" i="2"/>
  <c r="BA76" i="2"/>
  <c r="CI75" i="2"/>
  <c r="CF75" i="2"/>
  <c r="CE75" i="2"/>
  <c r="CA75" i="2"/>
  <c r="BZ75" i="2"/>
  <c r="BX75" i="2"/>
  <c r="BU75" i="2"/>
  <c r="BV75" i="2" s="1"/>
  <c r="BW75" i="2" s="1"/>
  <c r="BT75" i="2"/>
  <c r="BS75" i="2"/>
  <c r="BQ75" i="2"/>
  <c r="BP75" i="2"/>
  <c r="BO75" i="2"/>
  <c r="BK75" i="2"/>
  <c r="BJ75" i="2"/>
  <c r="BI75" i="2"/>
  <c r="BF75" i="2"/>
  <c r="BG75" i="2" s="1"/>
  <c r="BE75" i="2"/>
  <c r="BD75" i="2"/>
  <c r="BA75" i="2"/>
  <c r="CI74" i="2"/>
  <c r="CE74" i="2"/>
  <c r="CF74" i="2" s="1"/>
  <c r="CA74" i="2"/>
  <c r="BZ74" i="2"/>
  <c r="BX74" i="2"/>
  <c r="BV74" i="2"/>
  <c r="BU74" i="2"/>
  <c r="BT74" i="2"/>
  <c r="BS74" i="2"/>
  <c r="BP74" i="2"/>
  <c r="BQ74" i="2" s="1"/>
  <c r="BR74" i="2" s="1"/>
  <c r="BO74" i="2"/>
  <c r="BK74" i="2"/>
  <c r="BJ74" i="2"/>
  <c r="BI74" i="2"/>
  <c r="BF74" i="2"/>
  <c r="BE74" i="2"/>
  <c r="BD74" i="2"/>
  <c r="BA74" i="2"/>
  <c r="BB74" i="2" s="1"/>
  <c r="CI73" i="2"/>
  <c r="CE73" i="2"/>
  <c r="CA73" i="2"/>
  <c r="BZ73" i="2"/>
  <c r="BX73" i="2"/>
  <c r="BV73" i="2"/>
  <c r="R73" i="2" s="1"/>
  <c r="BU73" i="2"/>
  <c r="BT73" i="2"/>
  <c r="BS73" i="2"/>
  <c r="BP73" i="2"/>
  <c r="BO73" i="2"/>
  <c r="BK73" i="2"/>
  <c r="BL73" i="2" s="1"/>
  <c r="BJ73" i="2"/>
  <c r="BI73" i="2"/>
  <c r="BF73" i="2"/>
  <c r="BE73" i="2"/>
  <c r="BD73" i="2"/>
  <c r="BA73" i="2"/>
  <c r="CI72" i="2"/>
  <c r="CE72" i="2"/>
  <c r="BZ72" i="2"/>
  <c r="CA72" i="2" s="1"/>
  <c r="BX72" i="2"/>
  <c r="BV72" i="2"/>
  <c r="BU72" i="2"/>
  <c r="BT72" i="2"/>
  <c r="BS72" i="2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BZ71" i="2"/>
  <c r="CA71" i="2" s="1"/>
  <c r="U71" i="2" s="1"/>
  <c r="BX71" i="2"/>
  <c r="BU71" i="2"/>
  <c r="BT71" i="2"/>
  <c r="BS71" i="2"/>
  <c r="BP71" i="2"/>
  <c r="BQ71" i="2" s="1"/>
  <c r="BR71" i="2" s="1"/>
  <c r="BO71" i="2"/>
  <c r="BK71" i="2"/>
  <c r="BL71" i="2" s="1"/>
  <c r="BJ71" i="2"/>
  <c r="BI71" i="2"/>
  <c r="BG71" i="2"/>
  <c r="BF71" i="2"/>
  <c r="BE71" i="2"/>
  <c r="BD71" i="2"/>
  <c r="BA71" i="2"/>
  <c r="BB71" i="2" s="1"/>
  <c r="CI70" i="2"/>
  <c r="CF70" i="2"/>
  <c r="CE70" i="2"/>
  <c r="BZ70" i="2"/>
  <c r="BX70" i="2"/>
  <c r="BV70" i="2"/>
  <c r="BU70" i="2"/>
  <c r="BT70" i="2"/>
  <c r="BS70" i="2"/>
  <c r="BP70" i="2"/>
  <c r="BO70" i="2"/>
  <c r="BK70" i="2"/>
  <c r="BL70" i="2" s="1"/>
  <c r="BJ70" i="2"/>
  <c r="BI70" i="2"/>
  <c r="BF70" i="2"/>
  <c r="BG70" i="2" s="1"/>
  <c r="BH70" i="2" s="1"/>
  <c r="BE70" i="2"/>
  <c r="BD70" i="2"/>
  <c r="BA70" i="2"/>
  <c r="CI69" i="2"/>
  <c r="CF69" i="2"/>
  <c r="CE69" i="2"/>
  <c r="X69" i="2" s="1"/>
  <c r="BZ69" i="2"/>
  <c r="BX69" i="2"/>
  <c r="BU69" i="2"/>
  <c r="BT69" i="2"/>
  <c r="BS69" i="2"/>
  <c r="BP69" i="2"/>
  <c r="BQ69" i="2" s="1"/>
  <c r="BO69" i="2"/>
  <c r="BM69" i="2" s="1"/>
  <c r="BL69" i="2"/>
  <c r="BK69" i="2"/>
  <c r="BJ69" i="2"/>
  <c r="BI69" i="2"/>
  <c r="BF69" i="2"/>
  <c r="BG69" i="2" s="1"/>
  <c r="BE69" i="2"/>
  <c r="BD69" i="2"/>
  <c r="BC69" i="2" s="1"/>
  <c r="BB69" i="2"/>
  <c r="BA69" i="2"/>
  <c r="CI68" i="2"/>
  <c r="CE68" i="2"/>
  <c r="CF68" i="2" s="1"/>
  <c r="BZ68" i="2"/>
  <c r="CA68" i="2" s="1"/>
  <c r="BX68" i="2"/>
  <c r="BU68" i="2"/>
  <c r="BV68" i="2" s="1"/>
  <c r="BT68" i="2"/>
  <c r="BS68" i="2"/>
  <c r="BP68" i="2"/>
  <c r="BO68" i="2"/>
  <c r="BL68" i="2"/>
  <c r="BK68" i="2"/>
  <c r="BJ68" i="2"/>
  <c r="BI68" i="2"/>
  <c r="BF68" i="2"/>
  <c r="BE68" i="2"/>
  <c r="BD68" i="2"/>
  <c r="BA68" i="2"/>
  <c r="BB68" i="2" s="1"/>
  <c r="CI67" i="2"/>
  <c r="CF67" i="2"/>
  <c r="CE67" i="2"/>
  <c r="CA67" i="2"/>
  <c r="BZ67" i="2"/>
  <c r="BX67" i="2"/>
  <c r="BW67" i="2" s="1"/>
  <c r="BU67" i="2"/>
  <c r="BV67" i="2" s="1"/>
  <c r="BT67" i="2"/>
  <c r="BS67" i="2"/>
  <c r="BR67" i="2" s="1"/>
  <c r="BQ67" i="2"/>
  <c r="BP67" i="2"/>
  <c r="BO67" i="2"/>
  <c r="BK67" i="2"/>
  <c r="BJ67" i="2"/>
  <c r="BI67" i="2"/>
  <c r="BF67" i="2"/>
  <c r="BE67" i="2"/>
  <c r="BD67" i="2"/>
  <c r="BA67" i="2"/>
  <c r="BB67" i="2" s="1"/>
  <c r="CI66" i="2"/>
  <c r="CE66" i="2"/>
  <c r="CF66" i="2" s="1"/>
  <c r="BZ66" i="2"/>
  <c r="BX66" i="2"/>
  <c r="BU66" i="2"/>
  <c r="BT66" i="2"/>
  <c r="BS66" i="2"/>
  <c r="BP66" i="2"/>
  <c r="BQ66" i="2" s="1"/>
  <c r="BO66" i="2"/>
  <c r="BK66" i="2"/>
  <c r="BJ66" i="2"/>
  <c r="BI66" i="2"/>
  <c r="BF66" i="2"/>
  <c r="BE66" i="2"/>
  <c r="BD66" i="2"/>
  <c r="BA66" i="2"/>
  <c r="BB66" i="2" s="1"/>
  <c r="CI65" i="2"/>
  <c r="CE65" i="2"/>
  <c r="CA65" i="2"/>
  <c r="BZ65" i="2"/>
  <c r="BX65" i="2"/>
  <c r="BU65" i="2"/>
  <c r="BT65" i="2"/>
  <c r="BS65" i="2"/>
  <c r="BP65" i="2"/>
  <c r="BQ65" i="2" s="1"/>
  <c r="BO65" i="2"/>
  <c r="BK65" i="2"/>
  <c r="BL65" i="2" s="1"/>
  <c r="BJ65" i="2"/>
  <c r="BI65" i="2"/>
  <c r="BF65" i="2"/>
  <c r="BG65" i="2" s="1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P64" i="2"/>
  <c r="BO64" i="2"/>
  <c r="BK64" i="2"/>
  <c r="BJ64" i="2"/>
  <c r="BI64" i="2"/>
  <c r="BF64" i="2"/>
  <c r="BE64" i="2"/>
  <c r="BD64" i="2"/>
  <c r="BA64" i="2"/>
  <c r="CI63" i="2"/>
  <c r="CE63" i="2"/>
  <c r="BZ63" i="2"/>
  <c r="BX63" i="2"/>
  <c r="BU63" i="2"/>
  <c r="BT63" i="2"/>
  <c r="BS63" i="2"/>
  <c r="BP63" i="2"/>
  <c r="BQ63" i="2" s="1"/>
  <c r="BO63" i="2"/>
  <c r="BK63" i="2"/>
  <c r="BL63" i="2" s="1"/>
  <c r="BJ63" i="2"/>
  <c r="BI63" i="2"/>
  <c r="BG63" i="2"/>
  <c r="BF63" i="2"/>
  <c r="BE63" i="2"/>
  <c r="BD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L62" i="2"/>
  <c r="BK62" i="2"/>
  <c r="BJ62" i="2"/>
  <c r="BI62" i="2"/>
  <c r="BG62" i="2"/>
  <c r="I62" i="2" s="1"/>
  <c r="BF62" i="2"/>
  <c r="BE62" i="2"/>
  <c r="BD62" i="2"/>
  <c r="BA62" i="2"/>
  <c r="CI61" i="2"/>
  <c r="CE61" i="2"/>
  <c r="CF61" i="2" s="1"/>
  <c r="CA61" i="2"/>
  <c r="BZ61" i="2"/>
  <c r="BX61" i="2"/>
  <c r="BU61" i="2"/>
  <c r="BT61" i="2"/>
  <c r="BS61" i="2"/>
  <c r="BP61" i="2"/>
  <c r="BQ61" i="2" s="1"/>
  <c r="BO61" i="2"/>
  <c r="BK61" i="2"/>
  <c r="BL61" i="2" s="1"/>
  <c r="BJ61" i="2"/>
  <c r="BI61" i="2"/>
  <c r="BG61" i="2"/>
  <c r="BF61" i="2"/>
  <c r="BE61" i="2"/>
  <c r="BD61" i="2"/>
  <c r="BA61" i="2"/>
  <c r="BB61" i="2" s="1"/>
  <c r="CI60" i="2"/>
  <c r="CE60" i="2"/>
  <c r="CA60" i="2"/>
  <c r="U60" i="2" s="1"/>
  <c r="BZ60" i="2"/>
  <c r="BX60" i="2"/>
  <c r="BV60" i="2"/>
  <c r="BU60" i="2"/>
  <c r="BT60" i="2"/>
  <c r="BS60" i="2"/>
  <c r="BP60" i="2"/>
  <c r="BQ60" i="2" s="1"/>
  <c r="BO60" i="2"/>
  <c r="BM60" i="2" s="1"/>
  <c r="BK60" i="2"/>
  <c r="BL60" i="2" s="1"/>
  <c r="BJ60" i="2"/>
  <c r="BI60" i="2"/>
  <c r="BF60" i="2"/>
  <c r="BE60" i="2"/>
  <c r="BD60" i="2"/>
  <c r="BC60" i="2"/>
  <c r="BA60" i="2"/>
  <c r="BB60" i="2" s="1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D59" i="2"/>
  <c r="BA59" i="2"/>
  <c r="BB59" i="2" s="1"/>
  <c r="CI58" i="2"/>
  <c r="CF58" i="2"/>
  <c r="CE58" i="2"/>
  <c r="BZ58" i="2"/>
  <c r="BX58" i="2"/>
  <c r="BU58" i="2"/>
  <c r="BT58" i="2"/>
  <c r="BS58" i="2"/>
  <c r="BP58" i="2"/>
  <c r="BO58" i="2"/>
  <c r="BK58" i="2"/>
  <c r="BJ58" i="2"/>
  <c r="BI58" i="2"/>
  <c r="BF58" i="2"/>
  <c r="BG58" i="2" s="1"/>
  <c r="BE58" i="2"/>
  <c r="BD58" i="2"/>
  <c r="BC58" i="2" s="1"/>
  <c r="BA58" i="2"/>
  <c r="BB58" i="2" s="1"/>
  <c r="CI57" i="2"/>
  <c r="CE57" i="2"/>
  <c r="BZ57" i="2"/>
  <c r="CA57" i="2" s="1"/>
  <c r="BX57" i="2"/>
  <c r="BV57" i="2"/>
  <c r="BU57" i="2"/>
  <c r="BT57" i="2"/>
  <c r="BS57" i="2"/>
  <c r="BP57" i="2"/>
  <c r="BQ57" i="2" s="1"/>
  <c r="BO57" i="2"/>
  <c r="BM57" i="2"/>
  <c r="BL57" i="2"/>
  <c r="BK57" i="2"/>
  <c r="BJ57" i="2"/>
  <c r="BI57" i="2"/>
  <c r="BH57" i="2" s="1"/>
  <c r="BF57" i="2"/>
  <c r="BG57" i="2" s="1"/>
  <c r="BE57" i="2"/>
  <c r="BD57" i="2"/>
  <c r="BA57" i="2"/>
  <c r="BB57" i="2" s="1"/>
  <c r="CI56" i="2"/>
  <c r="CF56" i="2"/>
  <c r="CE56" i="2"/>
  <c r="BZ56" i="2"/>
  <c r="BX56" i="2"/>
  <c r="BU56" i="2"/>
  <c r="BV56" i="2" s="1"/>
  <c r="BT56" i="2"/>
  <c r="BS56" i="2"/>
  <c r="BQ56" i="2"/>
  <c r="BP56" i="2"/>
  <c r="BO56" i="2"/>
  <c r="BK56" i="2"/>
  <c r="BJ56" i="2"/>
  <c r="BI56" i="2"/>
  <c r="BF56" i="2"/>
  <c r="BG56" i="2" s="1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P55" i="2"/>
  <c r="BQ55" i="2" s="1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K54" i="2"/>
  <c r="BJ54" i="2"/>
  <c r="BI54" i="2"/>
  <c r="BF54" i="2"/>
  <c r="BE54" i="2"/>
  <c r="BD54" i="2"/>
  <c r="BA54" i="2"/>
  <c r="BB54" i="2" s="1"/>
  <c r="CI53" i="2"/>
  <c r="CE53" i="2"/>
  <c r="CA53" i="2"/>
  <c r="BZ53" i="2"/>
  <c r="BX53" i="2"/>
  <c r="BU53" i="2"/>
  <c r="BV53" i="2" s="1"/>
  <c r="BT53" i="2"/>
  <c r="BS53" i="2"/>
  <c r="BP53" i="2"/>
  <c r="BQ53" i="2" s="1"/>
  <c r="O53" i="2" s="1"/>
  <c r="BO53" i="2"/>
  <c r="BK53" i="2"/>
  <c r="BL53" i="2" s="1"/>
  <c r="BJ53" i="2"/>
  <c r="BI53" i="2"/>
  <c r="BF53" i="2"/>
  <c r="BG53" i="2" s="1"/>
  <c r="BH53" i="2" s="1"/>
  <c r="BE53" i="2"/>
  <c r="BD53" i="2"/>
  <c r="BB53" i="2"/>
  <c r="BA53" i="2"/>
  <c r="CI52" i="2"/>
  <c r="CE52" i="2"/>
  <c r="BZ52" i="2"/>
  <c r="CA52" i="2" s="1"/>
  <c r="BX52" i="2"/>
  <c r="BU52" i="2"/>
  <c r="BT52" i="2"/>
  <c r="BS52" i="2"/>
  <c r="BP52" i="2"/>
  <c r="BQ52" i="2" s="1"/>
  <c r="O52" i="2" s="1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U51" i="2"/>
  <c r="BV51" i="2" s="1"/>
  <c r="BT51" i="2"/>
  <c r="BS51" i="2"/>
  <c r="BP51" i="2"/>
  <c r="BQ51" i="2" s="1"/>
  <c r="BO51" i="2"/>
  <c r="BK51" i="2"/>
  <c r="BJ51" i="2"/>
  <c r="BI51" i="2"/>
  <c r="BF51" i="2"/>
  <c r="BE51" i="2"/>
  <c r="BD51" i="2"/>
  <c r="BA51" i="2"/>
  <c r="BB51" i="2" s="1"/>
  <c r="CI50" i="2"/>
  <c r="CE50" i="2"/>
  <c r="BZ50" i="2"/>
  <c r="CA50" i="2" s="1"/>
  <c r="BX50" i="2"/>
  <c r="BU50" i="2"/>
  <c r="BT50" i="2"/>
  <c r="BS50" i="2"/>
  <c r="BQ50" i="2"/>
  <c r="BR50" i="2" s="1"/>
  <c r="BP50" i="2"/>
  <c r="BO50" i="2"/>
  <c r="BK50" i="2"/>
  <c r="BL50" i="2" s="1"/>
  <c r="BM50" i="2" s="1"/>
  <c r="BJ50" i="2"/>
  <c r="BI50" i="2"/>
  <c r="BF50" i="2"/>
  <c r="BE50" i="2"/>
  <c r="BD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J48" i="2"/>
  <c r="BI48" i="2"/>
  <c r="BG48" i="2"/>
  <c r="BF48" i="2"/>
  <c r="BE48" i="2"/>
  <c r="BD48" i="2"/>
  <c r="BA48" i="2"/>
  <c r="CI47" i="2"/>
  <c r="CE47" i="2"/>
  <c r="CF47" i="2" s="1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A47" i="2"/>
  <c r="BB47" i="2" s="1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A46" i="2"/>
  <c r="CI45" i="2"/>
  <c r="CE45" i="2"/>
  <c r="CF45" i="2" s="1"/>
  <c r="CA45" i="2"/>
  <c r="BZ45" i="2"/>
  <c r="BX45" i="2"/>
  <c r="BU45" i="2"/>
  <c r="BT45" i="2"/>
  <c r="BS45" i="2"/>
  <c r="BP45" i="2"/>
  <c r="BQ45" i="2" s="1"/>
  <c r="O45" i="2" s="1"/>
  <c r="BO45" i="2"/>
  <c r="BK45" i="2"/>
  <c r="BL45" i="2" s="1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F44" i="2"/>
  <c r="BG44" i="2" s="1"/>
  <c r="BE44" i="2"/>
  <c r="BD44" i="2"/>
  <c r="BA44" i="2"/>
  <c r="CI43" i="2"/>
  <c r="CE43" i="2"/>
  <c r="CF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G43" i="2"/>
  <c r="BF43" i="2"/>
  <c r="BE43" i="2"/>
  <c r="BD43" i="2"/>
  <c r="BA43" i="2"/>
  <c r="BB43" i="2" s="1"/>
  <c r="CI42" i="2"/>
  <c r="CG42" i="2" s="1"/>
  <c r="CE42" i="2"/>
  <c r="CF42" i="2" s="1"/>
  <c r="BZ42" i="2"/>
  <c r="BX42" i="2"/>
  <c r="BV42" i="2"/>
  <c r="BW42" i="2" s="1"/>
  <c r="BU42" i="2"/>
  <c r="BT42" i="2"/>
  <c r="BS42" i="2"/>
  <c r="BQ42" i="2"/>
  <c r="BP42" i="2"/>
  <c r="BO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A41" i="2"/>
  <c r="BB41" i="2" s="1"/>
  <c r="BC41" i="2" s="1"/>
  <c r="CI40" i="2"/>
  <c r="CE40" i="2"/>
  <c r="CF40" i="2" s="1"/>
  <c r="CB40" i="2"/>
  <c r="CA40" i="2"/>
  <c r="BZ40" i="2"/>
  <c r="BX40" i="2"/>
  <c r="BU40" i="2"/>
  <c r="BT40" i="2"/>
  <c r="BS40" i="2"/>
  <c r="BP40" i="2"/>
  <c r="BQ40" i="2" s="1"/>
  <c r="O40" i="2" s="1"/>
  <c r="BO40" i="2"/>
  <c r="BK40" i="2"/>
  <c r="BL40" i="2" s="1"/>
  <c r="BM40" i="2" s="1"/>
  <c r="BJ40" i="2"/>
  <c r="BI40" i="2"/>
  <c r="BF40" i="2"/>
  <c r="BE40" i="2"/>
  <c r="BD40" i="2"/>
  <c r="BB40" i="2"/>
  <c r="BC40" i="2" s="1"/>
  <c r="BA40" i="2"/>
  <c r="CI39" i="2"/>
  <c r="CE39" i="2"/>
  <c r="BZ39" i="2"/>
  <c r="CA39" i="2" s="1"/>
  <c r="BX39" i="2"/>
  <c r="BU39" i="2"/>
  <c r="BT39" i="2"/>
  <c r="BS39" i="2"/>
  <c r="BQ39" i="2"/>
  <c r="O39" i="2" s="1"/>
  <c r="BP39" i="2"/>
  <c r="BO39" i="2"/>
  <c r="BL39" i="2"/>
  <c r="BM39" i="2" s="1"/>
  <c r="BK39" i="2"/>
  <c r="L39" i="2" s="1"/>
  <c r="BJ39" i="2"/>
  <c r="BI39" i="2"/>
  <c r="BF39" i="2"/>
  <c r="BE39" i="2"/>
  <c r="BD39" i="2"/>
  <c r="BA39" i="2"/>
  <c r="CI38" i="2"/>
  <c r="CE38" i="2"/>
  <c r="BZ38" i="2"/>
  <c r="CA38" i="2" s="1"/>
  <c r="U38" i="2" s="1"/>
  <c r="BX38" i="2"/>
  <c r="BU38" i="2"/>
  <c r="BV38" i="2" s="1"/>
  <c r="BT38" i="2"/>
  <c r="BS38" i="2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F37" i="2"/>
  <c r="BG37" i="2" s="1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P36" i="2"/>
  <c r="BQ36" i="2" s="1"/>
  <c r="BO36" i="2"/>
  <c r="BK36" i="2"/>
  <c r="BL36" i="2" s="1"/>
  <c r="BJ36" i="2"/>
  <c r="BI36" i="2"/>
  <c r="BG36" i="2"/>
  <c r="I36" i="2" s="1"/>
  <c r="BF36" i="2"/>
  <c r="BE36" i="2"/>
  <c r="BD36" i="2"/>
  <c r="BA36" i="2"/>
  <c r="CI35" i="2"/>
  <c r="CE35" i="2"/>
  <c r="CF35" i="2" s="1"/>
  <c r="CA35" i="2"/>
  <c r="CB35" i="2" s="1"/>
  <c r="BZ35" i="2"/>
  <c r="BX35" i="2"/>
  <c r="BU35" i="2"/>
  <c r="BT35" i="2"/>
  <c r="BS35" i="2"/>
  <c r="BP35" i="2"/>
  <c r="BQ35" i="2" s="1"/>
  <c r="BO35" i="2"/>
  <c r="BK35" i="2"/>
  <c r="BJ35" i="2"/>
  <c r="BI35" i="2"/>
  <c r="BF35" i="2"/>
  <c r="BG35" i="2" s="1"/>
  <c r="BE35" i="2"/>
  <c r="BD35" i="2"/>
  <c r="BA35" i="2"/>
  <c r="CI34" i="2"/>
  <c r="CE34" i="2"/>
  <c r="CF34" i="2" s="1"/>
  <c r="BZ34" i="2"/>
  <c r="CA34" i="2" s="1"/>
  <c r="BX34" i="2"/>
  <c r="BU34" i="2"/>
  <c r="BT34" i="2"/>
  <c r="BS34" i="2"/>
  <c r="BQ34" i="2"/>
  <c r="BP34" i="2"/>
  <c r="O34" i="2" s="1"/>
  <c r="BO34" i="2"/>
  <c r="BK34" i="2"/>
  <c r="BJ34" i="2"/>
  <c r="BI34" i="2"/>
  <c r="BF34" i="2"/>
  <c r="BG34" i="2" s="1"/>
  <c r="BE34" i="2"/>
  <c r="BD34" i="2"/>
  <c r="BA34" i="2"/>
  <c r="BB34" i="2" s="1"/>
  <c r="CI33" i="2"/>
  <c r="CE33" i="2"/>
  <c r="BZ33" i="2"/>
  <c r="CA33" i="2" s="1"/>
  <c r="BX33" i="2"/>
  <c r="BU33" i="2"/>
  <c r="BV33" i="2" s="1"/>
  <c r="R33" i="2" s="1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A33" i="2"/>
  <c r="BB33" i="2" s="1"/>
  <c r="CI32" i="2"/>
  <c r="CE32" i="2"/>
  <c r="CF32" i="2" s="1"/>
  <c r="CB32" i="2"/>
  <c r="CA32" i="2"/>
  <c r="BZ32" i="2"/>
  <c r="BX32" i="2"/>
  <c r="BU32" i="2"/>
  <c r="BT32" i="2"/>
  <c r="BS32" i="2"/>
  <c r="BP32" i="2"/>
  <c r="BQ32" i="2" s="1"/>
  <c r="BO32" i="2"/>
  <c r="BK32" i="2"/>
  <c r="BL32" i="2" s="1"/>
  <c r="BJ32" i="2"/>
  <c r="BI32" i="2"/>
  <c r="BF32" i="2"/>
  <c r="BE32" i="2"/>
  <c r="BD32" i="2"/>
  <c r="BB32" i="2"/>
  <c r="F32" i="2" s="1"/>
  <c r="BA32" i="2"/>
  <c r="CI31" i="2"/>
  <c r="CE31" i="2"/>
  <c r="BZ31" i="2"/>
  <c r="CA31" i="2" s="1"/>
  <c r="BX31" i="2"/>
  <c r="BU31" i="2"/>
  <c r="BT31" i="2"/>
  <c r="BS31" i="2"/>
  <c r="BP31" i="2"/>
  <c r="BO31" i="2"/>
  <c r="BK31" i="2"/>
  <c r="BJ31" i="2"/>
  <c r="BI31" i="2"/>
  <c r="BF31" i="2"/>
  <c r="BE31" i="2"/>
  <c r="BD31" i="2"/>
  <c r="BA31" i="2"/>
  <c r="CI30" i="2"/>
  <c r="CE30" i="2"/>
  <c r="BZ30" i="2"/>
  <c r="BX30" i="2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A29" i="2"/>
  <c r="BB29" i="2" s="1"/>
  <c r="BC29" i="2" s="1"/>
  <c r="CI28" i="2"/>
  <c r="CE28" i="2"/>
  <c r="CF28" i="2" s="1"/>
  <c r="CA28" i="2"/>
  <c r="BZ28" i="2"/>
  <c r="BX28" i="2"/>
  <c r="BU28" i="2"/>
  <c r="BT28" i="2"/>
  <c r="BS28" i="2"/>
  <c r="BQ28" i="2"/>
  <c r="BP28" i="2"/>
  <c r="BO28" i="2"/>
  <c r="BK28" i="2"/>
  <c r="BL28" i="2" s="1"/>
  <c r="BJ28" i="2"/>
  <c r="BI28" i="2"/>
  <c r="BG28" i="2"/>
  <c r="BF28" i="2"/>
  <c r="BH28" i="2" s="1"/>
  <c r="BE28" i="2"/>
  <c r="BD28" i="2"/>
  <c r="BA28" i="2"/>
  <c r="CI27" i="2"/>
  <c r="CE27" i="2"/>
  <c r="BZ27" i="2"/>
  <c r="CA27" i="2" s="1"/>
  <c r="U27" i="2" s="1"/>
  <c r="BX27" i="2"/>
  <c r="BU27" i="2"/>
  <c r="BT27" i="2"/>
  <c r="BS27" i="2"/>
  <c r="BP27" i="2"/>
  <c r="BQ27" i="2" s="1"/>
  <c r="BR27" i="2" s="1"/>
  <c r="BO27" i="2"/>
  <c r="BK27" i="2"/>
  <c r="BL27" i="2" s="1"/>
  <c r="BM27" i="2" s="1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U26" i="2"/>
  <c r="BV26" i="2" s="1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F25" i="2"/>
  <c r="CE25" i="2"/>
  <c r="CG25" i="2" s="1"/>
  <c r="BZ25" i="2"/>
  <c r="BX25" i="2"/>
  <c r="BU25" i="2"/>
  <c r="BT25" i="2"/>
  <c r="BS25" i="2"/>
  <c r="BP25" i="2"/>
  <c r="BQ25" i="2" s="1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K24" i="2"/>
  <c r="BL24" i="2" s="1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W23" i="2" s="1"/>
  <c r="BT23" i="2"/>
  <c r="BS23" i="2"/>
  <c r="BP23" i="2"/>
  <c r="BQ23" i="2" s="1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K22" i="2"/>
  <c r="BL22" i="2" s="1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O62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I97" i="2"/>
  <c r="U93" i="2"/>
  <c r="X91" i="2"/>
  <c r="O88" i="2"/>
  <c r="U82" i="2"/>
  <c r="R57" i="2"/>
  <c r="O54" i="2"/>
  <c r="I41" i="18"/>
  <c r="O43" i="18"/>
  <c r="E1" i="2"/>
  <c r="U41" i="18"/>
  <c r="F32" i="18"/>
  <c r="R32" i="18"/>
  <c r="L42" i="18"/>
  <c r="L64" i="18"/>
  <c r="F64" i="18"/>
  <c r="O51" i="18"/>
  <c r="X50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F37" i="2"/>
  <c r="L97" i="2"/>
  <c r="O36" i="2"/>
  <c r="I38" i="2"/>
  <c r="O98" i="2"/>
  <c r="F40" i="2"/>
  <c r="U79" i="18"/>
  <c r="R24" i="18"/>
  <c r="O15" i="18"/>
  <c r="R78" i="18"/>
  <c r="L81" i="18"/>
  <c r="U34" i="2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F68" i="18"/>
  <c r="L69" i="18"/>
  <c r="F70" i="18"/>
  <c r="L71" i="18"/>
  <c r="R72" i="18"/>
  <c r="U72" i="18"/>
  <c r="L73" i="18"/>
  <c r="R74" i="18"/>
  <c r="I57" i="18"/>
  <c r="U61" i="18"/>
  <c r="O75" i="18"/>
  <c r="F12" i="18"/>
  <c r="R12" i="18"/>
  <c r="R16" i="18"/>
  <c r="F20" i="18"/>
  <c r="F36" i="18"/>
  <c r="R36" i="18"/>
  <c r="F40" i="18"/>
  <c r="R40" i="18"/>
  <c r="R65" i="18"/>
  <c r="X66" i="18"/>
  <c r="R67" i="18"/>
  <c r="X70" i="18"/>
  <c r="X54" i="18"/>
  <c r="L62" i="18"/>
  <c r="I77" i="18"/>
  <c r="F80" i="18"/>
  <c r="I91" i="18"/>
  <c r="F52" i="18"/>
  <c r="R56" i="18"/>
  <c r="F60" i="18"/>
  <c r="R75" i="18"/>
  <c r="L76" i="18"/>
  <c r="X80" i="18"/>
  <c r="O98" i="18"/>
  <c r="R86" i="18"/>
  <c r="L89" i="18"/>
  <c r="F90" i="18"/>
  <c r="L95" i="18"/>
  <c r="X82" i="18"/>
  <c r="R83" i="18"/>
  <c r="L84" i="18"/>
  <c r="F87" i="18"/>
  <c r="L88" i="18"/>
  <c r="L92" i="18"/>
  <c r="F93" i="18"/>
  <c r="R95" i="18"/>
  <c r="U23" i="18"/>
  <c r="O23" i="18"/>
  <c r="X24" i="18"/>
  <c r="R96" i="2"/>
  <c r="X98" i="2"/>
  <c r="O69" i="2"/>
  <c r="L53" i="2"/>
  <c r="R49" i="2"/>
  <c r="X55" i="2"/>
  <c r="L76" i="2"/>
  <c r="R89" i="2"/>
  <c r="U50" i="2"/>
  <c r="X93" i="2"/>
  <c r="R53" i="2"/>
  <c r="R70" i="2"/>
  <c r="R78" i="2"/>
  <c r="L87" i="2"/>
  <c r="F57" i="2"/>
  <c r="U92" i="2"/>
  <c r="I93" i="2"/>
  <c r="U98" i="18"/>
  <c r="X26" i="18"/>
  <c r="X96" i="18"/>
  <c r="O85" i="18"/>
  <c r="L22" i="18"/>
  <c r="F69" i="18"/>
  <c r="I21" i="18"/>
  <c r="F74" i="2"/>
  <c r="X83" i="2"/>
  <c r="F53" i="2"/>
  <c r="R29" i="2"/>
  <c r="U100" i="2"/>
  <c r="X67" i="2"/>
  <c r="U92" i="18"/>
  <c r="I88" i="18"/>
  <c r="L26" i="18"/>
  <c r="U76" i="18"/>
  <c r="I63" i="2"/>
  <c r="I75" i="2"/>
  <c r="I71" i="2"/>
  <c r="L68" i="2"/>
  <c r="X64" i="2"/>
  <c r="G1" i="12"/>
  <c r="F1" i="12"/>
  <c r="AW1" i="12"/>
  <c r="F1" i="2"/>
  <c r="BC1" i="2" s="1"/>
  <c r="BD1" i="2" s="1"/>
  <c r="U5" i="2"/>
  <c r="L10" i="2"/>
  <c r="I9" i="18"/>
  <c r="F52" i="2"/>
  <c r="U57" i="2"/>
  <c r="U49" i="2"/>
  <c r="I53" i="2"/>
  <c r="F54" i="2"/>
  <c r="O55" i="2"/>
  <c r="U87" i="2"/>
  <c r="I91" i="2"/>
  <c r="O80" i="2"/>
  <c r="O64" i="2"/>
  <c r="X75" i="2"/>
  <c r="U79" i="2"/>
  <c r="O85" i="2"/>
  <c r="F77" i="2"/>
  <c r="O72" i="2"/>
  <c r="R92" i="2"/>
  <c r="X80" i="2"/>
  <c r="F85" i="2"/>
  <c r="R86" i="2"/>
  <c r="O89" i="2"/>
  <c r="U97" i="2"/>
  <c r="L80" i="2"/>
  <c r="I83" i="2"/>
  <c r="X88" i="2"/>
  <c r="R55" i="18"/>
  <c r="R31" i="18"/>
  <c r="O4" i="18"/>
  <c r="U36" i="18"/>
  <c r="U28" i="18"/>
  <c r="U52" i="18"/>
  <c r="O63" i="18"/>
  <c r="O18" i="18"/>
  <c r="F19" i="18"/>
  <c r="U20" i="18"/>
  <c r="O22" i="18"/>
  <c r="I24" i="18"/>
  <c r="L25" i="18"/>
  <c r="O26" i="18"/>
  <c r="R27" i="18"/>
  <c r="F31" i="18"/>
  <c r="L57" i="18"/>
  <c r="L72" i="18"/>
  <c r="F72" i="18"/>
  <c r="X74" i="18"/>
  <c r="F39" i="18"/>
  <c r="U60" i="18"/>
  <c r="I69" i="18"/>
  <c r="X67" i="18"/>
  <c r="I86" i="18"/>
  <c r="U87" i="18"/>
  <c r="X62" i="18"/>
  <c r="R68" i="18"/>
  <c r="L74" i="18"/>
  <c r="L78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L70" i="18"/>
  <c r="I73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O96" i="18"/>
  <c r="F98" i="18"/>
  <c r="F79" i="18"/>
  <c r="O83" i="18"/>
  <c r="U84" i="18"/>
  <c r="R87" i="18"/>
  <c r="I96" i="18"/>
  <c r="O77" i="18"/>
  <c r="F86" i="18"/>
  <c r="X88" i="18"/>
  <c r="U91" i="18"/>
  <c r="R94" i="18"/>
  <c r="L100" i="18"/>
  <c r="I25" i="2"/>
  <c r="X43" i="2"/>
  <c r="L63" i="2"/>
  <c r="X81" i="18"/>
  <c r="L97" i="18"/>
  <c r="O90" i="18"/>
  <c r="O13" i="18"/>
  <c r="L77" i="18"/>
  <c r="O78" i="18"/>
  <c r="R22" i="18"/>
  <c r="O99" i="2"/>
  <c r="F61" i="2"/>
  <c r="X14" i="2"/>
  <c r="X42" i="2"/>
  <c r="U74" i="2"/>
  <c r="F69" i="2"/>
  <c r="F24" i="2"/>
  <c r="L30" i="2"/>
  <c r="I45" i="2"/>
  <c r="X22" i="2"/>
  <c r="O28" i="2"/>
  <c r="I17" i="2"/>
  <c r="X68" i="2"/>
  <c r="X48" i="2"/>
  <c r="U41" i="2"/>
  <c r="L46" i="2"/>
  <c r="X56" i="2"/>
  <c r="U67" i="2"/>
  <c r="F58" i="2"/>
  <c r="L60" i="2"/>
  <c r="L72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L33" i="18"/>
  <c r="X33" i="18"/>
  <c r="R39" i="18"/>
  <c r="I40" i="18"/>
  <c r="X57" i="18"/>
  <c r="O58" i="18"/>
  <c r="I20" i="18"/>
  <c r="L29" i="18"/>
  <c r="X29" i="18"/>
  <c r="O30" i="18"/>
  <c r="F47" i="18"/>
  <c r="X53" i="18"/>
  <c r="I80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X31" i="18"/>
  <c r="I67" i="18"/>
  <c r="U71" i="18"/>
  <c r="I14" i="18"/>
  <c r="O16" i="18"/>
  <c r="R17" i="18"/>
  <c r="L23" i="18"/>
  <c r="L28" i="18"/>
  <c r="X32" i="18"/>
  <c r="F34" i="18"/>
  <c r="F42" i="18"/>
  <c r="X48" i="18"/>
  <c r="F50" i="18"/>
  <c r="I51" i="18"/>
  <c r="L52" i="18"/>
  <c r="O53" i="18"/>
  <c r="R54" i="18"/>
  <c r="U55" i="18"/>
  <c r="X56" i="18"/>
  <c r="F58" i="18"/>
  <c r="I59" i="18"/>
  <c r="L60" i="18"/>
  <c r="R62" i="18"/>
  <c r="U63" i="18"/>
  <c r="L68" i="18"/>
  <c r="X72" i="18"/>
  <c r="O69" i="18"/>
  <c r="U85" i="18"/>
  <c r="F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X51" i="18"/>
  <c r="O52" i="18"/>
  <c r="U54" i="18"/>
  <c r="X55" i="18"/>
  <c r="O56" i="18"/>
  <c r="F57" i="18"/>
  <c r="U58" i="18"/>
  <c r="L59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L61" i="2"/>
  <c r="X61" i="2"/>
  <c r="F63" i="2"/>
  <c r="U32" i="2"/>
  <c r="L33" i="2"/>
  <c r="O42" i="2"/>
  <c r="R43" i="2"/>
  <c r="U44" i="2"/>
  <c r="F47" i="2"/>
  <c r="U53" i="2"/>
  <c r="I57" i="2"/>
  <c r="X58" i="2"/>
  <c r="F60" i="2"/>
  <c r="R60" i="2"/>
  <c r="I61" i="2"/>
  <c r="U61" i="2"/>
  <c r="L62" i="2"/>
  <c r="O67" i="2"/>
  <c r="R68" i="2"/>
  <c r="X70" i="2"/>
  <c r="F72" i="2"/>
  <c r="O75" i="2"/>
  <c r="I81" i="2"/>
  <c r="O83" i="2"/>
  <c r="R84" i="2"/>
  <c r="U85" i="2"/>
  <c r="F88" i="2"/>
  <c r="I89" i="2"/>
  <c r="I23" i="2"/>
  <c r="X28" i="2"/>
  <c r="R30" i="2"/>
  <c r="X32" i="2"/>
  <c r="L36" i="2"/>
  <c r="O37" i="2"/>
  <c r="X40" i="2"/>
  <c r="I48" i="2"/>
  <c r="L49" i="2"/>
  <c r="R51" i="2"/>
  <c r="U52" i="2"/>
  <c r="L57" i="2"/>
  <c r="R64" i="2"/>
  <c r="U65" i="2"/>
  <c r="X66" i="2"/>
  <c r="I69" i="2"/>
  <c r="L70" i="2"/>
  <c r="O71" i="2"/>
  <c r="R72" i="2"/>
  <c r="U73" i="2"/>
  <c r="X74" i="2"/>
  <c r="F76" i="2"/>
  <c r="I77" i="2"/>
  <c r="R80" i="2"/>
  <c r="U81" i="2"/>
  <c r="X82" i="2"/>
  <c r="F84" i="2"/>
  <c r="I85" i="2"/>
  <c r="U89" i="2"/>
  <c r="X90" i="2"/>
  <c r="F92" i="2"/>
  <c r="F93" i="2"/>
  <c r="I94" i="2"/>
  <c r="U98" i="2"/>
  <c r="L65" i="2"/>
  <c r="R67" i="2"/>
  <c r="U68" i="2"/>
  <c r="L69" i="2"/>
  <c r="I72" i="2"/>
  <c r="L73" i="2"/>
  <c r="R75" i="2"/>
  <c r="U76" i="2"/>
  <c r="L77" i="2"/>
  <c r="X77" i="2"/>
  <c r="I80" i="2"/>
  <c r="L81" i="2"/>
  <c r="O82" i="2"/>
  <c r="R83" i="2"/>
  <c r="U84" i="2"/>
  <c r="X85" i="2"/>
  <c r="I88" i="2"/>
  <c r="L89" i="2"/>
  <c r="O90" i="2"/>
  <c r="R91" i="2"/>
  <c r="L92" i="2"/>
  <c r="O93" i="2"/>
  <c r="R94" i="2"/>
  <c r="U95" i="2"/>
  <c r="X96" i="2"/>
  <c r="F98" i="2"/>
  <c r="L100" i="2"/>
  <c r="O19" i="2"/>
  <c r="X47" i="2"/>
  <c r="BR25" i="2" l="1"/>
  <c r="O25" i="2"/>
  <c r="BM79" i="2"/>
  <c r="L79" i="2"/>
  <c r="BR32" i="2"/>
  <c r="O32" i="2"/>
  <c r="I25" i="18"/>
  <c r="BW26" i="2"/>
  <c r="R26" i="2"/>
  <c r="BC33" i="2"/>
  <c r="F33" i="2"/>
  <c r="BH56" i="2"/>
  <c r="I56" i="2"/>
  <c r="BR95" i="2"/>
  <c r="O95" i="2"/>
  <c r="BR35" i="2"/>
  <c r="O35" i="2"/>
  <c r="CG45" i="2"/>
  <c r="X45" i="2"/>
  <c r="BC66" i="2"/>
  <c r="F66" i="2"/>
  <c r="BR66" i="2"/>
  <c r="O66" i="2"/>
  <c r="BM71" i="2"/>
  <c r="L71" i="2"/>
  <c r="BC23" i="18"/>
  <c r="F23" i="18"/>
  <c r="BH64" i="2"/>
  <c r="CF81" i="2"/>
  <c r="X81" i="2" s="1"/>
  <c r="BV95" i="2"/>
  <c r="BW95" i="2" s="1"/>
  <c r="F45" i="2"/>
  <c r="F71" i="2"/>
  <c r="R97" i="2"/>
  <c r="O87" i="2"/>
  <c r="L78" i="2"/>
  <c r="I35" i="2"/>
  <c r="L24" i="2"/>
  <c r="I65" i="2"/>
  <c r="O61" i="2"/>
  <c r="I37" i="2"/>
  <c r="L98" i="2"/>
  <c r="O74" i="2"/>
  <c r="R56" i="2"/>
  <c r="F87" i="2"/>
  <c r="F79" i="2"/>
  <c r="O96" i="2"/>
  <c r="L86" i="2"/>
  <c r="F68" i="2"/>
  <c r="O50" i="2"/>
  <c r="F34" i="2"/>
  <c r="X78" i="2"/>
  <c r="O63" i="2"/>
  <c r="I28" i="2"/>
  <c r="I32" i="18"/>
  <c r="F90" i="2"/>
  <c r="L42" i="2"/>
  <c r="F41" i="2"/>
  <c r="R5" i="18"/>
  <c r="O77" i="2"/>
  <c r="I70" i="2"/>
  <c r="I55" i="2"/>
  <c r="U33" i="2"/>
  <c r="F95" i="2"/>
  <c r="L28" i="2"/>
  <c r="BM24" i="2"/>
  <c r="BH34" i="2"/>
  <c r="BM36" i="2"/>
  <c r="BC51" i="2"/>
  <c r="BR56" i="2"/>
  <c r="CB60" i="2"/>
  <c r="CB74" i="2"/>
  <c r="BC88" i="2"/>
  <c r="BR88" i="2"/>
  <c r="BC91" i="2"/>
  <c r="CG91" i="2"/>
  <c r="BM92" i="2"/>
  <c r="CB92" i="2"/>
  <c r="CB98" i="2"/>
  <c r="BH99" i="2"/>
  <c r="CG99" i="2"/>
  <c r="BH100" i="2"/>
  <c r="CG29" i="18"/>
  <c r="BH42" i="18"/>
  <c r="BC63" i="2"/>
  <c r="CG67" i="2"/>
  <c r="BM68" i="2"/>
  <c r="BC80" i="2"/>
  <c r="BR82" i="2"/>
  <c r="CB41" i="2"/>
  <c r="CB53" i="2"/>
  <c r="CB24" i="18"/>
  <c r="CA24" i="18"/>
  <c r="U24" i="18" s="1"/>
  <c r="CF25" i="18"/>
  <c r="X25" i="18" s="1"/>
  <c r="BC31" i="18"/>
  <c r="BL53" i="18"/>
  <c r="L53" i="18" s="1"/>
  <c r="BM53" i="18"/>
  <c r="AB88" i="18"/>
  <c r="R20" i="2"/>
  <c r="O27" i="2"/>
  <c r="X35" i="2"/>
  <c r="BL31" i="2"/>
  <c r="L31" i="2" s="1"/>
  <c r="BH35" i="2"/>
  <c r="BR36" i="2"/>
  <c r="BR42" i="2"/>
  <c r="BW73" i="2"/>
  <c r="CB34" i="2"/>
  <c r="CB50" i="2"/>
  <c r="BG25" i="18"/>
  <c r="BH25" i="18"/>
  <c r="BC59" i="18"/>
  <c r="BB59" i="18"/>
  <c r="F59" i="18" s="1"/>
  <c r="BR59" i="18"/>
  <c r="BH60" i="18"/>
  <c r="BG60" i="18"/>
  <c r="I60" i="18" s="1"/>
  <c r="BM58" i="2"/>
  <c r="BH62" i="2"/>
  <c r="CA66" i="2"/>
  <c r="CB66" i="2" s="1"/>
  <c r="BG67" i="2"/>
  <c r="I67" i="2" s="1"/>
  <c r="CG72" i="2"/>
  <c r="BR77" i="2"/>
  <c r="CG78" i="2"/>
  <c r="BC24" i="18"/>
  <c r="BH28" i="18"/>
  <c r="BR34" i="18"/>
  <c r="CA49" i="18"/>
  <c r="U49" i="18" s="1"/>
  <c r="CG50" i="18"/>
  <c r="BV51" i="18"/>
  <c r="R51" i="18" s="1"/>
  <c r="BQ59" i="18"/>
  <c r="O59" i="18" s="1"/>
  <c r="BR28" i="2"/>
  <c r="CG28" i="2"/>
  <c r="BM32" i="2"/>
  <c r="CG34" i="2"/>
  <c r="BC43" i="2"/>
  <c r="CG43" i="2"/>
  <c r="BH48" i="2"/>
  <c r="BH49" i="2"/>
  <c r="BB50" i="2"/>
  <c r="F50" i="2" s="1"/>
  <c r="BC53" i="2"/>
  <c r="BL54" i="2"/>
  <c r="BM54" i="2" s="1"/>
  <c r="BL58" i="2"/>
  <c r="L58" i="2" s="1"/>
  <c r="BH65" i="2"/>
  <c r="BR72" i="2"/>
  <c r="CF72" i="2"/>
  <c r="X72" i="2" s="1"/>
  <c r="BR75" i="2"/>
  <c r="CG75" i="2"/>
  <c r="BH77" i="2"/>
  <c r="BL84" i="2"/>
  <c r="L84" i="2" s="1"/>
  <c r="BR85" i="2"/>
  <c r="BR86" i="2"/>
  <c r="BC93" i="2"/>
  <c r="BM100" i="2"/>
  <c r="CB71" i="2"/>
  <c r="CG46" i="2"/>
  <c r="CG70" i="2"/>
  <c r="BW22" i="18"/>
  <c r="CB23" i="18"/>
  <c r="BG28" i="18"/>
  <c r="I28" i="18" s="1"/>
  <c r="BQ34" i="18"/>
  <c r="O34" i="18" s="1"/>
  <c r="BC49" i="18"/>
  <c r="BL65" i="18"/>
  <c r="L65" i="18" s="1"/>
  <c r="BM65" i="18"/>
  <c r="CK88" i="18"/>
  <c r="AP88" i="18" s="1"/>
  <c r="L27" i="2"/>
  <c r="BC46" i="2"/>
  <c r="BR53" i="2"/>
  <c r="CG58" i="2"/>
  <c r="BR61" i="2"/>
  <c r="BM62" i="2"/>
  <c r="BR64" i="2"/>
  <c r="CB84" i="2"/>
  <c r="BL51" i="18"/>
  <c r="L51" i="18" s="1"/>
  <c r="BM21" i="18"/>
  <c r="CA25" i="18"/>
  <c r="U25" i="18" s="1"/>
  <c r="CB25" i="18"/>
  <c r="AZ2" i="2"/>
  <c r="A2" i="2" s="1"/>
  <c r="AW2" i="12" s="1"/>
  <c r="AZ2" i="18"/>
  <c r="A2" i="18" s="1"/>
  <c r="AX2" i="12" s="1"/>
  <c r="R99" i="2"/>
  <c r="R52" i="18"/>
  <c r="BW30" i="2"/>
  <c r="BC32" i="2"/>
  <c r="BH36" i="2"/>
  <c r="BR38" i="2"/>
  <c r="CB39" i="2"/>
  <c r="BM42" i="2"/>
  <c r="BH43" i="2"/>
  <c r="BM45" i="2"/>
  <c r="BC47" i="2"/>
  <c r="BG64" i="2"/>
  <c r="I64" i="2" s="1"/>
  <c r="BM65" i="2"/>
  <c r="BW68" i="2"/>
  <c r="BL74" i="2"/>
  <c r="L74" i="2" s="1"/>
  <c r="BM77" i="2"/>
  <c r="BW83" i="2"/>
  <c r="BW89" i="2"/>
  <c r="BH91" i="2"/>
  <c r="BL21" i="18"/>
  <c r="L21" i="18" s="1"/>
  <c r="BM62" i="18"/>
  <c r="BB27" i="18"/>
  <c r="F27" i="18" s="1"/>
  <c r="CB28" i="18"/>
  <c r="CB41" i="18"/>
  <c r="BW44" i="18"/>
  <c r="CG54" i="18"/>
  <c r="BR69" i="18"/>
  <c r="BR70" i="18"/>
  <c r="BC75" i="18"/>
  <c r="BB75" i="18"/>
  <c r="F75" i="18" s="1"/>
  <c r="BH80" i="18"/>
  <c r="CA96" i="18"/>
  <c r="U96" i="18" s="1"/>
  <c r="BW51" i="2"/>
  <c r="BH61" i="2"/>
  <c r="BW70" i="2"/>
  <c r="BW86" i="2"/>
  <c r="CG69" i="2"/>
  <c r="BC19" i="18"/>
  <c r="BH20" i="18"/>
  <c r="BQ28" i="18"/>
  <c r="O28" i="18" s="1"/>
  <c r="CA32" i="18"/>
  <c r="U32" i="18" s="1"/>
  <c r="CB33" i="18"/>
  <c r="CB40" i="18"/>
  <c r="CA40" i="18"/>
  <c r="U40" i="18" s="1"/>
  <c r="BM49" i="18"/>
  <c r="BQ60" i="18"/>
  <c r="O60" i="18" s="1"/>
  <c r="BR60" i="18"/>
  <c r="CG62" i="18"/>
  <c r="CF64" i="18"/>
  <c r="X64" i="18" s="1"/>
  <c r="BR75" i="18"/>
  <c r="BM78" i="18"/>
  <c r="BV80" i="18"/>
  <c r="R80" i="18" s="1"/>
  <c r="BR82" i="18"/>
  <c r="BR88" i="18"/>
  <c r="BW91" i="18"/>
  <c r="CB93" i="18"/>
  <c r="BW64" i="18"/>
  <c r="BV64" i="18"/>
  <c r="R64" i="18" s="1"/>
  <c r="CA74" i="18"/>
  <c r="U74" i="18" s="1"/>
  <c r="BH84" i="18"/>
  <c r="CB92" i="18"/>
  <c r="BB99" i="18"/>
  <c r="F99" i="18" s="1"/>
  <c r="BH100" i="18"/>
  <c r="BR18" i="18"/>
  <c r="BM29" i="18"/>
  <c r="BR30" i="18"/>
  <c r="BR31" i="18"/>
  <c r="BW32" i="18"/>
  <c r="CG32" i="18"/>
  <c r="CG42" i="18"/>
  <c r="CB58" i="18"/>
  <c r="BW60" i="18"/>
  <c r="BV60" i="18"/>
  <c r="R60" i="18" s="1"/>
  <c r="CA66" i="18"/>
  <c r="U66" i="18" s="1"/>
  <c r="CB66" i="18"/>
  <c r="BW68" i="18"/>
  <c r="BC72" i="18"/>
  <c r="CB72" i="18"/>
  <c r="BQ74" i="18"/>
  <c r="O74" i="18" s="1"/>
  <c r="BW75" i="18"/>
  <c r="BC95" i="18"/>
  <c r="BW100" i="18"/>
  <c r="AZ8" i="18"/>
  <c r="A8" i="18" s="1"/>
  <c r="AX8" i="12" s="1"/>
  <c r="BR38" i="18"/>
  <c r="BC44" i="18"/>
  <c r="CA50" i="18"/>
  <c r="U50" i="18" s="1"/>
  <c r="BC61" i="18"/>
  <c r="BC76" i="18"/>
  <c r="BM76" i="18"/>
  <c r="BR79" i="18"/>
  <c r="BR51" i="2"/>
  <c r="BC59" i="2"/>
  <c r="BW72" i="2"/>
  <c r="BH80" i="2"/>
  <c r="CG83" i="2"/>
  <c r="BH86" i="2"/>
  <c r="CB96" i="2"/>
  <c r="BC98" i="2"/>
  <c r="BR98" i="2"/>
  <c r="CG98" i="2"/>
  <c r="BC20" i="18"/>
  <c r="BM28" i="18"/>
  <c r="BG36" i="18"/>
  <c r="I36" i="18" s="1"/>
  <c r="BQ38" i="18"/>
  <c r="O38" i="18" s="1"/>
  <c r="BR39" i="18"/>
  <c r="BL41" i="18"/>
  <c r="L41" i="18" s="1"/>
  <c r="BH48" i="18"/>
  <c r="BH49" i="18"/>
  <c r="BC52" i="18"/>
  <c r="BG54" i="18"/>
  <c r="I54" i="18" s="1"/>
  <c r="BW55" i="18"/>
  <c r="BB61" i="18"/>
  <c r="F61" i="18" s="1"/>
  <c r="CB61" i="18"/>
  <c r="CB65" i="18"/>
  <c r="BC66" i="18"/>
  <c r="BR71" i="18"/>
  <c r="BB76" i="18"/>
  <c r="F76" i="18" s="1"/>
  <c r="BC79" i="18"/>
  <c r="BQ79" i="18"/>
  <c r="O79" i="18" s="1"/>
  <c r="BC87" i="18"/>
  <c r="BG92" i="18"/>
  <c r="I92" i="18" s="1"/>
  <c r="BM93" i="18"/>
  <c r="BM47" i="18"/>
  <c r="BM87" i="18"/>
  <c r="AZ11" i="18"/>
  <c r="A11" i="18" s="1"/>
  <c r="AX11" i="12" s="1"/>
  <c r="BH21" i="18"/>
  <c r="BB28" i="18"/>
  <c r="F28" i="18" s="1"/>
  <c r="BC28" i="18"/>
  <c r="BL37" i="18"/>
  <c r="L37" i="18" s="1"/>
  <c r="BW39" i="18"/>
  <c r="CB42" i="18"/>
  <c r="BW45" i="18"/>
  <c r="CG47" i="18"/>
  <c r="BG48" i="18"/>
  <c r="I48" i="18" s="1"/>
  <c r="BR52" i="18"/>
  <c r="CB52" i="18"/>
  <c r="BC57" i="18"/>
  <c r="BM60" i="18"/>
  <c r="BR61" i="18"/>
  <c r="BQ61" i="18"/>
  <c r="O61" i="18" s="1"/>
  <c r="CA65" i="18"/>
  <c r="U65" i="18" s="1"/>
  <c r="BH67" i="18"/>
  <c r="CB69" i="18"/>
  <c r="BQ71" i="18"/>
  <c r="O71" i="18" s="1"/>
  <c r="BG72" i="18"/>
  <c r="I72" i="18" s="1"/>
  <c r="AB72" i="18" s="1"/>
  <c r="BH72" i="18"/>
  <c r="BH77" i="18"/>
  <c r="BH78" i="18"/>
  <c r="BM82" i="18"/>
  <c r="CB84" i="18"/>
  <c r="BR90" i="18"/>
  <c r="BL93" i="18"/>
  <c r="L93" i="18" s="1"/>
  <c r="BQ94" i="18"/>
  <c r="O94" i="18" s="1"/>
  <c r="BW95" i="18"/>
  <c r="BM100" i="18"/>
  <c r="CB100" i="18"/>
  <c r="AZ5" i="2"/>
  <c r="A5" i="2" s="1"/>
  <c r="AW5" i="12" s="1"/>
  <c r="AZ6" i="2"/>
  <c r="A6" i="2" s="1"/>
  <c r="AW6" i="12" s="1"/>
  <c r="BH69" i="18"/>
  <c r="CG81" i="18"/>
  <c r="BH85" i="18"/>
  <c r="BM89" i="18"/>
  <c r="CB89" i="18"/>
  <c r="BC91" i="18"/>
  <c r="BH96" i="18"/>
  <c r="BM81" i="18"/>
  <c r="AZ9" i="18"/>
  <c r="A9" i="18" s="1"/>
  <c r="AX9" i="12" s="1"/>
  <c r="BW67" i="18"/>
  <c r="CB76" i="18"/>
  <c r="CG93" i="18"/>
  <c r="BM48" i="2"/>
  <c r="BM53" i="2"/>
  <c r="BR63" i="2"/>
  <c r="BH69" i="2"/>
  <c r="BR69" i="2"/>
  <c r="BM73" i="2"/>
  <c r="BR78" i="2"/>
  <c r="BH81" i="2"/>
  <c r="BM89" i="2"/>
  <c r="BC17" i="18"/>
  <c r="BR23" i="18"/>
  <c r="BW31" i="18"/>
  <c r="CG33" i="18"/>
  <c r="BH37" i="18"/>
  <c r="BH57" i="18"/>
  <c r="BW58" i="18"/>
  <c r="BC68" i="18"/>
  <c r="BR87" i="18"/>
  <c r="BW88" i="18"/>
  <c r="CG97" i="18"/>
  <c r="BW99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BC2" i="18"/>
  <c r="F2" i="18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 s="1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X30" i="18"/>
  <c r="CA3" i="18"/>
  <c r="U3" i="18" s="1"/>
  <c r="CB5" i="18"/>
  <c r="L17" i="18"/>
  <c r="BM17" i="18"/>
  <c r="BC26" i="18"/>
  <c r="F26" i="18"/>
  <c r="L30" i="18"/>
  <c r="BM30" i="18"/>
  <c r="BM36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Q33" i="18"/>
  <c r="O33" i="18" s="1"/>
  <c r="BV34" i="18"/>
  <c r="R34" i="18" s="1"/>
  <c r="CG49" i="18"/>
  <c r="CF49" i="18"/>
  <c r="X49" i="18" s="1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AB24" i="18" s="1"/>
  <c r="BV25" i="18"/>
  <c r="R25" i="18" s="1"/>
  <c r="CA26" i="18"/>
  <c r="U26" i="18" s="1"/>
  <c r="CF27" i="18"/>
  <c r="X27" i="18" s="1"/>
  <c r="BH30" i="18"/>
  <c r="BG35" i="18"/>
  <c r="I35" i="18" s="1"/>
  <c r="BR35" i="18"/>
  <c r="CA35" i="18"/>
  <c r="U35" i="18" s="1"/>
  <c r="BG44" i="18"/>
  <c r="I44" i="18" s="1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G30" i="18"/>
  <c r="I30" i="18" s="1"/>
  <c r="BL31" i="18"/>
  <c r="L31" i="18" s="1"/>
  <c r="BL36" i="18"/>
  <c r="L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BW43" i="18"/>
  <c r="CG43" i="18"/>
  <c r="BC47" i="18"/>
  <c r="BW47" i="18"/>
  <c r="BV47" i="18"/>
  <c r="R47" i="18" s="1"/>
  <c r="CK47" i="18" s="1"/>
  <c r="AP47" i="18" s="1"/>
  <c r="BB54" i="18"/>
  <c r="F54" i="18" s="1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B78" i="18"/>
  <c r="F78" i="18" s="1"/>
  <c r="BQ80" i="18"/>
  <c r="O80" i="18" s="1"/>
  <c r="BR80" i="18"/>
  <c r="CB80" i="18"/>
  <c r="BC96" i="18"/>
  <c r="CF59" i="18"/>
  <c r="X59" i="18" s="1"/>
  <c r="BM61" i="18"/>
  <c r="CB64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CG57" i="18"/>
  <c r="BG58" i="18"/>
  <c r="I58" i="18" s="1"/>
  <c r="AB58" i="18" s="1"/>
  <c r="BM59" i="18"/>
  <c r="BV59" i="18"/>
  <c r="R59" i="18" s="1"/>
  <c r="CB60" i="18"/>
  <c r="BL61" i="18"/>
  <c r="L61" i="18" s="1"/>
  <c r="BG62" i="18"/>
  <c r="I62" i="18" s="1"/>
  <c r="BC63" i="18"/>
  <c r="BV63" i="18"/>
  <c r="R63" i="18" s="1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G43" i="18"/>
  <c r="I43" i="18" s="1"/>
  <c r="BL44" i="18"/>
  <c r="L44" i="18" s="1"/>
  <c r="BQ45" i="18"/>
  <c r="O45" i="18" s="1"/>
  <c r="BC46" i="18"/>
  <c r="CG46" i="18"/>
  <c r="CA53" i="18"/>
  <c r="U53" i="18" s="1"/>
  <c r="BW54" i="18"/>
  <c r="BG55" i="18"/>
  <c r="I55" i="18" s="1"/>
  <c r="BV57" i="18"/>
  <c r="R57" i="18" s="1"/>
  <c r="CF61" i="18"/>
  <c r="X61" i="18" s="1"/>
  <c r="BG64" i="18"/>
  <c r="I64" i="18" s="1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G90" i="18"/>
  <c r="I90" i="18" s="1"/>
  <c r="BL91" i="18"/>
  <c r="L91" i="18" s="1"/>
  <c r="AB91" i="18" s="1"/>
  <c r="BQ92" i="18"/>
  <c r="O92" i="18" s="1"/>
  <c r="BV93" i="18"/>
  <c r="R93" i="18" s="1"/>
  <c r="CA94" i="18"/>
  <c r="U94" i="18" s="1"/>
  <c r="CF95" i="18"/>
  <c r="X95" i="18" s="1"/>
  <c r="BB97" i="18"/>
  <c r="F97" i="18" s="1"/>
  <c r="BG98" i="18"/>
  <c r="I98" i="18" s="1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Q84" i="18"/>
  <c r="O84" i="18" s="1"/>
  <c r="CK84" i="18" s="1"/>
  <c r="AP84" i="18" s="1"/>
  <c r="BH61" i="18"/>
  <c r="BR63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BV50" i="18"/>
  <c r="R50" i="18" s="1"/>
  <c r="AB50" i="18" s="1"/>
  <c r="CA51" i="18"/>
  <c r="U51" i="18" s="1"/>
  <c r="BL55" i="18"/>
  <c r="L55" i="18" s="1"/>
  <c r="BB56" i="18"/>
  <c r="F56" i="18" s="1"/>
  <c r="BQ62" i="18"/>
  <c r="O62" i="18" s="1"/>
  <c r="CA64" i="18"/>
  <c r="U64" i="18" s="1"/>
  <c r="BL66" i="18"/>
  <c r="L66" i="18" s="1"/>
  <c r="BW66" i="18"/>
  <c r="CG67" i="18"/>
  <c r="BQ68" i="18"/>
  <c r="O68" i="18" s="1"/>
  <c r="CK68" i="18" s="1"/>
  <c r="AP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A86" i="18"/>
  <c r="U86" i="18" s="1"/>
  <c r="BC90" i="18"/>
  <c r="BV90" i="18"/>
  <c r="R90" i="18" s="1"/>
  <c r="CB91" i="18"/>
  <c r="BC92" i="18"/>
  <c r="CG92" i="18"/>
  <c r="BR95" i="18"/>
  <c r="BG53" i="18"/>
  <c r="I53" i="18" s="1"/>
  <c r="CG53" i="18"/>
  <c r="CA57" i="18"/>
  <c r="U57" i="18" s="1"/>
  <c r="BR58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BM30" i="2"/>
  <c r="BB39" i="2"/>
  <c r="F39" i="2" s="1"/>
  <c r="BG42" i="2"/>
  <c r="I42" i="2" s="1"/>
  <c r="BB44" i="2"/>
  <c r="F44" i="2" s="1"/>
  <c r="CB47" i="2"/>
  <c r="CA47" i="2"/>
  <c r="U47" i="2" s="1"/>
  <c r="BL52" i="2"/>
  <c r="L52" i="2" s="1"/>
  <c r="BG8" i="2"/>
  <c r="I8" i="2" s="1"/>
  <c r="BL17" i="2"/>
  <c r="L17" i="2" s="1"/>
  <c r="BQ26" i="2"/>
  <c r="O26" i="2" s="1"/>
  <c r="CA29" i="2"/>
  <c r="U29" i="2" s="1"/>
  <c r="CG31" i="2"/>
  <c r="BB36" i="2"/>
  <c r="F36" i="2" s="1"/>
  <c r="BV40" i="2"/>
  <c r="R40" i="2" s="1"/>
  <c r="BH41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L37" i="2"/>
  <c r="BM37" i="2" s="1"/>
  <c r="CF41" i="2"/>
  <c r="CG41" i="2" s="1"/>
  <c r="BQ43" i="2"/>
  <c r="O43" i="2" s="1"/>
  <c r="BR46" i="2"/>
  <c r="BQ47" i="2"/>
  <c r="O47" i="2" s="1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B23" i="2"/>
  <c r="F23" i="2" s="1"/>
  <c r="CF23" i="2"/>
  <c r="X23" i="2" s="1"/>
  <c r="BB28" i="2"/>
  <c r="F28" i="2" s="1"/>
  <c r="BL34" i="2"/>
  <c r="L34" i="2" s="1"/>
  <c r="CB36" i="2"/>
  <c r="CA36" i="2"/>
  <c r="U36" i="2" s="1"/>
  <c r="BL41" i="2"/>
  <c r="L41" i="2" s="1"/>
  <c r="BG47" i="2"/>
  <c r="I47" i="2" s="1"/>
  <c r="CG48" i="2"/>
  <c r="BC55" i="2"/>
  <c r="CA56" i="2"/>
  <c r="CB56" i="2" s="1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CA25" i="2"/>
  <c r="U25" i="2" s="1"/>
  <c r="BM26" i="2"/>
  <c r="CF30" i="2"/>
  <c r="CG30" i="2" s="1"/>
  <c r="BG31" i="2"/>
  <c r="BH31" i="2" s="1"/>
  <c r="BR33" i="2"/>
  <c r="BC34" i="2"/>
  <c r="BB35" i="2"/>
  <c r="F35" i="2" s="1"/>
  <c r="BV39" i="2"/>
  <c r="BW39" i="2" s="1"/>
  <c r="BW43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V32" i="2"/>
  <c r="R32" i="2" s="1"/>
  <c r="CG35" i="2"/>
  <c r="BR40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F53" i="2"/>
  <c r="X53" i="2" s="1"/>
  <c r="CK53" i="2" s="1"/>
  <c r="AP53" i="2" s="1"/>
  <c r="CA62" i="2"/>
  <c r="CB62" i="2" s="1"/>
  <c r="BB64" i="2"/>
  <c r="F64" i="2" s="1"/>
  <c r="BH67" i="2"/>
  <c r="BC77" i="2"/>
  <c r="BB78" i="2"/>
  <c r="BC78" i="2" s="1"/>
  <c r="CA86" i="2"/>
  <c r="CB86" i="2" s="1"/>
  <c r="BG87" i="2"/>
  <c r="I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L67" i="2"/>
  <c r="L67" i="2" s="1"/>
  <c r="BH75" i="2"/>
  <c r="CA77" i="2"/>
  <c r="U77" i="2" s="1"/>
  <c r="BR81" i="2"/>
  <c r="BL82" i="2"/>
  <c r="L82" i="2" s="1"/>
  <c r="BH83" i="2"/>
  <c r="BG95" i="2"/>
  <c r="BH95" i="2" s="1"/>
  <c r="CF76" i="2"/>
  <c r="X76" i="2" s="1"/>
  <c r="BW55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BQ100" i="2"/>
  <c r="BR100" i="2" s="1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A42" i="2"/>
  <c r="U42" i="2" s="1"/>
  <c r="BV50" i="2"/>
  <c r="R50" i="2" s="1"/>
  <c r="BC52" i="2"/>
  <c r="BB55" i="2"/>
  <c r="F55" i="2" s="1"/>
  <c r="BL55" i="2"/>
  <c r="BM55" i="2" s="1"/>
  <c r="BV58" i="2"/>
  <c r="R58" i="2" s="1"/>
  <c r="CA64" i="2"/>
  <c r="U64" i="2" s="1"/>
  <c r="BB65" i="2"/>
  <c r="BC65" i="2" s="1"/>
  <c r="BV65" i="2"/>
  <c r="R65" i="2" s="1"/>
  <c r="CF73" i="2"/>
  <c r="X73" i="2" s="1"/>
  <c r="BH74" i="2"/>
  <c r="BG74" i="2"/>
  <c r="BB75" i="2"/>
  <c r="F75" i="2" s="1"/>
  <c r="BV76" i="2"/>
  <c r="R76" i="2" s="1"/>
  <c r="BB83" i="2"/>
  <c r="F83" i="2" s="1"/>
  <c r="BL90" i="2"/>
  <c r="L90" i="2" s="1"/>
  <c r="BV90" i="2"/>
  <c r="R90" i="2" s="1"/>
  <c r="CF97" i="2"/>
  <c r="X97" i="2" s="1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CG27" i="2" s="1"/>
  <c r="BV28" i="2"/>
  <c r="R28" i="2" s="1"/>
  <c r="CK28" i="2" s="1"/>
  <c r="AP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O41" i="2" s="1"/>
  <c r="BL43" i="2"/>
  <c r="L43" i="2" s="1"/>
  <c r="CF44" i="2"/>
  <c r="CG44" i="2" s="1"/>
  <c r="CA48" i="2"/>
  <c r="U48" i="2" s="1"/>
  <c r="CF50" i="2"/>
  <c r="X50" i="2" s="1"/>
  <c r="CB54" i="2"/>
  <c r="BQ70" i="2"/>
  <c r="O70" i="2" s="1"/>
  <c r="BC87" i="2"/>
  <c r="CF87" i="2"/>
  <c r="CG87" i="2" s="1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B73" i="2"/>
  <c r="BC73" i="2" s="1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F100" i="2"/>
  <c r="CG100" i="2" s="1"/>
  <c r="BL47" i="2"/>
  <c r="L47" i="2" s="1"/>
  <c r="BG51" i="2"/>
  <c r="I51" i="2" s="1"/>
  <c r="CF51" i="2"/>
  <c r="X51" i="2" s="1"/>
  <c r="CF52" i="2"/>
  <c r="CG52" i="2" s="1"/>
  <c r="CF57" i="2"/>
  <c r="X57" i="2" s="1"/>
  <c r="BV59" i="2"/>
  <c r="R59" i="2" s="1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F56" i="2" s="1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G73" i="2"/>
  <c r="I73" i="2" s="1"/>
  <c r="CG77" i="2"/>
  <c r="CA78" i="2"/>
  <c r="CB78" i="2" s="1"/>
  <c r="BV79" i="2"/>
  <c r="BW79" i="2" s="1"/>
  <c r="BW81" i="2"/>
  <c r="BV82" i="2"/>
  <c r="R82" i="2" s="1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F79" i="2"/>
  <c r="X79" i="2" s="1"/>
  <c r="BQ84" i="2"/>
  <c r="BR84" i="2" s="1"/>
  <c r="BB89" i="2"/>
  <c r="BC89" i="2" s="1"/>
  <c r="BV93" i="2"/>
  <c r="R93" i="2" s="1"/>
  <c r="BG98" i="2"/>
  <c r="BH98" i="2" s="1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R71" i="2" s="1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BQ94" i="2"/>
  <c r="O94" i="2" s="1"/>
  <c r="BW96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V85" i="2"/>
  <c r="R85" i="2" s="1"/>
  <c r="CG85" i="2"/>
  <c r="BL88" i="2"/>
  <c r="BG90" i="2"/>
  <c r="BH90" i="2" s="1"/>
  <c r="BR90" i="2"/>
  <c r="CF92" i="2"/>
  <c r="X92" i="2" s="1"/>
  <c r="CA94" i="2"/>
  <c r="CB94" i="2" s="1"/>
  <c r="BQ97" i="2"/>
  <c r="BR97" i="2" s="1"/>
  <c r="BL99" i="2"/>
  <c r="BM99" i="2" s="1"/>
  <c r="BW99" i="2"/>
  <c r="BC95" i="2"/>
  <c r="CB100" i="2"/>
  <c r="I2" i="2"/>
  <c r="L32" i="2"/>
  <c r="AB32" i="2" s="1"/>
  <c r="F100" i="2"/>
  <c r="F20" i="2"/>
  <c r="O29" i="2"/>
  <c r="U31" i="2"/>
  <c r="U6" i="2"/>
  <c r="I43" i="2"/>
  <c r="X30" i="2"/>
  <c r="U40" i="2"/>
  <c r="O81" i="2"/>
  <c r="F91" i="2"/>
  <c r="X15" i="2"/>
  <c r="F3" i="2"/>
  <c r="F25" i="2"/>
  <c r="I66" i="2"/>
  <c r="U66" i="2"/>
  <c r="O46" i="2"/>
  <c r="F51" i="2"/>
  <c r="U58" i="2"/>
  <c r="U90" i="2"/>
  <c r="R4" i="2"/>
  <c r="I58" i="2"/>
  <c r="F65" i="2"/>
  <c r="I74" i="2"/>
  <c r="U99" i="2"/>
  <c r="F11" i="2"/>
  <c r="R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O86" i="2"/>
  <c r="O33" i="2"/>
  <c r="R47" i="2"/>
  <c r="I52" i="2"/>
  <c r="O60" i="2"/>
  <c r="R61" i="2"/>
  <c r="F67" i="2"/>
  <c r="L91" i="2"/>
  <c r="R39" i="2"/>
  <c r="I44" i="2"/>
  <c r="O76" i="2"/>
  <c r="R77" i="2"/>
  <c r="AB77" i="2" s="1"/>
  <c r="I78" i="2"/>
  <c r="R87" i="2"/>
  <c r="X41" i="2"/>
  <c r="X99" i="2"/>
  <c r="X100" i="2"/>
  <c r="X36" i="2"/>
  <c r="F78" i="2"/>
  <c r="O84" i="2"/>
  <c r="I86" i="2"/>
  <c r="R95" i="2"/>
  <c r="I31" i="2"/>
  <c r="O38" i="2"/>
  <c r="F43" i="2"/>
  <c r="U45" i="2"/>
  <c r="X46" i="2"/>
  <c r="I49" i="2"/>
  <c r="L50" i="2"/>
  <c r="O51" i="2"/>
  <c r="R52" i="2"/>
  <c r="U55" i="2"/>
  <c r="U59" i="2"/>
  <c r="L95" i="2"/>
  <c r="L83" i="2"/>
  <c r="O92" i="2"/>
  <c r="F97" i="2"/>
  <c r="L40" i="2"/>
  <c r="R42" i="2"/>
  <c r="U43" i="2"/>
  <c r="X44" i="2"/>
  <c r="F46" i="2"/>
  <c r="L48" i="2"/>
  <c r="O49" i="2"/>
  <c r="U51" i="2"/>
  <c r="U56" i="2"/>
  <c r="O57" i="2"/>
  <c r="CK57" i="2" s="1"/>
  <c r="AP57" i="2" s="1"/>
  <c r="F59" i="2"/>
  <c r="L59" i="2"/>
  <c r="X63" i="2"/>
  <c r="O65" i="2"/>
  <c r="U72" i="2"/>
  <c r="AB72" i="2" s="1"/>
  <c r="F73" i="2"/>
  <c r="R74" i="2"/>
  <c r="F89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87" i="2" l="1"/>
  <c r="U62" i="2"/>
  <c r="AB62" i="2" s="1"/>
  <c r="X38" i="2"/>
  <c r="BH73" i="2"/>
  <c r="BW58" i="2"/>
  <c r="BR41" i="2"/>
  <c r="BW24" i="2"/>
  <c r="BH93" i="18"/>
  <c r="CB57" i="18"/>
  <c r="BR84" i="18"/>
  <c r="AB61" i="18"/>
  <c r="BC73" i="18"/>
  <c r="AB19" i="18"/>
  <c r="BC54" i="18"/>
  <c r="CK36" i="18"/>
  <c r="AP36" i="18" s="1"/>
  <c r="CG65" i="18"/>
  <c r="CB48" i="18"/>
  <c r="BM27" i="18"/>
  <c r="BC14" i="18"/>
  <c r="BR24" i="18"/>
  <c r="BM32" i="18"/>
  <c r="BM37" i="18"/>
  <c r="CK72" i="18"/>
  <c r="AP72" i="18" s="1"/>
  <c r="L54" i="2"/>
  <c r="CB74" i="18"/>
  <c r="CB32" i="18"/>
  <c r="BM51" i="18"/>
  <c r="CB49" i="18"/>
  <c r="BM31" i="2"/>
  <c r="BW85" i="2"/>
  <c r="CG79" i="2"/>
  <c r="BC56" i="2"/>
  <c r="BR48" i="2"/>
  <c r="CG97" i="2"/>
  <c r="BC23" i="2"/>
  <c r="BR47" i="2"/>
  <c r="BC44" i="2"/>
  <c r="AB53" i="2"/>
  <c r="BR68" i="18"/>
  <c r="BR81" i="18"/>
  <c r="CB94" i="18"/>
  <c r="BH64" i="18"/>
  <c r="BW46" i="18"/>
  <c r="CK59" i="18"/>
  <c r="AP59" i="18" s="1"/>
  <c r="BC78" i="18"/>
  <c r="BH44" i="18"/>
  <c r="BM75" i="18"/>
  <c r="BM45" i="18"/>
  <c r="BR21" i="18"/>
  <c r="BM48" i="18"/>
  <c r="BC37" i="18"/>
  <c r="BH20" i="2"/>
  <c r="CB50" i="18"/>
  <c r="CG25" i="18"/>
  <c r="CK76" i="2"/>
  <c r="AP76" i="2" s="1"/>
  <c r="BW29" i="18"/>
  <c r="BH18" i="18"/>
  <c r="I82" i="18"/>
  <c r="BR74" i="18"/>
  <c r="BR28" i="18"/>
  <c r="CG81" i="2"/>
  <c r="O97" i="2"/>
  <c r="CB42" i="2"/>
  <c r="BM67" i="2"/>
  <c r="BW98" i="18"/>
  <c r="BR64" i="18"/>
  <c r="BH54" i="18"/>
  <c r="X52" i="2"/>
  <c r="CK52" i="2" s="1"/>
  <c r="AP52" i="2" s="1"/>
  <c r="U94" i="2"/>
  <c r="AB94" i="2" s="1"/>
  <c r="AB27" i="2"/>
  <c r="BM29" i="2"/>
  <c r="BR26" i="2"/>
  <c r="BM67" i="18"/>
  <c r="BM83" i="18"/>
  <c r="AB45" i="18"/>
  <c r="CG71" i="18"/>
  <c r="CG59" i="18"/>
  <c r="BM58" i="18"/>
  <c r="R63" i="2"/>
  <c r="CK63" i="2" s="1"/>
  <c r="AP63" i="2" s="1"/>
  <c r="F48" i="2"/>
  <c r="AB48" i="2" s="1"/>
  <c r="X95" i="2"/>
  <c r="I95" i="2"/>
  <c r="R22" i="2"/>
  <c r="CG53" i="2"/>
  <c r="BW50" i="2"/>
  <c r="BW28" i="2"/>
  <c r="BR43" i="2"/>
  <c r="CB97" i="18"/>
  <c r="CK49" i="18"/>
  <c r="AP49" i="18" s="1"/>
  <c r="BM99" i="18"/>
  <c r="AB57" i="18"/>
  <c r="BH58" i="18"/>
  <c r="BM55" i="18"/>
  <c r="BR17" i="18"/>
  <c r="O29" i="18"/>
  <c r="BR94" i="18"/>
  <c r="CG64" i="18"/>
  <c r="BC27" i="18"/>
  <c r="BM41" i="18"/>
  <c r="BM84" i="2"/>
  <c r="BW51" i="18"/>
  <c r="BM74" i="2"/>
  <c r="AB68" i="18"/>
  <c r="BH92" i="18"/>
  <c r="BH36" i="18"/>
  <c r="BC99" i="18"/>
  <c r="CB96" i="18"/>
  <c r="BC50" i="2"/>
  <c r="BW82" i="2"/>
  <c r="CB46" i="2"/>
  <c r="CG62" i="2"/>
  <c r="BR31" i="2"/>
  <c r="CK42" i="2"/>
  <c r="AP42" i="2" s="1"/>
  <c r="AB42" i="2"/>
  <c r="AB87" i="2"/>
  <c r="X60" i="2"/>
  <c r="CK60" i="2" s="1"/>
  <c r="AP60" i="2" s="1"/>
  <c r="X24" i="2"/>
  <c r="CG92" i="2"/>
  <c r="BC99" i="2"/>
  <c r="AB28" i="2"/>
  <c r="L85" i="2"/>
  <c r="AB85" i="2" s="1"/>
  <c r="L51" i="2"/>
  <c r="BW62" i="2"/>
  <c r="CK27" i="2"/>
  <c r="AP27" i="2" s="1"/>
  <c r="CK94" i="2"/>
  <c r="AP94" i="2" s="1"/>
  <c r="BM82" i="2"/>
  <c r="CG26" i="2"/>
  <c r="BC65" i="18"/>
  <c r="BC94" i="18"/>
  <c r="CB86" i="18"/>
  <c r="BH90" i="18"/>
  <c r="BW42" i="18"/>
  <c r="CK62" i="18"/>
  <c r="AP62" i="18" s="1"/>
  <c r="BW57" i="18"/>
  <c r="CK46" i="18"/>
  <c r="AP46" i="18" s="1"/>
  <c r="CK39" i="18"/>
  <c r="AP39" i="18" s="1"/>
  <c r="CG27" i="18"/>
  <c r="CK24" i="18"/>
  <c r="AP24" i="18" s="1"/>
  <c r="CK77" i="18"/>
  <c r="AP77" i="18" s="1"/>
  <c r="BW80" i="18"/>
  <c r="L9" i="2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CK34" i="2" s="1"/>
  <c r="AP34" i="2" s="1"/>
  <c r="L23" i="2"/>
  <c r="CK23" i="2" s="1"/>
  <c r="AP23" i="2" s="1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68" i="2" s="1"/>
  <c r="AP68" i="2" s="1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AB31" i="2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BS1" i="2"/>
  <c r="BO1" i="2"/>
  <c r="AB2" i="2"/>
  <c r="CK2" i="2"/>
  <c r="AP2" i="2" s="1"/>
  <c r="BM2" i="2"/>
  <c r="AB23" i="2" l="1"/>
  <c r="CK70" i="2"/>
  <c r="AP70" i="2" s="1"/>
  <c r="CK92" i="2"/>
  <c r="AP92" i="2" s="1"/>
  <c r="CK9" i="2"/>
  <c r="AP9" i="2" s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E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/>
  <c r="A4" i="12" a="1"/>
  <c r="I3" i="12" l="1"/>
  <c r="C3" i="12"/>
  <c r="E3" i="12"/>
  <c r="G3" i="12" s="1"/>
  <c r="AQ3" i="12"/>
  <c r="S3" i="12" s="1"/>
  <c r="AF3" i="12"/>
  <c r="T3" i="12" s="1"/>
  <c r="D3" i="12"/>
  <c r="AT3" i="12"/>
  <c r="AS3" i="12"/>
  <c r="AH3" i="12"/>
  <c r="AG3" i="12"/>
  <c r="J3" i="12"/>
  <c r="Z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F3" i="12" l="1"/>
  <c r="H3" i="12" s="1"/>
  <c r="V3" i="12"/>
  <c r="U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T238" i="12" s="1"/>
  <c r="A239" i="12" a="1"/>
  <c r="R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N243" i="12" l="1"/>
  <c r="R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<sst xmlns="http://schemas.openxmlformats.org/spreadsheetml/2006/main" count="2535" uniqueCount="1522">
  <si>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</si>
  <si>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</si>
  <si>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</si>
  <si>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</si>
  <si>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</si>
  <si>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</si>
  <si>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</si>
  <si>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</si>
  <si>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</si>
  <si>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</si>
  <si>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</si>
  <si>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</si>
  <si>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</si>
  <si>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</si>
  <si>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</si>
  <si>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</si>
  <si>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</si>
  <si>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</si>
  <si>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</si>
  <si>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</si>
  <si>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</si>
  <si>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</si>
  <si>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</si>
  <si>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</si>
  <si>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</si>
  <si>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</si>
  <si>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</si>
  <si>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</si>
  <si>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</si>
  <si>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</si>
  <si>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</si>
  <si>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</si>
  <si>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</si>
  <si>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</si>
  <si>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</si>
  <si>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</si>
  <si>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</si>
  <si>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</si>
  <si>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</si>
  <si>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</si>
  <si>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</si>
  <si>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</si>
  <si>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</si>
  <si>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</si>
  <si>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</si>
  <si>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</si>
  <si>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</si>
  <si>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</si>
  <si>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</si>
  <si>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</si>
  <si>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</si>
  <si>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</si>
  <si>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</si>
  <si>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</si>
  <si>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</si>
  <si>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</si>
  <si>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</si>
  <si>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</si>
  <si>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</si>
  <si>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</si>
  <si>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</si>
  <si>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</si>
  <si>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</si>
  <si>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</si>
  <si>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</si>
  <si>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</si>
  <si>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</si>
  <si>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</si>
  <si>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</si>
  <si>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</si>
  <si>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</si>
  <si>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</si>
  <si>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</si>
  <si>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</si>
  <si>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</si>
  <si>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</si>
  <si>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</si>
  <si>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</si>
  <si>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</si>
  <si>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</si>
  <si>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</si>
  <si>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</si>
  <si>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</si>
  <si>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</si>
  <si>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</si>
  <si>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</si>
  <si>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</si>
  <si>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</si>
  <si>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</si>
  <si>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</si>
  <si>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</si>
  <si>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</si>
  <si>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</si>
  <si>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</si>
  <si>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</si>
  <si>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</si>
  <si>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</si>
  <si>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</si>
  <si>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</si>
  <si>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</si>
  <si>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</si>
  <si>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</si>
  <si>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</si>
  <si>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</si>
  <si>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</si>
  <si>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</si>
  <si>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</si>
  <si>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</si>
  <si>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</si>
  <si>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</si>
  <si>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</si>
  <si>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</si>
  <si>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</si>
  <si>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</si>
  <si>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</si>
  <si>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</si>
  <si>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</si>
  <si>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</si>
  <si>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</si>
  <si>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</si>
  <si>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</si>
  <si>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</si>
  <si>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</si>
  <si>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</si>
  <si>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</si>
  <si>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</si>
  <si>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</si>
  <si>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</si>
  <si>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</si>
  <si>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</si>
  <si>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</si>
  <si>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</si>
  <si>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</si>
  <si>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</si>
  <si>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</si>
  <si>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</si>
  <si>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</si>
  <si>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</si>
  <si>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</si>
  <si>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</si>
  <si>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</si>
  <si>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</si>
  <si>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</si>
  <si>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</si>
  <si>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</si>
  <si>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</si>
  <si>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</si>
  <si>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</si>
  <si>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</si>
  <si>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</si>
  <si>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</si>
  <si>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</si>
  <si>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</si>
  <si>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</si>
  <si>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</si>
  <si>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</si>
  <si>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</si>
  <si>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</si>
  <si>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</si>
  <si>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</si>
  <si>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</si>
  <si>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</si>
  <si>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</si>
  <si>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</si>
  <si>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</si>
  <si>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</si>
  <si>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</si>
  <si>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</si>
  <si>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</si>
  <si>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</si>
  <si>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</si>
  <si>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</si>
  <si>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</si>
  <si>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</si>
  <si>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</si>
  <si>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</si>
  <si>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</si>
  <si>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</si>
  <si>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</si>
  <si>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</si>
  <si>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</si>
  <si>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</si>
  <si>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</si>
  <si>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</si>
  <si>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</si>
  <si>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</si>
  <si>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</si>
  <si>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</si>
  <si>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</si>
  <si>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</si>
  <si>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</si>
  <si>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</si>
  <si>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</si>
  <si>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</si>
  <si>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</si>
  <si>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</si>
  <si>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</si>
  <si>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</si>
  <si>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</si>
  <si>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</si>
  <si>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</si>
  <si>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</si>
  <si>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</si>
  <si>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</si>
  <si>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</si>
  <si>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</si>
  <si>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</si>
  <si>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</si>
  <si>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</si>
  <si>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</si>
  <si>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</si>
  <si>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</si>
  <si>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</si>
  <si>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</si>
  <si>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</si>
  <si>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</si>
  <si>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</si>
  <si>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</si>
  <si>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</si>
  <si>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</si>
  <si>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</si>
  <si>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</si>
  <si>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</si>
  <si>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</si>
  <si>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</si>
  <si>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</si>
  <si>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</si>
  <si>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</si>
  <si>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</si>
  <si>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</si>
  <si>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</si>
  <si>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</si>
  <si>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</si>
  <si>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</si>
  <si>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</si>
  <si>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</si>
  <si>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</si>
  <si>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</si>
  <si>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</si>
  <si>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</si>
  <si>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</si>
  <si>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</si>
  <si>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</si>
  <si>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</si>
  <si>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</si>
  <si>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</si>
  <si>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</si>
  <si>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</si>
  <si>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</si>
  <si>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</si>
  <si>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</si>
  <si>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</si>
  <si>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</si>
  <si>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</si>
  <si>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</si>
  <si>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</si>
  <si>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</si>
  <si>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</si>
  <si>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</si>
  <si>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</si>
  <si>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</si>
  <si>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</si>
  <si>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</si>
  <si>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</si>
  <si>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</si>
  <si>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</si>
  <si>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</si>
  <si>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</si>
  <si>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</si>
  <si>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</si>
  <si>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</si>
  <si>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</si>
  <si>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</si>
  <si>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</si>
  <si>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</si>
  <si>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</si>
  <si>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</si>
  <si>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</si>
  <si>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</si>
  <si>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</si>
  <si>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</si>
  <si>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</si>
  <si>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</si>
  <si>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</si>
  <si>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</si>
  <si>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</si>
  <si>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</si>
  <si>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</si>
  <si>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</si>
  <si>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</si>
  <si>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</si>
  <si>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</si>
  <si>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</si>
  <si>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</si>
  <si>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</si>
  <si>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</si>
  <si>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</si>
  <si>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</si>
  <si>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</si>
  <si>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</si>
  <si>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</si>
  <si>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</si>
  <si>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</si>
  <si>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</si>
  <si>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</si>
  <si>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</si>
  <si>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</si>
  <si>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</si>
  <si>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</si>
  <si>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</si>
  <si>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</si>
  <si>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</si>
  <si>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</si>
  <si>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</si>
  <si>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</si>
  <si>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</si>
  <si>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</si>
  <si>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</si>
  <si>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</si>
  <si>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</si>
  <si>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</si>
  <si>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</si>
  <si>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</si>
  <si>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</si>
  <si>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</si>
  <si>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</si>
  <si>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</si>
  <si>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</si>
  <si>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</si>
  <si>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</si>
  <si>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</si>
  <si>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</si>
  <si>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</si>
  <si>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</si>
  <si>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</si>
  <si>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</si>
  <si>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</si>
  <si>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</si>
  <si>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</si>
  <si>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</si>
  <si>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</si>
  <si>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</si>
  <si>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</si>
  <si>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</si>
  <si>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</si>
  <si>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</si>
  <si>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</si>
  <si>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</si>
  <si>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</si>
  <si>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</si>
  <si>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</si>
  <si>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</si>
  <si>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</si>
  <si>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</si>
  <si>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</si>
  <si>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</si>
  <si>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</si>
  <si>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</si>
  <si>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</si>
  <si>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</si>
  <si>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</si>
  <si>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</si>
  <si>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</si>
  <si>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</si>
  <si>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</si>
  <si>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</si>
  <si>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</si>
  <si>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</si>
  <si>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</si>
  <si>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</si>
  <si>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</si>
  <si>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</si>
  <si>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</si>
  <si>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</si>
  <si>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</si>
  <si>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</si>
  <si>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</si>
  <si>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</si>
  <si>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</si>
  <si>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</si>
  <si>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</si>
  <si>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</si>
  <si>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</si>
  <si>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</si>
  <si>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</si>
  <si>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</si>
  <si>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</si>
  <si>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</si>
  <si>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</si>
  <si>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</si>
  <si>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</si>
  <si>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</si>
  <si>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</si>
  <si>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</si>
  <si>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</si>
  <si>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</si>
  <si>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</si>
  <si>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</si>
  <si>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</si>
  <si>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</si>
  <si>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</si>
  <si>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</si>
  <si>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</si>
  <si>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</si>
  <si>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</si>
  <si>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</si>
  <si>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</si>
  <si>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</si>
  <si>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</si>
  <si>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</si>
  <si>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</si>
  <si>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</si>
  <si>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</si>
  <si>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</si>
  <si>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</si>
  <si>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</si>
  <si>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</si>
  <si>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</si>
  <si>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</si>
  <si>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</si>
  <si>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</si>
  <si>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</si>
  <si>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</si>
  <si>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</si>
  <si>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</si>
  <si>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</si>
  <si>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</si>
  <si>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</si>
  <si>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</si>
  <si>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</si>
  <si>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</si>
  <si>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</si>
  <si>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</si>
  <si>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</si>
  <si>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</si>
  <si>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</si>
  <si>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</si>
  <si>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</si>
  <si>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</si>
  <si>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</si>
  <si>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</si>
  <si>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</si>
  <si>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</si>
  <si>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</si>
  <si>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</si>
  <si>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</si>
  <si>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</si>
  <si>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</si>
  <si>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</si>
  <si>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</si>
  <si>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</si>
  <si>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</si>
  <si>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</si>
  <si>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</si>
  <si>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</si>
  <si>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</si>
  <si>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</si>
  <si>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</si>
  <si>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</si>
  <si>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</si>
  <si>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</si>
  <si>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</si>
  <si>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</si>
  <si>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</si>
  <si>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</si>
  <si>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</si>
  <si>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</si>
  <si>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</si>
  <si>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</si>
  <si>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</si>
  <si>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</si>
  <si>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</si>
  <si>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</si>
  <si>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</si>
  <si>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</si>
  <si>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</si>
  <si>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</si>
  <si>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</si>
  <si>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</si>
  <si>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</si>
  <si>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</si>
  <si>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</si>
  <si>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</si>
  <si>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</si>
  <si>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</si>
  <si>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</si>
  <si>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</si>
  <si>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</si>
  <si>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</si>
  <si>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</si>
  <si>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</si>
  <si>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</si>
  <si>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</si>
  <si>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</si>
  <si>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</si>
  <si>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</si>
  <si>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</si>
  <si>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</si>
  <si>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</si>
  <si>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</si>
  <si>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</si>
  <si>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</si>
  <si>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</si>
  <si>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</si>
  <si>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</si>
  <si>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</si>
  <si>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</si>
  <si>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</si>
  <si>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</si>
  <si>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</si>
  <si>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</si>
  <si>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</si>
  <si>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</si>
  <si>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</si>
  <si>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</si>
  <si>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</si>
  <si>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</si>
  <si>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</si>
  <si>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</si>
  <si>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</si>
  <si>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</si>
  <si>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</si>
  <si>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</si>
  <si>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</si>
  <si>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</si>
  <si>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</si>
  <si>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</si>
  <si>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</si>
  <si>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</si>
  <si>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</si>
  <si>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</si>
  <si>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</si>
  <si>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</si>
  <si>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</si>
  <si>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</si>
  <si>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</si>
  <si>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</si>
  <si>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</si>
  <si>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</si>
  <si>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</si>
  <si>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</si>
  <si>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</si>
  <si>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</si>
  <si>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</si>
  <si>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</si>
  <si>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</si>
  <si>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</si>
  <si>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</si>
  <si>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</si>
  <si>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</si>
  <si>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</si>
  <si>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</si>
  <si>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</si>
  <si>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</si>
  <si>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</si>
  <si>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</si>
  <si>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</si>
  <si>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</si>
  <si>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</si>
  <si>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</si>
  <si>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</si>
  <si>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</si>
  <si>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</si>
  <si>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</si>
  <si>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</si>
  <si>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</si>
  <si>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</si>
  <si>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</si>
  <si>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</si>
  <si>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</si>
  <si>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</si>
  <si>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</si>
  <si>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</si>
  <si>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</si>
  <si>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</si>
  <si>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</si>
  <si>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</si>
  <si>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</si>
  <si>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</si>
  <si>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</si>
  <si>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</si>
  <si>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</si>
  <si>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</si>
  <si>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</si>
  <si>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</si>
  <si>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</si>
  <si>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</si>
  <si>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</si>
  <si>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</si>
  <si>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</si>
  <si>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</si>
  <si>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</si>
  <si>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</si>
  <si>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</si>
  <si>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</si>
  <si>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</si>
  <si>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</si>
  <si>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</si>
  <si>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</si>
  <si>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</si>
  <si>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</si>
  <si>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</si>
  <si>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</si>
  <si>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</si>
  <si>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</si>
  <si>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</si>
  <si>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</si>
  <si>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</si>
  <si>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</si>
  <si>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</si>
  <si>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</si>
  <si>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</si>
  <si>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</si>
  <si>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</si>
  <si>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</si>
  <si>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</si>
  <si>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</si>
  <si>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</si>
  <si>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</si>
  <si>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</si>
  <si>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</si>
  <si>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</si>
  <si>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</si>
  <si>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</si>
  <si>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</si>
  <si>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</si>
  <si>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</si>
  <si>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</si>
  <si>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</si>
  <si>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</si>
  <si>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</si>
  <si>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</si>
  <si>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</si>
  <si>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</si>
  <si>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</si>
  <si>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</si>
  <si>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</si>
  <si>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</si>
  <si>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</si>
  <si>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</si>
  <si>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</si>
  <si>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</si>
  <si>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</si>
  <si>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</si>
  <si>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</si>
  <si>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</si>
  <si>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</si>
  <si>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</si>
  <si>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</si>
  <si>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</si>
  <si>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</si>
  <si>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</si>
  <si>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</si>
  <si>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</si>
  <si>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</si>
  <si>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</si>
  <si>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</si>
  <si>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</si>
  <si>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</si>
  <si>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</si>
  <si>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</si>
  <si>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</si>
  <si>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</si>
  <si>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</si>
  <si>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</si>
  <si>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</si>
  <si>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</si>
  <si>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</si>
  <si>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</si>
  <si>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</si>
  <si>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</si>
  <si>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</si>
  <si>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</si>
  <si>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</si>
  <si>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</si>
  <si>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</si>
  <si>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</si>
  <si>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</si>
  <si>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</si>
  <si>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</si>
  <si>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</si>
  <si>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</si>
  <si>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</si>
  <si>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</si>
  <si>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</si>
  <si>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</si>
  <si>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</si>
  <si>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</si>
  <si>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</si>
  <si>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</si>
  <si>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</si>
  <si>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</si>
  <si>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</si>
  <si>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</si>
  <si>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</si>
  <si>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</si>
  <si>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</si>
  <si>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</si>
  <si>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</si>
  <si>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</si>
  <si>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</si>
  <si>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</si>
  <si>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</si>
  <si>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</si>
  <si>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</si>
  <si>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</si>
  <si>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</si>
  <si>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</si>
  <si>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</si>
  <si>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</si>
  <si>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</si>
  <si>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</si>
  <si>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</si>
  <si>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</si>
  <si>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</si>
  <si>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</si>
  <si>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</si>
  <si>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</si>
  <si>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</si>
  <si>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</si>
  <si>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</si>
  <si>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</si>
  <si>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</si>
  <si>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</si>
  <si>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</si>
  <si>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</si>
  <si>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</si>
  <si>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</si>
  <si>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</si>
  <si>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</si>
  <si>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</si>
  <si>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</si>
  <si>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</si>
  <si>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</si>
  <si>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</si>
  <si>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</si>
  <si>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</si>
  <si>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</si>
  <si>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</si>
  <si>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</si>
  <si>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</si>
  <si>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</si>
  <si>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</si>
  <si>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</si>
  <si>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</si>
  <si>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</si>
  <si>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</si>
  <si>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</si>
  <si>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</si>
  <si>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</si>
  <si>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</si>
  <si>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</si>
  <si>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</si>
  <si>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</si>
  <si>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</si>
  <si>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</si>
  <si>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</si>
  <si>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</si>
  <si>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</si>
  <si>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</si>
  <si>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</si>
  <si>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</si>
  <si>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</si>
  <si>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</si>
  <si>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</si>
  <si>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</si>
  <si>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</si>
  <si>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</si>
  <si>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</si>
  <si>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</si>
  <si>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</si>
  <si>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</si>
  <si>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</si>
  <si>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</si>
  <si>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</si>
  <si>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</si>
  <si>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</si>
  <si>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</si>
  <si>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</si>
  <si>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</si>
  <si>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</si>
  <si>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</si>
  <si>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</si>
  <si>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</si>
  <si>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</si>
  <si>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</si>
  <si>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</si>
  <si>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</si>
  <si>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</si>
  <si>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</si>
  <si>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</si>
  <si>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</si>
  <si>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</si>
  <si>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</si>
  <si>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</si>
  <si>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</si>
  <si>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</si>
  <si>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</si>
  <si>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</si>
  <si>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</si>
  <si>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</si>
  <si>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</si>
  <si>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</si>
  <si>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</si>
  <si>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</si>
  <si>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</si>
  <si>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</si>
  <si>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</si>
  <si>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</si>
  <si>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</si>
  <si>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</si>
  <si>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</si>
  <si>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</si>
  <si>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</si>
  <si>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</si>
  <si>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</si>
  <si>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</si>
  <si>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</si>
  <si>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</si>
  <si>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</si>
  <si>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</si>
  <si>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</si>
  <si>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</si>
  <si>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</si>
  <si>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</si>
  <si>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</si>
  <si>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</si>
  <si>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</si>
  <si>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</si>
  <si>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</si>
  <si>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</si>
  <si>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</si>
  <si>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</si>
  <si>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</si>
  <si>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</si>
  <si>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</si>
  <si>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</si>
  <si>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</si>
  <si>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</si>
  <si>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</si>
  <si>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</si>
  <si>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</si>
  <si>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</si>
  <si>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</si>
  <si>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</si>
  <si>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</si>
  <si>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</si>
  <si>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</si>
  <si>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</si>
  <si>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</si>
  <si>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</si>
  <si>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</si>
  <si>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</si>
  <si>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</si>
  <si>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</si>
  <si>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</si>
  <si>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</si>
  <si>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</si>
  <si>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</si>
  <si>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</si>
  <si>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</si>
  <si>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</si>
  <si>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</si>
  <si>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</si>
  <si>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</si>
  <si>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</si>
  <si>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</si>
  <si>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</si>
  <si>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</si>
  <si>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</si>
  <si>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</si>
  <si>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</si>
  <si>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</si>
  <si>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</si>
  <si>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</si>
  <si>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</si>
  <si>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</si>
  <si>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</si>
  <si>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</si>
  <si>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</si>
  <si>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</si>
  <si>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</si>
  <si>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</si>
  <si>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</si>
  <si>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</si>
  <si>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</si>
  <si>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</si>
  <si>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</si>
  <si>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</si>
  <si>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</si>
  <si>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</si>
  <si>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</si>
  <si>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</si>
  <si>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</si>
  <si>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</si>
  <si>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</si>
  <si>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</si>
  <si>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</si>
  <si>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</si>
  <si>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</si>
  <si>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</si>
  <si>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</si>
  <si>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</si>
  <si>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</si>
  <si>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</si>
  <si>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</si>
  <si>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</si>
  <si>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</si>
  <si>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</si>
  <si>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</si>
  <si>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</si>
  <si>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</si>
  <si>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</si>
  <si>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</si>
  <si>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</si>
  <si>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</si>
  <si>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</si>
  <si>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</si>
  <si>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</si>
  <si>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</si>
  <si>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</si>
  <si>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</si>
  <si>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</si>
  <si>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</si>
  <si>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</si>
  <si>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</si>
  <si>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</si>
  <si>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</si>
  <si>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</si>
  <si>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</si>
  <si>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</si>
  <si>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</si>
  <si>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</si>
  <si>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</si>
  <si>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</si>
  <si>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</si>
  <si>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</si>
  <si>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</si>
  <si>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</si>
  <si>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</si>
  <si>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</si>
  <si>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</si>
  <si>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</si>
  <si>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</si>
  <si>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</si>
  <si>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</si>
  <si>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</si>
  <si>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</si>
  <si>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</si>
  <si>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</si>
  <si>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</si>
  <si>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</si>
  <si>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</si>
  <si>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</si>
  <si>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</si>
  <si>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</si>
  <si>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</si>
  <si>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</si>
  <si>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</si>
  <si>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</si>
  <si>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</si>
  <si>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</si>
  <si>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</si>
  <si>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</si>
  <si>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</si>
  <si>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</si>
  <si>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</si>
  <si>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</si>
  <si>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</si>
  <si>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</si>
  <si>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</si>
  <si>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</si>
  <si>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</si>
  <si>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</si>
  <si>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</si>
  <si>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</si>
  <si>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</si>
  <si>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</si>
  <si>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</si>
  <si>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</si>
  <si>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</si>
  <si>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</si>
  <si>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</si>
  <si>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</si>
  <si>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</si>
  <si>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</si>
  <si>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</si>
  <si>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</si>
  <si>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</si>
  <si>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</si>
  <si>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</si>
  <si>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</si>
  <si>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</si>
  <si>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</si>
  <si>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</si>
  <si>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</si>
  <si>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</si>
  <si>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</si>
  <si>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</si>
  <si>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</si>
  <si>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</si>
  <si>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</si>
  <si>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</si>
  <si>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</si>
  <si>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</si>
  <si>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</si>
  <si>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</si>
  <si>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</si>
  <si>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</si>
  <si>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</si>
  <si>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</si>
  <si>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</si>
  <si>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</si>
  <si>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</si>
  <si>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</si>
  <si>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</si>
  <si>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</si>
  <si>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</si>
  <si>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</si>
  <si>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</si>
  <si>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</si>
  <si>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</si>
  <si>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</si>
  <si>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</si>
  <si>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</si>
  <si>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</si>
  <si>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</si>
  <si>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</si>
  <si>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</si>
  <si>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</si>
  <si>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</si>
  <si>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</si>
  <si>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</si>
  <si>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</si>
  <si>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</si>
  <si>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</si>
  <si>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</si>
  <si>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</si>
  <si>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</si>
  <si>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</si>
  <si>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</si>
  <si>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</si>
  <si>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</si>
  <si>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</si>
  <si>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</si>
  <si>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</si>
  <si>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</si>
  <si>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</si>
  <si>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</si>
  <si>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</si>
  <si>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</si>
  <si>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</si>
  <si>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</si>
  <si>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</si>
  <si>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</si>
  <si>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</si>
  <si>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</si>
  <si>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</si>
  <si>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</si>
  <si>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</si>
  <si>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</si>
  <si>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</si>
  <si>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</si>
  <si>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</si>
  <si>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</si>
  <si>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</si>
  <si>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</si>
  <si>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</si>
  <si>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</si>
  <si>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</si>
  <si>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</si>
  <si>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</si>
  <si>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</si>
  <si>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</si>
  <si>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</si>
  <si>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</si>
  <si>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</si>
  <si>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</si>
  <si>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</si>
  <si>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</si>
  <si>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</si>
  <si>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</si>
  <si>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</si>
  <si>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</si>
  <si>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</si>
  <si>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</si>
  <si>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</si>
  <si>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</si>
  <si>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</si>
  <si>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</si>
  <si>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</si>
  <si>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</si>
  <si>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</si>
  <si>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</si>
  <si>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</si>
  <si>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</si>
  <si>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</si>
  <si>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</si>
  <si>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</si>
  <si>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</si>
  <si>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</si>
  <si>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</si>
  <si>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</si>
  <si>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</si>
  <si>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</si>
  <si>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</si>
  <si>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</si>
  <si>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</si>
  <si>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</si>
  <si>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</si>
  <si>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</si>
  <si>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</si>
  <si>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</si>
  <si>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</si>
  <si>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</si>
  <si>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</si>
  <si>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</si>
  <si>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</si>
  <si>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</si>
  <si>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</si>
  <si>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</si>
  <si>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</si>
  <si>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</si>
  <si>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</si>
  <si>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</si>
  <si>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</si>
  <si>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</si>
  <si>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</si>
  <si>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</si>
  <si>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</si>
  <si>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</si>
  <si>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</si>
  <si>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</si>
  <si>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</si>
  <si>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</si>
  <si>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</si>
  <si>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</si>
  <si>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</si>
  <si>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</si>
  <si>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</si>
  <si>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</si>
  <si>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</si>
  <si>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</si>
  <si>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</si>
  <si>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</si>
  <si>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</si>
  <si>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</si>
  <si>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</si>
  <si>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</si>
  <si>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</si>
  <si>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</si>
  <si>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</si>
  <si>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</si>
  <si>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</si>
  <si>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</si>
  <si>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</si>
  <si>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</si>
  <si>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</si>
  <si>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</si>
  <si>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</si>
  <si>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</si>
  <si>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</si>
  <si>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</si>
  <si>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</si>
  <si>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</si>
  <si>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</si>
  <si>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</si>
  <si>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</si>
  <si>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</si>
  <si>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</si>
  <si>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</si>
  <si>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</si>
  <si>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</si>
  <si>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</si>
  <si>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</si>
  <si>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</si>
  <si>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</si>
  <si>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</si>
  <si>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</si>
  <si>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</si>
  <si>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</si>
  <si>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</si>
  <si>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</si>
  <si>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</si>
  <si>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</si>
  <si>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</si>
  <si>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</si>
  <si>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</si>
  <si>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</si>
  <si>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</si>
  <si>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</si>
  <si>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</si>
  <si>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</si>
  <si>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</si>
  <si>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</si>
  <si>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</si>
  <si>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</si>
  <si>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</si>
  <si>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</si>
  <si>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</si>
  <si>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</si>
  <si>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</si>
  <si>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</si>
  <si>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</si>
  <si>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</si>
  <si>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</si>
  <si>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</si>
  <si>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</si>
  <si>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</si>
  <si>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</si>
  <si>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</si>
  <si>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</si>
  <si>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</si>
  <si>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</si>
  <si>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</si>
  <si>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</si>
  <si>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</si>
  <si>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</si>
  <si>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</si>
  <si>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</si>
  <si>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</si>
  <si>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</si>
  <si>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</si>
  <si>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</si>
  <si>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</si>
  <si>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</si>
  <si>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</si>
  <si>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</si>
  <si>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</si>
  <si>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</si>
  <si>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</si>
  <si>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</si>
  <si>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</si>
  <si>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</si>
  <si>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</si>
  <si>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</si>
  <si>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</si>
  <si>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</si>
  <si>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</si>
  <si>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</si>
  <si>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</si>
  <si>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</si>
  <si>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</si>
  <si>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</si>
  <si>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</si>
  <si>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</si>
  <si>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</si>
  <si>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</si>
  <si>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</si>
  <si>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</si>
  <si>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</si>
  <si>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</si>
  <si>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</si>
  <si>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</si>
  <si>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</si>
  <si>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</si>
  <si>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</si>
  <si>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</si>
  <si>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</si>
  <si>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</si>
  <si>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</si>
  <si>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</si>
  <si>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</si>
  <si>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</si>
  <si>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</si>
  <si>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</si>
  <si>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</si>
  <si>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</si>
  <si>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</si>
  <si>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</si>
  <si>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</si>
  <si>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</si>
  <si>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</si>
  <si>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</si>
  <si>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</si>
  <si>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</si>
  <si>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</si>
  <si>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</si>
  <si>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</si>
  <si>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</si>
  <si>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</si>
  <si>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</si>
  <si>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</si>
  <si>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</si>
  <si>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</si>
  <si>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</si>
  <si>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</si>
  <si>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</si>
  <si>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</si>
  <si>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</si>
  <si>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</si>
  <si>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</si>
  <si>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</si>
  <si>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</si>
  <si>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</si>
  <si>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</si>
  <si>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</si>
  <si>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</si>
  <si>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</si>
  <si>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</si>
  <si>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</si>
  <si>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</si>
  <si>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</si>
  <si>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</si>
  <si>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</si>
  <si>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</si>
  <si>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</si>
  <si>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</si>
  <si>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</si>
  <si>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</si>
  <si>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</si>
  <si>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</si>
  <si>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</si>
  <si>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</si>
  <si>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</si>
  <si>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</si>
  <si>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</si>
  <si>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</si>
  <si>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</si>
  <si>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</si>
  <si>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</si>
  <si>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</si>
  <si>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</si>
  <si>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</si>
  <si>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</si>
  <si>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</si>
  <si>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</si>
  <si>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</si>
  <si>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</si>
  <si>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</si>
  <si>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</si>
  <si>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</si>
  <si>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</si>
  <si>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</si>
  <si>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</si>
  <si>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</si>
  <si>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</si>
  <si>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</si>
  <si>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</si>
  <si>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</si>
  <si>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</si>
  <si>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</si>
  <si>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</si>
  <si>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</si>
  <si>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</si>
  <si>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</si>
  <si>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</si>
  <si>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</si>
  <si>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</si>
  <si>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</si>
  <si>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</si>
  <si>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</si>
  <si>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</si>
  <si>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</si>
  <si>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</si>
  <si>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</si>
  <si>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</si>
  <si>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</si>
  <si>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</si>
  <si>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</si>
  <si>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</si>
  <si>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</si>
  <si>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</si>
  <si>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</si>
  <si>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</si>
  <si>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</si>
  <si>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</si>
  <si>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</si>
  <si>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</si>
  <si>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</si>
  <si>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</si>
  <si>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</si>
  <si>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</si>
  <si>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</si>
  <si>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</si>
  <si>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</si>
  <si>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</si>
  <si>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</si>
  <si>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</si>
  <si>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</si>
  <si>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</si>
  <si>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</si>
  <si>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</si>
  <si>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</si>
  <si>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</si>
  <si>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</si>
  <si>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</si>
  <si>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</si>
  <si>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</si>
  <si>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</si>
  <si>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</si>
  <si>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</si>
  <si>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</si>
  <si>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</si>
  <si>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</si>
  <si>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</si>
  <si>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</si>
  <si>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</si>
  <si>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</si>
  <si>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</si>
  <si>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</si>
  <si>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</si>
  <si>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</si>
  <si>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</si>
  <si>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</si>
  <si>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</si>
  <si>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</si>
  <si>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</si>
  <si>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</si>
  <si>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</si>
  <si>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</si>
  <si>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</si>
  <si>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</si>
  <si>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</si>
  <si>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</si>
  <si>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</si>
  <si>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</si>
  <si>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</si>
  <si>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</si>
  <si>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</si>
  <si>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</si>
  <si>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</si>
  <si>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</si>
  <si>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</si>
  <si>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</si>
  <si>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</si>
  <si>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</si>
  <si>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</si>
  <si>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</si>
  <si>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</si>
  <si>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</si>
  <si>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</si>
  <si>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</si>
  <si>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</si>
  <si>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</si>
  <si>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</si>
  <si>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</si>
  <si>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</si>
  <si>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</si>
  <si>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</si>
  <si>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</si>
  <si>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</si>
  <si>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</si>
  <si>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</si>
  <si>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</si>
  <si>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</si>
  <si>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</si>
  <si>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</si>
  <si>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</si>
  <si>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</si>
  <si>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</si>
  <si>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</si>
  <si>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</si>
  <si>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</si>
  <si>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</si>
  <si>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</si>
  <si>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</si>
  <si>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</si>
  <si>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</si>
  <si>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</si>
  <si>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</si>
  <si>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</si>
  <si>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</si>
  <si>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</si>
  <si>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</si>
  <si>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</si>
  <si>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</si>
  <si>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</si>
  <si>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</si>
  <si>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</si>
  <si>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</si>
  <si>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</si>
  <si>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</si>
  <si>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</si>
  <si>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</si>
  <si>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</si>
  <si>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</si>
  <si>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</si>
  <si>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</si>
  <si>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</si>
  <si>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</si>
  <si>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</si>
  <si>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</si>
  <si>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</si>
  <si>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</si>
  <si>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</si>
  <si>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</si>
  <si>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</si>
  <si>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</si>
  <si>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</si>
  <si>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</si>
  <si>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</si>
  <si>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</si>
  <si>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</si>
  <si>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</si>
  <si>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</si>
  <si>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</si>
  <si>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</si>
  <si>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</si>
  <si>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</si>
  <si>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</si>
  <si>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</si>
  <si>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</si>
  <si>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</si>
  <si>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</si>
  <si>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</si>
  <si>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</si>
  <si>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</si>
  <si>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QVB</t>
    <phoneticPr fontId="42" type="noConversion"/>
  </si>
  <si>
    <r>
      <rPr>
        <sz val="18"/>
        <color rgb="FF000000"/>
        <rFont val="Helvetica Neue"/>
        <family val="2"/>
      </rPr>
      <t>Jack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Liu</t>
    </r>
  </si>
  <si>
    <t>Olivia Hsieh</t>
    <phoneticPr fontId="2" type="noConversion"/>
  </si>
  <si>
    <r>
      <rPr>
        <sz val="18"/>
        <color rgb="FF000000"/>
        <rFont val="Helvetica Neue"/>
        <family val="2"/>
      </rPr>
      <t>Antonio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Zhang</t>
    </r>
  </si>
  <si>
    <r>
      <rPr>
        <sz val="18"/>
        <color rgb="FF000000"/>
        <rFont val="Helvetica Neue"/>
        <family val="2"/>
      </rPr>
      <t>Valeriia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Zhdanova</t>
    </r>
  </si>
  <si>
    <r>
      <rPr>
        <sz val="18"/>
        <color rgb="FF000000"/>
        <rFont val="Helvetica Neue"/>
        <family val="2"/>
      </rPr>
      <t>Aidan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Bui</t>
    </r>
  </si>
  <si>
    <r>
      <rPr>
        <sz val="18"/>
        <color rgb="FF000000"/>
        <rFont val="Helvetica Neue"/>
        <family val="2"/>
      </rPr>
      <t>Louis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Hoang</t>
    </r>
  </si>
  <si>
    <t>Alston cheng</t>
    <phoneticPr fontId="2" type="noConversion"/>
  </si>
  <si>
    <t>tonya metachuchok</t>
    <phoneticPr fontId="2" type="noConversion"/>
  </si>
  <si>
    <t>Hayley vo</t>
    <phoneticPr fontId="2" type="noConversion"/>
  </si>
  <si>
    <t>Jessica Jessica</t>
    <phoneticPr fontId="2" type="noConversion"/>
  </si>
  <si>
    <t>Rachel lau</t>
    <phoneticPr fontId="2" type="noConversion"/>
  </si>
  <si>
    <t>Darrel Phung</t>
    <phoneticPr fontId="2" type="noConversion"/>
  </si>
  <si>
    <r>
      <rPr>
        <sz val="20"/>
        <color rgb="FF000000"/>
        <rFont val="宋体"/>
        <family val="3"/>
        <charset val="134"/>
      </rPr>
      <t>排班</t>
    </r>
    <r>
      <rPr>
        <sz val="20"/>
        <color rgb="FF000000"/>
        <rFont val="Helvetica Neue"/>
        <family val="2"/>
      </rPr>
      <t>+1h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</si>
</sst>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6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9"/>
      <name val="Helvetica Neue"/>
      <family val="2"/>
    </font>
    <font>
      <sz val="18"/>
      <color theme="1"/>
      <name val="&quot;Helvetica Neue&quot;"/>
    </font>
    <font>
      <sz val="20"/>
      <color rgb="FF000000"/>
      <name val="宋体"/>
      <family val="3"/>
      <charset val="134"/>
    </font>
    <font>
      <sz val="20"/>
      <color rgb="FF000000"/>
      <name val="Helvetica Neue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vertical="center" wrapText="1"/>
      <protection locked="0"/>
    </xf>
    <xf numFmtId="4" fontId="45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D3" sqref="AD3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10012</v>
      </c>
      <c r="B2" s="73" t="s">
        <v>1508</v>
      </c>
      <c r="C2" s="87" t="s">
        <v>1509</v>
      </c>
      <c r="D2" s="100">
        <v>0.375</v>
      </c>
      <c r="E2" s="84">
        <v>0.70833333333333337</v>
      </c>
      <c r="F2" s="91">
        <f>BA2-BB2</f>
        <v>7.5</v>
      </c>
      <c r="G2" s="84">
        <v>0.54166666666666663</v>
      </c>
      <c r="H2" s="84">
        <v>0.85416666666666663</v>
      </c>
      <c r="I2" s="91">
        <f>BF2-BG2</f>
        <v>7</v>
      </c>
      <c r="J2" s="84">
        <v>0.54166666666666663</v>
      </c>
      <c r="K2" s="84">
        <v>0.84722222222222221</v>
      </c>
      <c r="L2" s="91">
        <f>BK2-BL2</f>
        <v>6.8333333333333339</v>
      </c>
      <c r="M2" s="84"/>
      <c r="N2" s="100"/>
      <c r="O2" s="91">
        <f>BP2-BQ2</f>
        <v>0</v>
      </c>
      <c r="P2" s="100">
        <v>0.38194444444444442</v>
      </c>
      <c r="Q2" s="84">
        <v>0.75</v>
      </c>
      <c r="R2" s="91">
        <f>BU2-BV2</f>
        <v>8.3333333333333339</v>
      </c>
      <c r="S2" s="84">
        <v>0.52083333333333337</v>
      </c>
      <c r="T2" s="84">
        <v>0.85069444444444442</v>
      </c>
      <c r="U2" s="91">
        <f>BZ2-CA2</f>
        <v>7.4166666666666652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37.083333333333336</v>
      </c>
      <c r="AC2" s="92"/>
      <c r="AD2" s="77">
        <v>1</v>
      </c>
      <c r="AE2" s="93">
        <f t="shared" ref="AE2:AE40" si="1">SUMIF($BC$1:$CI$1,AE$1,$BC2:$CI2)+AD2</f>
        <v>30.666666666666671</v>
      </c>
      <c r="AF2" s="77"/>
      <c r="AG2" s="93">
        <f t="shared" ref="AG2:AG40" si="2">SUMIF($BC$1:$CI$1,AG$1,$BC2:$CI2)+AF2</f>
        <v>7.4166666666666652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5</v>
      </c>
      <c r="AQ2" s="77"/>
      <c r="AR2" s="77"/>
      <c r="AS2" s="77"/>
      <c r="AT2" s="44">
        <f>AE2+AG2+AI2+AK2+AM2+AO2+SUM(AQ2:AS2)</f>
        <v>38.083333333333336</v>
      </c>
      <c r="AU2" s="104" t="s">
        <v>1521</v>
      </c>
      <c r="AV2" s="5"/>
      <c r="AW2" s="5"/>
      <c r="AX2" s="5"/>
      <c r="AY2" s="5"/>
      <c r="AZ2" s="24">
        <f>VLOOKUP(C2,Employees!D:I,6,FALSE)</f>
        <v>10012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7.5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7.5</v>
      </c>
      <c r="BG2" s="5">
        <f>IF(BF2&gt;$AY$1,1,IF(BF2&gt;=$AX$1,0.5,0))</f>
        <v>0.5</v>
      </c>
      <c r="BH2" s="5">
        <f>BF2-BG2-BI2-BJ2</f>
        <v>7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7.3333333333333339</v>
      </c>
      <c r="BL2" s="5">
        <f>IF(BK2&gt;$AY$1,1,IF(BK2&gt;=$AX$1,0.5,0))</f>
        <v>0.5</v>
      </c>
      <c r="BM2" s="5">
        <f>BK2-BL2-BN2-BO2</f>
        <v>6.8333333333333339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8.8333333333333339</v>
      </c>
      <c r="BV2" s="5">
        <f>IF(BU2&gt;$AY$1,1,IF(BU2&gt;=$AX$1,0.5,0))</f>
        <v>0.5</v>
      </c>
      <c r="BW2" s="5">
        <f>BU2-BV2-BX2-BY2</f>
        <v>8.3333333333333339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7.9166666666666652</v>
      </c>
      <c r="CA2" s="5">
        <f>IF(BZ2&gt;$AY$1,1,IF(BZ2&gt;=$AX$1,0.5,0))</f>
        <v>0.5</v>
      </c>
      <c r="CB2" s="5">
        <f>BZ2-CA2-CC2-CD2</f>
        <v>7.4166666666666652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10491</v>
      </c>
      <c r="B3" s="73" t="s">
        <v>23</v>
      </c>
      <c r="C3" s="103" t="s">
        <v>1510</v>
      </c>
      <c r="D3" s="100"/>
      <c r="E3" s="84"/>
      <c r="F3" s="91">
        <f t="shared" ref="F3:F69" si="15">BA3-BB3</f>
        <v>0</v>
      </c>
      <c r="G3" s="84">
        <v>0.5</v>
      </c>
      <c r="H3" s="84">
        <v>0.85416666666666663</v>
      </c>
      <c r="I3" s="91">
        <f t="shared" ref="I3:I69" si="16">BF3-BG3</f>
        <v>8</v>
      </c>
      <c r="J3" s="84"/>
      <c r="K3" s="84"/>
      <c r="L3" s="91">
        <f t="shared" ref="L3:L69" si="17">BK3-BL3</f>
        <v>0</v>
      </c>
      <c r="M3" s="84"/>
      <c r="N3" s="100"/>
      <c r="O3" s="91">
        <f t="shared" ref="O3:O69" si="18">BP3-BQ3</f>
        <v>0</v>
      </c>
      <c r="P3" s="100">
        <v>0.5</v>
      </c>
      <c r="Q3" s="84">
        <v>0.84722222222222221</v>
      </c>
      <c r="R3" s="91">
        <f t="shared" ref="R3:R69" si="19">BU3-BV3</f>
        <v>7.8333333333333321</v>
      </c>
      <c r="S3" s="84">
        <v>0.54166666666666663</v>
      </c>
      <c r="T3" s="84">
        <v>0.85069444444444442</v>
      </c>
      <c r="U3" s="91">
        <f t="shared" ref="U3:U69" si="20">BZ3-CA3</f>
        <v>6.916666666666667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22.75</v>
      </c>
      <c r="AC3" s="92"/>
      <c r="AD3" s="77">
        <v>22.27</v>
      </c>
      <c r="AE3" s="93">
        <f t="shared" si="1"/>
        <v>38.103333333333332</v>
      </c>
      <c r="AF3" s="77"/>
      <c r="AG3" s="93">
        <f t="shared" si="2"/>
        <v>6.916666666666667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3</v>
      </c>
      <c r="AQ3" s="77"/>
      <c r="AR3" s="77"/>
      <c r="AS3" s="77"/>
      <c r="AT3" s="44">
        <f t="shared" ref="AT3:AT69" si="24">AE3+AG3+AI3+AK3+AM3+AO3+SUM(AQ3:AS3)</f>
        <v>45.019999999999996</v>
      </c>
      <c r="AU3" s="78"/>
      <c r="AV3" s="5"/>
      <c r="AW3" s="5"/>
      <c r="AX3" s="5"/>
      <c r="AY3" s="5"/>
      <c r="AZ3" s="24">
        <f>VLOOKUP(C3,Employees!D:I,6,FALSE)</f>
        <v>10491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8.5</v>
      </c>
      <c r="BG3" s="5">
        <f t="shared" ref="BG3:BG66" si="30">IF(BF3&gt;$AY$1,1,IF(BF3&gt;=$AX$1,0.5,0))</f>
        <v>0.5</v>
      </c>
      <c r="BH3" s="5">
        <f t="shared" ref="BH3:BH66" si="31">BF3-BG3-BI3-BJ3</f>
        <v>8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8.3333333333333321</v>
      </c>
      <c r="BV3" s="5">
        <f t="shared" ref="BV3:BV66" si="45">IF(BU3&gt;$AY$1,1,IF(BU3&gt;=$AX$1,0.5,0))</f>
        <v>0.5</v>
      </c>
      <c r="BW3" s="5">
        <f t="shared" ref="BW3:BW66" si="46">BU3-BV3-BX3-BY3</f>
        <v>7.8333333333333321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7.416666666666667</v>
      </c>
      <c r="CA3" s="5">
        <f t="shared" ref="CA3:CA66" si="49">IF(BZ3&gt;$AY$1,1,IF(BZ3&gt;=$AX$1,0.5,0))</f>
        <v>0.5</v>
      </c>
      <c r="CB3" s="5">
        <f t="shared" ref="CB3:CB66" si="50">BZ3-CA3-CC3-CD3</f>
        <v>6.916666666666667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3</v>
      </c>
    </row>
    <row r="4" spans="1:89" ht="38" customHeight="1">
      <c r="A4" s="74">
        <f t="shared" si="0"/>
        <v>10051</v>
      </c>
      <c r="B4" s="73" t="s">
        <v>1508</v>
      </c>
      <c r="C4" s="87" t="s">
        <v>1511</v>
      </c>
      <c r="D4" s="84"/>
      <c r="E4" s="84"/>
      <c r="F4" s="91">
        <f t="shared" si="15"/>
        <v>0</v>
      </c>
      <c r="G4" s="84">
        <v>0.375</v>
      </c>
      <c r="H4" s="84">
        <v>0.75</v>
      </c>
      <c r="I4" s="91">
        <f t="shared" si="16"/>
        <v>8.5</v>
      </c>
      <c r="J4" s="84">
        <v>0.375</v>
      </c>
      <c r="K4" s="84">
        <v>0.75</v>
      </c>
      <c r="L4" s="91">
        <f t="shared" si="17"/>
        <v>8.5</v>
      </c>
      <c r="M4" s="84">
        <v>0.54166666666666663</v>
      </c>
      <c r="N4" s="84">
        <v>0.88541666666666663</v>
      </c>
      <c r="O4" s="91">
        <f t="shared" si="18"/>
        <v>7.75</v>
      </c>
      <c r="P4" s="75"/>
      <c r="Q4" s="75"/>
      <c r="R4" s="91">
        <f t="shared" si="19"/>
        <v>0</v>
      </c>
      <c r="S4" s="75"/>
      <c r="T4" s="75"/>
      <c r="U4" s="91">
        <f t="shared" si="20"/>
        <v>0</v>
      </c>
      <c r="V4" s="84">
        <v>0.54861111111111116</v>
      </c>
      <c r="W4" s="84">
        <v>0.83680555555555558</v>
      </c>
      <c r="X4" s="91">
        <f t="shared" si="21"/>
        <v>6.4166666666666661</v>
      </c>
      <c r="Y4" s="91"/>
      <c r="Z4" s="91"/>
      <c r="AA4" s="91"/>
      <c r="AB4" s="91">
        <f t="shared" si="22"/>
        <v>31.166666666666664</v>
      </c>
      <c r="AC4" s="92"/>
      <c r="AD4" s="77"/>
      <c r="AE4" s="93">
        <f t="shared" si="1"/>
        <v>24.75</v>
      </c>
      <c r="AF4" s="77"/>
      <c r="AG4" s="93">
        <f t="shared" si="2"/>
        <v>0</v>
      </c>
      <c r="AH4" s="78"/>
      <c r="AI4" s="93">
        <f t="shared" si="3"/>
        <v>6.4166666666666661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4</v>
      </c>
      <c r="AQ4" s="77"/>
      <c r="AR4" s="77"/>
      <c r="AS4" s="77"/>
      <c r="AT4" s="44">
        <f t="shared" si="24"/>
        <v>31.166666666666664</v>
      </c>
      <c r="AU4" s="78"/>
      <c r="AV4" s="5"/>
      <c r="AW4" s="5"/>
      <c r="AX4" s="5"/>
      <c r="AY4" s="5"/>
      <c r="AZ4" s="24">
        <f>VLOOKUP(C4,Employees!D:I,6,FALSE)</f>
        <v>10051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9</v>
      </c>
      <c r="BG4" s="5">
        <f t="shared" si="30"/>
        <v>0.5</v>
      </c>
      <c r="BH4" s="5">
        <f t="shared" si="31"/>
        <v>8.5</v>
      </c>
      <c r="BI4" s="5">
        <f t="shared" si="32"/>
        <v>0</v>
      </c>
      <c r="BJ4" s="5">
        <f t="shared" si="33"/>
        <v>0</v>
      </c>
      <c r="BK4" s="5">
        <f t="shared" si="34"/>
        <v>9</v>
      </c>
      <c r="BL4" s="5">
        <f t="shared" si="35"/>
        <v>0.5</v>
      </c>
      <c r="BM4" s="5">
        <f t="shared" si="36"/>
        <v>8.5</v>
      </c>
      <c r="BN4" s="5">
        <f t="shared" si="37"/>
        <v>0</v>
      </c>
      <c r="BO4" s="5">
        <f t="shared" si="38"/>
        <v>0</v>
      </c>
      <c r="BP4" s="5">
        <f t="shared" si="39"/>
        <v>8.25</v>
      </c>
      <c r="BQ4" s="5">
        <f t="shared" si="40"/>
        <v>0.5</v>
      </c>
      <c r="BR4" s="5">
        <f t="shared" si="41"/>
        <v>7.75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6.9166666666666661</v>
      </c>
      <c r="CF4" s="5">
        <f t="shared" si="54"/>
        <v>0.5</v>
      </c>
      <c r="CG4" s="5">
        <f t="shared" si="55"/>
        <v>6.4166666666666661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10187</v>
      </c>
      <c r="B5" s="73" t="s">
        <v>1508</v>
      </c>
      <c r="C5" s="87" t="s">
        <v>1512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84">
        <v>0.38541666666666669</v>
      </c>
      <c r="W5" s="84">
        <v>0.72916666666666663</v>
      </c>
      <c r="X5" s="91">
        <f t="shared" si="21"/>
        <v>7.7499999999999982</v>
      </c>
      <c r="Y5" s="91"/>
      <c r="Z5" s="91"/>
      <c r="AA5" s="91"/>
      <c r="AB5" s="91">
        <f t="shared" si="22"/>
        <v>7.7499999999999982</v>
      </c>
      <c r="AC5" s="92"/>
      <c r="AD5" s="78"/>
      <c r="AE5" s="93">
        <f t="shared" si="1"/>
        <v>0</v>
      </c>
      <c r="AF5" s="77"/>
      <c r="AG5" s="93">
        <f t="shared" si="2"/>
        <v>0</v>
      </c>
      <c r="AH5" s="78"/>
      <c r="AI5" s="93">
        <f t="shared" si="3"/>
        <v>7.7499999999999982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1</v>
      </c>
      <c r="AQ5" s="77"/>
      <c r="AR5" s="77"/>
      <c r="AS5" s="77"/>
      <c r="AT5" s="44">
        <f t="shared" si="24"/>
        <v>7.7499999999999982</v>
      </c>
      <c r="AU5" s="78"/>
      <c r="AV5" s="5"/>
      <c r="AW5" s="5"/>
      <c r="AX5" s="5"/>
      <c r="AY5" s="5"/>
      <c r="AZ5" s="24">
        <f>VLOOKUP(C5,Employees!D:I,6,FALSE)</f>
        <v>10187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8.2499999999999982</v>
      </c>
      <c r="CF5" s="5">
        <f t="shared" si="54"/>
        <v>0.5</v>
      </c>
      <c r="CG5" s="5">
        <f t="shared" si="55"/>
        <v>7.7499999999999982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10202</v>
      </c>
      <c r="B6" s="73" t="s">
        <v>1508</v>
      </c>
      <c r="C6" s="87" t="s">
        <v>1513</v>
      </c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84"/>
      <c r="K6" s="84"/>
      <c r="L6" s="91">
        <f t="shared" si="17"/>
        <v>0</v>
      </c>
      <c r="M6" s="75">
        <v>0.5</v>
      </c>
      <c r="N6" s="75">
        <v>0.75</v>
      </c>
      <c r="O6" s="91">
        <f t="shared" si="18"/>
        <v>5.5</v>
      </c>
      <c r="P6" s="75"/>
      <c r="Q6" s="7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5.5</v>
      </c>
      <c r="AC6" s="92"/>
      <c r="AD6" s="78"/>
      <c r="AE6" s="93">
        <f t="shared" si="1"/>
        <v>5.5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1</v>
      </c>
      <c r="AQ6" s="77"/>
      <c r="AR6" s="77"/>
      <c r="AS6" s="77"/>
      <c r="AT6" s="44">
        <f t="shared" si="24"/>
        <v>5.5</v>
      </c>
      <c r="AU6" s="78"/>
      <c r="AV6" s="5"/>
      <c r="AW6" s="5"/>
      <c r="AX6" s="5"/>
      <c r="AY6" s="5"/>
      <c r="AZ6" s="24">
        <f>VLOOKUP(C6,Employees!D:I,6,FALSE)</f>
        <v>10202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6</v>
      </c>
      <c r="BQ6" s="5">
        <f t="shared" si="40"/>
        <v>0.5</v>
      </c>
      <c r="BR6" s="5">
        <f t="shared" si="41"/>
        <v>5.5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1</v>
      </c>
    </row>
    <row r="7" spans="1:89" ht="38" customHeight="1">
      <c r="A7" s="74">
        <f t="shared" si="0"/>
        <v>10267</v>
      </c>
      <c r="B7" s="73" t="s">
        <v>1508</v>
      </c>
      <c r="C7" s="87" t="s">
        <v>1514</v>
      </c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84">
        <v>0.5</v>
      </c>
      <c r="W7" s="84">
        <v>0.83680555555555558</v>
      </c>
      <c r="X7" s="91">
        <f t="shared" si="21"/>
        <v>7.5833333333333339</v>
      </c>
      <c r="Y7" s="91"/>
      <c r="Z7" s="91"/>
      <c r="AA7" s="91"/>
      <c r="AB7" s="91">
        <f t="shared" si="22"/>
        <v>7.5833333333333339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7.5833333333333339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1</v>
      </c>
      <c r="AQ7" s="77"/>
      <c r="AR7" s="77"/>
      <c r="AS7" s="77"/>
      <c r="AT7" s="44">
        <f t="shared" si="24"/>
        <v>7.5833333333333339</v>
      </c>
      <c r="AU7" s="78"/>
      <c r="AV7" s="5"/>
      <c r="AW7" s="5"/>
      <c r="AX7" s="5"/>
      <c r="AY7" s="5"/>
      <c r="AZ7" s="24">
        <f>VLOOKUP(C7,Employees!D:I,6,FALSE)</f>
        <v>10267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8.0833333333333339</v>
      </c>
      <c r="CF7" s="5">
        <f t="shared" si="54"/>
        <v>0.5</v>
      </c>
      <c r="CG7" s="5">
        <f t="shared" si="55"/>
        <v>7.5833333333333339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210445</v>
      </c>
      <c r="B8" s="73" t="s">
        <v>23</v>
      </c>
      <c r="C8" s="103" t="s">
        <v>1515</v>
      </c>
      <c r="D8" s="75">
        <v>0.5</v>
      </c>
      <c r="E8" s="75">
        <v>0.84027777777777779</v>
      </c>
      <c r="F8" s="91">
        <f t="shared" si="15"/>
        <v>7.6666666666666679</v>
      </c>
      <c r="G8" s="75"/>
      <c r="H8" s="75"/>
      <c r="I8" s="91">
        <f t="shared" si="16"/>
        <v>0</v>
      </c>
      <c r="J8" s="76">
        <v>0.5</v>
      </c>
      <c r="K8" s="75">
        <v>0.84722222222222221</v>
      </c>
      <c r="L8" s="91">
        <f t="shared" si="17"/>
        <v>7.8333333333333321</v>
      </c>
      <c r="M8" s="75">
        <v>0.375</v>
      </c>
      <c r="N8" s="75">
        <v>0.70833333333333337</v>
      </c>
      <c r="O8" s="91">
        <f t="shared" si="18"/>
        <v>7.5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23</v>
      </c>
      <c r="AC8" s="92"/>
      <c r="AD8" s="78"/>
      <c r="AE8" s="93">
        <f t="shared" si="1"/>
        <v>23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3</v>
      </c>
      <c r="AQ8" s="77"/>
      <c r="AR8" s="77"/>
      <c r="AS8" s="77"/>
      <c r="AT8" s="44">
        <f t="shared" si="24"/>
        <v>23</v>
      </c>
      <c r="AU8" s="78"/>
      <c r="AV8" s="5"/>
      <c r="AW8" s="5"/>
      <c r="AX8" s="5"/>
      <c r="AY8" s="5"/>
      <c r="AZ8" s="24">
        <f>VLOOKUP(C8,Employees!D:I,6,FALSE)</f>
        <v>210445</v>
      </c>
      <c r="BA8" s="5">
        <f t="shared" si="25"/>
        <v>8.1666666666666679</v>
      </c>
      <c r="BB8" s="5">
        <f t="shared" si="26"/>
        <v>0.5</v>
      </c>
      <c r="BC8" s="5">
        <f t="shared" si="27"/>
        <v>7.6666666666666679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8.3333333333333321</v>
      </c>
      <c r="BL8" s="5">
        <f t="shared" si="35"/>
        <v>0.5</v>
      </c>
      <c r="BM8" s="5">
        <f t="shared" si="36"/>
        <v>7.8333333333333321</v>
      </c>
      <c r="BN8" s="5">
        <f t="shared" si="37"/>
        <v>0</v>
      </c>
      <c r="BO8" s="5">
        <f t="shared" si="38"/>
        <v>0</v>
      </c>
      <c r="BP8" s="5">
        <f t="shared" si="39"/>
        <v>8</v>
      </c>
      <c r="BQ8" s="5">
        <f t="shared" si="40"/>
        <v>0.5</v>
      </c>
      <c r="BR8" s="5">
        <f t="shared" si="41"/>
        <v>7.5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3</v>
      </c>
    </row>
    <row r="9" spans="1:89" ht="38" customHeight="1">
      <c r="A9" s="74">
        <f t="shared" si="0"/>
        <v>210447</v>
      </c>
      <c r="B9" s="73" t="s">
        <v>23</v>
      </c>
      <c r="C9" s="97" t="s">
        <v>1516</v>
      </c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76">
        <v>0.375</v>
      </c>
      <c r="T9" s="75">
        <v>0.75</v>
      </c>
      <c r="U9" s="91">
        <f t="shared" si="20"/>
        <v>8.5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8.5</v>
      </c>
      <c r="AC9" s="92"/>
      <c r="AD9" s="78"/>
      <c r="AE9" s="93">
        <f t="shared" si="1"/>
        <v>0</v>
      </c>
      <c r="AF9" s="77"/>
      <c r="AG9" s="93">
        <f t="shared" si="2"/>
        <v>8.5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1</v>
      </c>
      <c r="AQ9" s="77"/>
      <c r="AR9" s="77"/>
      <c r="AS9" s="77"/>
      <c r="AT9" s="44">
        <f t="shared" si="24"/>
        <v>8.5</v>
      </c>
      <c r="AU9" s="78"/>
      <c r="AV9" s="5"/>
      <c r="AW9" s="5"/>
      <c r="AX9" s="5"/>
      <c r="AY9" s="5"/>
      <c r="AZ9" s="24">
        <f>VLOOKUP(C9,Employees!D:I,6,FALSE)</f>
        <v>210447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9</v>
      </c>
      <c r="CA9" s="5">
        <f t="shared" si="49"/>
        <v>0.5</v>
      </c>
      <c r="CB9" s="5">
        <f t="shared" si="50"/>
        <v>8.5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210188</v>
      </c>
      <c r="B10" s="73" t="s">
        <v>23</v>
      </c>
      <c r="C10" s="98" t="s">
        <v>1517</v>
      </c>
      <c r="D10" s="84">
        <v>0.54166666666666663</v>
      </c>
      <c r="E10" s="84">
        <v>0.84027777777777779</v>
      </c>
      <c r="F10" s="91">
        <f t="shared" si="15"/>
        <v>6.6666666666666679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6.6666666666666679</v>
      </c>
      <c r="AC10" s="92"/>
      <c r="AD10" s="78"/>
      <c r="AE10" s="93">
        <f t="shared" si="1"/>
        <v>6.6666666666666679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1</v>
      </c>
      <c r="AQ10" s="77"/>
      <c r="AR10" s="77"/>
      <c r="AS10" s="77"/>
      <c r="AT10" s="44">
        <f t="shared" si="24"/>
        <v>6.6666666666666679</v>
      </c>
      <c r="AU10" s="78"/>
      <c r="AV10" s="5"/>
      <c r="AW10" s="5"/>
      <c r="AX10" s="5"/>
      <c r="AY10" s="5"/>
      <c r="AZ10" s="24">
        <f>VLOOKUP(C10,Employees!D:I,6,FALSE)</f>
        <v>210188</v>
      </c>
      <c r="BA10" s="5">
        <f t="shared" si="25"/>
        <v>7.1666666666666679</v>
      </c>
      <c r="BB10" s="5">
        <f t="shared" si="26"/>
        <v>0.5</v>
      </c>
      <c r="BC10" s="5">
        <f t="shared" si="27"/>
        <v>6.6666666666666679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210477</v>
      </c>
      <c r="B11" s="73" t="s">
        <v>23</v>
      </c>
      <c r="C11" s="98" t="s">
        <v>1518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84">
        <v>0.54166666666666663</v>
      </c>
      <c r="Q11" s="84">
        <v>0.84722222222222221</v>
      </c>
      <c r="R11" s="91">
        <f t="shared" si="19"/>
        <v>6.8333333333333339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6.8333333333333339</v>
      </c>
      <c r="AC11" s="92"/>
      <c r="AD11" s="78"/>
      <c r="AE11" s="93">
        <f t="shared" si="1"/>
        <v>6.8333333333333339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1</v>
      </c>
      <c r="AQ11" s="77"/>
      <c r="AR11" s="77"/>
      <c r="AS11" s="77"/>
      <c r="AT11" s="44">
        <f t="shared" si="24"/>
        <v>6.8333333333333339</v>
      </c>
      <c r="AU11" s="78"/>
      <c r="AV11" s="5"/>
      <c r="AW11" s="5"/>
      <c r="AX11" s="5"/>
      <c r="AY11" s="5"/>
      <c r="AZ11" s="24">
        <f>VLOOKUP(C11,Employees!D:I,6,FALSE)</f>
        <v>210477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7.3333333333333339</v>
      </c>
      <c r="BV11" s="5">
        <f t="shared" si="45"/>
        <v>0.5</v>
      </c>
      <c r="BW11" s="5">
        <f t="shared" si="46"/>
        <v>6.8333333333333339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10385</v>
      </c>
      <c r="B12" s="73" t="s">
        <v>23</v>
      </c>
      <c r="C12" s="99" t="s">
        <v>1519</v>
      </c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>
        <v>0.58333333333333337</v>
      </c>
      <c r="N12" s="75">
        <v>0.88541666666666663</v>
      </c>
      <c r="O12" s="91">
        <f t="shared" si="18"/>
        <v>6.7499999999999982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6.7499999999999982</v>
      </c>
      <c r="AC12" s="92"/>
      <c r="AD12" s="78"/>
      <c r="AE12" s="93">
        <f t="shared" si="1"/>
        <v>6.7499999999999982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1</v>
      </c>
      <c r="AQ12" s="77"/>
      <c r="AR12" s="77"/>
      <c r="AS12" s="77"/>
      <c r="AT12" s="44">
        <f t="shared" si="24"/>
        <v>6.7499999999999982</v>
      </c>
      <c r="AU12" s="78"/>
      <c r="AV12" s="5"/>
      <c r="AW12" s="5"/>
      <c r="AX12" s="5"/>
      <c r="AY12" s="5"/>
      <c r="AZ12" s="24">
        <f>VLOOKUP(C12,Employees!D:I,6,FALSE)</f>
        <v>10385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7.2499999999999982</v>
      </c>
      <c r="BQ12" s="5">
        <f t="shared" si="40"/>
        <v>0.5</v>
      </c>
      <c r="BR12" s="5">
        <f t="shared" si="41"/>
        <v>6.7499999999999982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10012</v>
      </c>
      <c r="B2" s="73" t="s">
        <v>1508</v>
      </c>
      <c r="C2" s="87" t="s">
        <v>1509</v>
      </c>
      <c r="D2" s="75">
        <v>0.38194444444444442</v>
      </c>
      <c r="E2" s="75">
        <v>0.58333333333333337</v>
      </c>
      <c r="F2" s="91">
        <f>BA2-BB2</f>
        <v>4.8333333333333348</v>
      </c>
      <c r="G2" s="75">
        <v>0.375</v>
      </c>
      <c r="H2" s="76">
        <v>0.75</v>
      </c>
      <c r="I2" s="91">
        <f>BF2-BG2</f>
        <v>8.5</v>
      </c>
      <c r="J2" s="75">
        <v>0.54166666666666663</v>
      </c>
      <c r="K2" s="76">
        <v>0.85069444444444442</v>
      </c>
      <c r="L2" s="91">
        <f>BK2-BL2</f>
        <v>6.916666666666667</v>
      </c>
      <c r="M2" s="75"/>
      <c r="N2" s="76"/>
      <c r="O2" s="91">
        <f>BP2-BQ2</f>
        <v>0</v>
      </c>
      <c r="P2" s="75">
        <v>0.375</v>
      </c>
      <c r="Q2" s="76">
        <v>0.75</v>
      </c>
      <c r="R2" s="91">
        <f>BU2-BV2</f>
        <v>8.5</v>
      </c>
      <c r="S2" s="75">
        <v>0.5</v>
      </c>
      <c r="T2" s="75">
        <v>0.84375</v>
      </c>
      <c r="U2" s="91">
        <f>BZ2-CA2</f>
        <v>7.75</v>
      </c>
      <c r="V2" s="75"/>
      <c r="W2" s="101"/>
      <c r="X2" s="91">
        <f>CE2-CF2</f>
        <v>0</v>
      </c>
      <c r="Y2" s="91"/>
      <c r="Z2" s="91"/>
      <c r="AA2" s="91"/>
      <c r="AB2" s="95">
        <f>SUM(F2,I2,L2,O2,R2,U2,X2)</f>
        <v>36.5</v>
      </c>
      <c r="AC2" s="92"/>
      <c r="AD2" s="78">
        <v>1</v>
      </c>
      <c r="AE2" s="93">
        <f>SUMIF($BC$1:$CI$1,AE$1,$BC2:$CI2)+AD2</f>
        <v>24.916666666666668</v>
      </c>
      <c r="AF2" s="78"/>
      <c r="AG2" s="93">
        <f>SUMIF($BC$1:$CI$1,AG$1,$BC2:$CI2)+AF2</f>
        <v>7.75</v>
      </c>
      <c r="AH2" s="78"/>
      <c r="AI2" s="93">
        <f>SUMIF($BC$1:$CI$1,AI$1,$BC2:$CI2)+AH2</f>
        <v>0</v>
      </c>
      <c r="AJ2" s="77"/>
      <c r="AK2" s="93">
        <f>SUMIF($BC$1:$CI$1,AK$1,$BC2:$CI2)+AJ2</f>
        <v>4.8333333333333348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5</v>
      </c>
      <c r="AQ2" s="77"/>
      <c r="AR2" s="77"/>
      <c r="AS2" s="77"/>
      <c r="AT2" s="63">
        <f>AE2+AG2+AI2+AK2+AM2+AO2+SUM(AQ2:AS2)</f>
        <v>37.500000000000007</v>
      </c>
      <c r="AU2" s="104" t="s">
        <v>1521</v>
      </c>
      <c r="AV2" s="5"/>
      <c r="AW2" s="5"/>
      <c r="AX2" s="5"/>
      <c r="AY2" s="5"/>
      <c r="AZ2" s="24">
        <f>VLOOKUP(C2,Employees!D:I,6,FALSE)</f>
        <v>10012</v>
      </c>
      <c r="BA2" s="5">
        <f>IF(ISBLANK(D2),0,(E2-D2)*24)</f>
        <v>4.8333333333333348</v>
      </c>
      <c r="BB2" s="5">
        <f>IF(BA2&gt;$AY$1,1,IF(BA2&gt;=$AX$1,0.5,0))</f>
        <v>0</v>
      </c>
      <c r="BC2" s="5">
        <f>BA2-BB2-BD2-BE2</f>
        <v>4.8333333333333348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9</v>
      </c>
      <c r="BG2" s="5">
        <f>IF(BF2&gt;$AY$1,1,IF(BF2&gt;=$AX$1,0.5,0))</f>
        <v>0.5</v>
      </c>
      <c r="BH2" s="5">
        <f>BF2-BG2-BI2-BJ2</f>
        <v>8.5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7.416666666666667</v>
      </c>
      <c r="BL2" s="5">
        <f>IF(BK2&gt;$AY$1,1,IF(BK2&gt;=$AX$1,0.5,0))</f>
        <v>0.5</v>
      </c>
      <c r="BM2" s="5">
        <f>BK2-BL2-BN2-BO2</f>
        <v>6.916666666666667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9</v>
      </c>
      <c r="BV2" s="5">
        <f>IF(BU2&gt;$AY$1,1,IF(BU2&gt;=$AX$1,0.5,0))</f>
        <v>0.5</v>
      </c>
      <c r="BW2" s="5">
        <f>BU2-BV2-BX2-BY2</f>
        <v>8.5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8.25</v>
      </c>
      <c r="CA2" s="5">
        <f>IF(BZ2&gt;$AY$1,1,IF(BZ2&gt;=$AX$1,0.5,0))</f>
        <v>0.5</v>
      </c>
      <c r="CB2" s="5">
        <f>BZ2-CA2-CC2-CD2</f>
        <v>7.75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10491</v>
      </c>
      <c r="B3" s="73" t="s">
        <v>23</v>
      </c>
      <c r="C3" s="103" t="s">
        <v>1510</v>
      </c>
      <c r="D3" s="75">
        <v>0.5</v>
      </c>
      <c r="E3" s="75">
        <v>0.6875</v>
      </c>
      <c r="F3" s="91">
        <f t="shared" ref="F3:F74" si="9">BA3-BB3</f>
        <v>4.5</v>
      </c>
      <c r="G3" s="75">
        <v>0.5</v>
      </c>
      <c r="H3" s="75">
        <v>0.85069444444444442</v>
      </c>
      <c r="I3" s="91">
        <f t="shared" ref="I3:I74" si="10">BF3-BG3</f>
        <v>7.9166666666666661</v>
      </c>
      <c r="J3" s="76">
        <v>0.5</v>
      </c>
      <c r="K3" s="75">
        <v>0.85069444444444442</v>
      </c>
      <c r="L3" s="91">
        <f t="shared" ref="L3:L74" si="11">BK3-BL3</f>
        <v>7.9166666666666661</v>
      </c>
      <c r="M3" s="75"/>
      <c r="N3" s="75"/>
      <c r="O3" s="91">
        <f t="shared" ref="O3:O74" si="12">BP3-BQ3</f>
        <v>0</v>
      </c>
      <c r="P3" s="84">
        <v>0.5</v>
      </c>
      <c r="Q3" s="84">
        <v>0.85069444444444442</v>
      </c>
      <c r="R3" s="91">
        <f t="shared" ref="R3:R74" si="13">BU3-BV3</f>
        <v>7.9166666666666661</v>
      </c>
      <c r="S3" s="84"/>
      <c r="T3" s="84"/>
      <c r="U3" s="91">
        <f t="shared" ref="U3:U74" si="14">BZ3-CA3</f>
        <v>0</v>
      </c>
      <c r="V3" s="75">
        <v>0.5</v>
      </c>
      <c r="W3" s="75">
        <v>0.84375</v>
      </c>
      <c r="X3" s="91">
        <f t="shared" ref="X3:X74" si="15">CE3-CF3</f>
        <v>7.75</v>
      </c>
      <c r="Y3" s="91"/>
      <c r="Z3" s="91"/>
      <c r="AA3" s="91"/>
      <c r="AB3" s="95">
        <f t="shared" ref="AB3:AB74" si="16">SUM(F3,I3,L3,O3,R3,U3,X3)</f>
        <v>36</v>
      </c>
      <c r="AC3" s="92"/>
      <c r="AD3" s="78"/>
      <c r="AE3" s="93">
        <f t="shared" ref="AE3:AE74" si="17">SUMIF($BC$1:$CI$1,AE$1,$BC3:$CI3)+AD3</f>
        <v>23.75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7.75</v>
      </c>
      <c r="AJ3" s="77"/>
      <c r="AK3" s="93">
        <f t="shared" ref="AK3:AK74" si="20">SUMIF($BC$1:$CI$1,AK$1,$BC3:$CI3)+AJ3</f>
        <v>4.5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36</v>
      </c>
      <c r="AU3" s="78"/>
      <c r="AV3" s="5"/>
      <c r="AW3" s="5"/>
      <c r="AX3" s="5"/>
      <c r="AY3" s="5"/>
      <c r="AZ3" s="24">
        <f>VLOOKUP(C3,Employees!D:I,6,FALSE)</f>
        <v>10491</v>
      </c>
      <c r="BA3" s="5">
        <f t="shared" ref="BA3:BA66" si="25">IF(ISBLANK(D3),0,(E3-D3)*24)</f>
        <v>4.5</v>
      </c>
      <c r="BB3" s="5">
        <f t="shared" ref="BB3:BB66" si="26">IF(BA3&gt;$AY$1,1,IF(BA3&gt;=$AX$1,0.5,0))</f>
        <v>0</v>
      </c>
      <c r="BC3" s="5">
        <f t="shared" ref="BC3:BC66" si="27">BA3-BB3-BD3-BE3</f>
        <v>4.5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8.4166666666666661</v>
      </c>
      <c r="BG3" s="5">
        <f t="shared" ref="BG3:BG66" si="31">IF(BF3&gt;$AY$1,1,IF(BF3&gt;=$AX$1,0.5,0))</f>
        <v>0.5</v>
      </c>
      <c r="BH3" s="5">
        <f t="shared" ref="BH3:BH66" si="32">BF3-BG3-BI3-BJ3</f>
        <v>7.9166666666666661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8.4166666666666661</v>
      </c>
      <c r="BL3" s="5">
        <f t="shared" ref="BL3:BL66" si="36">IF(BK3&gt;$AY$1,1,IF(BK3&gt;=$AX$1,0.5,0))</f>
        <v>0.5</v>
      </c>
      <c r="BM3" s="5">
        <f t="shared" ref="BM3:BM66" si="37">BK3-BL3-BN3-BO3</f>
        <v>7.9166666666666661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8.4166666666666661</v>
      </c>
      <c r="BV3" s="5">
        <f t="shared" ref="BV3:BV66" si="46">IF(BU3&gt;$AY$1,1,IF(BU3&gt;=$AX$1,0.5,0))</f>
        <v>0.5</v>
      </c>
      <c r="BW3" s="5">
        <f t="shared" ref="BW3:BW66" si="47">BU3-BV3-BX3-BY3</f>
        <v>7.9166666666666661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8.25</v>
      </c>
      <c r="CF3" s="5">
        <f t="shared" ref="CF3:CF66" si="56">IF(CE3&gt;$AY$1,1,IF(CE3&gt;=$AX$1,0.5,0))</f>
        <v>0.5</v>
      </c>
      <c r="CG3" s="5">
        <f t="shared" ref="CG3:CG66" si="57">CE3-CF3-CH3-CI3</f>
        <v>7.75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5</v>
      </c>
    </row>
    <row r="4" spans="1:89" ht="47" customHeight="1">
      <c r="A4" s="74">
        <f t="shared" si="0"/>
        <v>10051</v>
      </c>
      <c r="B4" s="73" t="s">
        <v>1508</v>
      </c>
      <c r="C4" s="87" t="s">
        <v>1511</v>
      </c>
      <c r="D4" s="75">
        <v>0.5</v>
      </c>
      <c r="E4" s="75">
        <v>0.6875</v>
      </c>
      <c r="F4" s="91">
        <f t="shared" si="9"/>
        <v>4.5</v>
      </c>
      <c r="G4" s="75"/>
      <c r="H4" s="75"/>
      <c r="I4" s="91">
        <f t="shared" si="10"/>
        <v>0</v>
      </c>
      <c r="J4" s="75">
        <v>0.375</v>
      </c>
      <c r="K4" s="75">
        <v>0.75</v>
      </c>
      <c r="L4" s="91">
        <f t="shared" si="11"/>
        <v>8.5</v>
      </c>
      <c r="M4" s="75">
        <v>0.375</v>
      </c>
      <c r="N4" s="75">
        <v>0.70833333333333337</v>
      </c>
      <c r="O4" s="91">
        <f t="shared" si="12"/>
        <v>7.5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>
        <v>0.54166666666666663</v>
      </c>
      <c r="W4" s="75">
        <v>0.84375</v>
      </c>
      <c r="X4" s="91">
        <f t="shared" si="15"/>
        <v>6.7500000000000009</v>
      </c>
      <c r="Y4" s="91"/>
      <c r="Z4" s="91"/>
      <c r="AA4" s="91"/>
      <c r="AB4" s="95">
        <f t="shared" si="16"/>
        <v>27.25</v>
      </c>
      <c r="AC4" s="92"/>
      <c r="AD4" s="78"/>
      <c r="AE4" s="93">
        <f t="shared" si="17"/>
        <v>16</v>
      </c>
      <c r="AF4" s="78"/>
      <c r="AG4" s="93">
        <f t="shared" si="18"/>
        <v>0</v>
      </c>
      <c r="AH4" s="78"/>
      <c r="AI4" s="93">
        <f t="shared" si="19"/>
        <v>6.7500000000000009</v>
      </c>
      <c r="AJ4" s="77"/>
      <c r="AK4" s="93">
        <f t="shared" si="20"/>
        <v>4.5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4</v>
      </c>
      <c r="AQ4" s="77"/>
      <c r="AR4" s="77"/>
      <c r="AS4" s="77"/>
      <c r="AT4" s="63">
        <f t="shared" si="24"/>
        <v>27.25</v>
      </c>
      <c r="AU4" s="78"/>
      <c r="AV4" s="5"/>
      <c r="AW4" s="5"/>
      <c r="AX4" s="5"/>
      <c r="AY4" s="5"/>
      <c r="AZ4" s="24">
        <f>VLOOKUP(C4,Employees!D:I,6,FALSE)</f>
        <v>10051</v>
      </c>
      <c r="BA4" s="5">
        <f t="shared" si="25"/>
        <v>4.5</v>
      </c>
      <c r="BB4" s="5">
        <f t="shared" si="26"/>
        <v>0</v>
      </c>
      <c r="BC4" s="5">
        <f t="shared" si="27"/>
        <v>4.5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9</v>
      </c>
      <c r="BL4" s="5">
        <f t="shared" si="36"/>
        <v>0.5</v>
      </c>
      <c r="BM4" s="5">
        <f t="shared" si="37"/>
        <v>8.5</v>
      </c>
      <c r="BN4" s="5">
        <f t="shared" si="38"/>
        <v>0</v>
      </c>
      <c r="BO4" s="5">
        <f t="shared" si="39"/>
        <v>0</v>
      </c>
      <c r="BP4" s="5">
        <f t="shared" si="40"/>
        <v>8</v>
      </c>
      <c r="BQ4" s="5">
        <f t="shared" si="41"/>
        <v>0.5</v>
      </c>
      <c r="BR4" s="5">
        <f t="shared" si="42"/>
        <v>7.5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7.2500000000000009</v>
      </c>
      <c r="CF4" s="5">
        <f t="shared" si="56"/>
        <v>0.5</v>
      </c>
      <c r="CG4" s="5">
        <f t="shared" si="57"/>
        <v>6.7500000000000009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10187</v>
      </c>
      <c r="B5" s="73" t="s">
        <v>1508</v>
      </c>
      <c r="C5" s="87" t="s">
        <v>1512</v>
      </c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/>
      <c r="T5" s="75"/>
      <c r="U5" s="91">
        <f t="shared" si="14"/>
        <v>0</v>
      </c>
      <c r="V5" s="75">
        <v>0.375</v>
      </c>
      <c r="W5" s="76">
        <v>0.70833333333333337</v>
      </c>
      <c r="X5" s="91">
        <f t="shared" si="15"/>
        <v>7.5</v>
      </c>
      <c r="Y5" s="91"/>
      <c r="Z5" s="91"/>
      <c r="AA5" s="91"/>
      <c r="AB5" s="95">
        <f t="shared" si="16"/>
        <v>7.5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7.5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1</v>
      </c>
      <c r="AQ5" s="77"/>
      <c r="AR5" s="77"/>
      <c r="AS5" s="77"/>
      <c r="AT5" s="63">
        <f t="shared" si="24"/>
        <v>7.5</v>
      </c>
      <c r="AU5" s="78"/>
      <c r="AV5" s="5"/>
      <c r="AW5" s="5"/>
      <c r="AX5" s="5"/>
      <c r="AY5" s="5"/>
      <c r="AZ5" s="24">
        <f>VLOOKUP(C5,Employees!D:I,6,FALSE)</f>
        <v>10187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8</v>
      </c>
      <c r="CF5" s="5">
        <f t="shared" si="56"/>
        <v>0.5</v>
      </c>
      <c r="CG5" s="5">
        <f t="shared" si="57"/>
        <v>7.5</v>
      </c>
      <c r="CH5" s="5">
        <f t="shared" si="58"/>
        <v>0</v>
      </c>
      <c r="CI5" s="5">
        <f t="shared" si="59"/>
        <v>0</v>
      </c>
      <c r="CJ5" s="5"/>
      <c r="CK5" s="4">
        <f t="shared" si="8"/>
        <v>1</v>
      </c>
    </row>
    <row r="6" spans="1:89" ht="47" customHeight="1">
      <c r="A6" s="74">
        <f t="shared" si="0"/>
        <v>10202</v>
      </c>
      <c r="B6" s="73" t="s">
        <v>1508</v>
      </c>
      <c r="C6" s="87" t="s">
        <v>1513</v>
      </c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/>
      <c r="K6" s="76"/>
      <c r="L6" s="91">
        <f t="shared" si="11"/>
        <v>0</v>
      </c>
      <c r="M6" s="76">
        <v>0.5</v>
      </c>
      <c r="N6" s="76">
        <v>0.75</v>
      </c>
      <c r="O6" s="91">
        <f t="shared" si="12"/>
        <v>5.5</v>
      </c>
      <c r="P6" s="76"/>
      <c r="Q6" s="75"/>
      <c r="R6" s="91">
        <f t="shared" si="13"/>
        <v>0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5.5</v>
      </c>
      <c r="AC6" s="92"/>
      <c r="AD6" s="78"/>
      <c r="AE6" s="93">
        <f t="shared" si="17"/>
        <v>5.5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1</v>
      </c>
      <c r="AQ6" s="77"/>
      <c r="AR6" s="77"/>
      <c r="AS6" s="77"/>
      <c r="AT6" s="63">
        <f t="shared" si="24"/>
        <v>5.5</v>
      </c>
      <c r="AU6" s="78"/>
      <c r="AV6" s="5"/>
      <c r="AW6" s="5"/>
      <c r="AX6" s="5"/>
      <c r="AY6" s="5"/>
      <c r="AZ6" s="24">
        <f>VLOOKUP(C6,Employees!D:I,6,FALSE)</f>
        <v>10202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6</v>
      </c>
      <c r="BQ6" s="5">
        <f t="shared" si="41"/>
        <v>0.5</v>
      </c>
      <c r="BR6" s="5">
        <f t="shared" si="42"/>
        <v>5.5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10267</v>
      </c>
      <c r="B7" s="73" t="s">
        <v>1508</v>
      </c>
      <c r="C7" s="87" t="s">
        <v>1514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>
        <v>0.375</v>
      </c>
      <c r="T7" s="75">
        <v>0.75</v>
      </c>
      <c r="U7" s="91">
        <f t="shared" si="14"/>
        <v>8.5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8.5</v>
      </c>
      <c r="AC7" s="92"/>
      <c r="AD7" s="78"/>
      <c r="AE7" s="93">
        <f t="shared" si="17"/>
        <v>0</v>
      </c>
      <c r="AF7" s="77"/>
      <c r="AG7" s="93">
        <f t="shared" si="18"/>
        <v>8.5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1</v>
      </c>
      <c r="AQ7" s="77"/>
      <c r="AR7" s="77"/>
      <c r="AS7" s="77"/>
      <c r="AT7" s="63">
        <f t="shared" si="24"/>
        <v>8.5</v>
      </c>
      <c r="AU7" s="78"/>
      <c r="AV7" s="5"/>
      <c r="AW7" s="5"/>
      <c r="AX7" s="5"/>
      <c r="AY7" s="5"/>
      <c r="AZ7" s="24">
        <f>VLOOKUP(C7,Employees!D:I,6,FALSE)</f>
        <v>10267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9</v>
      </c>
      <c r="CA7" s="5">
        <f t="shared" si="51"/>
        <v>0.5</v>
      </c>
      <c r="CB7" s="5">
        <f t="shared" si="52"/>
        <v>8.5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210445</v>
      </c>
      <c r="B8" s="73" t="s">
        <v>23</v>
      </c>
      <c r="C8" s="103" t="s">
        <v>1515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>
        <v>0.54166666666666663</v>
      </c>
      <c r="N8" s="75">
        <v>0.88541666666666663</v>
      </c>
      <c r="O8" s="91">
        <f t="shared" si="12"/>
        <v>7.75</v>
      </c>
      <c r="P8" s="84">
        <v>0.54166666666666663</v>
      </c>
      <c r="Q8" s="84">
        <v>0.85069444444444442</v>
      </c>
      <c r="R8" s="91">
        <f t="shared" si="13"/>
        <v>6.916666666666667</v>
      </c>
      <c r="S8" s="76">
        <v>0.54166666666666663</v>
      </c>
      <c r="T8" s="76">
        <v>0.84375</v>
      </c>
      <c r="U8" s="91">
        <f t="shared" si="14"/>
        <v>6.7500000000000009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21.416666666666668</v>
      </c>
      <c r="AC8" s="92"/>
      <c r="AD8" s="78"/>
      <c r="AE8" s="93">
        <f t="shared" si="17"/>
        <v>14.666666666666668</v>
      </c>
      <c r="AF8" s="77"/>
      <c r="AG8" s="93">
        <f t="shared" si="18"/>
        <v>6.7500000000000009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3</v>
      </c>
      <c r="AQ8" s="77"/>
      <c r="AR8" s="77"/>
      <c r="AS8" s="77"/>
      <c r="AT8" s="63">
        <f t="shared" si="24"/>
        <v>21.416666666666668</v>
      </c>
      <c r="AU8" s="78"/>
      <c r="AV8" s="5"/>
      <c r="AW8" s="5"/>
      <c r="AX8" s="5"/>
      <c r="AY8" s="5"/>
      <c r="AZ8" s="24">
        <f>VLOOKUP(C8,Employees!D:I,6,FALSE)</f>
        <v>210445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8.25</v>
      </c>
      <c r="BQ8" s="5">
        <f t="shared" si="41"/>
        <v>0.5</v>
      </c>
      <c r="BR8" s="5">
        <f t="shared" si="42"/>
        <v>7.75</v>
      </c>
      <c r="BS8" s="5">
        <f t="shared" si="43"/>
        <v>0</v>
      </c>
      <c r="BT8" s="5">
        <f t="shared" si="44"/>
        <v>0</v>
      </c>
      <c r="BU8" s="5">
        <f t="shared" si="45"/>
        <v>7.416666666666667</v>
      </c>
      <c r="BV8" s="5">
        <f t="shared" si="46"/>
        <v>0.5</v>
      </c>
      <c r="BW8" s="5">
        <f t="shared" si="47"/>
        <v>6.916666666666667</v>
      </c>
      <c r="BX8" s="5">
        <f t="shared" si="48"/>
        <v>0</v>
      </c>
      <c r="BY8" s="5">
        <f t="shared" si="49"/>
        <v>0</v>
      </c>
      <c r="BZ8" s="5">
        <f t="shared" si="50"/>
        <v>7.2500000000000009</v>
      </c>
      <c r="CA8" s="5">
        <f t="shared" si="51"/>
        <v>0.5</v>
      </c>
      <c r="CB8" s="5">
        <f t="shared" si="52"/>
        <v>6.7500000000000009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210447</v>
      </c>
      <c r="B9" s="73" t="s">
        <v>23</v>
      </c>
      <c r="C9" s="97" t="s">
        <v>1516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210447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210415</v>
      </c>
      <c r="B10" s="73" t="s">
        <v>23</v>
      </c>
      <c r="C10" s="97" t="s">
        <v>1520</v>
      </c>
      <c r="D10" s="76"/>
      <c r="E10" s="75"/>
      <c r="F10" s="91">
        <f t="shared" si="9"/>
        <v>0</v>
      </c>
      <c r="G10" s="75">
        <v>0.54166666666666663</v>
      </c>
      <c r="H10" s="76">
        <v>0.85069444444444442</v>
      </c>
      <c r="I10" s="91">
        <f t="shared" si="10"/>
        <v>6.916666666666667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6.916666666666667</v>
      </c>
      <c r="AC10" s="92"/>
      <c r="AD10" s="78"/>
      <c r="AE10" s="93">
        <f t="shared" si="17"/>
        <v>6.916666666666667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1</v>
      </c>
      <c r="AQ10" s="77"/>
      <c r="AR10" s="77"/>
      <c r="AS10" s="77"/>
      <c r="AT10" s="63">
        <f t="shared" si="24"/>
        <v>6.916666666666667</v>
      </c>
      <c r="AU10" s="78"/>
      <c r="AV10" s="5"/>
      <c r="AW10" s="5"/>
      <c r="AX10" s="5"/>
      <c r="AY10" s="5"/>
      <c r="AZ10" s="24">
        <f>VLOOKUP(C10,Employees!D:I,6,FALSE)</f>
        <v>210415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7.416666666666667</v>
      </c>
      <c r="BG10" s="5">
        <f t="shared" si="31"/>
        <v>0.5</v>
      </c>
      <c r="BH10" s="5">
        <f t="shared" si="32"/>
        <v>6.916666666666667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10385</v>
      </c>
      <c r="B11" s="81" t="s">
        <v>23</v>
      </c>
      <c r="C11" s="85" t="s">
        <v>1519</v>
      </c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>
        <v>0.58333333333333337</v>
      </c>
      <c r="N11" s="75">
        <v>0.88541666666666663</v>
      </c>
      <c r="O11" s="91">
        <f t="shared" si="12"/>
        <v>6.7499999999999982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6.7499999999999982</v>
      </c>
      <c r="AC11" s="92"/>
      <c r="AD11" s="78"/>
      <c r="AE11" s="93">
        <f t="shared" si="17"/>
        <v>6.7499999999999982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1</v>
      </c>
      <c r="AQ11" s="77"/>
      <c r="AR11" s="77"/>
      <c r="AS11" s="77"/>
      <c r="AT11" s="63">
        <f t="shared" si="24"/>
        <v>6.7499999999999982</v>
      </c>
      <c r="AU11" s="78"/>
      <c r="AV11" s="5"/>
      <c r="AW11" s="5"/>
      <c r="AX11" s="5"/>
      <c r="AY11" s="5"/>
      <c r="AZ11" s="24">
        <f>VLOOKUP(C11,Employees!D:I,6,FALSE)</f>
        <v>10385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7.2499999999999982</v>
      </c>
      <c r="BQ11" s="5">
        <f t="shared" si="41"/>
        <v>0.5</v>
      </c>
      <c r="BR11" s="5">
        <f t="shared" si="42"/>
        <v>6.7499999999999982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I13" sqref="I13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10012</v>
      </c>
      <c r="B2" s="28">
        <f ca="1">IF(A2=0,"",_xlfn.NUMBERVALUE(A2))</f>
        <v>10012</v>
      </c>
      <c r="C2" s="28" t="str">
        <f ca="1">IF($A2=0,"",VLOOKUP($B2,Employees!$A:$G,2,FALSE))</f>
        <v>Han</v>
      </c>
      <c r="D2" s="28" t="str">
        <f ca="1">IF($A2=0,"",VLOOKUP($B2,Employees!$A:$G,3,FALSE))</f>
        <v>Liu</v>
      </c>
      <c r="E2" s="26">
        <f ca="1">IF($A2=0,"",VLOOKUP($B2,Employees!$A:$G,5,FALSE))</f>
        <v>35102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QVB</v>
      </c>
      <c r="L2" s="13" t="str">
        <f ca="1">IF($A2=0,"",VLOOKUP(K2,Stores!A:B,2,0))</f>
        <v>Superb</v>
      </c>
      <c r="M2" s="14">
        <f t="shared" ref="M2" ca="1" si="0">Y2+AK2</f>
        <v>55.583333333333343</v>
      </c>
      <c r="N2" s="14">
        <f t="shared" ref="N2" ca="1" si="1">Z2+AL2</f>
        <v>15.166666666666664</v>
      </c>
      <c r="O2" s="14">
        <f t="shared" ref="O2" ca="1" si="2">AA2+AM2</f>
        <v>0</v>
      </c>
      <c r="P2" s="14">
        <f t="shared" ref="P2" ca="1" si="3">AB2+AN2</f>
        <v>4.8333333333333348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10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75.583333333333329</v>
      </c>
      <c r="Y2" s="17">
        <f ca="1">IF($A2=0,0,SUMIF('Week 1 Roster'!$AZ:$AZ,$B2,'Week 1 Roster'!$AE:$AE))</f>
        <v>30.666666666666671</v>
      </c>
      <c r="Z2" s="17">
        <f ca="1">IF($A2=0,0,SUMIF('Week 1 Roster'!$AZ:$AZ,$B2,'Week 1 Roster'!$AG:$AG))</f>
        <v>7.4166666666666652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38.083333333333336</v>
      </c>
      <c r="AK2" s="17">
        <f ca="1">IF($A2=0,0,SUMIF('Week 2 Roster'!$AZ:$AZ,$B2,'Week 2 Roster'!$AE:$AE))</f>
        <v>24.916666666666668</v>
      </c>
      <c r="AL2" s="17">
        <f ca="1">IF($A2=0,0,SUMIF('Week 2 Roster'!$AZ:$AZ,$B2,'Week 2 Roster'!$AG:$AG))</f>
        <v>7.75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4.8333333333333348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37.500000000000007</v>
      </c>
      <c r="AV2" s="17"/>
      <c r="AW2" s="25">
        <f>'Week 1 Roster'!A2</f>
        <v>10012</v>
      </c>
      <c r="AX2" s="25">
        <f>'Week 2 Roster'!A2</f>
        <v>10012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10491</v>
      </c>
      <c r="B3" s="28">
        <f t="shared" ref="B3:B66" ca="1" si="9">IF(A3=0,"",_xlfn.NUMBERVALUE(A3))</f>
        <v>10491</v>
      </c>
      <c r="C3" s="28" t="str">
        <f ca="1">IF($A3=0,"",VLOOKUP($B3,Employees!$A:$G,2,FALSE))</f>
        <v>YUTING</v>
      </c>
      <c r="D3" s="28" t="str">
        <f ca="1">IF($A3=0,"",VLOOKUP($B3,Employees!$A:$G,3,FALSE))</f>
        <v>HSIEH</v>
      </c>
      <c r="E3" s="26">
        <f ca="1">IF($A3=0,"",VLOOKUP($B3,Employees!$A:$G,5,FALSE))</f>
        <v>31687</v>
      </c>
      <c r="F3" s="13">
        <f ca="1">IF($E3="","",ROUNDDOWN(YEARFRAC($E3, 'Week 1 Roster'!$D$1-1, 1), 0))</f>
        <v>39</v>
      </c>
      <c r="G3" s="13">
        <f ca="1">IF($E3="","",ROUNDDOWN(YEARFRAC($E3, 'Week 1 Roster'!$D$1+14, 1), 0))</f>
        <v>39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QVB</v>
      </c>
      <c r="L3" s="13" t="str">
        <f ca="1">IF($A3=0,"",VLOOKUP(K3,Stores!A:B,2,0))</f>
        <v>Superb</v>
      </c>
      <c r="M3" s="14">
        <f t="shared" ref="M3:M66" ca="1" si="11">Y3+AK3</f>
        <v>61.853333333333332</v>
      </c>
      <c r="N3" s="14">
        <f t="shared" ref="N3:N66" ca="1" si="12">Z3+AL3</f>
        <v>6.916666666666667</v>
      </c>
      <c r="O3" s="14">
        <f t="shared" ref="O3:O66" ca="1" si="13">AA3+AM3</f>
        <v>7.75</v>
      </c>
      <c r="P3" s="14">
        <f t="shared" ref="P3:P66" ca="1" si="14">AB3+AN3</f>
        <v>4.5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81.02</v>
      </c>
      <c r="Y3" s="17">
        <f ca="1">IF($A3=0,0,SUMIF('Week 1 Roster'!$AZ:$AZ,$B3,'Week 1 Roster'!$AE:$AE))</f>
        <v>38.103333333333332</v>
      </c>
      <c r="Z3" s="17">
        <f ca="1">IF($A3=0,0,SUMIF('Week 1 Roster'!$AZ:$AZ,$B3,'Week 1 Roster'!$AG:$AG))</f>
        <v>6.916666666666667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45.019999999999996</v>
      </c>
      <c r="AK3" s="17">
        <f ca="1">IF($A3=0,0,SUMIF('Week 2 Roster'!$AZ:$AZ,$B3,'Week 2 Roster'!$AE:$AE))</f>
        <v>23.75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7.75</v>
      </c>
      <c r="AN3" s="17">
        <f ca="1">IF($A3=0,0,SUMIF('Week 2 Roster'!$AZ:$AZ,$B3,'Week 2 Roster'!$AK:$AK))</f>
        <v>4.5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36</v>
      </c>
      <c r="AV3" s="17"/>
      <c r="AW3" s="25">
        <f>'Week 1 Roster'!A3</f>
        <v>10491</v>
      </c>
      <c r="AX3" s="25">
        <f>'Week 2 Roster'!A3</f>
        <v>10491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10051</v>
      </c>
      <c r="B4" s="28">
        <f t="shared" ca="1" si="9"/>
        <v>10051</v>
      </c>
      <c r="C4" s="28" t="str">
        <f ca="1">IF($A4=0,"",VLOOKUP($B4,Employees!$A:$G,2,FALSE))</f>
        <v>Yang</v>
      </c>
      <c r="D4" s="28" t="str">
        <f ca="1">IF($A4=0,"",VLOOKUP($B4,Employees!$A:$G,3,FALSE))</f>
        <v>Zhang</v>
      </c>
      <c r="E4" s="26">
        <f ca="1">IF($A4=0,"",VLOOKUP($B4,Employees!$A:$G,5,FALSE))</f>
        <v>35454</v>
      </c>
      <c r="F4" s="13">
        <f ca="1">IF($E4="","",ROUNDDOWN(YEARFRAC($E4, 'Week 1 Roster'!$D$1-1, 1), 0))</f>
        <v>28</v>
      </c>
      <c r="G4" s="13">
        <f ca="1">IF($E4="","",ROUNDDOWN(YEARFRAC($E4, 'Week 1 Roster'!$D$1+14, 1), 0))</f>
        <v>29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QVB</v>
      </c>
      <c r="L4" s="13" t="str">
        <f ca="1">IF($A4=0,"",VLOOKUP(K4,Stores!A:B,2,0))</f>
        <v>Superb</v>
      </c>
      <c r="M4" s="14">
        <f t="shared" ca="1" si="11"/>
        <v>40.75</v>
      </c>
      <c r="N4" s="14">
        <f t="shared" ca="1" si="12"/>
        <v>0</v>
      </c>
      <c r="O4" s="14">
        <f t="shared" ca="1" si="13"/>
        <v>13.166666666666668</v>
      </c>
      <c r="P4" s="14">
        <f t="shared" ca="1" si="14"/>
        <v>4.5</v>
      </c>
      <c r="Q4" s="14">
        <f t="shared" ca="1" si="15"/>
        <v>0</v>
      </c>
      <c r="R4" s="14">
        <f t="shared" ca="1" si="16"/>
        <v>0</v>
      </c>
      <c r="S4" s="28">
        <f t="shared" ca="1" si="17"/>
        <v>8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58.416666666666671</v>
      </c>
      <c r="Y4" s="17">
        <f ca="1">IF($A4=0,0,SUMIF('Week 1 Roster'!$AZ:$AZ,$B4,'Week 1 Roster'!$AE:$AE))</f>
        <v>24.75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6.4166666666666661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31.166666666666664</v>
      </c>
      <c r="AK4" s="17">
        <f ca="1">IF($A4=0,0,SUMIF('Week 2 Roster'!$AZ:$AZ,$B4,'Week 2 Roster'!$AE:$AE))</f>
        <v>16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6.7500000000000009</v>
      </c>
      <c r="AN4" s="17">
        <f ca="1">IF($A4=0,0,SUMIF('Week 2 Roster'!$AZ:$AZ,$B4,'Week 2 Roster'!$AK:$AK))</f>
        <v>4.5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27.25</v>
      </c>
      <c r="AV4" s="17"/>
      <c r="AW4" s="25">
        <f>'Week 1 Roster'!A4</f>
        <v>10051</v>
      </c>
      <c r="AX4" s="25">
        <f>'Week 2 Roster'!A4</f>
        <v>10051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10187</v>
      </c>
      <c r="B5" s="28">
        <f t="shared" ca="1" si="9"/>
        <v>10187</v>
      </c>
      <c r="C5" s="28" t="str">
        <f ca="1">IF($A5=0,"",VLOOKUP($B5,Employees!$A:$G,2,FALSE))</f>
        <v>Valeriia</v>
      </c>
      <c r="D5" s="28" t="str">
        <f ca="1">IF($A5=0,"",VLOOKUP($B5,Employees!$A:$G,3,FALSE))</f>
        <v>Zhdanova</v>
      </c>
      <c r="E5" s="26">
        <f ca="1">IF($A5=0,"",VLOOKUP($B5,Employees!$A:$G,5,FALSE))</f>
        <v>37836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QVB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15.249999999999998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15.249999999999998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7.7499999999999982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7.7499999999999982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7.5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7.5</v>
      </c>
      <c r="AV5" s="17"/>
      <c r="AW5" s="25">
        <f>'Week 1 Roster'!A5</f>
        <v>10187</v>
      </c>
      <c r="AX5" s="25">
        <f>'Week 2 Roster'!A5</f>
        <v>10187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10202</v>
      </c>
      <c r="B6" s="28">
        <f t="shared" ca="1" si="9"/>
        <v>10202</v>
      </c>
      <c r="C6" s="28" t="str">
        <f ca="1">IF($A6=0,"",VLOOKUP($B6,Employees!$A:$G,2,FALSE))</f>
        <v>Aidan</v>
      </c>
      <c r="D6" s="28" t="str">
        <f ca="1">IF($A6=0,"",VLOOKUP($B6,Employees!$A:$G,3,FALSE))</f>
        <v>Bui</v>
      </c>
      <c r="E6" s="26">
        <f ca="1">IF($A6=0,"",VLOOKUP($B6,Employees!$A:$G,5,FALSE))</f>
        <v>37730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GCM</v>
      </c>
      <c r="K6" s="13" t="str">
        <f ca="1">IF($A6=0,"",IF(ISNA(VLOOKUP(A6,'Week 1 Roster'!A:C,2,0)),VLOOKUP(A6,'Week 2 Roster'!A:C,2,0),VLOOKUP(A6,'Week 1 Roster'!A:C,2,0)))</f>
        <v>QVB</v>
      </c>
      <c r="L6" s="13" t="str">
        <f ca="1">IF($A6=0,"",VLOOKUP(K6,Stores!A:B,2,0))</f>
        <v>Superb</v>
      </c>
      <c r="M6" s="14">
        <f t="shared" ca="1" si="11"/>
        <v>11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2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11</v>
      </c>
      <c r="Y6" s="17">
        <f ca="1">IF($A6=0,0,SUMIF('Week 1 Roster'!$AZ:$AZ,$B6,'Week 1 Roster'!$AE:$AE))</f>
        <v>5.5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1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5.5</v>
      </c>
      <c r="AK6" s="17">
        <f ca="1">IF($A6=0,0,SUMIF('Week 2 Roster'!$AZ:$AZ,$B6,'Week 2 Roster'!$AE:$AE))</f>
        <v>5.5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5.5</v>
      </c>
      <c r="AV6" s="17"/>
      <c r="AW6" s="25">
        <f>'Week 1 Roster'!A6</f>
        <v>10202</v>
      </c>
      <c r="AX6" s="25">
        <f>'Week 2 Roster'!A6</f>
        <v>10202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10267</v>
      </c>
      <c r="B7" s="28">
        <f t="shared" ca="1" si="9"/>
        <v>10267</v>
      </c>
      <c r="C7" s="28" t="str">
        <f ca="1">IF($A7=0,"",VLOOKUP($B7,Employees!$A:$G,2,FALSE))</f>
        <v>Nhu</v>
      </c>
      <c r="D7" s="28" t="str">
        <f ca="1">IF($A7=0,"",VLOOKUP($B7,Employees!$A:$G,3,FALSE))</f>
        <v>Hoang</v>
      </c>
      <c r="E7" s="26">
        <f ca="1">IF($A7=0,"",VLOOKUP($B7,Employees!$A:$G,5,FALSE))</f>
        <v>37091</v>
      </c>
      <c r="F7" s="13">
        <f ca="1">IF($E7="","",ROUNDDOWN(YEARFRAC($E7, 'Week 1 Roster'!$D$1-1, 1), 0))</f>
        <v>24</v>
      </c>
      <c r="G7" s="13">
        <f ca="1">IF($E7="","",ROUNDDOWN(YEARFRAC($E7, 'Week 1 Roster'!$D$1+14, 1), 0))</f>
        <v>24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GCM</v>
      </c>
      <c r="K7" s="13" t="str">
        <f ca="1">IF($A7=0,"",IF(ISNA(VLOOKUP(A7,'Week 1 Roster'!A:C,2,0)),VLOOKUP(A7,'Week 2 Roster'!A:C,2,0),VLOOKUP(A7,'Week 1 Roster'!A:C,2,0)))</f>
        <v>QVB</v>
      </c>
      <c r="L7" s="13" t="str">
        <f ca="1">IF($A7=0,"",VLOOKUP(K7,Stores!A:B,2,0))</f>
        <v>Superb</v>
      </c>
      <c r="M7" s="14">
        <f t="shared" ca="1" si="11"/>
        <v>0</v>
      </c>
      <c r="N7" s="14">
        <f t="shared" ca="1" si="12"/>
        <v>8.5</v>
      </c>
      <c r="O7" s="14">
        <f t="shared" ca="1" si="13"/>
        <v>7.5833333333333339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16.083333333333336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7.5833333333333339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7.5833333333333339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8.5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8.5</v>
      </c>
      <c r="AV7" s="17"/>
      <c r="AW7" s="25">
        <f>'Week 1 Roster'!A7</f>
        <v>10267</v>
      </c>
      <c r="AX7" s="25">
        <f>'Week 2 Roster'!A7</f>
        <v>10267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210445</v>
      </c>
      <c r="B8" s="28">
        <f t="shared" ca="1" si="9"/>
        <v>210445</v>
      </c>
      <c r="C8" s="28" t="str">
        <f ca="1">IF($A8=0,"",VLOOKUP($B8,Employees!$A:$G,2,FALSE))</f>
        <v>Alston</v>
      </c>
      <c r="D8" s="28" t="str">
        <f ca="1">IF($A8=0,"",VLOOKUP($B8,Employees!$A:$G,3,FALSE))</f>
        <v>Cheng</v>
      </c>
      <c r="E8" s="26">
        <f ca="1">IF($A8=0,"",VLOOKUP($B8,Employees!$A:$G,5,FALSE))</f>
        <v>36717</v>
      </c>
      <c r="F8" s="13">
        <f ca="1">IF($E8="","",ROUNDDOWN(YEARFRAC($E8, 'Week 1 Roster'!$D$1-1, 1), 0))</f>
        <v>25</v>
      </c>
      <c r="G8" s="13">
        <f ca="1">IF($E8="","",ROUNDDOWN(YEARFRAC($E8, 'Week 1 Roster'!$D$1+14, 1), 0))</f>
        <v>25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QVB</v>
      </c>
      <c r="L8" s="13" t="str">
        <f ca="1">IF($A8=0,"",VLOOKUP(K8,Stores!A:B,2,0))</f>
        <v>Superb</v>
      </c>
      <c r="M8" s="14">
        <f t="shared" ca="1" si="11"/>
        <v>37.666666666666671</v>
      </c>
      <c r="N8" s="14">
        <f t="shared" ca="1" si="12"/>
        <v>6.7500000000000009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6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44.416666666666671</v>
      </c>
      <c r="Y8" s="17">
        <f ca="1">IF($A8=0,0,SUMIF('Week 1 Roster'!$AZ:$AZ,$B8,'Week 1 Roster'!$AE:$AE))</f>
        <v>23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3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23</v>
      </c>
      <c r="AK8" s="17">
        <f ca="1">IF($A8=0,0,SUMIF('Week 2 Roster'!$AZ:$AZ,$B8,'Week 2 Roster'!$AE:$AE))</f>
        <v>14.666666666666668</v>
      </c>
      <c r="AL8" s="17">
        <f ca="1">IF($A8=0,0,SUMIF('Week 2 Roster'!$AZ:$AZ,$B8,'Week 2 Roster'!$AG:$AG))</f>
        <v>6.7500000000000009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21.416666666666668</v>
      </c>
      <c r="AV8" s="17"/>
      <c r="AW8" s="25">
        <f>'Week 1 Roster'!A8</f>
        <v>210445</v>
      </c>
      <c r="AX8" s="25">
        <f>'Week 2 Roster'!A8</f>
        <v>210445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210447</v>
      </c>
      <c r="B9" s="28">
        <f t="shared" ca="1" si="9"/>
        <v>210447</v>
      </c>
      <c r="C9" s="28" t="str">
        <f ca="1">IF($A9=0,"",VLOOKUP($B9,Employees!$A:$G,2,FALSE))</f>
        <v>Tulyada</v>
      </c>
      <c r="D9" s="28" t="str">
        <f ca="1">IF($A9=0,"",VLOOKUP($B9,Employees!$A:$G,3,FALSE))</f>
        <v>Metachuchok</v>
      </c>
      <c r="E9" s="26">
        <f ca="1">IF($A9=0,"",VLOOKUP($B9,Employees!$A:$G,5,FALSE))</f>
        <v>33155</v>
      </c>
      <c r="F9" s="13">
        <f ca="1">IF($E9="","",ROUNDDOWN(YEARFRAC($E9, 'Week 1 Roster'!$D$1-1, 1), 0))</f>
        <v>35</v>
      </c>
      <c r="G9" s="13">
        <f ca="1">IF($E9="","",ROUNDDOWN(YEARFRAC($E9, 'Week 1 Roster'!$D$1+14, 1), 0))</f>
        <v>35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QVB</v>
      </c>
      <c r="L9" s="13" t="str">
        <f ca="1">IF($A9=0,"",VLOOKUP(K9,Stores!A:B,2,0))</f>
        <v>Superb</v>
      </c>
      <c r="M9" s="14">
        <f t="shared" ca="1" si="11"/>
        <v>0</v>
      </c>
      <c r="N9" s="14">
        <f t="shared" ca="1" si="12"/>
        <v>8.5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8.5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8.5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8.5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210447</v>
      </c>
      <c r="AX9" s="25">
        <f>'Week 2 Roster'!A9</f>
        <v>210447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210188</v>
      </c>
      <c r="B10" s="28">
        <f t="shared" ca="1" si="9"/>
        <v>210188</v>
      </c>
      <c r="C10" s="28" t="str">
        <f ca="1">IF($A10=0,"",VLOOKUP($B10,Employees!$A:$G,2,FALSE))</f>
        <v>Ngoc Han</v>
      </c>
      <c r="D10" s="28" t="str">
        <f ca="1">IF($A10=0,"",VLOOKUP($B10,Employees!$A:$G,3,FALSE))</f>
        <v>Vo</v>
      </c>
      <c r="E10" s="26">
        <f ca="1">IF($A10=0,"",VLOOKUP($B10,Employees!$A:$G,5,FALSE))</f>
        <v>37835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QVB</v>
      </c>
      <c r="L10" s="13" t="str">
        <f ca="1">IF($A10=0,"",VLOOKUP(K10,Stores!A:B,2,0))</f>
        <v>Superb</v>
      </c>
      <c r="M10" s="14">
        <f t="shared" ca="1" si="11"/>
        <v>6.6666666666666679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6.6666666666666679</v>
      </c>
      <c r="Y10" s="17">
        <f ca="1">IF($A10=0,0,SUMIF('Week 1 Roster'!$AZ:$AZ,$B10,'Week 1 Roster'!$AE:$AE))</f>
        <v>6.6666666666666679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6.6666666666666679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210188</v>
      </c>
      <c r="AX10" s="25">
        <f>'Week 2 Roster'!A10</f>
        <v>210415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210415</v>
      </c>
      <c r="B11" s="28">
        <f t="shared" ca="1" si="9"/>
        <v>210415</v>
      </c>
      <c r="C11" s="28" t="str">
        <f ca="1">IF($A11=0,"",VLOOKUP($B11,Employees!$A:$G,2,FALSE))</f>
        <v>Duc Phuc</v>
      </c>
      <c r="D11" s="28" t="str">
        <f ca="1">IF($A11=0,"",VLOOKUP($B11,Employees!$A:$G,3,FALSE))</f>
        <v>Phung</v>
      </c>
      <c r="E11" s="26">
        <f ca="1">IF($A11=0,"",VLOOKUP($B11,Employees!$A:$G,5,FALSE))</f>
        <v>38598</v>
      </c>
      <c r="F11" s="13">
        <f ca="1">IF($E11="","",ROUNDDOWN(YEARFRAC($E11, 'Week 1 Roster'!$D$1-1, 1), 0))</f>
        <v>20</v>
      </c>
      <c r="G11" s="13">
        <f ca="1">IF($E11="","",ROUNDDOWN(YEARFRAC($E11, 'Week 1 Roster'!$D$1+14, 1), 0))</f>
        <v>20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QVB</v>
      </c>
      <c r="L11" s="13" t="str">
        <f ca="1">IF($A11=0,"",VLOOKUP(K11,Stores!A:B,2,0))</f>
        <v>Superb</v>
      </c>
      <c r="M11" s="14">
        <f t="shared" ca="1" si="11"/>
        <v>6.916666666666667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6.916666666666667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6.916666666666667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6.916666666666667</v>
      </c>
      <c r="AV11" s="17"/>
      <c r="AW11" s="25">
        <f>'Week 1 Roster'!A11</f>
        <v>210477</v>
      </c>
      <c r="AX11" s="25">
        <f>'Week 2 Roster'!A11</f>
        <v>10385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210477</v>
      </c>
      <c r="B12" s="28">
        <f t="shared" ca="1" si="9"/>
        <v>210477</v>
      </c>
      <c r="C12" s="28" t="str">
        <f ca="1">IF($A12=0,"",VLOOKUP($B12,Employees!$A:$G,2,FALSE))</f>
        <v>Jessica</v>
      </c>
      <c r="D12" s="28" t="str">
        <f ca="1">IF($A12=0,"",VLOOKUP($B12,Employees!$A:$G,3,FALSE))</f>
        <v>Tata</v>
      </c>
      <c r="E12" s="26">
        <f ca="1">IF($A12=0,"",VLOOKUP($B12,Employees!$A:$G,5,FALSE))</f>
        <v>37437</v>
      </c>
      <c r="F12" s="13">
        <f ca="1">IF($E12="","",ROUNDDOWN(YEARFRAC($E12, 'Week 1 Roster'!$D$1-1, 1), 0))</f>
        <v>23</v>
      </c>
      <c r="G12" s="13">
        <f ca="1">IF($E12="","",ROUNDDOWN(YEARFRAC($E12, 'Week 1 Roster'!$D$1+14, 1), 0))</f>
        <v>23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SS</v>
      </c>
      <c r="K12" s="13" t="str">
        <f ca="1">IF($A12=0,"",IF(ISNA(VLOOKUP(A12,'Week 1 Roster'!A:C,2,0)),VLOOKUP(A12,'Week 2 Roster'!A:C,2,0),VLOOKUP(A12,'Week 1 Roster'!A:C,2,0)))</f>
        <v>QVB</v>
      </c>
      <c r="L12" s="13" t="str">
        <f ca="1">IF($A12=0,"",VLOOKUP(K12,Stores!A:B,2,0))</f>
        <v>Superb</v>
      </c>
      <c r="M12" s="14">
        <f t="shared" ca="1" si="11"/>
        <v>6.8333333333333339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6.8333333333333339</v>
      </c>
      <c r="Y12" s="17">
        <f ca="1">IF($A12=0,0,SUMIF('Week 1 Roster'!$AZ:$AZ,$B12,'Week 1 Roster'!$AE:$AE))</f>
        <v>6.8333333333333339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6.8333333333333339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10385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10385</v>
      </c>
      <c r="B13" s="28">
        <f t="shared" ca="1" si="9"/>
        <v>10385</v>
      </c>
      <c r="C13" s="28" t="str">
        <f ca="1">IF($A13=0,"",VLOOKUP($B13,Employees!$A:$G,2,FALSE))</f>
        <v>Hui Qi</v>
      </c>
      <c r="D13" s="28" t="str">
        <f ca="1">IF($A13=0,"",VLOOKUP($B13,Employees!$A:$G,3,FALSE))</f>
        <v>Lau</v>
      </c>
      <c r="E13" s="26">
        <f ca="1">IF($A13=0,"",VLOOKUP($B13,Employees!$A:$G,5,FALSE))</f>
        <v>38591</v>
      </c>
      <c r="F13" s="13">
        <f ca="1">IF($E13="","",ROUNDDOWN(YEARFRAC($E13, 'Week 1 Roster'!$D$1-1, 1), 0))</f>
        <v>20</v>
      </c>
      <c r="G13" s="13">
        <f ca="1">IF($E13="","",ROUNDDOWN(YEARFRAC($E13, 'Week 1 Roster'!$D$1+14, 1), 0))</f>
        <v>20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QVB</v>
      </c>
      <c r="L13" s="13" t="str">
        <f ca="1">IF($A13=0,"",VLOOKUP(K13,Stores!A:B,2,0))</f>
        <v>Superb</v>
      </c>
      <c r="M13" s="14">
        <f t="shared" ca="1" si="11"/>
        <v>13.499999999999996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2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13.499999999999996</v>
      </c>
      <c r="Y13" s="17">
        <f ca="1">IF($A13=0,0,SUMIF('Week 1 Roster'!$AZ:$AZ,$B13,'Week 1 Roster'!$AE:$AE))</f>
        <v>6.7499999999999982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6.7499999999999982</v>
      </c>
      <c r="AK13" s="17">
        <f ca="1">IF($A13=0,0,SUMIF('Week 2 Roster'!$AZ:$AZ,$B13,'Week 2 Roster'!$AE:$AE))</f>
        <v>6.7499999999999982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1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6.7499999999999982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abSelected="1" topLeftCell="A369" zoomScale="186" zoomScaleNormal="186" workbookViewId="0">
      <selection activeCell="F389" sqref="F389"/>
    </sheetView>
  </sheetViews>
  <sheetFormatPr baseColWidth="10" defaultColWidth="10.83203125" defaultRowHeight="13"/>
  <cols>
    <col min="1" max="1" width="10.83203125" customWidth="1"/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76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2" t="s">
        <v>123</v>
      </c>
      <c r="D551" s="102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0.832031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2026-02-02T22:40:59Z</dcterms:modified>
</cp:coreProperties>
</file>