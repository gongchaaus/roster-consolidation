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8_{BE36E8F0-FE18-A945-9FCD-302597B45A1B}" xr6:coauthVersionLast="47" xr6:coauthVersionMax="47" xr10:uidLastSave="{00000000-0000-0000-0000-000000000000}"/>
  <bookViews>
    <workbookView xWindow="0" yWindow="740" windowWidth="29400" windowHeight="1720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AB4" i="2" l="1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H3" i="12" l="1"/>
  <c r="V3" i="12" s="1"/>
  <c r="AG3" i="12"/>
  <c r="J3" i="12"/>
  <c r="AR3" i="12"/>
  <c r="E3" i="12"/>
  <c r="G3" i="12" s="1"/>
  <c r="I3" i="12"/>
  <c r="C3" i="12"/>
  <c r="AS3" i="12"/>
  <c r="AF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U3" i="12" l="1"/>
  <c r="F3" i="12"/>
  <c r="H3" i="12" s="1"/>
  <c r="T3" i="12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A239" i="12" a="1"/>
  <c r="T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N243" i="12" l="1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<sst xmlns="http://schemas.openxmlformats.org/spreadsheetml/2006/main" count="2526" uniqueCount="1516">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</sst>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rgb="FF000000"/>
      <name val="&quot;Helvetica Neue&quot;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0" xfId="0" applyFont="1" applyAlignment="1" applyProtection="1">
      <alignment horizont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T14" sqref="T14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210453</v>
      </c>
      <c r="B2" s="81" t="s">
        <v>1225</v>
      </c>
      <c r="C2" s="91" t="s">
        <v>1235</v>
      </c>
      <c r="D2" s="101">
        <v>0.41666666666666669</v>
      </c>
      <c r="E2" s="84">
        <v>0.625</v>
      </c>
      <c r="F2" s="92">
        <f>BA2-BB2</f>
        <v>5</v>
      </c>
      <c r="G2" s="84"/>
      <c r="H2" s="84"/>
      <c r="I2" s="92">
        <f>BF2-BG2</f>
        <v>0</v>
      </c>
      <c r="J2" s="84"/>
      <c r="K2" s="84"/>
      <c r="L2" s="92">
        <f>BK2-BL2</f>
        <v>0</v>
      </c>
      <c r="M2" s="84">
        <v>0.45833333333333331</v>
      </c>
      <c r="N2" s="101">
        <v>0.91666666666666663</v>
      </c>
      <c r="O2" s="92">
        <f>BP2-BQ2</f>
        <v>10</v>
      </c>
      <c r="P2" s="101"/>
      <c r="Q2" s="84"/>
      <c r="R2" s="92">
        <f>BU2-BV2</f>
        <v>0</v>
      </c>
      <c r="S2" s="84">
        <v>0.41666666666666669</v>
      </c>
      <c r="T2" s="84">
        <v>0.66666666666666663</v>
      </c>
      <c r="U2" s="92">
        <f>BZ2-CA2</f>
        <v>5.4999999999999982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20.5</v>
      </c>
      <c r="AC2" s="93"/>
      <c r="AD2" s="77"/>
      <c r="AE2" s="94">
        <f t="shared" ref="AE2:AE40" si="1">SUMIF($BC$1:$CI$1,AE$1,$BC2:$CI2)+AD2</f>
        <v>15</v>
      </c>
      <c r="AF2" s="77">
        <v>0.5</v>
      </c>
      <c r="AG2" s="94">
        <f t="shared" ref="AG2:AG40" si="2">SUMIF($BC$1:$CI$1,AG$1,$BC2:$CI2)+AF2</f>
        <v>5.9999999999999982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3</v>
      </c>
      <c r="AQ2" s="77"/>
      <c r="AR2" s="77"/>
      <c r="AS2" s="77"/>
      <c r="AT2" s="44">
        <f>AE2+AG2+AI2+AK2+AM2+AO2+SUM(AQ2:AS2)</f>
        <v>21</v>
      </c>
      <c r="AU2" s="78"/>
      <c r="AV2" s="5"/>
      <c r="AW2" s="5"/>
      <c r="AX2" s="5"/>
      <c r="AY2" s="5"/>
      <c r="AZ2" s="24">
        <f>VLOOKUP(C2,Employees!D:I,6,FALSE)</f>
        <v>210453</v>
      </c>
      <c r="BA2" s="5">
        <f>IF(ISBLANK(D2),0,(E2-D2)*24)</f>
        <v>5</v>
      </c>
      <c r="BB2" s="5">
        <f>IF(BA2&gt;$AY$1,1,IF(BA2&gt;=$AX$1,0.5,0))</f>
        <v>0</v>
      </c>
      <c r="BC2" s="5">
        <f>BA2-BB2-BD2-BE2</f>
        <v>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11</v>
      </c>
      <c r="BQ2" s="5">
        <f>IF(BP2&gt;$AY$1,1,IF(BP2&gt;=$AX$1,0.5,0))</f>
        <v>1</v>
      </c>
      <c r="BR2" s="5">
        <f>BP2-BQ2-BS2-BT2</f>
        <v>10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5.9999999999999982</v>
      </c>
      <c r="CA2" s="5">
        <f>IF(BZ2&gt;$AY$1,1,IF(BZ2&gt;=$AX$1,0.5,0))</f>
        <v>0.5</v>
      </c>
      <c r="CB2" s="5">
        <f>BZ2-CA2-CC2-CD2</f>
        <v>5.4999999999999982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10451</v>
      </c>
      <c r="B3" s="81" t="s">
        <v>1225</v>
      </c>
      <c r="C3" s="85" t="s">
        <v>1228</v>
      </c>
      <c r="D3" s="101"/>
      <c r="E3" s="84"/>
      <c r="F3" s="92">
        <f t="shared" ref="F3:F69" si="15">BA3-BB3</f>
        <v>0</v>
      </c>
      <c r="G3" s="84">
        <v>0.70833333333333337</v>
      </c>
      <c r="H3" s="84">
        <v>0.91666666666666663</v>
      </c>
      <c r="I3" s="92">
        <f t="shared" ref="I3:I69" si="16">BF3-BG3</f>
        <v>4.9999999999999982</v>
      </c>
      <c r="J3" s="84"/>
      <c r="K3" s="84"/>
      <c r="L3" s="92">
        <f t="shared" ref="L3:L69" si="17">BK3-BL3</f>
        <v>0</v>
      </c>
      <c r="M3" s="84"/>
      <c r="N3" s="101"/>
      <c r="O3" s="92">
        <f t="shared" ref="O3:O69" si="18">BP3-BQ3</f>
        <v>0</v>
      </c>
      <c r="P3" s="101">
        <v>0.66666666666666663</v>
      </c>
      <c r="Q3" s="84">
        <v>0.91666666666666663</v>
      </c>
      <c r="R3" s="92">
        <f t="shared" ref="R3:R69" si="19">BU3-BV3</f>
        <v>5.5</v>
      </c>
      <c r="S3" s="84">
        <v>0.79166666666666663</v>
      </c>
      <c r="T3" s="84">
        <v>0.91666666666666663</v>
      </c>
      <c r="U3" s="92">
        <f t="shared" ref="U3:U69" si="20">BZ3-CA3</f>
        <v>3</v>
      </c>
      <c r="V3" s="84">
        <v>0.75</v>
      </c>
      <c r="W3" s="84">
        <v>0.91666666666666663</v>
      </c>
      <c r="X3" s="92">
        <f t="shared" ref="X3:X69" si="21">CE3-CF3</f>
        <v>3.9999999999999991</v>
      </c>
      <c r="Y3" s="92"/>
      <c r="Z3" s="92"/>
      <c r="AA3" s="92"/>
      <c r="AB3" s="92">
        <f t="shared" ref="AB3:AB69" si="22">SUM(F3,I3,L3,O3,R3,U3,X3)</f>
        <v>17.499999999999996</v>
      </c>
      <c r="AC3" s="93"/>
      <c r="AD3" s="77">
        <v>0.5</v>
      </c>
      <c r="AE3" s="94">
        <f t="shared" si="1"/>
        <v>10.999999999999998</v>
      </c>
      <c r="AF3" s="77"/>
      <c r="AG3" s="94">
        <f t="shared" si="2"/>
        <v>3</v>
      </c>
      <c r="AH3" s="78"/>
      <c r="AI3" s="94">
        <f t="shared" si="3"/>
        <v>3.9999999999999991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4</v>
      </c>
      <c r="AQ3" s="77"/>
      <c r="AR3" s="77"/>
      <c r="AS3" s="77"/>
      <c r="AT3" s="44">
        <f t="shared" ref="AT3:AT69" si="24">AE3+AG3+AI3+AK3+AM3+AO3+SUM(AQ3:AS3)</f>
        <v>17.999999999999996</v>
      </c>
      <c r="AU3" s="78"/>
      <c r="AV3" s="5"/>
      <c r="AW3" s="5"/>
      <c r="AX3" s="5"/>
      <c r="AY3" s="5"/>
      <c r="AZ3" s="24">
        <f>VLOOKUP(C3,Employees!D:I,6,FALSE)</f>
        <v>10451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4.9999999999999982</v>
      </c>
      <c r="BG3" s="5">
        <f t="shared" ref="BG3:BG66" si="30">IF(BF3&gt;$AY$1,1,IF(BF3&gt;=$AX$1,0.5,0))</f>
        <v>0</v>
      </c>
      <c r="BH3" s="5">
        <f t="shared" ref="BH3:BH66" si="31">BF3-BG3-BI3-BJ3</f>
        <v>4.9999999999999982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6</v>
      </c>
      <c r="BV3" s="5">
        <f t="shared" ref="BV3:BV66" si="45">IF(BU3&gt;$AY$1,1,IF(BU3&gt;=$AX$1,0.5,0))</f>
        <v>0.5</v>
      </c>
      <c r="BW3" s="5">
        <f t="shared" ref="BW3:BW66" si="46">BU3-BV3-BX3-BY3</f>
        <v>5.5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3</v>
      </c>
      <c r="CA3" s="5">
        <f t="shared" ref="CA3:CA66" si="49">IF(BZ3&gt;$AY$1,1,IF(BZ3&gt;=$AX$1,0.5,0))</f>
        <v>0</v>
      </c>
      <c r="CB3" s="5">
        <f t="shared" ref="CB3:CB66" si="50">BZ3-CA3-CC3-CD3</f>
        <v>3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3.9999999999999991</v>
      </c>
      <c r="CF3" s="5">
        <f t="shared" ref="CF3:CF66" si="54">IF(CE3&gt;$AY$1,1,IF(CE3&gt;=$AX$1,0.5,0))</f>
        <v>0</v>
      </c>
      <c r="CG3" s="5">
        <f t="shared" ref="CG3:CG66" si="55">CE3-CF3-CH3-CI3</f>
        <v>3.9999999999999991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4</v>
      </c>
    </row>
    <row r="4" spans="1:89" ht="38" customHeight="1">
      <c r="A4" s="74">
        <f t="shared" si="0"/>
        <v>210454</v>
      </c>
      <c r="B4" s="81" t="s">
        <v>1225</v>
      </c>
      <c r="C4" s="85" t="s">
        <v>1238</v>
      </c>
      <c r="D4" s="84">
        <v>0.625</v>
      </c>
      <c r="E4" s="84">
        <v>0.91666666666666663</v>
      </c>
      <c r="F4" s="92">
        <f t="shared" si="15"/>
        <v>6.4999999999999991</v>
      </c>
      <c r="G4" s="84">
        <v>0.41666666666666669</v>
      </c>
      <c r="H4" s="84">
        <v>0.74027777777777781</v>
      </c>
      <c r="I4" s="92">
        <f t="shared" si="16"/>
        <v>7.2666666666666675</v>
      </c>
      <c r="J4" s="84">
        <v>0.41666666666666669</v>
      </c>
      <c r="K4" s="84">
        <v>0.70833333333333337</v>
      </c>
      <c r="L4" s="92">
        <f t="shared" si="17"/>
        <v>6.5</v>
      </c>
      <c r="M4" s="84">
        <v>0.45833333333333331</v>
      </c>
      <c r="N4" s="84">
        <v>0.70833333333333337</v>
      </c>
      <c r="O4" s="92">
        <f t="shared" si="18"/>
        <v>5.5000000000000018</v>
      </c>
      <c r="P4" s="75">
        <v>0.41666666666666669</v>
      </c>
      <c r="Q4" s="75">
        <v>0.66666666666666663</v>
      </c>
      <c r="R4" s="92">
        <f t="shared" si="19"/>
        <v>5.4999999999999982</v>
      </c>
      <c r="S4" s="75"/>
      <c r="T4" s="75"/>
      <c r="U4" s="92">
        <f t="shared" si="20"/>
        <v>0</v>
      </c>
      <c r="V4" s="84">
        <v>0.54166666666666663</v>
      </c>
      <c r="W4" s="84">
        <v>0.75</v>
      </c>
      <c r="X4" s="92">
        <f t="shared" si="21"/>
        <v>5.0000000000000009</v>
      </c>
      <c r="Y4" s="92"/>
      <c r="Z4" s="92"/>
      <c r="AA4" s="92"/>
      <c r="AB4" s="92">
        <f t="shared" si="22"/>
        <v>36.266666666666666</v>
      </c>
      <c r="AC4" s="93"/>
      <c r="AD4" s="77">
        <v>1.75</v>
      </c>
      <c r="AE4" s="94">
        <f t="shared" si="1"/>
        <v>33.016666666666666</v>
      </c>
      <c r="AF4" s="77"/>
      <c r="AG4" s="94">
        <f t="shared" si="2"/>
        <v>0</v>
      </c>
      <c r="AH4" s="78"/>
      <c r="AI4" s="94">
        <f t="shared" si="3"/>
        <v>5.0000000000000009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6</v>
      </c>
      <c r="AQ4" s="77"/>
      <c r="AR4" s="77"/>
      <c r="AS4" s="77"/>
      <c r="AT4" s="44">
        <f t="shared" si="24"/>
        <v>38.016666666666666</v>
      </c>
      <c r="AU4" s="78"/>
      <c r="AV4" s="5"/>
      <c r="AW4" s="5"/>
      <c r="AX4" s="5"/>
      <c r="AY4" s="5"/>
      <c r="AZ4" s="24">
        <f>VLOOKUP(C4,Employees!D:I,6,FALSE)</f>
        <v>210454</v>
      </c>
      <c r="BA4" s="5">
        <f t="shared" si="25"/>
        <v>6.9999999999999991</v>
      </c>
      <c r="BB4" s="5">
        <f t="shared" si="26"/>
        <v>0.5</v>
      </c>
      <c r="BC4" s="5">
        <f t="shared" si="27"/>
        <v>6.4999999999999991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7.7666666666666675</v>
      </c>
      <c r="BG4" s="5">
        <f t="shared" si="30"/>
        <v>0.5</v>
      </c>
      <c r="BH4" s="5">
        <f t="shared" si="31"/>
        <v>7.2666666666666675</v>
      </c>
      <c r="BI4" s="5">
        <f t="shared" si="32"/>
        <v>0</v>
      </c>
      <c r="BJ4" s="5">
        <f t="shared" si="33"/>
        <v>0</v>
      </c>
      <c r="BK4" s="5">
        <f t="shared" si="34"/>
        <v>7</v>
      </c>
      <c r="BL4" s="5">
        <f t="shared" si="35"/>
        <v>0.5</v>
      </c>
      <c r="BM4" s="5">
        <f t="shared" si="36"/>
        <v>6.5</v>
      </c>
      <c r="BN4" s="5">
        <f t="shared" si="37"/>
        <v>0</v>
      </c>
      <c r="BO4" s="5">
        <f t="shared" si="38"/>
        <v>0</v>
      </c>
      <c r="BP4" s="5">
        <f t="shared" si="39"/>
        <v>6.0000000000000018</v>
      </c>
      <c r="BQ4" s="5">
        <f t="shared" si="40"/>
        <v>0.5</v>
      </c>
      <c r="BR4" s="5">
        <f t="shared" si="41"/>
        <v>5.5000000000000018</v>
      </c>
      <c r="BS4" s="5">
        <f t="shared" si="42"/>
        <v>0</v>
      </c>
      <c r="BT4" s="5">
        <f t="shared" si="43"/>
        <v>0</v>
      </c>
      <c r="BU4" s="5">
        <f t="shared" si="44"/>
        <v>5.9999999999999982</v>
      </c>
      <c r="BV4" s="5">
        <f t="shared" si="45"/>
        <v>0.5</v>
      </c>
      <c r="BW4" s="5">
        <f t="shared" si="46"/>
        <v>5.4999999999999982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5.0000000000000009</v>
      </c>
      <c r="CF4" s="5">
        <f t="shared" si="54"/>
        <v>0</v>
      </c>
      <c r="CG4" s="5">
        <f t="shared" si="55"/>
        <v>5.0000000000000009</v>
      </c>
      <c r="CH4" s="5">
        <f t="shared" si="56"/>
        <v>0</v>
      </c>
      <c r="CI4" s="5">
        <f t="shared" si="57"/>
        <v>0</v>
      </c>
      <c r="CJ4" s="5"/>
      <c r="CK4" s="4">
        <f t="shared" si="14"/>
        <v>6</v>
      </c>
    </row>
    <row r="5" spans="1:89" ht="38" customHeight="1">
      <c r="A5" s="74">
        <f t="shared" si="0"/>
        <v>210514</v>
      </c>
      <c r="B5" s="81" t="s">
        <v>1225</v>
      </c>
      <c r="C5" s="85" t="s">
        <v>1411</v>
      </c>
      <c r="D5" s="75"/>
      <c r="E5" s="75"/>
      <c r="F5" s="92">
        <f t="shared" si="15"/>
        <v>0</v>
      </c>
      <c r="G5" s="84"/>
      <c r="H5" s="84"/>
      <c r="I5" s="92">
        <f t="shared" si="16"/>
        <v>0</v>
      </c>
      <c r="J5" s="84"/>
      <c r="K5" s="84"/>
      <c r="L5" s="92">
        <f t="shared" si="17"/>
        <v>0</v>
      </c>
      <c r="M5" s="75">
        <v>0.75</v>
      </c>
      <c r="N5" s="75">
        <v>0.91666666666666663</v>
      </c>
      <c r="O5" s="92">
        <f t="shared" si="18"/>
        <v>3.9999999999999991</v>
      </c>
      <c r="P5" s="75"/>
      <c r="Q5" s="75"/>
      <c r="R5" s="92">
        <f t="shared" si="19"/>
        <v>0</v>
      </c>
      <c r="S5" s="75"/>
      <c r="T5" s="75"/>
      <c r="U5" s="92">
        <f t="shared" si="20"/>
        <v>0</v>
      </c>
      <c r="V5" s="84">
        <v>0.75</v>
      </c>
      <c r="W5" s="84">
        <v>0.875</v>
      </c>
      <c r="X5" s="92">
        <f t="shared" si="21"/>
        <v>3</v>
      </c>
      <c r="Y5" s="92"/>
      <c r="Z5" s="92"/>
      <c r="AA5" s="92"/>
      <c r="AB5" s="92">
        <f t="shared" si="22"/>
        <v>6.9999999999999991</v>
      </c>
      <c r="AC5" s="93"/>
      <c r="AD5" s="78"/>
      <c r="AE5" s="94">
        <f t="shared" si="1"/>
        <v>3.9999999999999991</v>
      </c>
      <c r="AF5" s="77"/>
      <c r="AG5" s="94">
        <f t="shared" si="2"/>
        <v>0</v>
      </c>
      <c r="AH5" s="78"/>
      <c r="AI5" s="94">
        <f t="shared" si="3"/>
        <v>3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2</v>
      </c>
      <c r="AQ5" s="77"/>
      <c r="AR5" s="77"/>
      <c r="AS5" s="77"/>
      <c r="AT5" s="44">
        <f t="shared" si="24"/>
        <v>6.9999999999999991</v>
      </c>
      <c r="AU5" s="78"/>
      <c r="AV5" s="5"/>
      <c r="AW5" s="5"/>
      <c r="AX5" s="5"/>
      <c r="AY5" s="5"/>
      <c r="AZ5" s="24">
        <f>VLOOKUP(C5,Employees!D:I,6,FALSE)</f>
        <v>210514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3.9999999999999991</v>
      </c>
      <c r="BQ5" s="5">
        <f t="shared" si="40"/>
        <v>0</v>
      </c>
      <c r="BR5" s="5">
        <f t="shared" si="41"/>
        <v>3.9999999999999991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3</v>
      </c>
      <c r="CF5" s="5">
        <f t="shared" si="54"/>
        <v>0</v>
      </c>
      <c r="CG5" s="5">
        <f t="shared" si="55"/>
        <v>3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210530</v>
      </c>
      <c r="B6" s="81" t="s">
        <v>1225</v>
      </c>
      <c r="C6" s="97" t="s">
        <v>1448</v>
      </c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84">
        <v>0.70833333333333337</v>
      </c>
      <c r="K6" s="84">
        <v>0.95833333333333337</v>
      </c>
      <c r="L6" s="92">
        <f t="shared" si="17"/>
        <v>5.5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5.5</v>
      </c>
      <c r="AC6" s="93"/>
      <c r="AD6" s="78">
        <v>0.5</v>
      </c>
      <c r="AE6" s="94">
        <f t="shared" si="1"/>
        <v>4.9999999999999982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1.0000000000000018</v>
      </c>
      <c r="AN6" s="77"/>
      <c r="AO6" s="94">
        <f t="shared" si="6"/>
        <v>0</v>
      </c>
      <c r="AP6" s="95">
        <f t="shared" si="23"/>
        <v>1</v>
      </c>
      <c r="AQ6" s="77"/>
      <c r="AR6" s="77"/>
      <c r="AS6" s="77"/>
      <c r="AT6" s="44">
        <f t="shared" si="24"/>
        <v>6</v>
      </c>
      <c r="AU6" s="78"/>
      <c r="AV6" s="5"/>
      <c r="AW6" s="5"/>
      <c r="AX6" s="5"/>
      <c r="AY6" s="5"/>
      <c r="AZ6" s="24">
        <f>VLOOKUP(C6,Employees!D:I,6,FALSE)</f>
        <v>210530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6</v>
      </c>
      <c r="BL6" s="5">
        <f t="shared" si="35"/>
        <v>0.5</v>
      </c>
      <c r="BM6" s="5">
        <f t="shared" si="36"/>
        <v>4.4999999999999982</v>
      </c>
      <c r="BN6" s="5">
        <f t="shared" si="37"/>
        <v>1.0000000000000018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1</v>
      </c>
    </row>
    <row r="7" spans="1:89" ht="38" customHeight="1">
      <c r="A7" s="74">
        <f t="shared" si="0"/>
        <v>210537</v>
      </c>
      <c r="B7" s="81" t="s">
        <v>1225</v>
      </c>
      <c r="C7" s="98" t="s">
        <v>1467</v>
      </c>
      <c r="D7" s="75">
        <v>0.75</v>
      </c>
      <c r="E7" s="75">
        <v>0.91666666666666663</v>
      </c>
      <c r="F7" s="92">
        <f t="shared" si="15"/>
        <v>3.9999999999999991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>
        <v>0.41666666666666669</v>
      </c>
      <c r="N7" s="84">
        <v>0.625</v>
      </c>
      <c r="O7" s="92">
        <f t="shared" si="18"/>
        <v>5</v>
      </c>
      <c r="P7" s="75"/>
      <c r="Q7" s="75"/>
      <c r="R7" s="92">
        <f t="shared" si="19"/>
        <v>0</v>
      </c>
      <c r="S7" s="75">
        <v>0.60416666666666663</v>
      </c>
      <c r="T7" s="75">
        <v>0.89583333333333337</v>
      </c>
      <c r="U7" s="92">
        <f t="shared" si="20"/>
        <v>6.5000000000000018</v>
      </c>
      <c r="V7" s="84">
        <v>0.41666666666666669</v>
      </c>
      <c r="W7" s="84">
        <v>0.58333333333333337</v>
      </c>
      <c r="X7" s="92">
        <f t="shared" si="21"/>
        <v>4</v>
      </c>
      <c r="Y7" s="92"/>
      <c r="Z7" s="92"/>
      <c r="AA7" s="92"/>
      <c r="AB7" s="92">
        <f t="shared" si="22"/>
        <v>19.5</v>
      </c>
      <c r="AC7" s="93"/>
      <c r="AD7" s="78"/>
      <c r="AE7" s="94">
        <f t="shared" si="1"/>
        <v>9</v>
      </c>
      <c r="AF7" s="77">
        <v>0.5</v>
      </c>
      <c r="AG7" s="94">
        <f t="shared" si="2"/>
        <v>7.0000000000000018</v>
      </c>
      <c r="AH7" s="77"/>
      <c r="AI7" s="94">
        <f t="shared" si="3"/>
        <v>4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4</v>
      </c>
      <c r="AQ7" s="77"/>
      <c r="AR7" s="77"/>
      <c r="AS7" s="77"/>
      <c r="AT7" s="44">
        <f t="shared" si="24"/>
        <v>20</v>
      </c>
      <c r="AU7" s="78"/>
      <c r="AV7" s="5"/>
      <c r="AW7" s="5"/>
      <c r="AX7" s="5"/>
      <c r="AY7" s="5"/>
      <c r="AZ7" s="24">
        <f>VLOOKUP(C7,Employees!D:I,6,FALSE)</f>
        <v>210537</v>
      </c>
      <c r="BA7" s="5">
        <f t="shared" si="25"/>
        <v>3.9999999999999991</v>
      </c>
      <c r="BB7" s="5">
        <f t="shared" si="26"/>
        <v>0</v>
      </c>
      <c r="BC7" s="5">
        <f t="shared" si="27"/>
        <v>3.9999999999999991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5</v>
      </c>
      <c r="BQ7" s="5">
        <f t="shared" si="40"/>
        <v>0</v>
      </c>
      <c r="BR7" s="5">
        <f t="shared" si="41"/>
        <v>5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7.0000000000000018</v>
      </c>
      <c r="CA7" s="5">
        <f t="shared" si="49"/>
        <v>0.5</v>
      </c>
      <c r="CB7" s="5">
        <f t="shared" si="50"/>
        <v>6.5000000000000018</v>
      </c>
      <c r="CC7" s="5">
        <f t="shared" si="51"/>
        <v>0</v>
      </c>
      <c r="CD7" s="5">
        <f t="shared" si="52"/>
        <v>0</v>
      </c>
      <c r="CE7" s="5">
        <f t="shared" si="53"/>
        <v>4</v>
      </c>
      <c r="CF7" s="5">
        <f t="shared" si="54"/>
        <v>0</v>
      </c>
      <c r="CG7" s="5">
        <f t="shared" si="55"/>
        <v>4</v>
      </c>
      <c r="CH7" s="5">
        <f t="shared" si="56"/>
        <v>0</v>
      </c>
      <c r="CI7" s="5">
        <f t="shared" si="57"/>
        <v>0</v>
      </c>
      <c r="CJ7" s="5"/>
      <c r="CK7" s="4">
        <f t="shared" si="14"/>
        <v>4</v>
      </c>
    </row>
    <row r="8" spans="1:89" ht="38" customHeight="1">
      <c r="A8" s="74" t="str">
        <f t="shared" si="0"/>
        <v/>
      </c>
      <c r="B8" s="81"/>
      <c r="C8" s="98"/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98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X1" sqref="X1:X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210453</v>
      </c>
      <c r="B2" s="81" t="s">
        <v>1225</v>
      </c>
      <c r="C2" s="91" t="s">
        <v>1235</v>
      </c>
      <c r="D2" s="75">
        <v>0.75</v>
      </c>
      <c r="E2" s="75">
        <v>0.875</v>
      </c>
      <c r="F2" s="92">
        <f>BA2-BB2</f>
        <v>3</v>
      </c>
      <c r="G2" s="75"/>
      <c r="H2" s="76"/>
      <c r="I2" s="92">
        <f>BF2-BG2</f>
        <v>0</v>
      </c>
      <c r="J2" s="75">
        <v>0.75</v>
      </c>
      <c r="K2" s="76">
        <v>0.91666666666666663</v>
      </c>
      <c r="L2" s="92">
        <f>BK2-BL2</f>
        <v>3.9999999999999991</v>
      </c>
      <c r="M2" s="75">
        <v>0.625</v>
      </c>
      <c r="N2" s="76">
        <v>0.875</v>
      </c>
      <c r="O2" s="92">
        <f>BP2-BQ2</f>
        <v>5.5</v>
      </c>
      <c r="P2" s="75">
        <v>0.41666666666666669</v>
      </c>
      <c r="Q2" s="76">
        <v>0.70833333333333337</v>
      </c>
      <c r="R2" s="92">
        <f>BU2-BV2</f>
        <v>6.5</v>
      </c>
      <c r="S2" s="75">
        <v>0.75</v>
      </c>
      <c r="T2" s="75">
        <v>0.91666666666666663</v>
      </c>
      <c r="U2" s="92">
        <f>BZ2-CA2</f>
        <v>3.9999999999999991</v>
      </c>
      <c r="V2" s="75"/>
      <c r="W2" s="102"/>
      <c r="X2" s="92">
        <f>CE2-CF2</f>
        <v>0</v>
      </c>
      <c r="Y2" s="92"/>
      <c r="Z2" s="92"/>
      <c r="AA2" s="92"/>
      <c r="AB2" s="96">
        <f>SUM(F2,I2,L2,O2,R2,U2,X2)</f>
        <v>23</v>
      </c>
      <c r="AC2" s="93"/>
      <c r="AD2" s="78">
        <v>0.5</v>
      </c>
      <c r="AE2" s="94">
        <f>SUMIF($BC$1:$CI$1,AE$1,$BC2:$CI2)+AD2</f>
        <v>16.5</v>
      </c>
      <c r="AF2" s="78"/>
      <c r="AG2" s="94">
        <f>SUMIF($BC$1:$CI$1,AG$1,$BC2:$CI2)+AF2</f>
        <v>3.9999999999999991</v>
      </c>
      <c r="AH2" s="78"/>
      <c r="AI2" s="94">
        <f>SUMIF($BC$1:$CI$1,AI$1,$BC2:$CI2)+AH2</f>
        <v>0</v>
      </c>
      <c r="AJ2" s="77"/>
      <c r="AK2" s="94">
        <f>SUMIF($BC$1:$CI$1,AK$1,$BC2:$CI2)+AJ2</f>
        <v>3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5</v>
      </c>
      <c r="AQ2" s="77"/>
      <c r="AR2" s="77"/>
      <c r="AS2" s="77"/>
      <c r="AT2" s="63">
        <f>AE2+AG2+AI2+AK2+AM2+AO2+SUM(AQ2:AS2)</f>
        <v>23.5</v>
      </c>
      <c r="AU2" s="78"/>
      <c r="AV2" s="5"/>
      <c r="AW2" s="5"/>
      <c r="AX2" s="5"/>
      <c r="AY2" s="5"/>
      <c r="AZ2" s="24">
        <f>VLOOKUP(C2,Employees!D:I,6,FALSE)</f>
        <v>210453</v>
      </c>
      <c r="BA2" s="5">
        <f>IF(ISBLANK(D2),0,(E2-D2)*24)</f>
        <v>3</v>
      </c>
      <c r="BB2" s="5">
        <f>IF(BA2&gt;$AY$1,1,IF(BA2&gt;=$AX$1,0.5,0))</f>
        <v>0</v>
      </c>
      <c r="BC2" s="5">
        <f>BA2-BB2-BD2-BE2</f>
        <v>3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3.9999999999999991</v>
      </c>
      <c r="BL2" s="5">
        <f>IF(BK2&gt;$AY$1,1,IF(BK2&gt;=$AX$1,0.5,0))</f>
        <v>0</v>
      </c>
      <c r="BM2" s="5">
        <f>BK2-BL2-BN2-BO2</f>
        <v>3.9999999999999991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6</v>
      </c>
      <c r="BQ2" s="5">
        <f>IF(BP2&gt;$AY$1,1,IF(BP2&gt;=$AX$1,0.5,0))</f>
        <v>0.5</v>
      </c>
      <c r="BR2" s="5">
        <f>BP2-BQ2-BS2-BT2</f>
        <v>5.5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</v>
      </c>
      <c r="BV2" s="5">
        <f>IF(BU2&gt;$AY$1,1,IF(BU2&gt;=$AX$1,0.5,0))</f>
        <v>0.5</v>
      </c>
      <c r="BW2" s="5">
        <f>BU2-BV2-BX2-BY2</f>
        <v>6.5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3.9999999999999991</v>
      </c>
      <c r="CA2" s="5">
        <f>IF(BZ2&gt;$AY$1,1,IF(BZ2&gt;=$AX$1,0.5,0))</f>
        <v>0</v>
      </c>
      <c r="CB2" s="5">
        <f>BZ2-CA2-CC2-CD2</f>
        <v>3.9999999999999991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10451</v>
      </c>
      <c r="B3" s="81" t="s">
        <v>1225</v>
      </c>
      <c r="C3" s="72" t="s">
        <v>1228</v>
      </c>
      <c r="D3" s="75">
        <v>0.625</v>
      </c>
      <c r="E3" s="75">
        <v>0.75</v>
      </c>
      <c r="F3" s="92">
        <f t="shared" ref="F3:F74" si="9">BA3-BB3</f>
        <v>3</v>
      </c>
      <c r="G3" s="75">
        <v>0.75</v>
      </c>
      <c r="H3" s="75">
        <v>0.91666666666666663</v>
      </c>
      <c r="I3" s="92">
        <f t="shared" ref="I3:I74" si="10">BF3-BG3</f>
        <v>3.9999999999999991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4"/>
      <c r="Q3" s="84"/>
      <c r="R3" s="92">
        <f t="shared" ref="R3:R74" si="13">BU3-BV3</f>
        <v>0</v>
      </c>
      <c r="S3" s="84"/>
      <c r="T3" s="84"/>
      <c r="U3" s="92">
        <f t="shared" ref="U3:U74" si="14">BZ3-CA3</f>
        <v>0</v>
      </c>
      <c r="V3" s="75">
        <v>0.625</v>
      </c>
      <c r="W3" s="75">
        <v>0.875</v>
      </c>
      <c r="X3" s="92">
        <f t="shared" ref="X3:X74" si="15">CE3-CF3</f>
        <v>5.5</v>
      </c>
      <c r="Y3" s="92"/>
      <c r="Z3" s="92"/>
      <c r="AA3" s="92"/>
      <c r="AB3" s="96">
        <f t="shared" ref="AB3:AB74" si="16">SUM(F3,I3,L3,O3,R3,U3,X3)</f>
        <v>12.5</v>
      </c>
      <c r="AC3" s="93"/>
      <c r="AD3" s="78"/>
      <c r="AE3" s="94">
        <f t="shared" ref="AE3:AE74" si="17">SUMIF($BC$1:$CI$1,AE$1,$BC3:$CI3)+AD3</f>
        <v>3.9999999999999991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5.5</v>
      </c>
      <c r="AJ3" s="77"/>
      <c r="AK3" s="94">
        <f t="shared" ref="AK3:AK74" si="20">SUMIF($BC$1:$CI$1,AK$1,$BC3:$CI3)+AJ3</f>
        <v>3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3</v>
      </c>
      <c r="AQ3" s="77"/>
      <c r="AR3" s="77"/>
      <c r="AS3" s="77"/>
      <c r="AT3" s="63">
        <f t="shared" ref="AT3:AT74" si="24">AE3+AG3+AI3+AK3+AM3+AO3+SUM(AQ3:AS3)</f>
        <v>12.5</v>
      </c>
      <c r="AU3" s="78"/>
      <c r="AV3" s="5"/>
      <c r="AW3" s="5"/>
      <c r="AX3" s="5"/>
      <c r="AY3" s="5"/>
      <c r="AZ3" s="24">
        <f>VLOOKUP(C3,Employees!D:I,6,FALSE)</f>
        <v>10451</v>
      </c>
      <c r="BA3" s="5">
        <f t="shared" ref="BA3:BA66" si="25">IF(ISBLANK(D3),0,(E3-D3)*24)</f>
        <v>3</v>
      </c>
      <c r="BB3" s="5">
        <f t="shared" ref="BB3:BB66" si="26">IF(BA3&gt;$AY$1,1,IF(BA3&gt;=$AX$1,0.5,0))</f>
        <v>0</v>
      </c>
      <c r="BC3" s="5">
        <f t="shared" ref="BC3:BC66" si="27">BA3-BB3-BD3-BE3</f>
        <v>3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3.9999999999999991</v>
      </c>
      <c r="BG3" s="5">
        <f t="shared" ref="BG3:BG66" si="31">IF(BF3&gt;$AY$1,1,IF(BF3&gt;=$AX$1,0.5,0))</f>
        <v>0</v>
      </c>
      <c r="BH3" s="5">
        <f t="shared" ref="BH3:BH66" si="32">BF3-BG3-BI3-BJ3</f>
        <v>3.9999999999999991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6</v>
      </c>
      <c r="CF3" s="5">
        <f t="shared" ref="CF3:CF66" si="56">IF(CE3&gt;$AY$1,1,IF(CE3&gt;=$AX$1,0.5,0))</f>
        <v>0.5</v>
      </c>
      <c r="CG3" s="5">
        <f t="shared" ref="CG3:CG66" si="57">CE3-CF3-CH3-CI3</f>
        <v>5.5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>
        <f t="shared" si="0"/>
        <v>210454</v>
      </c>
      <c r="B4" s="81" t="s">
        <v>1225</v>
      </c>
      <c r="C4" s="72" t="s">
        <v>1238</v>
      </c>
      <c r="D4" s="75">
        <v>0.41666666666666669</v>
      </c>
      <c r="E4" s="75">
        <v>0.54166666666666663</v>
      </c>
      <c r="F4" s="92">
        <f t="shared" si="9"/>
        <v>2.9999999999999987</v>
      </c>
      <c r="G4" s="75">
        <v>0.41666666666666669</v>
      </c>
      <c r="H4" s="75">
        <v>0.66666666666666663</v>
      </c>
      <c r="I4" s="92">
        <f t="shared" si="10"/>
        <v>5.4999999999999982</v>
      </c>
      <c r="J4" s="75">
        <v>0.6333333333333333</v>
      </c>
      <c r="K4" s="75">
        <v>0.875</v>
      </c>
      <c r="L4" s="92">
        <f t="shared" si="11"/>
        <v>5.3000000000000007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>
        <v>0.77638888888888891</v>
      </c>
      <c r="W4" s="75">
        <v>0.91666666666666663</v>
      </c>
      <c r="X4" s="92">
        <f t="shared" si="15"/>
        <v>3.3666666666666654</v>
      </c>
      <c r="Y4" s="92"/>
      <c r="Z4" s="92"/>
      <c r="AA4" s="92"/>
      <c r="AB4" s="96">
        <f t="shared" si="16"/>
        <v>17.166666666666664</v>
      </c>
      <c r="AC4" s="93"/>
      <c r="AD4" s="78">
        <v>1.5</v>
      </c>
      <c r="AE4" s="94">
        <f t="shared" si="17"/>
        <v>12.299999999999999</v>
      </c>
      <c r="AF4" s="78"/>
      <c r="AG4" s="94">
        <f t="shared" si="18"/>
        <v>0</v>
      </c>
      <c r="AH4" s="78"/>
      <c r="AI4" s="94">
        <f t="shared" si="19"/>
        <v>3.3666666666666654</v>
      </c>
      <c r="AJ4" s="77"/>
      <c r="AK4" s="94">
        <f t="shared" si="20"/>
        <v>2.9999999999999987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4</v>
      </c>
      <c r="AQ4" s="77"/>
      <c r="AR4" s="77"/>
      <c r="AS4" s="77"/>
      <c r="AT4" s="63">
        <f t="shared" si="24"/>
        <v>18.666666666666664</v>
      </c>
      <c r="AU4" s="78"/>
      <c r="AV4" s="5"/>
      <c r="AW4" s="5"/>
      <c r="AX4" s="5"/>
      <c r="AY4" s="5"/>
      <c r="AZ4" s="24">
        <f>VLOOKUP(C4,Employees!D:I,6,FALSE)</f>
        <v>210454</v>
      </c>
      <c r="BA4" s="5">
        <f t="shared" si="25"/>
        <v>2.9999999999999987</v>
      </c>
      <c r="BB4" s="5">
        <f t="shared" si="26"/>
        <v>0</v>
      </c>
      <c r="BC4" s="5">
        <f t="shared" si="27"/>
        <v>2.9999999999999987</v>
      </c>
      <c r="BD4" s="5">
        <f t="shared" si="28"/>
        <v>0</v>
      </c>
      <c r="BE4" s="5">
        <f t="shared" si="29"/>
        <v>0</v>
      </c>
      <c r="BF4" s="5">
        <f t="shared" si="30"/>
        <v>5.9999999999999982</v>
      </c>
      <c r="BG4" s="5">
        <f t="shared" si="31"/>
        <v>0.5</v>
      </c>
      <c r="BH4" s="5">
        <f t="shared" si="32"/>
        <v>5.4999999999999982</v>
      </c>
      <c r="BI4" s="5">
        <f t="shared" si="33"/>
        <v>0</v>
      </c>
      <c r="BJ4" s="5">
        <f t="shared" si="34"/>
        <v>0</v>
      </c>
      <c r="BK4" s="5">
        <f t="shared" si="35"/>
        <v>5.8000000000000007</v>
      </c>
      <c r="BL4" s="5">
        <f t="shared" si="36"/>
        <v>0.5</v>
      </c>
      <c r="BM4" s="5">
        <f t="shared" si="37"/>
        <v>5.3000000000000007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3.3666666666666654</v>
      </c>
      <c r="CF4" s="5">
        <f t="shared" si="56"/>
        <v>0</v>
      </c>
      <c r="CG4" s="5">
        <f t="shared" si="57"/>
        <v>3.3666666666666654</v>
      </c>
      <c r="CH4" s="5">
        <f t="shared" si="58"/>
        <v>0</v>
      </c>
      <c r="CI4" s="5">
        <f t="shared" si="59"/>
        <v>0</v>
      </c>
      <c r="CJ4" s="5"/>
      <c r="CK4" s="4">
        <f t="shared" si="8"/>
        <v>4</v>
      </c>
    </row>
    <row r="5" spans="1:89" ht="47" customHeight="1">
      <c r="A5" s="74">
        <f t="shared" si="0"/>
        <v>210514</v>
      </c>
      <c r="B5" s="81" t="s">
        <v>1225</v>
      </c>
      <c r="C5" s="72" t="s">
        <v>1411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>
        <v>0.6069444444444444</v>
      </c>
      <c r="Q5" s="75">
        <v>0.92013888888888884</v>
      </c>
      <c r="R5" s="92">
        <f t="shared" si="13"/>
        <v>7.0166666666666666</v>
      </c>
      <c r="S5" s="76">
        <v>0.625</v>
      </c>
      <c r="T5" s="75">
        <v>0.83333333333333337</v>
      </c>
      <c r="U5" s="92">
        <f t="shared" si="14"/>
        <v>5.0000000000000009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12.016666666666667</v>
      </c>
      <c r="AC5" s="93"/>
      <c r="AD5" s="78">
        <v>0.5</v>
      </c>
      <c r="AE5" s="94">
        <f t="shared" si="17"/>
        <v>7.4333333333333336</v>
      </c>
      <c r="AF5" s="78"/>
      <c r="AG5" s="94">
        <f t="shared" si="18"/>
        <v>5.0000000000000009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8.3333333333333037E-2</v>
      </c>
      <c r="AN5" s="77"/>
      <c r="AO5" s="94">
        <f t="shared" si="22"/>
        <v>0</v>
      </c>
      <c r="AP5" s="95">
        <f t="shared" si="23"/>
        <v>2</v>
      </c>
      <c r="AQ5" s="77"/>
      <c r="AR5" s="77"/>
      <c r="AS5" s="77"/>
      <c r="AT5" s="63">
        <f t="shared" si="24"/>
        <v>12.516666666666666</v>
      </c>
      <c r="AU5" s="78"/>
      <c r="AV5" s="5"/>
      <c r="AW5" s="5"/>
      <c r="AX5" s="5"/>
      <c r="AY5" s="5"/>
      <c r="AZ5" s="24">
        <f>VLOOKUP(C5,Employees!D:I,6,FALSE)</f>
        <v>210514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7.5166666666666666</v>
      </c>
      <c r="BV5" s="5">
        <f t="shared" si="46"/>
        <v>0.5</v>
      </c>
      <c r="BW5" s="5">
        <f t="shared" si="47"/>
        <v>6.9333333333333336</v>
      </c>
      <c r="BX5" s="5">
        <f t="shared" si="48"/>
        <v>8.3333333333333037E-2</v>
      </c>
      <c r="BY5" s="5">
        <f t="shared" si="49"/>
        <v>0</v>
      </c>
      <c r="BZ5" s="5">
        <f t="shared" si="50"/>
        <v>5.0000000000000009</v>
      </c>
      <c r="CA5" s="5">
        <f t="shared" si="51"/>
        <v>0</v>
      </c>
      <c r="CB5" s="5">
        <f t="shared" si="52"/>
        <v>5.0000000000000009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210530</v>
      </c>
      <c r="B6" s="81" t="s">
        <v>1225</v>
      </c>
      <c r="C6" s="104" t="s">
        <v>1448</v>
      </c>
      <c r="D6" s="76">
        <v>0.5</v>
      </c>
      <c r="E6" s="75">
        <v>0.625</v>
      </c>
      <c r="F6" s="92">
        <f t="shared" si="9"/>
        <v>3</v>
      </c>
      <c r="G6" s="75">
        <v>0.625</v>
      </c>
      <c r="H6" s="76">
        <v>0.875</v>
      </c>
      <c r="I6" s="92">
        <f t="shared" si="10"/>
        <v>5.5</v>
      </c>
      <c r="J6" s="76"/>
      <c r="K6" s="76"/>
      <c r="L6" s="92">
        <f t="shared" si="11"/>
        <v>0</v>
      </c>
      <c r="M6" s="76">
        <v>0.75</v>
      </c>
      <c r="N6" s="76">
        <v>0.91666666666666663</v>
      </c>
      <c r="O6" s="92">
        <f t="shared" si="12"/>
        <v>3.9999999999999991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>
        <v>0.41666666666666669</v>
      </c>
      <c r="W6" s="76">
        <v>0.66666666666666663</v>
      </c>
      <c r="X6" s="92">
        <f t="shared" si="15"/>
        <v>5.4999999999999982</v>
      </c>
      <c r="Y6" s="92"/>
      <c r="Z6" s="92"/>
      <c r="AA6" s="92"/>
      <c r="AB6" s="96">
        <f t="shared" si="16"/>
        <v>18</v>
      </c>
      <c r="AC6" s="93"/>
      <c r="AD6" s="78">
        <v>0.5</v>
      </c>
      <c r="AE6" s="94">
        <f t="shared" si="17"/>
        <v>10</v>
      </c>
      <c r="AF6" s="78"/>
      <c r="AG6" s="94">
        <f t="shared" si="18"/>
        <v>0</v>
      </c>
      <c r="AH6" s="78">
        <v>0.5</v>
      </c>
      <c r="AI6" s="94">
        <f t="shared" si="19"/>
        <v>5.9999999999999982</v>
      </c>
      <c r="AJ6" s="77"/>
      <c r="AK6" s="94">
        <f t="shared" si="20"/>
        <v>3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4</v>
      </c>
      <c r="AQ6" s="77"/>
      <c r="AR6" s="77"/>
      <c r="AS6" s="77"/>
      <c r="AT6" s="63">
        <f t="shared" si="24"/>
        <v>19</v>
      </c>
      <c r="AU6" s="78"/>
      <c r="AV6" s="5"/>
      <c r="AW6" s="5"/>
      <c r="AX6" s="5"/>
      <c r="AY6" s="5"/>
      <c r="AZ6" s="24">
        <f>VLOOKUP(C6,Employees!D:I,6,FALSE)</f>
        <v>210530</v>
      </c>
      <c r="BA6" s="5">
        <f t="shared" si="25"/>
        <v>3</v>
      </c>
      <c r="BB6" s="5">
        <f t="shared" si="26"/>
        <v>0</v>
      </c>
      <c r="BC6" s="5">
        <f t="shared" si="27"/>
        <v>3</v>
      </c>
      <c r="BD6" s="5">
        <f t="shared" si="28"/>
        <v>0</v>
      </c>
      <c r="BE6" s="5">
        <f t="shared" si="29"/>
        <v>0</v>
      </c>
      <c r="BF6" s="5">
        <f t="shared" si="30"/>
        <v>6</v>
      </c>
      <c r="BG6" s="5">
        <f t="shared" si="31"/>
        <v>0.5</v>
      </c>
      <c r="BH6" s="5">
        <f t="shared" si="32"/>
        <v>5.5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3.9999999999999991</v>
      </c>
      <c r="BQ6" s="5">
        <f t="shared" si="41"/>
        <v>0</v>
      </c>
      <c r="BR6" s="5">
        <f t="shared" si="42"/>
        <v>3.9999999999999991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5.9999999999999982</v>
      </c>
      <c r="CF6" s="5">
        <f t="shared" si="56"/>
        <v>0.5</v>
      </c>
      <c r="CG6" s="5">
        <f t="shared" si="57"/>
        <v>5.4999999999999982</v>
      </c>
      <c r="CH6" s="5">
        <f t="shared" si="58"/>
        <v>0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210537</v>
      </c>
      <c r="B7" s="81" t="s">
        <v>1225</v>
      </c>
      <c r="C7" s="99" t="s">
        <v>1467</v>
      </c>
      <c r="D7" s="76">
        <v>0.79166666666666663</v>
      </c>
      <c r="E7" s="76">
        <v>0.92638888888888893</v>
      </c>
      <c r="F7" s="92">
        <f t="shared" si="9"/>
        <v>3.2333333333333352</v>
      </c>
      <c r="G7" s="76"/>
      <c r="H7" s="76"/>
      <c r="I7" s="92">
        <f t="shared" si="10"/>
        <v>0</v>
      </c>
      <c r="J7" s="76">
        <v>0.41666666666666669</v>
      </c>
      <c r="K7" s="76">
        <v>0.63541666666666663</v>
      </c>
      <c r="L7" s="92">
        <f t="shared" si="11"/>
        <v>5.2499999999999982</v>
      </c>
      <c r="M7" s="76">
        <v>0.41666666666666669</v>
      </c>
      <c r="N7" s="76">
        <v>0.625</v>
      </c>
      <c r="O7" s="92">
        <f t="shared" si="12"/>
        <v>5</v>
      </c>
      <c r="P7" s="76"/>
      <c r="Q7" s="75"/>
      <c r="R7" s="92">
        <f t="shared" si="13"/>
        <v>0</v>
      </c>
      <c r="S7" s="76">
        <v>0.41666666666666669</v>
      </c>
      <c r="T7" s="75">
        <v>0.69097222222222221</v>
      </c>
      <c r="U7" s="92">
        <f t="shared" si="14"/>
        <v>6.0833333333333321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19.566666666666666</v>
      </c>
      <c r="AC7" s="93"/>
      <c r="AD7" s="78"/>
      <c r="AE7" s="94">
        <f t="shared" si="17"/>
        <v>10.249999999999998</v>
      </c>
      <c r="AF7" s="77">
        <v>0.25</v>
      </c>
      <c r="AG7" s="94">
        <f t="shared" si="18"/>
        <v>6.3333333333333321</v>
      </c>
      <c r="AH7" s="78"/>
      <c r="AI7" s="94">
        <f t="shared" si="19"/>
        <v>0</v>
      </c>
      <c r="AJ7" s="77"/>
      <c r="AK7" s="94">
        <f t="shared" si="20"/>
        <v>3.2333333333333352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4</v>
      </c>
      <c r="AQ7" s="77"/>
      <c r="AR7" s="77"/>
      <c r="AS7" s="77"/>
      <c r="AT7" s="63">
        <f t="shared" si="24"/>
        <v>19.816666666666663</v>
      </c>
      <c r="AU7" s="78"/>
      <c r="AV7" s="5"/>
      <c r="AW7" s="5"/>
      <c r="AX7" s="5"/>
      <c r="AY7" s="5"/>
      <c r="AZ7" s="24">
        <f>VLOOKUP(C7,Employees!D:I,6,FALSE)</f>
        <v>210537</v>
      </c>
      <c r="BA7" s="5">
        <f t="shared" si="25"/>
        <v>3.2333333333333352</v>
      </c>
      <c r="BB7" s="5">
        <f t="shared" si="26"/>
        <v>0</v>
      </c>
      <c r="BC7" s="5">
        <f t="shared" si="27"/>
        <v>3</v>
      </c>
      <c r="BD7" s="5">
        <f t="shared" si="28"/>
        <v>0.23333333333333517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5.2499999999999982</v>
      </c>
      <c r="BL7" s="5">
        <f t="shared" si="36"/>
        <v>0</v>
      </c>
      <c r="BM7" s="5">
        <f t="shared" si="37"/>
        <v>5.2499999999999982</v>
      </c>
      <c r="BN7" s="5">
        <f t="shared" si="38"/>
        <v>0</v>
      </c>
      <c r="BO7" s="5">
        <f t="shared" si="39"/>
        <v>0</v>
      </c>
      <c r="BP7" s="5">
        <f t="shared" si="40"/>
        <v>5</v>
      </c>
      <c r="BQ7" s="5">
        <f t="shared" si="41"/>
        <v>0</v>
      </c>
      <c r="BR7" s="5">
        <f t="shared" si="42"/>
        <v>5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6.5833333333333321</v>
      </c>
      <c r="CA7" s="5">
        <f t="shared" si="51"/>
        <v>0.5</v>
      </c>
      <c r="CB7" s="5">
        <f t="shared" si="52"/>
        <v>6.0833333333333321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4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B8:B100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AI1" sqref="AI1:AI104857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210453</v>
      </c>
      <c r="B2" s="28">
        <f ca="1">IF(A2=0,"",_xlfn.NUMBERVALUE(A2))</f>
        <v>210453</v>
      </c>
      <c r="C2" s="28" t="str">
        <f ca="1">IF($A2=0,"",VLOOKUP($B2,Employees!$A:$G,2,FALSE))</f>
        <v>Ngoc Linh Dan</v>
      </c>
      <c r="D2" s="28" t="str">
        <f ca="1">IF($A2=0,"",VLOOKUP($B2,Employees!$A:$G,3,FALSE))</f>
        <v>Nguyen</v>
      </c>
      <c r="E2" s="26">
        <f ca="1">IF($A2=0,"",VLOOKUP($B2,Employees!$A:$G,5,FALSE))</f>
        <v>37321</v>
      </c>
      <c r="F2" s="13">
        <f ca="1">IF($E2="","",ROUNDDOWN(YEARFRAC($E2, 'Week 1 Roster'!$D$1-1, 1), 0))</f>
        <v>23</v>
      </c>
      <c r="G2" s="13">
        <f ca="1">IF($E2="","",ROUNDDOWN(YEARFRAC($E2, 'Week 1 Roster'!$D$1+14, 1), 0))</f>
        <v>23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Southport</v>
      </c>
      <c r="L2" s="13" t="str">
        <f ca="1">IF($A2=0,"",VLOOKUP(K2,Stores!A:B,2,0))</f>
        <v>GCA</v>
      </c>
      <c r="M2" s="14">
        <f t="shared" ref="M2" ca="1" si="0">Y2+AK2</f>
        <v>31.5</v>
      </c>
      <c r="N2" s="14">
        <f t="shared" ref="N2" ca="1" si="1">Z2+AL2</f>
        <v>9.9999999999999964</v>
      </c>
      <c r="O2" s="14">
        <f t="shared" ref="O2" ca="1" si="2">AA2+AM2</f>
        <v>0</v>
      </c>
      <c r="P2" s="14">
        <f t="shared" ref="P2" ca="1" si="3">AB2+AN2</f>
        <v>3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8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44.5</v>
      </c>
      <c r="Y2" s="17">
        <f ca="1">IF($A2=0,0,SUMIF('Week 1 Roster'!$AZ:$AZ,$B2,'Week 1 Roster'!$AE:$AE))</f>
        <v>15</v>
      </c>
      <c r="Z2" s="17">
        <f ca="1">IF($A2=0,0,SUMIF('Week 1 Roster'!$AZ:$AZ,$B2,'Week 1 Roster'!$AG:$AG))</f>
        <v>5.9999999999999982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21</v>
      </c>
      <c r="AK2" s="17">
        <f ca="1">IF($A2=0,0,SUMIF('Week 2 Roster'!$AZ:$AZ,$B2,'Week 2 Roster'!$AE:$AE))</f>
        <v>16.5</v>
      </c>
      <c r="AL2" s="17">
        <f ca="1">IF($A2=0,0,SUMIF('Week 2 Roster'!$AZ:$AZ,$B2,'Week 2 Roster'!$AG:$AG))</f>
        <v>3.9999999999999991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3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23.5</v>
      </c>
      <c r="AV2" s="17"/>
      <c r="AW2" s="25">
        <f>'Week 1 Roster'!A2</f>
        <v>210453</v>
      </c>
      <c r="AX2" s="25">
        <f>'Week 2 Roster'!A2</f>
        <v>210453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10451</v>
      </c>
      <c r="B3" s="28">
        <f t="shared" ref="B3:B66" ca="1" si="9">IF(A3=0,"",_xlfn.NUMBERVALUE(A3))</f>
        <v>10451</v>
      </c>
      <c r="C3" s="28" t="str">
        <f ca="1">IF($A3=0,"",VLOOKUP($B3,Employees!$A:$G,2,FALSE))</f>
        <v>TSZ HIM</v>
      </c>
      <c r="D3" s="28" t="str">
        <f ca="1">IF($A3=0,"",VLOOKUP($B3,Employees!$A:$G,3,FALSE))</f>
        <v>NG</v>
      </c>
      <c r="E3" s="26">
        <f ca="1">IF($A3=0,"",VLOOKUP($B3,Employees!$A:$G,5,FALSE))</f>
        <v>37724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Southport</v>
      </c>
      <c r="L3" s="13" t="str">
        <f ca="1">IF($A3=0,"",VLOOKUP(K3,Stores!A:B,2,0))</f>
        <v>GCA</v>
      </c>
      <c r="M3" s="14">
        <f t="shared" ref="M3:M66" ca="1" si="11">Y3+AK3</f>
        <v>14.999999999999996</v>
      </c>
      <c r="N3" s="14">
        <f t="shared" ref="N3:N66" ca="1" si="12">Z3+AL3</f>
        <v>3</v>
      </c>
      <c r="O3" s="14">
        <f t="shared" ref="O3:O66" ca="1" si="13">AA3+AM3</f>
        <v>9.5</v>
      </c>
      <c r="P3" s="14">
        <f t="shared" ref="P3:P66" ca="1" si="14">AB3+AN3</f>
        <v>3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7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30.499999999999996</v>
      </c>
      <c r="Y3" s="17">
        <f ca="1">IF($A3=0,0,SUMIF('Week 1 Roster'!$AZ:$AZ,$B3,'Week 1 Roster'!$AE:$AE))</f>
        <v>10.999999999999998</v>
      </c>
      <c r="Z3" s="17">
        <f ca="1">IF($A3=0,0,SUMIF('Week 1 Roster'!$AZ:$AZ,$B3,'Week 1 Roster'!$AG:$AG))</f>
        <v>3</v>
      </c>
      <c r="AA3" s="17">
        <f ca="1">IF($A3=0,0,SUMIF('Week 1 Roster'!$AZ:$AZ,$B3,'Week 1 Roster'!$AI:$AI))</f>
        <v>3.9999999999999991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4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17.999999999999996</v>
      </c>
      <c r="AK3" s="17">
        <f ca="1">IF($A3=0,0,SUMIF('Week 2 Roster'!$AZ:$AZ,$B3,'Week 2 Roster'!$AE:$AE))</f>
        <v>3.9999999999999991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5.5</v>
      </c>
      <c r="AN3" s="17">
        <f ca="1">IF($A3=0,0,SUMIF('Week 2 Roster'!$AZ:$AZ,$B3,'Week 2 Roster'!$AK:$AK))</f>
        <v>3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12.5</v>
      </c>
      <c r="AV3" s="17"/>
      <c r="AW3" s="25">
        <f>'Week 1 Roster'!A3</f>
        <v>10451</v>
      </c>
      <c r="AX3" s="25">
        <f>'Week 2 Roster'!A3</f>
        <v>10451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210454</v>
      </c>
      <c r="B4" s="28">
        <f t="shared" ca="1" si="9"/>
        <v>210454</v>
      </c>
      <c r="C4" s="28" t="str">
        <f ca="1">IF($A4=0,"",VLOOKUP($B4,Employees!$A:$G,2,FALSE))</f>
        <v>Kane</v>
      </c>
      <c r="D4" s="28" t="str">
        <f ca="1">IF($A4=0,"",VLOOKUP($B4,Employees!$A:$G,3,FALSE))</f>
        <v>Price</v>
      </c>
      <c r="E4" s="26">
        <f ca="1">IF($A4=0,"",VLOOKUP($B4,Employees!$A:$G,5,FALSE))</f>
        <v>39141</v>
      </c>
      <c r="F4" s="13">
        <f ca="1">IF($E4="","",ROUNDDOWN(YEARFRAC($E4, 'Week 1 Roster'!$D$1-1, 1), 0))</f>
        <v>18</v>
      </c>
      <c r="G4" s="13">
        <f ca="1">IF($E4="","",ROUNDDOWN(YEARFRAC($E4, 'Week 1 Roster'!$D$1+14, 1), 0))</f>
        <v>18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Southport</v>
      </c>
      <c r="L4" s="13" t="str">
        <f ca="1">IF($A4=0,"",VLOOKUP(K4,Stores!A:B,2,0))</f>
        <v>GCA</v>
      </c>
      <c r="M4" s="14">
        <f t="shared" ca="1" si="11"/>
        <v>45.316666666666663</v>
      </c>
      <c r="N4" s="14">
        <f t="shared" ca="1" si="12"/>
        <v>0</v>
      </c>
      <c r="O4" s="14">
        <f t="shared" ca="1" si="13"/>
        <v>8.3666666666666671</v>
      </c>
      <c r="P4" s="14">
        <f t="shared" ca="1" si="14"/>
        <v>2.9999999999999987</v>
      </c>
      <c r="Q4" s="14">
        <f t="shared" ca="1" si="15"/>
        <v>0</v>
      </c>
      <c r="R4" s="14">
        <f t="shared" ca="1" si="16"/>
        <v>0</v>
      </c>
      <c r="S4" s="28">
        <f t="shared" ca="1" si="17"/>
        <v>10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56.68333333333333</v>
      </c>
      <c r="Y4" s="17">
        <f ca="1">IF($A4=0,0,SUMIF('Week 1 Roster'!$AZ:$AZ,$B4,'Week 1 Roster'!$AE:$AE))</f>
        <v>33.016666666666666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5.0000000000000009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6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38.016666666666666</v>
      </c>
      <c r="AK4" s="17">
        <f ca="1">IF($A4=0,0,SUMIF('Week 2 Roster'!$AZ:$AZ,$B4,'Week 2 Roster'!$AE:$AE))</f>
        <v>12.299999999999999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3.3666666666666654</v>
      </c>
      <c r="AN4" s="17">
        <f ca="1">IF($A4=0,0,SUMIF('Week 2 Roster'!$AZ:$AZ,$B4,'Week 2 Roster'!$AK:$AK))</f>
        <v>2.9999999999999987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4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18.666666666666664</v>
      </c>
      <c r="AV4" s="17"/>
      <c r="AW4" s="25">
        <f>'Week 1 Roster'!A4</f>
        <v>210454</v>
      </c>
      <c r="AX4" s="25">
        <f>'Week 2 Roster'!A4</f>
        <v>210454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210514</v>
      </c>
      <c r="B5" s="28">
        <f t="shared" ca="1" si="9"/>
        <v>210514</v>
      </c>
      <c r="C5" s="28" t="str">
        <f ca="1">IF($A5=0,"",VLOOKUP($B5,Employees!$A:$G,2,FALSE))</f>
        <v>My Linh</v>
      </c>
      <c r="D5" s="28" t="str">
        <f ca="1">IF($A5=0,"",VLOOKUP($B5,Employees!$A:$G,3,FALSE))</f>
        <v>Vu</v>
      </c>
      <c r="E5" s="26">
        <f ca="1">IF($A5=0,"",VLOOKUP($B5,Employees!$A:$G,5,FALSE))</f>
        <v>36897</v>
      </c>
      <c r="F5" s="13">
        <f ca="1">IF($E5="","",ROUNDDOWN(YEARFRAC($E5, 'Week 1 Roster'!$D$1-1, 1), 0))</f>
        <v>25</v>
      </c>
      <c r="G5" s="13">
        <f ca="1">IF($E5="","",ROUNDDOWN(YEARFRAC($E5, 'Week 1 Roster'!$D$1+14, 1), 0))</f>
        <v>25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Win</v>
      </c>
      <c r="K5" s="13" t="str">
        <f ca="1">IF($A5=0,"",IF(ISNA(VLOOKUP(A5,'Week 1 Roster'!A:C,2,0)),VLOOKUP(A5,'Week 2 Roster'!A:C,2,0),VLOOKUP(A5,'Week 1 Roster'!A:C,2,0)))</f>
        <v>Southport</v>
      </c>
      <c r="L5" s="13" t="str">
        <f ca="1">IF($A5=0,"",VLOOKUP(K5,Stores!A:B,2,0))</f>
        <v>GCA</v>
      </c>
      <c r="M5" s="14">
        <f t="shared" ca="1" si="11"/>
        <v>11.433333333333334</v>
      </c>
      <c r="N5" s="14">
        <f t="shared" ca="1" si="12"/>
        <v>5.0000000000000009</v>
      </c>
      <c r="O5" s="14">
        <f t="shared" ca="1" si="13"/>
        <v>3</v>
      </c>
      <c r="P5" s="14">
        <f t="shared" ca="1" si="14"/>
        <v>0</v>
      </c>
      <c r="Q5" s="14">
        <f t="shared" ca="1" si="15"/>
        <v>8.3333333333333037E-2</v>
      </c>
      <c r="R5" s="14">
        <f t="shared" ca="1" si="16"/>
        <v>0</v>
      </c>
      <c r="S5" s="28">
        <f t="shared" ca="1" si="17"/>
        <v>4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19.516666666666666</v>
      </c>
      <c r="Y5" s="17">
        <f ca="1">IF($A5=0,0,SUMIF('Week 1 Roster'!$AZ:$AZ,$B5,'Week 1 Roster'!$AE:$AE))</f>
        <v>3.9999999999999991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3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6.9999999999999991</v>
      </c>
      <c r="AK5" s="17">
        <f ca="1">IF($A5=0,0,SUMIF('Week 2 Roster'!$AZ:$AZ,$B5,'Week 2 Roster'!$AE:$AE))</f>
        <v>7.4333333333333336</v>
      </c>
      <c r="AL5" s="17">
        <f ca="1">IF($A5=0,0,SUMIF('Week 2 Roster'!$AZ:$AZ,$B5,'Week 2 Roster'!$AG:$AG))</f>
        <v>5.0000000000000009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8.3333333333333037E-2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12.516666666666666</v>
      </c>
      <c r="AV5" s="17"/>
      <c r="AW5" s="25">
        <f>'Week 1 Roster'!A5</f>
        <v>210514</v>
      </c>
      <c r="AX5" s="25">
        <f>'Week 2 Roster'!A5</f>
        <v>210514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210530</v>
      </c>
      <c r="B6" s="28">
        <f t="shared" ca="1" si="9"/>
        <v>210530</v>
      </c>
      <c r="C6" s="28" t="str">
        <f ca="1">IF($A6=0,"",VLOOKUP($B6,Employees!$A:$G,2,FALSE))</f>
        <v>Youngjun</v>
      </c>
      <c r="D6" s="28" t="str">
        <f ca="1">IF($A6=0,"",VLOOKUP($B6,Employees!$A:$G,3,FALSE))</f>
        <v>Cho</v>
      </c>
      <c r="E6" s="26">
        <f ca="1">IF($A6=0,"",VLOOKUP($B6,Employees!$A:$G,5,FALSE))</f>
        <v>36801</v>
      </c>
      <c r="F6" s="13">
        <f ca="1">IF($E6="","",ROUNDDOWN(YEARFRAC($E6, 'Week 1 Roster'!$D$1-1, 1), 0))</f>
        <v>25</v>
      </c>
      <c r="G6" s="13">
        <f ca="1">IF($E6="","",ROUNDDOWN(YEARFRAC($E6, 'Week 1 Roster'!$D$1+14, 1), 0))</f>
        <v>25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Southport</v>
      </c>
      <c r="L6" s="13" t="str">
        <f ca="1">IF($A6=0,"",VLOOKUP(K6,Stores!A:B,2,0))</f>
        <v>GCA</v>
      </c>
      <c r="M6" s="14">
        <f t="shared" ca="1" si="11"/>
        <v>14.999999999999998</v>
      </c>
      <c r="N6" s="14">
        <f t="shared" ca="1" si="12"/>
        <v>0</v>
      </c>
      <c r="O6" s="14">
        <f t="shared" ca="1" si="13"/>
        <v>5.9999999999999982</v>
      </c>
      <c r="P6" s="14">
        <f t="shared" ca="1" si="14"/>
        <v>3</v>
      </c>
      <c r="Q6" s="14">
        <f t="shared" ca="1" si="15"/>
        <v>1.0000000000000018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25</v>
      </c>
      <c r="Y6" s="17">
        <f ca="1">IF($A6=0,0,SUMIF('Week 1 Roster'!$AZ:$AZ,$B6,'Week 1 Roster'!$AE:$AE))</f>
        <v>4.9999999999999982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1.0000000000000018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1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6</v>
      </c>
      <c r="AK6" s="17">
        <f ca="1">IF($A6=0,0,SUMIF('Week 2 Roster'!$AZ:$AZ,$B6,'Week 2 Roster'!$AE:$AE))</f>
        <v>10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5.9999999999999982</v>
      </c>
      <c r="AN6" s="17">
        <f ca="1">IF($A6=0,0,SUMIF('Week 2 Roster'!$AZ:$AZ,$B6,'Week 2 Roster'!$AK:$AK))</f>
        <v>3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19</v>
      </c>
      <c r="AV6" s="17"/>
      <c r="AW6" s="25">
        <f>'Week 1 Roster'!A6</f>
        <v>210530</v>
      </c>
      <c r="AX6" s="25">
        <f>'Week 2 Roster'!A6</f>
        <v>210530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210537</v>
      </c>
      <c r="B7" s="28">
        <f t="shared" ca="1" si="9"/>
        <v>210537</v>
      </c>
      <c r="C7" s="28" t="str">
        <f ca="1">IF($A7=0,"",VLOOKUP($B7,Employees!$A:$G,2,FALSE))</f>
        <v>JUNGHYUN</v>
      </c>
      <c r="D7" s="28" t="str">
        <f ca="1">IF($A7=0,"",VLOOKUP($B7,Employees!$A:$G,3,FALSE))</f>
        <v>KIM</v>
      </c>
      <c r="E7" s="26">
        <f ca="1">IF($A7=0,"",VLOOKUP($B7,Employees!$A:$G,5,FALSE))</f>
        <v>34578</v>
      </c>
      <c r="F7" s="13">
        <f ca="1">IF($E7="","",ROUNDDOWN(YEARFRAC($E7, 'Week 1 Roster'!$D$1-1, 1), 0))</f>
        <v>31</v>
      </c>
      <c r="G7" s="13">
        <f ca="1">IF($E7="","",ROUNDDOWN(YEARFRAC($E7, 'Week 1 Roster'!$D$1+14, 1), 0))</f>
        <v>31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Southport</v>
      </c>
      <c r="L7" s="13" t="str">
        <f ca="1">IF($A7=0,"",VLOOKUP(K7,Stores!A:B,2,0))</f>
        <v>GCA</v>
      </c>
      <c r="M7" s="14">
        <f t="shared" ca="1" si="11"/>
        <v>19.25</v>
      </c>
      <c r="N7" s="14">
        <f t="shared" ca="1" si="12"/>
        <v>13.333333333333334</v>
      </c>
      <c r="O7" s="14">
        <f t="shared" ca="1" si="13"/>
        <v>4</v>
      </c>
      <c r="P7" s="14">
        <f t="shared" ca="1" si="14"/>
        <v>3.2333333333333352</v>
      </c>
      <c r="Q7" s="14">
        <f t="shared" ca="1" si="15"/>
        <v>0</v>
      </c>
      <c r="R7" s="14">
        <f t="shared" ca="1" si="16"/>
        <v>0</v>
      </c>
      <c r="S7" s="28">
        <f t="shared" ca="1" si="17"/>
        <v>8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39.81666666666667</v>
      </c>
      <c r="Y7" s="17">
        <f ca="1">IF($A7=0,0,SUMIF('Week 1 Roster'!$AZ:$AZ,$B7,'Week 1 Roster'!$AE:$AE))</f>
        <v>9</v>
      </c>
      <c r="Z7" s="17">
        <f ca="1">IF($A7=0,0,SUMIF('Week 1 Roster'!$AZ:$AZ,$B7,'Week 1 Roster'!$AG:$AG))</f>
        <v>7.0000000000000018</v>
      </c>
      <c r="AA7" s="17">
        <f ca="1">IF($A7=0,0,SUMIF('Week 1 Roster'!$AZ:$AZ,$B7,'Week 1 Roster'!$AI:$AI))</f>
        <v>4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4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20</v>
      </c>
      <c r="AK7" s="17">
        <f ca="1">IF($A7=0,0,SUMIF('Week 2 Roster'!$AZ:$AZ,$B7,'Week 2 Roster'!$AE:$AE))</f>
        <v>10.249999999999998</v>
      </c>
      <c r="AL7" s="17">
        <f ca="1">IF($A7=0,0,SUMIF('Week 2 Roster'!$AZ:$AZ,$B7,'Week 2 Roster'!$AG:$AG))</f>
        <v>6.3333333333333321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3.2333333333333352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4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19.816666666666663</v>
      </c>
      <c r="AV7" s="17"/>
      <c r="AW7" s="25">
        <f>'Week 1 Roster'!A7</f>
        <v>210537</v>
      </c>
      <c r="AX7" s="25">
        <f>'Week 2 Roster'!A7</f>
        <v>210537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49" zoomScale="186" zoomScaleNormal="186" workbookViewId="0">
      <selection activeCell="D565" sqref="D565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3" t="s">
        <v>123</v>
      </c>
      <c r="D551" s="103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2026-02-02T03:58:24Z</dcterms:modified>
</cp:coreProperties>
</file>