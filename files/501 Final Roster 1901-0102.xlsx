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13_ncr:1_{AB7F897F-281D-FE44-A663-6355715B743C}" xr6:coauthVersionLast="47" xr6:coauthVersionMax="47" xr10:uidLastSave="{00000000-0000-0000-0000-000000000000}"/>
  <bookViews>
    <workbookView xWindow="0" yWindow="740" windowWidth="29400" windowHeight="17200" activeTab="3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17" i="2" s="1"/>
  <c r="AW17" i="12" s="1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11" i="2" s="1"/>
  <c r="AW11" i="12" s="1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83" i="18" s="1"/>
  <c r="AX83" i="12" s="1"/>
  <c r="AZ82" i="18"/>
  <c r="A82" i="18" s="1"/>
  <c r="AX82" i="12" s="1"/>
  <c r="AZ81" i="18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L22" i="18"/>
  <c r="L22" i="18" s="1"/>
  <c r="BK22" i="18"/>
  <c r="BM22" i="18" s="1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K21" i="18"/>
  <c r="BJ21" i="18"/>
  <c r="BI21" i="18"/>
  <c r="BF21" i="18"/>
  <c r="BG21" i="18" s="1"/>
  <c r="BE21" i="18"/>
  <c r="BD21" i="18"/>
  <c r="BA21" i="18"/>
  <c r="CI20" i="18"/>
  <c r="CH20" i="18"/>
  <c r="CE20" i="18"/>
  <c r="CD20" i="18"/>
  <c r="CC20" i="18"/>
  <c r="BZ20" i="18"/>
  <c r="CA20" i="18" s="1"/>
  <c r="CB20" i="18" s="1"/>
  <c r="BY20" i="18"/>
  <c r="BX20" i="18"/>
  <c r="BU20" i="18"/>
  <c r="BV20" i="18" s="1"/>
  <c r="BT20" i="18"/>
  <c r="BS20" i="18"/>
  <c r="BP20" i="18"/>
  <c r="BO20" i="18"/>
  <c r="BK20" i="18"/>
  <c r="BJ20" i="18"/>
  <c r="BI20" i="18"/>
  <c r="BF20" i="18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H18" i="18"/>
  <c r="CE18" i="18"/>
  <c r="CF18" i="18" s="1"/>
  <c r="X18" i="18" s="1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P16" i="18"/>
  <c r="BQ16" i="18" s="1"/>
  <c r="O16" i="18" s="1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P13" i="18"/>
  <c r="BQ13" i="18" s="1"/>
  <c r="O13" i="18" s="1"/>
  <c r="BO13" i="18"/>
  <c r="BK13" i="18"/>
  <c r="BL13" i="18" s="1"/>
  <c r="L13" i="18" s="1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K12" i="18"/>
  <c r="BL12" i="18" s="1"/>
  <c r="BM12" i="18" s="1"/>
  <c r="BJ12" i="18"/>
  <c r="BI12" i="18"/>
  <c r="BF12" i="18"/>
  <c r="BE12" i="18"/>
  <c r="BD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K16" i="2"/>
  <c r="BL16" i="2" s="1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7" i="18"/>
  <c r="AX97" i="12" s="1"/>
  <c r="A93" i="18"/>
  <c r="AX93" i="12" s="1"/>
  <c r="A91" i="18"/>
  <c r="AX91" i="12" s="1"/>
  <c r="A85" i="18"/>
  <c r="AX85" i="12" s="1"/>
  <c r="A81" i="18"/>
  <c r="AX81" i="12" s="1"/>
  <c r="A100" i="2"/>
  <c r="AW100" i="12" s="1"/>
  <c r="A99" i="2"/>
  <c r="AW99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72" i="2"/>
  <c r="AW72" i="12" s="1"/>
  <c r="A68" i="2"/>
  <c r="AW68" i="12" s="1"/>
  <c r="A67" i="2"/>
  <c r="AW67" i="12" s="1"/>
  <c r="A65" i="2"/>
  <c r="AW65" i="12" s="1"/>
  <c r="A63" i="2"/>
  <c r="AW63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7" i="2"/>
  <c r="AW47" i="12" s="1"/>
  <c r="A44" i="2"/>
  <c r="AW44" i="12" s="1"/>
  <c r="A43" i="2"/>
  <c r="AW43" i="12" s="1"/>
  <c r="A42" i="2"/>
  <c r="AW42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U32" i="18"/>
  <c r="O34" i="18"/>
  <c r="L37" i="18"/>
  <c r="L77" i="18"/>
  <c r="O78" i="18"/>
  <c r="R22" i="18"/>
  <c r="O99" i="2"/>
  <c r="F61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L29" i="18"/>
  <c r="X29" i="18"/>
  <c r="O30" i="18"/>
  <c r="I36" i="18"/>
  <c r="F47" i="18"/>
  <c r="L53" i="18"/>
  <c r="X53" i="18"/>
  <c r="I80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O28" i="18"/>
  <c r="X31" i="18"/>
  <c r="I67" i="18"/>
  <c r="U71" i="18"/>
  <c r="I14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CG18" i="18" l="1"/>
  <c r="BR15" i="18"/>
  <c r="L12" i="18"/>
  <c r="BL21" i="18"/>
  <c r="L21" i="18" s="1"/>
  <c r="BM14" i="18"/>
  <c r="BG20" i="18"/>
  <c r="I20" i="18" s="1"/>
  <c r="BH21" i="18"/>
  <c r="F12" i="18"/>
  <c r="BC12" i="18"/>
  <c r="U20" i="18"/>
  <c r="X14" i="2"/>
  <c r="L10" i="2"/>
  <c r="L22" i="2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BR17" i="18" l="1"/>
  <c r="BM21" i="18"/>
  <c r="AB19" i="18"/>
  <c r="BH18" i="18"/>
  <c r="BH20" i="18"/>
  <c r="L9" i="2"/>
  <c r="BH21" i="2"/>
  <c r="I22" i="2"/>
  <c r="O6" i="2"/>
  <c r="BR21" i="2"/>
  <c r="L19" i="2"/>
  <c r="L15" i="2"/>
  <c r="F15" i="2"/>
  <c r="AB15" i="2" s="1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9" i="2" l="1"/>
  <c r="AP9" i="2" s="1"/>
  <c r="CK19" i="2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T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4" i="12" a="1"/>
  <c r="C3" i="12" l="1"/>
  <c r="E3" i="12"/>
  <c r="G3" i="12" s="1"/>
  <c r="AR3" i="12"/>
  <c r="J3" i="12"/>
  <c r="I3" i="12"/>
  <c r="AS3" i="12"/>
  <c r="AF3" i="12"/>
  <c r="AH3" i="12"/>
  <c r="V3" i="12" s="1"/>
  <c r="AG3" i="12"/>
  <c r="Z3" i="12"/>
  <c r="AQ3" i="12"/>
  <c r="D3" i="12"/>
  <c r="AE3" i="12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A4" i="12"/>
  <c r="F3" i="12" l="1"/>
  <c r="H3" i="12" s="1"/>
  <c r="T3" i="12"/>
  <c r="U3" i="12"/>
  <c r="S3" i="12"/>
  <c r="AI3" i="12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S8" i="12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O11" i="12" s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Z11" i="12"/>
  <c r="AD11" i="12"/>
  <c r="D11" i="12"/>
  <c r="AK11" i="12"/>
  <c r="Y11" i="12"/>
  <c r="AH11" i="12"/>
  <c r="AE11" i="12"/>
  <c r="AT11" i="12"/>
  <c r="AQ11" i="12"/>
  <c r="C11" i="12"/>
  <c r="AN11" i="12"/>
  <c r="A12" i="12" a="1"/>
  <c r="U11" i="12" l="1"/>
  <c r="N11" i="12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H18" i="12" s="1"/>
  <c r="R18" i="12"/>
  <c r="U18" i="12"/>
  <c r="O18" i="12"/>
  <c r="P18" i="12"/>
  <c r="N18" i="12"/>
  <c r="V18" i="12"/>
  <c r="S18" i="12"/>
  <c r="T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T27" i="12" l="1"/>
  <c r="Q27" i="12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AP38" i="12"/>
  <c r="AQ38" i="12"/>
  <c r="AC38" i="12"/>
  <c r="A39" i="12" a="1"/>
  <c r="N38" i="12" l="1"/>
  <c r="S38" i="12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AF109" i="12"/>
  <c r="A110" i="12" a="1"/>
  <c r="N109" i="12" l="1"/>
  <c r="T109" i="12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R151" i="12" l="1"/>
  <c r="O151" i="12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R161" i="12" l="1"/>
  <c r="U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P168" i="12" l="1"/>
  <c r="V168" i="12"/>
  <c r="U168" i="12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Q170" i="12" l="1"/>
  <c r="N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U173" i="12" l="1"/>
  <c r="T173" i="12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A178" i="12" a="1"/>
  <c r="O177" i="12" l="1"/>
  <c r="R177" i="12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AQ181" i="12"/>
  <c r="A182" i="12" a="1"/>
  <c r="N181" i="12" l="1"/>
  <c r="O181" i="12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R184" i="12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N191" i="12" l="1"/>
  <c r="Q191" i="12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AC195" i="12"/>
  <c r="A196" i="12" a="1"/>
  <c r="T195" i="12" l="1"/>
  <c r="P195" i="12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S201" i="12" l="1"/>
  <c r="V201" i="12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P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O210" i="12" l="1"/>
  <c r="T210" i="12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U222" i="12" l="1"/>
  <c r="S222" i="12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V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A239" i="12" a="1"/>
  <c r="R238" i="12" l="1"/>
  <c r="T238" i="12"/>
  <c r="V238" i="12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B243" i="12"/>
  <c r="I243" i="12"/>
  <c r="J243" i="12"/>
  <c r="AB243" i="12"/>
  <c r="AL243" i="12"/>
  <c r="AK243" i="12"/>
  <c r="AR243" i="12"/>
  <c r="A244" i="12" a="1"/>
  <c r="R243" i="12" l="1"/>
  <c r="N243" i="12"/>
  <c r="S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AA245" i="12"/>
  <c r="L245" i="12"/>
  <c r="AS245" i="12"/>
  <c r="AF245" i="12"/>
  <c r="A246" i="12" a="1"/>
  <c r="Q245" i="12" l="1"/>
  <c r="V245" i="12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AC246" i="12"/>
  <c r="AS246" i="12"/>
  <c r="AA246" i="12"/>
  <c r="A247" i="12" a="1"/>
  <c r="P246" i="12" l="1"/>
  <c r="N246" i="12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A248" i="12" a="1"/>
  <c r="N247" i="12" l="1"/>
  <c r="V247" i="12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U250" i="12" l="1"/>
  <c r="S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U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A256" i="12" a="1"/>
  <c r="Q255" i="12" l="1"/>
  <c r="U255" i="12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N261" i="12" l="1"/>
  <c r="U261" i="12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V263" i="12" l="1"/>
  <c r="R263" i="12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Q269" i="12" l="1"/>
  <c r="V269" i="12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A271" i="12" a="1"/>
  <c r="R270" i="12" l="1"/>
  <c r="U270" i="12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V277" i="12" l="1"/>
  <c r="N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Q293" i="12" l="1"/>
  <c r="T293" i="12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AH297" i="12"/>
  <c r="A298" i="12" a="1"/>
  <c r="V297" i="12" l="1"/>
  <c r="U297" i="12"/>
  <c r="R297" i="12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U298" i="12" l="1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O299" i="12" s="1"/>
  <c r="A300" i="12" a="1"/>
  <c r="V299" i="12" l="1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<sst xmlns="http://schemas.openxmlformats.org/spreadsheetml/2006/main" count="2539" uniqueCount="1520">
  <si>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</si>
  <si>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</si>
  <si>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</si>
  <si>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</si>
  <si>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</si>
  <si>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</si>
  <si>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</si>
  <si>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</si>
  <si>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</si>
  <si>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</si>
  <si>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</si>
  <si>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</si>
  <si>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</si>
  <si>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</si>
  <si>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</si>
  <si>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</si>
  <si>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</si>
  <si>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</si>
  <si>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</si>
  <si>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</si>
  <si>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</si>
  <si>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</si>
  <si>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</si>
  <si>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</si>
  <si>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</si>
  <si>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</si>
  <si>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</si>
  <si>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</si>
  <si>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</si>
  <si>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</si>
  <si>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</si>
  <si>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</si>
  <si>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</si>
  <si>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</si>
  <si>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</si>
  <si>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</si>
  <si>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</si>
  <si>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</si>
  <si>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</si>
  <si>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</si>
  <si>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</si>
  <si>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</si>
  <si>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</si>
  <si>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</si>
  <si>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</si>
  <si>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</si>
  <si>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</si>
  <si>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</si>
  <si>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</si>
  <si>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</si>
  <si>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</si>
  <si>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</si>
  <si>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</si>
  <si>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</si>
  <si>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</si>
  <si>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</si>
  <si>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</si>
  <si>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</si>
  <si>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</si>
  <si>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</si>
  <si>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</si>
  <si>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</si>
  <si>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</si>
  <si>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</si>
  <si>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</si>
  <si>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</si>
  <si>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</si>
  <si>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</si>
  <si>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</si>
  <si>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</si>
  <si>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</si>
  <si>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</si>
  <si>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</si>
  <si>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</si>
  <si>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</si>
  <si>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</si>
  <si>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</si>
  <si>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</si>
  <si>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</si>
  <si>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</si>
  <si>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</si>
  <si>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</si>
  <si>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</si>
  <si>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</si>
  <si>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</si>
  <si>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</si>
  <si>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</si>
  <si>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</si>
  <si>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</si>
  <si>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</si>
  <si>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</si>
  <si>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</si>
  <si>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</si>
  <si>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</si>
  <si>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</si>
  <si>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</si>
  <si>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</si>
  <si>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</si>
  <si>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</si>
  <si>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</si>
  <si>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</si>
  <si>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</si>
  <si>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</si>
  <si>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</si>
  <si>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</si>
  <si>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</si>
  <si>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</si>
  <si>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</si>
  <si>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</si>
  <si>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</si>
  <si>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</si>
  <si>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</si>
  <si>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</si>
  <si>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</si>
  <si>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</si>
  <si>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</si>
  <si>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</si>
  <si>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</si>
  <si>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</si>
  <si>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</si>
  <si>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</si>
  <si>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</si>
  <si>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</si>
  <si>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</si>
  <si>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</si>
  <si>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</si>
  <si>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</si>
  <si>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</si>
  <si>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</si>
  <si>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</si>
  <si>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</si>
  <si>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</si>
  <si>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</si>
  <si>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</si>
  <si>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</si>
  <si>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</si>
  <si>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</si>
  <si>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</si>
  <si>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</si>
  <si>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</si>
  <si>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</si>
  <si>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</si>
  <si>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</si>
  <si>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</si>
  <si>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</si>
  <si>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</si>
  <si>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</si>
  <si>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</si>
  <si>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</si>
  <si>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</si>
  <si>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</si>
  <si>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</si>
  <si>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</si>
  <si>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</si>
  <si>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</si>
  <si>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</si>
  <si>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</si>
  <si>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</si>
  <si>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</si>
  <si>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</si>
  <si>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</si>
  <si>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</si>
  <si>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</si>
  <si>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</si>
  <si>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</si>
  <si>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</si>
  <si>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</si>
  <si>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</si>
  <si>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</si>
  <si>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</si>
  <si>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</si>
  <si>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</si>
  <si>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</si>
  <si>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</si>
  <si>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</si>
  <si>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</si>
  <si>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</si>
  <si>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</si>
  <si>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</si>
  <si>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</si>
  <si>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</si>
  <si>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</si>
  <si>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</si>
  <si>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</si>
  <si>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</si>
  <si>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</si>
  <si>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</si>
  <si>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</si>
  <si>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</si>
  <si>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</si>
  <si>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</si>
  <si>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</si>
  <si>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</si>
  <si>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</si>
  <si>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</si>
  <si>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</si>
  <si>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</si>
  <si>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</si>
  <si>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</si>
  <si>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</si>
  <si>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</si>
  <si>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</si>
  <si>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</si>
  <si>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</si>
  <si>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</si>
  <si>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</si>
  <si>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</si>
  <si>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</si>
  <si>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</si>
  <si>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</si>
  <si>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</si>
  <si>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</si>
  <si>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</si>
  <si>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</si>
  <si>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</si>
  <si>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</si>
  <si>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</si>
  <si>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</si>
  <si>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</si>
  <si>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</si>
  <si>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</si>
  <si>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</si>
  <si>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</si>
  <si>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</si>
  <si>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</si>
  <si>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</si>
  <si>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</si>
  <si>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</si>
  <si>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</si>
  <si>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</si>
  <si>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</si>
  <si>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</si>
  <si>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</si>
  <si>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</si>
  <si>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</si>
  <si>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</si>
  <si>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</si>
  <si>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</si>
  <si>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</si>
  <si>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</si>
  <si>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</si>
  <si>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</si>
  <si>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</si>
  <si>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</si>
  <si>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</si>
  <si>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</si>
  <si>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</si>
  <si>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</si>
  <si>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</si>
  <si>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</si>
  <si>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</si>
  <si>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</si>
  <si>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</si>
  <si>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</si>
  <si>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</si>
  <si>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</si>
  <si>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</si>
  <si>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</si>
  <si>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</si>
  <si>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</si>
  <si>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</si>
  <si>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</si>
  <si>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</si>
  <si>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</si>
  <si>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</si>
  <si>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</si>
  <si>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</si>
  <si>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</si>
  <si>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</si>
  <si>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</si>
  <si>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</si>
  <si>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</si>
  <si>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</si>
  <si>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</si>
  <si>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</si>
  <si>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</si>
  <si>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</si>
  <si>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</si>
  <si>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</si>
  <si>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</si>
  <si>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</si>
  <si>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</si>
  <si>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</si>
  <si>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</si>
  <si>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</si>
  <si>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</si>
  <si>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</si>
  <si>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</si>
  <si>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</si>
  <si>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</si>
  <si>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</si>
  <si>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</si>
  <si>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</si>
  <si>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</si>
  <si>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</si>
  <si>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</si>
  <si>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</si>
  <si>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</si>
  <si>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</si>
  <si>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</si>
  <si>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</si>
  <si>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</si>
  <si>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</si>
  <si>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</si>
  <si>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</si>
  <si>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</si>
  <si>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</si>
  <si>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</si>
  <si>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</si>
  <si>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</si>
  <si>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</si>
  <si>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</si>
  <si>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</si>
  <si>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</si>
  <si>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</si>
  <si>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</si>
  <si>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</si>
  <si>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</si>
  <si>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</si>
  <si>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</si>
  <si>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</si>
  <si>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</si>
  <si>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</si>
  <si>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</si>
  <si>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</si>
  <si>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</si>
  <si>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</si>
  <si>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</si>
  <si>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</si>
  <si>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</si>
  <si>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</si>
  <si>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</si>
  <si>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</si>
  <si>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</si>
  <si>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</si>
  <si>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</si>
  <si>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</si>
  <si>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</si>
  <si>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</si>
  <si>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</si>
  <si>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</si>
  <si>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</si>
  <si>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</si>
  <si>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</si>
  <si>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</si>
  <si>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</si>
  <si>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</si>
  <si>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</si>
  <si>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</si>
  <si>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</si>
  <si>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</si>
  <si>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</si>
  <si>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</si>
  <si>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</si>
  <si>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</si>
  <si>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</si>
  <si>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</si>
  <si>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</si>
  <si>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</si>
  <si>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</si>
  <si>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</si>
  <si>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</si>
  <si>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</si>
  <si>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</si>
  <si>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</si>
  <si>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</si>
  <si>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</si>
  <si>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</si>
  <si>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</si>
  <si>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</si>
  <si>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</si>
  <si>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</si>
  <si>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</si>
  <si>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</si>
  <si>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</si>
  <si>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</si>
  <si>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</si>
  <si>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</si>
  <si>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</si>
  <si>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</si>
  <si>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</si>
  <si>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</si>
  <si>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</si>
  <si>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</si>
  <si>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</si>
  <si>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</si>
  <si>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</si>
  <si>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</si>
  <si>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</si>
  <si>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</si>
  <si>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</si>
  <si>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</si>
  <si>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</si>
  <si>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</si>
  <si>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</si>
  <si>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</si>
  <si>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</si>
  <si>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</si>
  <si>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</si>
  <si>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</si>
  <si>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</si>
  <si>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</si>
  <si>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</si>
  <si>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</si>
  <si>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</si>
  <si>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</si>
  <si>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</si>
  <si>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</si>
  <si>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</si>
  <si>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</si>
  <si>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</si>
  <si>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</si>
  <si>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</si>
  <si>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</si>
  <si>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</si>
  <si>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</si>
  <si>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</si>
  <si>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</si>
  <si>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</si>
  <si>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</si>
  <si>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</si>
  <si>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</si>
  <si>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</si>
  <si>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</si>
  <si>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</si>
  <si>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</si>
  <si>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</si>
  <si>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</si>
  <si>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</si>
  <si>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</si>
  <si>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</si>
  <si>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</si>
  <si>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</si>
  <si>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</si>
  <si>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</si>
  <si>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</si>
  <si>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</si>
  <si>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</si>
  <si>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</si>
  <si>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</si>
  <si>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</si>
  <si>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</si>
  <si>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</si>
  <si>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</si>
  <si>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</si>
  <si>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</si>
  <si>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</si>
  <si>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</si>
  <si>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</si>
  <si>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</si>
  <si>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</si>
  <si>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</si>
  <si>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</si>
  <si>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</si>
  <si>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</si>
  <si>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</si>
  <si>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</si>
  <si>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</si>
  <si>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</si>
  <si>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</si>
  <si>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</si>
  <si>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</si>
  <si>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</si>
  <si>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</si>
  <si>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</si>
  <si>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</si>
  <si>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</si>
  <si>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</si>
  <si>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</si>
  <si>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</si>
  <si>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</si>
  <si>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</si>
  <si>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</si>
  <si>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</si>
  <si>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</si>
  <si>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</si>
  <si>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</si>
  <si>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</si>
  <si>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</si>
  <si>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</si>
  <si>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</si>
  <si>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</si>
  <si>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</si>
  <si>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</si>
  <si>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</si>
  <si>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</si>
  <si>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</si>
  <si>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</si>
  <si>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</si>
  <si>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</si>
  <si>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</si>
  <si>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</si>
  <si>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</si>
  <si>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</si>
  <si>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</si>
  <si>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</si>
  <si>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</si>
  <si>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</si>
  <si>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</si>
  <si>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</si>
  <si>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</si>
  <si>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</si>
  <si>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</si>
  <si>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</si>
  <si>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</si>
  <si>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</si>
  <si>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</si>
  <si>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</si>
  <si>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</si>
  <si>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</si>
  <si>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</si>
  <si>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</si>
  <si>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</si>
  <si>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</si>
  <si>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</si>
  <si>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</si>
  <si>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</si>
  <si>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</si>
  <si>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</si>
  <si>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</si>
  <si>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</si>
  <si>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</si>
  <si>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</si>
  <si>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</si>
  <si>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</si>
  <si>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</si>
  <si>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</si>
  <si>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</si>
  <si>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</si>
  <si>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</si>
  <si>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</si>
  <si>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</si>
  <si>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</si>
  <si>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</si>
  <si>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</si>
  <si>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</si>
  <si>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</si>
  <si>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</si>
  <si>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</si>
  <si>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</si>
  <si>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</si>
  <si>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</si>
  <si>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</si>
  <si>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</si>
  <si>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</si>
  <si>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</si>
  <si>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</si>
  <si>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</si>
  <si>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</si>
  <si>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</si>
  <si>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</si>
  <si>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</si>
  <si>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</si>
  <si>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</si>
  <si>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</si>
  <si>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</si>
  <si>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</si>
  <si>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</si>
  <si>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</si>
  <si>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</si>
  <si>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</si>
  <si>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</si>
  <si>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</si>
  <si>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</si>
  <si>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</si>
  <si>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</si>
  <si>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</si>
  <si>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</si>
  <si>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</si>
  <si>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</si>
  <si>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</si>
  <si>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</si>
  <si>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</si>
  <si>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</si>
  <si>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</si>
  <si>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</si>
  <si>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</si>
  <si>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</si>
  <si>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</si>
  <si>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</si>
  <si>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</si>
  <si>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</si>
  <si>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</si>
  <si>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</si>
  <si>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</si>
  <si>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</si>
  <si>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</si>
  <si>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</si>
  <si>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</si>
  <si>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</si>
  <si>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</si>
  <si>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</si>
  <si>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</si>
  <si>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</si>
  <si>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</si>
  <si>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</si>
  <si>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</si>
  <si>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</si>
  <si>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</si>
  <si>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</si>
  <si>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</si>
  <si>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</si>
  <si>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</si>
  <si>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</si>
  <si>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</si>
  <si>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</si>
  <si>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</si>
  <si>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</si>
  <si>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</si>
  <si>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</si>
  <si>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</si>
  <si>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</si>
  <si>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</si>
  <si>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</si>
  <si>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</si>
  <si>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</si>
  <si>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</si>
  <si>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</si>
  <si>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</si>
  <si>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</si>
  <si>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</si>
  <si>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</si>
  <si>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</si>
  <si>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</si>
  <si>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</si>
  <si>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</si>
  <si>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</si>
  <si>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</si>
  <si>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</si>
  <si>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</si>
  <si>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</si>
  <si>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</si>
  <si>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</si>
  <si>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</si>
  <si>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</si>
  <si>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</si>
  <si>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</si>
  <si>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</si>
  <si>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</si>
  <si>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</si>
  <si>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</si>
  <si>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</si>
  <si>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</si>
  <si>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</si>
  <si>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</si>
  <si>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</si>
  <si>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</si>
  <si>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</si>
  <si>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</si>
  <si>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</si>
  <si>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</si>
  <si>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</si>
  <si>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</si>
  <si>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</si>
  <si>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</si>
  <si>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</si>
  <si>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</si>
  <si>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</si>
  <si>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</si>
  <si>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</si>
  <si>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</si>
  <si>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</si>
  <si>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</si>
  <si>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</si>
  <si>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</si>
  <si>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</si>
  <si>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</si>
  <si>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</si>
  <si>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</si>
  <si>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</si>
  <si>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</si>
  <si>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</si>
  <si>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</si>
  <si>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</si>
  <si>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</si>
  <si>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</si>
  <si>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</si>
  <si>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</si>
  <si>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</si>
  <si>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</si>
  <si>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</si>
  <si>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</si>
  <si>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</si>
  <si>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</si>
  <si>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</si>
  <si>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</si>
  <si>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</si>
  <si>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</si>
  <si>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</si>
  <si>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</si>
  <si>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</si>
  <si>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</si>
  <si>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</si>
  <si>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</si>
  <si>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</si>
  <si>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</si>
  <si>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</si>
  <si>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</si>
  <si>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</si>
  <si>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</si>
  <si>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</si>
  <si>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</si>
  <si>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</si>
  <si>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</si>
  <si>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</si>
  <si>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</si>
  <si>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</si>
  <si>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</si>
  <si>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</si>
  <si>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</si>
  <si>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</si>
  <si>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</si>
  <si>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</si>
  <si>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</si>
  <si>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</si>
  <si>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</si>
  <si>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</si>
  <si>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</si>
  <si>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</si>
  <si>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</si>
  <si>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</si>
  <si>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</si>
  <si>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</si>
  <si>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</si>
  <si>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</si>
  <si>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</si>
  <si>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</si>
  <si>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</si>
  <si>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</si>
  <si>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</si>
  <si>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</si>
  <si>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</si>
  <si>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</si>
  <si>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</si>
  <si>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</si>
  <si>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</si>
  <si>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</si>
  <si>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</si>
  <si>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</si>
  <si>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</si>
  <si>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</si>
  <si>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</si>
  <si>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</si>
  <si>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</si>
  <si>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</si>
  <si>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</si>
  <si>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</si>
  <si>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</si>
  <si>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</si>
  <si>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</si>
  <si>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</si>
  <si>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</si>
  <si>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</si>
  <si>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</si>
  <si>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</si>
  <si>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</si>
  <si>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</si>
  <si>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</si>
  <si>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</si>
  <si>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</si>
  <si>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</si>
  <si>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</si>
  <si>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</si>
  <si>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</si>
  <si>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</si>
  <si>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</si>
  <si>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</si>
  <si>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</si>
  <si>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</si>
  <si>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</si>
  <si>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</si>
  <si>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</si>
  <si>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</si>
  <si>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</si>
  <si>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</si>
  <si>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</si>
  <si>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</si>
  <si>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</si>
  <si>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</si>
  <si>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</si>
  <si>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</si>
  <si>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</si>
  <si>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</si>
  <si>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</si>
  <si>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</si>
  <si>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</si>
  <si>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</si>
  <si>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</si>
  <si>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</si>
  <si>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</si>
  <si>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</si>
  <si>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</si>
  <si>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</si>
  <si>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</si>
  <si>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</si>
  <si>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</si>
  <si>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</si>
  <si>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</si>
  <si>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</si>
  <si>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</si>
  <si>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</si>
  <si>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</si>
  <si>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</si>
  <si>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</si>
  <si>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</si>
  <si>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</si>
  <si>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</si>
  <si>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</si>
  <si>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</si>
  <si>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</si>
  <si>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</si>
  <si>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</si>
  <si>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</si>
  <si>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</si>
  <si>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</si>
  <si>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</si>
  <si>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</si>
  <si>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</si>
  <si>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</si>
  <si>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</si>
  <si>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</si>
  <si>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</si>
  <si>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</si>
  <si>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</si>
  <si>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</si>
  <si>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</si>
  <si>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</si>
  <si>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</si>
  <si>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</si>
  <si>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</si>
  <si>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</si>
  <si>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</si>
  <si>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</si>
  <si>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</si>
  <si>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</si>
  <si>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</si>
  <si>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</si>
  <si>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</si>
  <si>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</si>
  <si>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</si>
  <si>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</si>
  <si>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</si>
  <si>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</si>
  <si>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</si>
  <si>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</si>
  <si>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</si>
  <si>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</si>
  <si>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</si>
  <si>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</si>
  <si>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</si>
  <si>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</si>
  <si>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</si>
  <si>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</si>
  <si>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</si>
  <si>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</si>
  <si>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</si>
  <si>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</si>
  <si>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</si>
  <si>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</si>
  <si>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</si>
  <si>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</si>
  <si>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</si>
  <si>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</si>
  <si>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</si>
  <si>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</si>
  <si>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</si>
  <si>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</si>
  <si>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</si>
  <si>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</si>
  <si>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</si>
  <si>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</si>
  <si>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</si>
  <si>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</si>
  <si>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</si>
  <si>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</si>
  <si>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</si>
  <si>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</si>
  <si>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</si>
  <si>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</si>
  <si>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</si>
  <si>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</si>
  <si>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</si>
  <si>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</si>
  <si>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</si>
  <si>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</si>
  <si>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</si>
  <si>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</si>
  <si>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</si>
  <si>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</si>
  <si>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</si>
  <si>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</si>
  <si>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</si>
  <si>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</si>
  <si>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</si>
  <si>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</si>
  <si>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</si>
  <si>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</si>
  <si>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</si>
  <si>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</si>
  <si>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</si>
  <si>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</si>
  <si>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</si>
  <si>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</si>
  <si>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</si>
  <si>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</si>
  <si>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</si>
  <si>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</si>
  <si>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</si>
  <si>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</si>
  <si>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</si>
  <si>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</si>
  <si>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</si>
  <si>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</si>
  <si>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</si>
  <si>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</si>
  <si>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</si>
  <si>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</si>
  <si>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</si>
  <si>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</si>
  <si>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</si>
  <si>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</si>
  <si>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</si>
  <si>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</si>
  <si>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</si>
  <si>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</si>
  <si>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</si>
  <si>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</si>
  <si>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</si>
  <si>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</si>
  <si>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</si>
  <si>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</si>
  <si>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</si>
  <si>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</si>
  <si>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</si>
  <si>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</si>
  <si>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</si>
  <si>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</si>
  <si>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</si>
  <si>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</si>
  <si>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</si>
  <si>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</si>
  <si>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</si>
  <si>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</si>
  <si>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</si>
  <si>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</si>
  <si>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</si>
  <si>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</si>
  <si>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</si>
  <si>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</si>
  <si>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</si>
  <si>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</si>
  <si>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</si>
  <si>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</si>
  <si>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</si>
  <si>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</si>
  <si>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</si>
  <si>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</si>
  <si>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</si>
  <si>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</si>
  <si>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</si>
  <si>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</si>
  <si>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</si>
  <si>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</si>
  <si>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</si>
  <si>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</si>
  <si>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</si>
  <si>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</si>
  <si>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</si>
  <si>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</si>
  <si>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</si>
  <si>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</si>
  <si>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</si>
  <si>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</si>
  <si>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</si>
  <si>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</si>
  <si>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</si>
  <si>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</si>
  <si>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</si>
  <si>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</si>
  <si>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</si>
  <si>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</si>
  <si>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</si>
  <si>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</si>
  <si>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</si>
  <si>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</si>
  <si>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</si>
  <si>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</si>
  <si>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</si>
  <si>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</si>
  <si>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</si>
  <si>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</si>
  <si>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</si>
  <si>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</si>
  <si>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</si>
  <si>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</si>
  <si>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</si>
  <si>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</si>
  <si>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</si>
  <si>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</si>
  <si>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</si>
  <si>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</si>
  <si>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</si>
  <si>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</si>
  <si>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</si>
  <si>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</si>
  <si>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</si>
  <si>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</si>
  <si>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</si>
  <si>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</si>
  <si>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</si>
  <si>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</si>
  <si>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</si>
  <si>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</si>
  <si>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</si>
  <si>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</si>
  <si>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</si>
  <si>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</si>
  <si>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</si>
  <si>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</si>
  <si>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</si>
  <si>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</si>
  <si>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</si>
  <si>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</si>
  <si>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</si>
  <si>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</si>
  <si>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</si>
  <si>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</si>
  <si>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</si>
  <si>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</si>
  <si>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</si>
  <si>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</si>
  <si>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</si>
  <si>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</si>
  <si>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</si>
  <si>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</si>
  <si>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</si>
  <si>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</si>
  <si>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</si>
  <si>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</si>
  <si>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</si>
  <si>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</si>
  <si>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</si>
  <si>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</si>
  <si>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</si>
  <si>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</si>
  <si>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</si>
  <si>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</si>
  <si>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</si>
  <si>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</si>
  <si>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</si>
  <si>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</si>
  <si>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</si>
  <si>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</si>
  <si>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</si>
  <si>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</si>
  <si>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</si>
  <si>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</si>
  <si>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</si>
  <si>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</si>
  <si>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</si>
  <si>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</si>
  <si>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</si>
  <si>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</si>
  <si>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</si>
  <si>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</si>
  <si>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</si>
  <si>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</si>
  <si>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</si>
  <si>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</si>
  <si>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</si>
  <si>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</si>
  <si>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</si>
  <si>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</si>
  <si>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</si>
  <si>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</si>
  <si>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</si>
  <si>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</si>
  <si>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</si>
  <si>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</si>
  <si>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</si>
  <si>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</si>
  <si>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</si>
  <si>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</si>
  <si>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</si>
  <si>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</si>
  <si>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</si>
  <si>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</si>
  <si>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</si>
  <si>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</si>
  <si>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</si>
  <si>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</si>
  <si>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</si>
  <si>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</si>
  <si>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</si>
  <si>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</si>
  <si>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</si>
  <si>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</si>
  <si>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</si>
  <si>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</si>
  <si>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</si>
  <si>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</si>
  <si>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</si>
  <si>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</si>
  <si>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</si>
  <si>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</si>
  <si>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</si>
  <si>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</si>
  <si>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</si>
  <si>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</si>
  <si>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</si>
  <si>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</si>
  <si>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</si>
  <si>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</si>
  <si>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</si>
  <si>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</si>
  <si>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</si>
  <si>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</si>
  <si>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</si>
  <si>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</si>
  <si>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</si>
  <si>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</si>
  <si>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</si>
  <si>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</si>
  <si>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</si>
  <si>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</si>
  <si>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</si>
  <si>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</si>
  <si>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</si>
  <si>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</si>
  <si>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</si>
  <si>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</si>
  <si>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</si>
  <si>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</si>
  <si>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</si>
  <si>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</si>
  <si>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</si>
  <si>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</si>
  <si>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</si>
  <si>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</si>
  <si>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</si>
  <si>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</si>
  <si>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</si>
  <si>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</si>
  <si>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</si>
  <si>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</si>
  <si>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</si>
  <si>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</si>
  <si>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</si>
  <si>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</si>
  <si>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</si>
  <si>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</si>
  <si>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</si>
  <si>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</si>
  <si>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</si>
  <si>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</si>
  <si>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</si>
  <si>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</si>
  <si>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</si>
  <si>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</si>
  <si>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</si>
  <si>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</si>
  <si>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</si>
  <si>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</si>
  <si>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</si>
  <si>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</si>
  <si>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</si>
  <si>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</si>
  <si>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</si>
  <si>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</si>
  <si>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</si>
  <si>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</si>
  <si>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</si>
  <si>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</si>
  <si>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</si>
  <si>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</si>
  <si>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</si>
  <si>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</si>
  <si>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</si>
  <si>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</si>
  <si>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</si>
  <si>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</si>
  <si>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</si>
  <si>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</si>
  <si>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</si>
  <si>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</si>
  <si>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</si>
  <si>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</si>
  <si>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</si>
  <si>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</si>
  <si>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</si>
  <si>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</si>
  <si>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</si>
  <si>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</si>
  <si>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</si>
  <si>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</si>
  <si>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</si>
  <si>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</si>
  <si>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</si>
  <si>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</si>
  <si>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</si>
  <si>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</si>
  <si>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</si>
  <si>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</si>
  <si>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</si>
  <si>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</si>
  <si>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</si>
  <si>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</si>
  <si>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</si>
  <si>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</si>
  <si>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</si>
  <si>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</si>
  <si>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</si>
  <si>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</si>
  <si>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</si>
  <si>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</si>
  <si>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</si>
  <si>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</si>
  <si>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</si>
  <si>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</si>
  <si>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</si>
  <si>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</si>
  <si>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</si>
  <si>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</si>
  <si>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</si>
  <si>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</si>
  <si>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</si>
  <si>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</si>
  <si>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</si>
  <si>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</si>
  <si>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</si>
  <si>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</si>
  <si>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</si>
  <si>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</si>
  <si>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</si>
  <si>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</si>
  <si>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</si>
  <si>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</si>
  <si>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</si>
  <si>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</si>
  <si>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</si>
  <si>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</si>
  <si>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</si>
  <si>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</si>
  <si>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</si>
  <si>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</si>
  <si>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</si>
  <si>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</si>
  <si>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</si>
  <si>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</si>
  <si>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</si>
  <si>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</si>
  <si>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</si>
  <si>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</si>
  <si>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</si>
  <si>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</si>
  <si>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</si>
  <si>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</si>
  <si>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</si>
  <si>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</si>
  <si>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</si>
  <si>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</si>
  <si>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</si>
  <si>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</si>
  <si>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</si>
  <si>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</si>
  <si>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</si>
  <si>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</si>
  <si>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</si>
  <si>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</si>
  <si>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</si>
  <si>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</si>
  <si>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</si>
  <si>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</si>
  <si>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</si>
  <si>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</si>
  <si>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</si>
  <si>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</si>
  <si>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</si>
  <si>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</si>
  <si>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</si>
  <si>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</si>
  <si>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</si>
  <si>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</si>
  <si>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</si>
  <si>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</si>
  <si>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</si>
  <si>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</si>
  <si>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</si>
  <si>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</si>
  <si>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</si>
  <si>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</si>
  <si>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</si>
  <si>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</si>
  <si>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</si>
  <si>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</si>
  <si>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</si>
  <si>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</si>
  <si>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</si>
  <si>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</si>
  <si>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</si>
  <si>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</si>
  <si>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</si>
  <si>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</si>
  <si>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</si>
  <si>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</si>
  <si>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</si>
  <si>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</si>
  <si>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</si>
  <si>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</si>
  <si>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</si>
  <si>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</si>
  <si>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</si>
  <si>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</si>
  <si>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</si>
  <si>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</si>
  <si>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</si>
  <si>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</si>
  <si>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</si>
  <si>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</si>
  <si>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</si>
  <si>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</si>
  <si>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</si>
  <si>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</si>
  <si>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</si>
  <si>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</si>
  <si>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</si>
  <si>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</si>
  <si>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</si>
  <si>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</si>
  <si>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</si>
  <si>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</si>
  <si>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</si>
  <si>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</si>
  <si>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</si>
  <si>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</si>
  <si>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</si>
  <si>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</si>
  <si>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</si>
  <si>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</si>
  <si>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</si>
  <si>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</si>
  <si>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</si>
  <si>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</si>
  <si>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</si>
  <si>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</si>
  <si>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</si>
  <si>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</si>
  <si>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</si>
  <si>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</si>
  <si>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</si>
  <si>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</si>
  <si>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</si>
  <si>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</si>
  <si>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</si>
  <si>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</si>
  <si>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</si>
  <si>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</si>
  <si>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</si>
  <si>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</si>
  <si>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</si>
  <si>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</si>
  <si>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</si>
  <si>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</si>
  <si>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</si>
  <si>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</si>
  <si>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</si>
  <si>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</si>
  <si>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</si>
  <si>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</si>
  <si>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</si>
  <si>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</si>
  <si>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</si>
  <si>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</si>
  <si>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</si>
  <si>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</si>
  <si>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</si>
  <si>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</si>
  <si>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</si>
  <si>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</si>
  <si>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</si>
  <si>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</si>
  <si>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</si>
  <si>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</si>
  <si>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</si>
  <si>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</si>
  <si>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</si>
  <si>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</si>
  <si>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</si>
  <si>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</si>
  <si>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</si>
  <si>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</si>
  <si>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</si>
  <si>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</si>
  <si>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</si>
  <si>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</si>
  <si>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</si>
  <si>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</si>
  <si>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</si>
  <si>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</si>
  <si>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</si>
  <si>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</si>
  <si>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</si>
  <si>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</si>
  <si>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</si>
  <si>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</si>
  <si>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</si>
  <si>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</si>
  <si>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</si>
  <si>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</si>
  <si>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</si>
  <si>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</si>
  <si>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</si>
  <si>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</si>
  <si>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</si>
  <si>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</si>
  <si>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</si>
  <si>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</si>
  <si>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</si>
  <si>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</si>
  <si>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</si>
  <si>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</si>
  <si>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</si>
  <si>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</si>
  <si>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</si>
  <si>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</si>
  <si>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</si>
  <si>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</si>
  <si>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</si>
  <si>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</si>
  <si>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</si>
  <si>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</si>
  <si>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</si>
  <si>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</si>
  <si>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</si>
  <si>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</si>
  <si>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</si>
  <si>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</si>
  <si>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</si>
  <si>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</si>
  <si>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</si>
  <si>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</si>
  <si>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</si>
  <si>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</si>
  <si>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</si>
  <si>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</si>
  <si>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</si>
  <si>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</si>
  <si>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</si>
  <si>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</si>
  <si>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</si>
  <si>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</si>
  <si>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</si>
  <si>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</si>
  <si>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</si>
  <si>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</si>
  <si>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</si>
  <si>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</si>
  <si>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</si>
  <si>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</si>
  <si>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</si>
  <si>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</si>
  <si>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</si>
  <si>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</si>
  <si>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</si>
  <si>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</si>
  <si>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</si>
  <si>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</si>
  <si>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</si>
  <si>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</si>
  <si>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</si>
  <si>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</si>
  <si>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</si>
  <si>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</si>
  <si>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</si>
  <si>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</si>
  <si>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</si>
  <si>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</si>
  <si>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</si>
  <si>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</si>
  <si>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</si>
  <si>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</si>
  <si>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</si>
  <si>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</si>
  <si>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</si>
  <si>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</si>
  <si>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</si>
  <si>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</si>
  <si>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</si>
  <si>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</si>
  <si>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</si>
  <si>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</si>
  <si>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</si>
  <si>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</si>
  <si>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</si>
  <si>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</si>
  <si>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</si>
  <si>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</si>
  <si>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</si>
  <si>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</si>
  <si>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</si>
  <si>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</si>
  <si>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</si>
  <si>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</si>
  <si>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</si>
  <si>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</si>
  <si>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</si>
  <si>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</si>
  <si>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</si>
  <si>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Kimberley</t>
  </si>
  <si>
    <t>Koh</t>
  </si>
  <si>
    <t>Kimberley Koh</t>
  </si>
  <si>
    <t>Elena Zou</t>
  </si>
  <si>
    <t>Zimo Zhang</t>
  </si>
  <si>
    <t>Zimo</t>
  </si>
  <si>
    <t>FukMan</t>
  </si>
  <si>
    <t>Zou</t>
  </si>
  <si>
    <t>Lexi Pan</t>
  </si>
  <si>
    <t>Jordan tan</t>
  </si>
  <si>
    <t>zhihou yang</t>
  </si>
  <si>
    <t>yuni 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</si>
</sst>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0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  <font>
      <sz val="20"/>
      <color theme="1"/>
      <name val="Arial"/>
      <family val="2"/>
    </font>
    <font>
      <sz val="2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4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5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0" fontId="34" fillId="0" borderId="0" xfId="0" applyFont="1"/>
    <xf numFmtId="0" fontId="36" fillId="0" borderId="0" xfId="0" applyFont="1" applyAlignment="1" applyProtection="1">
      <alignment horizontal="center" wrapText="1"/>
      <protection locked="0"/>
    </xf>
    <xf numFmtId="0" fontId="38" fillId="0" borderId="0" xfId="0" applyFont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 wrapText="1"/>
      <protection locked="0"/>
    </xf>
    <xf numFmtId="0" fontId="39" fillId="0" borderId="0" xfId="0" applyFont="1" applyAlignment="1" applyProtection="1">
      <alignment horizontal="center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J2" activePane="bottomRight" state="frozen"/>
      <selection pane="topRight" activeCell="D1" sqref="D1"/>
      <selection pane="bottomLeft" activeCell="A2" sqref="A2"/>
      <selection pane="bottomRight" activeCell="AD6" sqref="AD6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46041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46042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46043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46044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46045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46046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46047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46048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Pub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55</v>
      </c>
    </row>
    <row r="2" spans="1:89" ht="38" customHeight="1">
      <c r="A2" s="74">
        <f t="shared" ref="A2:A33" si="0">IF(ISNA(AZ2),"",AZ2)</f>
        <v>10015</v>
      </c>
      <c r="B2" s="81">
        <v>501</v>
      </c>
      <c r="C2" s="96" t="s">
        <v>353</v>
      </c>
      <c r="D2" s="94"/>
      <c r="E2" s="84"/>
      <c r="F2" s="89">
        <f>BA2-BB2</f>
        <v>0</v>
      </c>
      <c r="G2" s="84"/>
      <c r="H2" s="84"/>
      <c r="I2" s="89">
        <f>BF2-BG2</f>
        <v>0</v>
      </c>
      <c r="J2" s="84"/>
      <c r="K2" s="84"/>
      <c r="L2" s="89">
        <f>BK2-BL2</f>
        <v>0</v>
      </c>
      <c r="M2" s="84"/>
      <c r="N2" s="94"/>
      <c r="O2" s="89">
        <f>BP2-BQ2</f>
        <v>0</v>
      </c>
      <c r="P2" s="94"/>
      <c r="Q2" s="84"/>
      <c r="R2" s="89">
        <f>BU2-BV2</f>
        <v>0</v>
      </c>
      <c r="S2" s="84"/>
      <c r="T2" s="84"/>
      <c r="U2" s="89">
        <f>BZ2-CA2</f>
        <v>0</v>
      </c>
      <c r="V2" s="84"/>
      <c r="W2" s="84"/>
      <c r="X2" s="89">
        <f>CE2-CF2</f>
        <v>0</v>
      </c>
      <c r="Y2" s="89"/>
      <c r="Z2" s="89"/>
      <c r="AA2" s="89"/>
      <c r="AB2" s="89">
        <f>SUM(F2,I2,L2,O2,R2,U2,X2)</f>
        <v>0</v>
      </c>
      <c r="AC2" s="90"/>
      <c r="AD2" s="77">
        <v>3</v>
      </c>
      <c r="AE2" s="91">
        <f t="shared" ref="AE2:AE40" si="1">SUMIF($BC$1:$CI$1,AE$1,$BC2:$CI2)+AD2</f>
        <v>3</v>
      </c>
      <c r="AF2" s="77"/>
      <c r="AG2" s="91">
        <f t="shared" ref="AG2:AG40" si="2">SUMIF($BC$1:$CI$1,AG$1,$BC2:$CI2)+AF2</f>
        <v>0</v>
      </c>
      <c r="AH2" s="78"/>
      <c r="AI2" s="91">
        <f t="shared" ref="AI2:AI40" si="3">SUMIF($BC$1:$CI$1,AI$1,$BC2:$CI2)+AH2</f>
        <v>0</v>
      </c>
      <c r="AJ2" s="77"/>
      <c r="AK2" s="91">
        <f t="shared" ref="AK2:AK40" si="4">SUMIF($BC$1:$CI$1,AK$1,$BC2:$CI2)+AJ2</f>
        <v>0</v>
      </c>
      <c r="AL2" s="77"/>
      <c r="AM2" s="91">
        <f t="shared" ref="AM2:AM40" si="5">SUMIF($BC$1:$CI$1,AM$1,$BC2:$CI2)+AL2</f>
        <v>0</v>
      </c>
      <c r="AN2" s="77"/>
      <c r="AO2" s="91">
        <f t="shared" ref="AO2:AO40" si="6">SUMIF($BC$1:$CI$1,AO$1,$BC2:$CI2)+AN2</f>
        <v>0</v>
      </c>
      <c r="AP2" s="92">
        <f>CK2</f>
        <v>0</v>
      </c>
      <c r="AQ2" s="77"/>
      <c r="AR2" s="77">
        <v>35</v>
      </c>
      <c r="AS2" s="77"/>
      <c r="AT2" s="44">
        <f>AE2+AG2+AI2+AK2+AM2+AO2+SUM(AQ2:AS2)</f>
        <v>38</v>
      </c>
      <c r="AU2" s="78"/>
      <c r="AV2" s="5"/>
      <c r="AW2" s="5"/>
      <c r="AX2" s="5"/>
      <c r="AY2" s="5"/>
      <c r="AZ2" s="24">
        <f>VLOOKUP(C2,Employees!D:I,6,FALSE)</f>
        <v>10015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0</v>
      </c>
    </row>
    <row r="3" spans="1:89" ht="38" customHeight="1">
      <c r="A3" s="74">
        <f t="shared" si="0"/>
        <v>10160</v>
      </c>
      <c r="B3" s="81">
        <v>501</v>
      </c>
      <c r="C3" s="97" t="s">
        <v>1516</v>
      </c>
      <c r="D3" s="94">
        <v>0.72916666666666663</v>
      </c>
      <c r="E3" s="84">
        <v>1</v>
      </c>
      <c r="F3" s="89">
        <f t="shared" ref="F3:F69" si="15">BA3-BB3</f>
        <v>6.0000000000000009</v>
      </c>
      <c r="G3" s="84"/>
      <c r="H3" s="84"/>
      <c r="I3" s="89">
        <f t="shared" ref="I3:I69" si="16">BF3-BG3</f>
        <v>0</v>
      </c>
      <c r="J3" s="84">
        <v>0.75</v>
      </c>
      <c r="K3" s="84">
        <v>1.0166666666666666</v>
      </c>
      <c r="L3" s="89">
        <f t="shared" ref="L3:L69" si="17">BK3-BL3</f>
        <v>5.8999999999999986</v>
      </c>
      <c r="M3" s="84"/>
      <c r="N3" s="94"/>
      <c r="O3" s="89">
        <f t="shared" ref="O3:O69" si="18">BP3-BQ3</f>
        <v>0</v>
      </c>
      <c r="P3" s="94">
        <v>0.58333333333333337</v>
      </c>
      <c r="Q3" s="84">
        <v>1</v>
      </c>
      <c r="R3" s="89">
        <f t="shared" ref="R3:R69" si="19">BU3-BV3</f>
        <v>9</v>
      </c>
      <c r="S3" s="84">
        <v>0.70833333333333337</v>
      </c>
      <c r="T3" s="84">
        <v>1</v>
      </c>
      <c r="U3" s="89">
        <f t="shared" ref="U3:U69" si="20">BZ3-CA3</f>
        <v>6.4999999999999991</v>
      </c>
      <c r="V3" s="84">
        <v>0.5</v>
      </c>
      <c r="W3" s="84">
        <v>0.93055555555555558</v>
      </c>
      <c r="X3" s="89">
        <f t="shared" ref="X3:X69" si="21">CE3-CF3</f>
        <v>9.3333333333333339</v>
      </c>
      <c r="Y3" s="89"/>
      <c r="Z3" s="89"/>
      <c r="AA3" s="89"/>
      <c r="AB3" s="89">
        <f t="shared" ref="AB3:AB69" si="22">SUM(F3,I3,L3,O3,R3,U3,X3)</f>
        <v>36.733333333333334</v>
      </c>
      <c r="AC3" s="90"/>
      <c r="AD3" s="77"/>
      <c r="AE3" s="91">
        <f t="shared" si="1"/>
        <v>14.499999999999998</v>
      </c>
      <c r="AF3" s="77"/>
      <c r="AG3" s="91">
        <f t="shared" si="2"/>
        <v>6.4999999999999991</v>
      </c>
      <c r="AH3" s="78"/>
      <c r="AI3" s="91">
        <f t="shared" si="3"/>
        <v>9.3333333333333357</v>
      </c>
      <c r="AJ3" s="77"/>
      <c r="AK3" s="91">
        <f t="shared" si="4"/>
        <v>0</v>
      </c>
      <c r="AL3" s="77"/>
      <c r="AM3" s="91">
        <f t="shared" si="5"/>
        <v>6.0000000000000027</v>
      </c>
      <c r="AN3" s="77"/>
      <c r="AO3" s="91">
        <f t="shared" si="6"/>
        <v>0.39999999999999858</v>
      </c>
      <c r="AP3" s="92">
        <f t="shared" ref="AP3:AP69" si="23">CK3</f>
        <v>5</v>
      </c>
      <c r="AQ3" s="77"/>
      <c r="AR3" s="77"/>
      <c r="AS3" s="77"/>
      <c r="AT3" s="44">
        <f t="shared" ref="AT3:AT69" si="24">AE3+AG3+AI3+AK3+AM3+AO3+SUM(AQ3:AS3)</f>
        <v>36.733333333333334</v>
      </c>
      <c r="AU3" s="78"/>
      <c r="AV3" s="5"/>
      <c r="AW3" s="5"/>
      <c r="AX3" s="5"/>
      <c r="AY3" s="5"/>
      <c r="AZ3" s="24">
        <f>VLOOKUP(C3,Employees!D:I,6,FALSE)</f>
        <v>10160</v>
      </c>
      <c r="BA3" s="5">
        <f t="shared" ref="BA3:BA66" si="25">IF(ISBLANK(D3),0,(E3-D3)*24)</f>
        <v>6.5000000000000009</v>
      </c>
      <c r="BB3" s="5">
        <f t="shared" ref="BB3:BB66" si="26">IF(BA3&gt;$AY$1,1,IF(BA3&gt;=$AX$1,0.5,0))</f>
        <v>0.5</v>
      </c>
      <c r="BC3" s="5">
        <f t="shared" ref="BC3:BC66" si="27">BA3-BB3-BD3-BE3</f>
        <v>4</v>
      </c>
      <c r="BD3" s="5">
        <f>IF(AND(E3&gt;$AV$1, D3&lt;$AW$1),(MIN(E3,$AW$1)-MAX(D3,$AV$1))*24,0)</f>
        <v>2.0000000000000009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6.3999999999999986</v>
      </c>
      <c r="BL3" s="5">
        <f t="shared" ref="BL3:BL66" si="35">IF(BK3&gt;$AY$1,1,IF(BK3&gt;=$AX$1,0.5,0))</f>
        <v>0.5</v>
      </c>
      <c r="BM3" s="5">
        <f t="shared" ref="BM3:BM66" si="36">BK3-BL3-BN3-BO3</f>
        <v>3.4999999999999991</v>
      </c>
      <c r="BN3" s="5">
        <f t="shared" ref="BN3:BN66" si="37">IF(AND(K3&gt;$AV$1, J3&lt;$AW$1),(MIN(K3,$AW$1)-MAX(J3,$AV$1))*24,0)</f>
        <v>2.0000000000000009</v>
      </c>
      <c r="BO3" s="5">
        <f t="shared" ref="BO3:BO66" si="38">IF(K3&gt;$AW$1,(K3-MAX(J3,$AW$1))*24,0)</f>
        <v>0.39999999999999858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10</v>
      </c>
      <c r="BV3" s="5">
        <f t="shared" ref="BV3:BV66" si="45">IF(BU3&gt;$AY$1,1,IF(BU3&gt;=$AX$1,0.5,0))</f>
        <v>1</v>
      </c>
      <c r="BW3" s="5">
        <f t="shared" ref="BW3:BW66" si="46">BU3-BV3-BX3-BY3</f>
        <v>6.9999999999999991</v>
      </c>
      <c r="BX3" s="5">
        <f t="shared" ref="BX3:BX66" si="47">IF(AND(Q3&gt;$AV$1, P3&lt;$AW$1),(MIN(Q3,$AW$1)-MAX(P3,$AV$1))*24,0)</f>
        <v>2.0000000000000009</v>
      </c>
      <c r="BY3" s="5">
        <f t="shared" si="11"/>
        <v>0</v>
      </c>
      <c r="BZ3" s="5">
        <f t="shared" ref="BZ3:BZ66" si="48">IF(ISBLANK(S3),0,(T3-S3)*24)</f>
        <v>6.9999999999999991</v>
      </c>
      <c r="CA3" s="5">
        <f t="shared" ref="CA3:CA66" si="49">IF(BZ3&gt;$AY$1,1,IF(BZ3&gt;=$AX$1,0.5,0))</f>
        <v>0.5</v>
      </c>
      <c r="CB3" s="5">
        <f t="shared" ref="CB3:CB66" si="50">BZ3-CA3-CC3-CD3</f>
        <v>4.4999999999999982</v>
      </c>
      <c r="CC3" s="5">
        <f t="shared" ref="CC3:CC66" si="51">IF(AND(T3&gt;$AV$1, S3&lt;$AW$1),(MIN(T3,$AW$1)-MAX(S3,$AV$1))*24,0)</f>
        <v>2.0000000000000009</v>
      </c>
      <c r="CD3" s="5">
        <f t="shared" ref="CD3:CD66" si="52">IF(T3&gt;$AW$1,(T3-MAX(S3,$AW$1))*24,0)</f>
        <v>0</v>
      </c>
      <c r="CE3" s="5">
        <f t="shared" ref="CE3:CE66" si="53">IF(ISBLANK(V3),0,(W3-V3)*24)</f>
        <v>10.333333333333334</v>
      </c>
      <c r="CF3" s="5">
        <f t="shared" ref="CF3:CF66" si="54">IF(CE3&gt;$AY$1,1,IF(CE3&gt;=$AX$1,0.5,0))</f>
        <v>1</v>
      </c>
      <c r="CG3" s="5">
        <f t="shared" ref="CG3:CG66" si="55">CE3-CF3-CH3-CI3</f>
        <v>9</v>
      </c>
      <c r="CH3" s="5">
        <f t="shared" ref="CH3:CH66" si="56">IF(AND(W3&gt;$AV$1, V3&lt;$AW$1),(MIN(W3,$AW$1)-MAX(V3,$AV$1))*24,0)</f>
        <v>0.33333333333333481</v>
      </c>
      <c r="CI3" s="5">
        <f t="shared" ref="CI3:CI66" si="57">IF(W3&gt;$AW$1,(W3-MAX(V3,$AW$1))*24,0)</f>
        <v>0</v>
      </c>
      <c r="CJ3" s="5"/>
      <c r="CK3" s="4">
        <f t="shared" si="14"/>
        <v>5</v>
      </c>
    </row>
    <row r="4" spans="1:89" ht="38" customHeight="1">
      <c r="A4" s="74">
        <f t="shared" si="0"/>
        <v>10008</v>
      </c>
      <c r="B4" s="81">
        <v>501</v>
      </c>
      <c r="C4" s="97" t="s">
        <v>339</v>
      </c>
      <c r="D4" s="84">
        <v>0.75</v>
      </c>
      <c r="E4" s="84">
        <v>1</v>
      </c>
      <c r="F4" s="89">
        <f t="shared" si="15"/>
        <v>5.5</v>
      </c>
      <c r="G4" s="84"/>
      <c r="H4" s="84"/>
      <c r="I4" s="89">
        <f t="shared" si="16"/>
        <v>0</v>
      </c>
      <c r="J4" s="84">
        <v>0.375</v>
      </c>
      <c r="K4" s="84">
        <v>0.70833333333333337</v>
      </c>
      <c r="L4" s="89">
        <f t="shared" si="17"/>
        <v>7.5</v>
      </c>
      <c r="M4" s="84">
        <v>0.58333333333333337</v>
      </c>
      <c r="N4" s="84">
        <v>0.9916666666666667</v>
      </c>
      <c r="O4" s="89">
        <f t="shared" si="18"/>
        <v>8.8000000000000007</v>
      </c>
      <c r="P4" s="75">
        <v>0.75</v>
      </c>
      <c r="Q4" s="75">
        <v>1.0208333333333333</v>
      </c>
      <c r="R4" s="89">
        <f t="shared" si="19"/>
        <v>5.9999999999999982</v>
      </c>
      <c r="S4" s="75">
        <v>0.58333333333333337</v>
      </c>
      <c r="T4" s="75">
        <v>1</v>
      </c>
      <c r="U4" s="89">
        <f t="shared" si="20"/>
        <v>9</v>
      </c>
      <c r="V4" s="84"/>
      <c r="W4" s="84"/>
      <c r="X4" s="89">
        <f t="shared" si="21"/>
        <v>0</v>
      </c>
      <c r="Y4" s="89"/>
      <c r="Z4" s="89"/>
      <c r="AA4" s="89"/>
      <c r="AB4" s="89">
        <f t="shared" si="22"/>
        <v>36.799999999999997</v>
      </c>
      <c r="AC4" s="90"/>
      <c r="AD4" s="77">
        <v>2.2200000000000002</v>
      </c>
      <c r="AE4" s="91">
        <f t="shared" si="1"/>
        <v>23.72</v>
      </c>
      <c r="AF4" s="77"/>
      <c r="AG4" s="91">
        <f t="shared" si="2"/>
        <v>9.4999999999999982</v>
      </c>
      <c r="AH4" s="78"/>
      <c r="AI4" s="91">
        <f t="shared" si="3"/>
        <v>0</v>
      </c>
      <c r="AJ4" s="77"/>
      <c r="AK4" s="91">
        <f t="shared" si="4"/>
        <v>0</v>
      </c>
      <c r="AL4" s="77"/>
      <c r="AM4" s="91">
        <f t="shared" si="5"/>
        <v>5.8000000000000034</v>
      </c>
      <c r="AN4" s="77"/>
      <c r="AO4" s="91">
        <f t="shared" si="6"/>
        <v>0</v>
      </c>
      <c r="AP4" s="92">
        <f t="shared" si="23"/>
        <v>5</v>
      </c>
      <c r="AQ4" s="77"/>
      <c r="AR4" s="77"/>
      <c r="AS4" s="77"/>
      <c r="AT4" s="44">
        <f t="shared" si="24"/>
        <v>39.020000000000003</v>
      </c>
      <c r="AU4" s="78"/>
      <c r="AV4" s="5"/>
      <c r="AW4" s="5"/>
      <c r="AX4" s="5"/>
      <c r="AY4" s="5"/>
      <c r="AZ4" s="24">
        <f>VLOOKUP(C4,Employees!D:I,6,FALSE)</f>
        <v>10008</v>
      </c>
      <c r="BA4" s="5">
        <f t="shared" si="25"/>
        <v>6</v>
      </c>
      <c r="BB4" s="5">
        <f t="shared" si="26"/>
        <v>0.5</v>
      </c>
      <c r="BC4" s="5">
        <f t="shared" si="27"/>
        <v>3.4999999999999991</v>
      </c>
      <c r="BD4" s="5">
        <f t="shared" ref="BD4:BD66" si="58">IF(AND(E4&gt;$AV$1, D4&lt;$AW$1),(MIN(E4,$AW$1)-MAX(D4,$AV$1))*24,0)</f>
        <v>2.0000000000000009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8</v>
      </c>
      <c r="BL4" s="5">
        <f t="shared" si="35"/>
        <v>0.5</v>
      </c>
      <c r="BM4" s="5">
        <f t="shared" si="36"/>
        <v>7.5</v>
      </c>
      <c r="BN4" s="5">
        <f t="shared" si="37"/>
        <v>0</v>
      </c>
      <c r="BO4" s="5">
        <f t="shared" si="38"/>
        <v>0</v>
      </c>
      <c r="BP4" s="5">
        <f t="shared" si="39"/>
        <v>9.8000000000000007</v>
      </c>
      <c r="BQ4" s="5">
        <f t="shared" si="40"/>
        <v>1</v>
      </c>
      <c r="BR4" s="5">
        <f t="shared" si="41"/>
        <v>6.9999999999999991</v>
      </c>
      <c r="BS4" s="5">
        <f t="shared" si="42"/>
        <v>1.8000000000000016</v>
      </c>
      <c r="BT4" s="5">
        <f t="shared" si="43"/>
        <v>0</v>
      </c>
      <c r="BU4" s="5">
        <f t="shared" si="44"/>
        <v>6.4999999999999982</v>
      </c>
      <c r="BV4" s="5">
        <f t="shared" si="45"/>
        <v>0.5</v>
      </c>
      <c r="BW4" s="5">
        <f t="shared" si="46"/>
        <v>3.4999999999999991</v>
      </c>
      <c r="BX4" s="5">
        <f t="shared" si="47"/>
        <v>2.0000000000000009</v>
      </c>
      <c r="BY4" s="5">
        <f t="shared" si="11"/>
        <v>0.49999999999999822</v>
      </c>
      <c r="BZ4" s="5">
        <f t="shared" si="48"/>
        <v>10</v>
      </c>
      <c r="CA4" s="5">
        <f t="shared" si="49"/>
        <v>1</v>
      </c>
      <c r="CB4" s="5">
        <f t="shared" si="50"/>
        <v>6.9999999999999991</v>
      </c>
      <c r="CC4" s="5">
        <f t="shared" si="51"/>
        <v>2.0000000000000009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5</v>
      </c>
    </row>
    <row r="5" spans="1:89" ht="38" customHeight="1">
      <c r="A5" s="74" t="str">
        <f t="shared" si="0"/>
        <v/>
      </c>
      <c r="B5" s="81"/>
      <c r="C5" s="97"/>
      <c r="D5" s="75"/>
      <c r="E5" s="75"/>
      <c r="F5" s="89">
        <f t="shared" si="15"/>
        <v>0</v>
      </c>
      <c r="G5" s="84"/>
      <c r="H5" s="84"/>
      <c r="I5" s="89">
        <f t="shared" si="16"/>
        <v>0</v>
      </c>
      <c r="J5" s="84"/>
      <c r="K5" s="84"/>
      <c r="L5" s="89">
        <f t="shared" si="17"/>
        <v>0</v>
      </c>
      <c r="M5" s="75"/>
      <c r="N5" s="75"/>
      <c r="O5" s="89">
        <f t="shared" si="18"/>
        <v>0</v>
      </c>
      <c r="P5" s="75"/>
      <c r="Q5" s="75"/>
      <c r="R5" s="89">
        <f t="shared" si="19"/>
        <v>0</v>
      </c>
      <c r="S5" s="75"/>
      <c r="T5" s="75"/>
      <c r="U5" s="89">
        <f t="shared" si="20"/>
        <v>0</v>
      </c>
      <c r="V5" s="84"/>
      <c r="W5" s="84"/>
      <c r="X5" s="89">
        <f t="shared" si="21"/>
        <v>0</v>
      </c>
      <c r="Y5" s="89"/>
      <c r="Z5" s="89"/>
      <c r="AA5" s="89"/>
      <c r="AB5" s="89">
        <f t="shared" si="22"/>
        <v>0</v>
      </c>
      <c r="AC5" s="90"/>
      <c r="AD5" s="78"/>
      <c r="AE5" s="91">
        <f t="shared" si="1"/>
        <v>0</v>
      </c>
      <c r="AF5" s="77"/>
      <c r="AG5" s="91">
        <f t="shared" si="2"/>
        <v>0</v>
      </c>
      <c r="AH5" s="78"/>
      <c r="AI5" s="91">
        <f t="shared" si="3"/>
        <v>0</v>
      </c>
      <c r="AJ5" s="77"/>
      <c r="AK5" s="91">
        <f t="shared" si="4"/>
        <v>0</v>
      </c>
      <c r="AL5" s="77"/>
      <c r="AM5" s="91">
        <f t="shared" si="5"/>
        <v>0</v>
      </c>
      <c r="AN5" s="77"/>
      <c r="AO5" s="91">
        <f t="shared" si="6"/>
        <v>0</v>
      </c>
      <c r="AP5" s="92">
        <f t="shared" si="23"/>
        <v>0</v>
      </c>
      <c r="AQ5" s="77"/>
      <c r="AR5" s="77"/>
      <c r="AS5" s="77"/>
      <c r="AT5" s="44">
        <f t="shared" si="24"/>
        <v>0</v>
      </c>
      <c r="AU5" s="78"/>
      <c r="AV5" s="5"/>
      <c r="AW5" s="5"/>
      <c r="AX5" s="5"/>
      <c r="AY5" s="5"/>
      <c r="AZ5" s="24" t="e">
        <f>VLOOKUP(C5,Employees!D:I,6,FALSE)</f>
        <v>#N/A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0</v>
      </c>
    </row>
    <row r="6" spans="1:89" ht="38" customHeight="1">
      <c r="A6" s="74">
        <f t="shared" si="0"/>
        <v>210457</v>
      </c>
      <c r="B6" s="81">
        <v>501</v>
      </c>
      <c r="C6" s="97" t="s">
        <v>1246</v>
      </c>
      <c r="D6" s="84"/>
      <c r="E6" s="84"/>
      <c r="F6" s="89">
        <f t="shared" si="15"/>
        <v>0</v>
      </c>
      <c r="G6" s="84"/>
      <c r="H6" s="84"/>
      <c r="I6" s="89">
        <f t="shared" si="16"/>
        <v>0</v>
      </c>
      <c r="J6" s="84">
        <v>0.58333333333333337</v>
      </c>
      <c r="K6" s="84">
        <v>0.98958333333333337</v>
      </c>
      <c r="L6" s="89">
        <f t="shared" si="17"/>
        <v>8.75</v>
      </c>
      <c r="M6" s="75"/>
      <c r="N6" s="75"/>
      <c r="O6" s="89">
        <f t="shared" si="18"/>
        <v>0</v>
      </c>
      <c r="P6" s="75">
        <v>0.5</v>
      </c>
      <c r="Q6" s="75">
        <v>0.91666666666666663</v>
      </c>
      <c r="R6" s="89">
        <f t="shared" si="19"/>
        <v>9</v>
      </c>
      <c r="S6" s="75">
        <v>0.66666666666666663</v>
      </c>
      <c r="T6" s="75">
        <v>0.97916666666666663</v>
      </c>
      <c r="U6" s="89">
        <f t="shared" si="20"/>
        <v>7</v>
      </c>
      <c r="V6" s="84"/>
      <c r="W6" s="84"/>
      <c r="X6" s="89">
        <f t="shared" si="21"/>
        <v>0</v>
      </c>
      <c r="Y6" s="89"/>
      <c r="Z6" s="89"/>
      <c r="AA6" s="89"/>
      <c r="AB6" s="89">
        <f t="shared" si="22"/>
        <v>24.75</v>
      </c>
      <c r="AC6" s="90"/>
      <c r="AD6" s="78"/>
      <c r="AE6" s="91">
        <f t="shared" si="1"/>
        <v>15.999999999999998</v>
      </c>
      <c r="AF6" s="77"/>
      <c r="AG6" s="91">
        <f t="shared" si="2"/>
        <v>7</v>
      </c>
      <c r="AH6" s="78"/>
      <c r="AI6" s="91">
        <f t="shared" si="3"/>
        <v>0</v>
      </c>
      <c r="AJ6" s="77"/>
      <c r="AK6" s="91">
        <f t="shared" si="4"/>
        <v>0</v>
      </c>
      <c r="AL6" s="77"/>
      <c r="AM6" s="91">
        <f t="shared" si="5"/>
        <v>1.7500000000000018</v>
      </c>
      <c r="AN6" s="77"/>
      <c r="AO6" s="91">
        <f t="shared" si="6"/>
        <v>0</v>
      </c>
      <c r="AP6" s="92">
        <f t="shared" si="23"/>
        <v>3</v>
      </c>
      <c r="AQ6" s="77"/>
      <c r="AR6" s="77"/>
      <c r="AS6" s="77"/>
      <c r="AT6" s="44">
        <f t="shared" si="24"/>
        <v>24.75</v>
      </c>
      <c r="AU6" s="78"/>
      <c r="AV6" s="5"/>
      <c r="AW6" s="5"/>
      <c r="AX6" s="5"/>
      <c r="AY6" s="5"/>
      <c r="AZ6" s="24">
        <f>VLOOKUP(C6,Employees!D:I,6,FALSE)</f>
        <v>210457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9.75</v>
      </c>
      <c r="BL6" s="5">
        <f t="shared" si="35"/>
        <v>1</v>
      </c>
      <c r="BM6" s="5">
        <f t="shared" si="36"/>
        <v>6.9999999999999982</v>
      </c>
      <c r="BN6" s="5">
        <f t="shared" si="37"/>
        <v>1.7500000000000018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10</v>
      </c>
      <c r="BV6" s="5">
        <f t="shared" si="45"/>
        <v>1</v>
      </c>
      <c r="BW6" s="5">
        <f t="shared" si="46"/>
        <v>9</v>
      </c>
      <c r="BX6" s="5">
        <f t="shared" si="47"/>
        <v>0</v>
      </c>
      <c r="BY6" s="5">
        <f t="shared" si="11"/>
        <v>0</v>
      </c>
      <c r="BZ6" s="5">
        <f t="shared" si="48"/>
        <v>7.5</v>
      </c>
      <c r="CA6" s="5">
        <f t="shared" si="49"/>
        <v>0.5</v>
      </c>
      <c r="CB6" s="5">
        <f t="shared" si="50"/>
        <v>5.5</v>
      </c>
      <c r="CC6" s="5">
        <f t="shared" si="51"/>
        <v>1.5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3</v>
      </c>
    </row>
    <row r="7" spans="1:89" ht="38" customHeight="1">
      <c r="A7" s="74">
        <f t="shared" si="0"/>
        <v>210423</v>
      </c>
      <c r="B7" s="81">
        <v>501</v>
      </c>
      <c r="C7" s="97" t="s">
        <v>1161</v>
      </c>
      <c r="D7" s="75"/>
      <c r="E7" s="75"/>
      <c r="F7" s="89">
        <f t="shared" si="15"/>
        <v>0</v>
      </c>
      <c r="G7" s="75">
        <v>0.375</v>
      </c>
      <c r="H7" s="75">
        <v>0.70833333333333337</v>
      </c>
      <c r="I7" s="89">
        <f t="shared" si="16"/>
        <v>7.5</v>
      </c>
      <c r="J7" s="84"/>
      <c r="K7" s="84"/>
      <c r="L7" s="89">
        <f t="shared" si="17"/>
        <v>0</v>
      </c>
      <c r="M7" s="84">
        <v>0.375</v>
      </c>
      <c r="N7" s="84">
        <v>0.66666666666666663</v>
      </c>
      <c r="O7" s="89">
        <f t="shared" si="18"/>
        <v>6.4999999999999991</v>
      </c>
      <c r="P7" s="75">
        <v>0.375</v>
      </c>
      <c r="Q7" s="75">
        <v>0.70833333333333337</v>
      </c>
      <c r="R7" s="89">
        <f t="shared" si="19"/>
        <v>7.5</v>
      </c>
      <c r="S7" s="75">
        <v>0.70833333333333337</v>
      </c>
      <c r="T7" s="75">
        <v>0.98958333333333337</v>
      </c>
      <c r="U7" s="89">
        <f t="shared" si="20"/>
        <v>6.25</v>
      </c>
      <c r="V7" s="84">
        <v>0.70833333333333337</v>
      </c>
      <c r="W7" s="84">
        <v>1.0062500000000001</v>
      </c>
      <c r="X7" s="89">
        <f t="shared" si="21"/>
        <v>6.6500000000000012</v>
      </c>
      <c r="Y7" s="89"/>
      <c r="Z7" s="89"/>
      <c r="AA7" s="89"/>
      <c r="AB7" s="89">
        <f t="shared" si="22"/>
        <v>34.4</v>
      </c>
      <c r="AC7" s="90"/>
      <c r="AD7" s="78"/>
      <c r="AE7" s="91">
        <f t="shared" si="1"/>
        <v>21.5</v>
      </c>
      <c r="AF7" s="77"/>
      <c r="AG7" s="91">
        <f t="shared" si="2"/>
        <v>6.25</v>
      </c>
      <c r="AH7" s="77"/>
      <c r="AI7" s="91">
        <f t="shared" si="3"/>
        <v>6.4999999999999991</v>
      </c>
      <c r="AJ7" s="77"/>
      <c r="AK7" s="91">
        <f t="shared" si="4"/>
        <v>0.15000000000000213</v>
      </c>
      <c r="AL7" s="77"/>
      <c r="AM7" s="91">
        <f t="shared" si="5"/>
        <v>0</v>
      </c>
      <c r="AN7" s="77"/>
      <c r="AO7" s="91">
        <f t="shared" si="6"/>
        <v>0</v>
      </c>
      <c r="AP7" s="92">
        <f t="shared" si="23"/>
        <v>5</v>
      </c>
      <c r="AQ7" s="77"/>
      <c r="AR7" s="77"/>
      <c r="AS7" s="77"/>
      <c r="AT7" s="44">
        <f t="shared" si="24"/>
        <v>34.400000000000006</v>
      </c>
      <c r="AU7" s="78"/>
      <c r="AV7" s="5"/>
      <c r="AW7" s="5"/>
      <c r="AX7" s="5"/>
      <c r="AY7" s="5"/>
      <c r="AZ7" s="24">
        <f>VLOOKUP(C7,Employees!D:I,6,FALSE)</f>
        <v>210423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8</v>
      </c>
      <c r="BG7" s="5">
        <f t="shared" si="30"/>
        <v>0.5</v>
      </c>
      <c r="BH7" s="5">
        <f t="shared" si="31"/>
        <v>7.5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6.9999999999999991</v>
      </c>
      <c r="BQ7" s="5">
        <f t="shared" si="40"/>
        <v>0.5</v>
      </c>
      <c r="BR7" s="5">
        <f t="shared" si="41"/>
        <v>6.4999999999999991</v>
      </c>
      <c r="BS7" s="5">
        <f t="shared" si="42"/>
        <v>0</v>
      </c>
      <c r="BT7" s="5">
        <f t="shared" si="43"/>
        <v>0</v>
      </c>
      <c r="BU7" s="5">
        <f t="shared" si="44"/>
        <v>8</v>
      </c>
      <c r="BV7" s="5">
        <f t="shared" si="45"/>
        <v>0.5</v>
      </c>
      <c r="BW7" s="5">
        <f t="shared" si="46"/>
        <v>7.5</v>
      </c>
      <c r="BX7" s="5">
        <f t="shared" si="47"/>
        <v>0</v>
      </c>
      <c r="BY7" s="5">
        <f t="shared" si="11"/>
        <v>0</v>
      </c>
      <c r="BZ7" s="5">
        <f t="shared" si="48"/>
        <v>6.75</v>
      </c>
      <c r="CA7" s="5">
        <f t="shared" si="49"/>
        <v>0.5</v>
      </c>
      <c r="CB7" s="5">
        <f t="shared" si="50"/>
        <v>4.4999999999999982</v>
      </c>
      <c r="CC7" s="5">
        <f t="shared" si="51"/>
        <v>1.7500000000000018</v>
      </c>
      <c r="CD7" s="5">
        <f t="shared" si="52"/>
        <v>0</v>
      </c>
      <c r="CE7" s="5">
        <f t="shared" si="53"/>
        <v>7.1500000000000012</v>
      </c>
      <c r="CF7" s="5">
        <f t="shared" si="54"/>
        <v>0.5</v>
      </c>
      <c r="CG7" s="5">
        <f t="shared" si="55"/>
        <v>4.4999999999999982</v>
      </c>
      <c r="CH7" s="5">
        <f t="shared" si="56"/>
        <v>2.0000000000000009</v>
      </c>
      <c r="CI7" s="5">
        <f t="shared" si="57"/>
        <v>0.15000000000000213</v>
      </c>
      <c r="CJ7" s="5"/>
      <c r="CK7" s="4">
        <f t="shared" si="14"/>
        <v>5</v>
      </c>
    </row>
    <row r="8" spans="1:89" ht="38" customHeight="1">
      <c r="A8" s="74">
        <f t="shared" si="0"/>
        <v>210383</v>
      </c>
      <c r="B8" s="81">
        <v>501</v>
      </c>
      <c r="C8" s="97" t="s">
        <v>1056</v>
      </c>
      <c r="D8" s="75"/>
      <c r="E8" s="75"/>
      <c r="F8" s="89">
        <f t="shared" si="15"/>
        <v>0</v>
      </c>
      <c r="G8" s="75"/>
      <c r="H8" s="75"/>
      <c r="I8" s="89">
        <f t="shared" si="16"/>
        <v>0</v>
      </c>
      <c r="J8" s="76"/>
      <c r="K8" s="75"/>
      <c r="L8" s="89">
        <f t="shared" si="17"/>
        <v>0</v>
      </c>
      <c r="M8" s="75">
        <v>0.41666666666666669</v>
      </c>
      <c r="N8" s="75">
        <v>0.70833333333333337</v>
      </c>
      <c r="O8" s="89">
        <f t="shared" si="18"/>
        <v>6.5</v>
      </c>
      <c r="P8" s="84"/>
      <c r="Q8" s="84"/>
      <c r="R8" s="89">
        <f t="shared" si="19"/>
        <v>0</v>
      </c>
      <c r="S8" s="84">
        <v>0.41666666666666669</v>
      </c>
      <c r="T8" s="84">
        <v>0.70833333333333337</v>
      </c>
      <c r="U8" s="89">
        <f t="shared" si="20"/>
        <v>6.5</v>
      </c>
      <c r="V8" s="75"/>
      <c r="W8" s="75"/>
      <c r="X8" s="89">
        <f t="shared" si="21"/>
        <v>0</v>
      </c>
      <c r="Y8" s="89"/>
      <c r="Z8" s="89"/>
      <c r="AA8" s="89"/>
      <c r="AB8" s="89">
        <f t="shared" si="22"/>
        <v>13</v>
      </c>
      <c r="AC8" s="90"/>
      <c r="AD8" s="78"/>
      <c r="AE8" s="91">
        <f t="shared" si="1"/>
        <v>6.5</v>
      </c>
      <c r="AF8" s="77"/>
      <c r="AG8" s="91">
        <f t="shared" si="2"/>
        <v>6.5</v>
      </c>
      <c r="AH8" s="77"/>
      <c r="AI8" s="91">
        <f t="shared" si="3"/>
        <v>0</v>
      </c>
      <c r="AJ8" s="77"/>
      <c r="AK8" s="91">
        <f t="shared" si="4"/>
        <v>0</v>
      </c>
      <c r="AL8" s="77"/>
      <c r="AM8" s="91">
        <f t="shared" si="5"/>
        <v>0</v>
      </c>
      <c r="AN8" s="77"/>
      <c r="AO8" s="91">
        <f t="shared" si="6"/>
        <v>0</v>
      </c>
      <c r="AP8" s="92">
        <f t="shared" si="23"/>
        <v>2</v>
      </c>
      <c r="AQ8" s="77"/>
      <c r="AR8" s="77"/>
      <c r="AS8" s="77"/>
      <c r="AT8" s="44">
        <f t="shared" si="24"/>
        <v>13</v>
      </c>
      <c r="AU8" s="78"/>
      <c r="AV8" s="5"/>
      <c r="AW8" s="5"/>
      <c r="AX8" s="5"/>
      <c r="AY8" s="5"/>
      <c r="AZ8" s="24">
        <f>VLOOKUP(C8,Employees!D:I,6,FALSE)</f>
        <v>210383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7</v>
      </c>
      <c r="BQ8" s="5">
        <f t="shared" si="40"/>
        <v>0.5</v>
      </c>
      <c r="BR8" s="5">
        <f t="shared" si="41"/>
        <v>6.5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7</v>
      </c>
      <c r="CA8" s="5">
        <f t="shared" si="49"/>
        <v>0.5</v>
      </c>
      <c r="CB8" s="5">
        <f t="shared" si="50"/>
        <v>6.5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2</v>
      </c>
    </row>
    <row r="9" spans="1:89" ht="38" customHeight="1">
      <c r="A9" s="74">
        <f t="shared" si="0"/>
        <v>10343</v>
      </c>
      <c r="B9" s="81">
        <v>501</v>
      </c>
      <c r="C9" s="97" t="s">
        <v>945</v>
      </c>
      <c r="D9" s="84"/>
      <c r="E9" s="84"/>
      <c r="F9" s="89">
        <f t="shared" si="15"/>
        <v>0</v>
      </c>
      <c r="G9" s="84"/>
      <c r="H9" s="84"/>
      <c r="I9" s="89">
        <f t="shared" si="16"/>
        <v>0</v>
      </c>
      <c r="J9" s="75"/>
      <c r="K9" s="75"/>
      <c r="L9" s="89">
        <f t="shared" si="17"/>
        <v>0</v>
      </c>
      <c r="M9" s="84">
        <v>0.75</v>
      </c>
      <c r="N9" s="84">
        <v>1</v>
      </c>
      <c r="O9" s="89">
        <f t="shared" si="18"/>
        <v>5.5</v>
      </c>
      <c r="P9" s="75"/>
      <c r="Q9" s="75"/>
      <c r="R9" s="89">
        <f t="shared" si="19"/>
        <v>0</v>
      </c>
      <c r="S9" s="76">
        <v>0.375</v>
      </c>
      <c r="T9" s="75">
        <v>0.70833333333333337</v>
      </c>
      <c r="U9" s="89">
        <f t="shared" si="20"/>
        <v>7.5</v>
      </c>
      <c r="V9" s="75"/>
      <c r="W9" s="75"/>
      <c r="X9" s="89">
        <f t="shared" si="21"/>
        <v>0</v>
      </c>
      <c r="Y9" s="89"/>
      <c r="Z9" s="89"/>
      <c r="AA9" s="89"/>
      <c r="AB9" s="89">
        <f t="shared" si="22"/>
        <v>13</v>
      </c>
      <c r="AC9" s="90"/>
      <c r="AD9" s="78"/>
      <c r="AE9" s="91">
        <f t="shared" si="1"/>
        <v>3.4999999999999991</v>
      </c>
      <c r="AF9" s="77"/>
      <c r="AG9" s="91">
        <f t="shared" si="2"/>
        <v>7.5</v>
      </c>
      <c r="AH9" s="77"/>
      <c r="AI9" s="91">
        <f t="shared" si="3"/>
        <v>0</v>
      </c>
      <c r="AJ9" s="77"/>
      <c r="AK9" s="91">
        <f t="shared" si="4"/>
        <v>0</v>
      </c>
      <c r="AL9" s="77"/>
      <c r="AM9" s="91">
        <f t="shared" si="5"/>
        <v>2.0000000000000009</v>
      </c>
      <c r="AN9" s="77"/>
      <c r="AO9" s="91">
        <f t="shared" si="6"/>
        <v>0</v>
      </c>
      <c r="AP9" s="92">
        <f t="shared" si="23"/>
        <v>2</v>
      </c>
      <c r="AQ9" s="77"/>
      <c r="AR9" s="77"/>
      <c r="AS9" s="77"/>
      <c r="AT9" s="44">
        <f t="shared" si="24"/>
        <v>13</v>
      </c>
      <c r="AU9" s="78"/>
      <c r="AV9" s="5"/>
      <c r="AW9" s="5"/>
      <c r="AX9" s="5"/>
      <c r="AY9" s="5"/>
      <c r="AZ9" s="24">
        <f>VLOOKUP(C9,Employees!D:I,6,FALSE)</f>
        <v>10343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6</v>
      </c>
      <c r="BQ9" s="5">
        <f t="shared" si="40"/>
        <v>0.5</v>
      </c>
      <c r="BR9" s="5">
        <f t="shared" si="41"/>
        <v>3.4999999999999991</v>
      </c>
      <c r="BS9" s="5">
        <f t="shared" si="42"/>
        <v>2.0000000000000009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8</v>
      </c>
      <c r="CA9" s="5">
        <f t="shared" si="49"/>
        <v>0.5</v>
      </c>
      <c r="CB9" s="5">
        <f t="shared" si="50"/>
        <v>7.5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2</v>
      </c>
    </row>
    <row r="10" spans="1:89" ht="38" customHeight="1">
      <c r="A10" s="74">
        <f t="shared" si="0"/>
        <v>10385</v>
      </c>
      <c r="B10" s="81">
        <v>501</v>
      </c>
      <c r="C10" s="97" t="s">
        <v>1063</v>
      </c>
      <c r="D10" s="75">
        <v>0.375</v>
      </c>
      <c r="E10" s="75">
        <v>0.70833333333333337</v>
      </c>
      <c r="F10" s="89">
        <f t="shared" si="15"/>
        <v>7.5</v>
      </c>
      <c r="G10" s="75">
        <v>0.41666666666666669</v>
      </c>
      <c r="H10" s="75">
        <v>0.75</v>
      </c>
      <c r="I10" s="89">
        <f t="shared" si="16"/>
        <v>7.5</v>
      </c>
      <c r="J10" s="76"/>
      <c r="K10" s="75"/>
      <c r="L10" s="89">
        <f t="shared" si="17"/>
        <v>0</v>
      </c>
      <c r="M10" s="75"/>
      <c r="N10" s="75"/>
      <c r="O10" s="89">
        <f t="shared" si="18"/>
        <v>0</v>
      </c>
      <c r="P10" s="75"/>
      <c r="Q10" s="75"/>
      <c r="R10" s="89">
        <f t="shared" si="19"/>
        <v>0</v>
      </c>
      <c r="S10" s="75"/>
      <c r="T10" s="75"/>
      <c r="U10" s="89">
        <f t="shared" si="20"/>
        <v>0</v>
      </c>
      <c r="V10" s="75">
        <v>0.40347222222222223</v>
      </c>
      <c r="W10" s="75">
        <v>0.70833333333333337</v>
      </c>
      <c r="X10" s="89">
        <f t="shared" si="21"/>
        <v>6.8166666666666673</v>
      </c>
      <c r="Y10" s="89"/>
      <c r="Z10" s="89"/>
      <c r="AA10" s="89"/>
      <c r="AB10" s="89">
        <f t="shared" si="22"/>
        <v>21.816666666666666</v>
      </c>
      <c r="AC10" s="90"/>
      <c r="AD10" s="78"/>
      <c r="AE10" s="91">
        <f t="shared" si="1"/>
        <v>15</v>
      </c>
      <c r="AF10" s="77"/>
      <c r="AG10" s="91">
        <f t="shared" si="2"/>
        <v>0</v>
      </c>
      <c r="AH10" s="77"/>
      <c r="AI10" s="91">
        <f t="shared" si="3"/>
        <v>6.8166666666666673</v>
      </c>
      <c r="AJ10" s="77"/>
      <c r="AK10" s="91">
        <f t="shared" si="4"/>
        <v>0</v>
      </c>
      <c r="AL10" s="77"/>
      <c r="AM10" s="91">
        <f t="shared" si="5"/>
        <v>0</v>
      </c>
      <c r="AN10" s="77"/>
      <c r="AO10" s="91">
        <f t="shared" si="6"/>
        <v>0</v>
      </c>
      <c r="AP10" s="92">
        <f t="shared" si="23"/>
        <v>3</v>
      </c>
      <c r="AQ10" s="77"/>
      <c r="AR10" s="77"/>
      <c r="AS10" s="77"/>
      <c r="AT10" s="44">
        <f t="shared" si="24"/>
        <v>21.816666666666666</v>
      </c>
      <c r="AU10" s="78"/>
      <c r="AV10" s="5"/>
      <c r="AW10" s="5"/>
      <c r="AX10" s="5"/>
      <c r="AY10" s="5"/>
      <c r="AZ10" s="24">
        <f>VLOOKUP(C10,Employees!D:I,6,FALSE)</f>
        <v>10385</v>
      </c>
      <c r="BA10" s="5">
        <f t="shared" si="25"/>
        <v>8</v>
      </c>
      <c r="BB10" s="5">
        <f t="shared" si="26"/>
        <v>0.5</v>
      </c>
      <c r="BC10" s="5">
        <f t="shared" si="27"/>
        <v>7.5</v>
      </c>
      <c r="BD10" s="5">
        <f t="shared" si="58"/>
        <v>0</v>
      </c>
      <c r="BE10" s="5">
        <f t="shared" si="28"/>
        <v>0</v>
      </c>
      <c r="BF10" s="5">
        <f t="shared" si="29"/>
        <v>8</v>
      </c>
      <c r="BG10" s="5">
        <f t="shared" si="30"/>
        <v>0.5</v>
      </c>
      <c r="BH10" s="5">
        <f t="shared" si="31"/>
        <v>7.5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7.3166666666666673</v>
      </c>
      <c r="CF10" s="5">
        <f t="shared" si="54"/>
        <v>0.5</v>
      </c>
      <c r="CG10" s="5">
        <f t="shared" si="55"/>
        <v>6.8166666666666673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3</v>
      </c>
    </row>
    <row r="11" spans="1:89" ht="38" customHeight="1">
      <c r="A11" s="74">
        <f t="shared" si="0"/>
        <v>10341</v>
      </c>
      <c r="B11" s="81">
        <v>501</v>
      </c>
      <c r="C11" s="97" t="s">
        <v>940</v>
      </c>
      <c r="D11" s="75">
        <v>0.41666666666666669</v>
      </c>
      <c r="E11" s="75">
        <v>0.75</v>
      </c>
      <c r="F11" s="89">
        <f t="shared" si="15"/>
        <v>7.5</v>
      </c>
      <c r="G11" s="75">
        <v>0.58333333333333337</v>
      </c>
      <c r="H11" s="75">
        <v>0.98958333333333337</v>
      </c>
      <c r="I11" s="89">
        <f t="shared" si="16"/>
        <v>8.75</v>
      </c>
      <c r="J11" s="76"/>
      <c r="K11" s="75"/>
      <c r="L11" s="89">
        <f t="shared" si="17"/>
        <v>0</v>
      </c>
      <c r="M11" s="75"/>
      <c r="N11" s="75"/>
      <c r="O11" s="89">
        <f t="shared" si="18"/>
        <v>0</v>
      </c>
      <c r="P11" s="75"/>
      <c r="Q11" s="75"/>
      <c r="R11" s="89">
        <f t="shared" si="19"/>
        <v>0</v>
      </c>
      <c r="S11" s="75"/>
      <c r="T11" s="75"/>
      <c r="U11" s="89">
        <f t="shared" si="20"/>
        <v>0</v>
      </c>
      <c r="V11" s="75">
        <v>0.58333333333333337</v>
      </c>
      <c r="W11" s="75">
        <v>0.99444444444444446</v>
      </c>
      <c r="X11" s="89">
        <f t="shared" si="21"/>
        <v>8.8666666666666671</v>
      </c>
      <c r="Y11" s="89"/>
      <c r="Z11" s="89"/>
      <c r="AA11" s="89"/>
      <c r="AB11" s="89">
        <f t="shared" si="22"/>
        <v>25.116666666666667</v>
      </c>
      <c r="AC11" s="90"/>
      <c r="AD11" s="78"/>
      <c r="AE11" s="91">
        <f t="shared" si="1"/>
        <v>14.499999999999998</v>
      </c>
      <c r="AF11" s="77"/>
      <c r="AG11" s="91">
        <f t="shared" si="2"/>
        <v>0</v>
      </c>
      <c r="AH11" s="77"/>
      <c r="AI11" s="91">
        <f t="shared" si="3"/>
        <v>8.8666666666666671</v>
      </c>
      <c r="AJ11" s="77"/>
      <c r="AK11" s="91">
        <f t="shared" si="4"/>
        <v>0</v>
      </c>
      <c r="AL11" s="77"/>
      <c r="AM11" s="91">
        <f t="shared" si="5"/>
        <v>1.7500000000000018</v>
      </c>
      <c r="AN11" s="77"/>
      <c r="AO11" s="91">
        <f t="shared" si="6"/>
        <v>0</v>
      </c>
      <c r="AP11" s="92">
        <f t="shared" si="23"/>
        <v>3</v>
      </c>
      <c r="AQ11" s="77"/>
      <c r="AR11" s="77"/>
      <c r="AS11" s="77"/>
      <c r="AT11" s="44">
        <f t="shared" si="24"/>
        <v>25.116666666666667</v>
      </c>
      <c r="AU11" s="78"/>
      <c r="AV11" s="5"/>
      <c r="AW11" s="5"/>
      <c r="AX11" s="5"/>
      <c r="AY11" s="5"/>
      <c r="AZ11" s="24">
        <f>VLOOKUP(C11,Employees!D:I,6,FALSE)</f>
        <v>10341</v>
      </c>
      <c r="BA11" s="5">
        <f t="shared" si="25"/>
        <v>8</v>
      </c>
      <c r="BB11" s="5">
        <f t="shared" si="26"/>
        <v>0.5</v>
      </c>
      <c r="BC11" s="5">
        <f t="shared" si="27"/>
        <v>7.5</v>
      </c>
      <c r="BD11" s="5">
        <f t="shared" si="58"/>
        <v>0</v>
      </c>
      <c r="BE11" s="5">
        <f t="shared" si="28"/>
        <v>0</v>
      </c>
      <c r="BF11" s="5">
        <f t="shared" si="29"/>
        <v>9.75</v>
      </c>
      <c r="BG11" s="5">
        <f t="shared" si="30"/>
        <v>1</v>
      </c>
      <c r="BH11" s="5">
        <f t="shared" si="31"/>
        <v>6.9999999999999982</v>
      </c>
      <c r="BI11" s="5">
        <f t="shared" si="32"/>
        <v>1.7500000000000018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9.8666666666666671</v>
      </c>
      <c r="CF11" s="5">
        <f t="shared" si="54"/>
        <v>1</v>
      </c>
      <c r="CG11" s="5">
        <f t="shared" si="55"/>
        <v>6.9999999999999991</v>
      </c>
      <c r="CH11" s="5">
        <f t="shared" si="56"/>
        <v>1.866666666666668</v>
      </c>
      <c r="CI11" s="5">
        <f t="shared" si="57"/>
        <v>0</v>
      </c>
      <c r="CJ11" s="5"/>
      <c r="CK11" s="4">
        <f t="shared" si="14"/>
        <v>3</v>
      </c>
    </row>
    <row r="12" spans="1:89" ht="38" customHeight="1">
      <c r="A12" s="74">
        <f t="shared" si="0"/>
        <v>10289</v>
      </c>
      <c r="B12" s="81">
        <v>501</v>
      </c>
      <c r="C12" s="97" t="s">
        <v>815</v>
      </c>
      <c r="D12" s="75"/>
      <c r="E12" s="75"/>
      <c r="F12" s="89">
        <f t="shared" si="15"/>
        <v>0</v>
      </c>
      <c r="G12" s="75"/>
      <c r="H12" s="75"/>
      <c r="I12" s="89">
        <f t="shared" si="16"/>
        <v>0</v>
      </c>
      <c r="J12" s="76">
        <v>0.41666666666666669</v>
      </c>
      <c r="K12" s="75">
        <v>0.75</v>
      </c>
      <c r="L12" s="89">
        <f t="shared" si="17"/>
        <v>7.5</v>
      </c>
      <c r="M12" s="75"/>
      <c r="N12" s="75"/>
      <c r="O12" s="89">
        <f t="shared" si="18"/>
        <v>0</v>
      </c>
      <c r="P12" s="75"/>
      <c r="Q12" s="75"/>
      <c r="R12" s="89">
        <f t="shared" si="19"/>
        <v>0</v>
      </c>
      <c r="S12" s="75"/>
      <c r="T12" s="75"/>
      <c r="U12" s="89">
        <f t="shared" si="20"/>
        <v>0</v>
      </c>
      <c r="V12" s="75"/>
      <c r="W12" s="75"/>
      <c r="X12" s="89">
        <f t="shared" si="21"/>
        <v>0</v>
      </c>
      <c r="Y12" s="89"/>
      <c r="Z12" s="89"/>
      <c r="AA12" s="89"/>
      <c r="AB12" s="89">
        <f t="shared" si="22"/>
        <v>7.5</v>
      </c>
      <c r="AC12" s="90"/>
      <c r="AD12" s="78"/>
      <c r="AE12" s="91">
        <f t="shared" si="1"/>
        <v>7.5</v>
      </c>
      <c r="AF12" s="77"/>
      <c r="AG12" s="91">
        <f t="shared" si="2"/>
        <v>0</v>
      </c>
      <c r="AH12" s="77"/>
      <c r="AI12" s="91">
        <f t="shared" si="3"/>
        <v>0</v>
      </c>
      <c r="AJ12" s="77"/>
      <c r="AK12" s="91">
        <f t="shared" si="4"/>
        <v>0</v>
      </c>
      <c r="AL12" s="77"/>
      <c r="AM12" s="91">
        <f t="shared" si="5"/>
        <v>0</v>
      </c>
      <c r="AN12" s="77"/>
      <c r="AO12" s="91">
        <f t="shared" si="6"/>
        <v>0</v>
      </c>
      <c r="AP12" s="92">
        <f t="shared" si="23"/>
        <v>1</v>
      </c>
      <c r="AQ12" s="77"/>
      <c r="AR12" s="77"/>
      <c r="AS12" s="77"/>
      <c r="AT12" s="44">
        <f t="shared" si="24"/>
        <v>7.5</v>
      </c>
      <c r="AU12" s="78"/>
      <c r="AV12" s="5"/>
      <c r="AW12" s="5"/>
      <c r="AX12" s="5"/>
      <c r="AY12" s="5"/>
      <c r="AZ12" s="24">
        <f>VLOOKUP(C12,Employees!D:I,6,FALSE)</f>
        <v>10289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8</v>
      </c>
      <c r="BL12" s="5">
        <f t="shared" si="35"/>
        <v>0.5</v>
      </c>
      <c r="BM12" s="5">
        <f t="shared" si="36"/>
        <v>7.5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1</v>
      </c>
    </row>
    <row r="13" spans="1:89" ht="38" customHeight="1">
      <c r="A13" s="74">
        <f t="shared" si="0"/>
        <v>210434</v>
      </c>
      <c r="B13" s="81">
        <v>501</v>
      </c>
      <c r="C13" s="97" t="s">
        <v>1187</v>
      </c>
      <c r="D13" s="75"/>
      <c r="E13" s="75"/>
      <c r="F13" s="89">
        <f t="shared" si="15"/>
        <v>0</v>
      </c>
      <c r="G13" s="75"/>
      <c r="H13" s="75"/>
      <c r="I13" s="89">
        <f t="shared" si="16"/>
        <v>0</v>
      </c>
      <c r="J13" s="84"/>
      <c r="K13" s="84"/>
      <c r="L13" s="89">
        <f t="shared" si="17"/>
        <v>0</v>
      </c>
      <c r="M13" s="75"/>
      <c r="N13" s="75"/>
      <c r="O13" s="89">
        <f t="shared" si="18"/>
        <v>0</v>
      </c>
      <c r="P13" s="75"/>
      <c r="Q13" s="75"/>
      <c r="R13" s="89">
        <f t="shared" si="19"/>
        <v>0</v>
      </c>
      <c r="S13" s="75"/>
      <c r="T13" s="75"/>
      <c r="U13" s="89">
        <f t="shared" si="20"/>
        <v>0</v>
      </c>
      <c r="V13" s="75"/>
      <c r="W13" s="75"/>
      <c r="X13" s="89">
        <f t="shared" si="21"/>
        <v>0</v>
      </c>
      <c r="Y13" s="89"/>
      <c r="Z13" s="89"/>
      <c r="AA13" s="89"/>
      <c r="AB13" s="89">
        <f t="shared" si="22"/>
        <v>0</v>
      </c>
      <c r="AC13" s="90"/>
      <c r="AD13" s="78"/>
      <c r="AE13" s="91">
        <f t="shared" si="1"/>
        <v>0</v>
      </c>
      <c r="AF13" s="77"/>
      <c r="AG13" s="91">
        <f t="shared" si="2"/>
        <v>0</v>
      </c>
      <c r="AH13" s="77"/>
      <c r="AI13" s="91">
        <f t="shared" si="3"/>
        <v>0</v>
      </c>
      <c r="AJ13" s="77"/>
      <c r="AK13" s="91">
        <f t="shared" si="4"/>
        <v>0</v>
      </c>
      <c r="AL13" s="77"/>
      <c r="AM13" s="91">
        <f t="shared" si="5"/>
        <v>0</v>
      </c>
      <c r="AN13" s="77"/>
      <c r="AO13" s="91">
        <f t="shared" si="6"/>
        <v>0</v>
      </c>
      <c r="AP13" s="92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>
        <f>VLOOKUP(C13,Employees!D:I,6,FALSE)</f>
        <v>210434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>
        <f t="shared" si="0"/>
        <v>10387</v>
      </c>
      <c r="B14" s="81">
        <v>501</v>
      </c>
      <c r="C14" s="97" t="s">
        <v>1067</v>
      </c>
      <c r="D14" s="75">
        <v>0.54166666666666663</v>
      </c>
      <c r="E14" s="75">
        <v>0.875</v>
      </c>
      <c r="F14" s="89">
        <f t="shared" si="15"/>
        <v>7.5</v>
      </c>
      <c r="G14" s="75"/>
      <c r="H14" s="75"/>
      <c r="I14" s="89">
        <f t="shared" si="16"/>
        <v>0</v>
      </c>
      <c r="J14" s="75"/>
      <c r="K14" s="75"/>
      <c r="L14" s="89">
        <f t="shared" si="17"/>
        <v>0</v>
      </c>
      <c r="M14" s="75">
        <v>0.5</v>
      </c>
      <c r="N14" s="75">
        <v>0.875</v>
      </c>
      <c r="O14" s="89">
        <f t="shared" si="18"/>
        <v>8.5</v>
      </c>
      <c r="P14" s="75">
        <v>0.42430555555555555</v>
      </c>
      <c r="Q14" s="75">
        <v>0.75</v>
      </c>
      <c r="R14" s="89">
        <f t="shared" si="19"/>
        <v>7.3166666666666664</v>
      </c>
      <c r="S14" s="75"/>
      <c r="T14" s="75"/>
      <c r="U14" s="89">
        <f t="shared" si="20"/>
        <v>0</v>
      </c>
      <c r="V14" s="75">
        <v>0.41666666666666669</v>
      </c>
      <c r="W14" s="75">
        <v>0.70833333333333337</v>
      </c>
      <c r="X14" s="89">
        <f t="shared" si="21"/>
        <v>6.5</v>
      </c>
      <c r="Y14" s="89"/>
      <c r="Z14" s="89"/>
      <c r="AA14" s="89"/>
      <c r="AB14" s="89">
        <f t="shared" si="22"/>
        <v>29.816666666666666</v>
      </c>
      <c r="AC14" s="90"/>
      <c r="AD14" s="77"/>
      <c r="AE14" s="91">
        <f t="shared" si="1"/>
        <v>23.316666666666666</v>
      </c>
      <c r="AF14" s="77"/>
      <c r="AG14" s="91">
        <f t="shared" si="2"/>
        <v>0</v>
      </c>
      <c r="AH14" s="77"/>
      <c r="AI14" s="91">
        <f t="shared" si="3"/>
        <v>6.5</v>
      </c>
      <c r="AJ14" s="77"/>
      <c r="AK14" s="91">
        <f t="shared" si="4"/>
        <v>0</v>
      </c>
      <c r="AL14" s="77"/>
      <c r="AM14" s="91">
        <f t="shared" si="5"/>
        <v>0</v>
      </c>
      <c r="AN14" s="77"/>
      <c r="AO14" s="91">
        <f t="shared" si="6"/>
        <v>0</v>
      </c>
      <c r="AP14" s="92">
        <f t="shared" si="23"/>
        <v>4</v>
      </c>
      <c r="AQ14" s="77"/>
      <c r="AR14" s="77"/>
      <c r="AS14" s="77"/>
      <c r="AT14" s="44">
        <f t="shared" si="24"/>
        <v>29.816666666666666</v>
      </c>
      <c r="AU14" s="77"/>
      <c r="AV14" s="5"/>
      <c r="AW14" s="5"/>
      <c r="AX14" s="5"/>
      <c r="AY14" s="5"/>
      <c r="AZ14" s="24">
        <f>VLOOKUP(C14,Employees!D:I,6,FALSE)</f>
        <v>10387</v>
      </c>
      <c r="BA14" s="5">
        <f t="shared" si="25"/>
        <v>8</v>
      </c>
      <c r="BB14" s="5">
        <f t="shared" si="26"/>
        <v>0.5</v>
      </c>
      <c r="BC14" s="5">
        <f t="shared" si="27"/>
        <v>7.5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9</v>
      </c>
      <c r="BQ14" s="5">
        <f t="shared" si="40"/>
        <v>0.5</v>
      </c>
      <c r="BR14" s="5">
        <f t="shared" si="41"/>
        <v>8.5</v>
      </c>
      <c r="BS14" s="5">
        <f t="shared" si="42"/>
        <v>0</v>
      </c>
      <c r="BT14" s="5">
        <f t="shared" si="43"/>
        <v>0</v>
      </c>
      <c r="BU14" s="5">
        <f t="shared" si="44"/>
        <v>7.8166666666666664</v>
      </c>
      <c r="BV14" s="5">
        <f t="shared" si="45"/>
        <v>0.5</v>
      </c>
      <c r="BW14" s="5">
        <f t="shared" si="46"/>
        <v>7.3166666666666664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7</v>
      </c>
      <c r="CF14" s="5">
        <f t="shared" si="54"/>
        <v>0.5</v>
      </c>
      <c r="CG14" s="5">
        <f t="shared" si="55"/>
        <v>6.5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4</v>
      </c>
    </row>
    <row r="15" spans="1:89" ht="38" customHeight="1">
      <c r="A15" s="74">
        <f t="shared" si="0"/>
        <v>10388</v>
      </c>
      <c r="B15" s="81">
        <v>501</v>
      </c>
      <c r="C15" s="98" t="s">
        <v>1517</v>
      </c>
      <c r="D15" s="75"/>
      <c r="E15" s="75"/>
      <c r="F15" s="89">
        <f t="shared" si="15"/>
        <v>0</v>
      </c>
      <c r="G15" s="75"/>
      <c r="H15" s="75"/>
      <c r="I15" s="89">
        <f t="shared" si="16"/>
        <v>0</v>
      </c>
      <c r="J15" s="75">
        <v>0.45833333333333331</v>
      </c>
      <c r="K15" s="75">
        <v>0.875</v>
      </c>
      <c r="L15" s="89">
        <f t="shared" si="17"/>
        <v>9</v>
      </c>
      <c r="M15" s="75"/>
      <c r="N15" s="75"/>
      <c r="O15" s="89">
        <f t="shared" si="18"/>
        <v>0</v>
      </c>
      <c r="P15" s="75">
        <v>0.70833333333333337</v>
      </c>
      <c r="Q15" s="75">
        <v>1.0208333333333333</v>
      </c>
      <c r="R15" s="89">
        <f t="shared" si="19"/>
        <v>6.9999999999999973</v>
      </c>
      <c r="S15" s="75">
        <v>0.5</v>
      </c>
      <c r="T15" s="75">
        <v>0.91666666666666663</v>
      </c>
      <c r="U15" s="89">
        <f t="shared" si="20"/>
        <v>9</v>
      </c>
      <c r="V15" s="75"/>
      <c r="W15" s="75"/>
      <c r="X15" s="89">
        <f t="shared" si="21"/>
        <v>0</v>
      </c>
      <c r="Y15" s="89"/>
      <c r="Z15" s="89"/>
      <c r="AA15" s="89"/>
      <c r="AB15" s="89">
        <f t="shared" si="22"/>
        <v>24.999999999999996</v>
      </c>
      <c r="AC15" s="90"/>
      <c r="AD15" s="77"/>
      <c r="AE15" s="91">
        <f t="shared" si="1"/>
        <v>13.499999999999998</v>
      </c>
      <c r="AF15" s="77"/>
      <c r="AG15" s="91">
        <f t="shared" si="2"/>
        <v>9.4999999999999982</v>
      </c>
      <c r="AH15" s="77"/>
      <c r="AI15" s="91">
        <f t="shared" si="3"/>
        <v>0</v>
      </c>
      <c r="AJ15" s="77"/>
      <c r="AK15" s="91">
        <f t="shared" si="4"/>
        <v>0</v>
      </c>
      <c r="AL15" s="77"/>
      <c r="AM15" s="91">
        <f t="shared" si="5"/>
        <v>2.0000000000000009</v>
      </c>
      <c r="AN15" s="77"/>
      <c r="AO15" s="91">
        <f t="shared" si="6"/>
        <v>0</v>
      </c>
      <c r="AP15" s="92">
        <f t="shared" si="23"/>
        <v>3</v>
      </c>
      <c r="AQ15" s="77"/>
      <c r="AR15" s="77"/>
      <c r="AS15" s="77"/>
      <c r="AT15" s="44">
        <f t="shared" si="24"/>
        <v>24.999999999999996</v>
      </c>
      <c r="AU15" s="77"/>
      <c r="AV15" s="5"/>
      <c r="AW15" s="5"/>
      <c r="AX15" s="5"/>
      <c r="AY15" s="5"/>
      <c r="AZ15" s="24">
        <f>VLOOKUP(C15,Employees!D:I,6,FALSE)</f>
        <v>10388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10</v>
      </c>
      <c r="BL15" s="5">
        <f t="shared" si="35"/>
        <v>1</v>
      </c>
      <c r="BM15" s="5">
        <f t="shared" si="36"/>
        <v>9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7.4999999999999973</v>
      </c>
      <c r="BV15" s="5">
        <f t="shared" si="45"/>
        <v>0.5</v>
      </c>
      <c r="BW15" s="5">
        <f t="shared" si="46"/>
        <v>4.4999999999999982</v>
      </c>
      <c r="BX15" s="5">
        <f t="shared" si="47"/>
        <v>2.0000000000000009</v>
      </c>
      <c r="BY15" s="5">
        <f t="shared" si="11"/>
        <v>0.49999999999999822</v>
      </c>
      <c r="BZ15" s="5">
        <f t="shared" si="48"/>
        <v>10</v>
      </c>
      <c r="CA15" s="5">
        <f t="shared" si="49"/>
        <v>1</v>
      </c>
      <c r="CB15" s="5">
        <f t="shared" si="50"/>
        <v>9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3</v>
      </c>
    </row>
    <row r="16" spans="1:89" ht="38" customHeight="1">
      <c r="A16" s="74">
        <f t="shared" si="0"/>
        <v>210413</v>
      </c>
      <c r="B16" s="81">
        <v>501</v>
      </c>
      <c r="C16" s="97" t="s">
        <v>1138</v>
      </c>
      <c r="D16" s="75">
        <v>0.58680555555555558</v>
      </c>
      <c r="E16" s="75">
        <v>0.99791666666666667</v>
      </c>
      <c r="F16" s="89">
        <f t="shared" si="15"/>
        <v>8.8666666666666671</v>
      </c>
      <c r="G16" s="84">
        <v>0.75</v>
      </c>
      <c r="H16" s="84">
        <v>1</v>
      </c>
      <c r="I16" s="89">
        <f t="shared" si="16"/>
        <v>5.5</v>
      </c>
      <c r="J16" s="84"/>
      <c r="K16" s="84"/>
      <c r="L16" s="89">
        <f t="shared" si="17"/>
        <v>0</v>
      </c>
      <c r="M16" s="84">
        <v>0.66666666666666663</v>
      </c>
      <c r="N16" s="84">
        <v>1</v>
      </c>
      <c r="O16" s="89">
        <f t="shared" si="18"/>
        <v>7.5</v>
      </c>
      <c r="P16" s="75"/>
      <c r="Q16" s="75"/>
      <c r="R16" s="89">
        <f t="shared" si="19"/>
        <v>0</v>
      </c>
      <c r="S16" s="75"/>
      <c r="T16" s="75"/>
      <c r="U16" s="89">
        <f t="shared" si="20"/>
        <v>0</v>
      </c>
      <c r="V16" s="84">
        <v>0.70833333333333337</v>
      </c>
      <c r="W16" s="84">
        <v>1.0062500000000001</v>
      </c>
      <c r="X16" s="89">
        <f t="shared" si="21"/>
        <v>6.6500000000000012</v>
      </c>
      <c r="Y16" s="89"/>
      <c r="Z16" s="89"/>
      <c r="AA16" s="89"/>
      <c r="AB16" s="89">
        <f t="shared" si="22"/>
        <v>28.516666666666669</v>
      </c>
      <c r="AC16" s="90"/>
      <c r="AD16" s="77"/>
      <c r="AE16" s="91">
        <f t="shared" si="1"/>
        <v>15.916666666666664</v>
      </c>
      <c r="AF16" s="77"/>
      <c r="AG16" s="91">
        <f t="shared" si="2"/>
        <v>0</v>
      </c>
      <c r="AH16" s="77"/>
      <c r="AI16" s="91">
        <f t="shared" si="3"/>
        <v>6.4999999999999991</v>
      </c>
      <c r="AJ16" s="77"/>
      <c r="AK16" s="91">
        <f t="shared" si="4"/>
        <v>0.15000000000000213</v>
      </c>
      <c r="AL16" s="77"/>
      <c r="AM16" s="91">
        <f t="shared" si="5"/>
        <v>5.9500000000000028</v>
      </c>
      <c r="AN16" s="77"/>
      <c r="AO16" s="91">
        <f t="shared" si="6"/>
        <v>0</v>
      </c>
      <c r="AP16" s="92">
        <f t="shared" si="23"/>
        <v>4</v>
      </c>
      <c r="AQ16" s="77"/>
      <c r="AR16" s="77"/>
      <c r="AS16" s="77"/>
      <c r="AT16" s="44">
        <f t="shared" si="24"/>
        <v>28.516666666666669</v>
      </c>
      <c r="AU16" s="77"/>
      <c r="AV16" s="5"/>
      <c r="AW16" s="5"/>
      <c r="AX16" s="5"/>
      <c r="AY16" s="5"/>
      <c r="AZ16" s="24">
        <f>VLOOKUP(C16,Employees!D:I,6,FALSE)</f>
        <v>210413</v>
      </c>
      <c r="BA16" s="5">
        <f t="shared" si="25"/>
        <v>9.8666666666666671</v>
      </c>
      <c r="BB16" s="5">
        <f t="shared" si="26"/>
        <v>1</v>
      </c>
      <c r="BC16" s="5">
        <f t="shared" si="27"/>
        <v>6.9166666666666661</v>
      </c>
      <c r="BD16" s="5">
        <f t="shared" si="58"/>
        <v>1.9500000000000011</v>
      </c>
      <c r="BE16" s="5">
        <f t="shared" si="28"/>
        <v>0</v>
      </c>
      <c r="BF16" s="5">
        <f t="shared" si="29"/>
        <v>6</v>
      </c>
      <c r="BG16" s="5">
        <f t="shared" si="30"/>
        <v>0.5</v>
      </c>
      <c r="BH16" s="5">
        <f t="shared" si="31"/>
        <v>3.4999999999999991</v>
      </c>
      <c r="BI16" s="5">
        <f t="shared" si="32"/>
        <v>2.0000000000000009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8</v>
      </c>
      <c r="BQ16" s="5">
        <f t="shared" si="40"/>
        <v>0.5</v>
      </c>
      <c r="BR16" s="5">
        <f t="shared" si="41"/>
        <v>5.4999999999999991</v>
      </c>
      <c r="BS16" s="5">
        <f t="shared" si="42"/>
        <v>2.0000000000000009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7.1500000000000012</v>
      </c>
      <c r="CF16" s="5">
        <f t="shared" si="54"/>
        <v>0.5</v>
      </c>
      <c r="CG16" s="5">
        <f t="shared" si="55"/>
        <v>4.4999999999999982</v>
      </c>
      <c r="CH16" s="5">
        <f t="shared" si="56"/>
        <v>2.0000000000000009</v>
      </c>
      <c r="CI16" s="5">
        <f t="shared" si="57"/>
        <v>0.15000000000000213</v>
      </c>
      <c r="CJ16" s="5"/>
      <c r="CK16" s="4">
        <f t="shared" si="14"/>
        <v>4</v>
      </c>
    </row>
    <row r="17" spans="1:89" ht="38" customHeight="1">
      <c r="A17" s="74">
        <f t="shared" si="0"/>
        <v>210554</v>
      </c>
      <c r="B17" s="81">
        <v>501</v>
      </c>
      <c r="C17" s="98" t="s">
        <v>1503</v>
      </c>
      <c r="D17" s="75"/>
      <c r="E17" s="75"/>
      <c r="F17" s="89">
        <f t="shared" si="15"/>
        <v>0</v>
      </c>
      <c r="G17" s="75">
        <v>0.54166666666666663</v>
      </c>
      <c r="H17" s="75">
        <v>0.875</v>
      </c>
      <c r="I17" s="89">
        <f t="shared" si="16"/>
        <v>7.5</v>
      </c>
      <c r="J17" s="84">
        <v>0.70833333333333337</v>
      </c>
      <c r="K17" s="84">
        <v>1.0041666666666667</v>
      </c>
      <c r="L17" s="89">
        <f t="shared" si="17"/>
        <v>6.5999999999999988</v>
      </c>
      <c r="M17" s="75"/>
      <c r="N17" s="75"/>
      <c r="O17" s="89">
        <f t="shared" si="18"/>
        <v>0</v>
      </c>
      <c r="P17" s="75"/>
      <c r="Q17" s="75"/>
      <c r="R17" s="89">
        <f t="shared" si="19"/>
        <v>0</v>
      </c>
      <c r="S17" s="84"/>
      <c r="T17" s="84"/>
      <c r="U17" s="89">
        <f t="shared" si="20"/>
        <v>0</v>
      </c>
      <c r="V17" s="75"/>
      <c r="W17" s="75"/>
      <c r="X17" s="89">
        <f t="shared" si="21"/>
        <v>0</v>
      </c>
      <c r="Y17" s="89"/>
      <c r="Z17" s="89"/>
      <c r="AA17" s="89"/>
      <c r="AB17" s="89">
        <f t="shared" si="22"/>
        <v>14.099999999999998</v>
      </c>
      <c r="AC17" s="90"/>
      <c r="AD17" s="77"/>
      <c r="AE17" s="91">
        <f t="shared" si="1"/>
        <v>11.999999999999998</v>
      </c>
      <c r="AF17" s="77"/>
      <c r="AG17" s="91">
        <f t="shared" si="2"/>
        <v>0</v>
      </c>
      <c r="AH17" s="77"/>
      <c r="AI17" s="91">
        <f t="shared" si="3"/>
        <v>0</v>
      </c>
      <c r="AJ17" s="77"/>
      <c r="AK17" s="91">
        <f t="shared" si="4"/>
        <v>0</v>
      </c>
      <c r="AL17" s="77"/>
      <c r="AM17" s="91">
        <f t="shared" si="5"/>
        <v>2.0000000000000009</v>
      </c>
      <c r="AN17" s="77"/>
      <c r="AO17" s="91">
        <f t="shared" si="6"/>
        <v>9.9999999999999645E-2</v>
      </c>
      <c r="AP17" s="92">
        <f t="shared" si="23"/>
        <v>2</v>
      </c>
      <c r="AQ17" s="77"/>
      <c r="AR17" s="77"/>
      <c r="AS17" s="77"/>
      <c r="AT17" s="44">
        <f t="shared" si="24"/>
        <v>14.1</v>
      </c>
      <c r="AU17" s="77"/>
      <c r="AV17" s="5"/>
      <c r="AW17" s="5"/>
      <c r="AX17" s="5"/>
      <c r="AY17" s="5"/>
      <c r="AZ17" s="24">
        <f>VLOOKUP(C17,Employees!D:I,6,FALSE)</f>
        <v>210554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8</v>
      </c>
      <c r="BG17" s="5">
        <f t="shared" si="30"/>
        <v>0.5</v>
      </c>
      <c r="BH17" s="5">
        <f t="shared" si="31"/>
        <v>7.5</v>
      </c>
      <c r="BI17" s="5">
        <f t="shared" si="32"/>
        <v>0</v>
      </c>
      <c r="BJ17" s="5">
        <f t="shared" si="33"/>
        <v>0</v>
      </c>
      <c r="BK17" s="5">
        <f t="shared" si="34"/>
        <v>7.0999999999999988</v>
      </c>
      <c r="BL17" s="5">
        <f t="shared" si="35"/>
        <v>0.5</v>
      </c>
      <c r="BM17" s="5">
        <f t="shared" si="36"/>
        <v>4.4999999999999982</v>
      </c>
      <c r="BN17" s="5">
        <f t="shared" si="37"/>
        <v>2.0000000000000009</v>
      </c>
      <c r="BO17" s="5">
        <f t="shared" si="38"/>
        <v>9.9999999999999645E-2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2</v>
      </c>
    </row>
    <row r="18" spans="1:89" ht="38" customHeight="1">
      <c r="A18" s="74">
        <f t="shared" si="0"/>
        <v>210546</v>
      </c>
      <c r="B18" s="81">
        <v>501</v>
      </c>
      <c r="C18" s="98" t="s">
        <v>1488</v>
      </c>
      <c r="D18" s="75"/>
      <c r="E18" s="75"/>
      <c r="F18" s="89">
        <f t="shared" si="15"/>
        <v>0</v>
      </c>
      <c r="G18" s="75"/>
      <c r="H18" s="75"/>
      <c r="I18" s="89">
        <f t="shared" si="16"/>
        <v>0</v>
      </c>
      <c r="J18" s="75"/>
      <c r="K18" s="75"/>
      <c r="L18" s="89">
        <f t="shared" si="17"/>
        <v>0</v>
      </c>
      <c r="M18" s="75"/>
      <c r="N18" s="75"/>
      <c r="O18" s="89">
        <f t="shared" si="18"/>
        <v>0</v>
      </c>
      <c r="P18" s="75"/>
      <c r="Q18" s="75"/>
      <c r="R18" s="89">
        <f t="shared" si="19"/>
        <v>0</v>
      </c>
      <c r="S18" s="75"/>
      <c r="T18" s="75"/>
      <c r="U18" s="89">
        <f t="shared" si="20"/>
        <v>0</v>
      </c>
      <c r="V18" s="75"/>
      <c r="W18" s="75"/>
      <c r="X18" s="89">
        <f t="shared" si="21"/>
        <v>0</v>
      </c>
      <c r="Y18" s="89"/>
      <c r="Z18" s="89"/>
      <c r="AA18" s="89"/>
      <c r="AB18" s="89">
        <f t="shared" si="22"/>
        <v>0</v>
      </c>
      <c r="AC18" s="90"/>
      <c r="AD18" s="77"/>
      <c r="AE18" s="91">
        <f t="shared" si="1"/>
        <v>0</v>
      </c>
      <c r="AF18" s="77"/>
      <c r="AG18" s="91">
        <f t="shared" si="2"/>
        <v>0</v>
      </c>
      <c r="AH18" s="77"/>
      <c r="AI18" s="91">
        <f t="shared" si="3"/>
        <v>0</v>
      </c>
      <c r="AJ18" s="77"/>
      <c r="AK18" s="91">
        <f t="shared" si="4"/>
        <v>0</v>
      </c>
      <c r="AL18" s="77"/>
      <c r="AM18" s="91">
        <f t="shared" si="5"/>
        <v>0</v>
      </c>
      <c r="AN18" s="77"/>
      <c r="AO18" s="91">
        <f t="shared" si="6"/>
        <v>0</v>
      </c>
      <c r="AP18" s="92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>
        <f>VLOOKUP(C18,Employees!D:I,6,FALSE)</f>
        <v>210546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>
        <f t="shared" si="0"/>
        <v>210527</v>
      </c>
      <c r="B19" s="81">
        <v>501</v>
      </c>
      <c r="C19" s="99" t="s">
        <v>1442</v>
      </c>
      <c r="D19" s="75"/>
      <c r="E19" s="75"/>
      <c r="F19" s="89">
        <f t="shared" si="15"/>
        <v>0</v>
      </c>
      <c r="G19" s="75">
        <v>0.70833333333333337</v>
      </c>
      <c r="H19" s="75">
        <v>1</v>
      </c>
      <c r="I19" s="89">
        <f t="shared" si="16"/>
        <v>6.4999999999999991</v>
      </c>
      <c r="J19" s="75"/>
      <c r="K19" s="75"/>
      <c r="L19" s="89">
        <f t="shared" si="17"/>
        <v>0</v>
      </c>
      <c r="M19" s="75"/>
      <c r="N19" s="75"/>
      <c r="O19" s="89">
        <f t="shared" si="18"/>
        <v>0</v>
      </c>
      <c r="P19" s="75"/>
      <c r="Q19" s="75"/>
      <c r="R19" s="89">
        <f t="shared" si="19"/>
        <v>0</v>
      </c>
      <c r="S19" s="75"/>
      <c r="T19" s="75"/>
      <c r="U19" s="89">
        <f t="shared" si="20"/>
        <v>0</v>
      </c>
      <c r="V19" s="75"/>
      <c r="W19" s="75"/>
      <c r="X19" s="89">
        <f t="shared" si="21"/>
        <v>0</v>
      </c>
      <c r="Y19" s="89"/>
      <c r="Z19" s="89"/>
      <c r="AA19" s="89"/>
      <c r="AB19" s="89">
        <f t="shared" si="22"/>
        <v>6.4999999999999991</v>
      </c>
      <c r="AC19" s="90"/>
      <c r="AD19" s="77"/>
      <c r="AE19" s="91">
        <f t="shared" si="1"/>
        <v>4.4999999999999982</v>
      </c>
      <c r="AF19" s="77"/>
      <c r="AG19" s="91">
        <f t="shared" si="2"/>
        <v>0</v>
      </c>
      <c r="AH19" s="77"/>
      <c r="AI19" s="91">
        <f t="shared" si="3"/>
        <v>0</v>
      </c>
      <c r="AJ19" s="77"/>
      <c r="AK19" s="91">
        <f t="shared" si="4"/>
        <v>0</v>
      </c>
      <c r="AL19" s="77"/>
      <c r="AM19" s="91">
        <f t="shared" si="5"/>
        <v>2.0000000000000009</v>
      </c>
      <c r="AN19" s="77"/>
      <c r="AO19" s="91">
        <f t="shared" si="6"/>
        <v>0</v>
      </c>
      <c r="AP19" s="92">
        <f t="shared" si="23"/>
        <v>1</v>
      </c>
      <c r="AQ19" s="77"/>
      <c r="AR19" s="77"/>
      <c r="AS19" s="77"/>
      <c r="AT19" s="44">
        <f t="shared" si="24"/>
        <v>6.4999999999999991</v>
      </c>
      <c r="AU19" s="77"/>
      <c r="AV19" s="5"/>
      <c r="AW19" s="5"/>
      <c r="AX19" s="5"/>
      <c r="AY19" s="5"/>
      <c r="AZ19" s="24">
        <f>VLOOKUP(C19,Employees!D:I,6,FALSE)</f>
        <v>210527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6.9999999999999991</v>
      </c>
      <c r="BG19" s="5">
        <f t="shared" si="30"/>
        <v>0.5</v>
      </c>
      <c r="BH19" s="5">
        <f t="shared" si="31"/>
        <v>4.4999999999999982</v>
      </c>
      <c r="BI19" s="5">
        <f t="shared" si="32"/>
        <v>2.0000000000000009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1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89">
        <f t="shared" si="15"/>
        <v>0</v>
      </c>
      <c r="G20" s="75"/>
      <c r="H20" s="75"/>
      <c r="I20" s="89">
        <f t="shared" si="16"/>
        <v>0</v>
      </c>
      <c r="J20" s="75"/>
      <c r="K20" s="75"/>
      <c r="L20" s="89">
        <f t="shared" si="17"/>
        <v>0</v>
      </c>
      <c r="M20" s="75"/>
      <c r="N20" s="75"/>
      <c r="O20" s="89">
        <f t="shared" si="18"/>
        <v>0</v>
      </c>
      <c r="P20" s="75"/>
      <c r="Q20" s="75"/>
      <c r="R20" s="89">
        <f t="shared" si="19"/>
        <v>0</v>
      </c>
      <c r="S20" s="75"/>
      <c r="T20" s="75"/>
      <c r="U20" s="89">
        <f t="shared" si="20"/>
        <v>0</v>
      </c>
      <c r="V20" s="75"/>
      <c r="W20" s="75"/>
      <c r="X20" s="89">
        <f t="shared" si="21"/>
        <v>0</v>
      </c>
      <c r="Y20" s="89"/>
      <c r="Z20" s="89"/>
      <c r="AA20" s="89"/>
      <c r="AB20" s="89">
        <f t="shared" si="22"/>
        <v>0</v>
      </c>
      <c r="AC20" s="90"/>
      <c r="AD20" s="77"/>
      <c r="AE20" s="91">
        <f t="shared" si="1"/>
        <v>0</v>
      </c>
      <c r="AF20" s="77"/>
      <c r="AG20" s="91">
        <f t="shared" si="2"/>
        <v>0</v>
      </c>
      <c r="AH20" s="77"/>
      <c r="AI20" s="91">
        <f t="shared" si="3"/>
        <v>0</v>
      </c>
      <c r="AJ20" s="77"/>
      <c r="AK20" s="91">
        <f t="shared" si="4"/>
        <v>0</v>
      </c>
      <c r="AL20" s="77"/>
      <c r="AM20" s="91">
        <f t="shared" si="5"/>
        <v>0</v>
      </c>
      <c r="AN20" s="77"/>
      <c r="AO20" s="91">
        <f t="shared" si="6"/>
        <v>0</v>
      </c>
      <c r="AP20" s="92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89">
        <f t="shared" ref="F21:F29" si="59">BA21-BB21</f>
        <v>0</v>
      </c>
      <c r="G21" s="75"/>
      <c r="H21" s="75"/>
      <c r="I21" s="89">
        <f t="shared" ref="I21:I29" si="60">BF21-BG21</f>
        <v>0</v>
      </c>
      <c r="J21" s="75"/>
      <c r="K21" s="75"/>
      <c r="L21" s="89">
        <f t="shared" ref="L21:L29" si="61">BK21-BL21</f>
        <v>0</v>
      </c>
      <c r="M21" s="75"/>
      <c r="N21" s="75"/>
      <c r="O21" s="89">
        <f t="shared" ref="O21:O29" si="62">BP21-BQ21</f>
        <v>0</v>
      </c>
      <c r="P21" s="75"/>
      <c r="Q21" s="75"/>
      <c r="R21" s="89">
        <f t="shared" ref="R21:R29" si="63">BU21-BV21</f>
        <v>0</v>
      </c>
      <c r="S21" s="75"/>
      <c r="T21" s="75"/>
      <c r="U21" s="89">
        <f t="shared" ref="U21:U29" si="64">BZ21-CA21</f>
        <v>0</v>
      </c>
      <c r="V21" s="75"/>
      <c r="W21" s="75"/>
      <c r="X21" s="89">
        <f t="shared" ref="X21:X29" si="65">CE21-CF21</f>
        <v>0</v>
      </c>
      <c r="Y21" s="89"/>
      <c r="Z21" s="89"/>
      <c r="AA21" s="89"/>
      <c r="AB21" s="89">
        <f t="shared" ref="AB21:AB29" si="66">SUM(F21,I21,L21,O21,R21,U21,X21)</f>
        <v>0</v>
      </c>
      <c r="AC21" s="90"/>
      <c r="AD21" s="77"/>
      <c r="AE21" s="91">
        <f t="shared" ref="AE21:AE29" si="67">SUMIF($BC$1:$CI$1,AE$1,$BC21:$CI21)+AD21</f>
        <v>0</v>
      </c>
      <c r="AF21" s="77"/>
      <c r="AG21" s="91">
        <f t="shared" ref="AG21:AG29" si="68">SUMIF($BC$1:$CI$1,AG$1,$BC21:$CI21)+AF21</f>
        <v>0</v>
      </c>
      <c r="AH21" s="77"/>
      <c r="AI21" s="91">
        <f t="shared" ref="AI21:AI29" si="69">SUMIF($BC$1:$CI$1,AI$1,$BC21:$CI21)+AH21</f>
        <v>0</v>
      </c>
      <c r="AJ21" s="77"/>
      <c r="AK21" s="91">
        <f t="shared" ref="AK21:AK29" si="70">SUMIF($BC$1:$CI$1,AK$1,$BC21:$CI21)+AJ21</f>
        <v>0</v>
      </c>
      <c r="AL21" s="77"/>
      <c r="AM21" s="91">
        <f t="shared" ref="AM21:AM29" si="71">SUMIF($BC$1:$CI$1,AM$1,$BC21:$CI21)+AL21</f>
        <v>0</v>
      </c>
      <c r="AN21" s="77"/>
      <c r="AO21" s="91">
        <f t="shared" ref="AO21:AO29" si="72">SUMIF($BC$1:$CI$1,AO$1,$BC21:$CI21)+AN21</f>
        <v>0</v>
      </c>
      <c r="AP21" s="92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89">
        <f t="shared" si="59"/>
        <v>0</v>
      </c>
      <c r="G22" s="75"/>
      <c r="H22" s="75"/>
      <c r="I22" s="89">
        <f t="shared" si="60"/>
        <v>0</v>
      </c>
      <c r="J22" s="75"/>
      <c r="K22" s="75"/>
      <c r="L22" s="89">
        <f t="shared" si="61"/>
        <v>0</v>
      </c>
      <c r="M22" s="75"/>
      <c r="N22" s="75"/>
      <c r="O22" s="89">
        <f t="shared" si="62"/>
        <v>0</v>
      </c>
      <c r="P22" s="75"/>
      <c r="Q22" s="75"/>
      <c r="R22" s="89">
        <f t="shared" si="63"/>
        <v>0</v>
      </c>
      <c r="S22" s="75"/>
      <c r="T22" s="75"/>
      <c r="U22" s="89">
        <f t="shared" si="64"/>
        <v>0</v>
      </c>
      <c r="V22" s="75"/>
      <c r="W22" s="75"/>
      <c r="X22" s="89">
        <f t="shared" si="65"/>
        <v>0</v>
      </c>
      <c r="Y22" s="89"/>
      <c r="Z22" s="89"/>
      <c r="AA22" s="89"/>
      <c r="AB22" s="89">
        <f t="shared" si="66"/>
        <v>0</v>
      </c>
      <c r="AC22" s="90"/>
      <c r="AD22" s="77"/>
      <c r="AE22" s="91">
        <f t="shared" si="67"/>
        <v>0</v>
      </c>
      <c r="AF22" s="77"/>
      <c r="AG22" s="91">
        <f t="shared" si="68"/>
        <v>0</v>
      </c>
      <c r="AH22" s="77"/>
      <c r="AI22" s="91">
        <f t="shared" si="69"/>
        <v>0</v>
      </c>
      <c r="AJ22" s="77"/>
      <c r="AK22" s="91">
        <f t="shared" si="70"/>
        <v>0</v>
      </c>
      <c r="AL22" s="77"/>
      <c r="AM22" s="91">
        <f t="shared" si="71"/>
        <v>0</v>
      </c>
      <c r="AN22" s="77"/>
      <c r="AO22" s="91">
        <f t="shared" si="72"/>
        <v>0</v>
      </c>
      <c r="AP22" s="92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89">
        <f t="shared" si="59"/>
        <v>0</v>
      </c>
      <c r="G23" s="75"/>
      <c r="H23" s="75"/>
      <c r="I23" s="89">
        <f t="shared" si="60"/>
        <v>0</v>
      </c>
      <c r="J23" s="76"/>
      <c r="K23" s="75"/>
      <c r="L23" s="89">
        <f t="shared" si="61"/>
        <v>0</v>
      </c>
      <c r="M23" s="75"/>
      <c r="N23" s="75"/>
      <c r="O23" s="89">
        <f t="shared" si="62"/>
        <v>0</v>
      </c>
      <c r="P23" s="75"/>
      <c r="Q23" s="75"/>
      <c r="R23" s="89">
        <f t="shared" si="63"/>
        <v>0</v>
      </c>
      <c r="S23" s="75"/>
      <c r="T23" s="75"/>
      <c r="U23" s="89">
        <f t="shared" si="64"/>
        <v>0</v>
      </c>
      <c r="V23" s="75"/>
      <c r="W23" s="75"/>
      <c r="X23" s="89">
        <f t="shared" si="65"/>
        <v>0</v>
      </c>
      <c r="Y23" s="89"/>
      <c r="Z23" s="89"/>
      <c r="AA23" s="89"/>
      <c r="AB23" s="89">
        <f t="shared" si="66"/>
        <v>0</v>
      </c>
      <c r="AC23" s="90"/>
      <c r="AD23" s="77"/>
      <c r="AE23" s="91">
        <f t="shared" si="67"/>
        <v>0</v>
      </c>
      <c r="AF23" s="77"/>
      <c r="AG23" s="91">
        <f t="shared" si="68"/>
        <v>0</v>
      </c>
      <c r="AH23" s="77"/>
      <c r="AI23" s="91">
        <f t="shared" si="69"/>
        <v>0</v>
      </c>
      <c r="AJ23" s="77"/>
      <c r="AK23" s="91">
        <f t="shared" si="70"/>
        <v>0</v>
      </c>
      <c r="AL23" s="77"/>
      <c r="AM23" s="91">
        <f t="shared" si="71"/>
        <v>0</v>
      </c>
      <c r="AN23" s="77"/>
      <c r="AO23" s="91">
        <f t="shared" si="72"/>
        <v>0</v>
      </c>
      <c r="AP23" s="92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89">
        <f t="shared" si="59"/>
        <v>0</v>
      </c>
      <c r="G24" s="75"/>
      <c r="H24" s="75"/>
      <c r="I24" s="89">
        <f t="shared" si="60"/>
        <v>0</v>
      </c>
      <c r="J24" s="76"/>
      <c r="K24" s="75"/>
      <c r="L24" s="89">
        <f t="shared" si="61"/>
        <v>0</v>
      </c>
      <c r="M24" s="75"/>
      <c r="N24" s="75"/>
      <c r="O24" s="89">
        <f t="shared" si="62"/>
        <v>0</v>
      </c>
      <c r="P24" s="75"/>
      <c r="Q24" s="75"/>
      <c r="R24" s="89">
        <f t="shared" si="63"/>
        <v>0</v>
      </c>
      <c r="S24" s="75"/>
      <c r="T24" s="75"/>
      <c r="U24" s="89">
        <f t="shared" si="64"/>
        <v>0</v>
      </c>
      <c r="V24" s="75"/>
      <c r="W24" s="75"/>
      <c r="X24" s="89">
        <f t="shared" si="65"/>
        <v>0</v>
      </c>
      <c r="Y24" s="89"/>
      <c r="Z24" s="89"/>
      <c r="AA24" s="89"/>
      <c r="AB24" s="89">
        <f t="shared" si="66"/>
        <v>0</v>
      </c>
      <c r="AC24" s="90"/>
      <c r="AD24" s="77"/>
      <c r="AE24" s="91">
        <f t="shared" si="67"/>
        <v>0</v>
      </c>
      <c r="AF24" s="77"/>
      <c r="AG24" s="91">
        <f t="shared" si="68"/>
        <v>0</v>
      </c>
      <c r="AH24" s="77"/>
      <c r="AI24" s="91">
        <f t="shared" si="69"/>
        <v>0</v>
      </c>
      <c r="AJ24" s="77"/>
      <c r="AK24" s="91">
        <f t="shared" si="70"/>
        <v>0</v>
      </c>
      <c r="AL24" s="77"/>
      <c r="AM24" s="91">
        <f t="shared" si="71"/>
        <v>0</v>
      </c>
      <c r="AN24" s="77"/>
      <c r="AO24" s="91">
        <f t="shared" si="72"/>
        <v>0</v>
      </c>
      <c r="AP24" s="92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89">
        <f t="shared" si="59"/>
        <v>0</v>
      </c>
      <c r="G25" s="75"/>
      <c r="H25" s="75"/>
      <c r="I25" s="89">
        <f t="shared" si="60"/>
        <v>0</v>
      </c>
      <c r="J25" s="76"/>
      <c r="K25" s="75"/>
      <c r="L25" s="89">
        <f t="shared" si="61"/>
        <v>0</v>
      </c>
      <c r="M25" s="75"/>
      <c r="N25" s="75"/>
      <c r="O25" s="89">
        <f t="shared" si="62"/>
        <v>0</v>
      </c>
      <c r="P25" s="75"/>
      <c r="Q25" s="75"/>
      <c r="R25" s="89">
        <f t="shared" si="63"/>
        <v>0</v>
      </c>
      <c r="S25" s="75"/>
      <c r="T25" s="75"/>
      <c r="U25" s="89">
        <f t="shared" si="64"/>
        <v>0</v>
      </c>
      <c r="V25" s="75"/>
      <c r="W25" s="75"/>
      <c r="X25" s="89">
        <f t="shared" si="65"/>
        <v>0</v>
      </c>
      <c r="Y25" s="89"/>
      <c r="Z25" s="89"/>
      <c r="AA25" s="89"/>
      <c r="AB25" s="89">
        <f t="shared" si="66"/>
        <v>0</v>
      </c>
      <c r="AC25" s="90"/>
      <c r="AD25" s="77"/>
      <c r="AE25" s="91">
        <f t="shared" si="67"/>
        <v>0</v>
      </c>
      <c r="AF25" s="77"/>
      <c r="AG25" s="91">
        <f t="shared" si="68"/>
        <v>0</v>
      </c>
      <c r="AH25" s="77"/>
      <c r="AI25" s="91">
        <f t="shared" si="69"/>
        <v>0</v>
      </c>
      <c r="AJ25" s="77"/>
      <c r="AK25" s="91">
        <f t="shared" si="70"/>
        <v>0</v>
      </c>
      <c r="AL25" s="77"/>
      <c r="AM25" s="91">
        <f t="shared" si="71"/>
        <v>0</v>
      </c>
      <c r="AN25" s="77"/>
      <c r="AO25" s="91">
        <f t="shared" si="72"/>
        <v>0</v>
      </c>
      <c r="AP25" s="92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89">
        <f t="shared" si="59"/>
        <v>0</v>
      </c>
      <c r="G26" s="75"/>
      <c r="H26" s="75"/>
      <c r="I26" s="89">
        <f t="shared" si="60"/>
        <v>0</v>
      </c>
      <c r="J26" s="76"/>
      <c r="K26" s="75"/>
      <c r="L26" s="89">
        <f t="shared" si="61"/>
        <v>0</v>
      </c>
      <c r="M26" s="75"/>
      <c r="N26" s="75"/>
      <c r="O26" s="89">
        <f t="shared" si="62"/>
        <v>0</v>
      </c>
      <c r="P26" s="75"/>
      <c r="Q26" s="75"/>
      <c r="R26" s="89">
        <f t="shared" si="63"/>
        <v>0</v>
      </c>
      <c r="S26" s="75"/>
      <c r="T26" s="75"/>
      <c r="U26" s="89">
        <f t="shared" si="64"/>
        <v>0</v>
      </c>
      <c r="V26" s="75"/>
      <c r="W26" s="75"/>
      <c r="X26" s="89">
        <f t="shared" si="65"/>
        <v>0</v>
      </c>
      <c r="Y26" s="89"/>
      <c r="Z26" s="89"/>
      <c r="AA26" s="89"/>
      <c r="AB26" s="89">
        <f t="shared" si="66"/>
        <v>0</v>
      </c>
      <c r="AC26" s="90"/>
      <c r="AD26" s="77"/>
      <c r="AE26" s="91">
        <f t="shared" si="67"/>
        <v>0</v>
      </c>
      <c r="AF26" s="77"/>
      <c r="AG26" s="91">
        <f t="shared" si="68"/>
        <v>0</v>
      </c>
      <c r="AH26" s="77"/>
      <c r="AI26" s="91">
        <f t="shared" si="69"/>
        <v>0</v>
      </c>
      <c r="AJ26" s="77"/>
      <c r="AK26" s="91">
        <f t="shared" si="70"/>
        <v>0</v>
      </c>
      <c r="AL26" s="77"/>
      <c r="AM26" s="91">
        <f t="shared" si="71"/>
        <v>0</v>
      </c>
      <c r="AN26" s="77"/>
      <c r="AO26" s="91">
        <f t="shared" si="72"/>
        <v>0</v>
      </c>
      <c r="AP26" s="92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89">
        <f t="shared" si="59"/>
        <v>0</v>
      </c>
      <c r="G27" s="75"/>
      <c r="H27" s="75"/>
      <c r="I27" s="89">
        <f t="shared" si="60"/>
        <v>0</v>
      </c>
      <c r="J27" s="76"/>
      <c r="K27" s="75"/>
      <c r="L27" s="89">
        <f t="shared" si="61"/>
        <v>0</v>
      </c>
      <c r="M27" s="75"/>
      <c r="N27" s="75"/>
      <c r="O27" s="89">
        <f t="shared" si="62"/>
        <v>0</v>
      </c>
      <c r="P27" s="75"/>
      <c r="Q27" s="75"/>
      <c r="R27" s="89">
        <f t="shared" si="63"/>
        <v>0</v>
      </c>
      <c r="S27" s="75"/>
      <c r="T27" s="75"/>
      <c r="U27" s="89">
        <f t="shared" si="64"/>
        <v>0</v>
      </c>
      <c r="V27" s="75"/>
      <c r="W27" s="75"/>
      <c r="X27" s="89">
        <f t="shared" si="65"/>
        <v>0</v>
      </c>
      <c r="Y27" s="89"/>
      <c r="Z27" s="89"/>
      <c r="AA27" s="89"/>
      <c r="AB27" s="89">
        <f t="shared" si="66"/>
        <v>0</v>
      </c>
      <c r="AC27" s="90"/>
      <c r="AD27" s="77"/>
      <c r="AE27" s="91">
        <f t="shared" si="67"/>
        <v>0</v>
      </c>
      <c r="AF27" s="77"/>
      <c r="AG27" s="91">
        <f t="shared" si="68"/>
        <v>0</v>
      </c>
      <c r="AH27" s="77"/>
      <c r="AI27" s="91">
        <f t="shared" si="69"/>
        <v>0</v>
      </c>
      <c r="AJ27" s="77"/>
      <c r="AK27" s="91">
        <f t="shared" si="70"/>
        <v>0</v>
      </c>
      <c r="AL27" s="77"/>
      <c r="AM27" s="91">
        <f t="shared" si="71"/>
        <v>0</v>
      </c>
      <c r="AN27" s="77"/>
      <c r="AO27" s="91">
        <f t="shared" si="72"/>
        <v>0</v>
      </c>
      <c r="AP27" s="92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89">
        <f t="shared" si="59"/>
        <v>0</v>
      </c>
      <c r="G28" s="75"/>
      <c r="H28" s="75"/>
      <c r="I28" s="89">
        <f t="shared" si="60"/>
        <v>0</v>
      </c>
      <c r="J28" s="76"/>
      <c r="K28" s="75"/>
      <c r="L28" s="89">
        <f t="shared" si="61"/>
        <v>0</v>
      </c>
      <c r="M28" s="75"/>
      <c r="N28" s="75"/>
      <c r="O28" s="89">
        <f t="shared" si="62"/>
        <v>0</v>
      </c>
      <c r="P28" s="75"/>
      <c r="Q28" s="75"/>
      <c r="R28" s="89">
        <f t="shared" si="63"/>
        <v>0</v>
      </c>
      <c r="S28" s="75"/>
      <c r="T28" s="75"/>
      <c r="U28" s="89">
        <f t="shared" si="64"/>
        <v>0</v>
      </c>
      <c r="V28" s="75"/>
      <c r="W28" s="75"/>
      <c r="X28" s="89">
        <f t="shared" si="65"/>
        <v>0</v>
      </c>
      <c r="Y28" s="89"/>
      <c r="Z28" s="89"/>
      <c r="AA28" s="89"/>
      <c r="AB28" s="89">
        <f t="shared" si="66"/>
        <v>0</v>
      </c>
      <c r="AC28" s="90"/>
      <c r="AD28" s="77"/>
      <c r="AE28" s="91">
        <f t="shared" si="67"/>
        <v>0</v>
      </c>
      <c r="AF28" s="77"/>
      <c r="AG28" s="91">
        <f t="shared" si="68"/>
        <v>0</v>
      </c>
      <c r="AH28" s="77"/>
      <c r="AI28" s="91">
        <f t="shared" si="69"/>
        <v>0</v>
      </c>
      <c r="AJ28" s="77"/>
      <c r="AK28" s="91">
        <f t="shared" si="70"/>
        <v>0</v>
      </c>
      <c r="AL28" s="77"/>
      <c r="AM28" s="91">
        <f t="shared" si="71"/>
        <v>0</v>
      </c>
      <c r="AN28" s="77"/>
      <c r="AO28" s="91">
        <f t="shared" si="72"/>
        <v>0</v>
      </c>
      <c r="AP28" s="92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89">
        <f t="shared" si="59"/>
        <v>0</v>
      </c>
      <c r="G29" s="75"/>
      <c r="H29" s="75"/>
      <c r="I29" s="89">
        <f t="shared" si="60"/>
        <v>0</v>
      </c>
      <c r="J29" s="76"/>
      <c r="K29" s="75"/>
      <c r="L29" s="89">
        <f t="shared" si="61"/>
        <v>0</v>
      </c>
      <c r="M29" s="75"/>
      <c r="N29" s="75"/>
      <c r="O29" s="89">
        <f t="shared" si="62"/>
        <v>0</v>
      </c>
      <c r="P29" s="75"/>
      <c r="Q29" s="75"/>
      <c r="R29" s="89">
        <f t="shared" si="63"/>
        <v>0</v>
      </c>
      <c r="S29" s="75"/>
      <c r="T29" s="75"/>
      <c r="U29" s="89">
        <f t="shared" si="64"/>
        <v>0</v>
      </c>
      <c r="V29" s="75"/>
      <c r="W29" s="75"/>
      <c r="X29" s="89">
        <f t="shared" si="65"/>
        <v>0</v>
      </c>
      <c r="Y29" s="89"/>
      <c r="Z29" s="89"/>
      <c r="AA29" s="89"/>
      <c r="AB29" s="89">
        <f t="shared" si="66"/>
        <v>0</v>
      </c>
      <c r="AC29" s="90"/>
      <c r="AD29" s="77"/>
      <c r="AE29" s="91">
        <f t="shared" si="67"/>
        <v>0</v>
      </c>
      <c r="AF29" s="77"/>
      <c r="AG29" s="91">
        <f t="shared" si="68"/>
        <v>0</v>
      </c>
      <c r="AH29" s="77"/>
      <c r="AI29" s="91">
        <f t="shared" si="69"/>
        <v>0</v>
      </c>
      <c r="AJ29" s="77"/>
      <c r="AK29" s="91">
        <f t="shared" si="70"/>
        <v>0</v>
      </c>
      <c r="AL29" s="77"/>
      <c r="AM29" s="91">
        <f t="shared" si="71"/>
        <v>0</v>
      </c>
      <c r="AN29" s="77"/>
      <c r="AO29" s="91">
        <f t="shared" si="72"/>
        <v>0</v>
      </c>
      <c r="AP29" s="92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89">
        <f t="shared" si="15"/>
        <v>0</v>
      </c>
      <c r="G30" s="75"/>
      <c r="H30" s="75"/>
      <c r="I30" s="89">
        <f t="shared" si="16"/>
        <v>0</v>
      </c>
      <c r="J30" s="76"/>
      <c r="K30" s="75"/>
      <c r="L30" s="89">
        <f t="shared" si="17"/>
        <v>0</v>
      </c>
      <c r="M30" s="75"/>
      <c r="N30" s="75"/>
      <c r="O30" s="89">
        <f t="shared" si="18"/>
        <v>0</v>
      </c>
      <c r="P30" s="75"/>
      <c r="Q30" s="75"/>
      <c r="R30" s="89">
        <f t="shared" si="19"/>
        <v>0</v>
      </c>
      <c r="S30" s="75"/>
      <c r="T30" s="75"/>
      <c r="U30" s="89">
        <f t="shared" si="20"/>
        <v>0</v>
      </c>
      <c r="V30" s="75"/>
      <c r="W30" s="75"/>
      <c r="X30" s="89">
        <f t="shared" si="21"/>
        <v>0</v>
      </c>
      <c r="Y30" s="89"/>
      <c r="Z30" s="89"/>
      <c r="AA30" s="89"/>
      <c r="AB30" s="89">
        <f t="shared" si="22"/>
        <v>0</v>
      </c>
      <c r="AC30" s="90"/>
      <c r="AD30" s="77"/>
      <c r="AE30" s="91">
        <f t="shared" si="1"/>
        <v>0</v>
      </c>
      <c r="AF30" s="77"/>
      <c r="AG30" s="91">
        <f t="shared" si="2"/>
        <v>0</v>
      </c>
      <c r="AH30" s="77"/>
      <c r="AI30" s="91">
        <f t="shared" si="3"/>
        <v>0</v>
      </c>
      <c r="AJ30" s="77"/>
      <c r="AK30" s="91">
        <f t="shared" si="4"/>
        <v>0</v>
      </c>
      <c r="AL30" s="77"/>
      <c r="AM30" s="91">
        <f t="shared" si="5"/>
        <v>0</v>
      </c>
      <c r="AN30" s="77"/>
      <c r="AO30" s="91">
        <f t="shared" si="6"/>
        <v>0</v>
      </c>
      <c r="AP30" s="92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89">
        <f t="shared" si="15"/>
        <v>0</v>
      </c>
      <c r="G31" s="75"/>
      <c r="H31" s="75"/>
      <c r="I31" s="89">
        <f t="shared" si="16"/>
        <v>0</v>
      </c>
      <c r="J31" s="76"/>
      <c r="K31" s="75"/>
      <c r="L31" s="89">
        <f t="shared" si="17"/>
        <v>0</v>
      </c>
      <c r="M31" s="75"/>
      <c r="N31" s="75"/>
      <c r="O31" s="89">
        <f t="shared" si="18"/>
        <v>0</v>
      </c>
      <c r="P31" s="75"/>
      <c r="Q31" s="75"/>
      <c r="R31" s="89">
        <f t="shared" si="19"/>
        <v>0</v>
      </c>
      <c r="S31" s="75"/>
      <c r="T31" s="75"/>
      <c r="U31" s="89">
        <f t="shared" si="20"/>
        <v>0</v>
      </c>
      <c r="V31" s="75"/>
      <c r="W31" s="75"/>
      <c r="X31" s="89">
        <f t="shared" si="21"/>
        <v>0</v>
      </c>
      <c r="Y31" s="89"/>
      <c r="Z31" s="89"/>
      <c r="AA31" s="89"/>
      <c r="AB31" s="89">
        <f t="shared" si="22"/>
        <v>0</v>
      </c>
      <c r="AC31" s="90"/>
      <c r="AD31" s="77"/>
      <c r="AE31" s="91">
        <f t="shared" si="1"/>
        <v>0</v>
      </c>
      <c r="AF31" s="77"/>
      <c r="AG31" s="91">
        <f t="shared" si="2"/>
        <v>0</v>
      </c>
      <c r="AH31" s="77"/>
      <c r="AI31" s="91">
        <f t="shared" si="3"/>
        <v>0</v>
      </c>
      <c r="AJ31" s="77"/>
      <c r="AK31" s="91">
        <f t="shared" si="4"/>
        <v>0</v>
      </c>
      <c r="AL31" s="77"/>
      <c r="AM31" s="91">
        <f t="shared" si="5"/>
        <v>0</v>
      </c>
      <c r="AN31" s="77"/>
      <c r="AO31" s="91">
        <f t="shared" si="6"/>
        <v>0</v>
      </c>
      <c r="AP31" s="92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89">
        <f t="shared" si="15"/>
        <v>0</v>
      </c>
      <c r="G32" s="75"/>
      <c r="H32" s="75"/>
      <c r="I32" s="89">
        <f t="shared" si="16"/>
        <v>0</v>
      </c>
      <c r="J32" s="76"/>
      <c r="K32" s="75"/>
      <c r="L32" s="89">
        <f t="shared" si="17"/>
        <v>0</v>
      </c>
      <c r="M32" s="75"/>
      <c r="N32" s="75"/>
      <c r="O32" s="89">
        <f t="shared" si="18"/>
        <v>0</v>
      </c>
      <c r="P32" s="75"/>
      <c r="Q32" s="75"/>
      <c r="R32" s="89">
        <f t="shared" si="19"/>
        <v>0</v>
      </c>
      <c r="S32" s="75"/>
      <c r="T32" s="75"/>
      <c r="U32" s="89">
        <f t="shared" si="20"/>
        <v>0</v>
      </c>
      <c r="V32" s="75"/>
      <c r="W32" s="75"/>
      <c r="X32" s="89">
        <f t="shared" si="21"/>
        <v>0</v>
      </c>
      <c r="Y32" s="89"/>
      <c r="Z32" s="89"/>
      <c r="AA32" s="89"/>
      <c r="AB32" s="89">
        <f t="shared" si="22"/>
        <v>0</v>
      </c>
      <c r="AC32" s="90"/>
      <c r="AD32" s="77"/>
      <c r="AE32" s="91">
        <f t="shared" si="1"/>
        <v>0</v>
      </c>
      <c r="AF32" s="77"/>
      <c r="AG32" s="91">
        <f t="shared" si="2"/>
        <v>0</v>
      </c>
      <c r="AH32" s="77"/>
      <c r="AI32" s="91">
        <f t="shared" si="3"/>
        <v>0</v>
      </c>
      <c r="AJ32" s="77"/>
      <c r="AK32" s="91">
        <f t="shared" si="4"/>
        <v>0</v>
      </c>
      <c r="AL32" s="77"/>
      <c r="AM32" s="91">
        <f t="shared" si="5"/>
        <v>0</v>
      </c>
      <c r="AN32" s="77"/>
      <c r="AO32" s="91">
        <f t="shared" si="6"/>
        <v>0</v>
      </c>
      <c r="AP32" s="92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89">
        <f t="shared" si="15"/>
        <v>0</v>
      </c>
      <c r="G33" s="75"/>
      <c r="H33" s="75"/>
      <c r="I33" s="89">
        <f t="shared" si="16"/>
        <v>0</v>
      </c>
      <c r="J33" s="76"/>
      <c r="K33" s="75"/>
      <c r="L33" s="89">
        <f t="shared" si="17"/>
        <v>0</v>
      </c>
      <c r="M33" s="75"/>
      <c r="N33" s="75"/>
      <c r="O33" s="89">
        <f t="shared" si="18"/>
        <v>0</v>
      </c>
      <c r="P33" s="75"/>
      <c r="Q33" s="75"/>
      <c r="R33" s="89">
        <f t="shared" si="19"/>
        <v>0</v>
      </c>
      <c r="S33" s="75"/>
      <c r="T33" s="75"/>
      <c r="U33" s="89">
        <f t="shared" si="20"/>
        <v>0</v>
      </c>
      <c r="V33" s="75"/>
      <c r="W33" s="75"/>
      <c r="X33" s="89">
        <f t="shared" si="21"/>
        <v>0</v>
      </c>
      <c r="Y33" s="89"/>
      <c r="Z33" s="89"/>
      <c r="AA33" s="89"/>
      <c r="AB33" s="89">
        <f t="shared" si="22"/>
        <v>0</v>
      </c>
      <c r="AC33" s="90"/>
      <c r="AD33" s="77"/>
      <c r="AE33" s="91">
        <f t="shared" si="1"/>
        <v>0</v>
      </c>
      <c r="AF33" s="77"/>
      <c r="AG33" s="91">
        <f t="shared" si="2"/>
        <v>0</v>
      </c>
      <c r="AH33" s="77"/>
      <c r="AI33" s="91">
        <f t="shared" si="3"/>
        <v>0</v>
      </c>
      <c r="AJ33" s="77"/>
      <c r="AK33" s="91">
        <f t="shared" si="4"/>
        <v>0</v>
      </c>
      <c r="AL33" s="77"/>
      <c r="AM33" s="91">
        <f t="shared" si="5"/>
        <v>0</v>
      </c>
      <c r="AN33" s="77"/>
      <c r="AO33" s="91">
        <f t="shared" si="6"/>
        <v>0</v>
      </c>
      <c r="AP33" s="92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89">
        <f t="shared" si="15"/>
        <v>0</v>
      </c>
      <c r="G34" s="75"/>
      <c r="H34" s="75"/>
      <c r="I34" s="89">
        <f t="shared" si="16"/>
        <v>0</v>
      </c>
      <c r="J34" s="76"/>
      <c r="K34" s="75"/>
      <c r="L34" s="89">
        <f t="shared" si="17"/>
        <v>0</v>
      </c>
      <c r="M34" s="75"/>
      <c r="N34" s="75"/>
      <c r="O34" s="89">
        <f t="shared" si="18"/>
        <v>0</v>
      </c>
      <c r="P34" s="75"/>
      <c r="Q34" s="75"/>
      <c r="R34" s="89">
        <f t="shared" si="19"/>
        <v>0</v>
      </c>
      <c r="S34" s="75"/>
      <c r="T34" s="75"/>
      <c r="U34" s="89">
        <f t="shared" si="20"/>
        <v>0</v>
      </c>
      <c r="V34" s="75"/>
      <c r="W34" s="75"/>
      <c r="X34" s="89">
        <f t="shared" si="21"/>
        <v>0</v>
      </c>
      <c r="Y34" s="89"/>
      <c r="Z34" s="89"/>
      <c r="AA34" s="89"/>
      <c r="AB34" s="89">
        <f t="shared" si="22"/>
        <v>0</v>
      </c>
      <c r="AC34" s="90"/>
      <c r="AD34" s="77"/>
      <c r="AE34" s="91">
        <f t="shared" si="1"/>
        <v>0</v>
      </c>
      <c r="AF34" s="77"/>
      <c r="AG34" s="91">
        <f t="shared" si="2"/>
        <v>0</v>
      </c>
      <c r="AH34" s="77"/>
      <c r="AI34" s="91">
        <f t="shared" si="3"/>
        <v>0</v>
      </c>
      <c r="AJ34" s="77"/>
      <c r="AK34" s="91">
        <f t="shared" si="4"/>
        <v>0</v>
      </c>
      <c r="AL34" s="77"/>
      <c r="AM34" s="91">
        <f t="shared" si="5"/>
        <v>0</v>
      </c>
      <c r="AN34" s="77"/>
      <c r="AO34" s="91">
        <f t="shared" si="6"/>
        <v>0</v>
      </c>
      <c r="AP34" s="92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89">
        <f t="shared" si="15"/>
        <v>0</v>
      </c>
      <c r="G35" s="75"/>
      <c r="H35" s="75"/>
      <c r="I35" s="89">
        <f t="shared" si="16"/>
        <v>0</v>
      </c>
      <c r="J35" s="76"/>
      <c r="K35" s="75"/>
      <c r="L35" s="89">
        <f t="shared" si="17"/>
        <v>0</v>
      </c>
      <c r="M35" s="75"/>
      <c r="N35" s="75"/>
      <c r="O35" s="89">
        <f t="shared" si="18"/>
        <v>0</v>
      </c>
      <c r="P35" s="75"/>
      <c r="Q35" s="75"/>
      <c r="R35" s="89">
        <f t="shared" si="19"/>
        <v>0</v>
      </c>
      <c r="S35" s="75"/>
      <c r="T35" s="75"/>
      <c r="U35" s="89">
        <f t="shared" si="20"/>
        <v>0</v>
      </c>
      <c r="V35" s="75"/>
      <c r="W35" s="75"/>
      <c r="X35" s="89">
        <f t="shared" si="21"/>
        <v>0</v>
      </c>
      <c r="Y35" s="89"/>
      <c r="Z35" s="89"/>
      <c r="AA35" s="89"/>
      <c r="AB35" s="89">
        <f t="shared" si="22"/>
        <v>0</v>
      </c>
      <c r="AC35" s="90"/>
      <c r="AD35" s="77"/>
      <c r="AE35" s="91">
        <f t="shared" si="1"/>
        <v>0</v>
      </c>
      <c r="AF35" s="77"/>
      <c r="AG35" s="91">
        <f t="shared" si="2"/>
        <v>0</v>
      </c>
      <c r="AH35" s="77"/>
      <c r="AI35" s="91">
        <f t="shared" si="3"/>
        <v>0</v>
      </c>
      <c r="AJ35" s="77"/>
      <c r="AK35" s="91">
        <f t="shared" si="4"/>
        <v>0</v>
      </c>
      <c r="AL35" s="77"/>
      <c r="AM35" s="91">
        <f t="shared" si="5"/>
        <v>0</v>
      </c>
      <c r="AN35" s="77"/>
      <c r="AO35" s="91">
        <f t="shared" si="6"/>
        <v>0</v>
      </c>
      <c r="AP35" s="92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89">
        <f t="shared" si="15"/>
        <v>0</v>
      </c>
      <c r="G36" s="75"/>
      <c r="H36" s="75"/>
      <c r="I36" s="89">
        <f t="shared" si="16"/>
        <v>0</v>
      </c>
      <c r="J36" s="76"/>
      <c r="K36" s="75"/>
      <c r="L36" s="89">
        <f t="shared" si="17"/>
        <v>0</v>
      </c>
      <c r="M36" s="75"/>
      <c r="N36" s="75"/>
      <c r="O36" s="89">
        <f t="shared" si="18"/>
        <v>0</v>
      </c>
      <c r="P36" s="75"/>
      <c r="Q36" s="75"/>
      <c r="R36" s="89">
        <f t="shared" si="19"/>
        <v>0</v>
      </c>
      <c r="S36" s="75"/>
      <c r="T36" s="75"/>
      <c r="U36" s="89">
        <f t="shared" si="20"/>
        <v>0</v>
      </c>
      <c r="V36" s="75"/>
      <c r="W36" s="75"/>
      <c r="X36" s="89">
        <f t="shared" si="21"/>
        <v>0</v>
      </c>
      <c r="Y36" s="89"/>
      <c r="Z36" s="89"/>
      <c r="AA36" s="89"/>
      <c r="AB36" s="89">
        <f t="shared" si="22"/>
        <v>0</v>
      </c>
      <c r="AC36" s="90"/>
      <c r="AD36" s="77"/>
      <c r="AE36" s="91">
        <f t="shared" si="1"/>
        <v>0</v>
      </c>
      <c r="AF36" s="77"/>
      <c r="AG36" s="91">
        <f t="shared" si="2"/>
        <v>0</v>
      </c>
      <c r="AH36" s="77"/>
      <c r="AI36" s="91">
        <f t="shared" si="3"/>
        <v>0</v>
      </c>
      <c r="AJ36" s="77"/>
      <c r="AK36" s="91">
        <f t="shared" si="4"/>
        <v>0</v>
      </c>
      <c r="AL36" s="77"/>
      <c r="AM36" s="91">
        <f t="shared" si="5"/>
        <v>0</v>
      </c>
      <c r="AN36" s="77"/>
      <c r="AO36" s="91">
        <f t="shared" si="6"/>
        <v>0</v>
      </c>
      <c r="AP36" s="92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5"/>
      <c r="D37" s="86"/>
      <c r="E37" s="86"/>
      <c r="F37" s="44">
        <f t="shared" si="15"/>
        <v>0</v>
      </c>
      <c r="G37" s="86"/>
      <c r="H37" s="86"/>
      <c r="I37" s="44">
        <f t="shared" si="16"/>
        <v>0</v>
      </c>
      <c r="J37" s="87"/>
      <c r="K37" s="88"/>
      <c r="L37" s="44">
        <f t="shared" si="17"/>
        <v>0</v>
      </c>
      <c r="M37" s="88"/>
      <c r="N37" s="88"/>
      <c r="O37" s="44">
        <f t="shared" si="18"/>
        <v>0</v>
      </c>
      <c r="P37" s="88"/>
      <c r="Q37" s="88"/>
      <c r="R37" s="44">
        <f t="shared" si="19"/>
        <v>0</v>
      </c>
      <c r="S37" s="88"/>
      <c r="T37" s="88"/>
      <c r="U37" s="44">
        <f t="shared" si="20"/>
        <v>0</v>
      </c>
      <c r="V37" s="88"/>
      <c r="W37" s="88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5"/>
      <c r="D38" s="86"/>
      <c r="E38" s="86"/>
      <c r="F38" s="44">
        <f t="shared" si="15"/>
        <v>0</v>
      </c>
      <c r="G38" s="86"/>
      <c r="H38" s="86"/>
      <c r="I38" s="44">
        <f t="shared" si="16"/>
        <v>0</v>
      </c>
      <c r="J38" s="87"/>
      <c r="K38" s="88"/>
      <c r="L38" s="44">
        <f t="shared" si="17"/>
        <v>0</v>
      </c>
      <c r="M38" s="87"/>
      <c r="N38" s="88"/>
      <c r="O38" s="44">
        <f t="shared" si="18"/>
        <v>0</v>
      </c>
      <c r="P38" s="88"/>
      <c r="Q38" s="88"/>
      <c r="R38" s="44">
        <f t="shared" si="19"/>
        <v>0</v>
      </c>
      <c r="S38" s="88"/>
      <c r="T38" s="88"/>
      <c r="U38" s="44">
        <f t="shared" si="20"/>
        <v>0</v>
      </c>
      <c r="V38" s="88"/>
      <c r="W38" s="88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5"/>
      <c r="D39" s="86"/>
      <c r="E39" s="86"/>
      <c r="F39" s="44">
        <f t="shared" si="15"/>
        <v>0</v>
      </c>
      <c r="G39" s="86"/>
      <c r="H39" s="86"/>
      <c r="I39" s="44">
        <f t="shared" si="16"/>
        <v>0</v>
      </c>
      <c r="J39" s="87"/>
      <c r="K39" s="88"/>
      <c r="L39" s="44">
        <f t="shared" si="17"/>
        <v>0</v>
      </c>
      <c r="M39" s="88"/>
      <c r="N39" s="88"/>
      <c r="O39" s="44">
        <f t="shared" si="18"/>
        <v>0</v>
      </c>
      <c r="P39" s="88"/>
      <c r="Q39" s="88"/>
      <c r="R39" s="44">
        <f t="shared" si="19"/>
        <v>0</v>
      </c>
      <c r="S39" s="88"/>
      <c r="T39" s="88"/>
      <c r="U39" s="44">
        <f t="shared" si="20"/>
        <v>0</v>
      </c>
      <c r="V39" s="88"/>
      <c r="W39" s="88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5"/>
      <c r="D40" s="86"/>
      <c r="E40" s="86"/>
      <c r="F40" s="44">
        <f t="shared" si="15"/>
        <v>0</v>
      </c>
      <c r="G40" s="86"/>
      <c r="H40" s="86"/>
      <c r="I40" s="44">
        <f t="shared" si="16"/>
        <v>0</v>
      </c>
      <c r="J40" s="87"/>
      <c r="K40" s="88"/>
      <c r="L40" s="44">
        <f t="shared" si="17"/>
        <v>0</v>
      </c>
      <c r="M40" s="88"/>
      <c r="N40" s="88"/>
      <c r="O40" s="44">
        <f t="shared" si="18"/>
        <v>0</v>
      </c>
      <c r="P40" s="88"/>
      <c r="Q40" s="88"/>
      <c r="R40" s="44">
        <f t="shared" si="19"/>
        <v>0</v>
      </c>
      <c r="S40" s="88"/>
      <c r="T40" s="88"/>
      <c r="U40" s="44">
        <f t="shared" si="20"/>
        <v>0</v>
      </c>
      <c r="V40" s="88"/>
      <c r="W40" s="88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5"/>
      <c r="D41" s="86"/>
      <c r="E41" s="86"/>
      <c r="F41" s="44">
        <f t="shared" ref="F41:F60" si="77">BA41-BB41</f>
        <v>0</v>
      </c>
      <c r="G41" s="86"/>
      <c r="H41" s="86"/>
      <c r="I41" s="44">
        <f t="shared" ref="I41:I60" si="78">BF41-BG41</f>
        <v>0</v>
      </c>
      <c r="J41" s="87"/>
      <c r="K41" s="88"/>
      <c r="L41" s="44">
        <f t="shared" ref="L41:L60" si="79">BK41-BL41</f>
        <v>0</v>
      </c>
      <c r="M41" s="88"/>
      <c r="N41" s="88"/>
      <c r="O41" s="44">
        <f t="shared" ref="O41:O60" si="80">BP41-BQ41</f>
        <v>0</v>
      </c>
      <c r="P41" s="88"/>
      <c r="Q41" s="88"/>
      <c r="R41" s="44">
        <f t="shared" ref="R41:R60" si="81">BU41-BV41</f>
        <v>0</v>
      </c>
      <c r="S41" s="88"/>
      <c r="T41" s="88"/>
      <c r="U41" s="44">
        <f t="shared" ref="U41:U60" si="82">BZ41-CA41</f>
        <v>0</v>
      </c>
      <c r="V41" s="88"/>
      <c r="W41" s="88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5"/>
      <c r="D42" s="86"/>
      <c r="E42" s="86"/>
      <c r="F42" s="44">
        <f t="shared" si="77"/>
        <v>0</v>
      </c>
      <c r="G42" s="86"/>
      <c r="H42" s="86"/>
      <c r="I42" s="44">
        <f t="shared" si="78"/>
        <v>0</v>
      </c>
      <c r="J42" s="87"/>
      <c r="K42" s="88"/>
      <c r="L42" s="44">
        <f t="shared" si="79"/>
        <v>0</v>
      </c>
      <c r="M42" s="88"/>
      <c r="N42" s="88"/>
      <c r="O42" s="44">
        <f t="shared" si="80"/>
        <v>0</v>
      </c>
      <c r="P42" s="88"/>
      <c r="Q42" s="88"/>
      <c r="R42" s="44">
        <f t="shared" si="81"/>
        <v>0</v>
      </c>
      <c r="S42" s="88"/>
      <c r="T42" s="88"/>
      <c r="U42" s="44">
        <f t="shared" si="82"/>
        <v>0</v>
      </c>
      <c r="V42" s="88"/>
      <c r="W42" s="88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5"/>
      <c r="D43" s="86"/>
      <c r="E43" s="86"/>
      <c r="F43" s="44">
        <f t="shared" si="77"/>
        <v>0</v>
      </c>
      <c r="G43" s="86"/>
      <c r="H43" s="86"/>
      <c r="I43" s="44">
        <f t="shared" si="78"/>
        <v>0</v>
      </c>
      <c r="J43" s="87"/>
      <c r="K43" s="88"/>
      <c r="L43" s="44">
        <f t="shared" si="79"/>
        <v>0</v>
      </c>
      <c r="M43" s="88"/>
      <c r="N43" s="88"/>
      <c r="O43" s="44">
        <f t="shared" si="80"/>
        <v>0</v>
      </c>
      <c r="P43" s="88"/>
      <c r="Q43" s="88"/>
      <c r="R43" s="44">
        <f t="shared" si="81"/>
        <v>0</v>
      </c>
      <c r="S43" s="88"/>
      <c r="T43" s="88"/>
      <c r="U43" s="44">
        <f t="shared" si="82"/>
        <v>0</v>
      </c>
      <c r="V43" s="88"/>
      <c r="W43" s="88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5"/>
      <c r="D44" s="86"/>
      <c r="E44" s="86"/>
      <c r="F44" s="44">
        <f t="shared" si="77"/>
        <v>0</v>
      </c>
      <c r="G44" s="86"/>
      <c r="H44" s="86"/>
      <c r="I44" s="44">
        <f t="shared" si="78"/>
        <v>0</v>
      </c>
      <c r="J44" s="87"/>
      <c r="K44" s="88"/>
      <c r="L44" s="44">
        <f t="shared" si="79"/>
        <v>0</v>
      </c>
      <c r="M44" s="88"/>
      <c r="N44" s="88"/>
      <c r="O44" s="44">
        <f t="shared" si="80"/>
        <v>0</v>
      </c>
      <c r="P44" s="88"/>
      <c r="Q44" s="88"/>
      <c r="R44" s="44">
        <f t="shared" si="81"/>
        <v>0</v>
      </c>
      <c r="S44" s="88"/>
      <c r="T44" s="88"/>
      <c r="U44" s="44">
        <f t="shared" si="82"/>
        <v>0</v>
      </c>
      <c r="V44" s="88"/>
      <c r="W44" s="88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5"/>
      <c r="D45" s="86"/>
      <c r="E45" s="86"/>
      <c r="F45" s="44">
        <f t="shared" si="77"/>
        <v>0</v>
      </c>
      <c r="G45" s="86"/>
      <c r="H45" s="86"/>
      <c r="I45" s="44">
        <f t="shared" si="78"/>
        <v>0</v>
      </c>
      <c r="J45" s="87"/>
      <c r="K45" s="88"/>
      <c r="L45" s="44">
        <f t="shared" si="79"/>
        <v>0</v>
      </c>
      <c r="M45" s="88"/>
      <c r="N45" s="88"/>
      <c r="O45" s="44">
        <f t="shared" si="80"/>
        <v>0</v>
      </c>
      <c r="P45" s="88"/>
      <c r="Q45" s="88"/>
      <c r="R45" s="44">
        <f t="shared" si="81"/>
        <v>0</v>
      </c>
      <c r="S45" s="88"/>
      <c r="T45" s="88"/>
      <c r="U45" s="44">
        <f t="shared" si="82"/>
        <v>0</v>
      </c>
      <c r="V45" s="88"/>
      <c r="W45" s="88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5"/>
      <c r="D46" s="86"/>
      <c r="E46" s="86"/>
      <c r="F46" s="44">
        <f t="shared" si="77"/>
        <v>0</v>
      </c>
      <c r="G46" s="86"/>
      <c r="H46" s="86"/>
      <c r="I46" s="44">
        <f t="shared" si="78"/>
        <v>0</v>
      </c>
      <c r="J46" s="87"/>
      <c r="K46" s="88"/>
      <c r="L46" s="44">
        <f t="shared" si="79"/>
        <v>0</v>
      </c>
      <c r="M46" s="88"/>
      <c r="N46" s="88"/>
      <c r="O46" s="44">
        <f t="shared" si="80"/>
        <v>0</v>
      </c>
      <c r="P46" s="88"/>
      <c r="Q46" s="88"/>
      <c r="R46" s="44">
        <f t="shared" si="81"/>
        <v>0</v>
      </c>
      <c r="S46" s="88"/>
      <c r="T46" s="88"/>
      <c r="U46" s="44">
        <f t="shared" si="82"/>
        <v>0</v>
      </c>
      <c r="V46" s="88"/>
      <c r="W46" s="88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5"/>
      <c r="D47" s="86"/>
      <c r="E47" s="86"/>
      <c r="F47" s="44">
        <f t="shared" si="77"/>
        <v>0</v>
      </c>
      <c r="G47" s="86"/>
      <c r="H47" s="86"/>
      <c r="I47" s="44">
        <f t="shared" si="78"/>
        <v>0</v>
      </c>
      <c r="J47" s="87"/>
      <c r="K47" s="88"/>
      <c r="L47" s="44">
        <f t="shared" si="79"/>
        <v>0</v>
      </c>
      <c r="M47" s="88"/>
      <c r="N47" s="88"/>
      <c r="O47" s="44">
        <f t="shared" si="80"/>
        <v>0</v>
      </c>
      <c r="P47" s="88"/>
      <c r="Q47" s="88"/>
      <c r="R47" s="44">
        <f t="shared" si="81"/>
        <v>0</v>
      </c>
      <c r="S47" s="88"/>
      <c r="T47" s="88"/>
      <c r="U47" s="44">
        <f t="shared" si="82"/>
        <v>0</v>
      </c>
      <c r="V47" s="88"/>
      <c r="W47" s="88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5"/>
      <c r="D48" s="86"/>
      <c r="E48" s="86"/>
      <c r="F48" s="44">
        <f t="shared" ref="F48:F59" si="93">BA48-BB48</f>
        <v>0</v>
      </c>
      <c r="G48" s="86"/>
      <c r="H48" s="86"/>
      <c r="I48" s="44">
        <f t="shared" ref="I48:I59" si="94">BF48-BG48</f>
        <v>0</v>
      </c>
      <c r="J48" s="87"/>
      <c r="K48" s="88"/>
      <c r="L48" s="44">
        <f t="shared" ref="L48:L59" si="95">BK48-BL48</f>
        <v>0</v>
      </c>
      <c r="M48" s="88"/>
      <c r="N48" s="88"/>
      <c r="O48" s="44">
        <f t="shared" ref="O48:O59" si="96">BP48-BQ48</f>
        <v>0</v>
      </c>
      <c r="P48" s="88"/>
      <c r="Q48" s="88"/>
      <c r="R48" s="44">
        <f t="shared" ref="R48:R59" si="97">BU48-BV48</f>
        <v>0</v>
      </c>
      <c r="S48" s="88"/>
      <c r="T48" s="88"/>
      <c r="U48" s="44">
        <f t="shared" ref="U48:U59" si="98">BZ48-CA48</f>
        <v>0</v>
      </c>
      <c r="V48" s="88"/>
      <c r="W48" s="88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5"/>
      <c r="D49" s="86"/>
      <c r="E49" s="86"/>
      <c r="F49" s="44">
        <f t="shared" si="93"/>
        <v>0</v>
      </c>
      <c r="G49" s="86"/>
      <c r="H49" s="86"/>
      <c r="I49" s="44">
        <f t="shared" si="94"/>
        <v>0</v>
      </c>
      <c r="J49" s="87"/>
      <c r="K49" s="88"/>
      <c r="L49" s="44">
        <f t="shared" si="95"/>
        <v>0</v>
      </c>
      <c r="M49" s="88"/>
      <c r="N49" s="88"/>
      <c r="O49" s="44">
        <f t="shared" si="96"/>
        <v>0</v>
      </c>
      <c r="P49" s="88"/>
      <c r="Q49" s="88"/>
      <c r="R49" s="44">
        <f t="shared" si="97"/>
        <v>0</v>
      </c>
      <c r="S49" s="88"/>
      <c r="T49" s="88"/>
      <c r="U49" s="44">
        <f t="shared" si="98"/>
        <v>0</v>
      </c>
      <c r="V49" s="88"/>
      <c r="W49" s="88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5"/>
      <c r="D50" s="86"/>
      <c r="E50" s="86"/>
      <c r="F50" s="44">
        <f t="shared" si="93"/>
        <v>0</v>
      </c>
      <c r="G50" s="86"/>
      <c r="H50" s="86"/>
      <c r="I50" s="44">
        <f t="shared" si="94"/>
        <v>0</v>
      </c>
      <c r="J50" s="87"/>
      <c r="K50" s="88"/>
      <c r="L50" s="44">
        <f t="shared" si="95"/>
        <v>0</v>
      </c>
      <c r="M50" s="88"/>
      <c r="N50" s="88"/>
      <c r="O50" s="44">
        <f t="shared" si="96"/>
        <v>0</v>
      </c>
      <c r="P50" s="88"/>
      <c r="Q50" s="88"/>
      <c r="R50" s="44">
        <f t="shared" si="97"/>
        <v>0</v>
      </c>
      <c r="S50" s="88"/>
      <c r="T50" s="88"/>
      <c r="U50" s="44">
        <f t="shared" si="98"/>
        <v>0</v>
      </c>
      <c r="V50" s="88"/>
      <c r="W50" s="88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5"/>
      <c r="D51" s="86"/>
      <c r="E51" s="86"/>
      <c r="F51" s="44">
        <f t="shared" si="93"/>
        <v>0</v>
      </c>
      <c r="G51" s="86"/>
      <c r="H51" s="86"/>
      <c r="I51" s="44">
        <f t="shared" si="94"/>
        <v>0</v>
      </c>
      <c r="J51" s="87"/>
      <c r="K51" s="88"/>
      <c r="L51" s="44">
        <f t="shared" si="95"/>
        <v>0</v>
      </c>
      <c r="M51" s="88"/>
      <c r="N51" s="88"/>
      <c r="O51" s="44">
        <f t="shared" si="96"/>
        <v>0</v>
      </c>
      <c r="P51" s="88"/>
      <c r="Q51" s="88"/>
      <c r="R51" s="44">
        <f t="shared" si="97"/>
        <v>0</v>
      </c>
      <c r="S51" s="88"/>
      <c r="T51" s="88"/>
      <c r="U51" s="44">
        <f t="shared" si="98"/>
        <v>0</v>
      </c>
      <c r="V51" s="88"/>
      <c r="W51" s="88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5"/>
      <c r="D52" s="86"/>
      <c r="E52" s="86"/>
      <c r="F52" s="44">
        <f t="shared" si="93"/>
        <v>0</v>
      </c>
      <c r="G52" s="86"/>
      <c r="H52" s="86"/>
      <c r="I52" s="44">
        <f t="shared" si="94"/>
        <v>0</v>
      </c>
      <c r="J52" s="87"/>
      <c r="K52" s="88"/>
      <c r="L52" s="44">
        <f t="shared" si="95"/>
        <v>0</v>
      </c>
      <c r="M52" s="88"/>
      <c r="N52" s="88"/>
      <c r="O52" s="44">
        <f t="shared" si="96"/>
        <v>0</v>
      </c>
      <c r="P52" s="88"/>
      <c r="Q52" s="88"/>
      <c r="R52" s="44">
        <f t="shared" si="97"/>
        <v>0</v>
      </c>
      <c r="S52" s="88"/>
      <c r="T52" s="88"/>
      <c r="U52" s="44">
        <f t="shared" si="98"/>
        <v>0</v>
      </c>
      <c r="V52" s="88"/>
      <c r="W52" s="88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5"/>
      <c r="D53" s="86"/>
      <c r="E53" s="86"/>
      <c r="F53" s="44">
        <f t="shared" si="93"/>
        <v>0</v>
      </c>
      <c r="G53" s="86"/>
      <c r="H53" s="86"/>
      <c r="I53" s="44">
        <f t="shared" si="94"/>
        <v>0</v>
      </c>
      <c r="J53" s="87"/>
      <c r="K53" s="88"/>
      <c r="L53" s="44">
        <f t="shared" si="95"/>
        <v>0</v>
      </c>
      <c r="M53" s="88"/>
      <c r="N53" s="88"/>
      <c r="O53" s="44">
        <f t="shared" si="96"/>
        <v>0</v>
      </c>
      <c r="P53" s="88"/>
      <c r="Q53" s="88"/>
      <c r="R53" s="44">
        <f t="shared" si="97"/>
        <v>0</v>
      </c>
      <c r="S53" s="88"/>
      <c r="T53" s="88"/>
      <c r="U53" s="44">
        <f t="shared" si="98"/>
        <v>0</v>
      </c>
      <c r="V53" s="88"/>
      <c r="W53" s="88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5"/>
      <c r="D54" s="86"/>
      <c r="E54" s="86"/>
      <c r="F54" s="44">
        <f t="shared" si="93"/>
        <v>0</v>
      </c>
      <c r="G54" s="86"/>
      <c r="H54" s="86"/>
      <c r="I54" s="44">
        <f t="shared" si="94"/>
        <v>0</v>
      </c>
      <c r="J54" s="87"/>
      <c r="K54" s="88"/>
      <c r="L54" s="44">
        <f t="shared" si="95"/>
        <v>0</v>
      </c>
      <c r="M54" s="88"/>
      <c r="N54" s="88"/>
      <c r="O54" s="44">
        <f t="shared" si="96"/>
        <v>0</v>
      </c>
      <c r="P54" s="88"/>
      <c r="Q54" s="88"/>
      <c r="R54" s="44">
        <f t="shared" si="97"/>
        <v>0</v>
      </c>
      <c r="S54" s="88"/>
      <c r="T54" s="88"/>
      <c r="U54" s="44">
        <f t="shared" si="98"/>
        <v>0</v>
      </c>
      <c r="V54" s="88"/>
      <c r="W54" s="88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5"/>
      <c r="D55" s="86"/>
      <c r="E55" s="86"/>
      <c r="F55" s="44">
        <f t="shared" si="93"/>
        <v>0</v>
      </c>
      <c r="G55" s="86"/>
      <c r="H55" s="86"/>
      <c r="I55" s="44">
        <f t="shared" si="94"/>
        <v>0</v>
      </c>
      <c r="J55" s="87"/>
      <c r="K55" s="88"/>
      <c r="L55" s="44">
        <f t="shared" si="95"/>
        <v>0</v>
      </c>
      <c r="M55" s="88"/>
      <c r="N55" s="88"/>
      <c r="O55" s="44">
        <f t="shared" si="96"/>
        <v>0</v>
      </c>
      <c r="P55" s="88"/>
      <c r="Q55" s="88"/>
      <c r="R55" s="44">
        <f t="shared" si="97"/>
        <v>0</v>
      </c>
      <c r="S55" s="88"/>
      <c r="T55" s="88"/>
      <c r="U55" s="44">
        <f t="shared" si="98"/>
        <v>0</v>
      </c>
      <c r="V55" s="88"/>
      <c r="W55" s="88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5"/>
      <c r="D56" s="86"/>
      <c r="E56" s="86"/>
      <c r="F56" s="44">
        <f t="shared" si="93"/>
        <v>0</v>
      </c>
      <c r="G56" s="86"/>
      <c r="H56" s="86"/>
      <c r="I56" s="44">
        <f t="shared" si="94"/>
        <v>0</v>
      </c>
      <c r="J56" s="87"/>
      <c r="K56" s="88"/>
      <c r="L56" s="44">
        <f t="shared" si="95"/>
        <v>0</v>
      </c>
      <c r="M56" s="88"/>
      <c r="N56" s="88"/>
      <c r="O56" s="44">
        <f t="shared" si="96"/>
        <v>0</v>
      </c>
      <c r="P56" s="88"/>
      <c r="Q56" s="88"/>
      <c r="R56" s="44">
        <f t="shared" si="97"/>
        <v>0</v>
      </c>
      <c r="S56" s="88"/>
      <c r="T56" s="88"/>
      <c r="U56" s="44">
        <f t="shared" si="98"/>
        <v>0</v>
      </c>
      <c r="V56" s="88"/>
      <c r="W56" s="88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5"/>
      <c r="D57" s="86"/>
      <c r="E57" s="86"/>
      <c r="F57" s="44">
        <f t="shared" si="93"/>
        <v>0</v>
      </c>
      <c r="G57" s="86"/>
      <c r="H57" s="86"/>
      <c r="I57" s="44">
        <f t="shared" si="94"/>
        <v>0</v>
      </c>
      <c r="J57" s="87"/>
      <c r="K57" s="88"/>
      <c r="L57" s="44">
        <f t="shared" si="95"/>
        <v>0</v>
      </c>
      <c r="M57" s="88"/>
      <c r="N57" s="88"/>
      <c r="O57" s="44">
        <f t="shared" si="96"/>
        <v>0</v>
      </c>
      <c r="P57" s="88"/>
      <c r="Q57" s="88"/>
      <c r="R57" s="44">
        <f t="shared" si="97"/>
        <v>0</v>
      </c>
      <c r="S57" s="88"/>
      <c r="T57" s="88"/>
      <c r="U57" s="44">
        <f t="shared" si="98"/>
        <v>0</v>
      </c>
      <c r="V57" s="88"/>
      <c r="W57" s="88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5"/>
      <c r="D58" s="86"/>
      <c r="E58" s="86"/>
      <c r="F58" s="44">
        <f t="shared" si="93"/>
        <v>0</v>
      </c>
      <c r="G58" s="86"/>
      <c r="H58" s="86"/>
      <c r="I58" s="44">
        <f t="shared" si="94"/>
        <v>0</v>
      </c>
      <c r="J58" s="87"/>
      <c r="K58" s="88"/>
      <c r="L58" s="44">
        <f t="shared" si="95"/>
        <v>0</v>
      </c>
      <c r="M58" s="88"/>
      <c r="N58" s="88"/>
      <c r="O58" s="44">
        <f t="shared" si="96"/>
        <v>0</v>
      </c>
      <c r="P58" s="88"/>
      <c r="Q58" s="88"/>
      <c r="R58" s="44">
        <f t="shared" si="97"/>
        <v>0</v>
      </c>
      <c r="S58" s="88"/>
      <c r="T58" s="88"/>
      <c r="U58" s="44">
        <f t="shared" si="98"/>
        <v>0</v>
      </c>
      <c r="V58" s="88"/>
      <c r="W58" s="88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5"/>
      <c r="D59" s="86"/>
      <c r="E59" s="86"/>
      <c r="F59" s="44">
        <f t="shared" si="93"/>
        <v>0</v>
      </c>
      <c r="G59" s="86"/>
      <c r="H59" s="86"/>
      <c r="I59" s="44">
        <f t="shared" si="94"/>
        <v>0</v>
      </c>
      <c r="J59" s="87"/>
      <c r="K59" s="88"/>
      <c r="L59" s="44">
        <f t="shared" si="95"/>
        <v>0</v>
      </c>
      <c r="M59" s="88"/>
      <c r="N59" s="88"/>
      <c r="O59" s="44">
        <f t="shared" si="96"/>
        <v>0</v>
      </c>
      <c r="P59" s="88"/>
      <c r="Q59" s="88"/>
      <c r="R59" s="44">
        <f t="shared" si="97"/>
        <v>0</v>
      </c>
      <c r="S59" s="88"/>
      <c r="T59" s="88"/>
      <c r="U59" s="44">
        <f t="shared" si="98"/>
        <v>0</v>
      </c>
      <c r="V59" s="88"/>
      <c r="W59" s="88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5"/>
      <c r="D60" s="86"/>
      <c r="E60" s="86"/>
      <c r="F60" s="44">
        <f t="shared" si="77"/>
        <v>0</v>
      </c>
      <c r="G60" s="86"/>
      <c r="H60" s="86"/>
      <c r="I60" s="44">
        <f t="shared" si="78"/>
        <v>0</v>
      </c>
      <c r="J60" s="87"/>
      <c r="K60" s="88"/>
      <c r="L60" s="44">
        <f t="shared" si="79"/>
        <v>0</v>
      </c>
      <c r="M60" s="88"/>
      <c r="N60" s="88"/>
      <c r="O60" s="44">
        <f t="shared" si="80"/>
        <v>0</v>
      </c>
      <c r="P60" s="88"/>
      <c r="Q60" s="88"/>
      <c r="R60" s="44">
        <f t="shared" si="81"/>
        <v>0</v>
      </c>
      <c r="S60" s="88"/>
      <c r="T60" s="88"/>
      <c r="U60" s="44">
        <f t="shared" si="82"/>
        <v>0</v>
      </c>
      <c r="V60" s="88"/>
      <c r="W60" s="88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5"/>
      <c r="D61" s="86"/>
      <c r="E61" s="86"/>
      <c r="F61" s="44">
        <f t="shared" si="15"/>
        <v>0</v>
      </c>
      <c r="G61" s="86"/>
      <c r="H61" s="86"/>
      <c r="I61" s="44">
        <f t="shared" si="16"/>
        <v>0</v>
      </c>
      <c r="J61" s="87"/>
      <c r="K61" s="88"/>
      <c r="L61" s="44">
        <f t="shared" si="17"/>
        <v>0</v>
      </c>
      <c r="M61" s="88"/>
      <c r="N61" s="88"/>
      <c r="O61" s="44">
        <f t="shared" si="18"/>
        <v>0</v>
      </c>
      <c r="P61" s="88"/>
      <c r="Q61" s="88"/>
      <c r="R61" s="44">
        <f t="shared" si="19"/>
        <v>0</v>
      </c>
      <c r="S61" s="88"/>
      <c r="T61" s="88"/>
      <c r="U61" s="44">
        <f t="shared" si="20"/>
        <v>0</v>
      </c>
      <c r="V61" s="88"/>
      <c r="W61" s="88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5"/>
      <c r="D62" s="86"/>
      <c r="E62" s="86"/>
      <c r="F62" s="44">
        <f t="shared" si="15"/>
        <v>0</v>
      </c>
      <c r="G62" s="86"/>
      <c r="H62" s="86"/>
      <c r="I62" s="44">
        <f t="shared" si="16"/>
        <v>0</v>
      </c>
      <c r="J62" s="87"/>
      <c r="K62" s="88"/>
      <c r="L62" s="44">
        <f t="shared" si="17"/>
        <v>0</v>
      </c>
      <c r="M62" s="88"/>
      <c r="N62" s="88"/>
      <c r="O62" s="44">
        <f t="shared" si="18"/>
        <v>0</v>
      </c>
      <c r="P62" s="88"/>
      <c r="Q62" s="88"/>
      <c r="R62" s="44">
        <f t="shared" si="19"/>
        <v>0</v>
      </c>
      <c r="S62" s="88"/>
      <c r="T62" s="88"/>
      <c r="U62" s="44">
        <f t="shared" si="20"/>
        <v>0</v>
      </c>
      <c r="V62" s="88"/>
      <c r="W62" s="88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5"/>
      <c r="D63" s="86"/>
      <c r="E63" s="86"/>
      <c r="F63" s="44">
        <f t="shared" si="15"/>
        <v>0</v>
      </c>
      <c r="G63" s="86"/>
      <c r="H63" s="86"/>
      <c r="I63" s="44">
        <f t="shared" si="16"/>
        <v>0</v>
      </c>
      <c r="J63" s="87"/>
      <c r="K63" s="88"/>
      <c r="L63" s="44">
        <f t="shared" si="17"/>
        <v>0</v>
      </c>
      <c r="M63" s="88"/>
      <c r="N63" s="88"/>
      <c r="O63" s="44">
        <f t="shared" si="18"/>
        <v>0</v>
      </c>
      <c r="P63" s="88"/>
      <c r="Q63" s="88"/>
      <c r="R63" s="44">
        <f t="shared" si="19"/>
        <v>0</v>
      </c>
      <c r="S63" s="88"/>
      <c r="T63" s="88"/>
      <c r="U63" s="44">
        <f t="shared" si="20"/>
        <v>0</v>
      </c>
      <c r="V63" s="88"/>
      <c r="W63" s="88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5"/>
      <c r="D64" s="86"/>
      <c r="E64" s="86"/>
      <c r="F64" s="44">
        <f t="shared" si="15"/>
        <v>0</v>
      </c>
      <c r="G64" s="86"/>
      <c r="H64" s="86"/>
      <c r="I64" s="44">
        <f t="shared" si="16"/>
        <v>0</v>
      </c>
      <c r="J64" s="87"/>
      <c r="K64" s="88"/>
      <c r="L64" s="44">
        <f t="shared" si="17"/>
        <v>0</v>
      </c>
      <c r="M64" s="88"/>
      <c r="N64" s="88"/>
      <c r="O64" s="44">
        <f t="shared" si="18"/>
        <v>0</v>
      </c>
      <c r="P64" s="88"/>
      <c r="Q64" s="88"/>
      <c r="R64" s="44">
        <f t="shared" si="19"/>
        <v>0</v>
      </c>
      <c r="S64" s="88"/>
      <c r="T64" s="88"/>
      <c r="U64" s="44">
        <f t="shared" si="20"/>
        <v>0</v>
      </c>
      <c r="V64" s="88"/>
      <c r="W64" s="88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5"/>
      <c r="D65" s="86"/>
      <c r="E65" s="86"/>
      <c r="F65" s="44">
        <f t="shared" si="15"/>
        <v>0</v>
      </c>
      <c r="G65" s="86"/>
      <c r="H65" s="86"/>
      <c r="I65" s="44">
        <f t="shared" si="16"/>
        <v>0</v>
      </c>
      <c r="J65" s="87"/>
      <c r="K65" s="88"/>
      <c r="L65" s="44">
        <f t="shared" si="17"/>
        <v>0</v>
      </c>
      <c r="M65" s="88"/>
      <c r="N65" s="88"/>
      <c r="O65" s="44">
        <f t="shared" si="18"/>
        <v>0</v>
      </c>
      <c r="P65" s="88"/>
      <c r="Q65" s="88"/>
      <c r="R65" s="44">
        <f t="shared" si="19"/>
        <v>0</v>
      </c>
      <c r="S65" s="88"/>
      <c r="T65" s="88"/>
      <c r="U65" s="44">
        <f t="shared" si="20"/>
        <v>0</v>
      </c>
      <c r="V65" s="88"/>
      <c r="W65" s="88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5"/>
      <c r="D66" s="86"/>
      <c r="E66" s="86"/>
      <c r="F66" s="44">
        <f t="shared" si="15"/>
        <v>0</v>
      </c>
      <c r="G66" s="86"/>
      <c r="H66" s="86"/>
      <c r="I66" s="44">
        <f t="shared" si="16"/>
        <v>0</v>
      </c>
      <c r="J66" s="87"/>
      <c r="K66" s="88"/>
      <c r="L66" s="44">
        <f t="shared" si="17"/>
        <v>0</v>
      </c>
      <c r="M66" s="88"/>
      <c r="N66" s="88"/>
      <c r="O66" s="44">
        <f t="shared" si="18"/>
        <v>0</v>
      </c>
      <c r="P66" s="88"/>
      <c r="Q66" s="88"/>
      <c r="R66" s="44">
        <f t="shared" si="19"/>
        <v>0</v>
      </c>
      <c r="S66" s="88"/>
      <c r="T66" s="88"/>
      <c r="U66" s="44">
        <f t="shared" si="20"/>
        <v>0</v>
      </c>
      <c r="V66" s="88"/>
      <c r="W66" s="88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5"/>
      <c r="D67" s="86"/>
      <c r="E67" s="86"/>
      <c r="F67" s="44">
        <f t="shared" si="15"/>
        <v>0</v>
      </c>
      <c r="G67" s="86"/>
      <c r="H67" s="88"/>
      <c r="I67" s="44">
        <f t="shared" si="16"/>
        <v>0</v>
      </c>
      <c r="J67" s="87"/>
      <c r="K67" s="88"/>
      <c r="L67" s="44">
        <f t="shared" si="17"/>
        <v>0</v>
      </c>
      <c r="M67" s="88"/>
      <c r="N67" s="88"/>
      <c r="O67" s="44">
        <f t="shared" si="18"/>
        <v>0</v>
      </c>
      <c r="P67" s="88"/>
      <c r="Q67" s="88"/>
      <c r="R67" s="44">
        <f t="shared" si="19"/>
        <v>0</v>
      </c>
      <c r="S67" s="88"/>
      <c r="T67" s="88"/>
      <c r="U67" s="44">
        <f t="shared" si="20"/>
        <v>0</v>
      </c>
      <c r="V67" s="88"/>
      <c r="W67" s="88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5"/>
      <c r="D68" s="86"/>
      <c r="E68" s="86"/>
      <c r="F68" s="44">
        <f t="shared" si="15"/>
        <v>0</v>
      </c>
      <c r="G68" s="86"/>
      <c r="H68" s="86"/>
      <c r="I68" s="44">
        <f t="shared" si="16"/>
        <v>0</v>
      </c>
      <c r="J68" s="87"/>
      <c r="K68" s="88"/>
      <c r="L68" s="44">
        <f t="shared" si="17"/>
        <v>0</v>
      </c>
      <c r="M68" s="88"/>
      <c r="N68" s="88"/>
      <c r="O68" s="44">
        <f t="shared" si="18"/>
        <v>0</v>
      </c>
      <c r="P68" s="88"/>
      <c r="Q68" s="88"/>
      <c r="R68" s="44">
        <f t="shared" si="19"/>
        <v>0</v>
      </c>
      <c r="S68" s="88"/>
      <c r="T68" s="88"/>
      <c r="U68" s="44">
        <f t="shared" si="20"/>
        <v>0</v>
      </c>
      <c r="V68" s="88"/>
      <c r="W68" s="88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5"/>
      <c r="D69" s="86"/>
      <c r="E69" s="86"/>
      <c r="F69" s="44">
        <f t="shared" si="15"/>
        <v>0</v>
      </c>
      <c r="G69" s="86"/>
      <c r="H69" s="86"/>
      <c r="I69" s="44">
        <f t="shared" si="16"/>
        <v>0</v>
      </c>
      <c r="J69" s="87"/>
      <c r="K69" s="88"/>
      <c r="L69" s="44">
        <f t="shared" si="17"/>
        <v>0</v>
      </c>
      <c r="M69" s="88"/>
      <c r="N69" s="88"/>
      <c r="O69" s="44">
        <f t="shared" si="18"/>
        <v>0</v>
      </c>
      <c r="P69" s="88"/>
      <c r="Q69" s="88"/>
      <c r="R69" s="44">
        <f t="shared" si="19"/>
        <v>0</v>
      </c>
      <c r="S69" s="88"/>
      <c r="T69" s="88"/>
      <c r="U69" s="44">
        <f t="shared" si="20"/>
        <v>0</v>
      </c>
      <c r="V69" s="88"/>
      <c r="W69" s="88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5"/>
      <c r="D70" s="86"/>
      <c r="E70" s="86"/>
      <c r="F70" s="44">
        <f t="shared" ref="F70:F100" si="152">BA70-BB70</f>
        <v>0</v>
      </c>
      <c r="G70" s="86"/>
      <c r="H70" s="86"/>
      <c r="I70" s="44">
        <f t="shared" ref="I70:I100" si="153">BF70-BG70</f>
        <v>0</v>
      </c>
      <c r="J70" s="87"/>
      <c r="K70" s="88"/>
      <c r="L70" s="44">
        <f t="shared" ref="L70:L100" si="154">BK70-BL70</f>
        <v>0</v>
      </c>
      <c r="M70" s="88"/>
      <c r="N70" s="88"/>
      <c r="O70" s="44">
        <f t="shared" ref="O70:O100" si="155">BP70-BQ70</f>
        <v>0</v>
      </c>
      <c r="P70" s="88"/>
      <c r="Q70" s="88"/>
      <c r="R70" s="44">
        <f t="shared" ref="R70:R100" si="156">BU70-BV70</f>
        <v>0</v>
      </c>
      <c r="S70" s="88"/>
      <c r="T70" s="88"/>
      <c r="U70" s="44">
        <f t="shared" ref="U70:U100" si="157">BZ70-CA70</f>
        <v>0</v>
      </c>
      <c r="V70" s="88"/>
      <c r="W70" s="88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5"/>
      <c r="D71" s="86"/>
      <c r="E71" s="86"/>
      <c r="F71" s="44">
        <f t="shared" si="152"/>
        <v>0</v>
      </c>
      <c r="G71" s="86"/>
      <c r="H71" s="86"/>
      <c r="I71" s="44">
        <f t="shared" si="153"/>
        <v>0</v>
      </c>
      <c r="J71" s="87"/>
      <c r="K71" s="88"/>
      <c r="L71" s="44">
        <f t="shared" si="154"/>
        <v>0</v>
      </c>
      <c r="M71" s="88"/>
      <c r="N71" s="88"/>
      <c r="O71" s="44">
        <f t="shared" si="155"/>
        <v>0</v>
      </c>
      <c r="P71" s="88"/>
      <c r="Q71" s="88"/>
      <c r="R71" s="44">
        <f t="shared" si="156"/>
        <v>0</v>
      </c>
      <c r="S71" s="88"/>
      <c r="T71" s="88"/>
      <c r="U71" s="44">
        <f t="shared" si="157"/>
        <v>0</v>
      </c>
      <c r="V71" s="88"/>
      <c r="W71" s="88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5"/>
      <c r="D72" s="86"/>
      <c r="E72" s="86"/>
      <c r="F72" s="44">
        <f t="shared" si="152"/>
        <v>0</v>
      </c>
      <c r="G72" s="86"/>
      <c r="H72" s="86"/>
      <c r="I72" s="44">
        <f t="shared" si="153"/>
        <v>0</v>
      </c>
      <c r="J72" s="87"/>
      <c r="K72" s="88"/>
      <c r="L72" s="44">
        <f t="shared" si="154"/>
        <v>0</v>
      </c>
      <c r="M72" s="88"/>
      <c r="N72" s="88"/>
      <c r="O72" s="44">
        <f t="shared" si="155"/>
        <v>0</v>
      </c>
      <c r="P72" s="88"/>
      <c r="Q72" s="88"/>
      <c r="R72" s="44">
        <f t="shared" si="156"/>
        <v>0</v>
      </c>
      <c r="S72" s="88"/>
      <c r="T72" s="88"/>
      <c r="U72" s="44">
        <f t="shared" si="157"/>
        <v>0</v>
      </c>
      <c r="V72" s="88"/>
      <c r="W72" s="88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5"/>
      <c r="D73" s="86"/>
      <c r="E73" s="86"/>
      <c r="F73" s="44">
        <f t="shared" si="152"/>
        <v>0</v>
      </c>
      <c r="G73" s="86"/>
      <c r="H73" s="86"/>
      <c r="I73" s="44">
        <f t="shared" si="153"/>
        <v>0</v>
      </c>
      <c r="J73" s="87"/>
      <c r="K73" s="88"/>
      <c r="L73" s="44">
        <f t="shared" si="154"/>
        <v>0</v>
      </c>
      <c r="M73" s="88"/>
      <c r="N73" s="88"/>
      <c r="O73" s="44">
        <f t="shared" si="155"/>
        <v>0</v>
      </c>
      <c r="P73" s="88"/>
      <c r="Q73" s="88"/>
      <c r="R73" s="44">
        <f t="shared" si="156"/>
        <v>0</v>
      </c>
      <c r="S73" s="88"/>
      <c r="T73" s="88"/>
      <c r="U73" s="44">
        <f t="shared" si="157"/>
        <v>0</v>
      </c>
      <c r="V73" s="88"/>
      <c r="W73" s="88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5"/>
      <c r="D74" s="86"/>
      <c r="E74" s="86"/>
      <c r="F74" s="44">
        <f t="shared" si="152"/>
        <v>0</v>
      </c>
      <c r="G74" s="86"/>
      <c r="H74" s="86"/>
      <c r="I74" s="44">
        <f t="shared" si="153"/>
        <v>0</v>
      </c>
      <c r="J74" s="87"/>
      <c r="K74" s="88"/>
      <c r="L74" s="44">
        <f t="shared" si="154"/>
        <v>0</v>
      </c>
      <c r="M74" s="88"/>
      <c r="N74" s="88"/>
      <c r="O74" s="44">
        <f t="shared" si="155"/>
        <v>0</v>
      </c>
      <c r="P74" s="88"/>
      <c r="Q74" s="88"/>
      <c r="R74" s="44">
        <f t="shared" si="156"/>
        <v>0</v>
      </c>
      <c r="S74" s="88"/>
      <c r="T74" s="88"/>
      <c r="U74" s="44">
        <f t="shared" si="157"/>
        <v>0</v>
      </c>
      <c r="V74" s="88"/>
      <c r="W74" s="88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5"/>
      <c r="D75" s="86"/>
      <c r="E75" s="86"/>
      <c r="F75" s="44">
        <f t="shared" si="152"/>
        <v>0</v>
      </c>
      <c r="G75" s="86"/>
      <c r="H75" s="86"/>
      <c r="I75" s="44">
        <f t="shared" si="153"/>
        <v>0</v>
      </c>
      <c r="J75" s="87"/>
      <c r="K75" s="88"/>
      <c r="L75" s="44">
        <f t="shared" si="154"/>
        <v>0</v>
      </c>
      <c r="M75" s="88"/>
      <c r="N75" s="88"/>
      <c r="O75" s="44">
        <f t="shared" si="155"/>
        <v>0</v>
      </c>
      <c r="P75" s="88"/>
      <c r="Q75" s="88"/>
      <c r="R75" s="44">
        <f t="shared" si="156"/>
        <v>0</v>
      </c>
      <c r="S75" s="88"/>
      <c r="T75" s="88"/>
      <c r="U75" s="44">
        <f t="shared" si="157"/>
        <v>0</v>
      </c>
      <c r="V75" s="88"/>
      <c r="W75" s="88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5"/>
      <c r="D76" s="86"/>
      <c r="E76" s="86"/>
      <c r="F76" s="44">
        <f t="shared" si="152"/>
        <v>0</v>
      </c>
      <c r="G76" s="86"/>
      <c r="H76" s="86"/>
      <c r="I76" s="44">
        <f t="shared" si="153"/>
        <v>0</v>
      </c>
      <c r="J76" s="87"/>
      <c r="K76" s="88"/>
      <c r="L76" s="44">
        <f t="shared" si="154"/>
        <v>0</v>
      </c>
      <c r="M76" s="88"/>
      <c r="N76" s="88"/>
      <c r="O76" s="44">
        <f t="shared" si="155"/>
        <v>0</v>
      </c>
      <c r="P76" s="88"/>
      <c r="Q76" s="88"/>
      <c r="R76" s="44">
        <f t="shared" si="156"/>
        <v>0</v>
      </c>
      <c r="S76" s="88"/>
      <c r="T76" s="88"/>
      <c r="U76" s="44">
        <f t="shared" si="157"/>
        <v>0</v>
      </c>
      <c r="V76" s="88"/>
      <c r="W76" s="88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5"/>
      <c r="D77" s="86"/>
      <c r="E77" s="86"/>
      <c r="F77" s="44">
        <f t="shared" si="152"/>
        <v>0</v>
      </c>
      <c r="G77" s="86"/>
      <c r="H77" s="86"/>
      <c r="I77" s="44">
        <f t="shared" si="153"/>
        <v>0</v>
      </c>
      <c r="J77" s="87"/>
      <c r="K77" s="88"/>
      <c r="L77" s="44">
        <f t="shared" si="154"/>
        <v>0</v>
      </c>
      <c r="M77" s="88"/>
      <c r="N77" s="88"/>
      <c r="O77" s="44">
        <f t="shared" si="155"/>
        <v>0</v>
      </c>
      <c r="P77" s="88"/>
      <c r="Q77" s="88"/>
      <c r="R77" s="44">
        <f t="shared" si="156"/>
        <v>0</v>
      </c>
      <c r="S77" s="88"/>
      <c r="T77" s="88"/>
      <c r="U77" s="44">
        <f t="shared" si="157"/>
        <v>0</v>
      </c>
      <c r="V77" s="88"/>
      <c r="W77" s="88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5"/>
      <c r="D78" s="86"/>
      <c r="E78" s="86"/>
      <c r="F78" s="44">
        <f t="shared" si="152"/>
        <v>0</v>
      </c>
      <c r="G78" s="86"/>
      <c r="H78" s="86"/>
      <c r="I78" s="44">
        <f t="shared" si="153"/>
        <v>0</v>
      </c>
      <c r="J78" s="87"/>
      <c r="K78" s="88"/>
      <c r="L78" s="44">
        <f t="shared" si="154"/>
        <v>0</v>
      </c>
      <c r="M78" s="88"/>
      <c r="N78" s="88"/>
      <c r="O78" s="44">
        <f t="shared" si="155"/>
        <v>0</v>
      </c>
      <c r="P78" s="88"/>
      <c r="Q78" s="88"/>
      <c r="R78" s="44">
        <f t="shared" si="156"/>
        <v>0</v>
      </c>
      <c r="S78" s="88"/>
      <c r="T78" s="88"/>
      <c r="U78" s="44">
        <f t="shared" si="157"/>
        <v>0</v>
      </c>
      <c r="V78" s="88"/>
      <c r="W78" s="88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5"/>
      <c r="D79" s="86"/>
      <c r="E79" s="86"/>
      <c r="F79" s="44">
        <f t="shared" si="152"/>
        <v>0</v>
      </c>
      <c r="G79" s="86"/>
      <c r="H79" s="86"/>
      <c r="I79" s="44">
        <f t="shared" si="153"/>
        <v>0</v>
      </c>
      <c r="J79" s="87"/>
      <c r="K79" s="88"/>
      <c r="L79" s="44">
        <f t="shared" si="154"/>
        <v>0</v>
      </c>
      <c r="M79" s="88"/>
      <c r="N79" s="88"/>
      <c r="O79" s="44">
        <f t="shared" si="155"/>
        <v>0</v>
      </c>
      <c r="P79" s="88"/>
      <c r="Q79" s="88"/>
      <c r="R79" s="44">
        <f t="shared" si="156"/>
        <v>0</v>
      </c>
      <c r="S79" s="88"/>
      <c r="T79" s="88"/>
      <c r="U79" s="44">
        <f t="shared" si="157"/>
        <v>0</v>
      </c>
      <c r="V79" s="88"/>
      <c r="W79" s="88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5"/>
      <c r="D80" s="86"/>
      <c r="E80" s="86"/>
      <c r="F80" s="44">
        <f t="shared" si="152"/>
        <v>0</v>
      </c>
      <c r="G80" s="86"/>
      <c r="H80" s="86"/>
      <c r="I80" s="44">
        <f t="shared" si="153"/>
        <v>0</v>
      </c>
      <c r="J80" s="87"/>
      <c r="K80" s="88"/>
      <c r="L80" s="44">
        <f t="shared" si="154"/>
        <v>0</v>
      </c>
      <c r="M80" s="88"/>
      <c r="N80" s="88"/>
      <c r="O80" s="44">
        <f t="shared" si="155"/>
        <v>0</v>
      </c>
      <c r="P80" s="88"/>
      <c r="Q80" s="88"/>
      <c r="R80" s="44">
        <f t="shared" si="156"/>
        <v>0</v>
      </c>
      <c r="S80" s="88"/>
      <c r="T80" s="88"/>
      <c r="U80" s="44">
        <f t="shared" si="157"/>
        <v>0</v>
      </c>
      <c r="V80" s="88"/>
      <c r="W80" s="88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5"/>
      <c r="D81" s="86"/>
      <c r="E81" s="86"/>
      <c r="F81" s="44">
        <f t="shared" si="152"/>
        <v>0</v>
      </c>
      <c r="G81" s="86"/>
      <c r="H81" s="86"/>
      <c r="I81" s="44">
        <f t="shared" si="153"/>
        <v>0</v>
      </c>
      <c r="J81" s="87"/>
      <c r="K81" s="88"/>
      <c r="L81" s="44">
        <f t="shared" si="154"/>
        <v>0</v>
      </c>
      <c r="M81" s="88"/>
      <c r="N81" s="88"/>
      <c r="O81" s="44">
        <f t="shared" si="155"/>
        <v>0</v>
      </c>
      <c r="P81" s="88"/>
      <c r="Q81" s="88"/>
      <c r="R81" s="44">
        <f t="shared" si="156"/>
        <v>0</v>
      </c>
      <c r="S81" s="88"/>
      <c r="T81" s="88"/>
      <c r="U81" s="44">
        <f t="shared" si="157"/>
        <v>0</v>
      </c>
      <c r="V81" s="88"/>
      <c r="W81" s="88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5"/>
      <c r="D82" s="86"/>
      <c r="E82" s="86"/>
      <c r="F82" s="44">
        <f t="shared" si="152"/>
        <v>0</v>
      </c>
      <c r="G82" s="86"/>
      <c r="H82" s="86"/>
      <c r="I82" s="44">
        <f t="shared" si="153"/>
        <v>0</v>
      </c>
      <c r="J82" s="87"/>
      <c r="K82" s="88"/>
      <c r="L82" s="44">
        <f t="shared" si="154"/>
        <v>0</v>
      </c>
      <c r="M82" s="88"/>
      <c r="N82" s="88"/>
      <c r="O82" s="44">
        <f t="shared" si="155"/>
        <v>0</v>
      </c>
      <c r="P82" s="88"/>
      <c r="Q82" s="88"/>
      <c r="R82" s="44">
        <f t="shared" si="156"/>
        <v>0</v>
      </c>
      <c r="S82" s="88"/>
      <c r="T82" s="88"/>
      <c r="U82" s="44">
        <f t="shared" si="157"/>
        <v>0</v>
      </c>
      <c r="V82" s="88"/>
      <c r="W82" s="88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5"/>
      <c r="D83" s="86"/>
      <c r="E83" s="86"/>
      <c r="F83" s="44">
        <f t="shared" si="152"/>
        <v>0</v>
      </c>
      <c r="G83" s="86"/>
      <c r="H83" s="86"/>
      <c r="I83" s="44">
        <f t="shared" si="153"/>
        <v>0</v>
      </c>
      <c r="J83" s="87"/>
      <c r="K83" s="88"/>
      <c r="L83" s="44">
        <f t="shared" si="154"/>
        <v>0</v>
      </c>
      <c r="M83" s="88"/>
      <c r="N83" s="88"/>
      <c r="O83" s="44">
        <f t="shared" si="155"/>
        <v>0</v>
      </c>
      <c r="P83" s="88"/>
      <c r="Q83" s="88"/>
      <c r="R83" s="44">
        <f t="shared" si="156"/>
        <v>0</v>
      </c>
      <c r="S83" s="88"/>
      <c r="T83" s="88"/>
      <c r="U83" s="44">
        <f t="shared" si="157"/>
        <v>0</v>
      </c>
      <c r="V83" s="88"/>
      <c r="W83" s="88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5"/>
      <c r="D84" s="86"/>
      <c r="E84" s="86"/>
      <c r="F84" s="44">
        <f t="shared" si="152"/>
        <v>0</v>
      </c>
      <c r="G84" s="86"/>
      <c r="H84" s="86"/>
      <c r="I84" s="44">
        <f t="shared" si="153"/>
        <v>0</v>
      </c>
      <c r="J84" s="87"/>
      <c r="K84" s="88"/>
      <c r="L84" s="44">
        <f t="shared" si="154"/>
        <v>0</v>
      </c>
      <c r="M84" s="88"/>
      <c r="N84" s="88"/>
      <c r="O84" s="44">
        <f t="shared" si="155"/>
        <v>0</v>
      </c>
      <c r="P84" s="88"/>
      <c r="Q84" s="88"/>
      <c r="R84" s="44">
        <f t="shared" si="156"/>
        <v>0</v>
      </c>
      <c r="S84" s="88"/>
      <c r="T84" s="88"/>
      <c r="U84" s="44">
        <f t="shared" si="157"/>
        <v>0</v>
      </c>
      <c r="V84" s="88"/>
      <c r="W84" s="88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5"/>
      <c r="D85" s="86"/>
      <c r="E85" s="86"/>
      <c r="F85" s="44">
        <f t="shared" si="152"/>
        <v>0</v>
      </c>
      <c r="G85" s="86"/>
      <c r="H85" s="86"/>
      <c r="I85" s="44">
        <f t="shared" si="153"/>
        <v>0</v>
      </c>
      <c r="J85" s="87"/>
      <c r="K85" s="88"/>
      <c r="L85" s="44">
        <f t="shared" si="154"/>
        <v>0</v>
      </c>
      <c r="M85" s="88"/>
      <c r="N85" s="88"/>
      <c r="O85" s="44">
        <f t="shared" si="155"/>
        <v>0</v>
      </c>
      <c r="P85" s="88"/>
      <c r="Q85" s="88"/>
      <c r="R85" s="44">
        <f t="shared" si="156"/>
        <v>0</v>
      </c>
      <c r="S85" s="88"/>
      <c r="T85" s="88"/>
      <c r="U85" s="44">
        <f t="shared" si="157"/>
        <v>0</v>
      </c>
      <c r="V85" s="88"/>
      <c r="W85" s="88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5"/>
      <c r="D86" s="86"/>
      <c r="E86" s="86"/>
      <c r="F86" s="44">
        <f t="shared" si="152"/>
        <v>0</v>
      </c>
      <c r="G86" s="86"/>
      <c r="H86" s="86"/>
      <c r="I86" s="44">
        <f t="shared" si="153"/>
        <v>0</v>
      </c>
      <c r="J86" s="87"/>
      <c r="K86" s="88"/>
      <c r="L86" s="44">
        <f t="shared" si="154"/>
        <v>0</v>
      </c>
      <c r="M86" s="88"/>
      <c r="N86" s="88"/>
      <c r="O86" s="44">
        <f t="shared" si="155"/>
        <v>0</v>
      </c>
      <c r="P86" s="88"/>
      <c r="Q86" s="88"/>
      <c r="R86" s="44">
        <f t="shared" si="156"/>
        <v>0</v>
      </c>
      <c r="S86" s="88"/>
      <c r="T86" s="88"/>
      <c r="U86" s="44">
        <f t="shared" si="157"/>
        <v>0</v>
      </c>
      <c r="V86" s="88"/>
      <c r="W86" s="88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5"/>
      <c r="D87" s="86"/>
      <c r="E87" s="86"/>
      <c r="F87" s="44">
        <f t="shared" si="152"/>
        <v>0</v>
      </c>
      <c r="G87" s="86"/>
      <c r="H87" s="86"/>
      <c r="I87" s="44">
        <f t="shared" si="153"/>
        <v>0</v>
      </c>
      <c r="J87" s="87"/>
      <c r="K87" s="88"/>
      <c r="L87" s="44">
        <f t="shared" si="154"/>
        <v>0</v>
      </c>
      <c r="M87" s="88"/>
      <c r="N87" s="88"/>
      <c r="O87" s="44">
        <f t="shared" si="155"/>
        <v>0</v>
      </c>
      <c r="P87" s="88"/>
      <c r="Q87" s="88"/>
      <c r="R87" s="44">
        <f t="shared" si="156"/>
        <v>0</v>
      </c>
      <c r="S87" s="88"/>
      <c r="T87" s="88"/>
      <c r="U87" s="44">
        <f t="shared" si="157"/>
        <v>0</v>
      </c>
      <c r="V87" s="88"/>
      <c r="W87" s="88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5"/>
      <c r="D88" s="86"/>
      <c r="E88" s="86"/>
      <c r="F88" s="44">
        <f t="shared" si="152"/>
        <v>0</v>
      </c>
      <c r="G88" s="86"/>
      <c r="H88" s="86"/>
      <c r="I88" s="44">
        <f t="shared" si="153"/>
        <v>0</v>
      </c>
      <c r="J88" s="87"/>
      <c r="K88" s="88"/>
      <c r="L88" s="44">
        <f t="shared" si="154"/>
        <v>0</v>
      </c>
      <c r="M88" s="88"/>
      <c r="N88" s="88"/>
      <c r="O88" s="44">
        <f t="shared" si="155"/>
        <v>0</v>
      </c>
      <c r="P88" s="88"/>
      <c r="Q88" s="88"/>
      <c r="R88" s="44">
        <f t="shared" si="156"/>
        <v>0</v>
      </c>
      <c r="S88" s="88"/>
      <c r="T88" s="88"/>
      <c r="U88" s="44">
        <f t="shared" si="157"/>
        <v>0</v>
      </c>
      <c r="V88" s="88"/>
      <c r="W88" s="88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5"/>
      <c r="D89" s="86"/>
      <c r="E89" s="86"/>
      <c r="F89" s="44">
        <f t="shared" si="152"/>
        <v>0</v>
      </c>
      <c r="G89" s="86"/>
      <c r="H89" s="86"/>
      <c r="I89" s="44">
        <f t="shared" si="153"/>
        <v>0</v>
      </c>
      <c r="J89" s="87"/>
      <c r="K89" s="88"/>
      <c r="L89" s="44">
        <f t="shared" si="154"/>
        <v>0</v>
      </c>
      <c r="M89" s="88"/>
      <c r="N89" s="88"/>
      <c r="O89" s="44">
        <f t="shared" si="155"/>
        <v>0</v>
      </c>
      <c r="P89" s="88"/>
      <c r="Q89" s="88"/>
      <c r="R89" s="44">
        <f t="shared" si="156"/>
        <v>0</v>
      </c>
      <c r="S89" s="88"/>
      <c r="T89" s="88"/>
      <c r="U89" s="44">
        <f t="shared" si="157"/>
        <v>0</v>
      </c>
      <c r="V89" s="88"/>
      <c r="W89" s="88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5"/>
      <c r="D90" s="86"/>
      <c r="E90" s="86"/>
      <c r="F90" s="44">
        <f t="shared" si="152"/>
        <v>0</v>
      </c>
      <c r="G90" s="86"/>
      <c r="H90" s="86"/>
      <c r="I90" s="44">
        <f t="shared" si="153"/>
        <v>0</v>
      </c>
      <c r="J90" s="87"/>
      <c r="K90" s="88"/>
      <c r="L90" s="44">
        <f t="shared" si="154"/>
        <v>0</v>
      </c>
      <c r="M90" s="88"/>
      <c r="N90" s="88"/>
      <c r="O90" s="44">
        <f t="shared" si="155"/>
        <v>0</v>
      </c>
      <c r="P90" s="88"/>
      <c r="Q90" s="88"/>
      <c r="R90" s="44">
        <f t="shared" si="156"/>
        <v>0</v>
      </c>
      <c r="S90" s="88"/>
      <c r="T90" s="88"/>
      <c r="U90" s="44">
        <f t="shared" si="157"/>
        <v>0</v>
      </c>
      <c r="V90" s="88"/>
      <c r="W90" s="88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5"/>
      <c r="D91" s="86"/>
      <c r="E91" s="86"/>
      <c r="F91" s="44">
        <f t="shared" si="152"/>
        <v>0</v>
      </c>
      <c r="G91" s="86"/>
      <c r="H91" s="86"/>
      <c r="I91" s="44">
        <f t="shared" si="153"/>
        <v>0</v>
      </c>
      <c r="J91" s="87"/>
      <c r="K91" s="88"/>
      <c r="L91" s="44">
        <f t="shared" si="154"/>
        <v>0</v>
      </c>
      <c r="M91" s="88"/>
      <c r="N91" s="88"/>
      <c r="O91" s="44">
        <f t="shared" si="155"/>
        <v>0</v>
      </c>
      <c r="P91" s="88"/>
      <c r="Q91" s="88"/>
      <c r="R91" s="44">
        <f t="shared" si="156"/>
        <v>0</v>
      </c>
      <c r="S91" s="88"/>
      <c r="T91" s="88"/>
      <c r="U91" s="44">
        <f t="shared" si="157"/>
        <v>0</v>
      </c>
      <c r="V91" s="88"/>
      <c r="W91" s="88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5"/>
      <c r="D92" s="86"/>
      <c r="E92" s="86"/>
      <c r="F92" s="44">
        <f t="shared" si="152"/>
        <v>0</v>
      </c>
      <c r="G92" s="86"/>
      <c r="H92" s="86"/>
      <c r="I92" s="44">
        <f t="shared" si="153"/>
        <v>0</v>
      </c>
      <c r="J92" s="87"/>
      <c r="K92" s="88"/>
      <c r="L92" s="44">
        <f t="shared" si="154"/>
        <v>0</v>
      </c>
      <c r="M92" s="88"/>
      <c r="N92" s="88"/>
      <c r="O92" s="44">
        <f t="shared" si="155"/>
        <v>0</v>
      </c>
      <c r="P92" s="88"/>
      <c r="Q92" s="88"/>
      <c r="R92" s="44">
        <f t="shared" si="156"/>
        <v>0</v>
      </c>
      <c r="S92" s="88"/>
      <c r="T92" s="88"/>
      <c r="U92" s="44">
        <f t="shared" si="157"/>
        <v>0</v>
      </c>
      <c r="V92" s="88"/>
      <c r="W92" s="88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5"/>
      <c r="D93" s="86"/>
      <c r="E93" s="86"/>
      <c r="F93" s="44">
        <f t="shared" si="152"/>
        <v>0</v>
      </c>
      <c r="G93" s="86"/>
      <c r="H93" s="86"/>
      <c r="I93" s="44">
        <f t="shared" si="153"/>
        <v>0</v>
      </c>
      <c r="J93" s="87"/>
      <c r="K93" s="88"/>
      <c r="L93" s="44">
        <f t="shared" si="154"/>
        <v>0</v>
      </c>
      <c r="M93" s="88"/>
      <c r="N93" s="88"/>
      <c r="O93" s="44">
        <f t="shared" si="155"/>
        <v>0</v>
      </c>
      <c r="P93" s="88"/>
      <c r="Q93" s="88"/>
      <c r="R93" s="44">
        <f t="shared" si="156"/>
        <v>0</v>
      </c>
      <c r="S93" s="88"/>
      <c r="T93" s="88"/>
      <c r="U93" s="44">
        <f t="shared" si="157"/>
        <v>0</v>
      </c>
      <c r="V93" s="88"/>
      <c r="W93" s="88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5"/>
      <c r="D94" s="86"/>
      <c r="E94" s="86"/>
      <c r="F94" s="44">
        <f t="shared" si="152"/>
        <v>0</v>
      </c>
      <c r="G94" s="86"/>
      <c r="H94" s="86"/>
      <c r="I94" s="44">
        <f t="shared" si="153"/>
        <v>0</v>
      </c>
      <c r="J94" s="87"/>
      <c r="K94" s="88"/>
      <c r="L94" s="44">
        <f t="shared" si="154"/>
        <v>0</v>
      </c>
      <c r="M94" s="88"/>
      <c r="N94" s="88"/>
      <c r="O94" s="44">
        <f t="shared" si="155"/>
        <v>0</v>
      </c>
      <c r="P94" s="88"/>
      <c r="Q94" s="88"/>
      <c r="R94" s="44">
        <f t="shared" si="156"/>
        <v>0</v>
      </c>
      <c r="S94" s="88"/>
      <c r="T94" s="88"/>
      <c r="U94" s="44">
        <f t="shared" si="157"/>
        <v>0</v>
      </c>
      <c r="V94" s="88"/>
      <c r="W94" s="88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5"/>
      <c r="D95" s="86"/>
      <c r="E95" s="86"/>
      <c r="F95" s="44">
        <f t="shared" si="152"/>
        <v>0</v>
      </c>
      <c r="G95" s="86"/>
      <c r="H95" s="86"/>
      <c r="I95" s="44">
        <f t="shared" si="153"/>
        <v>0</v>
      </c>
      <c r="J95" s="87"/>
      <c r="K95" s="88"/>
      <c r="L95" s="44">
        <f t="shared" si="154"/>
        <v>0</v>
      </c>
      <c r="M95" s="88"/>
      <c r="N95" s="88"/>
      <c r="O95" s="44">
        <f t="shared" si="155"/>
        <v>0</v>
      </c>
      <c r="P95" s="88"/>
      <c r="Q95" s="88"/>
      <c r="R95" s="44">
        <f t="shared" si="156"/>
        <v>0</v>
      </c>
      <c r="S95" s="88"/>
      <c r="T95" s="88"/>
      <c r="U95" s="44">
        <f t="shared" si="157"/>
        <v>0</v>
      </c>
      <c r="V95" s="88"/>
      <c r="W95" s="88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5"/>
      <c r="D96" s="86"/>
      <c r="E96" s="86"/>
      <c r="F96" s="44">
        <f t="shared" si="152"/>
        <v>0</v>
      </c>
      <c r="G96" s="86"/>
      <c r="H96" s="86"/>
      <c r="I96" s="44">
        <f t="shared" si="153"/>
        <v>0</v>
      </c>
      <c r="J96" s="87"/>
      <c r="K96" s="88"/>
      <c r="L96" s="44">
        <f t="shared" si="154"/>
        <v>0</v>
      </c>
      <c r="M96" s="88"/>
      <c r="N96" s="88"/>
      <c r="O96" s="44">
        <f t="shared" si="155"/>
        <v>0</v>
      </c>
      <c r="P96" s="88"/>
      <c r="Q96" s="88"/>
      <c r="R96" s="44">
        <f t="shared" si="156"/>
        <v>0</v>
      </c>
      <c r="S96" s="88"/>
      <c r="T96" s="88"/>
      <c r="U96" s="44">
        <f t="shared" si="157"/>
        <v>0</v>
      </c>
      <c r="V96" s="88"/>
      <c r="W96" s="88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5"/>
      <c r="D97" s="86"/>
      <c r="E97" s="86"/>
      <c r="F97" s="44">
        <f t="shared" si="152"/>
        <v>0</v>
      </c>
      <c r="G97" s="86"/>
      <c r="H97" s="86"/>
      <c r="I97" s="44">
        <f t="shared" si="153"/>
        <v>0</v>
      </c>
      <c r="J97" s="87"/>
      <c r="K97" s="88"/>
      <c r="L97" s="44">
        <f t="shared" si="154"/>
        <v>0</v>
      </c>
      <c r="M97" s="88"/>
      <c r="N97" s="88"/>
      <c r="O97" s="44">
        <f t="shared" si="155"/>
        <v>0</v>
      </c>
      <c r="P97" s="88"/>
      <c r="Q97" s="88"/>
      <c r="R97" s="44">
        <f t="shared" si="156"/>
        <v>0</v>
      </c>
      <c r="S97" s="88"/>
      <c r="T97" s="88"/>
      <c r="U97" s="44">
        <f t="shared" si="157"/>
        <v>0</v>
      </c>
      <c r="V97" s="88"/>
      <c r="W97" s="88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5"/>
      <c r="D98" s="86"/>
      <c r="E98" s="86"/>
      <c r="F98" s="44">
        <f t="shared" si="152"/>
        <v>0</v>
      </c>
      <c r="G98" s="86"/>
      <c r="H98" s="86"/>
      <c r="I98" s="44">
        <f t="shared" si="153"/>
        <v>0</v>
      </c>
      <c r="J98" s="87"/>
      <c r="K98" s="88"/>
      <c r="L98" s="44">
        <f t="shared" si="154"/>
        <v>0</v>
      </c>
      <c r="M98" s="88"/>
      <c r="N98" s="88"/>
      <c r="O98" s="44">
        <f t="shared" si="155"/>
        <v>0</v>
      </c>
      <c r="P98" s="88"/>
      <c r="Q98" s="88"/>
      <c r="R98" s="44">
        <f t="shared" si="156"/>
        <v>0</v>
      </c>
      <c r="S98" s="88"/>
      <c r="T98" s="88"/>
      <c r="U98" s="44">
        <f t="shared" si="157"/>
        <v>0</v>
      </c>
      <c r="V98" s="88"/>
      <c r="W98" s="88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5"/>
      <c r="D99" s="86"/>
      <c r="E99" s="86"/>
      <c r="F99" s="44">
        <f t="shared" si="152"/>
        <v>0</v>
      </c>
      <c r="G99" s="86"/>
      <c r="H99" s="86"/>
      <c r="I99" s="44">
        <f t="shared" si="153"/>
        <v>0</v>
      </c>
      <c r="J99" s="87"/>
      <c r="K99" s="88"/>
      <c r="L99" s="44">
        <f t="shared" si="154"/>
        <v>0</v>
      </c>
      <c r="M99" s="88"/>
      <c r="N99" s="88"/>
      <c r="O99" s="44">
        <f t="shared" si="155"/>
        <v>0</v>
      </c>
      <c r="P99" s="88"/>
      <c r="Q99" s="88"/>
      <c r="R99" s="44">
        <f t="shared" si="156"/>
        <v>0</v>
      </c>
      <c r="S99" s="88"/>
      <c r="T99" s="88"/>
      <c r="U99" s="44">
        <f t="shared" si="157"/>
        <v>0</v>
      </c>
      <c r="V99" s="88"/>
      <c r="W99" s="88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5"/>
      <c r="D100" s="86"/>
      <c r="E100" s="86"/>
      <c r="F100" s="44">
        <f t="shared" si="152"/>
        <v>0</v>
      </c>
      <c r="G100" s="86"/>
      <c r="H100" s="86"/>
      <c r="I100" s="44">
        <f t="shared" si="153"/>
        <v>0</v>
      </c>
      <c r="J100" s="87"/>
      <c r="K100" s="88"/>
      <c r="L100" s="44">
        <f t="shared" si="154"/>
        <v>0</v>
      </c>
      <c r="M100" s="88"/>
      <c r="N100" s="88"/>
      <c r="O100" s="44">
        <f t="shared" si="155"/>
        <v>0</v>
      </c>
      <c r="P100" s="88"/>
      <c r="Q100" s="88"/>
      <c r="R100" s="44">
        <f t="shared" si="156"/>
        <v>0</v>
      </c>
      <c r="S100" s="88"/>
      <c r="T100" s="88"/>
      <c r="U100" s="44">
        <f t="shared" si="157"/>
        <v>0</v>
      </c>
      <c r="V100" s="88"/>
      <c r="W100" s="88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50" zoomScaleNormal="50" workbookViewId="0">
      <pane xSplit="3" ySplit="1" topLeftCell="P2" activePane="bottomRight" state="frozen"/>
      <selection pane="topRight" activeCell="D1" sqref="D1"/>
      <selection pane="bottomLeft" activeCell="A2" sqref="A2"/>
      <selection pane="bottomRight" activeCell="AR9" sqref="AR9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46048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Pub</v>
      </c>
      <c r="G1" s="71">
        <f>D1+1</f>
        <v>46049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46050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46051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46052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46053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46054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46055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10015</v>
      </c>
      <c r="B2" s="81">
        <v>501</v>
      </c>
      <c r="C2" s="96" t="s">
        <v>353</v>
      </c>
      <c r="D2" s="75"/>
      <c r="E2" s="75"/>
      <c r="F2" s="89">
        <f>BA2-BB2</f>
        <v>0</v>
      </c>
      <c r="G2" s="75"/>
      <c r="H2" s="76"/>
      <c r="I2" s="89">
        <f>BF2-BG2</f>
        <v>0</v>
      </c>
      <c r="J2" s="75"/>
      <c r="K2" s="76"/>
      <c r="L2" s="89">
        <f>BK2-BL2</f>
        <v>0</v>
      </c>
      <c r="M2" s="75"/>
      <c r="N2" s="76"/>
      <c r="O2" s="89">
        <f>BP2-BQ2</f>
        <v>0</v>
      </c>
      <c r="P2" s="75"/>
      <c r="Q2" s="76"/>
      <c r="R2" s="89">
        <f>BU2-BV2</f>
        <v>0</v>
      </c>
      <c r="S2" s="75"/>
      <c r="T2" s="75"/>
      <c r="U2" s="89">
        <f>BZ2-CA2</f>
        <v>0</v>
      </c>
      <c r="V2" s="75"/>
      <c r="W2" s="76"/>
      <c r="X2" s="89">
        <f>CE2-CF2</f>
        <v>0</v>
      </c>
      <c r="Y2" s="89"/>
      <c r="Z2" s="89"/>
      <c r="AA2" s="89"/>
      <c r="AB2" s="93">
        <f>SUM(F2,I2,L2,O2,R2,U2,X2)</f>
        <v>0</v>
      </c>
      <c r="AC2" s="90"/>
      <c r="AD2" s="78">
        <v>3</v>
      </c>
      <c r="AE2" s="91">
        <f>SUMIF($BC$1:$CI$1,AE$1,$BC2:$CI2)+AD2</f>
        <v>3</v>
      </c>
      <c r="AF2" s="78"/>
      <c r="AG2" s="91">
        <f>SUMIF($BC$1:$CI$1,AG$1,$BC2:$CI2)+AF2</f>
        <v>0</v>
      </c>
      <c r="AH2" s="78"/>
      <c r="AI2" s="91">
        <f>SUMIF($BC$1:$CI$1,AI$1,$BC2:$CI2)+AH2</f>
        <v>0</v>
      </c>
      <c r="AJ2" s="77"/>
      <c r="AK2" s="91">
        <f>SUMIF($BC$1:$CI$1,AK$1,$BC2:$CI2)+AJ2</f>
        <v>0</v>
      </c>
      <c r="AL2" s="78"/>
      <c r="AM2" s="91">
        <f>SUMIF($BC$1:$CI$1,AM$1,$BC2:$CI2)+AL2</f>
        <v>0</v>
      </c>
      <c r="AN2" s="77"/>
      <c r="AO2" s="91">
        <f>SUMIF($BC$1:$CI$1,AO$1,$BC2:$CI2)+AN2</f>
        <v>0</v>
      </c>
      <c r="AP2" s="92">
        <f>CK2</f>
        <v>0</v>
      </c>
      <c r="AQ2" s="77"/>
      <c r="AR2" s="77">
        <v>35</v>
      </c>
      <c r="AS2" s="77"/>
      <c r="AT2" s="63">
        <f>AE2+AG2+AI2+AK2+AM2+AO2+SUM(AQ2:AS2)</f>
        <v>38</v>
      </c>
      <c r="AU2" s="78"/>
      <c r="AV2" s="5"/>
      <c r="AW2" s="5"/>
      <c r="AX2" s="5"/>
      <c r="AY2" s="5"/>
      <c r="AZ2" s="24">
        <f>VLOOKUP(C2,Employees!D:I,6,FALSE)</f>
        <v>10015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0</v>
      </c>
    </row>
    <row r="3" spans="1:89" ht="47" customHeight="1">
      <c r="A3" s="74">
        <f t="shared" si="0"/>
        <v>10160</v>
      </c>
      <c r="B3" s="81">
        <v>501</v>
      </c>
      <c r="C3" s="97" t="s">
        <v>1516</v>
      </c>
      <c r="D3" s="75">
        <v>0.5</v>
      </c>
      <c r="E3" s="75">
        <v>0.70833333333333337</v>
      </c>
      <c r="F3" s="89">
        <f t="shared" ref="F3:F74" si="9">BA3-BB3</f>
        <v>5.0000000000000009</v>
      </c>
      <c r="G3" s="75"/>
      <c r="H3" s="75"/>
      <c r="I3" s="89">
        <f t="shared" ref="I3:I74" si="10">BF3-BG3</f>
        <v>0</v>
      </c>
      <c r="J3" s="75"/>
      <c r="K3" s="75"/>
      <c r="L3" s="89">
        <f t="shared" ref="L3:L74" si="11">BK3-BL3</f>
        <v>0</v>
      </c>
      <c r="M3" s="75">
        <v>0.58333333333333337</v>
      </c>
      <c r="N3" s="75">
        <v>1.0090277777777779</v>
      </c>
      <c r="O3" s="89">
        <f t="shared" ref="O3:O74" si="12">BP3-BQ3</f>
        <v>9.2166666666666686</v>
      </c>
      <c r="P3" s="84">
        <v>0.70833333333333337</v>
      </c>
      <c r="Q3" s="84">
        <v>0.97916666666666663</v>
      </c>
      <c r="R3" s="89">
        <f t="shared" ref="R3:R74" si="13">BU3-BV3</f>
        <v>5.9999999999999982</v>
      </c>
      <c r="S3" s="84">
        <v>0.70833333333333337</v>
      </c>
      <c r="T3" s="75">
        <v>1.0055555555555555</v>
      </c>
      <c r="U3" s="89">
        <f t="shared" ref="U3:U74" si="14">BZ3-CA3</f>
        <v>6.633333333333332</v>
      </c>
      <c r="V3" s="75">
        <v>0.58333333333333337</v>
      </c>
      <c r="W3" s="75">
        <v>1.0048611111111112</v>
      </c>
      <c r="X3" s="89">
        <f t="shared" ref="X3:X74" si="15">CE3-CF3</f>
        <v>9.1166666666666671</v>
      </c>
      <c r="Y3" s="89"/>
      <c r="Z3" s="89"/>
      <c r="AA3" s="89"/>
      <c r="AB3" s="93">
        <f t="shared" ref="AB3:AB74" si="16">SUM(F3,I3,L3,O3,R3,U3,X3)</f>
        <v>35.966666666666669</v>
      </c>
      <c r="AC3" s="90"/>
      <c r="AD3" s="78"/>
      <c r="AE3" s="91">
        <f t="shared" ref="AE3:AE74" si="17">SUMIF($BC$1:$CI$1,AE$1,$BC3:$CI3)+AD3</f>
        <v>11.499999999999996</v>
      </c>
      <c r="AF3" s="78"/>
      <c r="AG3" s="91">
        <f t="shared" ref="AG3:AG74" si="18">SUMIF($BC$1:$CI$1,AG$1,$BC3:$CI3)+AF3</f>
        <v>6.4999999999999991</v>
      </c>
      <c r="AH3" s="78"/>
      <c r="AI3" s="91">
        <f t="shared" ref="AI3:AI74" si="19">SUMIF($BC$1:$CI$1,AI$1,$BC3:$CI3)+AH3</f>
        <v>9.1333333333333311</v>
      </c>
      <c r="AJ3" s="77"/>
      <c r="AK3" s="91">
        <f t="shared" ref="AK3:AK74" si="20">SUMIF($BC$1:$CI$1,AK$1,$BC3:$CI3)+AJ3</f>
        <v>5.0000000000000009</v>
      </c>
      <c r="AL3" s="78"/>
      <c r="AM3" s="91">
        <f t="shared" ref="AM3:AM74" si="21">SUMIF($BC$1:$CI$1,AM$1,$BC3:$CI3)+AL3</f>
        <v>3.5000000000000009</v>
      </c>
      <c r="AN3" s="77"/>
      <c r="AO3" s="91">
        <f t="shared" ref="AO3:AO74" si="22">SUMIF($BC$1:$CI$1,AO$1,$BC3:$CI3)+AN3</f>
        <v>0.33333333333333748</v>
      </c>
      <c r="AP3" s="92">
        <f t="shared" ref="AP3:AP74" si="23">CK3</f>
        <v>5</v>
      </c>
      <c r="AQ3" s="77"/>
      <c r="AR3" s="77"/>
      <c r="AS3" s="77"/>
      <c r="AT3" s="63">
        <f t="shared" ref="AT3:AT74" si="24">AE3+AG3+AI3+AK3+AM3+AO3+SUM(AQ3:AS3)</f>
        <v>35.966666666666661</v>
      </c>
      <c r="AU3" s="78"/>
      <c r="AV3" s="5"/>
      <c r="AW3" s="5"/>
      <c r="AX3" s="5"/>
      <c r="AY3" s="5"/>
      <c r="AZ3" s="24">
        <f>VLOOKUP(C3,Employees!D:I,6,FALSE)</f>
        <v>10160</v>
      </c>
      <c r="BA3" s="5">
        <f t="shared" ref="BA3:BA66" si="25">IF(ISBLANK(D3),0,(E3-D3)*24)</f>
        <v>5.0000000000000009</v>
      </c>
      <c r="BB3" s="5">
        <f t="shared" ref="BB3:BB66" si="26">IF(BA3&gt;$AY$1,1,IF(BA3&gt;=$AX$1,0.5,0))</f>
        <v>0</v>
      </c>
      <c r="BC3" s="5">
        <f t="shared" ref="BC3:BC66" si="27">BA3-BB3-BD3-BE3</f>
        <v>5.0000000000000009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10.216666666666669</v>
      </c>
      <c r="BQ3" s="5">
        <f t="shared" ref="BQ3:BQ66" si="41">IF(BP3&gt;$AY$1,1,IF(BP3&gt;=$AX$1,0.5,0))</f>
        <v>1</v>
      </c>
      <c r="BR3" s="5">
        <f t="shared" ref="BR3:BR66" si="42">BP3-BQ3-BS3-BT3</f>
        <v>6.9999999999999991</v>
      </c>
      <c r="BS3" s="5">
        <f t="shared" ref="BS3:BS66" si="43">IF(AND(N3&gt;$AV$1, M3&lt;$AW$1),(MIN(N3,$AW$1)-MAX(M3,$AV$1))*24,0)</f>
        <v>2.0000000000000009</v>
      </c>
      <c r="BT3" s="5">
        <f t="shared" ref="BT3:BT66" si="44">IF(N3&gt;$AW$1,(N3-MAX(M3,$AW$1))*24,0)</f>
        <v>0.21666666666666856</v>
      </c>
      <c r="BU3" s="5">
        <f t="shared" ref="BU3:BU66" si="45">IF(ISBLANK(P3),0,(Q3-P3)*24)</f>
        <v>6.4999999999999982</v>
      </c>
      <c r="BV3" s="5">
        <f t="shared" ref="BV3:BV66" si="46">IF(BU3&gt;$AY$1,1,IF(BU3&gt;=$AX$1,0.5,0))</f>
        <v>0.5</v>
      </c>
      <c r="BW3" s="5">
        <f t="shared" ref="BW3:BW66" si="47">BU3-BV3-BX3-BY3</f>
        <v>4.4999999999999982</v>
      </c>
      <c r="BX3" s="5">
        <f t="shared" ref="BX3:BX66" si="48">IF(AND(Q3&gt;$AV$1, P3&lt;$AW$1),(MIN(Q3,$AW$1)-MAX(P3,$AV$1))*24,0)</f>
        <v>1.5</v>
      </c>
      <c r="BY3" s="5">
        <f t="shared" ref="BY3:BY66" si="49">IF(Q3&gt;$AW$1,(Q3-MAX(P3,$AW$1))*24,0)</f>
        <v>0</v>
      </c>
      <c r="BZ3" s="5">
        <f t="shared" ref="BZ3:BZ66" si="50">IF(ISBLANK(S3),0,(T3-S3)*24)</f>
        <v>7.133333333333332</v>
      </c>
      <c r="CA3" s="5">
        <f t="shared" ref="CA3:CA66" si="51">IF(BZ3&gt;$AY$1,1,IF(BZ3&gt;=$AX$1,0.5,0))</f>
        <v>0.5</v>
      </c>
      <c r="CB3" s="5">
        <f t="shared" ref="CB3:CB66" si="52">BZ3-CA3-CC3-CD3</f>
        <v>4.4999999999999982</v>
      </c>
      <c r="CC3" s="5">
        <f t="shared" ref="CC3:CC66" si="53">IF(AND(T3&gt;$AV$1, S3&lt;$AW$1),(MIN(T3,$AW$1)-MAX(S3,$AV$1))*24,0)</f>
        <v>2.0000000000000009</v>
      </c>
      <c r="CD3" s="5">
        <f t="shared" ref="CD3:CD66" si="54">IF(T3&gt;$AW$1,(T3-MAX(S3,$AW$1))*24,0)</f>
        <v>0.13333333333333286</v>
      </c>
      <c r="CE3" s="5">
        <f t="shared" ref="CE3:CE66" si="55">IF(ISBLANK(V3),0,(W3-V3)*24)</f>
        <v>10.116666666666667</v>
      </c>
      <c r="CF3" s="5">
        <f t="shared" ref="CF3:CF66" si="56">IF(CE3&gt;$AY$1,1,IF(CE3&gt;=$AX$1,0.5,0))</f>
        <v>1</v>
      </c>
      <c r="CG3" s="5">
        <f t="shared" ref="CG3:CG66" si="57">CE3-CF3-CH3-CI3</f>
        <v>6.9999999999999973</v>
      </c>
      <c r="CH3" s="5">
        <f t="shared" ref="CH3:CH66" si="58">IF(AND(W3&gt;$AV$1, V3&lt;$AW$1),(MIN(W3,$AW$1)-MAX(V3,$AV$1))*24,0)</f>
        <v>2.0000000000000009</v>
      </c>
      <c r="CI3" s="5">
        <f t="shared" ref="CI3:CI66" si="59">IF(W3&gt;$AW$1,(W3-MAX(V3,$AW$1))*24,0)</f>
        <v>0.11666666666666892</v>
      </c>
      <c r="CJ3" s="5"/>
      <c r="CK3" s="4">
        <f t="shared" si="8"/>
        <v>5</v>
      </c>
    </row>
    <row r="4" spans="1:89" ht="47" customHeight="1">
      <c r="A4" s="74">
        <f t="shared" si="0"/>
        <v>10008</v>
      </c>
      <c r="B4" s="81">
        <v>501</v>
      </c>
      <c r="C4" s="97" t="s">
        <v>339</v>
      </c>
      <c r="D4" s="75">
        <v>0.70833333333333337</v>
      </c>
      <c r="E4" s="75">
        <v>0.91666666666666663</v>
      </c>
      <c r="F4" s="89">
        <f t="shared" si="9"/>
        <v>4.9999999999999982</v>
      </c>
      <c r="G4" s="75">
        <v>0.70833333333333337</v>
      </c>
      <c r="H4" s="75">
        <v>1</v>
      </c>
      <c r="I4" s="89">
        <f t="shared" si="10"/>
        <v>6.4999999999999991</v>
      </c>
      <c r="J4" s="75">
        <v>0.58333333333333337</v>
      </c>
      <c r="K4" s="75">
        <v>1.0048611111111112</v>
      </c>
      <c r="L4" s="89">
        <f t="shared" si="11"/>
        <v>9.1166666666666671</v>
      </c>
      <c r="M4" s="75">
        <v>0.5</v>
      </c>
      <c r="N4" s="75">
        <v>0.91666666666666663</v>
      </c>
      <c r="O4" s="89">
        <f t="shared" si="12"/>
        <v>9</v>
      </c>
      <c r="P4" s="75">
        <v>0.58333333333333337</v>
      </c>
      <c r="Q4" s="75">
        <v>0.99097222222222225</v>
      </c>
      <c r="R4" s="89">
        <f t="shared" si="13"/>
        <v>8.7833333333333332</v>
      </c>
      <c r="S4" s="75"/>
      <c r="T4" s="75"/>
      <c r="U4" s="89">
        <f t="shared" si="14"/>
        <v>0</v>
      </c>
      <c r="V4" s="75">
        <v>0.375</v>
      </c>
      <c r="W4" s="75">
        <v>0.77430555555555558</v>
      </c>
      <c r="X4" s="89">
        <f t="shared" si="15"/>
        <v>8.5833333333333339</v>
      </c>
      <c r="Y4" s="89"/>
      <c r="Z4" s="89"/>
      <c r="AA4" s="89"/>
      <c r="AB4" s="93">
        <f t="shared" si="16"/>
        <v>46.983333333333334</v>
      </c>
      <c r="AC4" s="90"/>
      <c r="AD4" s="78"/>
      <c r="AE4" s="91">
        <f t="shared" si="17"/>
        <v>27.499999999999993</v>
      </c>
      <c r="AF4" s="78"/>
      <c r="AG4" s="91">
        <f t="shared" si="18"/>
        <v>0</v>
      </c>
      <c r="AH4" s="78"/>
      <c r="AI4" s="91">
        <f t="shared" si="19"/>
        <v>8.5833333333333339</v>
      </c>
      <c r="AJ4" s="77"/>
      <c r="AK4" s="91">
        <f t="shared" si="20"/>
        <v>4.9999999999999982</v>
      </c>
      <c r="AL4" s="78"/>
      <c r="AM4" s="91">
        <f t="shared" si="21"/>
        <v>5.7833333333333368</v>
      </c>
      <c r="AN4" s="77"/>
      <c r="AO4" s="91">
        <f t="shared" si="22"/>
        <v>0.11666666666666892</v>
      </c>
      <c r="AP4" s="92">
        <f t="shared" si="23"/>
        <v>6</v>
      </c>
      <c r="AQ4" s="77"/>
      <c r="AR4" s="77"/>
      <c r="AS4" s="77"/>
      <c r="AT4" s="63">
        <f t="shared" si="24"/>
        <v>46.983333333333334</v>
      </c>
      <c r="AU4" s="78"/>
      <c r="AV4" s="5"/>
      <c r="AW4" s="5"/>
      <c r="AX4" s="5"/>
      <c r="AY4" s="5"/>
      <c r="AZ4" s="24">
        <f>VLOOKUP(C4,Employees!D:I,6,FALSE)</f>
        <v>10008</v>
      </c>
      <c r="BA4" s="5">
        <f t="shared" si="25"/>
        <v>4.9999999999999982</v>
      </c>
      <c r="BB4" s="5">
        <f t="shared" si="26"/>
        <v>0</v>
      </c>
      <c r="BC4" s="5">
        <f t="shared" si="27"/>
        <v>4.9999999999999982</v>
      </c>
      <c r="BD4" s="5">
        <f t="shared" si="28"/>
        <v>0</v>
      </c>
      <c r="BE4" s="5">
        <f t="shared" si="29"/>
        <v>0</v>
      </c>
      <c r="BF4" s="5">
        <f t="shared" si="30"/>
        <v>6.9999999999999991</v>
      </c>
      <c r="BG4" s="5">
        <f t="shared" si="31"/>
        <v>0.5</v>
      </c>
      <c r="BH4" s="5">
        <f t="shared" si="32"/>
        <v>4.4999999999999982</v>
      </c>
      <c r="BI4" s="5">
        <f t="shared" si="33"/>
        <v>2.0000000000000009</v>
      </c>
      <c r="BJ4" s="5">
        <f t="shared" si="34"/>
        <v>0</v>
      </c>
      <c r="BK4" s="5">
        <f t="shared" si="35"/>
        <v>10.116666666666667</v>
      </c>
      <c r="BL4" s="5">
        <f t="shared" si="36"/>
        <v>1</v>
      </c>
      <c r="BM4" s="5">
        <f t="shared" si="37"/>
        <v>6.9999999999999973</v>
      </c>
      <c r="BN4" s="5">
        <f t="shared" si="38"/>
        <v>2.0000000000000009</v>
      </c>
      <c r="BO4" s="5">
        <f t="shared" si="39"/>
        <v>0.11666666666666892</v>
      </c>
      <c r="BP4" s="5">
        <f t="shared" si="40"/>
        <v>10</v>
      </c>
      <c r="BQ4" s="5">
        <f t="shared" si="41"/>
        <v>1</v>
      </c>
      <c r="BR4" s="5">
        <f t="shared" si="42"/>
        <v>9</v>
      </c>
      <c r="BS4" s="5">
        <f t="shared" si="43"/>
        <v>0</v>
      </c>
      <c r="BT4" s="5">
        <f t="shared" si="44"/>
        <v>0</v>
      </c>
      <c r="BU4" s="5">
        <f t="shared" si="45"/>
        <v>9.7833333333333332</v>
      </c>
      <c r="BV4" s="5">
        <f t="shared" si="46"/>
        <v>1</v>
      </c>
      <c r="BW4" s="5">
        <f t="shared" si="47"/>
        <v>6.9999999999999982</v>
      </c>
      <c r="BX4" s="5">
        <f t="shared" si="48"/>
        <v>1.783333333333335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9.5833333333333339</v>
      </c>
      <c r="CF4" s="5">
        <f t="shared" si="56"/>
        <v>1</v>
      </c>
      <c r="CG4" s="5">
        <f t="shared" si="57"/>
        <v>8.5833333333333339</v>
      </c>
      <c r="CH4" s="5">
        <f t="shared" si="58"/>
        <v>0</v>
      </c>
      <c r="CI4" s="5">
        <f t="shared" si="59"/>
        <v>0</v>
      </c>
      <c r="CJ4" s="5"/>
      <c r="CK4" s="4">
        <f t="shared" si="8"/>
        <v>6</v>
      </c>
    </row>
    <row r="5" spans="1:89" ht="47" customHeight="1">
      <c r="A5" s="74" t="str">
        <f t="shared" si="0"/>
        <v/>
      </c>
      <c r="B5" s="81"/>
      <c r="C5" s="97"/>
      <c r="D5" s="76"/>
      <c r="E5" s="75"/>
      <c r="F5" s="89">
        <f t="shared" si="9"/>
        <v>0</v>
      </c>
      <c r="G5" s="75"/>
      <c r="H5" s="76"/>
      <c r="I5" s="89">
        <f t="shared" si="10"/>
        <v>0</v>
      </c>
      <c r="J5" s="76"/>
      <c r="K5" s="76"/>
      <c r="L5" s="89">
        <f t="shared" si="11"/>
        <v>0</v>
      </c>
      <c r="M5" s="75"/>
      <c r="N5" s="75"/>
      <c r="O5" s="89">
        <f t="shared" si="12"/>
        <v>0</v>
      </c>
      <c r="P5" s="75"/>
      <c r="Q5" s="75"/>
      <c r="R5" s="89">
        <f t="shared" si="13"/>
        <v>0</v>
      </c>
      <c r="S5" s="76"/>
      <c r="T5" s="75"/>
      <c r="U5" s="89">
        <f t="shared" si="14"/>
        <v>0</v>
      </c>
      <c r="V5" s="75"/>
      <c r="W5" s="76"/>
      <c r="X5" s="89">
        <f t="shared" si="15"/>
        <v>0</v>
      </c>
      <c r="Y5" s="89"/>
      <c r="Z5" s="89"/>
      <c r="AA5" s="89"/>
      <c r="AB5" s="93">
        <f t="shared" si="16"/>
        <v>0</v>
      </c>
      <c r="AC5" s="90"/>
      <c r="AD5" s="78"/>
      <c r="AE5" s="91">
        <f t="shared" si="17"/>
        <v>0</v>
      </c>
      <c r="AF5" s="78"/>
      <c r="AG5" s="91">
        <f t="shared" si="18"/>
        <v>0</v>
      </c>
      <c r="AH5" s="78"/>
      <c r="AI5" s="91">
        <f t="shared" si="19"/>
        <v>0</v>
      </c>
      <c r="AJ5" s="77"/>
      <c r="AK5" s="91">
        <f t="shared" si="20"/>
        <v>0</v>
      </c>
      <c r="AL5" s="78"/>
      <c r="AM5" s="91">
        <f t="shared" si="21"/>
        <v>0</v>
      </c>
      <c r="AN5" s="77"/>
      <c r="AO5" s="91">
        <f t="shared" si="22"/>
        <v>0</v>
      </c>
      <c r="AP5" s="92">
        <f t="shared" si="23"/>
        <v>0</v>
      </c>
      <c r="AQ5" s="77"/>
      <c r="AR5" s="77"/>
      <c r="AS5" s="77"/>
      <c r="AT5" s="63">
        <f t="shared" si="24"/>
        <v>0</v>
      </c>
      <c r="AU5" s="78"/>
      <c r="AV5" s="5"/>
      <c r="AW5" s="5"/>
      <c r="AX5" s="5"/>
      <c r="AY5" s="5"/>
      <c r="AZ5" s="24" t="e">
        <f>VLOOKUP(C5,Employees!D:I,6,FALSE)</f>
        <v>#N/A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0</v>
      </c>
    </row>
    <row r="6" spans="1:89" ht="47" customHeight="1">
      <c r="A6" s="74">
        <f t="shared" si="0"/>
        <v>210457</v>
      </c>
      <c r="B6" s="81">
        <v>501</v>
      </c>
      <c r="C6" s="97" t="s">
        <v>1246</v>
      </c>
      <c r="D6" s="76">
        <v>0.70833333333333337</v>
      </c>
      <c r="E6" s="75">
        <v>0.85416666666666663</v>
      </c>
      <c r="F6" s="89">
        <f t="shared" si="9"/>
        <v>3.4999999999999982</v>
      </c>
      <c r="G6" s="75"/>
      <c r="H6" s="76"/>
      <c r="I6" s="89">
        <f t="shared" si="10"/>
        <v>0</v>
      </c>
      <c r="J6" s="76">
        <v>0.375</v>
      </c>
      <c r="K6" s="76">
        <v>0.70833333333333337</v>
      </c>
      <c r="L6" s="89">
        <f t="shared" si="11"/>
        <v>7.5</v>
      </c>
      <c r="M6" s="76">
        <v>0.41666666666666669</v>
      </c>
      <c r="N6" s="76">
        <v>0.75</v>
      </c>
      <c r="O6" s="89">
        <f t="shared" si="12"/>
        <v>7.5</v>
      </c>
      <c r="P6" s="76">
        <v>0.41666666666666669</v>
      </c>
      <c r="Q6" s="75">
        <v>0.75</v>
      </c>
      <c r="R6" s="89">
        <f t="shared" si="13"/>
        <v>7.5</v>
      </c>
      <c r="S6" s="75">
        <v>0.70833333333333337</v>
      </c>
      <c r="T6" s="75">
        <v>1.0055555555555555</v>
      </c>
      <c r="U6" s="89">
        <f t="shared" si="14"/>
        <v>6.633333333333332</v>
      </c>
      <c r="V6" s="75"/>
      <c r="W6" s="76"/>
      <c r="X6" s="89">
        <f t="shared" si="15"/>
        <v>0</v>
      </c>
      <c r="Y6" s="89"/>
      <c r="Z6" s="89"/>
      <c r="AA6" s="89"/>
      <c r="AB6" s="93">
        <f t="shared" si="16"/>
        <v>32.633333333333333</v>
      </c>
      <c r="AC6" s="90"/>
      <c r="AD6" s="78"/>
      <c r="AE6" s="91">
        <f t="shared" si="17"/>
        <v>22.5</v>
      </c>
      <c r="AF6" s="78"/>
      <c r="AG6" s="91">
        <f t="shared" si="18"/>
        <v>6.4999999999999991</v>
      </c>
      <c r="AH6" s="78"/>
      <c r="AI6" s="91">
        <f t="shared" si="19"/>
        <v>0.13333333333333286</v>
      </c>
      <c r="AJ6" s="77"/>
      <c r="AK6" s="91">
        <f t="shared" si="20"/>
        <v>3.4999999999999982</v>
      </c>
      <c r="AL6" s="78"/>
      <c r="AM6" s="91">
        <f t="shared" si="21"/>
        <v>0</v>
      </c>
      <c r="AN6" s="77"/>
      <c r="AO6" s="91">
        <f t="shared" si="22"/>
        <v>0</v>
      </c>
      <c r="AP6" s="92">
        <f t="shared" si="23"/>
        <v>5</v>
      </c>
      <c r="AQ6" s="77"/>
      <c r="AR6" s="77"/>
      <c r="AS6" s="77"/>
      <c r="AT6" s="63">
        <f t="shared" si="24"/>
        <v>32.633333333333333</v>
      </c>
      <c r="AU6" s="78"/>
      <c r="AV6" s="5"/>
      <c r="AW6" s="5"/>
      <c r="AX6" s="5"/>
      <c r="AY6" s="5"/>
      <c r="AZ6" s="24">
        <f>VLOOKUP(C6,Employees!D:I,6,FALSE)</f>
        <v>210457</v>
      </c>
      <c r="BA6" s="5">
        <f t="shared" si="25"/>
        <v>3.4999999999999982</v>
      </c>
      <c r="BB6" s="5">
        <f t="shared" si="26"/>
        <v>0</v>
      </c>
      <c r="BC6" s="5">
        <f t="shared" si="27"/>
        <v>3.4999999999999982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8</v>
      </c>
      <c r="BL6" s="5">
        <f t="shared" si="36"/>
        <v>0.5</v>
      </c>
      <c r="BM6" s="5">
        <f t="shared" si="37"/>
        <v>7.5</v>
      </c>
      <c r="BN6" s="5">
        <f t="shared" si="38"/>
        <v>0</v>
      </c>
      <c r="BO6" s="5">
        <f t="shared" si="39"/>
        <v>0</v>
      </c>
      <c r="BP6" s="5">
        <f t="shared" si="40"/>
        <v>8</v>
      </c>
      <c r="BQ6" s="5">
        <f t="shared" si="41"/>
        <v>0.5</v>
      </c>
      <c r="BR6" s="5">
        <f t="shared" si="42"/>
        <v>7.5</v>
      </c>
      <c r="BS6" s="5">
        <f t="shared" si="43"/>
        <v>0</v>
      </c>
      <c r="BT6" s="5">
        <f t="shared" si="44"/>
        <v>0</v>
      </c>
      <c r="BU6" s="5">
        <f t="shared" si="45"/>
        <v>8</v>
      </c>
      <c r="BV6" s="5">
        <f t="shared" si="46"/>
        <v>0.5</v>
      </c>
      <c r="BW6" s="5">
        <f t="shared" si="47"/>
        <v>7.5</v>
      </c>
      <c r="BX6" s="5">
        <f t="shared" si="48"/>
        <v>0</v>
      </c>
      <c r="BY6" s="5">
        <f t="shared" si="49"/>
        <v>0</v>
      </c>
      <c r="BZ6" s="5">
        <f t="shared" si="50"/>
        <v>7.133333333333332</v>
      </c>
      <c r="CA6" s="5">
        <f t="shared" si="51"/>
        <v>0.5</v>
      </c>
      <c r="CB6" s="5">
        <f t="shared" si="52"/>
        <v>4.4999999999999982</v>
      </c>
      <c r="CC6" s="5">
        <f t="shared" si="53"/>
        <v>2.0000000000000009</v>
      </c>
      <c r="CD6" s="5">
        <f t="shared" si="54"/>
        <v>0.13333333333333286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5</v>
      </c>
    </row>
    <row r="7" spans="1:89" ht="47" customHeight="1">
      <c r="A7" s="74">
        <f t="shared" si="0"/>
        <v>210423</v>
      </c>
      <c r="B7" s="81">
        <v>501</v>
      </c>
      <c r="C7" s="97" t="s">
        <v>1161</v>
      </c>
      <c r="D7" s="76">
        <v>0.85416666666666663</v>
      </c>
      <c r="E7" s="76">
        <v>1</v>
      </c>
      <c r="F7" s="89">
        <f t="shared" si="9"/>
        <v>3.5000000000000009</v>
      </c>
      <c r="G7" s="76">
        <v>0.375</v>
      </c>
      <c r="H7" s="76">
        <v>0.70833333333333337</v>
      </c>
      <c r="I7" s="89">
        <f t="shared" si="10"/>
        <v>7.5</v>
      </c>
      <c r="J7" s="76"/>
      <c r="K7" s="76"/>
      <c r="L7" s="89">
        <f t="shared" si="11"/>
        <v>0</v>
      </c>
      <c r="M7" s="76">
        <v>0.75</v>
      </c>
      <c r="N7" s="76">
        <v>1.0090277777777779</v>
      </c>
      <c r="O7" s="89">
        <f t="shared" si="12"/>
        <v>5.7166666666666686</v>
      </c>
      <c r="P7" s="76">
        <v>0.375</v>
      </c>
      <c r="Q7" s="75">
        <v>0.70833333333333337</v>
      </c>
      <c r="R7" s="89">
        <f t="shared" si="13"/>
        <v>7.5</v>
      </c>
      <c r="S7" s="76">
        <v>0.70833333333333337</v>
      </c>
      <c r="T7" s="75">
        <v>0.97916666666666663</v>
      </c>
      <c r="U7" s="89">
        <f t="shared" si="14"/>
        <v>5.9999999999999982</v>
      </c>
      <c r="V7" s="75"/>
      <c r="W7" s="76"/>
      <c r="X7" s="89">
        <f t="shared" si="15"/>
        <v>0</v>
      </c>
      <c r="Y7" s="89"/>
      <c r="Z7" s="89"/>
      <c r="AA7" s="89"/>
      <c r="AB7" s="93">
        <f t="shared" si="16"/>
        <v>30.216666666666669</v>
      </c>
      <c r="AC7" s="90"/>
      <c r="AD7" s="78"/>
      <c r="AE7" s="91">
        <f t="shared" si="17"/>
        <v>18.5</v>
      </c>
      <c r="AF7" s="77"/>
      <c r="AG7" s="91">
        <f t="shared" si="18"/>
        <v>5.9999999999999982</v>
      </c>
      <c r="AH7" s="78"/>
      <c r="AI7" s="91">
        <f t="shared" si="19"/>
        <v>0</v>
      </c>
      <c r="AJ7" s="77"/>
      <c r="AK7" s="91">
        <f t="shared" si="20"/>
        <v>3.5000000000000009</v>
      </c>
      <c r="AL7" s="78"/>
      <c r="AM7" s="91">
        <f t="shared" si="21"/>
        <v>2.0000000000000009</v>
      </c>
      <c r="AN7" s="77"/>
      <c r="AO7" s="91">
        <f t="shared" si="22"/>
        <v>0.21666666666666856</v>
      </c>
      <c r="AP7" s="92">
        <f t="shared" si="23"/>
        <v>5</v>
      </c>
      <c r="AQ7" s="77"/>
      <c r="AR7" s="77"/>
      <c r="AS7" s="77"/>
      <c r="AT7" s="63">
        <f t="shared" si="24"/>
        <v>30.216666666666669</v>
      </c>
      <c r="AU7" s="78"/>
      <c r="AV7" s="5"/>
      <c r="AW7" s="5"/>
      <c r="AX7" s="5"/>
      <c r="AY7" s="5"/>
      <c r="AZ7" s="24">
        <f>VLOOKUP(C7,Employees!D:I,6,FALSE)</f>
        <v>210423</v>
      </c>
      <c r="BA7" s="5">
        <f t="shared" si="25"/>
        <v>3.5000000000000009</v>
      </c>
      <c r="BB7" s="5">
        <f t="shared" si="26"/>
        <v>0</v>
      </c>
      <c r="BC7" s="5">
        <f t="shared" si="27"/>
        <v>1.5</v>
      </c>
      <c r="BD7" s="5">
        <f t="shared" si="28"/>
        <v>2.0000000000000009</v>
      </c>
      <c r="BE7" s="5">
        <f t="shared" si="29"/>
        <v>0</v>
      </c>
      <c r="BF7" s="5">
        <f t="shared" si="30"/>
        <v>8</v>
      </c>
      <c r="BG7" s="5">
        <f t="shared" si="31"/>
        <v>0.5</v>
      </c>
      <c r="BH7" s="5">
        <f t="shared" si="32"/>
        <v>7.5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6.2166666666666686</v>
      </c>
      <c r="BQ7" s="5">
        <f t="shared" si="41"/>
        <v>0.5</v>
      </c>
      <c r="BR7" s="5">
        <f t="shared" si="42"/>
        <v>3.4999999999999991</v>
      </c>
      <c r="BS7" s="5">
        <f t="shared" si="43"/>
        <v>2.0000000000000009</v>
      </c>
      <c r="BT7" s="5">
        <f t="shared" si="44"/>
        <v>0.21666666666666856</v>
      </c>
      <c r="BU7" s="5">
        <f t="shared" si="45"/>
        <v>8</v>
      </c>
      <c r="BV7" s="5">
        <f t="shared" si="46"/>
        <v>0.5</v>
      </c>
      <c r="BW7" s="5">
        <f t="shared" si="47"/>
        <v>7.5</v>
      </c>
      <c r="BX7" s="5">
        <f t="shared" si="48"/>
        <v>0</v>
      </c>
      <c r="BY7" s="5">
        <f t="shared" si="49"/>
        <v>0</v>
      </c>
      <c r="BZ7" s="5">
        <f t="shared" si="50"/>
        <v>6.4999999999999982</v>
      </c>
      <c r="CA7" s="5">
        <f t="shared" si="51"/>
        <v>0.5</v>
      </c>
      <c r="CB7" s="5">
        <f t="shared" si="52"/>
        <v>4.4999999999999982</v>
      </c>
      <c r="CC7" s="5">
        <f t="shared" si="53"/>
        <v>1.5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5</v>
      </c>
    </row>
    <row r="8" spans="1:89" ht="47" customHeight="1">
      <c r="A8" s="74">
        <f t="shared" si="0"/>
        <v>210383</v>
      </c>
      <c r="B8" s="81">
        <v>501</v>
      </c>
      <c r="C8" s="97" t="s">
        <v>1056</v>
      </c>
      <c r="D8" s="76">
        <v>0.375</v>
      </c>
      <c r="E8" s="76">
        <v>0.5625</v>
      </c>
      <c r="F8" s="89">
        <f t="shared" si="9"/>
        <v>4.5</v>
      </c>
      <c r="G8" s="76"/>
      <c r="H8" s="75"/>
      <c r="I8" s="89">
        <f t="shared" si="10"/>
        <v>0</v>
      </c>
      <c r="J8" s="76"/>
      <c r="K8" s="75"/>
      <c r="L8" s="89">
        <f t="shared" si="11"/>
        <v>0</v>
      </c>
      <c r="M8" s="76">
        <v>0.375</v>
      </c>
      <c r="N8" s="75">
        <v>0.70833333333333337</v>
      </c>
      <c r="O8" s="89">
        <f t="shared" si="12"/>
        <v>7.5</v>
      </c>
      <c r="P8" s="76"/>
      <c r="Q8" s="76"/>
      <c r="R8" s="89">
        <f t="shared" si="13"/>
        <v>0</v>
      </c>
      <c r="S8" s="76">
        <v>0.375</v>
      </c>
      <c r="T8" s="76">
        <v>0.70833333333333337</v>
      </c>
      <c r="U8" s="89">
        <f t="shared" si="14"/>
        <v>7.5</v>
      </c>
      <c r="V8" s="76"/>
      <c r="W8" s="76"/>
      <c r="X8" s="89">
        <f t="shared" si="15"/>
        <v>0</v>
      </c>
      <c r="Y8" s="89"/>
      <c r="Z8" s="89"/>
      <c r="AA8" s="89"/>
      <c r="AB8" s="93">
        <f t="shared" si="16"/>
        <v>19.5</v>
      </c>
      <c r="AC8" s="90"/>
      <c r="AD8" s="78"/>
      <c r="AE8" s="91">
        <f t="shared" si="17"/>
        <v>7.5</v>
      </c>
      <c r="AF8" s="77"/>
      <c r="AG8" s="91">
        <f t="shared" si="18"/>
        <v>7.5</v>
      </c>
      <c r="AH8" s="78"/>
      <c r="AI8" s="91">
        <f t="shared" si="19"/>
        <v>0</v>
      </c>
      <c r="AJ8" s="77"/>
      <c r="AK8" s="91">
        <f t="shared" si="20"/>
        <v>4.5</v>
      </c>
      <c r="AL8" s="78"/>
      <c r="AM8" s="91">
        <f t="shared" si="21"/>
        <v>0</v>
      </c>
      <c r="AN8" s="77"/>
      <c r="AO8" s="91">
        <f t="shared" si="22"/>
        <v>0</v>
      </c>
      <c r="AP8" s="92">
        <f t="shared" si="23"/>
        <v>3</v>
      </c>
      <c r="AQ8" s="77"/>
      <c r="AR8" s="77"/>
      <c r="AS8" s="77"/>
      <c r="AT8" s="63">
        <f t="shared" si="24"/>
        <v>19.5</v>
      </c>
      <c r="AU8" s="78"/>
      <c r="AV8" s="5"/>
      <c r="AW8" s="5"/>
      <c r="AX8" s="5"/>
      <c r="AY8" s="5"/>
      <c r="AZ8" s="24">
        <f>VLOOKUP(C8,Employees!D:I,6,FALSE)</f>
        <v>210383</v>
      </c>
      <c r="BA8" s="5">
        <f t="shared" si="25"/>
        <v>4.5</v>
      </c>
      <c r="BB8" s="5">
        <f t="shared" si="26"/>
        <v>0</v>
      </c>
      <c r="BC8" s="5">
        <f t="shared" si="27"/>
        <v>4.5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8</v>
      </c>
      <c r="BQ8" s="5">
        <f t="shared" si="41"/>
        <v>0.5</v>
      </c>
      <c r="BR8" s="5">
        <f t="shared" si="42"/>
        <v>7.5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8</v>
      </c>
      <c r="CA8" s="5">
        <f t="shared" si="51"/>
        <v>0.5</v>
      </c>
      <c r="CB8" s="5">
        <f t="shared" si="52"/>
        <v>7.5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3</v>
      </c>
    </row>
    <row r="9" spans="1:89" ht="47" customHeight="1">
      <c r="A9" s="74">
        <f t="shared" si="0"/>
        <v>10343</v>
      </c>
      <c r="B9" s="81">
        <v>501</v>
      </c>
      <c r="C9" s="97" t="s">
        <v>945</v>
      </c>
      <c r="D9" s="76">
        <v>0.625</v>
      </c>
      <c r="E9" s="75">
        <v>0.83333333333333337</v>
      </c>
      <c r="F9" s="89">
        <f t="shared" si="9"/>
        <v>5.0000000000000009</v>
      </c>
      <c r="G9" s="75"/>
      <c r="H9" s="76"/>
      <c r="I9" s="89">
        <f t="shared" si="10"/>
        <v>0</v>
      </c>
      <c r="J9" s="76"/>
      <c r="K9" s="76"/>
      <c r="L9" s="89">
        <f t="shared" si="11"/>
        <v>0</v>
      </c>
      <c r="M9" s="75"/>
      <c r="N9" s="75"/>
      <c r="O9" s="89">
        <f t="shared" si="12"/>
        <v>0</v>
      </c>
      <c r="P9" s="76"/>
      <c r="Q9" s="75"/>
      <c r="R9" s="89">
        <f t="shared" si="13"/>
        <v>0</v>
      </c>
      <c r="S9" s="76"/>
      <c r="T9" s="75"/>
      <c r="U9" s="89">
        <f t="shared" si="14"/>
        <v>0</v>
      </c>
      <c r="V9" s="75"/>
      <c r="W9" s="76"/>
      <c r="X9" s="89">
        <f t="shared" si="15"/>
        <v>0</v>
      </c>
      <c r="Y9" s="89"/>
      <c r="Z9" s="89"/>
      <c r="AA9" s="89"/>
      <c r="AB9" s="93">
        <f t="shared" si="16"/>
        <v>5.0000000000000009</v>
      </c>
      <c r="AC9" s="90"/>
      <c r="AD9" s="78"/>
      <c r="AE9" s="91">
        <f t="shared" si="17"/>
        <v>0</v>
      </c>
      <c r="AF9" s="77"/>
      <c r="AG9" s="91">
        <f t="shared" si="18"/>
        <v>0</v>
      </c>
      <c r="AH9" s="78"/>
      <c r="AI9" s="91">
        <f t="shared" si="19"/>
        <v>0</v>
      </c>
      <c r="AJ9" s="77"/>
      <c r="AK9" s="91">
        <f t="shared" si="20"/>
        <v>5.0000000000000009</v>
      </c>
      <c r="AL9" s="78"/>
      <c r="AM9" s="91">
        <f t="shared" si="21"/>
        <v>0</v>
      </c>
      <c r="AN9" s="77"/>
      <c r="AO9" s="91">
        <f t="shared" si="22"/>
        <v>0</v>
      </c>
      <c r="AP9" s="92">
        <f t="shared" si="23"/>
        <v>1</v>
      </c>
      <c r="AQ9" s="77"/>
      <c r="AR9" s="77">
        <v>24</v>
      </c>
      <c r="AS9" s="77"/>
      <c r="AT9" s="63">
        <f t="shared" si="24"/>
        <v>29</v>
      </c>
      <c r="AU9" s="78"/>
      <c r="AV9" s="5"/>
      <c r="AW9" s="5"/>
      <c r="AX9" s="5"/>
      <c r="AY9" s="5"/>
      <c r="AZ9" s="24">
        <f>VLOOKUP(C9,Employees!D:I,6,FALSE)</f>
        <v>10343</v>
      </c>
      <c r="BA9" s="5">
        <f t="shared" si="25"/>
        <v>5.0000000000000009</v>
      </c>
      <c r="BB9" s="5">
        <f t="shared" si="26"/>
        <v>0</v>
      </c>
      <c r="BC9" s="5">
        <f t="shared" si="27"/>
        <v>5.0000000000000009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1</v>
      </c>
    </row>
    <row r="10" spans="1:89" ht="47" customHeight="1">
      <c r="A10" s="74">
        <f t="shared" si="0"/>
        <v>10385</v>
      </c>
      <c r="B10" s="81">
        <v>501</v>
      </c>
      <c r="C10" s="97" t="s">
        <v>1063</v>
      </c>
      <c r="D10" s="76">
        <v>0.83333333333333337</v>
      </c>
      <c r="E10" s="75">
        <v>1</v>
      </c>
      <c r="F10" s="89">
        <f t="shared" si="9"/>
        <v>3.9999999999999991</v>
      </c>
      <c r="G10" s="75">
        <v>0.58333333333333337</v>
      </c>
      <c r="H10" s="76">
        <v>0.9916666666666667</v>
      </c>
      <c r="I10" s="89">
        <f t="shared" si="10"/>
        <v>8.8000000000000007</v>
      </c>
      <c r="J10" s="76">
        <v>0.75</v>
      </c>
      <c r="K10" s="76">
        <v>1.0048611111111112</v>
      </c>
      <c r="L10" s="89">
        <f t="shared" si="11"/>
        <v>5.6166666666666689</v>
      </c>
      <c r="M10" s="75"/>
      <c r="N10" s="75"/>
      <c r="O10" s="89">
        <f t="shared" si="12"/>
        <v>0</v>
      </c>
      <c r="P10" s="76">
        <v>0.5</v>
      </c>
      <c r="Q10" s="75">
        <v>0.91666666666666663</v>
      </c>
      <c r="R10" s="89">
        <f t="shared" si="13"/>
        <v>9</v>
      </c>
      <c r="S10" s="76">
        <v>0.58333333333333337</v>
      </c>
      <c r="T10" s="75">
        <v>0.9916666666666667</v>
      </c>
      <c r="U10" s="89">
        <f t="shared" si="14"/>
        <v>8.8000000000000007</v>
      </c>
      <c r="V10" s="75"/>
      <c r="W10" s="76"/>
      <c r="X10" s="89">
        <f t="shared" si="15"/>
        <v>0</v>
      </c>
      <c r="Y10" s="89"/>
      <c r="Z10" s="89"/>
      <c r="AA10" s="89"/>
      <c r="AB10" s="93">
        <f t="shared" si="16"/>
        <v>36.216666666666669</v>
      </c>
      <c r="AC10" s="90"/>
      <c r="AD10" s="78"/>
      <c r="AE10" s="91">
        <f t="shared" si="17"/>
        <v>19.5</v>
      </c>
      <c r="AF10" s="77"/>
      <c r="AG10" s="91">
        <f t="shared" si="18"/>
        <v>8.8000000000000007</v>
      </c>
      <c r="AH10" s="78"/>
      <c r="AI10" s="91">
        <f t="shared" si="19"/>
        <v>0</v>
      </c>
      <c r="AJ10" s="77"/>
      <c r="AK10" s="91">
        <f t="shared" si="20"/>
        <v>3.9999999999999991</v>
      </c>
      <c r="AL10" s="78"/>
      <c r="AM10" s="91">
        <f t="shared" si="21"/>
        <v>3.8000000000000025</v>
      </c>
      <c r="AN10" s="77"/>
      <c r="AO10" s="91">
        <f t="shared" si="22"/>
        <v>0.11666666666666892</v>
      </c>
      <c r="AP10" s="92">
        <f t="shared" si="23"/>
        <v>5</v>
      </c>
      <c r="AQ10" s="77"/>
      <c r="AR10" s="77"/>
      <c r="AS10" s="77"/>
      <c r="AT10" s="63">
        <f t="shared" si="24"/>
        <v>36.216666666666669</v>
      </c>
      <c r="AU10" s="78"/>
      <c r="AV10" s="5"/>
      <c r="AW10" s="5"/>
      <c r="AX10" s="5"/>
      <c r="AY10" s="5"/>
      <c r="AZ10" s="24">
        <f>VLOOKUP(C10,Employees!D:I,6,FALSE)</f>
        <v>10385</v>
      </c>
      <c r="BA10" s="5">
        <f t="shared" si="25"/>
        <v>3.9999999999999991</v>
      </c>
      <c r="BB10" s="5">
        <f t="shared" si="26"/>
        <v>0</v>
      </c>
      <c r="BC10" s="5">
        <f t="shared" si="27"/>
        <v>1.9999999999999982</v>
      </c>
      <c r="BD10" s="5">
        <f t="shared" si="28"/>
        <v>2.0000000000000009</v>
      </c>
      <c r="BE10" s="5">
        <f t="shared" si="29"/>
        <v>0</v>
      </c>
      <c r="BF10" s="5">
        <f t="shared" si="30"/>
        <v>9.8000000000000007</v>
      </c>
      <c r="BG10" s="5">
        <f t="shared" si="31"/>
        <v>1</v>
      </c>
      <c r="BH10" s="5">
        <f t="shared" si="32"/>
        <v>6.9999999999999991</v>
      </c>
      <c r="BI10" s="5">
        <f t="shared" si="33"/>
        <v>1.8000000000000016</v>
      </c>
      <c r="BJ10" s="5">
        <f t="shared" si="34"/>
        <v>0</v>
      </c>
      <c r="BK10" s="5">
        <f t="shared" si="35"/>
        <v>6.1166666666666689</v>
      </c>
      <c r="BL10" s="5">
        <f t="shared" si="36"/>
        <v>0.5</v>
      </c>
      <c r="BM10" s="5">
        <f t="shared" si="37"/>
        <v>3.4999999999999991</v>
      </c>
      <c r="BN10" s="5">
        <f t="shared" si="38"/>
        <v>2.0000000000000009</v>
      </c>
      <c r="BO10" s="5">
        <f t="shared" si="39"/>
        <v>0.11666666666666892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10</v>
      </c>
      <c r="BV10" s="5">
        <f t="shared" si="46"/>
        <v>1</v>
      </c>
      <c r="BW10" s="5">
        <f t="shared" si="47"/>
        <v>9</v>
      </c>
      <c r="BX10" s="5">
        <f t="shared" si="48"/>
        <v>0</v>
      </c>
      <c r="BY10" s="5">
        <f t="shared" si="49"/>
        <v>0</v>
      </c>
      <c r="BZ10" s="5">
        <f t="shared" si="50"/>
        <v>9.8000000000000007</v>
      </c>
      <c r="CA10" s="5">
        <f t="shared" si="51"/>
        <v>1</v>
      </c>
      <c r="CB10" s="5">
        <f t="shared" si="52"/>
        <v>6.9999999999999991</v>
      </c>
      <c r="CC10" s="5">
        <f t="shared" si="53"/>
        <v>1.8000000000000016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5</v>
      </c>
    </row>
    <row r="11" spans="1:89" ht="47" customHeight="1">
      <c r="A11" s="74">
        <f t="shared" si="0"/>
        <v>10341</v>
      </c>
      <c r="B11" s="81">
        <v>501</v>
      </c>
      <c r="C11" s="97" t="s">
        <v>940</v>
      </c>
      <c r="D11" s="76">
        <v>0.5625</v>
      </c>
      <c r="E11" s="75">
        <v>0.70833333333333337</v>
      </c>
      <c r="F11" s="89">
        <f t="shared" si="9"/>
        <v>3.5000000000000009</v>
      </c>
      <c r="G11" s="75">
        <v>0.41666666666666669</v>
      </c>
      <c r="H11" s="76">
        <v>0.70833333333333337</v>
      </c>
      <c r="I11" s="89">
        <f t="shared" si="10"/>
        <v>6.5</v>
      </c>
      <c r="J11" s="76"/>
      <c r="K11" s="76"/>
      <c r="L11" s="89">
        <f t="shared" si="11"/>
        <v>0</v>
      </c>
      <c r="M11" s="75"/>
      <c r="N11" s="75"/>
      <c r="O11" s="89">
        <f t="shared" si="12"/>
        <v>0</v>
      </c>
      <c r="P11" s="76"/>
      <c r="Q11" s="75"/>
      <c r="R11" s="89">
        <f t="shared" si="13"/>
        <v>0</v>
      </c>
      <c r="S11" s="76"/>
      <c r="T11" s="75"/>
      <c r="U11" s="89">
        <f t="shared" si="14"/>
        <v>0</v>
      </c>
      <c r="V11" s="75"/>
      <c r="W11" s="76"/>
      <c r="X11" s="89">
        <f t="shared" si="15"/>
        <v>0</v>
      </c>
      <c r="Y11" s="89"/>
      <c r="Z11" s="89"/>
      <c r="AA11" s="89"/>
      <c r="AB11" s="93">
        <f t="shared" si="16"/>
        <v>10</v>
      </c>
      <c r="AC11" s="90"/>
      <c r="AD11" s="78"/>
      <c r="AE11" s="91">
        <f t="shared" si="17"/>
        <v>6.5</v>
      </c>
      <c r="AF11" s="77"/>
      <c r="AG11" s="91">
        <f t="shared" si="18"/>
        <v>0</v>
      </c>
      <c r="AH11" s="78"/>
      <c r="AI11" s="91">
        <f t="shared" si="19"/>
        <v>0</v>
      </c>
      <c r="AJ11" s="77"/>
      <c r="AK11" s="91">
        <f t="shared" si="20"/>
        <v>3.5000000000000009</v>
      </c>
      <c r="AL11" s="78"/>
      <c r="AM11" s="91">
        <f t="shared" si="21"/>
        <v>0</v>
      </c>
      <c r="AN11" s="77"/>
      <c r="AO11" s="91">
        <f t="shared" si="22"/>
        <v>0</v>
      </c>
      <c r="AP11" s="92">
        <f t="shared" si="23"/>
        <v>2</v>
      </c>
      <c r="AQ11" s="77"/>
      <c r="AR11" s="77"/>
      <c r="AS11" s="77"/>
      <c r="AT11" s="63">
        <f t="shared" si="24"/>
        <v>10</v>
      </c>
      <c r="AU11" s="78"/>
      <c r="AV11" s="5"/>
      <c r="AW11" s="5"/>
      <c r="AX11" s="5"/>
      <c r="AY11" s="5"/>
      <c r="AZ11" s="24">
        <f>VLOOKUP(C11,Employees!D:I,6,FALSE)</f>
        <v>10341</v>
      </c>
      <c r="BA11" s="5">
        <f t="shared" si="25"/>
        <v>3.5000000000000009</v>
      </c>
      <c r="BB11" s="5">
        <f t="shared" si="26"/>
        <v>0</v>
      </c>
      <c r="BC11" s="5">
        <f t="shared" si="27"/>
        <v>3.5000000000000009</v>
      </c>
      <c r="BD11" s="5">
        <f t="shared" si="28"/>
        <v>0</v>
      </c>
      <c r="BE11" s="5">
        <f t="shared" si="29"/>
        <v>0</v>
      </c>
      <c r="BF11" s="5">
        <f t="shared" si="30"/>
        <v>7</v>
      </c>
      <c r="BG11" s="5">
        <f t="shared" si="31"/>
        <v>0.5</v>
      </c>
      <c r="BH11" s="5">
        <f t="shared" si="32"/>
        <v>6.5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2</v>
      </c>
    </row>
    <row r="12" spans="1:89" ht="47" customHeight="1">
      <c r="A12" s="74">
        <f t="shared" si="0"/>
        <v>10289</v>
      </c>
      <c r="B12" s="81">
        <v>501</v>
      </c>
      <c r="C12" s="97" t="s">
        <v>815</v>
      </c>
      <c r="D12" s="76">
        <v>0.45833333333333331</v>
      </c>
      <c r="E12" s="75">
        <v>0.625</v>
      </c>
      <c r="F12" s="89">
        <f t="shared" si="9"/>
        <v>4</v>
      </c>
      <c r="G12" s="75"/>
      <c r="H12" s="76"/>
      <c r="I12" s="89">
        <f t="shared" si="10"/>
        <v>0</v>
      </c>
      <c r="J12" s="76">
        <v>0.41666666666666669</v>
      </c>
      <c r="K12" s="76">
        <v>0.75</v>
      </c>
      <c r="L12" s="89">
        <f t="shared" si="11"/>
        <v>7.5</v>
      </c>
      <c r="M12" s="75"/>
      <c r="N12" s="75"/>
      <c r="O12" s="89">
        <f t="shared" si="12"/>
        <v>0</v>
      </c>
      <c r="P12" s="76"/>
      <c r="Q12" s="75"/>
      <c r="R12" s="89">
        <f t="shared" si="13"/>
        <v>0</v>
      </c>
      <c r="S12" s="76"/>
      <c r="T12" s="75"/>
      <c r="U12" s="89">
        <f t="shared" si="14"/>
        <v>0</v>
      </c>
      <c r="V12" s="75"/>
      <c r="W12" s="76"/>
      <c r="X12" s="89">
        <f t="shared" si="15"/>
        <v>0</v>
      </c>
      <c r="Y12" s="89"/>
      <c r="Z12" s="89"/>
      <c r="AA12" s="89"/>
      <c r="AB12" s="93">
        <f t="shared" si="16"/>
        <v>11.5</v>
      </c>
      <c r="AC12" s="90"/>
      <c r="AD12" s="78"/>
      <c r="AE12" s="91">
        <f t="shared" si="17"/>
        <v>7.5</v>
      </c>
      <c r="AF12" s="77"/>
      <c r="AG12" s="91">
        <f t="shared" si="18"/>
        <v>0</v>
      </c>
      <c r="AH12" s="77"/>
      <c r="AI12" s="91">
        <f t="shared" si="19"/>
        <v>0</v>
      </c>
      <c r="AJ12" s="77"/>
      <c r="AK12" s="91">
        <f t="shared" si="20"/>
        <v>4</v>
      </c>
      <c r="AL12" s="78"/>
      <c r="AM12" s="91">
        <f t="shared" si="21"/>
        <v>0</v>
      </c>
      <c r="AN12" s="77"/>
      <c r="AO12" s="91">
        <f t="shared" si="22"/>
        <v>0</v>
      </c>
      <c r="AP12" s="92">
        <f t="shared" si="23"/>
        <v>2</v>
      </c>
      <c r="AQ12" s="77"/>
      <c r="AR12" s="77"/>
      <c r="AS12" s="77"/>
      <c r="AT12" s="63">
        <f t="shared" si="24"/>
        <v>11.5</v>
      </c>
      <c r="AU12" s="78"/>
      <c r="AV12" s="5"/>
      <c r="AW12" s="5"/>
      <c r="AX12" s="5"/>
      <c r="AY12" s="5"/>
      <c r="AZ12" s="24">
        <f>VLOOKUP(C12,Employees!D:I,6,FALSE)</f>
        <v>10289</v>
      </c>
      <c r="BA12" s="5">
        <f t="shared" si="25"/>
        <v>4</v>
      </c>
      <c r="BB12" s="5">
        <f t="shared" si="26"/>
        <v>0</v>
      </c>
      <c r="BC12" s="5">
        <f t="shared" si="27"/>
        <v>4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8</v>
      </c>
      <c r="BL12" s="5">
        <f t="shared" si="36"/>
        <v>0.5</v>
      </c>
      <c r="BM12" s="5">
        <f t="shared" si="37"/>
        <v>7.5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2</v>
      </c>
    </row>
    <row r="13" spans="1:89" ht="47" customHeight="1">
      <c r="A13" s="74">
        <f t="shared" si="0"/>
        <v>210434</v>
      </c>
      <c r="B13" s="81">
        <v>501</v>
      </c>
      <c r="C13" s="97" t="s">
        <v>1187</v>
      </c>
      <c r="D13" s="76"/>
      <c r="E13" s="75"/>
      <c r="F13" s="89">
        <f t="shared" si="9"/>
        <v>0</v>
      </c>
      <c r="G13" s="75"/>
      <c r="H13" s="76"/>
      <c r="I13" s="89">
        <f t="shared" si="10"/>
        <v>0</v>
      </c>
      <c r="J13" s="76"/>
      <c r="K13" s="76"/>
      <c r="L13" s="89">
        <f t="shared" si="11"/>
        <v>0</v>
      </c>
      <c r="M13" s="75"/>
      <c r="N13" s="75"/>
      <c r="O13" s="89">
        <f t="shared" si="12"/>
        <v>0</v>
      </c>
      <c r="P13" s="76"/>
      <c r="Q13" s="75"/>
      <c r="R13" s="89">
        <f t="shared" si="13"/>
        <v>0</v>
      </c>
      <c r="S13" s="76"/>
      <c r="T13" s="75"/>
      <c r="U13" s="89">
        <f t="shared" si="14"/>
        <v>0</v>
      </c>
      <c r="V13" s="75"/>
      <c r="W13" s="76"/>
      <c r="X13" s="89">
        <f t="shared" si="15"/>
        <v>0</v>
      </c>
      <c r="Y13" s="89"/>
      <c r="Z13" s="89"/>
      <c r="AA13" s="89"/>
      <c r="AB13" s="93">
        <f t="shared" si="16"/>
        <v>0</v>
      </c>
      <c r="AC13" s="90"/>
      <c r="AD13" s="77"/>
      <c r="AE13" s="91">
        <f t="shared" si="17"/>
        <v>0</v>
      </c>
      <c r="AF13" s="77"/>
      <c r="AG13" s="91">
        <f t="shared" si="18"/>
        <v>0</v>
      </c>
      <c r="AH13" s="77"/>
      <c r="AI13" s="91">
        <f t="shared" si="19"/>
        <v>0</v>
      </c>
      <c r="AJ13" s="77"/>
      <c r="AK13" s="91">
        <f t="shared" si="20"/>
        <v>0</v>
      </c>
      <c r="AL13" s="78"/>
      <c r="AM13" s="91">
        <f t="shared" si="21"/>
        <v>0</v>
      </c>
      <c r="AN13" s="77"/>
      <c r="AO13" s="91">
        <f t="shared" si="22"/>
        <v>0</v>
      </c>
      <c r="AP13" s="92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>
        <f>VLOOKUP(C13,Employees!D:I,6,FALSE)</f>
        <v>210434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>
        <f t="shared" si="0"/>
        <v>10387</v>
      </c>
      <c r="B14" s="81">
        <v>501</v>
      </c>
      <c r="C14" s="97" t="s">
        <v>1067</v>
      </c>
      <c r="D14" s="76">
        <v>0.6875</v>
      </c>
      <c r="E14" s="75">
        <v>0.83333333333333337</v>
      </c>
      <c r="F14" s="89">
        <f t="shared" si="9"/>
        <v>3.5000000000000009</v>
      </c>
      <c r="G14" s="75"/>
      <c r="H14" s="76"/>
      <c r="I14" s="89">
        <f t="shared" si="10"/>
        <v>0</v>
      </c>
      <c r="J14" s="76"/>
      <c r="K14" s="76"/>
      <c r="L14" s="89">
        <f t="shared" si="11"/>
        <v>0</v>
      </c>
      <c r="M14" s="75"/>
      <c r="N14" s="75"/>
      <c r="O14" s="89">
        <f t="shared" si="12"/>
        <v>0</v>
      </c>
      <c r="P14" s="76"/>
      <c r="Q14" s="75"/>
      <c r="R14" s="89">
        <f t="shared" si="13"/>
        <v>0</v>
      </c>
      <c r="S14" s="76">
        <v>0.41666666666666669</v>
      </c>
      <c r="T14" s="75">
        <v>0.70833333333333337</v>
      </c>
      <c r="U14" s="89">
        <f t="shared" si="14"/>
        <v>6.5</v>
      </c>
      <c r="V14" s="75">
        <v>0.41666666666666669</v>
      </c>
      <c r="W14" s="76">
        <v>0.70833333333333337</v>
      </c>
      <c r="X14" s="89">
        <f t="shared" si="15"/>
        <v>6.5</v>
      </c>
      <c r="Y14" s="89"/>
      <c r="Z14" s="89"/>
      <c r="AA14" s="89"/>
      <c r="AB14" s="93">
        <f t="shared" si="16"/>
        <v>16.5</v>
      </c>
      <c r="AC14" s="90"/>
      <c r="AD14" s="77"/>
      <c r="AE14" s="91">
        <f t="shared" si="17"/>
        <v>0</v>
      </c>
      <c r="AF14" s="77"/>
      <c r="AG14" s="91">
        <f t="shared" si="18"/>
        <v>6.5</v>
      </c>
      <c r="AH14" s="77"/>
      <c r="AI14" s="91">
        <f t="shared" si="19"/>
        <v>6.5</v>
      </c>
      <c r="AJ14" s="77"/>
      <c r="AK14" s="91">
        <f t="shared" si="20"/>
        <v>3.5000000000000009</v>
      </c>
      <c r="AL14" s="78"/>
      <c r="AM14" s="91">
        <f t="shared" si="21"/>
        <v>0</v>
      </c>
      <c r="AN14" s="77"/>
      <c r="AO14" s="91">
        <f t="shared" si="22"/>
        <v>0</v>
      </c>
      <c r="AP14" s="92">
        <f t="shared" si="23"/>
        <v>3</v>
      </c>
      <c r="AQ14" s="77"/>
      <c r="AR14" s="77"/>
      <c r="AS14" s="77"/>
      <c r="AT14" s="63">
        <f t="shared" si="24"/>
        <v>16.5</v>
      </c>
      <c r="AU14" s="77"/>
      <c r="AV14" s="5"/>
      <c r="AW14" s="5"/>
      <c r="AX14" s="5"/>
      <c r="AY14" s="5"/>
      <c r="AZ14" s="24">
        <f>VLOOKUP(C14,Employees!D:I,6,FALSE)</f>
        <v>10387</v>
      </c>
      <c r="BA14" s="5">
        <f t="shared" si="25"/>
        <v>3.5000000000000009</v>
      </c>
      <c r="BB14" s="5">
        <f t="shared" si="26"/>
        <v>0</v>
      </c>
      <c r="BC14" s="5">
        <f t="shared" si="27"/>
        <v>3.5000000000000009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7</v>
      </c>
      <c r="CA14" s="5">
        <f t="shared" si="51"/>
        <v>0.5</v>
      </c>
      <c r="CB14" s="5">
        <f t="shared" si="52"/>
        <v>6.5</v>
      </c>
      <c r="CC14" s="5">
        <f t="shared" si="53"/>
        <v>0</v>
      </c>
      <c r="CD14" s="5">
        <f t="shared" si="54"/>
        <v>0</v>
      </c>
      <c r="CE14" s="5">
        <f t="shared" si="55"/>
        <v>7</v>
      </c>
      <c r="CF14" s="5">
        <f t="shared" si="56"/>
        <v>0.5</v>
      </c>
      <c r="CG14" s="5">
        <f t="shared" si="57"/>
        <v>6.5</v>
      </c>
      <c r="CH14" s="5">
        <f t="shared" si="58"/>
        <v>0</v>
      </c>
      <c r="CI14" s="5">
        <f t="shared" si="59"/>
        <v>0</v>
      </c>
      <c r="CJ14" s="5"/>
      <c r="CK14" s="4">
        <f t="shared" si="8"/>
        <v>3</v>
      </c>
    </row>
    <row r="15" spans="1:89" ht="47" customHeight="1">
      <c r="A15" s="74">
        <f t="shared" si="0"/>
        <v>10388</v>
      </c>
      <c r="B15" s="81">
        <v>501</v>
      </c>
      <c r="C15" s="98" t="s">
        <v>1517</v>
      </c>
      <c r="D15" s="76">
        <v>0.54166666666666663</v>
      </c>
      <c r="E15" s="75">
        <v>0.6875</v>
      </c>
      <c r="F15" s="89">
        <f t="shared" si="9"/>
        <v>3.5000000000000009</v>
      </c>
      <c r="G15" s="75"/>
      <c r="H15" s="76"/>
      <c r="I15" s="89">
        <f t="shared" si="10"/>
        <v>0</v>
      </c>
      <c r="J15" s="76">
        <v>0.45833333333333331</v>
      </c>
      <c r="K15" s="76">
        <v>0.89583333333333337</v>
      </c>
      <c r="L15" s="89">
        <f t="shared" si="11"/>
        <v>9.5000000000000018</v>
      </c>
      <c r="M15" s="75"/>
      <c r="N15" s="75"/>
      <c r="O15" s="89">
        <f t="shared" si="12"/>
        <v>0</v>
      </c>
      <c r="P15" s="76">
        <v>0.75</v>
      </c>
      <c r="Q15" s="75">
        <v>1.0090277777777779</v>
      </c>
      <c r="R15" s="89">
        <f t="shared" si="13"/>
        <v>5.7166666666666686</v>
      </c>
      <c r="S15" s="76">
        <v>0.5</v>
      </c>
      <c r="T15" s="75">
        <v>0.91666666666666663</v>
      </c>
      <c r="U15" s="89">
        <f t="shared" si="14"/>
        <v>9</v>
      </c>
      <c r="V15" s="75"/>
      <c r="W15" s="76"/>
      <c r="X15" s="89">
        <f t="shared" si="15"/>
        <v>0</v>
      </c>
      <c r="Y15" s="89"/>
      <c r="Z15" s="89"/>
      <c r="AA15" s="89"/>
      <c r="AB15" s="93">
        <f t="shared" si="16"/>
        <v>27.716666666666672</v>
      </c>
      <c r="AC15" s="90"/>
      <c r="AD15" s="77"/>
      <c r="AE15" s="91">
        <f t="shared" si="17"/>
        <v>13</v>
      </c>
      <c r="AF15" s="77"/>
      <c r="AG15" s="91">
        <f t="shared" si="18"/>
        <v>9.2166666666666686</v>
      </c>
      <c r="AH15" s="77"/>
      <c r="AI15" s="91">
        <f t="shared" si="19"/>
        <v>0</v>
      </c>
      <c r="AJ15" s="77"/>
      <c r="AK15" s="91">
        <f t="shared" si="20"/>
        <v>3.5000000000000009</v>
      </c>
      <c r="AL15" s="78"/>
      <c r="AM15" s="91">
        <f t="shared" si="21"/>
        <v>2.0000000000000009</v>
      </c>
      <c r="AN15" s="77"/>
      <c r="AO15" s="91">
        <f t="shared" si="22"/>
        <v>0</v>
      </c>
      <c r="AP15" s="92">
        <f t="shared" si="23"/>
        <v>4</v>
      </c>
      <c r="AQ15" s="77"/>
      <c r="AR15" s="77"/>
      <c r="AS15" s="77"/>
      <c r="AT15" s="63">
        <f t="shared" si="24"/>
        <v>27.716666666666669</v>
      </c>
      <c r="AU15" s="77"/>
      <c r="AV15" s="5"/>
      <c r="AW15" s="5"/>
      <c r="AX15" s="5"/>
      <c r="AY15" s="5"/>
      <c r="AZ15" s="24">
        <f>VLOOKUP(C15,Employees!D:I,6,FALSE)</f>
        <v>10388</v>
      </c>
      <c r="BA15" s="5">
        <f t="shared" si="25"/>
        <v>3.5000000000000009</v>
      </c>
      <c r="BB15" s="5">
        <f t="shared" si="26"/>
        <v>0</v>
      </c>
      <c r="BC15" s="5">
        <f t="shared" si="27"/>
        <v>3.5000000000000009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10.500000000000002</v>
      </c>
      <c r="BL15" s="5">
        <f t="shared" si="36"/>
        <v>1</v>
      </c>
      <c r="BM15" s="5">
        <f t="shared" si="37"/>
        <v>9.5000000000000018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6.2166666666666686</v>
      </c>
      <c r="BV15" s="5">
        <f t="shared" si="46"/>
        <v>0.5</v>
      </c>
      <c r="BW15" s="5">
        <f t="shared" si="47"/>
        <v>3.4999999999999991</v>
      </c>
      <c r="BX15" s="5">
        <f t="shared" si="48"/>
        <v>2.0000000000000009</v>
      </c>
      <c r="BY15" s="5">
        <f t="shared" si="49"/>
        <v>0.21666666666666856</v>
      </c>
      <c r="BZ15" s="5">
        <f t="shared" si="50"/>
        <v>10</v>
      </c>
      <c r="CA15" s="5">
        <f t="shared" si="51"/>
        <v>1</v>
      </c>
      <c r="CB15" s="5">
        <f t="shared" si="52"/>
        <v>9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4</v>
      </c>
    </row>
    <row r="16" spans="1:89" ht="47" customHeight="1">
      <c r="A16" s="74">
        <f t="shared" si="0"/>
        <v>210413</v>
      </c>
      <c r="B16" s="81">
        <v>501</v>
      </c>
      <c r="C16" s="97" t="s">
        <v>1138</v>
      </c>
      <c r="D16" s="76">
        <v>0.83333333333333337</v>
      </c>
      <c r="E16" s="75">
        <v>0.99583333333333335</v>
      </c>
      <c r="F16" s="89">
        <f t="shared" si="9"/>
        <v>3.8999999999999995</v>
      </c>
      <c r="G16" s="75">
        <v>0.5</v>
      </c>
      <c r="H16" s="76">
        <v>0.89583333333333337</v>
      </c>
      <c r="I16" s="89">
        <f>BF16-BG16</f>
        <v>8.5</v>
      </c>
      <c r="J16" s="76"/>
      <c r="K16" s="76"/>
      <c r="L16" s="89">
        <f t="shared" si="11"/>
        <v>0</v>
      </c>
      <c r="M16" s="75"/>
      <c r="N16" s="75"/>
      <c r="O16" s="89">
        <f t="shared" si="12"/>
        <v>0</v>
      </c>
      <c r="P16" s="76">
        <v>0.70833333333333337</v>
      </c>
      <c r="Q16" s="75">
        <v>1.0090277777777779</v>
      </c>
      <c r="R16" s="89">
        <f t="shared" si="13"/>
        <v>6.7166666666666677</v>
      </c>
      <c r="S16" s="76"/>
      <c r="T16" s="75"/>
      <c r="U16" s="89">
        <f t="shared" si="14"/>
        <v>0</v>
      </c>
      <c r="V16" s="75">
        <v>0.5</v>
      </c>
      <c r="W16" s="76">
        <v>0.89583333333333337</v>
      </c>
      <c r="X16" s="89">
        <f t="shared" si="15"/>
        <v>8.5</v>
      </c>
      <c r="Y16" s="89"/>
      <c r="Z16" s="89"/>
      <c r="AA16" s="89"/>
      <c r="AB16" s="93">
        <f t="shared" si="16"/>
        <v>27.616666666666667</v>
      </c>
      <c r="AC16" s="90"/>
      <c r="AD16" s="77"/>
      <c r="AE16" s="91">
        <f t="shared" si="17"/>
        <v>12.999999999999998</v>
      </c>
      <c r="AF16" s="77"/>
      <c r="AG16" s="91">
        <f t="shared" si="18"/>
        <v>0.21666666666666856</v>
      </c>
      <c r="AH16" s="77"/>
      <c r="AI16" s="91">
        <f t="shared" si="19"/>
        <v>8.5</v>
      </c>
      <c r="AJ16" s="77"/>
      <c r="AK16" s="91">
        <f t="shared" si="20"/>
        <v>3.8999999999999995</v>
      </c>
      <c r="AL16" s="78"/>
      <c r="AM16" s="91">
        <f t="shared" si="21"/>
        <v>2.0000000000000009</v>
      </c>
      <c r="AN16" s="77"/>
      <c r="AO16" s="91">
        <f t="shared" si="22"/>
        <v>0</v>
      </c>
      <c r="AP16" s="92">
        <f t="shared" si="23"/>
        <v>4</v>
      </c>
      <c r="AQ16" s="77"/>
      <c r="AR16" s="77"/>
      <c r="AS16" s="77"/>
      <c r="AT16" s="63">
        <f t="shared" si="24"/>
        <v>27.616666666666667</v>
      </c>
      <c r="AU16" s="77"/>
      <c r="AV16" s="5"/>
      <c r="AW16" s="5"/>
      <c r="AX16" s="5"/>
      <c r="AY16" s="5"/>
      <c r="AZ16" s="24">
        <f>VLOOKUP(C16,Employees!D:I,6,FALSE)</f>
        <v>210413</v>
      </c>
      <c r="BA16" s="5">
        <f t="shared" si="25"/>
        <v>3.8999999999999995</v>
      </c>
      <c r="BB16" s="5">
        <f t="shared" si="26"/>
        <v>0</v>
      </c>
      <c r="BC16" s="5">
        <f t="shared" si="27"/>
        <v>1.9999999999999982</v>
      </c>
      <c r="BD16" s="5">
        <f t="shared" si="28"/>
        <v>1.9000000000000012</v>
      </c>
      <c r="BE16" s="5">
        <f t="shared" si="29"/>
        <v>0</v>
      </c>
      <c r="BF16" s="5">
        <f t="shared" si="30"/>
        <v>9.5</v>
      </c>
      <c r="BG16" s="5">
        <f t="shared" si="31"/>
        <v>1</v>
      </c>
      <c r="BH16" s="5">
        <f t="shared" si="32"/>
        <v>8.5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7.2166666666666677</v>
      </c>
      <c r="BV16" s="5">
        <f t="shared" si="46"/>
        <v>0.5</v>
      </c>
      <c r="BW16" s="5">
        <f t="shared" si="47"/>
        <v>4.4999999999999982</v>
      </c>
      <c r="BX16" s="5">
        <f t="shared" si="48"/>
        <v>2.0000000000000009</v>
      </c>
      <c r="BY16" s="5">
        <f t="shared" si="49"/>
        <v>0.21666666666666856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9.5</v>
      </c>
      <c r="CF16" s="5">
        <f t="shared" si="56"/>
        <v>1</v>
      </c>
      <c r="CG16" s="5">
        <f t="shared" si="57"/>
        <v>8.5</v>
      </c>
      <c r="CH16" s="5">
        <f t="shared" si="58"/>
        <v>0</v>
      </c>
      <c r="CI16" s="5">
        <f t="shared" si="59"/>
        <v>0</v>
      </c>
      <c r="CJ16" s="5"/>
      <c r="CK16" s="4">
        <f t="shared" si="8"/>
        <v>4</v>
      </c>
    </row>
    <row r="17" spans="1:89" ht="47" customHeight="1">
      <c r="A17" s="74">
        <f t="shared" si="0"/>
        <v>210554</v>
      </c>
      <c r="B17" s="81">
        <v>501</v>
      </c>
      <c r="C17" s="98" t="s">
        <v>1503</v>
      </c>
      <c r="D17" s="76"/>
      <c r="E17" s="75"/>
      <c r="F17" s="89">
        <f t="shared" si="9"/>
        <v>0</v>
      </c>
      <c r="G17" s="75"/>
      <c r="H17" s="76"/>
      <c r="I17" s="89">
        <f t="shared" si="10"/>
        <v>0</v>
      </c>
      <c r="J17" s="76"/>
      <c r="K17" s="76"/>
      <c r="L17" s="89">
        <f t="shared" si="11"/>
        <v>0</v>
      </c>
      <c r="M17" s="75">
        <v>0.70833333333333337</v>
      </c>
      <c r="N17" s="75">
        <v>1</v>
      </c>
      <c r="O17" s="89">
        <f t="shared" si="12"/>
        <v>6.4999999999999991</v>
      </c>
      <c r="P17" s="76"/>
      <c r="Q17" s="75"/>
      <c r="R17" s="89">
        <f t="shared" si="13"/>
        <v>0</v>
      </c>
      <c r="S17" s="76"/>
      <c r="T17" s="75"/>
      <c r="U17" s="89">
        <f t="shared" si="14"/>
        <v>0</v>
      </c>
      <c r="V17" s="75">
        <v>0.77083333333333337</v>
      </c>
      <c r="W17" s="76">
        <v>1</v>
      </c>
      <c r="X17" s="89">
        <f t="shared" si="15"/>
        <v>4.9999999999999991</v>
      </c>
      <c r="Y17" s="89"/>
      <c r="Z17" s="89"/>
      <c r="AA17" s="89"/>
      <c r="AB17" s="93">
        <f t="shared" si="16"/>
        <v>11.499999999999998</v>
      </c>
      <c r="AC17" s="90"/>
      <c r="AD17" s="77"/>
      <c r="AE17" s="91">
        <f t="shared" si="17"/>
        <v>4.4999999999999982</v>
      </c>
      <c r="AF17" s="77"/>
      <c r="AG17" s="91">
        <f t="shared" si="18"/>
        <v>0</v>
      </c>
      <c r="AH17" s="77"/>
      <c r="AI17" s="91">
        <f t="shared" si="19"/>
        <v>4.9999999999999991</v>
      </c>
      <c r="AJ17" s="77"/>
      <c r="AK17" s="91">
        <f t="shared" si="20"/>
        <v>0</v>
      </c>
      <c r="AL17" s="78"/>
      <c r="AM17" s="91">
        <f t="shared" si="21"/>
        <v>2.0000000000000009</v>
      </c>
      <c r="AN17" s="77"/>
      <c r="AO17" s="91">
        <f t="shared" si="22"/>
        <v>0</v>
      </c>
      <c r="AP17" s="92">
        <f t="shared" si="23"/>
        <v>2</v>
      </c>
      <c r="AQ17" s="77"/>
      <c r="AR17" s="77"/>
      <c r="AS17" s="77"/>
      <c r="AT17" s="63">
        <f t="shared" si="24"/>
        <v>11.499999999999996</v>
      </c>
      <c r="AU17" s="77"/>
      <c r="AV17" s="5"/>
      <c r="AW17" s="5"/>
      <c r="AX17" s="5"/>
      <c r="AY17" s="5"/>
      <c r="AZ17" s="24">
        <f>VLOOKUP(C17,Employees!D:I,6,FALSE)</f>
        <v>210554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6.9999999999999991</v>
      </c>
      <c r="BQ17" s="5">
        <f t="shared" si="41"/>
        <v>0.5</v>
      </c>
      <c r="BR17" s="5">
        <f t="shared" si="42"/>
        <v>4.4999999999999982</v>
      </c>
      <c r="BS17" s="5">
        <f t="shared" si="43"/>
        <v>2.0000000000000009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5.4999999999999991</v>
      </c>
      <c r="CF17" s="5">
        <f t="shared" si="56"/>
        <v>0.5</v>
      </c>
      <c r="CG17" s="5">
        <f t="shared" si="57"/>
        <v>2.9999999999999982</v>
      </c>
      <c r="CH17" s="5">
        <f t="shared" si="58"/>
        <v>2.0000000000000009</v>
      </c>
      <c r="CI17" s="5">
        <f t="shared" si="59"/>
        <v>0</v>
      </c>
      <c r="CJ17" s="5"/>
      <c r="CK17" s="4">
        <f t="shared" si="8"/>
        <v>2</v>
      </c>
    </row>
    <row r="18" spans="1:89" ht="47" customHeight="1">
      <c r="A18" s="74">
        <f t="shared" si="0"/>
        <v>210546</v>
      </c>
      <c r="B18" s="81">
        <v>501</v>
      </c>
      <c r="C18" s="98" t="s">
        <v>1488</v>
      </c>
      <c r="D18" s="76"/>
      <c r="E18" s="75"/>
      <c r="F18" s="89">
        <f t="shared" si="9"/>
        <v>0</v>
      </c>
      <c r="G18" s="75"/>
      <c r="H18" s="76"/>
      <c r="I18" s="89">
        <f t="shared" si="10"/>
        <v>0</v>
      </c>
      <c r="J18" s="76"/>
      <c r="K18" s="76"/>
      <c r="L18" s="89">
        <f t="shared" si="11"/>
        <v>0</v>
      </c>
      <c r="M18" s="75"/>
      <c r="N18" s="75"/>
      <c r="O18" s="89">
        <f t="shared" si="12"/>
        <v>0</v>
      </c>
      <c r="P18" s="76"/>
      <c r="Q18" s="75"/>
      <c r="R18" s="89">
        <f t="shared" si="13"/>
        <v>0</v>
      </c>
      <c r="S18" s="76"/>
      <c r="T18" s="75"/>
      <c r="U18" s="89">
        <f t="shared" si="14"/>
        <v>0</v>
      </c>
      <c r="V18" s="75"/>
      <c r="W18" s="76"/>
      <c r="X18" s="89">
        <f t="shared" si="15"/>
        <v>0</v>
      </c>
      <c r="Y18" s="89"/>
      <c r="Z18" s="89"/>
      <c r="AA18" s="89"/>
      <c r="AB18" s="93">
        <f t="shared" si="16"/>
        <v>0</v>
      </c>
      <c r="AC18" s="90"/>
      <c r="AD18" s="77"/>
      <c r="AE18" s="91">
        <f t="shared" si="17"/>
        <v>0</v>
      </c>
      <c r="AF18" s="77"/>
      <c r="AG18" s="91">
        <f t="shared" si="18"/>
        <v>0</v>
      </c>
      <c r="AH18" s="77"/>
      <c r="AI18" s="91">
        <f t="shared" si="19"/>
        <v>0</v>
      </c>
      <c r="AJ18" s="77"/>
      <c r="AK18" s="91">
        <f t="shared" si="20"/>
        <v>0</v>
      </c>
      <c r="AL18" s="78"/>
      <c r="AM18" s="91">
        <f t="shared" si="21"/>
        <v>0</v>
      </c>
      <c r="AN18" s="77"/>
      <c r="AO18" s="91">
        <f t="shared" si="22"/>
        <v>0</v>
      </c>
      <c r="AP18" s="92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>
        <f>VLOOKUP(C18,Employees!D:I,6,FALSE)</f>
        <v>210546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>
        <f t="shared" si="0"/>
        <v>210527</v>
      </c>
      <c r="B19" s="81">
        <v>501</v>
      </c>
      <c r="C19" s="99" t="s">
        <v>1442</v>
      </c>
      <c r="D19" s="76"/>
      <c r="E19" s="75"/>
      <c r="F19" s="89">
        <f t="shared" si="9"/>
        <v>0</v>
      </c>
      <c r="G19" s="75"/>
      <c r="H19" s="76"/>
      <c r="I19" s="89">
        <f t="shared" si="10"/>
        <v>0</v>
      </c>
      <c r="J19" s="76"/>
      <c r="K19" s="76"/>
      <c r="L19" s="89">
        <f t="shared" si="11"/>
        <v>0</v>
      </c>
      <c r="M19" s="75"/>
      <c r="N19" s="75"/>
      <c r="O19" s="89">
        <f t="shared" si="12"/>
        <v>0</v>
      </c>
      <c r="P19" s="76"/>
      <c r="Q19" s="75"/>
      <c r="R19" s="89">
        <f t="shared" si="13"/>
        <v>0</v>
      </c>
      <c r="S19" s="76"/>
      <c r="T19" s="75"/>
      <c r="U19" s="89">
        <f t="shared" si="14"/>
        <v>0</v>
      </c>
      <c r="V19" s="75"/>
      <c r="W19" s="76"/>
      <c r="X19" s="89">
        <f t="shared" si="15"/>
        <v>0</v>
      </c>
      <c r="Y19" s="89"/>
      <c r="Z19" s="89"/>
      <c r="AA19" s="89"/>
      <c r="AB19" s="93">
        <f t="shared" si="16"/>
        <v>0</v>
      </c>
      <c r="AC19" s="90"/>
      <c r="AD19" s="77"/>
      <c r="AE19" s="91">
        <f t="shared" si="17"/>
        <v>0</v>
      </c>
      <c r="AF19" s="77"/>
      <c r="AG19" s="91">
        <f t="shared" si="18"/>
        <v>0</v>
      </c>
      <c r="AH19" s="77"/>
      <c r="AI19" s="91">
        <f t="shared" si="19"/>
        <v>0</v>
      </c>
      <c r="AJ19" s="77"/>
      <c r="AK19" s="91">
        <f t="shared" si="20"/>
        <v>0</v>
      </c>
      <c r="AL19" s="78"/>
      <c r="AM19" s="91">
        <f t="shared" si="21"/>
        <v>0</v>
      </c>
      <c r="AN19" s="77"/>
      <c r="AO19" s="91">
        <f t="shared" si="22"/>
        <v>0</v>
      </c>
      <c r="AP19" s="92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>
        <f>VLOOKUP(C19,Employees!D:I,6,FALSE)</f>
        <v>210527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>
        <f t="shared" si="0"/>
        <v>10252</v>
      </c>
      <c r="B20" s="81">
        <v>501</v>
      </c>
      <c r="C20" s="72" t="s">
        <v>1518</v>
      </c>
      <c r="D20" s="76"/>
      <c r="E20" s="75"/>
      <c r="F20" s="89">
        <f t="shared" si="9"/>
        <v>0</v>
      </c>
      <c r="G20" s="75"/>
      <c r="H20" s="76"/>
      <c r="I20" s="89">
        <f t="shared" si="10"/>
        <v>0</v>
      </c>
      <c r="J20" s="76"/>
      <c r="K20" s="76"/>
      <c r="L20" s="89">
        <f t="shared" si="11"/>
        <v>0</v>
      </c>
      <c r="M20" s="75"/>
      <c r="N20" s="75"/>
      <c r="O20" s="89">
        <f t="shared" si="12"/>
        <v>0</v>
      </c>
      <c r="P20" s="76"/>
      <c r="Q20" s="75"/>
      <c r="R20" s="89">
        <f t="shared" si="13"/>
        <v>0</v>
      </c>
      <c r="S20" s="76"/>
      <c r="T20" s="75"/>
      <c r="U20" s="89">
        <f t="shared" si="14"/>
        <v>0</v>
      </c>
      <c r="V20" s="75">
        <v>0.70833333333333337</v>
      </c>
      <c r="W20" s="76">
        <v>1</v>
      </c>
      <c r="X20" s="89">
        <f t="shared" si="15"/>
        <v>6.4999999999999991</v>
      </c>
      <c r="Y20" s="89"/>
      <c r="Z20" s="89"/>
      <c r="AA20" s="89"/>
      <c r="AB20" s="93">
        <f t="shared" si="16"/>
        <v>6.4999999999999991</v>
      </c>
      <c r="AC20" s="90"/>
      <c r="AD20" s="77"/>
      <c r="AE20" s="91">
        <f t="shared" si="17"/>
        <v>0</v>
      </c>
      <c r="AF20" s="77"/>
      <c r="AG20" s="91">
        <f t="shared" si="18"/>
        <v>0</v>
      </c>
      <c r="AH20" s="77"/>
      <c r="AI20" s="91">
        <f t="shared" si="19"/>
        <v>6.4999999999999991</v>
      </c>
      <c r="AJ20" s="77"/>
      <c r="AK20" s="91">
        <f t="shared" si="20"/>
        <v>0</v>
      </c>
      <c r="AL20" s="78"/>
      <c r="AM20" s="91">
        <f t="shared" si="21"/>
        <v>0</v>
      </c>
      <c r="AN20" s="77"/>
      <c r="AO20" s="91">
        <f t="shared" si="22"/>
        <v>0</v>
      </c>
      <c r="AP20" s="92">
        <f t="shared" si="23"/>
        <v>1</v>
      </c>
      <c r="AQ20" s="77"/>
      <c r="AR20" s="77"/>
      <c r="AS20" s="77"/>
      <c r="AT20" s="63">
        <f t="shared" si="24"/>
        <v>6.4999999999999991</v>
      </c>
      <c r="AU20" s="77"/>
      <c r="AV20" s="5"/>
      <c r="AW20" s="5"/>
      <c r="AX20" s="5"/>
      <c r="AY20" s="5"/>
      <c r="AZ20" s="24">
        <f>VLOOKUP(C20,Employees!D:I,6,FALSE)</f>
        <v>10252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6.9999999999999991</v>
      </c>
      <c r="CF20" s="5">
        <f t="shared" si="56"/>
        <v>0.5</v>
      </c>
      <c r="CG20" s="5">
        <f t="shared" si="57"/>
        <v>4.4999999999999982</v>
      </c>
      <c r="CH20" s="5">
        <f t="shared" si="58"/>
        <v>2.0000000000000009</v>
      </c>
      <c r="CI20" s="5">
        <f t="shared" si="59"/>
        <v>0</v>
      </c>
      <c r="CJ20" s="5"/>
      <c r="CK20" s="4">
        <f t="shared" si="8"/>
        <v>1</v>
      </c>
    </row>
    <row r="21" spans="1:89" ht="47" customHeight="1">
      <c r="A21" s="74">
        <f t="shared" si="0"/>
        <v>10338</v>
      </c>
      <c r="B21" s="81">
        <v>501</v>
      </c>
      <c r="C21" s="72" t="s">
        <v>935</v>
      </c>
      <c r="D21" s="76"/>
      <c r="E21" s="75"/>
      <c r="F21" s="89">
        <f t="shared" ref="F21:F29" si="60">BA21-BB21</f>
        <v>0</v>
      </c>
      <c r="G21" s="75">
        <v>0.70833333333333337</v>
      </c>
      <c r="H21" s="76">
        <v>1</v>
      </c>
      <c r="I21" s="89">
        <f t="shared" ref="I21:I29" si="61">BF21-BG21</f>
        <v>6.4999999999999991</v>
      </c>
      <c r="J21" s="76"/>
      <c r="K21" s="76"/>
      <c r="L21" s="89">
        <f t="shared" ref="L21:L29" si="62">BK21-BL21</f>
        <v>0</v>
      </c>
      <c r="M21" s="75"/>
      <c r="N21" s="75"/>
      <c r="O21" s="89">
        <f t="shared" ref="O21:O29" si="63">BP21-BQ21</f>
        <v>0</v>
      </c>
      <c r="P21" s="76"/>
      <c r="Q21" s="75"/>
      <c r="R21" s="89">
        <f t="shared" ref="R21:R29" si="64">BU21-BV21</f>
        <v>0</v>
      </c>
      <c r="S21" s="76"/>
      <c r="T21" s="76"/>
      <c r="U21" s="89">
        <f t="shared" ref="U21:U29" si="65">BZ21-CA21</f>
        <v>0</v>
      </c>
      <c r="V21" s="75"/>
      <c r="W21" s="76"/>
      <c r="X21" s="89">
        <f t="shared" ref="X21:X29" si="66">CE21-CF21</f>
        <v>0</v>
      </c>
      <c r="Y21" s="89"/>
      <c r="Z21" s="89"/>
      <c r="AA21" s="89"/>
      <c r="AB21" s="93">
        <f t="shared" ref="AB21:AB29" si="67">SUM(F21,I21,L21,O21,R21,U21,X21)</f>
        <v>6.4999999999999991</v>
      </c>
      <c r="AC21" s="90"/>
      <c r="AD21" s="77"/>
      <c r="AE21" s="91">
        <f t="shared" ref="AE21:AE29" si="68">SUMIF($BC$1:$CI$1,AE$1,$BC21:$CI21)+AD21</f>
        <v>4.4999999999999982</v>
      </c>
      <c r="AF21" s="77"/>
      <c r="AG21" s="91">
        <f t="shared" ref="AG21:AG29" si="69">SUMIF($BC$1:$CI$1,AG$1,$BC21:$CI21)+AF21</f>
        <v>0</v>
      </c>
      <c r="AH21" s="77"/>
      <c r="AI21" s="91">
        <f t="shared" ref="AI21:AI29" si="70">SUMIF($BC$1:$CI$1,AI$1,$BC21:$CI21)+AH21</f>
        <v>0</v>
      </c>
      <c r="AJ21" s="77"/>
      <c r="AK21" s="91">
        <f t="shared" ref="AK21:AK29" si="71">SUMIF($BC$1:$CI$1,AK$1,$BC21:$CI21)+AJ21</f>
        <v>0</v>
      </c>
      <c r="AL21" s="78"/>
      <c r="AM21" s="91">
        <f t="shared" ref="AM21:AM29" si="72">SUMIF($BC$1:$CI$1,AM$1,$BC21:$CI21)+AL21</f>
        <v>2.0000000000000009</v>
      </c>
      <c r="AN21" s="77"/>
      <c r="AO21" s="91">
        <f t="shared" ref="AO21:AO29" si="73">SUMIF($BC$1:$CI$1,AO$1,$BC21:$CI21)+AN21</f>
        <v>0</v>
      </c>
      <c r="AP21" s="92">
        <f t="shared" ref="AP21:AP29" si="74">CK21</f>
        <v>1</v>
      </c>
      <c r="AQ21" s="77"/>
      <c r="AR21" s="77"/>
      <c r="AS21" s="77"/>
      <c r="AT21" s="63">
        <f t="shared" ref="AT21:AT29" si="75">AE21+AG21+AI21+AK21+AM21+AO21+SUM(AQ21:AS21)</f>
        <v>6.4999999999999991</v>
      </c>
      <c r="AU21" s="77"/>
      <c r="AV21" s="5"/>
      <c r="AW21" s="5"/>
      <c r="AX21" s="5"/>
      <c r="AY21" s="5"/>
      <c r="AZ21" s="24">
        <f>VLOOKUP(C21,Employees!D:I,6,FALSE)</f>
        <v>10338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6.9999999999999991</v>
      </c>
      <c r="BG21" s="5">
        <f t="shared" si="31"/>
        <v>0.5</v>
      </c>
      <c r="BH21" s="5">
        <f t="shared" si="32"/>
        <v>4.4999999999999982</v>
      </c>
      <c r="BI21" s="5">
        <f t="shared" si="33"/>
        <v>2.0000000000000009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1</v>
      </c>
    </row>
    <row r="22" spans="1:89" ht="47" customHeight="1">
      <c r="A22" s="74">
        <f t="shared" si="0"/>
        <v>210525</v>
      </c>
      <c r="B22" s="81">
        <v>501</v>
      </c>
      <c r="C22" s="72" t="s">
        <v>1519</v>
      </c>
      <c r="D22" s="76"/>
      <c r="E22" s="75"/>
      <c r="F22" s="89">
        <f t="shared" si="60"/>
        <v>0</v>
      </c>
      <c r="G22" s="75"/>
      <c r="H22" s="76"/>
      <c r="I22" s="89">
        <f t="shared" si="61"/>
        <v>0</v>
      </c>
      <c r="J22" s="76">
        <v>0.70833333333333337</v>
      </c>
      <c r="K22" s="76">
        <v>0.97916666666666663</v>
      </c>
      <c r="L22" s="89">
        <f t="shared" si="62"/>
        <v>5.9999999999999982</v>
      </c>
      <c r="M22" s="75"/>
      <c r="N22" s="75"/>
      <c r="O22" s="89">
        <f t="shared" si="63"/>
        <v>0</v>
      </c>
      <c r="P22" s="76"/>
      <c r="Q22" s="75"/>
      <c r="R22" s="89">
        <f t="shared" si="64"/>
        <v>0</v>
      </c>
      <c r="S22" s="76"/>
      <c r="T22" s="76"/>
      <c r="U22" s="89">
        <f t="shared" si="65"/>
        <v>0</v>
      </c>
      <c r="V22" s="75"/>
      <c r="W22" s="76"/>
      <c r="X22" s="89">
        <f t="shared" si="66"/>
        <v>0</v>
      </c>
      <c r="Y22" s="89"/>
      <c r="Z22" s="89"/>
      <c r="AA22" s="89"/>
      <c r="AB22" s="93">
        <f t="shared" si="67"/>
        <v>5.9999999999999982</v>
      </c>
      <c r="AC22" s="90"/>
      <c r="AD22" s="77"/>
      <c r="AE22" s="91">
        <f t="shared" si="68"/>
        <v>4.4999999999999982</v>
      </c>
      <c r="AF22" s="77"/>
      <c r="AG22" s="91">
        <f t="shared" si="69"/>
        <v>0</v>
      </c>
      <c r="AH22" s="77"/>
      <c r="AI22" s="91">
        <f t="shared" si="70"/>
        <v>0</v>
      </c>
      <c r="AJ22" s="77"/>
      <c r="AK22" s="91">
        <f t="shared" si="71"/>
        <v>0</v>
      </c>
      <c r="AL22" s="78"/>
      <c r="AM22" s="91">
        <f t="shared" si="72"/>
        <v>1.5</v>
      </c>
      <c r="AN22" s="77"/>
      <c r="AO22" s="91">
        <f t="shared" si="73"/>
        <v>0</v>
      </c>
      <c r="AP22" s="92">
        <f t="shared" si="74"/>
        <v>1</v>
      </c>
      <c r="AQ22" s="77"/>
      <c r="AR22" s="77"/>
      <c r="AS22" s="77"/>
      <c r="AT22" s="63">
        <f t="shared" si="75"/>
        <v>5.9999999999999982</v>
      </c>
      <c r="AU22" s="77"/>
      <c r="AV22" s="5"/>
      <c r="AW22" s="5"/>
      <c r="AX22" s="5"/>
      <c r="AY22" s="5"/>
      <c r="AZ22" s="24">
        <f>VLOOKUP(C22,Employees!D:I,6,FALSE)</f>
        <v>210525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6.4999999999999982</v>
      </c>
      <c r="BL22" s="5">
        <f t="shared" si="36"/>
        <v>0.5</v>
      </c>
      <c r="BM22" s="5">
        <f t="shared" si="37"/>
        <v>4.4999999999999982</v>
      </c>
      <c r="BN22" s="5">
        <f t="shared" si="38"/>
        <v>1.5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1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89">
        <f t="shared" si="60"/>
        <v>0</v>
      </c>
      <c r="G23" s="75"/>
      <c r="H23" s="76"/>
      <c r="I23" s="89">
        <f t="shared" si="61"/>
        <v>0</v>
      </c>
      <c r="J23" s="76"/>
      <c r="K23" s="76"/>
      <c r="L23" s="89">
        <f t="shared" si="62"/>
        <v>0</v>
      </c>
      <c r="M23" s="75"/>
      <c r="N23" s="75"/>
      <c r="O23" s="89">
        <f t="shared" si="63"/>
        <v>0</v>
      </c>
      <c r="P23" s="76"/>
      <c r="Q23" s="75"/>
      <c r="R23" s="89">
        <f t="shared" si="64"/>
        <v>0</v>
      </c>
      <c r="S23" s="76"/>
      <c r="T23" s="76"/>
      <c r="U23" s="89">
        <f t="shared" si="65"/>
        <v>0</v>
      </c>
      <c r="V23" s="75"/>
      <c r="W23" s="76"/>
      <c r="X23" s="89">
        <f t="shared" si="66"/>
        <v>0</v>
      </c>
      <c r="Y23" s="89"/>
      <c r="Z23" s="89"/>
      <c r="AA23" s="89"/>
      <c r="AB23" s="93">
        <f t="shared" si="67"/>
        <v>0</v>
      </c>
      <c r="AC23" s="90"/>
      <c r="AD23" s="77"/>
      <c r="AE23" s="91">
        <f t="shared" si="68"/>
        <v>0</v>
      </c>
      <c r="AF23" s="77"/>
      <c r="AG23" s="91">
        <f t="shared" si="69"/>
        <v>0</v>
      </c>
      <c r="AH23" s="77"/>
      <c r="AI23" s="91">
        <f t="shared" si="70"/>
        <v>0</v>
      </c>
      <c r="AJ23" s="77"/>
      <c r="AK23" s="91">
        <f t="shared" si="71"/>
        <v>0</v>
      </c>
      <c r="AL23" s="78"/>
      <c r="AM23" s="91">
        <f t="shared" si="72"/>
        <v>0</v>
      </c>
      <c r="AN23" s="77"/>
      <c r="AO23" s="91">
        <f t="shared" si="73"/>
        <v>0</v>
      </c>
      <c r="AP23" s="92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89">
        <f t="shared" si="60"/>
        <v>0</v>
      </c>
      <c r="G24" s="75"/>
      <c r="H24" s="76"/>
      <c r="I24" s="89">
        <f t="shared" si="61"/>
        <v>0</v>
      </c>
      <c r="J24" s="76"/>
      <c r="K24" s="76"/>
      <c r="L24" s="89">
        <f t="shared" si="62"/>
        <v>0</v>
      </c>
      <c r="M24" s="75"/>
      <c r="N24" s="75"/>
      <c r="O24" s="89">
        <f t="shared" si="63"/>
        <v>0</v>
      </c>
      <c r="P24" s="76"/>
      <c r="Q24" s="76"/>
      <c r="R24" s="89">
        <f t="shared" si="64"/>
        <v>0</v>
      </c>
      <c r="S24" s="76"/>
      <c r="T24" s="76"/>
      <c r="U24" s="89">
        <f t="shared" si="65"/>
        <v>0</v>
      </c>
      <c r="V24" s="75"/>
      <c r="W24" s="76"/>
      <c r="X24" s="89">
        <f t="shared" si="66"/>
        <v>0</v>
      </c>
      <c r="Y24" s="89"/>
      <c r="Z24" s="89"/>
      <c r="AA24" s="89"/>
      <c r="AB24" s="93">
        <f t="shared" si="67"/>
        <v>0</v>
      </c>
      <c r="AC24" s="90"/>
      <c r="AD24" s="77"/>
      <c r="AE24" s="91">
        <f t="shared" si="68"/>
        <v>0</v>
      </c>
      <c r="AF24" s="77"/>
      <c r="AG24" s="91">
        <f t="shared" si="69"/>
        <v>0</v>
      </c>
      <c r="AH24" s="77"/>
      <c r="AI24" s="91">
        <f t="shared" si="70"/>
        <v>0</v>
      </c>
      <c r="AJ24" s="77"/>
      <c r="AK24" s="91">
        <f t="shared" si="71"/>
        <v>0</v>
      </c>
      <c r="AL24" s="78"/>
      <c r="AM24" s="91">
        <f t="shared" si="72"/>
        <v>0</v>
      </c>
      <c r="AN24" s="77"/>
      <c r="AO24" s="91">
        <f t="shared" si="73"/>
        <v>0</v>
      </c>
      <c r="AP24" s="92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89">
        <f t="shared" si="60"/>
        <v>0</v>
      </c>
      <c r="G25" s="75"/>
      <c r="H25" s="76"/>
      <c r="I25" s="89">
        <f t="shared" si="61"/>
        <v>0</v>
      </c>
      <c r="J25" s="76"/>
      <c r="K25" s="76"/>
      <c r="L25" s="89">
        <f t="shared" si="62"/>
        <v>0</v>
      </c>
      <c r="M25" s="75"/>
      <c r="N25" s="75"/>
      <c r="O25" s="89">
        <f t="shared" si="63"/>
        <v>0</v>
      </c>
      <c r="P25" s="76"/>
      <c r="Q25" s="76"/>
      <c r="R25" s="89">
        <f t="shared" si="64"/>
        <v>0</v>
      </c>
      <c r="S25" s="76"/>
      <c r="T25" s="76"/>
      <c r="U25" s="89">
        <f t="shared" si="65"/>
        <v>0</v>
      </c>
      <c r="V25" s="75"/>
      <c r="W25" s="76"/>
      <c r="X25" s="89">
        <f t="shared" si="66"/>
        <v>0</v>
      </c>
      <c r="Y25" s="89"/>
      <c r="Z25" s="89"/>
      <c r="AA25" s="89"/>
      <c r="AB25" s="93">
        <f t="shared" si="67"/>
        <v>0</v>
      </c>
      <c r="AC25" s="90"/>
      <c r="AD25" s="77"/>
      <c r="AE25" s="91">
        <f t="shared" si="68"/>
        <v>0</v>
      </c>
      <c r="AF25" s="77"/>
      <c r="AG25" s="91">
        <f t="shared" si="69"/>
        <v>0</v>
      </c>
      <c r="AH25" s="77"/>
      <c r="AI25" s="91">
        <f t="shared" si="70"/>
        <v>0</v>
      </c>
      <c r="AJ25" s="77"/>
      <c r="AK25" s="91">
        <f t="shared" si="71"/>
        <v>0</v>
      </c>
      <c r="AL25" s="78"/>
      <c r="AM25" s="91">
        <f t="shared" si="72"/>
        <v>0</v>
      </c>
      <c r="AN25" s="77"/>
      <c r="AO25" s="91">
        <f t="shared" si="73"/>
        <v>0</v>
      </c>
      <c r="AP25" s="92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89">
        <f t="shared" si="60"/>
        <v>0</v>
      </c>
      <c r="G26" s="75"/>
      <c r="H26" s="76"/>
      <c r="I26" s="89">
        <f t="shared" si="61"/>
        <v>0</v>
      </c>
      <c r="J26" s="76"/>
      <c r="K26" s="76"/>
      <c r="L26" s="89">
        <f t="shared" si="62"/>
        <v>0</v>
      </c>
      <c r="M26" s="75"/>
      <c r="N26" s="75"/>
      <c r="O26" s="89">
        <f t="shared" si="63"/>
        <v>0</v>
      </c>
      <c r="P26" s="76"/>
      <c r="Q26" s="76"/>
      <c r="R26" s="89">
        <f t="shared" si="64"/>
        <v>0</v>
      </c>
      <c r="S26" s="76"/>
      <c r="T26" s="76"/>
      <c r="U26" s="89">
        <f t="shared" si="65"/>
        <v>0</v>
      </c>
      <c r="V26" s="75"/>
      <c r="W26" s="76"/>
      <c r="X26" s="89">
        <f t="shared" si="66"/>
        <v>0</v>
      </c>
      <c r="Y26" s="89"/>
      <c r="Z26" s="89"/>
      <c r="AA26" s="89"/>
      <c r="AB26" s="93">
        <f t="shared" si="67"/>
        <v>0</v>
      </c>
      <c r="AC26" s="90"/>
      <c r="AD26" s="77"/>
      <c r="AE26" s="91">
        <f t="shared" si="68"/>
        <v>0</v>
      </c>
      <c r="AF26" s="77"/>
      <c r="AG26" s="91">
        <f t="shared" si="69"/>
        <v>0</v>
      </c>
      <c r="AH26" s="77"/>
      <c r="AI26" s="91">
        <f t="shared" si="70"/>
        <v>0</v>
      </c>
      <c r="AJ26" s="77"/>
      <c r="AK26" s="91">
        <f t="shared" si="71"/>
        <v>0</v>
      </c>
      <c r="AL26" s="78"/>
      <c r="AM26" s="91">
        <f t="shared" si="72"/>
        <v>0</v>
      </c>
      <c r="AN26" s="77"/>
      <c r="AO26" s="91">
        <f t="shared" si="73"/>
        <v>0</v>
      </c>
      <c r="AP26" s="92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89">
        <f t="shared" si="60"/>
        <v>0</v>
      </c>
      <c r="G27" s="75"/>
      <c r="H27" s="76"/>
      <c r="I27" s="89">
        <f t="shared" si="61"/>
        <v>0</v>
      </c>
      <c r="J27" s="76"/>
      <c r="K27" s="76"/>
      <c r="L27" s="89">
        <f t="shared" si="62"/>
        <v>0</v>
      </c>
      <c r="M27" s="75"/>
      <c r="N27" s="75"/>
      <c r="O27" s="89">
        <f t="shared" si="63"/>
        <v>0</v>
      </c>
      <c r="P27" s="76"/>
      <c r="Q27" s="76"/>
      <c r="R27" s="89">
        <f t="shared" si="64"/>
        <v>0</v>
      </c>
      <c r="S27" s="76"/>
      <c r="T27" s="76"/>
      <c r="U27" s="89">
        <f t="shared" si="65"/>
        <v>0</v>
      </c>
      <c r="V27" s="75"/>
      <c r="W27" s="76"/>
      <c r="X27" s="89">
        <f t="shared" si="66"/>
        <v>0</v>
      </c>
      <c r="Y27" s="89"/>
      <c r="Z27" s="89"/>
      <c r="AA27" s="89"/>
      <c r="AB27" s="93">
        <f t="shared" si="67"/>
        <v>0</v>
      </c>
      <c r="AC27" s="90"/>
      <c r="AD27" s="77"/>
      <c r="AE27" s="91">
        <f t="shared" si="68"/>
        <v>0</v>
      </c>
      <c r="AF27" s="77"/>
      <c r="AG27" s="91">
        <f t="shared" si="69"/>
        <v>0</v>
      </c>
      <c r="AH27" s="77"/>
      <c r="AI27" s="91">
        <f t="shared" si="70"/>
        <v>0</v>
      </c>
      <c r="AJ27" s="77"/>
      <c r="AK27" s="91">
        <f t="shared" si="71"/>
        <v>0</v>
      </c>
      <c r="AL27" s="78"/>
      <c r="AM27" s="91">
        <f t="shared" si="72"/>
        <v>0</v>
      </c>
      <c r="AN27" s="77"/>
      <c r="AO27" s="91">
        <f t="shared" si="73"/>
        <v>0</v>
      </c>
      <c r="AP27" s="92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89">
        <f t="shared" si="60"/>
        <v>0</v>
      </c>
      <c r="G28" s="75"/>
      <c r="H28" s="76"/>
      <c r="I28" s="89">
        <f t="shared" si="61"/>
        <v>0</v>
      </c>
      <c r="J28" s="76"/>
      <c r="K28" s="76"/>
      <c r="L28" s="89">
        <f t="shared" si="62"/>
        <v>0</v>
      </c>
      <c r="M28" s="75"/>
      <c r="N28" s="75"/>
      <c r="O28" s="89">
        <f t="shared" si="63"/>
        <v>0</v>
      </c>
      <c r="P28" s="76"/>
      <c r="Q28" s="76"/>
      <c r="R28" s="89">
        <f t="shared" si="64"/>
        <v>0</v>
      </c>
      <c r="S28" s="76"/>
      <c r="T28" s="76"/>
      <c r="U28" s="89">
        <f t="shared" si="65"/>
        <v>0</v>
      </c>
      <c r="V28" s="75"/>
      <c r="W28" s="76"/>
      <c r="X28" s="89">
        <f t="shared" si="66"/>
        <v>0</v>
      </c>
      <c r="Y28" s="89"/>
      <c r="Z28" s="89"/>
      <c r="AA28" s="89"/>
      <c r="AB28" s="93">
        <f t="shared" si="67"/>
        <v>0</v>
      </c>
      <c r="AC28" s="90"/>
      <c r="AD28" s="77"/>
      <c r="AE28" s="91">
        <f t="shared" si="68"/>
        <v>0</v>
      </c>
      <c r="AF28" s="77"/>
      <c r="AG28" s="91">
        <f t="shared" si="69"/>
        <v>0</v>
      </c>
      <c r="AH28" s="77"/>
      <c r="AI28" s="91">
        <f t="shared" si="70"/>
        <v>0</v>
      </c>
      <c r="AJ28" s="77"/>
      <c r="AK28" s="91">
        <f t="shared" si="71"/>
        <v>0</v>
      </c>
      <c r="AL28" s="78"/>
      <c r="AM28" s="91">
        <f t="shared" si="72"/>
        <v>0</v>
      </c>
      <c r="AN28" s="77"/>
      <c r="AO28" s="91">
        <f t="shared" si="73"/>
        <v>0</v>
      </c>
      <c r="AP28" s="92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89">
        <f t="shared" si="60"/>
        <v>0</v>
      </c>
      <c r="G29" s="75"/>
      <c r="H29" s="76"/>
      <c r="I29" s="89">
        <f t="shared" si="61"/>
        <v>0</v>
      </c>
      <c r="J29" s="76"/>
      <c r="K29" s="76"/>
      <c r="L29" s="89">
        <f t="shared" si="62"/>
        <v>0</v>
      </c>
      <c r="M29" s="75"/>
      <c r="N29" s="75"/>
      <c r="O29" s="89">
        <f t="shared" si="63"/>
        <v>0</v>
      </c>
      <c r="P29" s="76"/>
      <c r="Q29" s="76"/>
      <c r="R29" s="89">
        <f t="shared" si="64"/>
        <v>0</v>
      </c>
      <c r="S29" s="76"/>
      <c r="T29" s="76"/>
      <c r="U29" s="89">
        <f t="shared" si="65"/>
        <v>0</v>
      </c>
      <c r="V29" s="75"/>
      <c r="W29" s="76"/>
      <c r="X29" s="89">
        <f t="shared" si="66"/>
        <v>0</v>
      </c>
      <c r="Y29" s="89"/>
      <c r="Z29" s="89"/>
      <c r="AA29" s="89"/>
      <c r="AB29" s="93">
        <f t="shared" si="67"/>
        <v>0</v>
      </c>
      <c r="AC29" s="90"/>
      <c r="AD29" s="77"/>
      <c r="AE29" s="91">
        <f t="shared" si="68"/>
        <v>0</v>
      </c>
      <c r="AF29" s="77"/>
      <c r="AG29" s="91">
        <f t="shared" si="69"/>
        <v>0</v>
      </c>
      <c r="AH29" s="77"/>
      <c r="AI29" s="91">
        <f t="shared" si="70"/>
        <v>0</v>
      </c>
      <c r="AJ29" s="77"/>
      <c r="AK29" s="91">
        <f t="shared" si="71"/>
        <v>0</v>
      </c>
      <c r="AL29" s="78"/>
      <c r="AM29" s="91">
        <f t="shared" si="72"/>
        <v>0</v>
      </c>
      <c r="AN29" s="77"/>
      <c r="AO29" s="91">
        <f t="shared" si="73"/>
        <v>0</v>
      </c>
      <c r="AP29" s="92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89">
        <f t="shared" si="9"/>
        <v>0</v>
      </c>
      <c r="G30" s="75"/>
      <c r="H30" s="76"/>
      <c r="I30" s="89">
        <f t="shared" si="10"/>
        <v>0</v>
      </c>
      <c r="J30" s="76"/>
      <c r="K30" s="76"/>
      <c r="L30" s="89">
        <f t="shared" si="11"/>
        <v>0</v>
      </c>
      <c r="M30" s="75"/>
      <c r="N30" s="75"/>
      <c r="O30" s="89">
        <f t="shared" si="12"/>
        <v>0</v>
      </c>
      <c r="P30" s="76"/>
      <c r="Q30" s="76"/>
      <c r="R30" s="89">
        <f t="shared" si="13"/>
        <v>0</v>
      </c>
      <c r="S30" s="76"/>
      <c r="T30" s="76"/>
      <c r="U30" s="89">
        <f t="shared" si="14"/>
        <v>0</v>
      </c>
      <c r="V30" s="75"/>
      <c r="W30" s="76"/>
      <c r="X30" s="89">
        <f t="shared" si="15"/>
        <v>0</v>
      </c>
      <c r="Y30" s="89"/>
      <c r="Z30" s="89"/>
      <c r="AA30" s="89"/>
      <c r="AB30" s="93">
        <f t="shared" si="16"/>
        <v>0</v>
      </c>
      <c r="AC30" s="90"/>
      <c r="AD30" s="77"/>
      <c r="AE30" s="91">
        <f t="shared" si="17"/>
        <v>0</v>
      </c>
      <c r="AF30" s="77"/>
      <c r="AG30" s="91">
        <f t="shared" si="18"/>
        <v>0</v>
      </c>
      <c r="AH30" s="77"/>
      <c r="AI30" s="91">
        <f t="shared" si="19"/>
        <v>0</v>
      </c>
      <c r="AJ30" s="77"/>
      <c r="AK30" s="91">
        <f t="shared" si="20"/>
        <v>0</v>
      </c>
      <c r="AL30" s="78"/>
      <c r="AM30" s="91">
        <f t="shared" si="21"/>
        <v>0</v>
      </c>
      <c r="AN30" s="77"/>
      <c r="AO30" s="91">
        <f t="shared" si="22"/>
        <v>0</v>
      </c>
      <c r="AP30" s="92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89">
        <f t="shared" si="9"/>
        <v>0</v>
      </c>
      <c r="G31" s="75"/>
      <c r="H31" s="76"/>
      <c r="I31" s="89">
        <f t="shared" si="10"/>
        <v>0</v>
      </c>
      <c r="J31" s="76"/>
      <c r="K31" s="76"/>
      <c r="L31" s="89">
        <f t="shared" si="11"/>
        <v>0</v>
      </c>
      <c r="M31" s="75"/>
      <c r="N31" s="75"/>
      <c r="O31" s="89">
        <f t="shared" si="12"/>
        <v>0</v>
      </c>
      <c r="P31" s="76"/>
      <c r="Q31" s="76"/>
      <c r="R31" s="89">
        <f t="shared" si="13"/>
        <v>0</v>
      </c>
      <c r="S31" s="76"/>
      <c r="T31" s="76"/>
      <c r="U31" s="89">
        <f t="shared" si="14"/>
        <v>0</v>
      </c>
      <c r="V31" s="75"/>
      <c r="W31" s="76"/>
      <c r="X31" s="89">
        <f t="shared" si="15"/>
        <v>0</v>
      </c>
      <c r="Y31" s="89"/>
      <c r="Z31" s="89"/>
      <c r="AA31" s="89"/>
      <c r="AB31" s="93">
        <f t="shared" si="16"/>
        <v>0</v>
      </c>
      <c r="AC31" s="90"/>
      <c r="AD31" s="77"/>
      <c r="AE31" s="91">
        <f t="shared" si="17"/>
        <v>0</v>
      </c>
      <c r="AF31" s="77"/>
      <c r="AG31" s="91">
        <f t="shared" si="18"/>
        <v>0</v>
      </c>
      <c r="AH31" s="77"/>
      <c r="AI31" s="91">
        <f t="shared" si="19"/>
        <v>0</v>
      </c>
      <c r="AJ31" s="77"/>
      <c r="AK31" s="91">
        <f t="shared" si="20"/>
        <v>0</v>
      </c>
      <c r="AL31" s="78"/>
      <c r="AM31" s="91">
        <f t="shared" si="21"/>
        <v>0</v>
      </c>
      <c r="AN31" s="77"/>
      <c r="AO31" s="91">
        <f t="shared" si="22"/>
        <v>0</v>
      </c>
      <c r="AP31" s="92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89">
        <f t="shared" ref="F32" si="76">BA32-BB32</f>
        <v>0</v>
      </c>
      <c r="G32" s="75"/>
      <c r="H32" s="76"/>
      <c r="I32" s="89">
        <f t="shared" ref="I32" si="77">BF32-BG32</f>
        <v>0</v>
      </c>
      <c r="J32" s="76"/>
      <c r="K32" s="76"/>
      <c r="L32" s="89">
        <f t="shared" ref="L32" si="78">BK32-BL32</f>
        <v>0</v>
      </c>
      <c r="M32" s="75"/>
      <c r="N32" s="75"/>
      <c r="O32" s="89">
        <f t="shared" ref="O32" si="79">BP32-BQ32</f>
        <v>0</v>
      </c>
      <c r="P32" s="76"/>
      <c r="Q32" s="76"/>
      <c r="R32" s="89">
        <f t="shared" ref="R32" si="80">BU32-BV32</f>
        <v>0</v>
      </c>
      <c r="S32" s="76"/>
      <c r="T32" s="76"/>
      <c r="U32" s="89">
        <f t="shared" ref="U32" si="81">BZ32-CA32</f>
        <v>0</v>
      </c>
      <c r="V32" s="75"/>
      <c r="W32" s="76"/>
      <c r="X32" s="89">
        <f t="shared" ref="X32" si="82">CE32-CF32</f>
        <v>0</v>
      </c>
      <c r="Y32" s="89"/>
      <c r="Z32" s="89"/>
      <c r="AA32" s="89"/>
      <c r="AB32" s="93">
        <f t="shared" ref="AB32" si="83">SUM(F32,I32,L32,O32,R32,U32,X32)</f>
        <v>0</v>
      </c>
      <c r="AC32" s="90"/>
      <c r="AD32" s="77"/>
      <c r="AE32" s="91">
        <f t="shared" ref="AE32" si="84">SUMIF($BC$1:$CI$1,AE$1,$BC32:$CI32)+AD32</f>
        <v>0</v>
      </c>
      <c r="AF32" s="77"/>
      <c r="AG32" s="91">
        <f t="shared" ref="AG32" si="85">SUMIF($BC$1:$CI$1,AG$1,$BC32:$CI32)+AF32</f>
        <v>0</v>
      </c>
      <c r="AH32" s="77"/>
      <c r="AI32" s="91">
        <f t="shared" ref="AI32" si="86">SUMIF($BC$1:$CI$1,AI$1,$BC32:$CI32)+AH32</f>
        <v>0</v>
      </c>
      <c r="AJ32" s="77"/>
      <c r="AK32" s="91">
        <f t="shared" ref="AK32" si="87">SUMIF($BC$1:$CI$1,AK$1,$BC32:$CI32)+AJ32</f>
        <v>0</v>
      </c>
      <c r="AL32" s="78"/>
      <c r="AM32" s="91">
        <f t="shared" ref="AM32" si="88">SUMIF($BC$1:$CI$1,AM$1,$BC32:$CI32)+AL32</f>
        <v>0</v>
      </c>
      <c r="AN32" s="77"/>
      <c r="AO32" s="91">
        <f t="shared" ref="AO32" si="89">SUMIF($BC$1:$CI$1,AO$1,$BC32:$CI32)+AN32</f>
        <v>0</v>
      </c>
      <c r="AP32" s="92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89">
        <f t="shared" si="9"/>
        <v>0</v>
      </c>
      <c r="G33" s="75"/>
      <c r="H33" s="76"/>
      <c r="I33" s="89">
        <f t="shared" si="10"/>
        <v>0</v>
      </c>
      <c r="J33" s="76"/>
      <c r="K33" s="75"/>
      <c r="L33" s="89">
        <f t="shared" si="11"/>
        <v>0</v>
      </c>
      <c r="M33" s="76"/>
      <c r="N33" s="75"/>
      <c r="O33" s="89">
        <f t="shared" si="12"/>
        <v>0</v>
      </c>
      <c r="P33" s="76"/>
      <c r="Q33" s="75"/>
      <c r="R33" s="89">
        <f t="shared" si="13"/>
        <v>0</v>
      </c>
      <c r="S33" s="76"/>
      <c r="T33" s="76"/>
      <c r="U33" s="89">
        <f t="shared" si="14"/>
        <v>0</v>
      </c>
      <c r="V33" s="75"/>
      <c r="W33" s="76"/>
      <c r="X33" s="89">
        <f t="shared" si="15"/>
        <v>0</v>
      </c>
      <c r="Y33" s="89"/>
      <c r="Z33" s="89"/>
      <c r="AA33" s="89"/>
      <c r="AB33" s="93">
        <f t="shared" si="16"/>
        <v>0</v>
      </c>
      <c r="AC33" s="90"/>
      <c r="AD33" s="77"/>
      <c r="AE33" s="91">
        <f t="shared" si="17"/>
        <v>0</v>
      </c>
      <c r="AF33" s="77"/>
      <c r="AG33" s="91">
        <f t="shared" si="18"/>
        <v>0</v>
      </c>
      <c r="AH33" s="77"/>
      <c r="AI33" s="91">
        <f t="shared" si="19"/>
        <v>0</v>
      </c>
      <c r="AJ33" s="77"/>
      <c r="AK33" s="91">
        <f t="shared" si="20"/>
        <v>0</v>
      </c>
      <c r="AL33" s="78"/>
      <c r="AM33" s="91">
        <f t="shared" si="21"/>
        <v>0</v>
      </c>
      <c r="AN33" s="77"/>
      <c r="AO33" s="91">
        <f t="shared" si="22"/>
        <v>0</v>
      </c>
      <c r="AP33" s="92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89">
        <f t="shared" si="9"/>
        <v>0</v>
      </c>
      <c r="G34" s="75"/>
      <c r="H34" s="76"/>
      <c r="I34" s="89">
        <f t="shared" si="10"/>
        <v>0</v>
      </c>
      <c r="J34" s="76"/>
      <c r="K34" s="76"/>
      <c r="L34" s="89">
        <f t="shared" si="11"/>
        <v>0</v>
      </c>
      <c r="M34" s="75"/>
      <c r="N34" s="75"/>
      <c r="O34" s="89">
        <f t="shared" si="12"/>
        <v>0</v>
      </c>
      <c r="P34" s="76"/>
      <c r="Q34" s="76"/>
      <c r="R34" s="89">
        <f t="shared" si="13"/>
        <v>0</v>
      </c>
      <c r="S34" s="76"/>
      <c r="T34" s="76"/>
      <c r="U34" s="89">
        <f t="shared" si="14"/>
        <v>0</v>
      </c>
      <c r="V34" s="75"/>
      <c r="W34" s="76"/>
      <c r="X34" s="89">
        <f t="shared" si="15"/>
        <v>0</v>
      </c>
      <c r="Y34" s="89"/>
      <c r="Z34" s="89"/>
      <c r="AA34" s="89"/>
      <c r="AB34" s="93">
        <f t="shared" si="16"/>
        <v>0</v>
      </c>
      <c r="AC34" s="90"/>
      <c r="AD34" s="77"/>
      <c r="AE34" s="91">
        <f t="shared" si="17"/>
        <v>0</v>
      </c>
      <c r="AF34" s="77"/>
      <c r="AG34" s="91">
        <f t="shared" si="18"/>
        <v>0</v>
      </c>
      <c r="AH34" s="77"/>
      <c r="AI34" s="91">
        <f t="shared" si="19"/>
        <v>0</v>
      </c>
      <c r="AJ34" s="77"/>
      <c r="AK34" s="91">
        <f t="shared" si="20"/>
        <v>0</v>
      </c>
      <c r="AL34" s="78"/>
      <c r="AM34" s="91">
        <f t="shared" si="21"/>
        <v>0</v>
      </c>
      <c r="AN34" s="77"/>
      <c r="AO34" s="91">
        <f t="shared" si="22"/>
        <v>0</v>
      </c>
      <c r="AP34" s="92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89">
        <f t="shared" si="9"/>
        <v>0</v>
      </c>
      <c r="G35" s="75"/>
      <c r="H35" s="76"/>
      <c r="I35" s="89">
        <f t="shared" si="10"/>
        <v>0</v>
      </c>
      <c r="J35" s="76"/>
      <c r="K35" s="76"/>
      <c r="L35" s="89">
        <f t="shared" si="11"/>
        <v>0</v>
      </c>
      <c r="M35" s="75"/>
      <c r="N35" s="75"/>
      <c r="O35" s="89">
        <f t="shared" si="12"/>
        <v>0</v>
      </c>
      <c r="P35" s="76"/>
      <c r="Q35" s="76"/>
      <c r="R35" s="89">
        <f t="shared" si="13"/>
        <v>0</v>
      </c>
      <c r="S35" s="76"/>
      <c r="T35" s="76"/>
      <c r="U35" s="89">
        <f t="shared" si="14"/>
        <v>0</v>
      </c>
      <c r="V35" s="75"/>
      <c r="W35" s="76"/>
      <c r="X35" s="89">
        <f t="shared" si="15"/>
        <v>0</v>
      </c>
      <c r="Y35" s="89"/>
      <c r="Z35" s="89"/>
      <c r="AA35" s="89"/>
      <c r="AB35" s="93">
        <f t="shared" si="16"/>
        <v>0</v>
      </c>
      <c r="AC35" s="90"/>
      <c r="AD35" s="77"/>
      <c r="AE35" s="91">
        <f t="shared" si="17"/>
        <v>0</v>
      </c>
      <c r="AF35" s="77"/>
      <c r="AG35" s="91">
        <f t="shared" si="18"/>
        <v>0</v>
      </c>
      <c r="AH35" s="77"/>
      <c r="AI35" s="91">
        <f t="shared" si="19"/>
        <v>0</v>
      </c>
      <c r="AJ35" s="77"/>
      <c r="AK35" s="91">
        <f t="shared" si="20"/>
        <v>0</v>
      </c>
      <c r="AL35" s="78"/>
      <c r="AM35" s="91">
        <f t="shared" si="21"/>
        <v>0</v>
      </c>
      <c r="AN35" s="77"/>
      <c r="AO35" s="91">
        <f t="shared" si="22"/>
        <v>0</v>
      </c>
      <c r="AP35" s="92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opLeftCell="F1" zoomScale="120" zoomScaleNormal="120" workbookViewId="0">
      <selection activeCell="W8" sqref="W8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18/01/26</v>
      </c>
      <c r="G1" s="13" t="str">
        <f>_xlfn.CONCAT("Age on ",TEXT( 'Week 1 Roster'!$D$1+14,"dd/mm/yy"))</f>
        <v>Age on 02/02/26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10015</v>
      </c>
      <c r="B2" s="28">
        <f ca="1">IF(A2=0,"",_xlfn.NUMBERVALUE(A2))</f>
        <v>10015</v>
      </c>
      <c r="C2" s="28" t="str">
        <f ca="1">IF($A2=0,"",VLOOKUP($B2,Employees!$A:$G,2,FALSE))</f>
        <v>Haoxi</v>
      </c>
      <c r="D2" s="28" t="str">
        <f ca="1">IF($A2=0,"",VLOOKUP($B2,Employees!$A:$G,3,FALSE))</f>
        <v>Lu</v>
      </c>
      <c r="E2" s="26">
        <f ca="1">IF($A2=0,"",VLOOKUP($B2,Employees!$A:$G,5,FALSE))</f>
        <v>37913</v>
      </c>
      <c r="F2" s="13">
        <f ca="1">IF($E2="","",ROUNDDOWN(YEARFRAC($E2, 'Week 1 Roster'!$D$1-1, 1), 0))</f>
        <v>22</v>
      </c>
      <c r="G2" s="13">
        <f ca="1">IF($E2="","",ROUNDDOWN(YEARFRAC($E2, 'Week 1 Roster'!$D$1+14, 1), 0))</f>
        <v>22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GCM</v>
      </c>
      <c r="K2" s="13">
        <f ca="1">IF($A2=0,"",IF(ISNA(VLOOKUP(A2,'Week 1 Roster'!A:C,2,0)),VLOOKUP(A2,'Week 2 Roster'!A:C,2,0),VLOOKUP(A2,'Week 1 Roster'!A:C,2,0)))</f>
        <v>501</v>
      </c>
      <c r="L2" s="13" t="str">
        <f ca="1">IF($A2=0,"",VLOOKUP(K2,Stores!A:B,2,0))</f>
        <v>Superb</v>
      </c>
      <c r="M2" s="14">
        <f t="shared" ref="M2" ca="1" si="0">Y2+AK2</f>
        <v>6</v>
      </c>
      <c r="N2" s="14">
        <f t="shared" ref="N2" ca="1" si="1">Z2+AL2</f>
        <v>0</v>
      </c>
      <c r="O2" s="14">
        <f t="shared" ref="O2" ca="1" si="2">AA2+AM2</f>
        <v>0</v>
      </c>
      <c r="P2" s="14">
        <f t="shared" ref="P2" ca="1" si="3">AB2+AN2</f>
        <v>0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0</v>
      </c>
      <c r="T2" s="14">
        <f t="shared" ref="T2" ca="1" si="6">AF2+AR2</f>
        <v>0</v>
      </c>
      <c r="U2" s="14">
        <f t="shared" ref="U2" ca="1" si="7">AG2+AS2</f>
        <v>70</v>
      </c>
      <c r="V2" s="14">
        <f t="shared" ref="V2" ca="1" si="8">AH2+AT2</f>
        <v>0</v>
      </c>
      <c r="W2" s="14">
        <f ca="1">SUM(M2:R2,T2:V2)</f>
        <v>76</v>
      </c>
      <c r="Y2" s="17">
        <f ca="1">IF($A2=0,0,SUMIF('Week 1 Roster'!$AZ:$AZ,$B2,'Week 1 Roster'!$AE:$AE))</f>
        <v>3</v>
      </c>
      <c r="Z2" s="17">
        <f ca="1">IF($A2=0,0,SUMIF('Week 1 Roster'!$AZ:$AZ,$B2,'Week 1 Roster'!$AG:$AG))</f>
        <v>0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0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35</v>
      </c>
      <c r="AH2" s="17">
        <f ca="1">IF($A2=0,0,SUMIF('Week 1 Roster'!$AZ:$AZ,$B2,'Week 1 Roster'!$AS:$AS))</f>
        <v>0</v>
      </c>
      <c r="AI2" s="17">
        <f ca="1">SUM(Y2:AD2,AF2:AH2)</f>
        <v>38</v>
      </c>
      <c r="AK2" s="17">
        <f ca="1">IF($A2=0,0,SUMIF('Week 2 Roster'!$AZ:$AZ,$B2,'Week 2 Roster'!$AE:$AE))</f>
        <v>3</v>
      </c>
      <c r="AL2" s="17">
        <f ca="1">IF($A2=0,0,SUMIF('Week 2 Roster'!$AZ:$AZ,$B2,'Week 2 Roster'!$AG:$AG))</f>
        <v>0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0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35</v>
      </c>
      <c r="AT2" s="17">
        <f ca="1">IF($A2=0,0,SUMIF('Week 2 Roster'!$AZ:$AZ,$B2,'Week 2 Roster'!$AS:$AS))</f>
        <v>0</v>
      </c>
      <c r="AU2" s="17">
        <f ca="1">SUM(AK2:AP2,AR2:AT2)</f>
        <v>38</v>
      </c>
      <c r="AV2" s="17"/>
      <c r="AW2" s="25">
        <f>'Week 1 Roster'!A2</f>
        <v>10015</v>
      </c>
      <c r="AX2" s="25">
        <f>'Week 2 Roster'!A2</f>
        <v>10015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10160</v>
      </c>
      <c r="B3" s="28">
        <f t="shared" ref="B3:B66" ca="1" si="9">IF(A3=0,"",_xlfn.NUMBERVALUE(A3))</f>
        <v>10160</v>
      </c>
      <c r="C3" s="28" t="str">
        <f ca="1">IF($A3=0,"",VLOOKUP($B3,Employees!$A:$G,2,FALSE))</f>
        <v>Pulin</v>
      </c>
      <c r="D3" s="28" t="str">
        <f ca="1">IF($A3=0,"",VLOOKUP($B3,Employees!$A:$G,3,FALSE))</f>
        <v>Pan</v>
      </c>
      <c r="E3" s="26">
        <f ca="1">IF($A3=0,"",VLOOKUP($B3,Employees!$A:$G,5,FALSE))</f>
        <v>36402</v>
      </c>
      <c r="F3" s="13">
        <f ca="1">IF($E3="","",ROUNDDOWN(YEARFRAC($E3, 'Week 1 Roster'!$D$1-1, 1), 0))</f>
        <v>26</v>
      </c>
      <c r="G3" s="13">
        <f ca="1">IF($E3="","",ROUNDDOWN(YEARFRAC($E3, 'Week 1 Roster'!$D$1+14, 1), 0))</f>
        <v>26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GCM</v>
      </c>
      <c r="K3" s="13">
        <f ca="1">IF($A3=0,"",IF(ISNA(VLOOKUP(A3,'Week 1 Roster'!A:C,2,0)),VLOOKUP(A3,'Week 2 Roster'!A:C,2,0),VLOOKUP(A3,'Week 1 Roster'!A:C,2,0)))</f>
        <v>501</v>
      </c>
      <c r="L3" s="13" t="str">
        <f ca="1">IF($A3=0,"",VLOOKUP(K3,Stores!A:B,2,0))</f>
        <v>Superb</v>
      </c>
      <c r="M3" s="14">
        <f t="shared" ref="M3:M66" ca="1" si="11">Y3+AK3</f>
        <v>25.999999999999993</v>
      </c>
      <c r="N3" s="14">
        <f t="shared" ref="N3:N66" ca="1" si="12">Z3+AL3</f>
        <v>12.999999999999998</v>
      </c>
      <c r="O3" s="14">
        <f t="shared" ref="O3:O66" ca="1" si="13">AA3+AM3</f>
        <v>18.466666666666669</v>
      </c>
      <c r="P3" s="14">
        <f t="shared" ref="P3:P66" ca="1" si="14">AB3+AN3</f>
        <v>5.0000000000000009</v>
      </c>
      <c r="Q3" s="14">
        <f t="shared" ref="Q3:Q66" ca="1" si="15">AC3+AO3</f>
        <v>9.5000000000000036</v>
      </c>
      <c r="R3" s="14">
        <f t="shared" ref="R3:R66" ca="1" si="16">AD3+AP3</f>
        <v>0.73333333333333606</v>
      </c>
      <c r="S3" s="28">
        <f t="shared" ref="S3:S66" ca="1" si="17">AE3+AQ3</f>
        <v>10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72.7</v>
      </c>
      <c r="Y3" s="17">
        <f ca="1">IF($A3=0,0,SUMIF('Week 1 Roster'!$AZ:$AZ,$B3,'Week 1 Roster'!$AE:$AE))</f>
        <v>14.499999999999998</v>
      </c>
      <c r="Z3" s="17">
        <f ca="1">IF($A3=0,0,SUMIF('Week 1 Roster'!$AZ:$AZ,$B3,'Week 1 Roster'!$AG:$AG))</f>
        <v>6.4999999999999991</v>
      </c>
      <c r="AA3" s="17">
        <f ca="1">IF($A3=0,0,SUMIF('Week 1 Roster'!$AZ:$AZ,$B3,'Week 1 Roster'!$AI:$AI))</f>
        <v>9.3333333333333357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6.0000000000000027</v>
      </c>
      <c r="AD3" s="17">
        <f ca="1">IF($A3=0,0,SUMIF('Week 1 Roster'!$AZ:$AZ,$B3,'Week 1 Roster'!$AO:$AO))</f>
        <v>0.39999999999999858</v>
      </c>
      <c r="AE3" s="38">
        <f ca="1">IF($A3=0,0,SUMIF('Week 1 Roster'!$AZ:$AZ,$B3,'Week 1 Roster'!$AP:$AP))</f>
        <v>5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36.733333333333334</v>
      </c>
      <c r="AK3" s="17">
        <f ca="1">IF($A3=0,0,SUMIF('Week 2 Roster'!$AZ:$AZ,$B3,'Week 2 Roster'!$AE:$AE))</f>
        <v>11.499999999999996</v>
      </c>
      <c r="AL3" s="17">
        <f ca="1">IF($A3=0,0,SUMIF('Week 2 Roster'!$AZ:$AZ,$B3,'Week 2 Roster'!$AG:$AG))</f>
        <v>6.4999999999999991</v>
      </c>
      <c r="AM3" s="17">
        <f ca="1">IF($A3=0,0,SUMIF('Week 2 Roster'!$AZ:$AZ,$B3,'Week 2 Roster'!$AI:$AI))</f>
        <v>9.1333333333333311</v>
      </c>
      <c r="AN3" s="17">
        <f ca="1">IF($A3=0,0,SUMIF('Week 2 Roster'!$AZ:$AZ,$B3,'Week 2 Roster'!$AK:$AK))</f>
        <v>5.0000000000000009</v>
      </c>
      <c r="AO3" s="17">
        <f ca="1">IF($A3=0,0,SUMIF('Week 2 Roster'!$AZ:$AZ,$B3,'Week 2 Roster'!$AM:$AM))</f>
        <v>3.5000000000000009</v>
      </c>
      <c r="AP3" s="17">
        <f ca="1">IF($A3=0,0,SUMIF('Week 2 Roster'!$AZ:$AZ,$B3,'Week 2 Roster'!$AO:$AO))</f>
        <v>0.33333333333333748</v>
      </c>
      <c r="AQ3" s="38">
        <f ca="1">IF($A3=0,0,SUMIF('Week 2 Roster'!$AZ:$AZ,$B3,'Week 2 Roster'!$AP:$AP))</f>
        <v>5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35.966666666666661</v>
      </c>
      <c r="AV3" s="17"/>
      <c r="AW3" s="25">
        <f>'Week 1 Roster'!A3</f>
        <v>10160</v>
      </c>
      <c r="AX3" s="25">
        <f>'Week 2 Roster'!A3</f>
        <v>10160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10008</v>
      </c>
      <c r="B4" s="28">
        <f t="shared" ca="1" si="9"/>
        <v>10008</v>
      </c>
      <c r="C4" s="28" t="str">
        <f ca="1">IF($A4=0,"",VLOOKUP($B4,Employees!$A:$G,2,FALSE))</f>
        <v>Elsie</v>
      </c>
      <c r="D4" s="28" t="str">
        <f ca="1">IF($A4=0,"",VLOOKUP($B4,Employees!$A:$G,3,FALSE))</f>
        <v>Chan</v>
      </c>
      <c r="E4" s="26">
        <f ca="1">IF($A4=0,"",VLOOKUP($B4,Employees!$A:$G,5,FALSE))</f>
        <v>36271</v>
      </c>
      <c r="F4" s="13">
        <f ca="1">IF($E4="","",ROUNDDOWN(YEARFRAC($E4, 'Week 1 Roster'!$D$1-1, 1), 0))</f>
        <v>26</v>
      </c>
      <c r="G4" s="13">
        <f ca="1">IF($E4="","",ROUNDDOWN(YEARFRAC($E4, 'Week 1 Roster'!$D$1+14, 1), 0))</f>
        <v>26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GCM</v>
      </c>
      <c r="K4" s="13">
        <f ca="1">IF($A4=0,"",IF(ISNA(VLOOKUP(A4,'Week 1 Roster'!A:C,2,0)),VLOOKUP(A4,'Week 2 Roster'!A:C,2,0),VLOOKUP(A4,'Week 1 Roster'!A:C,2,0)))</f>
        <v>501</v>
      </c>
      <c r="L4" s="13" t="str">
        <f ca="1">IF($A4=0,"",VLOOKUP(K4,Stores!A:B,2,0))</f>
        <v>Superb</v>
      </c>
      <c r="M4" s="14">
        <f t="shared" ca="1" si="11"/>
        <v>51.219999999999992</v>
      </c>
      <c r="N4" s="14">
        <f t="shared" ca="1" si="12"/>
        <v>9.4999999999999982</v>
      </c>
      <c r="O4" s="14">
        <f t="shared" ca="1" si="13"/>
        <v>8.5833333333333339</v>
      </c>
      <c r="P4" s="14">
        <f t="shared" ca="1" si="14"/>
        <v>4.9999999999999982</v>
      </c>
      <c r="Q4" s="14">
        <f t="shared" ca="1" si="15"/>
        <v>11.583333333333339</v>
      </c>
      <c r="R4" s="14">
        <f t="shared" ca="1" si="16"/>
        <v>0.11666666666666892</v>
      </c>
      <c r="S4" s="28">
        <f t="shared" ca="1" si="17"/>
        <v>11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86.003333333333345</v>
      </c>
      <c r="Y4" s="17">
        <f ca="1">IF($A4=0,0,SUMIF('Week 1 Roster'!$AZ:$AZ,$B4,'Week 1 Roster'!$AE:$AE))</f>
        <v>23.72</v>
      </c>
      <c r="Z4" s="17">
        <f ca="1">IF($A4=0,0,SUMIF('Week 1 Roster'!$AZ:$AZ,$B4,'Week 1 Roster'!$AG:$AG))</f>
        <v>9.4999999999999982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5.8000000000000034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5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39.020000000000003</v>
      </c>
      <c r="AK4" s="17">
        <f ca="1">IF($A4=0,0,SUMIF('Week 2 Roster'!$AZ:$AZ,$B4,'Week 2 Roster'!$AE:$AE))</f>
        <v>27.499999999999993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8.5833333333333339</v>
      </c>
      <c r="AN4" s="17">
        <f ca="1">IF($A4=0,0,SUMIF('Week 2 Roster'!$AZ:$AZ,$B4,'Week 2 Roster'!$AK:$AK))</f>
        <v>4.9999999999999982</v>
      </c>
      <c r="AO4" s="17">
        <f ca="1">IF($A4=0,0,SUMIF('Week 2 Roster'!$AZ:$AZ,$B4,'Week 2 Roster'!$AM:$AM))</f>
        <v>5.7833333333333368</v>
      </c>
      <c r="AP4" s="17">
        <f ca="1">IF($A4=0,0,SUMIF('Week 2 Roster'!$AZ:$AZ,$B4,'Week 2 Roster'!$AO:$AO))</f>
        <v>0.11666666666666892</v>
      </c>
      <c r="AQ4" s="38">
        <f ca="1">IF($A4=0,0,SUMIF('Week 2 Roster'!$AZ:$AZ,$B4,'Week 2 Roster'!$AP:$AP))</f>
        <v>6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46.983333333333334</v>
      </c>
      <c r="AV4" s="17"/>
      <c r="AW4" s="25">
        <f>'Week 1 Roster'!A4</f>
        <v>10008</v>
      </c>
      <c r="AX4" s="25">
        <f>'Week 2 Roster'!A4</f>
        <v>10008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210457</v>
      </c>
      <c r="B5" s="28">
        <f t="shared" ca="1" si="9"/>
        <v>210457</v>
      </c>
      <c r="C5" s="28" t="str">
        <f ca="1">IF($A5=0,"",VLOOKUP($B5,Employees!$A:$G,2,FALSE))</f>
        <v>Ryan</v>
      </c>
      <c r="D5" s="28" t="str">
        <f ca="1">IF($A5=0,"",VLOOKUP($B5,Employees!$A:$G,3,FALSE))</f>
        <v>Tristandi</v>
      </c>
      <c r="E5" s="26">
        <f ca="1">IF($A5=0,"",VLOOKUP($B5,Employees!$A:$G,5,FALSE))</f>
        <v>37584</v>
      </c>
      <c r="F5" s="13">
        <f ca="1">IF($E5="","",ROUNDDOWN(YEARFRAC($E5, 'Week 1 Roster'!$D$1-1, 1), 0))</f>
        <v>23</v>
      </c>
      <c r="G5" s="13">
        <f ca="1">IF($E5="","",ROUNDDOWN(YEARFRAC($E5, 'Week 1 Roster'!$D$1+14, 1), 0))</f>
        <v>23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SS</v>
      </c>
      <c r="K5" s="13">
        <f ca="1">IF($A5=0,"",IF(ISNA(VLOOKUP(A5,'Week 1 Roster'!A:C,2,0)),VLOOKUP(A5,'Week 2 Roster'!A:C,2,0),VLOOKUP(A5,'Week 1 Roster'!A:C,2,0)))</f>
        <v>501</v>
      </c>
      <c r="L5" s="13" t="str">
        <f ca="1">IF($A5=0,"",VLOOKUP(K5,Stores!A:B,2,0))</f>
        <v>Superb</v>
      </c>
      <c r="M5" s="14">
        <f t="shared" ca="1" si="11"/>
        <v>38.5</v>
      </c>
      <c r="N5" s="14">
        <f t="shared" ca="1" si="12"/>
        <v>13.5</v>
      </c>
      <c r="O5" s="14">
        <f t="shared" ca="1" si="13"/>
        <v>0.13333333333333286</v>
      </c>
      <c r="P5" s="14">
        <f t="shared" ca="1" si="14"/>
        <v>3.4999999999999982</v>
      </c>
      <c r="Q5" s="14">
        <f t="shared" ca="1" si="15"/>
        <v>1.7500000000000018</v>
      </c>
      <c r="R5" s="14">
        <f t="shared" ca="1" si="16"/>
        <v>0</v>
      </c>
      <c r="S5" s="28">
        <f t="shared" ca="1" si="17"/>
        <v>8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57.383333333333333</v>
      </c>
      <c r="Y5" s="17">
        <f ca="1">IF($A5=0,0,SUMIF('Week 1 Roster'!$AZ:$AZ,$B5,'Week 1 Roster'!$AE:$AE))</f>
        <v>15.999999999999998</v>
      </c>
      <c r="Z5" s="17">
        <f ca="1">IF($A5=0,0,SUMIF('Week 1 Roster'!$AZ:$AZ,$B5,'Week 1 Roster'!$AG:$AG))</f>
        <v>7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1.7500000000000018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3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24.75</v>
      </c>
      <c r="AK5" s="17">
        <f ca="1">IF($A5=0,0,SUMIF('Week 2 Roster'!$AZ:$AZ,$B5,'Week 2 Roster'!$AE:$AE))</f>
        <v>22.5</v>
      </c>
      <c r="AL5" s="17">
        <f ca="1">IF($A5=0,0,SUMIF('Week 2 Roster'!$AZ:$AZ,$B5,'Week 2 Roster'!$AG:$AG))</f>
        <v>6.4999999999999991</v>
      </c>
      <c r="AM5" s="17">
        <f ca="1">IF($A5=0,0,SUMIF('Week 2 Roster'!$AZ:$AZ,$B5,'Week 2 Roster'!$AI:$AI))</f>
        <v>0.13333333333333286</v>
      </c>
      <c r="AN5" s="17">
        <f ca="1">IF($A5=0,0,SUMIF('Week 2 Roster'!$AZ:$AZ,$B5,'Week 2 Roster'!$AK:$AK))</f>
        <v>3.4999999999999982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5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32.633333333333333</v>
      </c>
      <c r="AV5" s="17"/>
      <c r="AW5" s="25" t="str">
        <f>'Week 1 Roster'!A5</f>
        <v/>
      </c>
      <c r="AX5" s="25" t="str">
        <f>'Week 2 Roster'!A5</f>
        <v/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210423</v>
      </c>
      <c r="B6" s="28">
        <f t="shared" ca="1" si="9"/>
        <v>210423</v>
      </c>
      <c r="C6" s="28" t="str">
        <f ca="1">IF($A6=0,"",VLOOKUP($B6,Employees!$A:$G,2,FALSE))</f>
        <v>Priska Nathasa</v>
      </c>
      <c r="D6" s="28" t="str">
        <f ca="1">IF($A6=0,"",VLOOKUP($B6,Employees!$A:$G,3,FALSE))</f>
        <v>Salim</v>
      </c>
      <c r="E6" s="26">
        <f ca="1">IF($A6=0,"",VLOOKUP($B6,Employees!$A:$G,5,FALSE))</f>
        <v>36905</v>
      </c>
      <c r="F6" s="13">
        <f ca="1">IF($E6="","",ROUNDDOWN(YEARFRAC($E6, 'Week 1 Roster'!$D$1-1, 1), 0))</f>
        <v>25</v>
      </c>
      <c r="G6" s="13">
        <f ca="1">IF($E6="","",ROUNDDOWN(YEARFRAC($E6, 'Week 1 Roster'!$D$1+14, 1), 0))</f>
        <v>25</v>
      </c>
      <c r="H6" s="13" t="b">
        <f t="shared" ca="1" si="10"/>
        <v>0</v>
      </c>
      <c r="I6" s="13">
        <f ca="1">IF($A6=0,"",VLOOKUP($B6,Employees!$A:$G,6,FALSE))</f>
        <v>76</v>
      </c>
      <c r="J6" s="13" t="str">
        <f ca="1">IF($A6=0,"",VLOOKUP($B6,Employees!$A:$G,7,FALSE))</f>
        <v>SS</v>
      </c>
      <c r="K6" s="13">
        <f ca="1">IF($A6=0,"",IF(ISNA(VLOOKUP(A6,'Week 1 Roster'!A:C,2,0)),VLOOKUP(A6,'Week 2 Roster'!A:C,2,0),VLOOKUP(A6,'Week 1 Roster'!A:C,2,0)))</f>
        <v>501</v>
      </c>
      <c r="L6" s="13" t="str">
        <f ca="1">IF($A6=0,"",VLOOKUP(K6,Stores!A:B,2,0))</f>
        <v>Superb</v>
      </c>
      <c r="M6" s="14">
        <f t="shared" ca="1" si="11"/>
        <v>40</v>
      </c>
      <c r="N6" s="14">
        <f t="shared" ca="1" si="12"/>
        <v>12.249999999999998</v>
      </c>
      <c r="O6" s="14">
        <f t="shared" ca="1" si="13"/>
        <v>6.4999999999999991</v>
      </c>
      <c r="P6" s="14">
        <f t="shared" ca="1" si="14"/>
        <v>3.650000000000003</v>
      </c>
      <c r="Q6" s="14">
        <f t="shared" ca="1" si="15"/>
        <v>2.0000000000000009</v>
      </c>
      <c r="R6" s="14">
        <f t="shared" ca="1" si="16"/>
        <v>0.21666666666666856</v>
      </c>
      <c r="S6" s="28">
        <f t="shared" ca="1" si="17"/>
        <v>10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64.616666666666674</v>
      </c>
      <c r="Y6" s="17">
        <f ca="1">IF($A6=0,0,SUMIF('Week 1 Roster'!$AZ:$AZ,$B6,'Week 1 Roster'!$AE:$AE))</f>
        <v>21.5</v>
      </c>
      <c r="Z6" s="17">
        <f ca="1">IF($A6=0,0,SUMIF('Week 1 Roster'!$AZ:$AZ,$B6,'Week 1 Roster'!$AG:$AG))</f>
        <v>6.25</v>
      </c>
      <c r="AA6" s="17">
        <f ca="1">IF($A6=0,0,SUMIF('Week 1 Roster'!$AZ:$AZ,$B6,'Week 1 Roster'!$AI:$AI))</f>
        <v>6.4999999999999991</v>
      </c>
      <c r="AB6" s="17">
        <f ca="1">IF($A6=0,0,SUMIF('Week 1 Roster'!$AZ:$AZ,$B6,'Week 1 Roster'!$AK:$AK))</f>
        <v>0.15000000000000213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5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34.400000000000006</v>
      </c>
      <c r="AK6" s="17">
        <f ca="1">IF($A6=0,0,SUMIF('Week 2 Roster'!$AZ:$AZ,$B6,'Week 2 Roster'!$AE:$AE))</f>
        <v>18.5</v>
      </c>
      <c r="AL6" s="17">
        <f ca="1">IF($A6=0,0,SUMIF('Week 2 Roster'!$AZ:$AZ,$B6,'Week 2 Roster'!$AG:$AG))</f>
        <v>5.9999999999999982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3.5000000000000009</v>
      </c>
      <c r="AO6" s="17">
        <f ca="1">IF($A6=0,0,SUMIF('Week 2 Roster'!$AZ:$AZ,$B6,'Week 2 Roster'!$AM:$AM))</f>
        <v>2.0000000000000009</v>
      </c>
      <c r="AP6" s="17">
        <f ca="1">IF($A6=0,0,SUMIF('Week 2 Roster'!$AZ:$AZ,$B6,'Week 2 Roster'!$AO:$AO))</f>
        <v>0.21666666666666856</v>
      </c>
      <c r="AQ6" s="38">
        <f ca="1">IF($A6=0,0,SUMIF('Week 2 Roster'!$AZ:$AZ,$B6,'Week 2 Roster'!$AP:$AP))</f>
        <v>5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30.216666666666669</v>
      </c>
      <c r="AV6" s="17"/>
      <c r="AW6" s="25">
        <f>'Week 1 Roster'!A6</f>
        <v>210457</v>
      </c>
      <c r="AX6" s="25">
        <f>'Week 2 Roster'!A6</f>
        <v>210457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210383</v>
      </c>
      <c r="B7" s="28">
        <f t="shared" ca="1" si="9"/>
        <v>210383</v>
      </c>
      <c r="C7" s="28" t="str">
        <f ca="1">IF($A7=0,"",VLOOKUP($B7,Employees!$A:$G,2,FALSE))</f>
        <v>Alyssa</v>
      </c>
      <c r="D7" s="28" t="str">
        <f ca="1">IF($A7=0,"",VLOOKUP($B7,Employees!$A:$G,3,FALSE))</f>
        <v>Huynh</v>
      </c>
      <c r="E7" s="26">
        <f ca="1">IF($A7=0,"",VLOOKUP($B7,Employees!$A:$G,5,FALSE))</f>
        <v>38255</v>
      </c>
      <c r="F7" s="13">
        <f ca="1">IF($E7="","",ROUNDDOWN(YEARFRAC($E7, 'Week 1 Roster'!$D$1-1, 1), 0))</f>
        <v>21</v>
      </c>
      <c r="G7" s="13">
        <f ca="1">IF($E7="","",ROUNDDOWN(YEARFRAC($E7, 'Week 1 Roster'!$D$1+14, 1), 0))</f>
        <v>21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SS</v>
      </c>
      <c r="K7" s="13">
        <f ca="1">IF($A7=0,"",IF(ISNA(VLOOKUP(A7,'Week 1 Roster'!A:C,2,0)),VLOOKUP(A7,'Week 2 Roster'!A:C,2,0),VLOOKUP(A7,'Week 1 Roster'!A:C,2,0)))</f>
        <v>501</v>
      </c>
      <c r="L7" s="13" t="str">
        <f ca="1">IF($A7=0,"",VLOOKUP(K7,Stores!A:B,2,0))</f>
        <v>Superb</v>
      </c>
      <c r="M7" s="14">
        <f t="shared" ca="1" si="11"/>
        <v>14</v>
      </c>
      <c r="N7" s="14">
        <f t="shared" ca="1" si="12"/>
        <v>14</v>
      </c>
      <c r="O7" s="14">
        <f t="shared" ca="1" si="13"/>
        <v>0</v>
      </c>
      <c r="P7" s="14">
        <f t="shared" ca="1" si="14"/>
        <v>4.5</v>
      </c>
      <c r="Q7" s="14">
        <f t="shared" ca="1" si="15"/>
        <v>0</v>
      </c>
      <c r="R7" s="14">
        <f t="shared" ca="1" si="16"/>
        <v>0</v>
      </c>
      <c r="S7" s="28">
        <f t="shared" ca="1" si="17"/>
        <v>5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32.5</v>
      </c>
      <c r="Y7" s="17">
        <f ca="1">IF($A7=0,0,SUMIF('Week 1 Roster'!$AZ:$AZ,$B7,'Week 1 Roster'!$AE:$AE))</f>
        <v>6.5</v>
      </c>
      <c r="Z7" s="17">
        <f ca="1">IF($A7=0,0,SUMIF('Week 1 Roster'!$AZ:$AZ,$B7,'Week 1 Roster'!$AG:$AG))</f>
        <v>6.5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2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13</v>
      </c>
      <c r="AK7" s="17">
        <f ca="1">IF($A7=0,0,SUMIF('Week 2 Roster'!$AZ:$AZ,$B7,'Week 2 Roster'!$AE:$AE))</f>
        <v>7.5</v>
      </c>
      <c r="AL7" s="17">
        <f ca="1">IF($A7=0,0,SUMIF('Week 2 Roster'!$AZ:$AZ,$B7,'Week 2 Roster'!$AG:$AG))</f>
        <v>7.5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4.5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3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19.5</v>
      </c>
      <c r="AV7" s="17"/>
      <c r="AW7" s="25">
        <f>'Week 1 Roster'!A7</f>
        <v>210423</v>
      </c>
      <c r="AX7" s="25">
        <f>'Week 2 Roster'!A7</f>
        <v>210423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10343</v>
      </c>
      <c r="B8" s="28">
        <f t="shared" ca="1" si="9"/>
        <v>10343</v>
      </c>
      <c r="C8" s="28" t="str">
        <f ca="1">IF($A8=0,"",VLOOKUP($B8,Employees!$A:$G,2,FALSE))</f>
        <v>Theresa</v>
      </c>
      <c r="D8" s="28" t="str">
        <f ca="1">IF($A8=0,"",VLOOKUP($B8,Employees!$A:$G,3,FALSE))</f>
        <v>Chow</v>
      </c>
      <c r="E8" s="26">
        <f ca="1">IF($A8=0,"",VLOOKUP($B8,Employees!$A:$G,5,FALSE))</f>
        <v>37927</v>
      </c>
      <c r="F8" s="13">
        <f ca="1">IF($E8="","",ROUNDDOWN(YEARFRAC($E8, 'Week 1 Roster'!$D$1-1, 1), 0))</f>
        <v>22</v>
      </c>
      <c r="G8" s="13">
        <f ca="1">IF($E8="","",ROUNDDOWN(YEARFRAC($E8, 'Week 1 Roster'!$D$1+14, 1), 0))</f>
        <v>22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SS</v>
      </c>
      <c r="K8" s="13">
        <f ca="1">IF($A8=0,"",IF(ISNA(VLOOKUP(A8,'Week 1 Roster'!A:C,2,0)),VLOOKUP(A8,'Week 2 Roster'!A:C,2,0),VLOOKUP(A8,'Week 1 Roster'!A:C,2,0)))</f>
        <v>501</v>
      </c>
      <c r="L8" s="13" t="str">
        <f ca="1">IF($A8=0,"",VLOOKUP(K8,Stores!A:B,2,0))</f>
        <v>Superb</v>
      </c>
      <c r="M8" s="14">
        <f t="shared" ca="1" si="11"/>
        <v>3.4999999999999991</v>
      </c>
      <c r="N8" s="14">
        <f t="shared" ca="1" si="12"/>
        <v>7.5</v>
      </c>
      <c r="O8" s="14">
        <f t="shared" ca="1" si="13"/>
        <v>0</v>
      </c>
      <c r="P8" s="14">
        <f t="shared" ca="1" si="14"/>
        <v>5.0000000000000009</v>
      </c>
      <c r="Q8" s="14">
        <f t="shared" ca="1" si="15"/>
        <v>2.0000000000000009</v>
      </c>
      <c r="R8" s="14">
        <f t="shared" ca="1" si="16"/>
        <v>0</v>
      </c>
      <c r="S8" s="28">
        <f t="shared" ca="1" si="17"/>
        <v>3</v>
      </c>
      <c r="T8" s="14">
        <f t="shared" ca="1" si="18"/>
        <v>0</v>
      </c>
      <c r="U8" s="14">
        <f t="shared" ca="1" si="19"/>
        <v>24</v>
      </c>
      <c r="V8" s="14">
        <f t="shared" ca="1" si="20"/>
        <v>0</v>
      </c>
      <c r="W8" s="14">
        <f t="shared" ca="1" si="21"/>
        <v>42</v>
      </c>
      <c r="Y8" s="17">
        <f ca="1">IF($A8=0,0,SUMIF('Week 1 Roster'!$AZ:$AZ,$B8,'Week 1 Roster'!$AE:$AE))</f>
        <v>3.4999999999999991</v>
      </c>
      <c r="Z8" s="17">
        <f ca="1">IF($A8=0,0,SUMIF('Week 1 Roster'!$AZ:$AZ,$B8,'Week 1 Roster'!$AG:$AG))</f>
        <v>7.5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2.0000000000000009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2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13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5.0000000000000009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1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24</v>
      </c>
      <c r="AT8" s="17">
        <f ca="1">IF($A8=0,0,SUMIF('Week 2 Roster'!$AZ:$AZ,$B8,'Week 2 Roster'!$AS:$AS))</f>
        <v>0</v>
      </c>
      <c r="AU8" s="17">
        <f t="shared" ca="1" si="23"/>
        <v>29</v>
      </c>
      <c r="AV8" s="17"/>
      <c r="AW8" s="25">
        <f>'Week 1 Roster'!A8</f>
        <v>210383</v>
      </c>
      <c r="AX8" s="25">
        <f>'Week 2 Roster'!A8</f>
        <v>210383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10385</v>
      </c>
      <c r="B9" s="28">
        <f t="shared" ca="1" si="9"/>
        <v>10385</v>
      </c>
      <c r="C9" s="28" t="str">
        <f ca="1">IF($A9=0,"",VLOOKUP($B9,Employees!$A:$G,2,FALSE))</f>
        <v>Hui Qi</v>
      </c>
      <c r="D9" s="28" t="str">
        <f ca="1">IF($A9=0,"",VLOOKUP($B9,Employees!$A:$G,3,FALSE))</f>
        <v>Lau</v>
      </c>
      <c r="E9" s="26">
        <f ca="1">IF($A9=0,"",VLOOKUP($B9,Employees!$A:$G,5,FALSE))</f>
        <v>38591</v>
      </c>
      <c r="F9" s="13">
        <f ca="1">IF($E9="","",ROUNDDOWN(YEARFRAC($E9, 'Week 1 Roster'!$D$1-1, 1), 0))</f>
        <v>20</v>
      </c>
      <c r="G9" s="13">
        <f ca="1">IF($E9="","",ROUNDDOWN(YEARFRAC($E9, 'Week 1 Roster'!$D$1+14, 1), 0))</f>
        <v>20</v>
      </c>
      <c r="H9" s="13" t="b">
        <f t="shared" ca="1" si="10"/>
        <v>0</v>
      </c>
      <c r="I9" s="13">
        <f ca="1">IF($A9=0,"",VLOOKUP($B9,Employees!$A:$G,6,FALSE))</f>
        <v>76</v>
      </c>
      <c r="J9" s="13" t="str">
        <f ca="1">IF($A9=0,"",VLOOKUP($B9,Employees!$A:$G,7,FALSE))</f>
        <v>SS</v>
      </c>
      <c r="K9" s="13">
        <f ca="1">IF($A9=0,"",IF(ISNA(VLOOKUP(A9,'Week 1 Roster'!A:C,2,0)),VLOOKUP(A9,'Week 2 Roster'!A:C,2,0),VLOOKUP(A9,'Week 1 Roster'!A:C,2,0)))</f>
        <v>501</v>
      </c>
      <c r="L9" s="13" t="str">
        <f ca="1">IF($A9=0,"",VLOOKUP(K9,Stores!A:B,2,0))</f>
        <v>Superb</v>
      </c>
      <c r="M9" s="14">
        <f t="shared" ca="1" si="11"/>
        <v>34.5</v>
      </c>
      <c r="N9" s="14">
        <f t="shared" ca="1" si="12"/>
        <v>8.8000000000000007</v>
      </c>
      <c r="O9" s="14">
        <f t="shared" ca="1" si="13"/>
        <v>6.8166666666666673</v>
      </c>
      <c r="P9" s="14">
        <f t="shared" ca="1" si="14"/>
        <v>3.9999999999999991</v>
      </c>
      <c r="Q9" s="14">
        <f t="shared" ca="1" si="15"/>
        <v>3.8000000000000025</v>
      </c>
      <c r="R9" s="14">
        <f t="shared" ca="1" si="16"/>
        <v>0.11666666666666892</v>
      </c>
      <c r="S9" s="28">
        <f t="shared" ca="1" si="17"/>
        <v>8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58.033333333333339</v>
      </c>
      <c r="Y9" s="17">
        <f ca="1">IF($A9=0,0,SUMIF('Week 1 Roster'!$AZ:$AZ,$B9,'Week 1 Roster'!$AE:$AE))</f>
        <v>15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6.8166666666666673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3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21.816666666666666</v>
      </c>
      <c r="AK9" s="17">
        <f ca="1">IF($A9=0,0,SUMIF('Week 2 Roster'!$AZ:$AZ,$B9,'Week 2 Roster'!$AE:$AE))</f>
        <v>19.5</v>
      </c>
      <c r="AL9" s="17">
        <f ca="1">IF($A9=0,0,SUMIF('Week 2 Roster'!$AZ:$AZ,$B9,'Week 2 Roster'!$AG:$AG))</f>
        <v>8.8000000000000007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3.9999999999999991</v>
      </c>
      <c r="AO9" s="17">
        <f ca="1">IF($A9=0,0,SUMIF('Week 2 Roster'!$AZ:$AZ,$B9,'Week 2 Roster'!$AM:$AM))</f>
        <v>3.8000000000000025</v>
      </c>
      <c r="AP9" s="17">
        <f ca="1">IF($A9=0,0,SUMIF('Week 2 Roster'!$AZ:$AZ,$B9,'Week 2 Roster'!$AO:$AO))</f>
        <v>0.11666666666666892</v>
      </c>
      <c r="AQ9" s="38">
        <f ca="1">IF($A9=0,0,SUMIF('Week 2 Roster'!$AZ:$AZ,$B9,'Week 2 Roster'!$AP:$AP))</f>
        <v>5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36.216666666666669</v>
      </c>
      <c r="AV9" s="17"/>
      <c r="AW9" s="25">
        <f>'Week 1 Roster'!A9</f>
        <v>10343</v>
      </c>
      <c r="AX9" s="25">
        <f>'Week 2 Roster'!A9</f>
        <v>10343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10341</v>
      </c>
      <c r="B10" s="28">
        <f t="shared" ca="1" si="9"/>
        <v>10341</v>
      </c>
      <c r="C10" s="28" t="str">
        <f ca="1">IF($A10=0,"",VLOOKUP($B10,Employees!$A:$G,2,FALSE))</f>
        <v>Truc Thanh</v>
      </c>
      <c r="D10" s="28" t="str">
        <f ca="1">IF($A10=0,"",VLOOKUP($B10,Employees!$A:$G,3,FALSE))</f>
        <v>Nguyen</v>
      </c>
      <c r="E10" s="26">
        <f ca="1">IF($A10=0,"",VLOOKUP($B10,Employees!$A:$G,5,FALSE))</f>
        <v>37703</v>
      </c>
      <c r="F10" s="13">
        <f ca="1">IF($E10="","",ROUNDDOWN(YEARFRAC($E10, 'Week 1 Roster'!$D$1-1, 1), 0))</f>
        <v>22</v>
      </c>
      <c r="G10" s="13">
        <f ca="1">IF($E10="","",ROUNDDOWN(YEARFRAC($E10, 'Week 1 Roster'!$D$1+14, 1), 0))</f>
        <v>22</v>
      </c>
      <c r="H10" s="13" t="b">
        <f t="shared" ca="1" si="10"/>
        <v>0</v>
      </c>
      <c r="I10" s="13">
        <f ca="1">IF($A10=0,"",VLOOKUP($B10,Employees!$A:$G,6,FALSE))</f>
        <v>76</v>
      </c>
      <c r="J10" s="13" t="str">
        <f ca="1">IF($A10=0,"",VLOOKUP($B10,Employees!$A:$G,7,FALSE))</f>
        <v>SS</v>
      </c>
      <c r="K10" s="13">
        <f ca="1">IF($A10=0,"",IF(ISNA(VLOOKUP(A10,'Week 1 Roster'!A:C,2,0)),VLOOKUP(A10,'Week 2 Roster'!A:C,2,0),VLOOKUP(A10,'Week 1 Roster'!A:C,2,0)))</f>
        <v>501</v>
      </c>
      <c r="L10" s="13" t="str">
        <f ca="1">IF($A10=0,"",VLOOKUP(K10,Stores!A:B,2,0))</f>
        <v>Superb</v>
      </c>
      <c r="M10" s="14">
        <f t="shared" ca="1" si="11"/>
        <v>21</v>
      </c>
      <c r="N10" s="14">
        <f t="shared" ca="1" si="12"/>
        <v>0</v>
      </c>
      <c r="O10" s="14">
        <f t="shared" ca="1" si="13"/>
        <v>8.8666666666666671</v>
      </c>
      <c r="P10" s="14">
        <f t="shared" ca="1" si="14"/>
        <v>3.5000000000000009</v>
      </c>
      <c r="Q10" s="14">
        <f t="shared" ca="1" si="15"/>
        <v>1.7500000000000018</v>
      </c>
      <c r="R10" s="14">
        <f t="shared" ca="1" si="16"/>
        <v>0</v>
      </c>
      <c r="S10" s="28">
        <f t="shared" ca="1" si="17"/>
        <v>5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35.116666666666667</v>
      </c>
      <c r="Y10" s="17">
        <f ca="1">IF($A10=0,0,SUMIF('Week 1 Roster'!$AZ:$AZ,$B10,'Week 1 Roster'!$AE:$AE))</f>
        <v>14.499999999999998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8.8666666666666671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1.7500000000000018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3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25.116666666666667</v>
      </c>
      <c r="AK10" s="17">
        <f ca="1">IF($A10=0,0,SUMIF('Week 2 Roster'!$AZ:$AZ,$B10,'Week 2 Roster'!$AE:$AE))</f>
        <v>6.5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3.5000000000000009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2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10</v>
      </c>
      <c r="AV10" s="17"/>
      <c r="AW10" s="25">
        <f>'Week 1 Roster'!A10</f>
        <v>10385</v>
      </c>
      <c r="AX10" s="25">
        <f>'Week 2 Roster'!A10</f>
        <v>10385</v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10289</v>
      </c>
      <c r="B11" s="28">
        <f t="shared" ca="1" si="9"/>
        <v>10289</v>
      </c>
      <c r="C11" s="28" t="str">
        <f ca="1">IF($A11=0,"",VLOOKUP($B11,Employees!$A:$G,2,FALSE))</f>
        <v>Jethro</v>
      </c>
      <c r="D11" s="28" t="str">
        <f ca="1">IF($A11=0,"",VLOOKUP($B11,Employees!$A:$G,3,FALSE))</f>
        <v>Soewandito</v>
      </c>
      <c r="E11" s="26">
        <f ca="1">IF($A11=0,"",VLOOKUP($B11,Employees!$A:$G,5,FALSE))</f>
        <v>38544</v>
      </c>
      <c r="F11" s="13">
        <f ca="1">IF($E11="","",ROUNDDOWN(YEARFRAC($E11, 'Week 1 Roster'!$D$1-1, 1), 0))</f>
        <v>20</v>
      </c>
      <c r="G11" s="13">
        <f ca="1">IF($E11="","",ROUNDDOWN(YEARFRAC($E11, 'Week 1 Roster'!$D$1+14, 1), 0))</f>
        <v>20</v>
      </c>
      <c r="H11" s="13" t="b">
        <f t="shared" ca="1" si="10"/>
        <v>0</v>
      </c>
      <c r="I11" s="13">
        <f ca="1">IF($A11=0,"",VLOOKUP($B11,Employees!$A:$G,6,FALSE))</f>
        <v>76</v>
      </c>
      <c r="J11" s="13" t="str">
        <f ca="1">IF($A11=0,"",VLOOKUP($B11,Employees!$A:$G,7,FALSE))</f>
        <v>GCM</v>
      </c>
      <c r="K11" s="13">
        <f ca="1">IF($A11=0,"",IF(ISNA(VLOOKUP(A11,'Week 1 Roster'!A:C,2,0)),VLOOKUP(A11,'Week 2 Roster'!A:C,2,0),VLOOKUP(A11,'Week 1 Roster'!A:C,2,0)))</f>
        <v>501</v>
      </c>
      <c r="L11" s="13" t="str">
        <f ca="1">IF($A11=0,"",VLOOKUP(K11,Stores!A:B,2,0))</f>
        <v>Superb</v>
      </c>
      <c r="M11" s="14">
        <f t="shared" ca="1" si="11"/>
        <v>15</v>
      </c>
      <c r="N11" s="14">
        <f t="shared" ca="1" si="12"/>
        <v>0</v>
      </c>
      <c r="O11" s="14">
        <f t="shared" ca="1" si="13"/>
        <v>0</v>
      </c>
      <c r="P11" s="14">
        <f t="shared" ca="1" si="14"/>
        <v>4</v>
      </c>
      <c r="Q11" s="14">
        <f t="shared" ca="1" si="15"/>
        <v>0</v>
      </c>
      <c r="R11" s="14">
        <f t="shared" ca="1" si="16"/>
        <v>0</v>
      </c>
      <c r="S11" s="28">
        <f t="shared" ca="1" si="17"/>
        <v>3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19</v>
      </c>
      <c r="Y11" s="17">
        <f ca="1">IF($A11=0,0,SUMIF('Week 1 Roster'!$AZ:$AZ,$B11,'Week 1 Roster'!$AE:$AE))</f>
        <v>7.5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1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7.5</v>
      </c>
      <c r="AK11" s="17">
        <f ca="1">IF($A11=0,0,SUMIF('Week 2 Roster'!$AZ:$AZ,$B11,'Week 2 Roster'!$AE:$AE))</f>
        <v>7.5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4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2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11.5</v>
      </c>
      <c r="AV11" s="17"/>
      <c r="AW11" s="25">
        <f>'Week 1 Roster'!A11</f>
        <v>10341</v>
      </c>
      <c r="AX11" s="25">
        <f>'Week 2 Roster'!A11</f>
        <v>10341</v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210434</v>
      </c>
      <c r="B12" s="28">
        <f t="shared" ca="1" si="9"/>
        <v>210434</v>
      </c>
      <c r="C12" s="28" t="str">
        <f ca="1">IF($A12=0,"",VLOOKUP($B12,Employees!$A:$G,2,FALSE))</f>
        <v>Yu</v>
      </c>
      <c r="D12" s="28" t="str">
        <f ca="1">IF($A12=0,"",VLOOKUP($B12,Employees!$A:$G,3,FALSE))</f>
        <v>Hsiao</v>
      </c>
      <c r="E12" s="26">
        <f ca="1">IF($A12=0,"",VLOOKUP($B12,Employees!$A:$G,5,FALSE))</f>
        <v>36562</v>
      </c>
      <c r="F12" s="13">
        <f ca="1">IF($E12="","",ROUNDDOWN(YEARFRAC($E12, 'Week 1 Roster'!$D$1-1, 1), 0))</f>
        <v>25</v>
      </c>
      <c r="G12" s="13">
        <f ca="1">IF($E12="","",ROUNDDOWN(YEARFRAC($E12, 'Week 1 Roster'!$D$1+14, 1), 0))</f>
        <v>25</v>
      </c>
      <c r="H12" s="13" t="b">
        <f t="shared" ca="1" si="10"/>
        <v>0</v>
      </c>
      <c r="I12" s="13">
        <f ca="1">IF($A12=0,"",VLOOKUP($B12,Employees!$A:$G,6,FALSE))</f>
        <v>48</v>
      </c>
      <c r="J12" s="13" t="str">
        <f ca="1">IF($A12=0,"",VLOOKUP($B12,Employees!$A:$G,7,FALSE))</f>
        <v>SS</v>
      </c>
      <c r="K12" s="13">
        <f ca="1">IF($A12=0,"",IF(ISNA(VLOOKUP(A12,'Week 1 Roster'!A:C,2,0)),VLOOKUP(A12,'Week 2 Roster'!A:C,2,0),VLOOKUP(A12,'Week 1 Roster'!A:C,2,0)))</f>
        <v>501</v>
      </c>
      <c r="L12" s="13" t="str">
        <f ca="1">IF($A12=0,"",VLOOKUP(K12,Stores!A:B,2,0))</f>
        <v>Superb</v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>
        <f>'Week 1 Roster'!A12</f>
        <v>10289</v>
      </c>
      <c r="AX12" s="25">
        <f>'Week 2 Roster'!A12</f>
        <v>10289</v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10387</v>
      </c>
      <c r="B13" s="28">
        <f t="shared" ca="1" si="9"/>
        <v>10387</v>
      </c>
      <c r="C13" s="28" t="str">
        <f ca="1">IF($A13=0,"",VLOOKUP($B13,Employees!$A:$G,2,FALSE))</f>
        <v>Tran</v>
      </c>
      <c r="D13" s="28" t="str">
        <f ca="1">IF($A13=0,"",VLOOKUP($B13,Employees!$A:$G,3,FALSE))</f>
        <v>Le</v>
      </c>
      <c r="E13" s="26">
        <f ca="1">IF($A13=0,"",VLOOKUP($B13,Employees!$A:$G,5,FALSE))</f>
        <v>37857</v>
      </c>
      <c r="F13" s="13">
        <f ca="1">IF($E13="","",ROUNDDOWN(YEARFRAC($E13, 'Week 1 Roster'!$D$1-1, 1), 0))</f>
        <v>22</v>
      </c>
      <c r="G13" s="13">
        <f ca="1">IF($E13="","",ROUNDDOWN(YEARFRAC($E13, 'Week 1 Roster'!$D$1+14, 1), 0))</f>
        <v>22</v>
      </c>
      <c r="H13" s="13" t="b">
        <f t="shared" ca="1" si="10"/>
        <v>0</v>
      </c>
      <c r="I13" s="13">
        <f ca="1">IF($A13=0,"",VLOOKUP($B13,Employees!$A:$G,6,FALSE))</f>
        <v>48</v>
      </c>
      <c r="J13" s="13" t="str">
        <f ca="1">IF($A13=0,"",VLOOKUP($B13,Employees!$A:$G,7,FALSE))</f>
        <v>SS</v>
      </c>
      <c r="K13" s="13">
        <f ca="1">IF($A13=0,"",IF(ISNA(VLOOKUP(A13,'Week 1 Roster'!A:C,2,0)),VLOOKUP(A13,'Week 2 Roster'!A:C,2,0),VLOOKUP(A13,'Week 1 Roster'!A:C,2,0)))</f>
        <v>501</v>
      </c>
      <c r="L13" s="13" t="str">
        <f ca="1">IF($A13=0,"",VLOOKUP(K13,Stores!A:B,2,0))</f>
        <v>Superb</v>
      </c>
      <c r="M13" s="14">
        <f t="shared" ca="1" si="11"/>
        <v>23.316666666666666</v>
      </c>
      <c r="N13" s="14">
        <f t="shared" ca="1" si="12"/>
        <v>6.5</v>
      </c>
      <c r="O13" s="14">
        <f t="shared" ca="1" si="13"/>
        <v>13</v>
      </c>
      <c r="P13" s="14">
        <f t="shared" ca="1" si="14"/>
        <v>3.5000000000000009</v>
      </c>
      <c r="Q13" s="14">
        <f t="shared" ca="1" si="15"/>
        <v>0</v>
      </c>
      <c r="R13" s="14">
        <f t="shared" ca="1" si="16"/>
        <v>0</v>
      </c>
      <c r="S13" s="28">
        <f t="shared" ca="1" si="17"/>
        <v>7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46.316666666666663</v>
      </c>
      <c r="Y13" s="17">
        <f ca="1">IF($A13=0,0,SUMIF('Week 1 Roster'!$AZ:$AZ,$B13,'Week 1 Roster'!$AE:$AE))</f>
        <v>23.316666666666666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6.5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4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29.816666666666666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6.5</v>
      </c>
      <c r="AM13" s="17">
        <f ca="1">IF($A13=0,0,SUMIF('Week 2 Roster'!$AZ:$AZ,$B13,'Week 2 Roster'!$AI:$AI))</f>
        <v>6.5</v>
      </c>
      <c r="AN13" s="17">
        <f ca="1">IF($A13=0,0,SUMIF('Week 2 Roster'!$AZ:$AZ,$B13,'Week 2 Roster'!$AK:$AK))</f>
        <v>3.5000000000000009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3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16.5</v>
      </c>
      <c r="AV13" s="17"/>
      <c r="AW13" s="25">
        <f>'Week 1 Roster'!A13</f>
        <v>210434</v>
      </c>
      <c r="AX13" s="25">
        <f>'Week 2 Roster'!A13</f>
        <v>210434</v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10388</v>
      </c>
      <c r="B14" s="28">
        <f t="shared" ca="1" si="9"/>
        <v>10388</v>
      </c>
      <c r="C14" s="28" t="str">
        <f ca="1">IF($A14=0,"",VLOOKUP($B14,Employees!$A:$G,2,FALSE))</f>
        <v>Jordan</v>
      </c>
      <c r="D14" s="28" t="str">
        <f ca="1">IF($A14=0,"",VLOOKUP($B14,Employees!$A:$G,3,FALSE))</f>
        <v>Tan</v>
      </c>
      <c r="E14" s="26">
        <f ca="1">IF($A14=0,"",VLOOKUP($B14,Employees!$A:$G,5,FALSE))</f>
        <v>37824</v>
      </c>
      <c r="F14" s="13">
        <f ca="1">IF($E14="","",ROUNDDOWN(YEARFRAC($E14, 'Week 1 Roster'!$D$1-1, 1), 0))</f>
        <v>22</v>
      </c>
      <c r="G14" s="13">
        <f ca="1">IF($E14="","",ROUNDDOWN(YEARFRAC($E14, 'Week 1 Roster'!$D$1+14, 1), 0))</f>
        <v>22</v>
      </c>
      <c r="H14" s="13" t="b">
        <f t="shared" ca="1" si="10"/>
        <v>0</v>
      </c>
      <c r="I14" s="13">
        <f ca="1">IF($A14=0,"",VLOOKUP($B14,Employees!$A:$G,6,FALSE))</f>
        <v>76</v>
      </c>
      <c r="J14" s="13" t="str">
        <f ca="1">IF($A14=0,"",VLOOKUP($B14,Employees!$A:$G,7,FALSE))</f>
        <v>SS</v>
      </c>
      <c r="K14" s="13">
        <f ca="1">IF($A14=0,"",IF(ISNA(VLOOKUP(A14,'Week 1 Roster'!A:C,2,0)),VLOOKUP(A14,'Week 2 Roster'!A:C,2,0),VLOOKUP(A14,'Week 1 Roster'!A:C,2,0)))</f>
        <v>501</v>
      </c>
      <c r="L14" s="13" t="str">
        <f ca="1">IF($A14=0,"",VLOOKUP(K14,Stores!A:B,2,0))</f>
        <v>Superb</v>
      </c>
      <c r="M14" s="14">
        <f t="shared" ca="1" si="11"/>
        <v>26.5</v>
      </c>
      <c r="N14" s="14">
        <f t="shared" ca="1" si="12"/>
        <v>18.716666666666669</v>
      </c>
      <c r="O14" s="14">
        <f t="shared" ca="1" si="13"/>
        <v>0</v>
      </c>
      <c r="P14" s="14">
        <f t="shared" ca="1" si="14"/>
        <v>3.5000000000000009</v>
      </c>
      <c r="Q14" s="14">
        <f t="shared" ca="1" si="15"/>
        <v>4.0000000000000018</v>
      </c>
      <c r="R14" s="14">
        <f t="shared" ca="1" si="16"/>
        <v>0</v>
      </c>
      <c r="S14" s="28">
        <f t="shared" ca="1" si="17"/>
        <v>7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52.716666666666669</v>
      </c>
      <c r="Y14" s="17">
        <f ca="1">IF($A14=0,0,SUMIF('Week 1 Roster'!$AZ:$AZ,$B14,'Week 1 Roster'!$AE:$AE))</f>
        <v>13.499999999999998</v>
      </c>
      <c r="Z14" s="17">
        <f ca="1">IF($A14=0,0,SUMIF('Week 1 Roster'!$AZ:$AZ,$B14,'Week 1 Roster'!$AG:$AG))</f>
        <v>9.4999999999999982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2.0000000000000009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3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24.999999999999996</v>
      </c>
      <c r="AK14" s="17">
        <f ca="1">IF($A14=0,0,SUMIF('Week 2 Roster'!$AZ:$AZ,$B14,'Week 2 Roster'!$AE:$AE))</f>
        <v>13</v>
      </c>
      <c r="AL14" s="17">
        <f ca="1">IF($A14=0,0,SUMIF('Week 2 Roster'!$AZ:$AZ,$B14,'Week 2 Roster'!$AG:$AG))</f>
        <v>9.2166666666666686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3.5000000000000009</v>
      </c>
      <c r="AO14" s="17">
        <f ca="1">IF($A14=0,0,SUMIF('Week 2 Roster'!$AZ:$AZ,$B14,'Week 2 Roster'!$AM:$AM))</f>
        <v>2.0000000000000009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4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27.716666666666669</v>
      </c>
      <c r="AV14" s="17"/>
      <c r="AW14" s="25">
        <f>'Week 1 Roster'!A14</f>
        <v>10387</v>
      </c>
      <c r="AX14" s="25">
        <f>'Week 2 Roster'!A14</f>
        <v>10387</v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210413</v>
      </c>
      <c r="B15" s="28">
        <f t="shared" ca="1" si="9"/>
        <v>210413</v>
      </c>
      <c r="C15" s="28" t="str">
        <f ca="1">IF($A15=0,"",VLOOKUP($B15,Employees!$A:$G,2,FALSE))</f>
        <v>Minh Huy</v>
      </c>
      <c r="D15" s="28" t="str">
        <f ca="1">IF($A15=0,"",VLOOKUP($B15,Employees!$A:$G,3,FALSE))</f>
        <v>Loi</v>
      </c>
      <c r="E15" s="26">
        <f ca="1">IF($A15=0,"",VLOOKUP($B15,Employees!$A:$G,5,FALSE))</f>
        <v>38237</v>
      </c>
      <c r="F15" s="13">
        <f ca="1">IF($E15="","",ROUNDDOWN(YEARFRAC($E15, 'Week 1 Roster'!$D$1-1, 1), 0))</f>
        <v>21</v>
      </c>
      <c r="G15" s="13">
        <f ca="1">IF($E15="","",ROUNDDOWN(YEARFRAC($E15, 'Week 1 Roster'!$D$1+14, 1), 0))</f>
        <v>21</v>
      </c>
      <c r="H15" s="13" t="b">
        <f t="shared" ca="1" si="10"/>
        <v>0</v>
      </c>
      <c r="I15" s="13">
        <f ca="1">IF($A15=0,"",VLOOKUP($B15,Employees!$A:$G,6,FALSE))</f>
        <v>76</v>
      </c>
      <c r="J15" s="13" t="str">
        <f ca="1">IF($A15=0,"",VLOOKUP($B15,Employees!$A:$G,7,FALSE))</f>
        <v>SS</v>
      </c>
      <c r="K15" s="13">
        <f ca="1">IF($A15=0,"",IF(ISNA(VLOOKUP(A15,'Week 1 Roster'!A:C,2,0)),VLOOKUP(A15,'Week 2 Roster'!A:C,2,0),VLOOKUP(A15,'Week 1 Roster'!A:C,2,0)))</f>
        <v>501</v>
      </c>
      <c r="L15" s="13" t="str">
        <f ca="1">IF($A15=0,"",VLOOKUP(K15,Stores!A:B,2,0))</f>
        <v>Superb</v>
      </c>
      <c r="M15" s="14">
        <f t="shared" ca="1" si="11"/>
        <v>28.916666666666664</v>
      </c>
      <c r="N15" s="14">
        <f t="shared" ca="1" si="12"/>
        <v>0.21666666666666856</v>
      </c>
      <c r="O15" s="14">
        <f t="shared" ca="1" si="13"/>
        <v>15</v>
      </c>
      <c r="P15" s="14">
        <f t="shared" ca="1" si="14"/>
        <v>4.0500000000000016</v>
      </c>
      <c r="Q15" s="14">
        <f t="shared" ca="1" si="15"/>
        <v>7.9500000000000037</v>
      </c>
      <c r="R15" s="14">
        <f t="shared" ca="1" si="16"/>
        <v>0</v>
      </c>
      <c r="S15" s="28">
        <f t="shared" ca="1" si="17"/>
        <v>8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56.13333333333334</v>
      </c>
      <c r="Y15" s="17">
        <f ca="1">IF($A15=0,0,SUMIF('Week 1 Roster'!$AZ:$AZ,$B15,'Week 1 Roster'!$AE:$AE))</f>
        <v>15.916666666666664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6.4999999999999991</v>
      </c>
      <c r="AB15" s="17">
        <f ca="1">IF($A15=0,0,SUMIF('Week 1 Roster'!$AZ:$AZ,$B15,'Week 1 Roster'!$AK:$AK))</f>
        <v>0.15000000000000213</v>
      </c>
      <c r="AC15" s="17">
        <f ca="1">IF($A15=0,0,SUMIF('Week 1 Roster'!$AZ:$AZ,$B15,'Week 1 Roster'!$AM:$AM))</f>
        <v>5.9500000000000028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4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28.516666666666669</v>
      </c>
      <c r="AK15" s="17">
        <f ca="1">IF($A15=0,0,SUMIF('Week 2 Roster'!$AZ:$AZ,$B15,'Week 2 Roster'!$AE:$AE))</f>
        <v>12.999999999999998</v>
      </c>
      <c r="AL15" s="17">
        <f ca="1">IF($A15=0,0,SUMIF('Week 2 Roster'!$AZ:$AZ,$B15,'Week 2 Roster'!$AG:$AG))</f>
        <v>0.21666666666666856</v>
      </c>
      <c r="AM15" s="17">
        <f ca="1">IF($A15=0,0,SUMIF('Week 2 Roster'!$AZ:$AZ,$B15,'Week 2 Roster'!$AI:$AI))</f>
        <v>8.5</v>
      </c>
      <c r="AN15" s="17">
        <f ca="1">IF($A15=0,0,SUMIF('Week 2 Roster'!$AZ:$AZ,$B15,'Week 2 Roster'!$AK:$AK))</f>
        <v>3.8999999999999995</v>
      </c>
      <c r="AO15" s="17">
        <f ca="1">IF($A15=0,0,SUMIF('Week 2 Roster'!$AZ:$AZ,$B15,'Week 2 Roster'!$AM:$AM))</f>
        <v>2.0000000000000009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4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27.616666666666667</v>
      </c>
      <c r="AV15" s="17"/>
      <c r="AW15" s="25">
        <f>'Week 1 Roster'!A15</f>
        <v>10388</v>
      </c>
      <c r="AX15" s="25">
        <f>'Week 2 Roster'!A15</f>
        <v>10388</v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210554</v>
      </c>
      <c r="B16" s="28">
        <f t="shared" ca="1" si="9"/>
        <v>210554</v>
      </c>
      <c r="C16" s="28" t="str">
        <f ca="1">IF($A16=0,"",VLOOKUP($B16,Employees!$A:$G,2,FALSE))</f>
        <v>Birat</v>
      </c>
      <c r="D16" s="28" t="str">
        <f ca="1">IF($A16=0,"",VLOOKUP($B16,Employees!$A:$G,3,FALSE))</f>
        <v>Bhattarai</v>
      </c>
      <c r="E16" s="26">
        <f ca="1">IF($A16=0,"",VLOOKUP($B16,Employees!$A:$G,5,FALSE))</f>
        <v>37027</v>
      </c>
      <c r="F16" s="13">
        <f ca="1">IF($E16="","",ROUNDDOWN(YEARFRAC($E16, 'Week 1 Roster'!$D$1-1, 1), 0))</f>
        <v>24</v>
      </c>
      <c r="G16" s="13">
        <f ca="1">IF($E16="","",ROUNDDOWN(YEARFRAC($E16, 'Week 1 Roster'!$D$1+14, 1), 0))</f>
        <v>24</v>
      </c>
      <c r="H16" s="13" t="b">
        <f t="shared" ca="1" si="10"/>
        <v>0</v>
      </c>
      <c r="I16" s="13">
        <f ca="1">IF($A16=0,"",VLOOKUP($B16,Employees!$A:$G,6,FALSE))</f>
        <v>48</v>
      </c>
      <c r="J16" s="13" t="str">
        <f ca="1">IF($A16=0,"",VLOOKUP($B16,Employees!$A:$G,7,FALSE))</f>
        <v>Win</v>
      </c>
      <c r="K16" s="13">
        <f ca="1">IF($A16=0,"",IF(ISNA(VLOOKUP(A16,'Week 1 Roster'!A:C,2,0)),VLOOKUP(A16,'Week 2 Roster'!A:C,2,0),VLOOKUP(A16,'Week 1 Roster'!A:C,2,0)))</f>
        <v>501</v>
      </c>
      <c r="L16" s="13" t="str">
        <f ca="1">IF($A16=0,"",VLOOKUP(K16,Stores!A:B,2,0))</f>
        <v>Superb</v>
      </c>
      <c r="M16" s="14">
        <f t="shared" ca="1" si="11"/>
        <v>16.499999999999996</v>
      </c>
      <c r="N16" s="14">
        <f t="shared" ca="1" si="12"/>
        <v>0</v>
      </c>
      <c r="O16" s="14">
        <f t="shared" ca="1" si="13"/>
        <v>4.9999999999999991</v>
      </c>
      <c r="P16" s="14">
        <f t="shared" ca="1" si="14"/>
        <v>0</v>
      </c>
      <c r="Q16" s="14">
        <f t="shared" ca="1" si="15"/>
        <v>4.0000000000000018</v>
      </c>
      <c r="R16" s="14">
        <f t="shared" ca="1" si="16"/>
        <v>9.9999999999999645E-2</v>
      </c>
      <c r="S16" s="28">
        <f t="shared" ca="1" si="17"/>
        <v>4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25.6</v>
      </c>
      <c r="Y16" s="17">
        <f ca="1">IF($A16=0,0,SUMIF('Week 1 Roster'!$AZ:$AZ,$B16,'Week 1 Roster'!$AE:$AE))</f>
        <v>11.999999999999998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2.0000000000000009</v>
      </c>
      <c r="AD16" s="17">
        <f ca="1">IF($A16=0,0,SUMIF('Week 1 Roster'!$AZ:$AZ,$B16,'Week 1 Roster'!$AO:$AO))</f>
        <v>9.9999999999999645E-2</v>
      </c>
      <c r="AE16" s="38">
        <f ca="1">IF($A16=0,0,SUMIF('Week 1 Roster'!$AZ:$AZ,$B16,'Week 1 Roster'!$AP:$AP))</f>
        <v>2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14.1</v>
      </c>
      <c r="AK16" s="17">
        <f ca="1">IF($A16=0,0,SUMIF('Week 2 Roster'!$AZ:$AZ,$B16,'Week 2 Roster'!$AE:$AE))</f>
        <v>4.4999999999999982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4.9999999999999991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2.0000000000000009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2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11.499999999999996</v>
      </c>
      <c r="AV16" s="17"/>
      <c r="AW16" s="25">
        <f>'Week 1 Roster'!A16</f>
        <v>210413</v>
      </c>
      <c r="AX16" s="25">
        <f>'Week 2 Roster'!A16</f>
        <v>210413</v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210546</v>
      </c>
      <c r="B17" s="28">
        <f t="shared" ca="1" si="9"/>
        <v>210546</v>
      </c>
      <c r="C17" s="28" t="str">
        <f ca="1">IF($A17=0,"",VLOOKUP($B17,Employees!$A:$G,2,FALSE))</f>
        <v>Biraj</v>
      </c>
      <c r="D17" s="28" t="str">
        <f ca="1">IF($A17=0,"",VLOOKUP($B17,Employees!$A:$G,3,FALSE))</f>
        <v>Bhattarai</v>
      </c>
      <c r="E17" s="26">
        <f ca="1">IF($A17=0,"",VLOOKUP($B17,Employees!$A:$G,5,FALSE))</f>
        <v>37027</v>
      </c>
      <c r="F17" s="13">
        <f ca="1">IF($E17="","",ROUNDDOWN(YEARFRAC($E17, 'Week 1 Roster'!$D$1-1, 1), 0))</f>
        <v>24</v>
      </c>
      <c r="G17" s="13">
        <f ca="1">IF($E17="","",ROUNDDOWN(YEARFRAC($E17, 'Week 1 Roster'!$D$1+14, 1), 0))</f>
        <v>24</v>
      </c>
      <c r="H17" s="13" t="b">
        <f t="shared" ca="1" si="10"/>
        <v>0</v>
      </c>
      <c r="I17" s="13">
        <f ca="1">IF($A17=0,"",VLOOKUP($B17,Employees!$A:$G,6,FALSE))</f>
        <v>48</v>
      </c>
      <c r="J17" s="13" t="str">
        <f ca="1">IF($A17=0,"",VLOOKUP($B17,Employees!$A:$G,7,FALSE))</f>
        <v>Win</v>
      </c>
      <c r="K17" s="13">
        <f ca="1">IF($A17=0,"",IF(ISNA(VLOOKUP(A17,'Week 1 Roster'!A:C,2,0)),VLOOKUP(A17,'Week 2 Roster'!A:C,2,0),VLOOKUP(A17,'Week 1 Roster'!A:C,2,0)))</f>
        <v>501</v>
      </c>
      <c r="L17" s="13" t="str">
        <f ca="1">IF($A17=0,"",VLOOKUP(K17,Stores!A:B,2,0))</f>
        <v>Superb</v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>
        <f>'Week 1 Roster'!A17</f>
        <v>210554</v>
      </c>
      <c r="AX17" s="25">
        <f>'Week 2 Roster'!A17</f>
        <v>210554</v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210527</v>
      </c>
      <c r="B18" s="28">
        <f t="shared" ca="1" si="9"/>
        <v>210527</v>
      </c>
      <c r="C18" s="28" t="str">
        <f ca="1">IF($A18=0,"",VLOOKUP($B18,Employees!$A:$G,2,FALSE))</f>
        <v>Lala</v>
      </c>
      <c r="D18" s="28" t="str">
        <f ca="1">IF($A18=0,"",VLOOKUP($B18,Employees!$A:$G,3,FALSE))</f>
        <v>Nitta</v>
      </c>
      <c r="E18" s="26">
        <f ca="1">IF($A18=0,"",VLOOKUP($B18,Employees!$A:$G,5,FALSE))</f>
        <v>35581</v>
      </c>
      <c r="F18" s="13">
        <f ca="1">IF($E18="","",ROUNDDOWN(YEARFRAC($E18, 'Week 1 Roster'!$D$1-1, 1), 0))</f>
        <v>28</v>
      </c>
      <c r="G18" s="13">
        <f ca="1">IF($E18="","",ROUNDDOWN(YEARFRAC($E18, 'Week 1 Roster'!$D$1+14, 1), 0))</f>
        <v>28</v>
      </c>
      <c r="H18" s="13" t="b">
        <f t="shared" ca="1" si="10"/>
        <v>0</v>
      </c>
      <c r="I18" s="13">
        <f ca="1">IF($A18=0,"",VLOOKUP($B18,Employees!$A:$G,6,FALSE))</f>
        <v>76</v>
      </c>
      <c r="J18" s="13" t="str">
        <f ca="1">IF($A18=0,"",VLOOKUP($B18,Employees!$A:$G,7,FALSE))</f>
        <v>Win</v>
      </c>
      <c r="K18" s="13">
        <f ca="1">IF($A18=0,"",IF(ISNA(VLOOKUP(A18,'Week 1 Roster'!A:C,2,0)),VLOOKUP(A18,'Week 2 Roster'!A:C,2,0),VLOOKUP(A18,'Week 1 Roster'!A:C,2,0)))</f>
        <v>501</v>
      </c>
      <c r="L18" s="13" t="str">
        <f ca="1">IF($A18=0,"",VLOOKUP(K18,Stores!A:B,2,0))</f>
        <v>Superb</v>
      </c>
      <c r="M18" s="14">
        <f t="shared" ca="1" si="11"/>
        <v>4.4999999999999982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2.0000000000000009</v>
      </c>
      <c r="R18" s="14">
        <f t="shared" ca="1" si="16"/>
        <v>0</v>
      </c>
      <c r="S18" s="28">
        <f t="shared" ca="1" si="17"/>
        <v>1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6.4999999999999991</v>
      </c>
      <c r="Y18" s="17">
        <f ca="1">IF($A18=0,0,SUMIF('Week 1 Roster'!$AZ:$AZ,$B18,'Week 1 Roster'!$AE:$AE))</f>
        <v>4.4999999999999982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2.0000000000000009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1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6.4999999999999991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>
        <f>'Week 1 Roster'!A18</f>
        <v>210546</v>
      </c>
      <c r="AX18" s="25">
        <f>'Week 2 Roster'!A18</f>
        <v>210546</v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10252</v>
      </c>
      <c r="B19" s="28">
        <f t="shared" ca="1" si="9"/>
        <v>10252</v>
      </c>
      <c r="C19" s="28" t="str">
        <f ca="1">IF($A19=0,"",VLOOKUP($B19,Employees!$A:$G,2,FALSE))</f>
        <v>Zhihou</v>
      </c>
      <c r="D19" s="28" t="str">
        <f ca="1">IF($A19=0,"",VLOOKUP($B19,Employees!$A:$G,3,FALSE))</f>
        <v>Yang</v>
      </c>
      <c r="E19" s="26">
        <f ca="1">IF($A19=0,"",VLOOKUP($B19,Employees!$A:$G,5,FALSE))</f>
        <v>38345</v>
      </c>
      <c r="F19" s="13">
        <f ca="1">IF($E19="","",ROUNDDOWN(YEARFRAC($E19, 'Week 1 Roster'!$D$1-1, 1), 0))</f>
        <v>21</v>
      </c>
      <c r="G19" s="13">
        <f ca="1">IF($E19="","",ROUNDDOWN(YEARFRAC($E19, 'Week 1 Roster'!$D$1+14, 1), 0))</f>
        <v>21</v>
      </c>
      <c r="H19" s="13" t="b">
        <f t="shared" ca="1" si="10"/>
        <v>0</v>
      </c>
      <c r="I19" s="13">
        <f ca="1">IF($A19=0,"",VLOOKUP($B19,Employees!$A:$G,6,FALSE))</f>
        <v>76</v>
      </c>
      <c r="J19" s="13" t="str">
        <f ca="1">IF($A19=0,"",VLOOKUP($B19,Employees!$A:$G,7,FALSE))</f>
        <v>HL</v>
      </c>
      <c r="K19" s="13">
        <f ca="1">IF($A19=0,"",IF(ISNA(VLOOKUP(A19,'Week 1 Roster'!A:C,2,0)),VLOOKUP(A19,'Week 2 Roster'!A:C,2,0),VLOOKUP(A19,'Week 1 Roster'!A:C,2,0)))</f>
        <v>501</v>
      </c>
      <c r="L19" s="13" t="str">
        <f ca="1">IF($A19=0,"",VLOOKUP(K19,Stores!A:B,2,0))</f>
        <v>Superb</v>
      </c>
      <c r="M19" s="14">
        <f t="shared" ca="1" si="11"/>
        <v>0</v>
      </c>
      <c r="N19" s="14">
        <f t="shared" ca="1" si="12"/>
        <v>0</v>
      </c>
      <c r="O19" s="14">
        <f t="shared" ca="1" si="13"/>
        <v>6.4999999999999991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1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6.4999999999999991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6.4999999999999991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1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6.4999999999999991</v>
      </c>
      <c r="AV19" s="17"/>
      <c r="AW19" s="25">
        <f>'Week 1 Roster'!A19</f>
        <v>210527</v>
      </c>
      <c r="AX19" s="25">
        <f>'Week 2 Roster'!A19</f>
        <v>210527</v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10338</v>
      </c>
      <c r="B20" s="28">
        <f t="shared" ca="1" si="9"/>
        <v>10338</v>
      </c>
      <c r="C20" s="28" t="str">
        <f ca="1">IF($A20=0,"",VLOOKUP($B20,Employees!$A:$G,2,FALSE))</f>
        <v>Xin</v>
      </c>
      <c r="D20" s="28" t="str">
        <f ca="1">IF($A20=0,"",VLOOKUP($B20,Employees!$A:$G,3,FALSE))</f>
        <v>Xiao</v>
      </c>
      <c r="E20" s="26">
        <f ca="1">IF($A20=0,"",VLOOKUP($B20,Employees!$A:$G,5,FALSE))</f>
        <v>36592</v>
      </c>
      <c r="F20" s="13">
        <f ca="1">IF($E20="","",ROUNDDOWN(YEARFRAC($E20, 'Week 1 Roster'!$D$1-1, 1), 0))</f>
        <v>25</v>
      </c>
      <c r="G20" s="13">
        <f ca="1">IF($E20="","",ROUNDDOWN(YEARFRAC($E20, 'Week 1 Roster'!$D$1+14, 1), 0))</f>
        <v>25</v>
      </c>
      <c r="H20" s="13" t="b">
        <f t="shared" ca="1" si="10"/>
        <v>0</v>
      </c>
      <c r="I20" s="13">
        <f ca="1">IF($A20=0,"",VLOOKUP($B20,Employees!$A:$G,6,FALSE))</f>
        <v>76</v>
      </c>
      <c r="J20" s="13" t="str">
        <f ca="1">IF($A20=0,"",VLOOKUP($B20,Employees!$A:$G,7,FALSE))</f>
        <v>SS</v>
      </c>
      <c r="K20" s="13">
        <f ca="1">IF($A20=0,"",IF(ISNA(VLOOKUP(A20,'Week 1 Roster'!A:C,2,0)),VLOOKUP(A20,'Week 2 Roster'!A:C,2,0),VLOOKUP(A20,'Week 1 Roster'!A:C,2,0)))</f>
        <v>501</v>
      </c>
      <c r="L20" s="13" t="str">
        <f ca="1">IF($A20=0,"",VLOOKUP(K20,Stores!A:B,2,0))</f>
        <v>Superb</v>
      </c>
      <c r="M20" s="14">
        <f t="shared" ca="1" si="11"/>
        <v>4.4999999999999982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2.0000000000000009</v>
      </c>
      <c r="R20" s="14">
        <f t="shared" ca="1" si="16"/>
        <v>0</v>
      </c>
      <c r="S20" s="28">
        <f t="shared" ca="1" si="17"/>
        <v>1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6.4999999999999991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4.4999999999999982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2.0000000000000009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1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6.4999999999999991</v>
      </c>
      <c r="AV20" s="17"/>
      <c r="AW20" s="25" t="str">
        <f>'Week 1 Roster'!A20</f>
        <v/>
      </c>
      <c r="AX20" s="25">
        <f>'Week 2 Roster'!A20</f>
        <v>10252</v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210525</v>
      </c>
      <c r="B21" s="28">
        <f t="shared" ca="1" si="9"/>
        <v>210525</v>
      </c>
      <c r="C21" s="28" t="str">
        <f ca="1">IF($A21=0,"",VLOOKUP($B21,Employees!$A:$G,2,FALSE))</f>
        <v>Yun-Hui</v>
      </c>
      <c r="D21" s="28" t="str">
        <f ca="1">IF($A21=0,"",VLOOKUP($B21,Employees!$A:$G,3,FALSE))</f>
        <v>Kim</v>
      </c>
      <c r="E21" s="26">
        <f ca="1">IF($A21=0,"",VLOOKUP($B21,Employees!$A:$G,5,FALSE))</f>
        <v>38289</v>
      </c>
      <c r="F21" s="13">
        <f ca="1">IF($E21="","",ROUNDDOWN(YEARFRAC($E21, 'Week 1 Roster'!$D$1-1, 1), 0))</f>
        <v>21</v>
      </c>
      <c r="G21" s="13">
        <f ca="1">IF($E21="","",ROUNDDOWN(YEARFRAC($E21, 'Week 1 Roster'!$D$1+14, 1), 0))</f>
        <v>21</v>
      </c>
      <c r="H21" s="13" t="b">
        <f t="shared" ca="1" si="10"/>
        <v>0</v>
      </c>
      <c r="I21" s="13">
        <f ca="1">IF($A21=0,"",VLOOKUP($B21,Employees!$A:$G,6,FALSE))</f>
        <v>76</v>
      </c>
      <c r="J21" s="13" t="str">
        <f ca="1">IF($A21=0,"",VLOOKUP($B21,Employees!$A:$G,7,FALSE))</f>
        <v>Win</v>
      </c>
      <c r="K21" s="13">
        <f ca="1">IF($A21=0,"",IF(ISNA(VLOOKUP(A21,'Week 1 Roster'!A:C,2,0)),VLOOKUP(A21,'Week 2 Roster'!A:C,2,0),VLOOKUP(A21,'Week 1 Roster'!A:C,2,0)))</f>
        <v>501</v>
      </c>
      <c r="L21" s="13" t="str">
        <f ca="1">IF($A21=0,"",VLOOKUP(K21,Stores!A:B,2,0))</f>
        <v>Superb</v>
      </c>
      <c r="M21" s="14">
        <f t="shared" ca="1" si="11"/>
        <v>4.4999999999999982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1.5</v>
      </c>
      <c r="R21" s="14">
        <f t="shared" ca="1" si="16"/>
        <v>0</v>
      </c>
      <c r="S21" s="28">
        <f t="shared" ca="1" si="17"/>
        <v>1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5.9999999999999982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4.4999999999999982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1.5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1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5.9999999999999982</v>
      </c>
      <c r="AV21" s="17"/>
      <c r="AW21" s="25" t="str">
        <f>'Week 1 Roster'!A21</f>
        <v/>
      </c>
      <c r="AX21" s="25">
        <f>'Week 2 Roster'!A21</f>
        <v>10338</v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>
        <f>'Week 2 Roster'!A22</f>
        <v>210525</v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abSelected="1" topLeftCell="A438" zoomScale="186" zoomScaleNormal="186" workbookViewId="0">
      <selection activeCell="F458" sqref="F458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48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/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76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76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76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1376</v>
      </c>
      <c r="H432" s="39"/>
      <c r="I432" s="12">
        <f t="shared" si="7"/>
        <v>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76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48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95" t="s">
        <v>123</v>
      </c>
      <c r="D551" s="95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48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A557" s="2">
        <v>210556</v>
      </c>
      <c r="B557" s="67" t="s">
        <v>1508</v>
      </c>
      <c r="C557" s="67" t="s">
        <v>1509</v>
      </c>
      <c r="D557" s="67" t="s">
        <v>1510</v>
      </c>
      <c r="E557" s="79">
        <v>39273</v>
      </c>
      <c r="F557" s="32">
        <v>48</v>
      </c>
      <c r="G557" s="39" t="s">
        <v>1376</v>
      </c>
      <c r="I557" s="12">
        <f t="shared" si="9"/>
        <v>210556</v>
      </c>
    </row>
    <row r="558" spans="1:9">
      <c r="A558" s="2">
        <v>210557</v>
      </c>
      <c r="B558" s="67" t="s">
        <v>1513</v>
      </c>
      <c r="C558" s="67" t="s">
        <v>319</v>
      </c>
      <c r="D558" s="67" t="s">
        <v>1512</v>
      </c>
      <c r="E558" s="79">
        <v>39172</v>
      </c>
      <c r="F558" s="32">
        <v>48</v>
      </c>
      <c r="G558" s="39" t="s">
        <v>1376</v>
      </c>
      <c r="I558" s="12">
        <f t="shared" si="9"/>
        <v>210557</v>
      </c>
    </row>
    <row r="559" spans="1:9">
      <c r="A559" s="2">
        <v>210558</v>
      </c>
      <c r="B559" s="67" t="s">
        <v>1514</v>
      </c>
      <c r="C559" s="67" t="s">
        <v>1515</v>
      </c>
      <c r="D559" s="67" t="s">
        <v>1511</v>
      </c>
      <c r="E559" s="79">
        <v>39286</v>
      </c>
      <c r="F559" s="32">
        <v>48</v>
      </c>
      <c r="G559" s="39" t="s">
        <v>1376</v>
      </c>
      <c r="I559" s="12">
        <f t="shared" si="9"/>
        <v>210558</v>
      </c>
    </row>
    <row r="560" spans="1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2026-02-02T22:40:15Z</dcterms:modified>
</cp:coreProperties>
</file>