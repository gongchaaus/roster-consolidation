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B55D6573-9E2C-4F4E-86F4-B418EFD0D673}" xr6:coauthVersionLast="47" xr6:coauthVersionMax="47" xr10:uidLastSave="{00000000-0000-0000-0000-000000000000}"/>
  <bookViews>
    <workbookView xWindow="820" yWindow="900" windowWidth="29420" windowHeight="1720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11" i="2" s="1"/>
  <c r="AW11" i="12" s="1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BY100" i="18"/>
  <c r="BX100" i="18"/>
  <c r="BU100" i="18"/>
  <c r="BT100" i="18"/>
  <c r="BS100" i="18"/>
  <c r="BP100" i="18"/>
  <c r="BO100" i="18"/>
  <c r="BL100" i="18"/>
  <c r="BM100" i="18" s="1"/>
  <c r="BK100" i="18"/>
  <c r="BJ100" i="18"/>
  <c r="BI100" i="18"/>
  <c r="BF100" i="18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F99" i="18" s="1"/>
  <c r="BA99" i="18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O98" i="18"/>
  <c r="BK98" i="18"/>
  <c r="BL98" i="18" s="1"/>
  <c r="L98" i="18" s="1"/>
  <c r="BJ98" i="18"/>
  <c r="BI98" i="18"/>
  <c r="BF98" i="18"/>
  <c r="BE98" i="18"/>
  <c r="BD98" i="18"/>
  <c r="BB98" i="18"/>
  <c r="BA98" i="18"/>
  <c r="CI97" i="18"/>
  <c r="CH97" i="18"/>
  <c r="CF97" i="18"/>
  <c r="CE97" i="18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F97" i="18"/>
  <c r="BG97" i="18" s="1"/>
  <c r="BH97" i="18" s="1"/>
  <c r="BE97" i="18"/>
  <c r="BD97" i="18"/>
  <c r="BA97" i="18"/>
  <c r="CI96" i="18"/>
  <c r="CH96" i="18"/>
  <c r="CE96" i="18"/>
  <c r="CF96" i="18" s="1"/>
  <c r="CD96" i="18"/>
  <c r="CC96" i="18"/>
  <c r="CA96" i="18"/>
  <c r="BZ96" i="18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BZ95" i="18"/>
  <c r="BY95" i="18"/>
  <c r="BX95" i="18"/>
  <c r="BU95" i="18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E94" i="18"/>
  <c r="CF94" i="18" s="1"/>
  <c r="CG94" i="18" s="1"/>
  <c r="CD94" i="18"/>
  <c r="CC94" i="18"/>
  <c r="BZ94" i="18"/>
  <c r="BY94" i="18"/>
  <c r="BX94" i="18"/>
  <c r="BV94" i="18"/>
  <c r="BU94" i="18"/>
  <c r="BT94" i="18"/>
  <c r="BS94" i="18"/>
  <c r="BP94" i="18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D93" i="18"/>
  <c r="CC93" i="18"/>
  <c r="BZ93" i="18"/>
  <c r="CA93" i="18" s="1"/>
  <c r="CB93" i="18" s="1"/>
  <c r="BY93" i="18"/>
  <c r="BX93" i="18"/>
  <c r="BU93" i="18"/>
  <c r="BT93" i="18"/>
  <c r="BS93" i="18"/>
  <c r="BQ93" i="18"/>
  <c r="BP93" i="18"/>
  <c r="BO93" i="18"/>
  <c r="BK93" i="18"/>
  <c r="BJ93" i="18"/>
  <c r="BI93" i="18"/>
  <c r="BF93" i="18"/>
  <c r="BE93" i="18"/>
  <c r="BD93" i="18"/>
  <c r="BA93" i="18"/>
  <c r="CI92" i="18"/>
  <c r="CH92" i="18"/>
  <c r="CE92" i="18"/>
  <c r="CD92" i="18"/>
  <c r="CC92" i="18"/>
  <c r="BZ92" i="18"/>
  <c r="CA92" i="18" s="1"/>
  <c r="BY92" i="18"/>
  <c r="BX92" i="18"/>
  <c r="BV92" i="18"/>
  <c r="R92" i="18" s="1"/>
  <c r="BU92" i="18"/>
  <c r="BT92" i="18"/>
  <c r="BS92" i="18"/>
  <c r="BP92" i="18"/>
  <c r="BO92" i="18"/>
  <c r="BL92" i="18"/>
  <c r="BK92" i="18"/>
  <c r="BJ92" i="18"/>
  <c r="BI92" i="18"/>
  <c r="BG92" i="18"/>
  <c r="BF92" i="18"/>
  <c r="BE92" i="18"/>
  <c r="BD92" i="18"/>
  <c r="BA92" i="18"/>
  <c r="CI91" i="18"/>
  <c r="CH91" i="18"/>
  <c r="CE91" i="18"/>
  <c r="CF91" i="18" s="1"/>
  <c r="CD91" i="18"/>
  <c r="CC91" i="18"/>
  <c r="CA91" i="18"/>
  <c r="U91" i="18" s="1"/>
  <c r="BZ91" i="18"/>
  <c r="BY91" i="18"/>
  <c r="BX91" i="18"/>
  <c r="BU91" i="18"/>
  <c r="BV91" i="18" s="1"/>
  <c r="BW91" i="18" s="1"/>
  <c r="BT91" i="18"/>
  <c r="BS91" i="18"/>
  <c r="BP91" i="18"/>
  <c r="BQ91" i="18" s="1"/>
  <c r="BR91" i="18" s="1"/>
  <c r="BO91" i="18"/>
  <c r="BK91" i="18"/>
  <c r="BJ91" i="18"/>
  <c r="BI91" i="18"/>
  <c r="BF91" i="18"/>
  <c r="BE91" i="18"/>
  <c r="BD91" i="18"/>
  <c r="BA91" i="18"/>
  <c r="CI90" i="18"/>
  <c r="CH90" i="18"/>
  <c r="CF90" i="18"/>
  <c r="X90" i="18" s="1"/>
  <c r="CE90" i="18"/>
  <c r="CD90" i="18"/>
  <c r="CC90" i="18"/>
  <c r="BZ90" i="18"/>
  <c r="CA90" i="18" s="1"/>
  <c r="BY90" i="18"/>
  <c r="BX90" i="18"/>
  <c r="BU90" i="18"/>
  <c r="BT90" i="18"/>
  <c r="BS90" i="18"/>
  <c r="BP90" i="18"/>
  <c r="BQ90" i="18" s="1"/>
  <c r="BO90" i="18"/>
  <c r="BK90" i="18"/>
  <c r="BL90" i="18" s="1"/>
  <c r="BJ90" i="18"/>
  <c r="BI90" i="18"/>
  <c r="BF90" i="18"/>
  <c r="BE90" i="18"/>
  <c r="BD90" i="18"/>
  <c r="BA90" i="18"/>
  <c r="BB90" i="18" s="1"/>
  <c r="CI89" i="18"/>
  <c r="CH89" i="18"/>
  <c r="CE89" i="18"/>
  <c r="CD89" i="18"/>
  <c r="CC89" i="18"/>
  <c r="CA89" i="18"/>
  <c r="BZ89" i="18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F89" i="18"/>
  <c r="BE89" i="18"/>
  <c r="BD89" i="18"/>
  <c r="BA89" i="18"/>
  <c r="CI88" i="18"/>
  <c r="CH88" i="18"/>
  <c r="CF88" i="18"/>
  <c r="CE88" i="18"/>
  <c r="CD88" i="18"/>
  <c r="CC88" i="18"/>
  <c r="BZ88" i="18"/>
  <c r="CA88" i="18" s="1"/>
  <c r="CB88" i="18" s="1"/>
  <c r="BY88" i="18"/>
  <c r="BX88" i="18"/>
  <c r="BV88" i="18"/>
  <c r="BU88" i="18"/>
  <c r="BT88" i="18"/>
  <c r="BS88" i="18"/>
  <c r="BR88" i="18" s="1"/>
  <c r="BP88" i="18"/>
  <c r="BQ88" i="18" s="1"/>
  <c r="BO88" i="18"/>
  <c r="BK88" i="18"/>
  <c r="BL88" i="18" s="1"/>
  <c r="BJ88" i="18"/>
  <c r="BI88" i="18"/>
  <c r="BF88" i="18"/>
  <c r="BE88" i="18"/>
  <c r="BD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V87" i="18"/>
  <c r="BW87" i="18" s="1"/>
  <c r="BU87" i="18"/>
  <c r="BT87" i="18"/>
  <c r="BS87" i="18"/>
  <c r="BQ87" i="18"/>
  <c r="O87" i="18" s="1"/>
  <c r="BP87" i="18"/>
  <c r="BO87" i="18"/>
  <c r="BK87" i="18"/>
  <c r="BL87" i="18" s="1"/>
  <c r="BJ87" i="18"/>
  <c r="BI87" i="18"/>
  <c r="BF87" i="18"/>
  <c r="BE87" i="18"/>
  <c r="BD87" i="18"/>
  <c r="BA87" i="18"/>
  <c r="BB87" i="18" s="1"/>
  <c r="CI86" i="18"/>
  <c r="CH86" i="18"/>
  <c r="CF86" i="18"/>
  <c r="CE86" i="18"/>
  <c r="CD86" i="18"/>
  <c r="CC86" i="18"/>
  <c r="BZ86" i="18"/>
  <c r="BY86" i="18"/>
  <c r="BX86" i="18"/>
  <c r="BU86" i="18"/>
  <c r="BT86" i="18"/>
  <c r="BS86" i="18"/>
  <c r="BP86" i="18"/>
  <c r="BO86" i="18"/>
  <c r="BK86" i="18"/>
  <c r="BL86" i="18" s="1"/>
  <c r="L86" i="18" s="1"/>
  <c r="BJ86" i="18"/>
  <c r="BI86" i="18"/>
  <c r="BF86" i="18"/>
  <c r="BG86" i="18" s="1"/>
  <c r="BE86" i="18"/>
  <c r="BD86" i="18"/>
  <c r="BB86" i="18"/>
  <c r="BA86" i="18"/>
  <c r="F86" i="18" s="1"/>
  <c r="CI85" i="18"/>
  <c r="CH85" i="18"/>
  <c r="CE85" i="18"/>
  <c r="CF85" i="18" s="1"/>
  <c r="CD85" i="18"/>
  <c r="CC85" i="18"/>
  <c r="BZ85" i="18"/>
  <c r="BY85" i="18"/>
  <c r="BX85" i="18"/>
  <c r="BU85" i="18"/>
  <c r="BT85" i="18"/>
  <c r="BS85" i="18"/>
  <c r="BP85" i="18"/>
  <c r="BQ85" i="18" s="1"/>
  <c r="BR85" i="18" s="1"/>
  <c r="BO85" i="18"/>
  <c r="BK85" i="18"/>
  <c r="BJ85" i="18"/>
  <c r="BI85" i="18"/>
  <c r="BG85" i="18"/>
  <c r="BF85" i="18"/>
  <c r="BE85" i="18"/>
  <c r="BD85" i="18"/>
  <c r="BA85" i="18"/>
  <c r="BB85" i="18" s="1"/>
  <c r="CI84" i="18"/>
  <c r="CH84" i="18"/>
  <c r="CE84" i="18"/>
  <c r="CD84" i="18"/>
  <c r="CC84" i="18"/>
  <c r="BZ84" i="18"/>
  <c r="CA84" i="18" s="1"/>
  <c r="BY84" i="18"/>
  <c r="BX84" i="18"/>
  <c r="BV84" i="18"/>
  <c r="BU84" i="18"/>
  <c r="BT84" i="18"/>
  <c r="BS84" i="18"/>
  <c r="BP84" i="18"/>
  <c r="BO84" i="18"/>
  <c r="BL84" i="18"/>
  <c r="BK84" i="18"/>
  <c r="L84" i="18" s="1"/>
  <c r="BJ84" i="18"/>
  <c r="BI84" i="18"/>
  <c r="BG84" i="18"/>
  <c r="BF84" i="18"/>
  <c r="BE84" i="18"/>
  <c r="BD84" i="18"/>
  <c r="BB84" i="18"/>
  <c r="BA84" i="18"/>
  <c r="CI83" i="18"/>
  <c r="CH83" i="18"/>
  <c r="CE83" i="18"/>
  <c r="CF83" i="18" s="1"/>
  <c r="CD83" i="18"/>
  <c r="CC83" i="18"/>
  <c r="CA83" i="18"/>
  <c r="U83" i="18" s="1"/>
  <c r="BZ83" i="18"/>
  <c r="BY83" i="18"/>
  <c r="BX83" i="18"/>
  <c r="BW83" i="18" s="1"/>
  <c r="BU83" i="18"/>
  <c r="BV83" i="18" s="1"/>
  <c r="BT83" i="18"/>
  <c r="BS83" i="18"/>
  <c r="BR83" i="18"/>
  <c r="BP83" i="18"/>
  <c r="BQ83" i="18" s="1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X82" i="18" s="1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K82" i="18"/>
  <c r="BJ82" i="18"/>
  <c r="BI82" i="18"/>
  <c r="BF82" i="18"/>
  <c r="BE82" i="18"/>
  <c r="BD82" i="18"/>
  <c r="BA82" i="18"/>
  <c r="CI81" i="18"/>
  <c r="CH81" i="18"/>
  <c r="CF81" i="18"/>
  <c r="CE81" i="18"/>
  <c r="CD81" i="18"/>
  <c r="CC81" i="18"/>
  <c r="BZ81" i="18"/>
  <c r="CA81" i="18" s="1"/>
  <c r="BY81" i="18"/>
  <c r="BX81" i="18"/>
  <c r="BU81" i="18"/>
  <c r="BV81" i="18" s="1"/>
  <c r="BT81" i="18"/>
  <c r="BS81" i="18"/>
  <c r="BP81" i="18"/>
  <c r="BO81" i="18"/>
  <c r="BK81" i="18"/>
  <c r="BL81" i="18" s="1"/>
  <c r="BJ81" i="18"/>
  <c r="BI81" i="18"/>
  <c r="BF81" i="18"/>
  <c r="BG81" i="18" s="1"/>
  <c r="BE81" i="18"/>
  <c r="BD81" i="18"/>
  <c r="BA81" i="18"/>
  <c r="CI80" i="18"/>
  <c r="CH80" i="18"/>
  <c r="CE80" i="18"/>
  <c r="CF80" i="18" s="1"/>
  <c r="X80" i="18" s="1"/>
  <c r="CD80" i="18"/>
  <c r="CC80" i="18"/>
  <c r="BZ80" i="18"/>
  <c r="CA80" i="18" s="1"/>
  <c r="BY80" i="18"/>
  <c r="BX80" i="18"/>
  <c r="BU80" i="18"/>
  <c r="BT80" i="18"/>
  <c r="BS80" i="18"/>
  <c r="BP80" i="18"/>
  <c r="BO80" i="18"/>
  <c r="BK80" i="18"/>
  <c r="BJ80" i="18"/>
  <c r="BI80" i="18"/>
  <c r="BF80" i="18"/>
  <c r="BG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U79" i="18"/>
  <c r="BV79" i="18" s="1"/>
  <c r="BT79" i="18"/>
  <c r="BS79" i="18"/>
  <c r="BP79" i="18"/>
  <c r="BO79" i="18"/>
  <c r="BK79" i="18"/>
  <c r="BL79" i="18" s="1"/>
  <c r="BJ79" i="18"/>
  <c r="BI79" i="18"/>
  <c r="BF79" i="18"/>
  <c r="BG79" i="18" s="1"/>
  <c r="I79" i="18" s="1"/>
  <c r="BE79" i="18"/>
  <c r="BD79" i="18"/>
  <c r="BA79" i="18"/>
  <c r="CI78" i="18"/>
  <c r="CH78" i="18"/>
  <c r="CE78" i="18"/>
  <c r="CD78" i="18"/>
  <c r="CC78" i="18"/>
  <c r="BZ78" i="18"/>
  <c r="BY78" i="18"/>
  <c r="BX78" i="18"/>
  <c r="BV78" i="18"/>
  <c r="BW78" i="18" s="1"/>
  <c r="BU78" i="18"/>
  <c r="R78" i="18" s="1"/>
  <c r="BT78" i="18"/>
  <c r="BS78" i="18"/>
  <c r="BP78" i="18"/>
  <c r="BQ78" i="18" s="1"/>
  <c r="O78" i="18" s="1"/>
  <c r="BO78" i="18"/>
  <c r="BL78" i="18"/>
  <c r="BK78" i="18"/>
  <c r="BJ78" i="18"/>
  <c r="BI78" i="18"/>
  <c r="BF78" i="18"/>
  <c r="BG78" i="18" s="1"/>
  <c r="BE78" i="18"/>
  <c r="BD78" i="18"/>
  <c r="BA78" i="18"/>
  <c r="CI77" i="18"/>
  <c r="CH77" i="18"/>
  <c r="CE77" i="18"/>
  <c r="CD77" i="18"/>
  <c r="CC77" i="18"/>
  <c r="CA77" i="18"/>
  <c r="BZ77" i="18"/>
  <c r="BY77" i="18"/>
  <c r="BX77" i="18"/>
  <c r="BU77" i="18"/>
  <c r="BT77" i="18"/>
  <c r="BS77" i="18"/>
  <c r="BQ77" i="18"/>
  <c r="BP77" i="18"/>
  <c r="O77" i="18" s="1"/>
  <c r="BO77" i="18"/>
  <c r="BL77" i="18"/>
  <c r="BK77" i="18"/>
  <c r="BJ77" i="18"/>
  <c r="BI77" i="18"/>
  <c r="BF77" i="18"/>
  <c r="BE77" i="18"/>
  <c r="BD77" i="18"/>
  <c r="BA77" i="18"/>
  <c r="CI76" i="18"/>
  <c r="CH76" i="18"/>
  <c r="CE76" i="18"/>
  <c r="CF76" i="18" s="1"/>
  <c r="CD76" i="18"/>
  <c r="CC76" i="18"/>
  <c r="BZ76" i="18"/>
  <c r="CA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A76" i="18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P75" i="18"/>
  <c r="BO75" i="18"/>
  <c r="BK75" i="18"/>
  <c r="BJ75" i="18"/>
  <c r="BI75" i="18"/>
  <c r="BF75" i="18"/>
  <c r="BE75" i="18"/>
  <c r="BD75" i="18"/>
  <c r="BB75" i="18"/>
  <c r="BA75" i="18"/>
  <c r="CI74" i="18"/>
  <c r="CH74" i="18"/>
  <c r="CF74" i="18"/>
  <c r="CE74" i="18"/>
  <c r="CD74" i="18"/>
  <c r="CC74" i="18"/>
  <c r="CB74" i="18"/>
  <c r="BZ74" i="18"/>
  <c r="CA74" i="18" s="1"/>
  <c r="BY74" i="18"/>
  <c r="BX74" i="18"/>
  <c r="BU74" i="18"/>
  <c r="BT74" i="18"/>
  <c r="BS74" i="18"/>
  <c r="BP74" i="18"/>
  <c r="BO74" i="18"/>
  <c r="BL74" i="18"/>
  <c r="BK74" i="18"/>
  <c r="BM74" i="18" s="1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F73" i="18"/>
  <c r="BG73" i="18" s="1"/>
  <c r="BH73" i="18" s="1"/>
  <c r="BE73" i="18"/>
  <c r="BD73" i="18"/>
  <c r="BA73" i="18"/>
  <c r="CI72" i="18"/>
  <c r="CH72" i="18"/>
  <c r="CE72" i="18"/>
  <c r="CF72" i="18" s="1"/>
  <c r="X72" i="18" s="1"/>
  <c r="CD72" i="18"/>
  <c r="CC72" i="18"/>
  <c r="CA72" i="18"/>
  <c r="BZ72" i="18"/>
  <c r="BY72" i="18"/>
  <c r="BX72" i="18"/>
  <c r="BU72" i="18"/>
  <c r="BV72" i="18" s="1"/>
  <c r="BT72" i="18"/>
  <c r="BR72" i="18" s="1"/>
  <c r="BS72" i="18"/>
  <c r="BP72" i="18"/>
  <c r="BQ72" i="18" s="1"/>
  <c r="BO72" i="18"/>
  <c r="BL72" i="18"/>
  <c r="L72" i="18" s="1"/>
  <c r="BK72" i="18"/>
  <c r="BJ72" i="18"/>
  <c r="BI72" i="18"/>
  <c r="BF72" i="18"/>
  <c r="BE72" i="18"/>
  <c r="BD72" i="18"/>
  <c r="BA72" i="18"/>
  <c r="BB72" i="18" s="1"/>
  <c r="CI71" i="18"/>
  <c r="CH71" i="18"/>
  <c r="CE71" i="18"/>
  <c r="CD71" i="18"/>
  <c r="CC71" i="18"/>
  <c r="BZ71" i="18"/>
  <c r="CA71" i="18" s="1"/>
  <c r="BY71" i="18"/>
  <c r="BX71" i="18"/>
  <c r="BU71" i="18"/>
  <c r="BT71" i="18"/>
  <c r="BS71" i="18"/>
  <c r="BQ71" i="18"/>
  <c r="BP71" i="18"/>
  <c r="BO71" i="18"/>
  <c r="BK71" i="18"/>
  <c r="BL71" i="18" s="1"/>
  <c r="BJ71" i="18"/>
  <c r="BI71" i="18"/>
  <c r="BF71" i="18"/>
  <c r="BE71" i="18"/>
  <c r="BD71" i="18"/>
  <c r="BA71" i="18"/>
  <c r="BB71" i="18" s="1"/>
  <c r="CI70" i="18"/>
  <c r="CH70" i="18"/>
  <c r="CE70" i="18"/>
  <c r="CF70" i="18" s="1"/>
  <c r="CD70" i="18"/>
  <c r="CC70" i="18"/>
  <c r="BZ70" i="18"/>
  <c r="BY70" i="18"/>
  <c r="BX70" i="18"/>
  <c r="BU70" i="18"/>
  <c r="BV70" i="18" s="1"/>
  <c r="R70" i="18" s="1"/>
  <c r="BT70" i="18"/>
  <c r="BS70" i="18"/>
  <c r="BP70" i="18"/>
  <c r="BO70" i="18"/>
  <c r="BL70" i="18"/>
  <c r="BK70" i="18"/>
  <c r="BJ70" i="18"/>
  <c r="BI70" i="18"/>
  <c r="BF70" i="18"/>
  <c r="BG70" i="18" s="1"/>
  <c r="BE70" i="18"/>
  <c r="BD70" i="18"/>
  <c r="BA70" i="18"/>
  <c r="CI69" i="18"/>
  <c r="CH69" i="18"/>
  <c r="CE69" i="18"/>
  <c r="CD69" i="18"/>
  <c r="CC69" i="18"/>
  <c r="CA69" i="18"/>
  <c r="BZ69" i="18"/>
  <c r="BY69" i="18"/>
  <c r="BX69" i="18"/>
  <c r="BU69" i="18"/>
  <c r="BT69" i="18"/>
  <c r="BS69" i="18"/>
  <c r="BP69" i="18"/>
  <c r="BQ69" i="18" s="1"/>
  <c r="BO69" i="18"/>
  <c r="BM69" i="18"/>
  <c r="BL69" i="18"/>
  <c r="BK69" i="18"/>
  <c r="BJ69" i="18"/>
  <c r="BI69" i="18"/>
  <c r="BG69" i="18"/>
  <c r="BF69" i="18"/>
  <c r="BE69" i="18"/>
  <c r="BD69" i="18"/>
  <c r="BA69" i="18"/>
  <c r="BB69" i="18" s="1"/>
  <c r="CI68" i="18"/>
  <c r="CH68" i="18"/>
  <c r="CE68" i="18"/>
  <c r="CD68" i="18"/>
  <c r="CC68" i="18"/>
  <c r="BZ68" i="18"/>
  <c r="CA68" i="18" s="1"/>
  <c r="BY68" i="18"/>
  <c r="BX68" i="18"/>
  <c r="BV68" i="18"/>
  <c r="BU68" i="18"/>
  <c r="BT68" i="18"/>
  <c r="BS68" i="18"/>
  <c r="BP68" i="18"/>
  <c r="BO68" i="18"/>
  <c r="BK68" i="18"/>
  <c r="BL68" i="18" s="1"/>
  <c r="BJ68" i="18"/>
  <c r="BI68" i="18"/>
  <c r="BG68" i="18"/>
  <c r="I68" i="18" s="1"/>
  <c r="BF68" i="18"/>
  <c r="BE68" i="18"/>
  <c r="BD68" i="18"/>
  <c r="BB68" i="18"/>
  <c r="BA68" i="18"/>
  <c r="CI67" i="18"/>
  <c r="CH67" i="18"/>
  <c r="CE67" i="18"/>
  <c r="CF67" i="18" s="1"/>
  <c r="CD67" i="18"/>
  <c r="CC67" i="18"/>
  <c r="BZ67" i="18"/>
  <c r="BY67" i="18"/>
  <c r="BX67" i="18"/>
  <c r="BU67" i="18"/>
  <c r="BV67" i="18" s="1"/>
  <c r="BT67" i="18"/>
  <c r="BS67" i="18"/>
  <c r="BP67" i="18"/>
  <c r="BO67" i="18"/>
  <c r="BK67" i="18"/>
  <c r="BJ67" i="18"/>
  <c r="BI67" i="18"/>
  <c r="BF67" i="18"/>
  <c r="BG67" i="18" s="1"/>
  <c r="BE67" i="18"/>
  <c r="BD67" i="18"/>
  <c r="BA67" i="18"/>
  <c r="BB67" i="18" s="1"/>
  <c r="CI66" i="18"/>
  <c r="CH66" i="18"/>
  <c r="CF66" i="18"/>
  <c r="CE66" i="18"/>
  <c r="CD66" i="18"/>
  <c r="CC66" i="18"/>
  <c r="BZ66" i="18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A66" i="18"/>
  <c r="BB66" i="18" s="1"/>
  <c r="BC66" i="18" s="1"/>
  <c r="CI65" i="18"/>
  <c r="CH65" i="18"/>
  <c r="CE65" i="18"/>
  <c r="CD65" i="18"/>
  <c r="CC65" i="18"/>
  <c r="BZ65" i="18"/>
  <c r="BY65" i="18"/>
  <c r="BX65" i="18"/>
  <c r="BU65" i="18"/>
  <c r="BV65" i="18" s="1"/>
  <c r="BT65" i="18"/>
  <c r="BS65" i="18"/>
  <c r="BQ65" i="18"/>
  <c r="BP65" i="18"/>
  <c r="BO65" i="18"/>
  <c r="BK65" i="18"/>
  <c r="BJ65" i="18"/>
  <c r="BH65" i="18" s="1"/>
  <c r="BI65" i="18"/>
  <c r="BF65" i="18"/>
  <c r="BG65" i="18" s="1"/>
  <c r="BE65" i="18"/>
  <c r="BD65" i="18"/>
  <c r="BA65" i="18"/>
  <c r="CI64" i="18"/>
  <c r="CH64" i="18"/>
  <c r="CF64" i="18"/>
  <c r="X64" i="18" s="1"/>
  <c r="CE64" i="18"/>
  <c r="CD64" i="18"/>
  <c r="CC64" i="18"/>
  <c r="BZ64" i="18"/>
  <c r="BY64" i="18"/>
  <c r="BX64" i="18"/>
  <c r="BV64" i="18"/>
  <c r="R64" i="18" s="1"/>
  <c r="BU64" i="18"/>
  <c r="BT64" i="18"/>
  <c r="BS64" i="18"/>
  <c r="BP64" i="18"/>
  <c r="BO64" i="18"/>
  <c r="BK64" i="18"/>
  <c r="BL64" i="18" s="1"/>
  <c r="BJ64" i="18"/>
  <c r="BI64" i="18"/>
  <c r="BF64" i="18"/>
  <c r="BE64" i="18"/>
  <c r="BD64" i="18"/>
  <c r="BB64" i="18"/>
  <c r="BC64" i="18" s="1"/>
  <c r="BA64" i="18"/>
  <c r="CI63" i="18"/>
  <c r="CH63" i="18"/>
  <c r="CE63" i="18"/>
  <c r="CD63" i="18"/>
  <c r="CC63" i="18"/>
  <c r="CA63" i="18"/>
  <c r="BZ63" i="18"/>
  <c r="BY63" i="18"/>
  <c r="BX63" i="18"/>
  <c r="BU63" i="18"/>
  <c r="BT63" i="18"/>
  <c r="BS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D62" i="18"/>
  <c r="CC62" i="18"/>
  <c r="BZ62" i="18"/>
  <c r="BY62" i="18"/>
  <c r="BX62" i="18"/>
  <c r="BU62" i="18"/>
  <c r="BT62" i="18"/>
  <c r="BS62" i="18"/>
  <c r="BP62" i="18"/>
  <c r="BO62" i="18"/>
  <c r="BL62" i="18"/>
  <c r="L62" i="18" s="1"/>
  <c r="BK62" i="18"/>
  <c r="BJ62" i="18"/>
  <c r="BI62" i="18"/>
  <c r="BF62" i="18"/>
  <c r="BE62" i="18"/>
  <c r="BD62" i="18"/>
  <c r="BA62" i="18"/>
  <c r="BB62" i="18" s="1"/>
  <c r="F62" i="18" s="1"/>
  <c r="CI61" i="18"/>
  <c r="CH61" i="18"/>
  <c r="CE61" i="18"/>
  <c r="CD61" i="18"/>
  <c r="CC61" i="18"/>
  <c r="BZ61" i="18"/>
  <c r="BY61" i="18"/>
  <c r="BX61" i="18"/>
  <c r="BU61" i="18"/>
  <c r="BV61" i="18" s="1"/>
  <c r="BT61" i="18"/>
  <c r="BS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CI60" i="18"/>
  <c r="CH60" i="18"/>
  <c r="CE60" i="18"/>
  <c r="CD60" i="18"/>
  <c r="CC60" i="18"/>
  <c r="BZ60" i="18"/>
  <c r="CA60" i="18" s="1"/>
  <c r="BY60" i="18"/>
  <c r="BX60" i="18"/>
  <c r="BV60" i="18"/>
  <c r="BU60" i="18"/>
  <c r="BT60" i="18"/>
  <c r="BS60" i="18"/>
  <c r="BP60" i="18"/>
  <c r="BO60" i="18"/>
  <c r="BL60" i="18"/>
  <c r="BK60" i="18"/>
  <c r="BJ60" i="18"/>
  <c r="BI60" i="18"/>
  <c r="BG60" i="18"/>
  <c r="BF60" i="18"/>
  <c r="BE60" i="18"/>
  <c r="BD60" i="18"/>
  <c r="BB60" i="18"/>
  <c r="F60" i="18" s="1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Q59" i="18"/>
  <c r="BP59" i="18"/>
  <c r="BO59" i="18"/>
  <c r="BK59" i="18"/>
  <c r="BL59" i="18" s="1"/>
  <c r="BJ59" i="18"/>
  <c r="BI59" i="18"/>
  <c r="BG59" i="18"/>
  <c r="I59" i="18" s="1"/>
  <c r="BF59" i="18"/>
  <c r="BE59" i="18"/>
  <c r="BD59" i="18"/>
  <c r="BB59" i="18"/>
  <c r="BA59" i="18"/>
  <c r="CI58" i="18"/>
  <c r="CH58" i="18"/>
  <c r="CE58" i="18"/>
  <c r="CD58" i="18"/>
  <c r="CC58" i="18"/>
  <c r="BZ58" i="18"/>
  <c r="CA58" i="18" s="1"/>
  <c r="CB58" i="18" s="1"/>
  <c r="BY58" i="18"/>
  <c r="BX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B58" i="18"/>
  <c r="F58" i="18" s="1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U56" i="18"/>
  <c r="BV56" i="18" s="1"/>
  <c r="R56" i="18" s="1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D55" i="18"/>
  <c r="CC55" i="18"/>
  <c r="BZ55" i="18"/>
  <c r="CA55" i="18" s="1"/>
  <c r="CB55" i="18" s="1"/>
  <c r="BY55" i="18"/>
  <c r="BX55" i="18"/>
  <c r="BU55" i="18"/>
  <c r="BV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E54" i="18"/>
  <c r="CD54" i="18"/>
  <c r="CC54" i="18"/>
  <c r="CB54" i="18" s="1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F54" i="18"/>
  <c r="BG54" i="18" s="1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K53" i="18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U52" i="18"/>
  <c r="BV52" i="18" s="1"/>
  <c r="BT52" i="18"/>
  <c r="BS52" i="18"/>
  <c r="BP52" i="18"/>
  <c r="BO52" i="18"/>
  <c r="BK52" i="18"/>
  <c r="BJ52" i="18"/>
  <c r="BI52" i="18"/>
  <c r="BF52" i="18"/>
  <c r="BE52" i="18"/>
  <c r="BD52" i="18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R51" i="18" s="1"/>
  <c r="BT51" i="18"/>
  <c r="BS51" i="18"/>
  <c r="BP51" i="18"/>
  <c r="BO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E50" i="18"/>
  <c r="CD50" i="18"/>
  <c r="CC50" i="18"/>
  <c r="CB50" i="18" s="1"/>
  <c r="BZ50" i="18"/>
  <c r="CA50" i="18" s="1"/>
  <c r="BY50" i="18"/>
  <c r="BX50" i="18"/>
  <c r="BU50" i="18"/>
  <c r="BT50" i="18"/>
  <c r="BS50" i="18"/>
  <c r="BP50" i="18"/>
  <c r="BO50" i="18"/>
  <c r="BL50" i="18"/>
  <c r="BK50" i="18"/>
  <c r="L50" i="18" s="1"/>
  <c r="BJ50" i="18"/>
  <c r="BI50" i="18"/>
  <c r="BH50" i="18"/>
  <c r="BF50" i="18"/>
  <c r="BG50" i="18" s="1"/>
  <c r="BE50" i="18"/>
  <c r="BD50" i="18"/>
  <c r="BA50" i="18"/>
  <c r="BB50" i="18" s="1"/>
  <c r="F50" i="18" s="1"/>
  <c r="CI49" i="18"/>
  <c r="CH49" i="18"/>
  <c r="CE49" i="18"/>
  <c r="CD49" i="18"/>
  <c r="CC49" i="18"/>
  <c r="CA49" i="18"/>
  <c r="BZ49" i="18"/>
  <c r="BY49" i="18"/>
  <c r="BX49" i="18"/>
  <c r="BU49" i="18"/>
  <c r="BV49" i="18" s="1"/>
  <c r="BT49" i="18"/>
  <c r="BS49" i="18"/>
  <c r="BP49" i="18"/>
  <c r="BO49" i="18"/>
  <c r="BK49" i="18"/>
  <c r="BJ49" i="18"/>
  <c r="BI49" i="18"/>
  <c r="BG49" i="18"/>
  <c r="BH49" i="18" s="1"/>
  <c r="BF49" i="18"/>
  <c r="BE49" i="18"/>
  <c r="BD49" i="18"/>
  <c r="BA49" i="18"/>
  <c r="CI48" i="18"/>
  <c r="CH48" i="18"/>
  <c r="CE48" i="18"/>
  <c r="CD48" i="18"/>
  <c r="CC48" i="18"/>
  <c r="BZ48" i="18"/>
  <c r="BY48" i="18"/>
  <c r="BX48" i="18"/>
  <c r="BV48" i="18"/>
  <c r="BU48" i="18"/>
  <c r="BT48" i="18"/>
  <c r="BS48" i="18"/>
  <c r="BP48" i="18"/>
  <c r="BO48" i="18"/>
  <c r="BK48" i="18"/>
  <c r="BJ48" i="18"/>
  <c r="BI48" i="18"/>
  <c r="BG48" i="18"/>
  <c r="I48" i="18" s="1"/>
  <c r="BF48" i="18"/>
  <c r="BE48" i="18"/>
  <c r="BD48" i="18"/>
  <c r="BB48" i="18"/>
  <c r="BC48" i="18" s="1"/>
  <c r="BA48" i="18"/>
  <c r="CI47" i="18"/>
  <c r="CH47" i="18"/>
  <c r="CE47" i="18"/>
  <c r="CD47" i="18"/>
  <c r="CC47" i="18"/>
  <c r="CA47" i="18"/>
  <c r="BZ47" i="18"/>
  <c r="BY47" i="18"/>
  <c r="BX47" i="18"/>
  <c r="BU47" i="18"/>
  <c r="BT47" i="18"/>
  <c r="BS47" i="18"/>
  <c r="BP47" i="18"/>
  <c r="BO47" i="18"/>
  <c r="BK47" i="18"/>
  <c r="BL47" i="18" s="1"/>
  <c r="BJ47" i="18"/>
  <c r="BI47" i="18"/>
  <c r="BG47" i="18"/>
  <c r="I47" i="18" s="1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BY46" i="18"/>
  <c r="BX46" i="18"/>
  <c r="BU46" i="18"/>
  <c r="BT46" i="18"/>
  <c r="BS46" i="18"/>
  <c r="BP46" i="18"/>
  <c r="BO46" i="18"/>
  <c r="BL46" i="18"/>
  <c r="L46" i="18" s="1"/>
  <c r="BK46" i="18"/>
  <c r="BJ46" i="18"/>
  <c r="BI46" i="18"/>
  <c r="BF46" i="18"/>
  <c r="BE46" i="18"/>
  <c r="BD46" i="18"/>
  <c r="BB46" i="18"/>
  <c r="BA46" i="18"/>
  <c r="CI45" i="18"/>
  <c r="CH45" i="18"/>
  <c r="CE45" i="18"/>
  <c r="CD45" i="18"/>
  <c r="CC45" i="18"/>
  <c r="CA45" i="18"/>
  <c r="CB45" i="18" s="1"/>
  <c r="BZ45" i="18"/>
  <c r="BY45" i="18"/>
  <c r="BX45" i="18"/>
  <c r="BU45" i="18"/>
  <c r="BT45" i="18"/>
  <c r="BS45" i="18"/>
  <c r="BP45" i="18"/>
  <c r="BO45" i="18"/>
  <c r="BK45" i="18"/>
  <c r="BJ45" i="18"/>
  <c r="BI45" i="18"/>
  <c r="BG45" i="18"/>
  <c r="I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U44" i="18"/>
  <c r="BV44" i="18" s="1"/>
  <c r="BT44" i="18"/>
  <c r="BS44" i="18"/>
  <c r="BP44" i="18"/>
  <c r="BQ44" i="18" s="1"/>
  <c r="BO44" i="18"/>
  <c r="BK44" i="18"/>
  <c r="BJ44" i="18"/>
  <c r="BI44" i="18"/>
  <c r="BF44" i="18"/>
  <c r="BE44" i="18"/>
  <c r="BD44" i="18"/>
  <c r="BC44" i="18" s="1"/>
  <c r="BA44" i="18"/>
  <c r="BB44" i="18" s="1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P43" i="18"/>
  <c r="BQ43" i="18" s="1"/>
  <c r="BO43" i="18"/>
  <c r="BK43" i="18"/>
  <c r="BL43" i="18" s="1"/>
  <c r="BJ43" i="18"/>
  <c r="BI43" i="18"/>
  <c r="BF43" i="18"/>
  <c r="BE43" i="18"/>
  <c r="BD43" i="18"/>
  <c r="BA43" i="18"/>
  <c r="CI42" i="18"/>
  <c r="CH42" i="18"/>
  <c r="CE42" i="18"/>
  <c r="CF42" i="18" s="1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K42" i="18"/>
  <c r="BJ42" i="18"/>
  <c r="BI42" i="18"/>
  <c r="BF42" i="18"/>
  <c r="BE42" i="18"/>
  <c r="BD42" i="18"/>
  <c r="BA42" i="18"/>
  <c r="CI41" i="18"/>
  <c r="CH41" i="18"/>
  <c r="CE41" i="18"/>
  <c r="CD41" i="18"/>
  <c r="CC41" i="18"/>
  <c r="CA41" i="18"/>
  <c r="BZ41" i="18"/>
  <c r="BY41" i="18"/>
  <c r="BX41" i="18"/>
  <c r="BU41" i="18"/>
  <c r="BV41" i="18" s="1"/>
  <c r="BT41" i="18"/>
  <c r="BS41" i="18"/>
  <c r="BP41" i="18"/>
  <c r="BO41" i="18"/>
  <c r="BM41" i="18"/>
  <c r="BL41" i="18"/>
  <c r="L41" i="18" s="1"/>
  <c r="BK41" i="18"/>
  <c r="BJ41" i="18"/>
  <c r="BI41" i="18"/>
  <c r="BF41" i="18"/>
  <c r="BE41" i="18"/>
  <c r="BD41" i="18"/>
  <c r="BA41" i="18"/>
  <c r="CI40" i="18"/>
  <c r="CH40" i="18"/>
  <c r="CE40" i="18"/>
  <c r="CD40" i="18"/>
  <c r="CC40" i="18"/>
  <c r="BZ40" i="18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CI39" i="18"/>
  <c r="CH39" i="18"/>
  <c r="CE39" i="18"/>
  <c r="CD39" i="18"/>
  <c r="CC39" i="18"/>
  <c r="BZ39" i="18"/>
  <c r="BY39" i="18"/>
  <c r="BX39" i="18"/>
  <c r="BU39" i="18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A39" i="18"/>
  <c r="BB39" i="18" s="1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P38" i="18"/>
  <c r="BQ38" i="18" s="1"/>
  <c r="BO38" i="18"/>
  <c r="BK38" i="18"/>
  <c r="BJ38" i="18"/>
  <c r="BI38" i="18"/>
  <c r="BF38" i="18"/>
  <c r="BE38" i="18"/>
  <c r="BD38" i="18"/>
  <c r="BA38" i="18"/>
  <c r="CI37" i="18"/>
  <c r="CH37" i="18"/>
  <c r="CF37" i="18"/>
  <c r="CG37" i="18" s="1"/>
  <c r="CE37" i="18"/>
  <c r="X37" i="18" s="1"/>
  <c r="CD37" i="18"/>
  <c r="CC37" i="18"/>
  <c r="BZ37" i="18"/>
  <c r="CA37" i="18" s="1"/>
  <c r="BY37" i="18"/>
  <c r="BX37" i="18"/>
  <c r="BU37" i="18"/>
  <c r="BT37" i="18"/>
  <c r="BS37" i="18"/>
  <c r="BP37" i="18"/>
  <c r="BO37" i="18"/>
  <c r="BK37" i="18"/>
  <c r="BJ37" i="18"/>
  <c r="BI37" i="18"/>
  <c r="BF37" i="18"/>
  <c r="BG37" i="18" s="1"/>
  <c r="BE37" i="18"/>
  <c r="BD37" i="18"/>
  <c r="BA37" i="18"/>
  <c r="CI36" i="18"/>
  <c r="CH36" i="18"/>
  <c r="CE36" i="18"/>
  <c r="CD36" i="18"/>
  <c r="CC36" i="18"/>
  <c r="BZ36" i="18"/>
  <c r="CA36" i="18" s="1"/>
  <c r="BY36" i="18"/>
  <c r="BX36" i="18"/>
  <c r="BU36" i="18"/>
  <c r="BV36" i="18" s="1"/>
  <c r="BT36" i="18"/>
  <c r="BS36" i="18"/>
  <c r="BP36" i="18"/>
  <c r="BO36" i="18"/>
  <c r="BK36" i="18"/>
  <c r="BJ36" i="18"/>
  <c r="BI36" i="18"/>
  <c r="BF36" i="18"/>
  <c r="BE36" i="18"/>
  <c r="BD36" i="18"/>
  <c r="BA36" i="18"/>
  <c r="BB36" i="18" s="1"/>
  <c r="CI35" i="18"/>
  <c r="CH35" i="18"/>
  <c r="CF35" i="18"/>
  <c r="CE35" i="18"/>
  <c r="CD35" i="18"/>
  <c r="CC35" i="18"/>
  <c r="BZ35" i="18"/>
  <c r="BY35" i="18"/>
  <c r="BX35" i="18"/>
  <c r="BU35" i="18"/>
  <c r="BV35" i="18" s="1"/>
  <c r="BT35" i="18"/>
  <c r="BS35" i="18"/>
  <c r="BP35" i="18"/>
  <c r="BQ35" i="18" s="1"/>
  <c r="BO35" i="18"/>
  <c r="BK35" i="18"/>
  <c r="BJ35" i="18"/>
  <c r="BI35" i="18"/>
  <c r="BF35" i="18"/>
  <c r="BE35" i="18"/>
  <c r="BD35" i="18"/>
  <c r="BA35" i="18"/>
  <c r="BB35" i="18" s="1"/>
  <c r="F35" i="18" s="1"/>
  <c r="CI34" i="18"/>
  <c r="CH34" i="18"/>
  <c r="CF34" i="18"/>
  <c r="CG34" i="18" s="1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A34" i="18"/>
  <c r="CI33" i="18"/>
  <c r="CH33" i="18"/>
  <c r="CE33" i="18"/>
  <c r="CD33" i="18"/>
  <c r="CC33" i="18"/>
  <c r="BZ33" i="18"/>
  <c r="BY33" i="18"/>
  <c r="BX33" i="18"/>
  <c r="BU33" i="18"/>
  <c r="BT33" i="18"/>
  <c r="BS33" i="18"/>
  <c r="BP33" i="18"/>
  <c r="BO33" i="18"/>
  <c r="BK33" i="18"/>
  <c r="BJ33" i="18"/>
  <c r="BI33" i="18"/>
  <c r="BF33" i="18"/>
  <c r="BE33" i="18"/>
  <c r="BD33" i="18"/>
  <c r="BA33" i="18"/>
  <c r="CI32" i="18"/>
  <c r="CH32" i="18"/>
  <c r="CE32" i="18"/>
  <c r="CD32" i="18"/>
  <c r="CC32" i="18"/>
  <c r="CA32" i="18"/>
  <c r="BZ32" i="18"/>
  <c r="BY32" i="18"/>
  <c r="BX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D31" i="18"/>
  <c r="CC31" i="18"/>
  <c r="BZ31" i="18"/>
  <c r="BY31" i="18"/>
  <c r="BX31" i="18"/>
  <c r="BU31" i="18"/>
  <c r="BT31" i="18"/>
  <c r="BS31" i="18"/>
  <c r="BQ31" i="18"/>
  <c r="BP31" i="18"/>
  <c r="BO31" i="18"/>
  <c r="BK31" i="18"/>
  <c r="BJ31" i="18"/>
  <c r="BI31" i="18"/>
  <c r="BF31" i="18"/>
  <c r="BE31" i="18"/>
  <c r="BD31" i="18"/>
  <c r="BA31" i="18"/>
  <c r="BB31" i="18" s="1"/>
  <c r="CI30" i="18"/>
  <c r="CH30" i="18"/>
  <c r="CE30" i="18"/>
  <c r="CD30" i="18"/>
  <c r="CC30" i="18"/>
  <c r="BZ30" i="18"/>
  <c r="BY30" i="18"/>
  <c r="BX30" i="18"/>
  <c r="BU30" i="18"/>
  <c r="BT30" i="18"/>
  <c r="BS30" i="18"/>
  <c r="BP30" i="18"/>
  <c r="BO30" i="18"/>
  <c r="BK30" i="18"/>
  <c r="BL30" i="18" s="1"/>
  <c r="BJ30" i="18"/>
  <c r="BI30" i="18"/>
  <c r="BF30" i="18"/>
  <c r="BE30" i="18"/>
  <c r="BD30" i="18"/>
  <c r="BA30" i="18"/>
  <c r="CI29" i="18"/>
  <c r="CH29" i="18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BZ28" i="18"/>
  <c r="CA28" i="18" s="1"/>
  <c r="BY28" i="18"/>
  <c r="BX28" i="18"/>
  <c r="BU28" i="18"/>
  <c r="BT28" i="18"/>
  <c r="BS28" i="18"/>
  <c r="BP28" i="18"/>
  <c r="BO28" i="18"/>
  <c r="BK28" i="18"/>
  <c r="BJ28" i="18"/>
  <c r="BI28" i="18"/>
  <c r="BG28" i="18"/>
  <c r="BF28" i="18"/>
  <c r="I28" i="18" s="1"/>
  <c r="BE28" i="18"/>
  <c r="BD28" i="18"/>
  <c r="BA28" i="18"/>
  <c r="CI27" i="18"/>
  <c r="CH27" i="18"/>
  <c r="CE27" i="18"/>
  <c r="CD27" i="18"/>
  <c r="CC27" i="18"/>
  <c r="BZ27" i="18"/>
  <c r="BY27" i="18"/>
  <c r="BX27" i="18"/>
  <c r="BU27" i="18"/>
  <c r="BV27" i="18" s="1"/>
  <c r="BT27" i="18"/>
  <c r="BS27" i="18"/>
  <c r="BP27" i="18"/>
  <c r="BO27" i="18"/>
  <c r="BK27" i="18"/>
  <c r="BJ27" i="18"/>
  <c r="BI27" i="18"/>
  <c r="BF27" i="18"/>
  <c r="BG27" i="18" s="1"/>
  <c r="BE27" i="18"/>
  <c r="BD27" i="18"/>
  <c r="BB27" i="18"/>
  <c r="F27" i="18" s="1"/>
  <c r="BA27" i="18"/>
  <c r="CI26" i="18"/>
  <c r="CH26" i="18"/>
  <c r="CE26" i="18"/>
  <c r="CD26" i="18"/>
  <c r="CC26" i="18"/>
  <c r="BZ26" i="18"/>
  <c r="BY26" i="18"/>
  <c r="BX26" i="18"/>
  <c r="BU26" i="18"/>
  <c r="BT26" i="18"/>
  <c r="BS26" i="18"/>
  <c r="BP26" i="18"/>
  <c r="BQ26" i="18" s="1"/>
  <c r="BR26" i="18" s="1"/>
  <c r="BO26" i="18"/>
  <c r="BM26" i="18"/>
  <c r="BK26" i="18"/>
  <c r="BL26" i="18" s="1"/>
  <c r="BJ26" i="18"/>
  <c r="BI26" i="18"/>
  <c r="BF26" i="18"/>
  <c r="BE26" i="18"/>
  <c r="BD26" i="18"/>
  <c r="BA26" i="18"/>
  <c r="BB26" i="18" s="1"/>
  <c r="CI25" i="18"/>
  <c r="CH25" i="18"/>
  <c r="CF25" i="18"/>
  <c r="CE25" i="18"/>
  <c r="CD25" i="18"/>
  <c r="CC25" i="18"/>
  <c r="BZ25" i="18"/>
  <c r="CA25" i="18" s="1"/>
  <c r="BY25" i="18"/>
  <c r="BX25" i="18"/>
  <c r="BU25" i="18"/>
  <c r="BT25" i="18"/>
  <c r="BS25" i="18"/>
  <c r="BP25" i="18"/>
  <c r="BO25" i="18"/>
  <c r="BL25" i="18"/>
  <c r="L25" i="18" s="1"/>
  <c r="BK25" i="18"/>
  <c r="BJ25" i="18"/>
  <c r="BI25" i="18"/>
  <c r="BF25" i="18"/>
  <c r="BG25" i="18" s="1"/>
  <c r="BE25" i="18"/>
  <c r="BD25" i="18"/>
  <c r="BA25" i="18"/>
  <c r="CI24" i="18"/>
  <c r="CH24" i="18"/>
  <c r="CE24" i="18"/>
  <c r="CF24" i="18" s="1"/>
  <c r="CG24" i="18" s="1"/>
  <c r="CD24" i="18"/>
  <c r="CC24" i="18"/>
  <c r="BZ24" i="18"/>
  <c r="BY24" i="18"/>
  <c r="BX24" i="18"/>
  <c r="BU24" i="18"/>
  <c r="BV24" i="18" s="1"/>
  <c r="BT24" i="18"/>
  <c r="BS24" i="18"/>
  <c r="BP24" i="18"/>
  <c r="BO24" i="18"/>
  <c r="BK24" i="18"/>
  <c r="BJ24" i="18"/>
  <c r="BI24" i="18"/>
  <c r="BG24" i="18"/>
  <c r="BF24" i="18"/>
  <c r="BE24" i="18"/>
  <c r="BD24" i="18"/>
  <c r="BA24" i="18"/>
  <c r="BB24" i="18" s="1"/>
  <c r="CI23" i="18"/>
  <c r="CH23" i="18"/>
  <c r="CF23" i="18"/>
  <c r="CE23" i="18"/>
  <c r="CD23" i="18"/>
  <c r="CC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O23" i="18"/>
  <c r="BK23" i="18"/>
  <c r="BL23" i="18" s="1"/>
  <c r="BJ23" i="18"/>
  <c r="BI23" i="18"/>
  <c r="BF23" i="18"/>
  <c r="BE23" i="18"/>
  <c r="BD23" i="18"/>
  <c r="BB23" i="18"/>
  <c r="BA23" i="18"/>
  <c r="CI22" i="18"/>
  <c r="CH22" i="18"/>
  <c r="CE22" i="18"/>
  <c r="CF22" i="18" s="1"/>
  <c r="CD22" i="18"/>
  <c r="CC22" i="18"/>
  <c r="BZ22" i="18"/>
  <c r="BY22" i="18"/>
  <c r="BX22" i="18"/>
  <c r="BU22" i="18"/>
  <c r="BV22" i="18" s="1"/>
  <c r="BT22" i="18"/>
  <c r="BS22" i="18"/>
  <c r="BP22" i="18"/>
  <c r="BQ22" i="18" s="1"/>
  <c r="BO22" i="18"/>
  <c r="BL22" i="18"/>
  <c r="BK22" i="18"/>
  <c r="BJ22" i="18"/>
  <c r="BI22" i="18"/>
  <c r="BF22" i="18"/>
  <c r="BE22" i="18"/>
  <c r="BD22" i="18"/>
  <c r="BA22" i="18"/>
  <c r="CI21" i="18"/>
  <c r="CH21" i="18"/>
  <c r="CE21" i="18"/>
  <c r="CD21" i="18"/>
  <c r="CC21" i="18"/>
  <c r="BZ21" i="18"/>
  <c r="BY21" i="18"/>
  <c r="BX21" i="18"/>
  <c r="BU21" i="18"/>
  <c r="BT21" i="18"/>
  <c r="BS21" i="18"/>
  <c r="BP21" i="18"/>
  <c r="BO21" i="18"/>
  <c r="BL21" i="18"/>
  <c r="BK21" i="18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BZ20" i="18"/>
  <c r="CA20" i="18" s="1"/>
  <c r="CB20" i="18" s="1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I20" i="18" s="1"/>
  <c r="BF20" i="18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CI18" i="18"/>
  <c r="CH18" i="18"/>
  <c r="CE18" i="18"/>
  <c r="CF18" i="18" s="1"/>
  <c r="CD18" i="18"/>
  <c r="CC18" i="18"/>
  <c r="BZ18" i="18"/>
  <c r="BY18" i="18"/>
  <c r="BX18" i="18"/>
  <c r="BU18" i="18"/>
  <c r="BT18" i="18"/>
  <c r="BS18" i="18"/>
  <c r="BP18" i="18"/>
  <c r="BQ18" i="18" s="1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K17" i="18"/>
  <c r="BL17" i="18" s="1"/>
  <c r="BJ17" i="18"/>
  <c r="BI17" i="18"/>
  <c r="BF17" i="18"/>
  <c r="BG17" i="18" s="1"/>
  <c r="BE17" i="18"/>
  <c r="BD17" i="18"/>
  <c r="BA17" i="18"/>
  <c r="CI16" i="18"/>
  <c r="CH16" i="18"/>
  <c r="CE16" i="18"/>
  <c r="CD16" i="18"/>
  <c r="CC16" i="18"/>
  <c r="BZ16" i="18"/>
  <c r="CA16" i="18" s="1"/>
  <c r="U16" i="18" s="1"/>
  <c r="BY16" i="18"/>
  <c r="BX16" i="18"/>
  <c r="BU16" i="18"/>
  <c r="BT16" i="18"/>
  <c r="BS16" i="18"/>
  <c r="BP16" i="18"/>
  <c r="BQ16" i="18" s="1"/>
  <c r="BO16" i="18"/>
  <c r="BK16" i="18"/>
  <c r="BJ16" i="18"/>
  <c r="BI16" i="18"/>
  <c r="BF16" i="18"/>
  <c r="BG16" i="18" s="1"/>
  <c r="BH16" i="18" s="1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J14" i="18"/>
  <c r="BI14" i="18"/>
  <c r="BF14" i="18"/>
  <c r="BG14" i="18" s="1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O13" i="18" s="1"/>
  <c r="BP13" i="18"/>
  <c r="BO13" i="18"/>
  <c r="BL13" i="18"/>
  <c r="L13" i="18" s="1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K12" i="18"/>
  <c r="BL12" i="18" s="1"/>
  <c r="BJ12" i="18"/>
  <c r="BI12" i="18"/>
  <c r="BF12" i="18"/>
  <c r="BE12" i="18"/>
  <c r="BD12" i="18"/>
  <c r="BA12" i="18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H55" i="2"/>
  <c r="CH54" i="2"/>
  <c r="CH53" i="2"/>
  <c r="CH52" i="2"/>
  <c r="CH5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C53" i="2"/>
  <c r="CD52" i="2"/>
  <c r="CC52" i="2"/>
  <c r="CD51" i="2"/>
  <c r="CC51" i="2"/>
  <c r="CD50" i="2"/>
  <c r="CC50" i="2"/>
  <c r="CD49" i="2"/>
  <c r="CC49" i="2"/>
  <c r="CD48" i="2"/>
  <c r="CC48" i="2"/>
  <c r="CD47" i="2"/>
  <c r="CC47" i="2"/>
  <c r="CD46" i="2"/>
  <c r="CC46" i="2"/>
  <c r="CD45" i="2"/>
  <c r="CC45" i="2"/>
  <c r="CD44" i="2"/>
  <c r="CC44" i="2"/>
  <c r="CD43" i="2"/>
  <c r="CC43" i="2"/>
  <c r="CD42" i="2"/>
  <c r="CC42" i="2"/>
  <c r="CD41" i="2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CI100" i="2"/>
  <c r="CE100" i="2"/>
  <c r="BZ100" i="2"/>
  <c r="CA100" i="2" s="1"/>
  <c r="BX100" i="2"/>
  <c r="BU100" i="2"/>
  <c r="BT100" i="2"/>
  <c r="BS100" i="2"/>
  <c r="BP100" i="2"/>
  <c r="BO100" i="2"/>
  <c r="BL100" i="2"/>
  <c r="BK100" i="2"/>
  <c r="BJ100" i="2"/>
  <c r="BI100" i="2"/>
  <c r="BG100" i="2"/>
  <c r="BF100" i="2"/>
  <c r="BE100" i="2"/>
  <c r="BD100" i="2"/>
  <c r="BA100" i="2"/>
  <c r="BB100" i="2" s="1"/>
  <c r="BC100" i="2" s="1"/>
  <c r="CI99" i="2"/>
  <c r="CE99" i="2"/>
  <c r="BZ99" i="2"/>
  <c r="CA99" i="2" s="1"/>
  <c r="BX99" i="2"/>
  <c r="BU99" i="2"/>
  <c r="BV99" i="2" s="1"/>
  <c r="BT99" i="2"/>
  <c r="BS99" i="2"/>
  <c r="BP99" i="2"/>
  <c r="BO99" i="2"/>
  <c r="BK99" i="2"/>
  <c r="BJ99" i="2"/>
  <c r="BI99" i="2"/>
  <c r="BF99" i="2"/>
  <c r="BG99" i="2" s="1"/>
  <c r="BH99" i="2" s="1"/>
  <c r="BE99" i="2"/>
  <c r="BD99" i="2"/>
  <c r="BA99" i="2"/>
  <c r="CI98" i="2"/>
  <c r="CE98" i="2"/>
  <c r="BZ98" i="2"/>
  <c r="CA98" i="2" s="1"/>
  <c r="BX98" i="2"/>
  <c r="BV98" i="2"/>
  <c r="BU98" i="2"/>
  <c r="BT98" i="2"/>
  <c r="BS98" i="2"/>
  <c r="BP98" i="2"/>
  <c r="BQ98" i="2" s="1"/>
  <c r="BO98" i="2"/>
  <c r="BL98" i="2"/>
  <c r="BK98" i="2"/>
  <c r="BJ98" i="2"/>
  <c r="BI98" i="2"/>
  <c r="BF98" i="2"/>
  <c r="BE98" i="2"/>
  <c r="BD98" i="2"/>
  <c r="BB98" i="2"/>
  <c r="BA98" i="2"/>
  <c r="CI97" i="2"/>
  <c r="CE97" i="2"/>
  <c r="BZ97" i="2"/>
  <c r="CA97" i="2" s="1"/>
  <c r="U97" i="2" s="1"/>
  <c r="BX97" i="2"/>
  <c r="BV97" i="2"/>
  <c r="BU97" i="2"/>
  <c r="BT97" i="2"/>
  <c r="BS97" i="2"/>
  <c r="BP97" i="2"/>
  <c r="BO97" i="2"/>
  <c r="BK97" i="2"/>
  <c r="BL97" i="2" s="1"/>
  <c r="BJ97" i="2"/>
  <c r="BI97" i="2"/>
  <c r="BF97" i="2"/>
  <c r="BG97" i="2" s="1"/>
  <c r="BE97" i="2"/>
  <c r="BD97" i="2"/>
  <c r="BA97" i="2"/>
  <c r="CI96" i="2"/>
  <c r="CG96" i="2" s="1"/>
  <c r="CF96" i="2"/>
  <c r="CE96" i="2"/>
  <c r="BZ96" i="2"/>
  <c r="CA96" i="2" s="1"/>
  <c r="BX96" i="2"/>
  <c r="BU96" i="2"/>
  <c r="BV96" i="2" s="1"/>
  <c r="R96" i="2" s="1"/>
  <c r="BT96" i="2"/>
  <c r="BS96" i="2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A95" i="2"/>
  <c r="CB95" i="2" s="1"/>
  <c r="BZ95" i="2"/>
  <c r="BX95" i="2"/>
  <c r="BV95" i="2"/>
  <c r="BW95" i="2" s="1"/>
  <c r="BU95" i="2"/>
  <c r="BT95" i="2"/>
  <c r="BS95" i="2"/>
  <c r="BP95" i="2"/>
  <c r="BO95" i="2"/>
  <c r="BK95" i="2"/>
  <c r="BL95" i="2" s="1"/>
  <c r="BJ95" i="2"/>
  <c r="BI95" i="2"/>
  <c r="BF95" i="2"/>
  <c r="BE95" i="2"/>
  <c r="BD95" i="2"/>
  <c r="BA95" i="2"/>
  <c r="BB95" i="2" s="1"/>
  <c r="CI94" i="2"/>
  <c r="CE94" i="2"/>
  <c r="BZ94" i="2"/>
  <c r="BX94" i="2"/>
  <c r="BV94" i="2"/>
  <c r="BW94" i="2" s="1"/>
  <c r="BU94" i="2"/>
  <c r="BT94" i="2"/>
  <c r="BS94" i="2"/>
  <c r="BP94" i="2"/>
  <c r="BO94" i="2"/>
  <c r="BL94" i="2"/>
  <c r="L94" i="2" s="1"/>
  <c r="BK94" i="2"/>
  <c r="BJ94" i="2"/>
  <c r="BI94" i="2"/>
  <c r="BG94" i="2"/>
  <c r="BF94" i="2"/>
  <c r="BE94" i="2"/>
  <c r="BD94" i="2"/>
  <c r="BA94" i="2"/>
  <c r="BB94" i="2" s="1"/>
  <c r="F94" i="2" s="1"/>
  <c r="CI93" i="2"/>
  <c r="CE93" i="2"/>
  <c r="CF93" i="2" s="1"/>
  <c r="CA93" i="2"/>
  <c r="BZ93" i="2"/>
  <c r="BX93" i="2"/>
  <c r="BU93" i="2"/>
  <c r="BT93" i="2"/>
  <c r="BS93" i="2"/>
  <c r="BP93" i="2"/>
  <c r="BO93" i="2"/>
  <c r="BK93" i="2"/>
  <c r="BJ93" i="2"/>
  <c r="BI93" i="2"/>
  <c r="BG93" i="2"/>
  <c r="BF93" i="2"/>
  <c r="BE93" i="2"/>
  <c r="BD93" i="2"/>
  <c r="BA93" i="2"/>
  <c r="BB93" i="2" s="1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L92" i="2"/>
  <c r="L92" i="2" s="1"/>
  <c r="BK92" i="2"/>
  <c r="BJ92" i="2"/>
  <c r="BI92" i="2"/>
  <c r="BF92" i="2"/>
  <c r="BE92" i="2"/>
  <c r="BD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B91" i="2"/>
  <c r="BA91" i="2"/>
  <c r="CI90" i="2"/>
  <c r="CF90" i="2"/>
  <c r="CE90" i="2"/>
  <c r="CA90" i="2"/>
  <c r="BZ90" i="2"/>
  <c r="BX90" i="2"/>
  <c r="BU90" i="2"/>
  <c r="BT90" i="2"/>
  <c r="BS90" i="2"/>
  <c r="BP90" i="2"/>
  <c r="BO90" i="2"/>
  <c r="BK90" i="2"/>
  <c r="BJ90" i="2"/>
  <c r="BI90" i="2"/>
  <c r="BF90" i="2"/>
  <c r="BE90" i="2"/>
  <c r="BD90" i="2"/>
  <c r="BA90" i="2"/>
  <c r="CI89" i="2"/>
  <c r="CE89" i="2"/>
  <c r="BZ89" i="2"/>
  <c r="CA89" i="2" s="1"/>
  <c r="BX89" i="2"/>
  <c r="BV89" i="2"/>
  <c r="BW89" i="2" s="1"/>
  <c r="BU89" i="2"/>
  <c r="BT89" i="2"/>
  <c r="BS89" i="2"/>
  <c r="BP89" i="2"/>
  <c r="BQ89" i="2" s="1"/>
  <c r="O89" i="2" s="1"/>
  <c r="BO89" i="2"/>
  <c r="BK89" i="2"/>
  <c r="BL89" i="2" s="1"/>
  <c r="BJ89" i="2"/>
  <c r="BI89" i="2"/>
  <c r="BG89" i="2"/>
  <c r="BF89" i="2"/>
  <c r="BE89" i="2"/>
  <c r="BD89" i="2"/>
  <c r="BA89" i="2"/>
  <c r="CI88" i="2"/>
  <c r="CE88" i="2"/>
  <c r="CF88" i="2" s="1"/>
  <c r="CG88" i="2" s="1"/>
  <c r="BZ88" i="2"/>
  <c r="BX88" i="2"/>
  <c r="BU88" i="2"/>
  <c r="BV88" i="2" s="1"/>
  <c r="R88" i="2" s="1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BZ87" i="2"/>
  <c r="CA87" i="2" s="1"/>
  <c r="BX87" i="2"/>
  <c r="BV87" i="2"/>
  <c r="BU87" i="2"/>
  <c r="BT87" i="2"/>
  <c r="BS87" i="2"/>
  <c r="BP87" i="2"/>
  <c r="BQ87" i="2" s="1"/>
  <c r="O87" i="2" s="1"/>
  <c r="BO87" i="2"/>
  <c r="BM87" i="2" s="1"/>
  <c r="BK87" i="2"/>
  <c r="BL87" i="2" s="1"/>
  <c r="BJ87" i="2"/>
  <c r="BI87" i="2"/>
  <c r="BF87" i="2"/>
  <c r="BE87" i="2"/>
  <c r="BD87" i="2"/>
  <c r="BA87" i="2"/>
  <c r="BB87" i="2" s="1"/>
  <c r="CI86" i="2"/>
  <c r="CE86" i="2"/>
  <c r="BZ86" i="2"/>
  <c r="BX86" i="2"/>
  <c r="BU86" i="2"/>
  <c r="BV86" i="2" s="1"/>
  <c r="R86" i="2" s="1"/>
  <c r="BT86" i="2"/>
  <c r="BS86" i="2"/>
  <c r="BP86" i="2"/>
  <c r="BO86" i="2"/>
  <c r="BK86" i="2"/>
  <c r="BL86" i="2" s="1"/>
  <c r="BM86" i="2" s="1"/>
  <c r="BJ86" i="2"/>
  <c r="BI86" i="2"/>
  <c r="BF86" i="2"/>
  <c r="BG86" i="2" s="1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Q85" i="2"/>
  <c r="BP85" i="2"/>
  <c r="BR85" i="2" s="1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E84" i="2"/>
  <c r="BZ84" i="2"/>
  <c r="CA84" i="2" s="1"/>
  <c r="BX84" i="2"/>
  <c r="BU84" i="2"/>
  <c r="BT84" i="2"/>
  <c r="BS84" i="2"/>
  <c r="BP84" i="2"/>
  <c r="BO84" i="2"/>
  <c r="BK84" i="2"/>
  <c r="BL84" i="2" s="1"/>
  <c r="BM84" i="2" s="1"/>
  <c r="BJ84" i="2"/>
  <c r="BI84" i="2"/>
  <c r="BF84" i="2"/>
  <c r="BE84" i="2"/>
  <c r="BD84" i="2"/>
  <c r="BB84" i="2"/>
  <c r="F84" i="2" s="1"/>
  <c r="BA84" i="2"/>
  <c r="CI83" i="2"/>
  <c r="CE83" i="2"/>
  <c r="CF83" i="2" s="1"/>
  <c r="CG83" i="2" s="1"/>
  <c r="BZ83" i="2"/>
  <c r="CA83" i="2" s="1"/>
  <c r="BX83" i="2"/>
  <c r="BU83" i="2"/>
  <c r="BT83" i="2"/>
  <c r="BS83" i="2"/>
  <c r="BP83" i="2"/>
  <c r="BO83" i="2"/>
  <c r="BK83" i="2"/>
  <c r="BJ83" i="2"/>
  <c r="BI83" i="2"/>
  <c r="BF83" i="2"/>
  <c r="BE83" i="2"/>
  <c r="BD83" i="2"/>
  <c r="BA83" i="2"/>
  <c r="CI82" i="2"/>
  <c r="CE82" i="2"/>
  <c r="CF82" i="2" s="1"/>
  <c r="X82" i="2" s="1"/>
  <c r="BZ82" i="2"/>
  <c r="CA82" i="2" s="1"/>
  <c r="U82" i="2" s="1"/>
  <c r="BX82" i="2"/>
  <c r="BU82" i="2"/>
  <c r="BT82" i="2"/>
  <c r="BS82" i="2"/>
  <c r="BP82" i="2"/>
  <c r="BQ82" i="2" s="1"/>
  <c r="BO82" i="2"/>
  <c r="BK82" i="2"/>
  <c r="BJ82" i="2"/>
  <c r="BI82" i="2"/>
  <c r="BF82" i="2"/>
  <c r="BE82" i="2"/>
  <c r="BD82" i="2"/>
  <c r="BA82" i="2"/>
  <c r="CI81" i="2"/>
  <c r="CE81" i="2"/>
  <c r="CF81" i="2" s="1"/>
  <c r="BZ81" i="2"/>
  <c r="CA81" i="2" s="1"/>
  <c r="CB81" i="2" s="1"/>
  <c r="BX81" i="2"/>
  <c r="BU81" i="2"/>
  <c r="BV81" i="2" s="1"/>
  <c r="BT81" i="2"/>
  <c r="BS81" i="2"/>
  <c r="BQ81" i="2"/>
  <c r="BP81" i="2"/>
  <c r="BO81" i="2"/>
  <c r="BK81" i="2"/>
  <c r="BL81" i="2" s="1"/>
  <c r="BJ81" i="2"/>
  <c r="BI81" i="2"/>
  <c r="BF81" i="2"/>
  <c r="BE81" i="2"/>
  <c r="BD81" i="2"/>
  <c r="BA81" i="2"/>
  <c r="CI80" i="2"/>
  <c r="CF80" i="2"/>
  <c r="CE80" i="2"/>
  <c r="BZ80" i="2"/>
  <c r="BX80" i="2"/>
  <c r="BU80" i="2"/>
  <c r="BT80" i="2"/>
  <c r="BS80" i="2"/>
  <c r="BQ80" i="2"/>
  <c r="BP80" i="2"/>
  <c r="BO80" i="2"/>
  <c r="BK80" i="2"/>
  <c r="BL80" i="2" s="1"/>
  <c r="L80" i="2" s="1"/>
  <c r="BJ80" i="2"/>
  <c r="BI80" i="2"/>
  <c r="BF80" i="2"/>
  <c r="BE80" i="2"/>
  <c r="BD80" i="2"/>
  <c r="BB80" i="2"/>
  <c r="BA80" i="2"/>
  <c r="CI79" i="2"/>
  <c r="CE79" i="2"/>
  <c r="CA79" i="2"/>
  <c r="BZ79" i="2"/>
  <c r="BX79" i="2"/>
  <c r="BU79" i="2"/>
  <c r="BT79" i="2"/>
  <c r="BS79" i="2"/>
  <c r="BP79" i="2"/>
  <c r="BQ79" i="2" s="1"/>
  <c r="BO79" i="2"/>
  <c r="BK79" i="2"/>
  <c r="BJ79" i="2"/>
  <c r="BI79" i="2"/>
  <c r="BG79" i="2"/>
  <c r="BF79" i="2"/>
  <c r="BE79" i="2"/>
  <c r="BD79" i="2"/>
  <c r="BA79" i="2"/>
  <c r="BB79" i="2" s="1"/>
  <c r="CI78" i="2"/>
  <c r="CE78" i="2"/>
  <c r="BZ78" i="2"/>
  <c r="BX78" i="2"/>
  <c r="BU78" i="2"/>
  <c r="BV78" i="2" s="1"/>
  <c r="R78" i="2" s="1"/>
  <c r="BT78" i="2"/>
  <c r="BS78" i="2"/>
  <c r="BP78" i="2"/>
  <c r="BQ78" i="2" s="1"/>
  <c r="BO78" i="2"/>
  <c r="BK78" i="2"/>
  <c r="BL78" i="2" s="1"/>
  <c r="L78" i="2" s="1"/>
  <c r="BJ78" i="2"/>
  <c r="BI78" i="2"/>
  <c r="BF78" i="2"/>
  <c r="BG78" i="2" s="1"/>
  <c r="BE78" i="2"/>
  <c r="BD78" i="2"/>
  <c r="BA78" i="2"/>
  <c r="CI77" i="2"/>
  <c r="CE77" i="2"/>
  <c r="CF77" i="2" s="1"/>
  <c r="BZ77" i="2"/>
  <c r="BX77" i="2"/>
  <c r="BU77" i="2"/>
  <c r="BT77" i="2"/>
  <c r="BS77" i="2"/>
  <c r="BP77" i="2"/>
  <c r="BQ77" i="2" s="1"/>
  <c r="O77" i="2" s="1"/>
  <c r="BO77" i="2"/>
  <c r="BK77" i="2"/>
  <c r="BJ77" i="2"/>
  <c r="BI77" i="2"/>
  <c r="BF77" i="2"/>
  <c r="BG77" i="2" s="1"/>
  <c r="BH77" i="2" s="1"/>
  <c r="BE77" i="2"/>
  <c r="BD77" i="2"/>
  <c r="BA77" i="2"/>
  <c r="BB77" i="2" s="1"/>
  <c r="F77" i="2" s="1"/>
  <c r="CI76" i="2"/>
  <c r="CE76" i="2"/>
  <c r="BZ76" i="2"/>
  <c r="CA76" i="2" s="1"/>
  <c r="BX76" i="2"/>
  <c r="BU76" i="2"/>
  <c r="BT76" i="2"/>
  <c r="BS76" i="2"/>
  <c r="BP76" i="2"/>
  <c r="BO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T75" i="2"/>
  <c r="BS75" i="2"/>
  <c r="BP75" i="2"/>
  <c r="BQ75" i="2" s="1"/>
  <c r="BR75" i="2" s="1"/>
  <c r="BO75" i="2"/>
  <c r="BK75" i="2"/>
  <c r="BJ75" i="2"/>
  <c r="BI75" i="2"/>
  <c r="BF75" i="2"/>
  <c r="BG75" i="2" s="1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L74" i="2"/>
  <c r="BK74" i="2"/>
  <c r="BM74" i="2" s="1"/>
  <c r="BJ74" i="2"/>
  <c r="BI74" i="2"/>
  <c r="BF74" i="2"/>
  <c r="BE74" i="2"/>
  <c r="BD74" i="2"/>
  <c r="BA74" i="2"/>
  <c r="CI73" i="2"/>
  <c r="CE73" i="2"/>
  <c r="CA73" i="2"/>
  <c r="U73" i="2" s="1"/>
  <c r="BZ73" i="2"/>
  <c r="BX73" i="2"/>
  <c r="BU73" i="2"/>
  <c r="BV73" i="2" s="1"/>
  <c r="BW73" i="2" s="1"/>
  <c r="BT73" i="2"/>
  <c r="BS73" i="2"/>
  <c r="BP73" i="2"/>
  <c r="BO73" i="2"/>
  <c r="BK73" i="2"/>
  <c r="BJ73" i="2"/>
  <c r="BI73" i="2"/>
  <c r="BF73" i="2"/>
  <c r="BE73" i="2"/>
  <c r="BD73" i="2"/>
  <c r="BA73" i="2"/>
  <c r="CI72" i="2"/>
  <c r="CF72" i="2"/>
  <c r="CE72" i="2"/>
  <c r="CG72" i="2" s="1"/>
  <c r="CB72" i="2"/>
  <c r="BZ72" i="2"/>
  <c r="CA72" i="2" s="1"/>
  <c r="BX72" i="2"/>
  <c r="BV72" i="2"/>
  <c r="BU72" i="2"/>
  <c r="BT72" i="2"/>
  <c r="BS72" i="2"/>
  <c r="BP72" i="2"/>
  <c r="BQ72" i="2" s="1"/>
  <c r="O72" i="2" s="1"/>
  <c r="BO72" i="2"/>
  <c r="BK72" i="2"/>
  <c r="BJ72" i="2"/>
  <c r="BI72" i="2"/>
  <c r="BF72" i="2"/>
  <c r="BG72" i="2" s="1"/>
  <c r="BE72" i="2"/>
  <c r="BD72" i="2"/>
  <c r="BA72" i="2"/>
  <c r="CI71" i="2"/>
  <c r="CE71" i="2"/>
  <c r="BZ71" i="2"/>
  <c r="CA71" i="2" s="1"/>
  <c r="U71" i="2" s="1"/>
  <c r="BX71" i="2"/>
  <c r="BU71" i="2"/>
  <c r="BT71" i="2"/>
  <c r="BS71" i="2"/>
  <c r="BP71" i="2"/>
  <c r="BO71" i="2"/>
  <c r="BL71" i="2"/>
  <c r="BM71" i="2" s="1"/>
  <c r="BK71" i="2"/>
  <c r="BJ71" i="2"/>
  <c r="BI71" i="2"/>
  <c r="BF71" i="2"/>
  <c r="BG71" i="2" s="1"/>
  <c r="BE71" i="2"/>
  <c r="BD71" i="2"/>
  <c r="BB71" i="2"/>
  <c r="F71" i="2" s="1"/>
  <c r="BA71" i="2"/>
  <c r="CI70" i="2"/>
  <c r="CE70" i="2"/>
  <c r="CF70" i="2" s="1"/>
  <c r="BZ70" i="2"/>
  <c r="BX70" i="2"/>
  <c r="BV70" i="2"/>
  <c r="BU70" i="2"/>
  <c r="BT70" i="2"/>
  <c r="BS70" i="2"/>
  <c r="BP70" i="2"/>
  <c r="BO70" i="2"/>
  <c r="BK70" i="2"/>
  <c r="BL70" i="2" s="1"/>
  <c r="BJ70" i="2"/>
  <c r="BI70" i="2"/>
  <c r="BG70" i="2"/>
  <c r="BH70" i="2" s="1"/>
  <c r="BF70" i="2"/>
  <c r="BE70" i="2"/>
  <c r="BD70" i="2"/>
  <c r="BA70" i="2"/>
  <c r="CI69" i="2"/>
  <c r="CE69" i="2"/>
  <c r="CF69" i="2" s="1"/>
  <c r="BZ69" i="2"/>
  <c r="BX69" i="2"/>
  <c r="BU69" i="2"/>
  <c r="BT69" i="2"/>
  <c r="BS69" i="2"/>
  <c r="BQ69" i="2"/>
  <c r="BP69" i="2"/>
  <c r="BO69" i="2"/>
  <c r="BL69" i="2"/>
  <c r="BM69" i="2" s="1"/>
  <c r="BK69" i="2"/>
  <c r="BJ69" i="2"/>
  <c r="BI69" i="2"/>
  <c r="BF69" i="2"/>
  <c r="BE69" i="2"/>
  <c r="BD69" i="2"/>
  <c r="BB69" i="2"/>
  <c r="F69" i="2" s="1"/>
  <c r="BA69" i="2"/>
  <c r="CI68" i="2"/>
  <c r="CE68" i="2"/>
  <c r="CF68" i="2" s="1"/>
  <c r="BZ68" i="2"/>
  <c r="CA68" i="2" s="1"/>
  <c r="BX68" i="2"/>
  <c r="BU68" i="2"/>
  <c r="BV68" i="2" s="1"/>
  <c r="BW68" i="2" s="1"/>
  <c r="BT68" i="2"/>
  <c r="BS68" i="2"/>
  <c r="BP68" i="2"/>
  <c r="BO68" i="2"/>
  <c r="BK68" i="2"/>
  <c r="BJ68" i="2"/>
  <c r="BI68" i="2"/>
  <c r="BF68" i="2"/>
  <c r="BE68" i="2"/>
  <c r="BD68" i="2"/>
  <c r="BA68" i="2"/>
  <c r="BB68" i="2" s="1"/>
  <c r="CI67" i="2"/>
  <c r="CE67" i="2"/>
  <c r="CF67" i="2" s="1"/>
  <c r="CG67" i="2" s="1"/>
  <c r="BZ67" i="2"/>
  <c r="CA67" i="2" s="1"/>
  <c r="U67" i="2" s="1"/>
  <c r="BX67" i="2"/>
  <c r="BU67" i="2"/>
  <c r="BV67" i="2" s="1"/>
  <c r="BT67" i="2"/>
  <c r="BS67" i="2"/>
  <c r="BP67" i="2"/>
  <c r="BQ67" i="2" s="1"/>
  <c r="BO67" i="2"/>
  <c r="BK67" i="2"/>
  <c r="BJ67" i="2"/>
  <c r="BI67" i="2"/>
  <c r="BF67" i="2"/>
  <c r="BE67" i="2"/>
  <c r="BD67" i="2"/>
  <c r="BA67" i="2"/>
  <c r="BB67" i="2" s="1"/>
  <c r="CI66" i="2"/>
  <c r="CF66" i="2"/>
  <c r="CE66" i="2"/>
  <c r="CA66" i="2"/>
  <c r="CB66" i="2" s="1"/>
  <c r="BZ66" i="2"/>
  <c r="BX66" i="2"/>
  <c r="BU66" i="2"/>
  <c r="BT66" i="2"/>
  <c r="BS66" i="2"/>
  <c r="BQ66" i="2"/>
  <c r="BP66" i="2"/>
  <c r="BO66" i="2"/>
  <c r="BK66" i="2"/>
  <c r="BJ66" i="2"/>
  <c r="BI66" i="2"/>
  <c r="BF66" i="2"/>
  <c r="BE66" i="2"/>
  <c r="BD66" i="2"/>
  <c r="BA66" i="2"/>
  <c r="CI65" i="2"/>
  <c r="CE65" i="2"/>
  <c r="CA65" i="2"/>
  <c r="U65" i="2" s="1"/>
  <c r="BZ65" i="2"/>
  <c r="BX65" i="2"/>
  <c r="BU65" i="2"/>
  <c r="BT65" i="2"/>
  <c r="BS65" i="2"/>
  <c r="BP65" i="2"/>
  <c r="BQ65" i="2" s="1"/>
  <c r="BO65" i="2"/>
  <c r="BM65" i="2"/>
  <c r="BL65" i="2"/>
  <c r="BK65" i="2"/>
  <c r="BJ65" i="2"/>
  <c r="BI65" i="2"/>
  <c r="BG65" i="2"/>
  <c r="BF65" i="2"/>
  <c r="BE65" i="2"/>
  <c r="BD65" i="2"/>
  <c r="BA65" i="2"/>
  <c r="CI64" i="2"/>
  <c r="CE64" i="2"/>
  <c r="CF64" i="2" s="1"/>
  <c r="CG64" i="2" s="1"/>
  <c r="BZ64" i="2"/>
  <c r="BX64" i="2"/>
  <c r="BU64" i="2"/>
  <c r="BV64" i="2" s="1"/>
  <c r="BT64" i="2"/>
  <c r="BS64" i="2"/>
  <c r="BP64" i="2"/>
  <c r="BQ64" i="2" s="1"/>
  <c r="BO64" i="2"/>
  <c r="BK64" i="2"/>
  <c r="BJ64" i="2"/>
  <c r="BI64" i="2"/>
  <c r="BF64" i="2"/>
  <c r="BE64" i="2"/>
  <c r="BD64" i="2"/>
  <c r="BA64" i="2"/>
  <c r="CI63" i="2"/>
  <c r="CE63" i="2"/>
  <c r="BZ63" i="2"/>
  <c r="BX63" i="2"/>
  <c r="BU63" i="2"/>
  <c r="BT63" i="2"/>
  <c r="BS63" i="2"/>
  <c r="BQ63" i="2"/>
  <c r="BP63" i="2"/>
  <c r="BO63" i="2"/>
  <c r="BK63" i="2"/>
  <c r="BL63" i="2" s="1"/>
  <c r="BJ63" i="2"/>
  <c r="BI63" i="2"/>
  <c r="BF63" i="2"/>
  <c r="BG63" i="2" s="1"/>
  <c r="I63" i="2" s="1"/>
  <c r="BE63" i="2"/>
  <c r="BD63" i="2"/>
  <c r="BB63" i="2"/>
  <c r="F63" i="2" s="1"/>
  <c r="BA63" i="2"/>
  <c r="CI62" i="2"/>
  <c r="CE62" i="2"/>
  <c r="BZ62" i="2"/>
  <c r="BX62" i="2"/>
  <c r="BU62" i="2"/>
  <c r="BT62" i="2"/>
  <c r="BS62" i="2"/>
  <c r="BP62" i="2"/>
  <c r="BO62" i="2"/>
  <c r="BK62" i="2"/>
  <c r="BL62" i="2" s="1"/>
  <c r="BM62" i="2" s="1"/>
  <c r="BJ62" i="2"/>
  <c r="BI62" i="2"/>
  <c r="BF62" i="2"/>
  <c r="BE62" i="2"/>
  <c r="BD62" i="2"/>
  <c r="BA62" i="2"/>
  <c r="CI61" i="2"/>
  <c r="CE61" i="2"/>
  <c r="CF61" i="2" s="1"/>
  <c r="BZ61" i="2"/>
  <c r="CA61" i="2" s="1"/>
  <c r="BX61" i="2"/>
  <c r="BU61" i="2"/>
  <c r="BT61" i="2"/>
  <c r="BS61" i="2"/>
  <c r="BQ61" i="2"/>
  <c r="BR61" i="2" s="1"/>
  <c r="BP61" i="2"/>
  <c r="BO61" i="2"/>
  <c r="BK61" i="2"/>
  <c r="BL61" i="2" s="1"/>
  <c r="L61" i="2" s="1"/>
  <c r="BJ61" i="2"/>
  <c r="BI61" i="2"/>
  <c r="BF61" i="2"/>
  <c r="BG61" i="2" s="1"/>
  <c r="BE61" i="2"/>
  <c r="BD61" i="2"/>
  <c r="BA61" i="2"/>
  <c r="BB61" i="2" s="1"/>
  <c r="CI60" i="2"/>
  <c r="CE60" i="2"/>
  <c r="BZ60" i="2"/>
  <c r="CA60" i="2" s="1"/>
  <c r="U60" i="2" s="1"/>
  <c r="BX60" i="2"/>
  <c r="BU60" i="2"/>
  <c r="BV60" i="2" s="1"/>
  <c r="BT60" i="2"/>
  <c r="BS60" i="2"/>
  <c r="BP60" i="2"/>
  <c r="BQ60" i="2" s="1"/>
  <c r="BO60" i="2"/>
  <c r="BK60" i="2"/>
  <c r="BL60" i="2" s="1"/>
  <c r="BJ60" i="2"/>
  <c r="BI60" i="2"/>
  <c r="BF60" i="2"/>
  <c r="BE60" i="2"/>
  <c r="BD60" i="2"/>
  <c r="BA60" i="2"/>
  <c r="BB60" i="2" s="1"/>
  <c r="BC60" i="2" s="1"/>
  <c r="CI59" i="2"/>
  <c r="CE59" i="2"/>
  <c r="BZ59" i="2"/>
  <c r="CA59" i="2" s="1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D59" i="2"/>
  <c r="BB59" i="2"/>
  <c r="BA59" i="2"/>
  <c r="CI58" i="2"/>
  <c r="CE58" i="2"/>
  <c r="CF58" i="2" s="1"/>
  <c r="BZ58" i="2"/>
  <c r="BX58" i="2"/>
  <c r="BU58" i="2"/>
  <c r="BT58" i="2"/>
  <c r="BS58" i="2"/>
  <c r="BP58" i="2"/>
  <c r="BO58" i="2"/>
  <c r="BK58" i="2"/>
  <c r="BL58" i="2" s="1"/>
  <c r="BM58" i="2" s="1"/>
  <c r="BJ58" i="2"/>
  <c r="BI58" i="2"/>
  <c r="BF58" i="2"/>
  <c r="BG58" i="2" s="1"/>
  <c r="BE58" i="2"/>
  <c r="BD58" i="2"/>
  <c r="BC58" i="2" s="1"/>
  <c r="BB58" i="2"/>
  <c r="BA58" i="2"/>
  <c r="CI57" i="2"/>
  <c r="CE57" i="2"/>
  <c r="BZ57" i="2"/>
  <c r="CA57" i="2" s="1"/>
  <c r="BX57" i="2"/>
  <c r="BU57" i="2"/>
  <c r="BT57" i="2"/>
  <c r="BS57" i="2"/>
  <c r="BQ57" i="2"/>
  <c r="BP57" i="2"/>
  <c r="BO57" i="2"/>
  <c r="BK57" i="2"/>
  <c r="BL57" i="2" s="1"/>
  <c r="BM57" i="2" s="1"/>
  <c r="BJ57" i="2"/>
  <c r="BI57" i="2"/>
  <c r="BF57" i="2"/>
  <c r="BG57" i="2" s="1"/>
  <c r="I57" i="2" s="1"/>
  <c r="BE57" i="2"/>
  <c r="BD57" i="2"/>
  <c r="BA57" i="2"/>
  <c r="BB57" i="2" s="1"/>
  <c r="CI56" i="2"/>
  <c r="CE56" i="2"/>
  <c r="CF56" i="2" s="1"/>
  <c r="X56" i="2" s="1"/>
  <c r="BZ56" i="2"/>
  <c r="BX56" i="2"/>
  <c r="BV56" i="2"/>
  <c r="BU56" i="2"/>
  <c r="BT56" i="2"/>
  <c r="BS56" i="2"/>
  <c r="BP56" i="2"/>
  <c r="BQ56" i="2" s="1"/>
  <c r="BR56" i="2" s="1"/>
  <c r="BO56" i="2"/>
  <c r="BK56" i="2"/>
  <c r="BJ56" i="2"/>
  <c r="BI56" i="2"/>
  <c r="BF56" i="2"/>
  <c r="BG56" i="2" s="1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P55" i="2"/>
  <c r="BQ55" i="2" s="1"/>
  <c r="O55" i="2" s="1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K54" i="2"/>
  <c r="BJ54" i="2"/>
  <c r="BI54" i="2"/>
  <c r="BF54" i="2"/>
  <c r="BE54" i="2"/>
  <c r="BD54" i="2"/>
  <c r="BA54" i="2"/>
  <c r="BB54" i="2" s="1"/>
  <c r="CI53" i="2"/>
  <c r="CE53" i="2"/>
  <c r="BZ53" i="2"/>
  <c r="CA53" i="2" s="1"/>
  <c r="BX53" i="2"/>
  <c r="BU53" i="2"/>
  <c r="BV53" i="2" s="1"/>
  <c r="BT53" i="2"/>
  <c r="BS53" i="2"/>
  <c r="BP53" i="2"/>
  <c r="BO53" i="2"/>
  <c r="BK53" i="2"/>
  <c r="BL53" i="2" s="1"/>
  <c r="BM53" i="2" s="1"/>
  <c r="BJ53" i="2"/>
  <c r="BI53" i="2"/>
  <c r="BF53" i="2"/>
  <c r="BE53" i="2"/>
  <c r="BD53" i="2"/>
  <c r="BA53" i="2"/>
  <c r="BB53" i="2" s="1"/>
  <c r="F53" i="2" s="1"/>
  <c r="CI52" i="2"/>
  <c r="CE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BZ51" i="2"/>
  <c r="CA51" i="2" s="1"/>
  <c r="BX51" i="2"/>
  <c r="BV51" i="2"/>
  <c r="BW51" i="2" s="1"/>
  <c r="BU51" i="2"/>
  <c r="BT51" i="2"/>
  <c r="BS51" i="2"/>
  <c r="BP51" i="2"/>
  <c r="BQ51" i="2" s="1"/>
  <c r="BO51" i="2"/>
  <c r="BK51" i="2"/>
  <c r="BJ51" i="2"/>
  <c r="BI51" i="2"/>
  <c r="BF51" i="2"/>
  <c r="BE51" i="2"/>
  <c r="BD51" i="2"/>
  <c r="BB51" i="2"/>
  <c r="BA51" i="2"/>
  <c r="CI50" i="2"/>
  <c r="CE50" i="2"/>
  <c r="BZ50" i="2"/>
  <c r="BX50" i="2"/>
  <c r="BU50" i="2"/>
  <c r="BT50" i="2"/>
  <c r="BS50" i="2"/>
  <c r="BQ50" i="2"/>
  <c r="BP50" i="2"/>
  <c r="BO50" i="2"/>
  <c r="BK50" i="2"/>
  <c r="BL50" i="2" s="1"/>
  <c r="BM50" i="2" s="1"/>
  <c r="BJ50" i="2"/>
  <c r="BI50" i="2"/>
  <c r="BF50" i="2"/>
  <c r="BE50" i="2"/>
  <c r="BD50" i="2"/>
  <c r="BA50" i="2"/>
  <c r="BB50" i="2" s="1"/>
  <c r="CI49" i="2"/>
  <c r="CE49" i="2"/>
  <c r="CF49" i="2" s="1"/>
  <c r="BZ49" i="2"/>
  <c r="CA49" i="2" s="1"/>
  <c r="BX49" i="2"/>
  <c r="BU49" i="2"/>
  <c r="BV49" i="2" s="1"/>
  <c r="BT49" i="2"/>
  <c r="BS49" i="2"/>
  <c r="BP49" i="2"/>
  <c r="BO49" i="2"/>
  <c r="BK49" i="2"/>
  <c r="BJ49" i="2"/>
  <c r="BI49" i="2"/>
  <c r="BF49" i="2"/>
  <c r="BG49" i="2" s="1"/>
  <c r="BE49" i="2"/>
  <c r="BD49" i="2"/>
  <c r="BA49" i="2"/>
  <c r="CI48" i="2"/>
  <c r="CE48" i="2"/>
  <c r="CF48" i="2" s="1"/>
  <c r="BZ48" i="2"/>
  <c r="BX48" i="2"/>
  <c r="BU48" i="2"/>
  <c r="BT48" i="2"/>
  <c r="BS48" i="2"/>
  <c r="BP48" i="2"/>
  <c r="BO48" i="2"/>
  <c r="BK48" i="2"/>
  <c r="BL48" i="2" s="1"/>
  <c r="BJ48" i="2"/>
  <c r="BI48" i="2"/>
  <c r="BF48" i="2"/>
  <c r="BG48" i="2" s="1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F46" i="2"/>
  <c r="BE46" i="2"/>
  <c r="BD46" i="2"/>
  <c r="BA46" i="2"/>
  <c r="BB46" i="2" s="1"/>
  <c r="BC46" i="2" s="1"/>
  <c r="CI45" i="2"/>
  <c r="CE45" i="2"/>
  <c r="BZ45" i="2"/>
  <c r="CA45" i="2" s="1"/>
  <c r="BX45" i="2"/>
  <c r="BU45" i="2"/>
  <c r="BT45" i="2"/>
  <c r="BS45" i="2"/>
  <c r="BP45" i="2"/>
  <c r="BO45" i="2"/>
  <c r="BL45" i="2"/>
  <c r="BM45" i="2" s="1"/>
  <c r="BK45" i="2"/>
  <c r="BJ45" i="2"/>
  <c r="BI45" i="2"/>
  <c r="BF45" i="2"/>
  <c r="BG45" i="2" s="1"/>
  <c r="BE45" i="2"/>
  <c r="BD45" i="2"/>
  <c r="BA45" i="2"/>
  <c r="CI44" i="2"/>
  <c r="CE44" i="2"/>
  <c r="BZ44" i="2"/>
  <c r="CA44" i="2" s="1"/>
  <c r="CB44" i="2" s="1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U43" i="2"/>
  <c r="BT43" i="2"/>
  <c r="BS43" i="2"/>
  <c r="BP43" i="2"/>
  <c r="BO43" i="2"/>
  <c r="BK43" i="2"/>
  <c r="BJ43" i="2"/>
  <c r="BI43" i="2"/>
  <c r="BF43" i="2"/>
  <c r="BE43" i="2"/>
  <c r="BD43" i="2"/>
  <c r="BA43" i="2"/>
  <c r="BB43" i="2" s="1"/>
  <c r="CI42" i="2"/>
  <c r="CE42" i="2"/>
  <c r="CF42" i="2" s="1"/>
  <c r="BZ42" i="2"/>
  <c r="BX42" i="2"/>
  <c r="BU42" i="2"/>
  <c r="BV42" i="2" s="1"/>
  <c r="BW42" i="2" s="1"/>
  <c r="BT42" i="2"/>
  <c r="BS42" i="2"/>
  <c r="BP42" i="2"/>
  <c r="BQ42" i="2" s="1"/>
  <c r="BR42" i="2" s="1"/>
  <c r="BO42" i="2"/>
  <c r="BK42" i="2"/>
  <c r="BJ42" i="2"/>
  <c r="BI42" i="2"/>
  <c r="BF42" i="2"/>
  <c r="BE42" i="2"/>
  <c r="BD42" i="2"/>
  <c r="BA42" i="2"/>
  <c r="CI41" i="2"/>
  <c r="CE41" i="2"/>
  <c r="BZ41" i="2"/>
  <c r="CA41" i="2" s="1"/>
  <c r="BX41" i="2"/>
  <c r="BU41" i="2"/>
  <c r="BV41" i="2" s="1"/>
  <c r="BT41" i="2"/>
  <c r="BS41" i="2"/>
  <c r="BP41" i="2"/>
  <c r="BO41" i="2"/>
  <c r="BK41" i="2"/>
  <c r="BJ41" i="2"/>
  <c r="BI41" i="2"/>
  <c r="BF41" i="2"/>
  <c r="BE41" i="2"/>
  <c r="BD41" i="2"/>
  <c r="BB41" i="2"/>
  <c r="BA41" i="2"/>
  <c r="CI40" i="2"/>
  <c r="CE40" i="2"/>
  <c r="CF40" i="2" s="1"/>
  <c r="BZ40" i="2"/>
  <c r="BX40" i="2"/>
  <c r="BU40" i="2"/>
  <c r="BT40" i="2"/>
  <c r="BS40" i="2"/>
  <c r="BP40" i="2"/>
  <c r="BQ40" i="2" s="1"/>
  <c r="O40" i="2" s="1"/>
  <c r="BO40" i="2"/>
  <c r="BL40" i="2"/>
  <c r="BM40" i="2" s="1"/>
  <c r="BK40" i="2"/>
  <c r="BJ40" i="2"/>
  <c r="BI40" i="2"/>
  <c r="BF40" i="2"/>
  <c r="BE40" i="2"/>
  <c r="BD40" i="2"/>
  <c r="BA40" i="2"/>
  <c r="CI39" i="2"/>
  <c r="CE39" i="2"/>
  <c r="BZ39" i="2"/>
  <c r="CA39" i="2" s="1"/>
  <c r="BX39" i="2"/>
  <c r="BU39" i="2"/>
  <c r="BT39" i="2"/>
  <c r="BS39" i="2"/>
  <c r="BP39" i="2"/>
  <c r="BO39" i="2"/>
  <c r="BK39" i="2"/>
  <c r="BL39" i="2" s="1"/>
  <c r="BJ39" i="2"/>
  <c r="BI39" i="2"/>
  <c r="BF39" i="2"/>
  <c r="BE39" i="2"/>
  <c r="BD39" i="2"/>
  <c r="BA39" i="2"/>
  <c r="CI38" i="2"/>
  <c r="CE38" i="2"/>
  <c r="BZ38" i="2"/>
  <c r="CA38" i="2" s="1"/>
  <c r="BX38" i="2"/>
  <c r="BU38" i="2"/>
  <c r="BV38" i="2" s="1"/>
  <c r="BT38" i="2"/>
  <c r="BS38" i="2"/>
  <c r="BQ38" i="2"/>
  <c r="BP38" i="2"/>
  <c r="BO38" i="2"/>
  <c r="BK38" i="2"/>
  <c r="BJ38" i="2"/>
  <c r="BI38" i="2"/>
  <c r="BF38" i="2"/>
  <c r="BG38" i="2" s="1"/>
  <c r="BE38" i="2"/>
  <c r="BD38" i="2"/>
  <c r="BA38" i="2"/>
  <c r="CI37" i="2"/>
  <c r="CE37" i="2"/>
  <c r="BZ37" i="2"/>
  <c r="BX37" i="2"/>
  <c r="BU37" i="2"/>
  <c r="BT37" i="2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A37" i="2"/>
  <c r="CI36" i="2"/>
  <c r="CE36" i="2"/>
  <c r="BZ36" i="2"/>
  <c r="BX36" i="2"/>
  <c r="BU36" i="2"/>
  <c r="BT36" i="2"/>
  <c r="BS36" i="2"/>
  <c r="BP36" i="2"/>
  <c r="BQ36" i="2" s="1"/>
  <c r="BR36" i="2" s="1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E35" i="2"/>
  <c r="CF35" i="2" s="1"/>
  <c r="BZ35" i="2"/>
  <c r="CA35" i="2" s="1"/>
  <c r="CB35" i="2" s="1"/>
  <c r="BX35" i="2"/>
  <c r="BU35" i="2"/>
  <c r="BT35" i="2"/>
  <c r="BS35" i="2"/>
  <c r="BQ35" i="2"/>
  <c r="BP35" i="2"/>
  <c r="BO35" i="2"/>
  <c r="BK35" i="2"/>
  <c r="BJ35" i="2"/>
  <c r="BI35" i="2"/>
  <c r="BF35" i="2"/>
  <c r="BG35" i="2" s="1"/>
  <c r="BE35" i="2"/>
  <c r="BD35" i="2"/>
  <c r="BA35" i="2"/>
  <c r="CI34" i="2"/>
  <c r="CE34" i="2"/>
  <c r="CF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BZ33" i="2"/>
  <c r="CA33" i="2" s="1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A33" i="2"/>
  <c r="CI32" i="2"/>
  <c r="CE32" i="2"/>
  <c r="BZ32" i="2"/>
  <c r="CA32" i="2" s="1"/>
  <c r="BX32" i="2"/>
  <c r="BU32" i="2"/>
  <c r="BT32" i="2"/>
  <c r="BS32" i="2"/>
  <c r="BQ32" i="2"/>
  <c r="BR32" i="2" s="1"/>
  <c r="BP32" i="2"/>
  <c r="BO32" i="2"/>
  <c r="BK32" i="2"/>
  <c r="BL32" i="2" s="1"/>
  <c r="BM32" i="2" s="1"/>
  <c r="BJ32" i="2"/>
  <c r="BI32" i="2"/>
  <c r="BF32" i="2"/>
  <c r="BE32" i="2"/>
  <c r="BD32" i="2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L31" i="2"/>
  <c r="BM31" i="2" s="1"/>
  <c r="BK31" i="2"/>
  <c r="BJ31" i="2"/>
  <c r="BI31" i="2"/>
  <c r="BF31" i="2"/>
  <c r="BE31" i="2"/>
  <c r="BD31" i="2"/>
  <c r="BA31" i="2"/>
  <c r="CI30" i="2"/>
  <c r="CE30" i="2"/>
  <c r="BZ30" i="2"/>
  <c r="BX30" i="2"/>
  <c r="BU30" i="2"/>
  <c r="BT30" i="2"/>
  <c r="BS30" i="2"/>
  <c r="BP30" i="2"/>
  <c r="BO30" i="2"/>
  <c r="BK30" i="2"/>
  <c r="BL30" i="2" s="1"/>
  <c r="BJ30" i="2"/>
  <c r="BI30" i="2"/>
  <c r="BG30" i="2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P29" i="2"/>
  <c r="BQ29" i="2" s="1"/>
  <c r="BO29" i="2"/>
  <c r="BK29" i="2"/>
  <c r="BJ29" i="2"/>
  <c r="BI29" i="2"/>
  <c r="BG29" i="2"/>
  <c r="BH29" i="2" s="1"/>
  <c r="BF29" i="2"/>
  <c r="BE29" i="2"/>
  <c r="BD29" i="2"/>
  <c r="BA29" i="2"/>
  <c r="BB29" i="2" s="1"/>
  <c r="CI28" i="2"/>
  <c r="CE28" i="2"/>
  <c r="CF28" i="2" s="1"/>
  <c r="BZ28" i="2"/>
  <c r="CA28" i="2" s="1"/>
  <c r="U28" i="2" s="1"/>
  <c r="BX28" i="2"/>
  <c r="BU28" i="2"/>
  <c r="BT28" i="2"/>
  <c r="BS28" i="2"/>
  <c r="BP28" i="2"/>
  <c r="BO28" i="2"/>
  <c r="BK28" i="2"/>
  <c r="BL28" i="2" s="1"/>
  <c r="BJ28" i="2"/>
  <c r="BI28" i="2"/>
  <c r="BF28" i="2"/>
  <c r="BE28" i="2"/>
  <c r="BD28" i="2"/>
  <c r="BA28" i="2"/>
  <c r="CI27" i="2"/>
  <c r="CE27" i="2"/>
  <c r="BZ27" i="2"/>
  <c r="CA27" i="2" s="1"/>
  <c r="U27" i="2" s="1"/>
  <c r="BX27" i="2"/>
  <c r="BU27" i="2"/>
  <c r="BT27" i="2"/>
  <c r="BS27" i="2"/>
  <c r="BP27" i="2"/>
  <c r="BQ27" i="2" s="1"/>
  <c r="BO27" i="2"/>
  <c r="BL27" i="2"/>
  <c r="BM27" i="2" s="1"/>
  <c r="BK27" i="2"/>
  <c r="BJ27" i="2"/>
  <c r="BI27" i="2"/>
  <c r="BF27" i="2"/>
  <c r="BE27" i="2"/>
  <c r="BD27" i="2"/>
  <c r="BB27" i="2"/>
  <c r="BA27" i="2"/>
  <c r="CI26" i="2"/>
  <c r="CE26" i="2"/>
  <c r="BZ26" i="2"/>
  <c r="BX26" i="2"/>
  <c r="BU26" i="2"/>
  <c r="BV26" i="2" s="1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F25" i="2"/>
  <c r="CG25" i="2" s="1"/>
  <c r="CE25" i="2"/>
  <c r="BZ25" i="2"/>
  <c r="BX25" i="2"/>
  <c r="BU25" i="2"/>
  <c r="BT25" i="2"/>
  <c r="BS25" i="2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K24" i="2"/>
  <c r="BL24" i="2" s="1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R23" i="2" s="1"/>
  <c r="BU23" i="2"/>
  <c r="BT23" i="2"/>
  <c r="BS23" i="2"/>
  <c r="BQ23" i="2"/>
  <c r="BP23" i="2"/>
  <c r="BO23" i="2"/>
  <c r="BK23" i="2"/>
  <c r="BJ23" i="2"/>
  <c r="BI23" i="2"/>
  <c r="BH23" i="2"/>
  <c r="BF23" i="2"/>
  <c r="BG23" i="2" s="1"/>
  <c r="I23" i="2" s="1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K22" i="2"/>
  <c r="BL22" i="2" s="1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U90" i="18"/>
  <c r="X75" i="18"/>
  <c r="F71" i="18"/>
  <c r="I97" i="2"/>
  <c r="U93" i="2"/>
  <c r="O52" i="2"/>
  <c r="X42" i="18"/>
  <c r="E1" i="2"/>
  <c r="U41" i="18"/>
  <c r="L64" i="18"/>
  <c r="F64" i="18"/>
  <c r="X50" i="18"/>
  <c r="U49" i="18"/>
  <c r="X46" i="18"/>
  <c r="U45" i="18"/>
  <c r="I49" i="18"/>
  <c r="AX1" i="12"/>
  <c r="U69" i="18"/>
  <c r="O66" i="18"/>
  <c r="O35" i="18"/>
  <c r="L26" i="2"/>
  <c r="G1" i="2"/>
  <c r="J1" i="2" s="1"/>
  <c r="I96" i="2"/>
  <c r="L27" i="2"/>
  <c r="F37" i="2"/>
  <c r="L97" i="2"/>
  <c r="O98" i="2"/>
  <c r="F95" i="2"/>
  <c r="F32" i="2"/>
  <c r="U79" i="18"/>
  <c r="L81" i="18"/>
  <c r="U25" i="18"/>
  <c r="L14" i="18"/>
  <c r="O39" i="18"/>
  <c r="I65" i="18"/>
  <c r="I70" i="18"/>
  <c r="O72" i="18"/>
  <c r="I61" i="18"/>
  <c r="L34" i="18"/>
  <c r="X34" i="18"/>
  <c r="I37" i="18"/>
  <c r="F44" i="18"/>
  <c r="L69" i="18"/>
  <c r="L71" i="18"/>
  <c r="U72" i="18"/>
  <c r="L73" i="18"/>
  <c r="U74" i="18"/>
  <c r="O75" i="18"/>
  <c r="R12" i="18"/>
  <c r="F36" i="18"/>
  <c r="X66" i="18"/>
  <c r="R67" i="18"/>
  <c r="O59" i="18"/>
  <c r="X54" i="18"/>
  <c r="F80" i="18"/>
  <c r="R60" i="18"/>
  <c r="F75" i="18"/>
  <c r="R75" i="18"/>
  <c r="L76" i="18"/>
  <c r="I84" i="18"/>
  <c r="O98" i="18"/>
  <c r="F90" i="18"/>
  <c r="L95" i="18"/>
  <c r="R83" i="18"/>
  <c r="F87" i="18"/>
  <c r="L92" i="18"/>
  <c r="I25" i="18"/>
  <c r="U23" i="18"/>
  <c r="O23" i="18"/>
  <c r="X35" i="2"/>
  <c r="R33" i="2"/>
  <c r="O69" i="2"/>
  <c r="L53" i="2"/>
  <c r="R49" i="2"/>
  <c r="X55" i="2"/>
  <c r="R89" i="2"/>
  <c r="L84" i="2"/>
  <c r="X93" i="2"/>
  <c r="R53" i="2"/>
  <c r="R70" i="2"/>
  <c r="F57" i="2"/>
  <c r="I93" i="2"/>
  <c r="U98" i="18"/>
  <c r="X96" i="18"/>
  <c r="L22" i="18"/>
  <c r="F69" i="18"/>
  <c r="X83" i="2"/>
  <c r="U100" i="2"/>
  <c r="X67" i="2"/>
  <c r="U38" i="2"/>
  <c r="U92" i="18"/>
  <c r="L26" i="18"/>
  <c r="U76" i="18"/>
  <c r="I75" i="2"/>
  <c r="I71" i="2"/>
  <c r="G1" i="12"/>
  <c r="F1" i="12"/>
  <c r="AW1" i="12"/>
  <c r="F1" i="2"/>
  <c r="BC1" i="2" s="1"/>
  <c r="BD1" i="2" s="1"/>
  <c r="L10" i="2"/>
  <c r="I9" i="18"/>
  <c r="I55" i="2"/>
  <c r="R56" i="2"/>
  <c r="F52" i="2"/>
  <c r="U49" i="2"/>
  <c r="F54" i="2"/>
  <c r="U87" i="2"/>
  <c r="I91" i="2"/>
  <c r="O85" i="2"/>
  <c r="L71" i="2"/>
  <c r="R92" i="2"/>
  <c r="L98" i="2"/>
  <c r="X80" i="2"/>
  <c r="X88" i="2"/>
  <c r="O4" i="18"/>
  <c r="R5" i="18"/>
  <c r="U28" i="18"/>
  <c r="U52" i="18"/>
  <c r="O18" i="18"/>
  <c r="U20" i="18"/>
  <c r="O22" i="18"/>
  <c r="F31" i="18"/>
  <c r="L57" i="18"/>
  <c r="F72" i="18"/>
  <c r="X74" i="18"/>
  <c r="U60" i="18"/>
  <c r="I86" i="18"/>
  <c r="U87" i="18"/>
  <c r="X62" i="18"/>
  <c r="R68" i="18"/>
  <c r="O71" i="18"/>
  <c r="L74" i="18"/>
  <c r="X91" i="18"/>
  <c r="O93" i="18"/>
  <c r="F95" i="18"/>
  <c r="X97" i="18"/>
  <c r="X76" i="18"/>
  <c r="U80" i="18"/>
  <c r="U77" i="18"/>
  <c r="R97" i="18"/>
  <c r="I99" i="18"/>
  <c r="I73" i="18"/>
  <c r="I85" i="18"/>
  <c r="U100" i="18"/>
  <c r="U81" i="18"/>
  <c r="R84" i="18"/>
  <c r="O88" i="18"/>
  <c r="X99" i="18"/>
  <c r="R79" i="18"/>
  <c r="F84" i="18"/>
  <c r="X93" i="18"/>
  <c r="U96" i="18"/>
  <c r="F98" i="18"/>
  <c r="O83" i="18"/>
  <c r="U84" i="18"/>
  <c r="R87" i="18"/>
  <c r="I96" i="18"/>
  <c r="R94" i="18"/>
  <c r="L100" i="18"/>
  <c r="I25" i="2"/>
  <c r="X43" i="2"/>
  <c r="L63" i="2"/>
  <c r="X81" i="18"/>
  <c r="L97" i="18"/>
  <c r="O90" i="18"/>
  <c r="U32" i="18"/>
  <c r="O34" i="18"/>
  <c r="L77" i="18"/>
  <c r="F61" i="2"/>
  <c r="X14" i="2"/>
  <c r="X42" i="2"/>
  <c r="F24" i="2"/>
  <c r="L30" i="2"/>
  <c r="I45" i="2"/>
  <c r="R73" i="2"/>
  <c r="X22" i="2"/>
  <c r="X68" i="2"/>
  <c r="X48" i="2"/>
  <c r="I37" i="2"/>
  <c r="U41" i="2"/>
  <c r="O61" i="2"/>
  <c r="X17" i="18"/>
  <c r="U44" i="18"/>
  <c r="F63" i="18"/>
  <c r="F67" i="18"/>
  <c r="R99" i="18"/>
  <c r="R4" i="18"/>
  <c r="O11" i="18"/>
  <c r="F23" i="18"/>
  <c r="X57" i="18"/>
  <c r="O58" i="18"/>
  <c r="F59" i="18"/>
  <c r="F47" i="18"/>
  <c r="X53" i="18"/>
  <c r="I80" i="18"/>
  <c r="X25" i="18"/>
  <c r="I32" i="18"/>
  <c r="I78" i="18"/>
  <c r="L79" i="18"/>
  <c r="X83" i="18"/>
  <c r="F85" i="18"/>
  <c r="L87" i="18"/>
  <c r="I94" i="18"/>
  <c r="U13" i="18"/>
  <c r="F16" i="18"/>
  <c r="L18" i="18"/>
  <c r="O19" i="18"/>
  <c r="R20" i="18"/>
  <c r="F24" i="18"/>
  <c r="F46" i="18"/>
  <c r="L56" i="18"/>
  <c r="L12" i="18"/>
  <c r="I14" i="18"/>
  <c r="R17" i="18"/>
  <c r="F34" i="18"/>
  <c r="U47" i="18"/>
  <c r="I51" i="18"/>
  <c r="X56" i="18"/>
  <c r="L60" i="18"/>
  <c r="O61" i="18"/>
  <c r="U63" i="18"/>
  <c r="O69" i="18"/>
  <c r="X94" i="18"/>
  <c r="O99" i="18"/>
  <c r="F74" i="18"/>
  <c r="U89" i="18"/>
  <c r="X35" i="18"/>
  <c r="U42" i="18"/>
  <c r="L43" i="18"/>
  <c r="X43" i="18"/>
  <c r="F45" i="18"/>
  <c r="U46" i="18"/>
  <c r="L47" i="18"/>
  <c r="R49" i="18"/>
  <c r="I50" i="18"/>
  <c r="L51" i="18"/>
  <c r="X51" i="18"/>
  <c r="U54" i="18"/>
  <c r="O56" i="18"/>
  <c r="F57" i="18"/>
  <c r="U58" i="18"/>
  <c r="L59" i="18"/>
  <c r="L63" i="18"/>
  <c r="I89" i="18"/>
  <c r="O91" i="18"/>
  <c r="U93" i="18"/>
  <c r="F96" i="18"/>
  <c r="R88" i="18"/>
  <c r="X61" i="2"/>
  <c r="L33" i="2"/>
  <c r="O34" i="2"/>
  <c r="O42" i="2"/>
  <c r="L58" i="2"/>
  <c r="X58" i="2"/>
  <c r="F60" i="2"/>
  <c r="R60" i="2"/>
  <c r="L62" i="2"/>
  <c r="I65" i="2"/>
  <c r="R68" i="2"/>
  <c r="X70" i="2"/>
  <c r="L74" i="2"/>
  <c r="O75" i="2"/>
  <c r="F80" i="2"/>
  <c r="U85" i="2"/>
  <c r="I89" i="2"/>
  <c r="R26" i="2"/>
  <c r="X28" i="2"/>
  <c r="F34" i="2"/>
  <c r="I35" i="2"/>
  <c r="O37" i="2"/>
  <c r="X40" i="2"/>
  <c r="L57" i="2"/>
  <c r="R64" i="2"/>
  <c r="X66" i="2"/>
  <c r="F68" i="2"/>
  <c r="L70" i="2"/>
  <c r="R72" i="2"/>
  <c r="X74" i="2"/>
  <c r="F76" i="2"/>
  <c r="I77" i="2"/>
  <c r="O79" i="2"/>
  <c r="U81" i="2"/>
  <c r="I85" i="2"/>
  <c r="L86" i="2"/>
  <c r="U89" i="2"/>
  <c r="X90" i="2"/>
  <c r="I94" i="2"/>
  <c r="R97" i="2"/>
  <c r="U98" i="2"/>
  <c r="L65" i="2"/>
  <c r="O66" i="2"/>
  <c r="R67" i="2"/>
  <c r="L69" i="2"/>
  <c r="X69" i="2"/>
  <c r="I72" i="2"/>
  <c r="R75" i="2"/>
  <c r="U76" i="2"/>
  <c r="X77" i="2"/>
  <c r="F79" i="2"/>
  <c r="L81" i="2"/>
  <c r="O82" i="2"/>
  <c r="U84" i="2"/>
  <c r="X85" i="2"/>
  <c r="I88" i="2"/>
  <c r="L89" i="2"/>
  <c r="R91" i="2"/>
  <c r="R94" i="2"/>
  <c r="U95" i="2"/>
  <c r="X96" i="2"/>
  <c r="F98" i="2"/>
  <c r="I99" i="2"/>
  <c r="L100" i="2"/>
  <c r="R20" i="2"/>
  <c r="X47" i="2"/>
  <c r="BH81" i="18" l="1"/>
  <c r="I81" i="18"/>
  <c r="O63" i="18"/>
  <c r="BM33" i="18"/>
  <c r="CG70" i="18"/>
  <c r="X70" i="18"/>
  <c r="F66" i="18"/>
  <c r="I17" i="18"/>
  <c r="CK72" i="18"/>
  <c r="AP72" i="18" s="1"/>
  <c r="U24" i="18"/>
  <c r="CF32" i="18"/>
  <c r="CG32" i="18" s="1"/>
  <c r="CA33" i="18"/>
  <c r="U33" i="18"/>
  <c r="CB36" i="18"/>
  <c r="U36" i="18"/>
  <c r="BV45" i="18"/>
  <c r="BW45" i="18" s="1"/>
  <c r="R45" i="18"/>
  <c r="BM46" i="18"/>
  <c r="BL52" i="18"/>
  <c r="L52" i="18" s="1"/>
  <c r="BQ60" i="18"/>
  <c r="BR60" i="18" s="1"/>
  <c r="BQ63" i="18"/>
  <c r="CF63" i="18"/>
  <c r="CG63" i="18" s="1"/>
  <c r="X63" i="18"/>
  <c r="BB70" i="18"/>
  <c r="F70" i="18" s="1"/>
  <c r="BQ70" i="18"/>
  <c r="BR70" i="18" s="1"/>
  <c r="BB76" i="18"/>
  <c r="F76" i="18" s="1"/>
  <c r="BV86" i="18"/>
  <c r="BW86" i="18" s="1"/>
  <c r="CF92" i="18"/>
  <c r="X92" i="18" s="1"/>
  <c r="U50" i="18"/>
  <c r="L68" i="18"/>
  <c r="O82" i="18"/>
  <c r="X67" i="18"/>
  <c r="O85" i="18"/>
  <c r="R72" i="18"/>
  <c r="X18" i="18"/>
  <c r="O15" i="18"/>
  <c r="BB12" i="18"/>
  <c r="F12" i="18" s="1"/>
  <c r="CF14" i="18"/>
  <c r="X14" i="18"/>
  <c r="BR23" i="18"/>
  <c r="X23" i="18"/>
  <c r="CA24" i="18"/>
  <c r="CB24" i="18" s="1"/>
  <c r="BH25" i="18"/>
  <c r="BC27" i="18"/>
  <c r="BQ27" i="18"/>
  <c r="BR27" i="18" s="1"/>
  <c r="O27" i="18"/>
  <c r="CB28" i="18"/>
  <c r="BV31" i="18"/>
  <c r="R31" i="18" s="1"/>
  <c r="BL33" i="18"/>
  <c r="L33" i="18" s="1"/>
  <c r="CB33" i="18"/>
  <c r="BL42" i="18"/>
  <c r="BM42" i="18" s="1"/>
  <c r="BL53" i="18"/>
  <c r="L53" i="18" s="1"/>
  <c r="BM53" i="18"/>
  <c r="CA61" i="18"/>
  <c r="CB61" i="18" s="1"/>
  <c r="CB68" i="18"/>
  <c r="BG75" i="18"/>
  <c r="I75" i="18"/>
  <c r="BW79" i="18"/>
  <c r="CA85" i="18"/>
  <c r="U85" i="18" s="1"/>
  <c r="CB89" i="18"/>
  <c r="CG93" i="18"/>
  <c r="BG36" i="18"/>
  <c r="I36" i="18" s="1"/>
  <c r="BB40" i="18"/>
  <c r="F40" i="18" s="1"/>
  <c r="BQ51" i="18"/>
  <c r="BR51" i="18" s="1"/>
  <c r="L88" i="18"/>
  <c r="BR15" i="18"/>
  <c r="CG23" i="18"/>
  <c r="BL28" i="18"/>
  <c r="BM28" i="18" s="1"/>
  <c r="L28" i="18"/>
  <c r="BL37" i="18"/>
  <c r="L37" i="18" s="1"/>
  <c r="I40" i="18"/>
  <c r="BB49" i="18"/>
  <c r="BC49" i="18" s="1"/>
  <c r="F49" i="18"/>
  <c r="BQ52" i="18"/>
  <c r="O52" i="18" s="1"/>
  <c r="BR52" i="18"/>
  <c r="BC68" i="18"/>
  <c r="F68" i="18"/>
  <c r="CB69" i="18"/>
  <c r="BQ74" i="18"/>
  <c r="BR74" i="18"/>
  <c r="O74" i="18"/>
  <c r="R76" i="18"/>
  <c r="BM78" i="18"/>
  <c r="L78" i="18"/>
  <c r="BM82" i="18"/>
  <c r="X88" i="18"/>
  <c r="BG91" i="18"/>
  <c r="BH91" i="18" s="1"/>
  <c r="BQ94" i="18"/>
  <c r="O94" i="18" s="1"/>
  <c r="F20" i="18"/>
  <c r="BC23" i="18"/>
  <c r="BM29" i="18"/>
  <c r="BL38" i="18"/>
  <c r="BM38" i="18" s="1"/>
  <c r="L38" i="18"/>
  <c r="BB52" i="18"/>
  <c r="BC52" i="18" s="1"/>
  <c r="BH60" i="18"/>
  <c r="BC61" i="18"/>
  <c r="F61" i="18"/>
  <c r="BR61" i="18"/>
  <c r="CA62" i="18"/>
  <c r="U62" i="18" s="1"/>
  <c r="CB62" i="18"/>
  <c r="CA65" i="18"/>
  <c r="CB65" i="18" s="1"/>
  <c r="CA66" i="18"/>
  <c r="CB66" i="18" s="1"/>
  <c r="U66" i="18"/>
  <c r="BW67" i="18"/>
  <c r="CB72" i="18"/>
  <c r="BB77" i="18"/>
  <c r="F77" i="18"/>
  <c r="CF77" i="18"/>
  <c r="CG77" i="18" s="1"/>
  <c r="X77" i="18"/>
  <c r="F88" i="18"/>
  <c r="AB88" i="18" s="1"/>
  <c r="I92" i="18"/>
  <c r="BB93" i="18"/>
  <c r="F93" i="18"/>
  <c r="BM81" i="18"/>
  <c r="CG64" i="18"/>
  <c r="R74" i="18"/>
  <c r="BW81" i="18"/>
  <c r="BB82" i="18"/>
  <c r="F82" i="18" s="1"/>
  <c r="BV100" i="18"/>
  <c r="BW100" i="18" s="1"/>
  <c r="R100" i="18"/>
  <c r="CF48" i="18"/>
  <c r="X48" i="18" s="1"/>
  <c r="BH54" i="18"/>
  <c r="BG72" i="18"/>
  <c r="BH72" i="18" s="1"/>
  <c r="I72" i="18"/>
  <c r="AB72" i="18" s="1"/>
  <c r="BC76" i="18"/>
  <c r="BB79" i="18"/>
  <c r="BC79" i="18" s="1"/>
  <c r="BM93" i="18"/>
  <c r="L93" i="18"/>
  <c r="BL93" i="18"/>
  <c r="L23" i="18"/>
  <c r="BB28" i="18"/>
  <c r="F28" i="18"/>
  <c r="BB42" i="18"/>
  <c r="BC42" i="18" s="1"/>
  <c r="I67" i="18"/>
  <c r="BM90" i="18"/>
  <c r="L90" i="18"/>
  <c r="L29" i="18"/>
  <c r="BV16" i="18"/>
  <c r="R16" i="18"/>
  <c r="BB17" i="18"/>
  <c r="BC17" i="18" s="1"/>
  <c r="F17" i="18"/>
  <c r="BR18" i="18"/>
  <c r="BM21" i="18"/>
  <c r="L21" i="18"/>
  <c r="O31" i="18"/>
  <c r="BG33" i="18"/>
  <c r="BH33" i="18" s="1"/>
  <c r="I33" i="18"/>
  <c r="BC36" i="18"/>
  <c r="O50" i="18"/>
  <c r="BQ50" i="18"/>
  <c r="BH57" i="18"/>
  <c r="I57" i="18"/>
  <c r="BC58" i="18"/>
  <c r="BC59" i="18"/>
  <c r="BR59" i="18"/>
  <c r="CG62" i="18"/>
  <c r="CB63" i="18"/>
  <c r="O65" i="18"/>
  <c r="BR69" i="18"/>
  <c r="CF69" i="18"/>
  <c r="X69" i="18"/>
  <c r="L70" i="18"/>
  <c r="BC72" i="18"/>
  <c r="CA73" i="18"/>
  <c r="U73" i="18" s="1"/>
  <c r="BV74" i="18"/>
  <c r="BR78" i="18"/>
  <c r="CG78" i="18"/>
  <c r="CF78" i="18"/>
  <c r="X78" i="18" s="1"/>
  <c r="BG88" i="18"/>
  <c r="I88" i="18" s="1"/>
  <c r="BG100" i="18"/>
  <c r="BH100" i="18" s="1"/>
  <c r="U95" i="18"/>
  <c r="CA95" i="18"/>
  <c r="BR28" i="18"/>
  <c r="BL65" i="18"/>
  <c r="L65" i="18" s="1"/>
  <c r="U68" i="18"/>
  <c r="BM12" i="18"/>
  <c r="CG18" i="18"/>
  <c r="BM22" i="18"/>
  <c r="CF31" i="18"/>
  <c r="CG31" i="18" s="1"/>
  <c r="BG42" i="18"/>
  <c r="BH42" i="18" s="1"/>
  <c r="I42" i="18"/>
  <c r="CG54" i="18"/>
  <c r="CF55" i="18"/>
  <c r="X55" i="18"/>
  <c r="BM60" i="18"/>
  <c r="CG86" i="18"/>
  <c r="X86" i="18"/>
  <c r="BH24" i="18"/>
  <c r="I24" i="18"/>
  <c r="U71" i="18"/>
  <c r="BG41" i="18"/>
  <c r="BH41" i="18" s="1"/>
  <c r="I41" i="18"/>
  <c r="BR43" i="18"/>
  <c r="O43" i="18"/>
  <c r="O47" i="18"/>
  <c r="CA21" i="18"/>
  <c r="U21" i="18" s="1"/>
  <c r="BC28" i="18"/>
  <c r="BQ28" i="18"/>
  <c r="CF29" i="18"/>
  <c r="CG29" i="18" s="1"/>
  <c r="BR38" i="18"/>
  <c r="CB40" i="18"/>
  <c r="CA40" i="18"/>
  <c r="U40" i="18" s="1"/>
  <c r="BR44" i="18"/>
  <c r="BQ47" i="18"/>
  <c r="BR47" i="18" s="1"/>
  <c r="CF47" i="18"/>
  <c r="X47" i="18" s="1"/>
  <c r="CG47" i="18"/>
  <c r="I60" i="18"/>
  <c r="I97" i="18"/>
  <c r="U55" i="18"/>
  <c r="O16" i="18"/>
  <c r="X22" i="18"/>
  <c r="R91" i="18"/>
  <c r="X38" i="18"/>
  <c r="F32" i="18"/>
  <c r="I54" i="18"/>
  <c r="O44" i="18"/>
  <c r="O53" i="18"/>
  <c r="R81" i="18"/>
  <c r="R22" i="18"/>
  <c r="X85" i="18"/>
  <c r="X24" i="18"/>
  <c r="U37" i="18"/>
  <c r="F48" i="18"/>
  <c r="O28" i="18"/>
  <c r="L82" i="18"/>
  <c r="O26" i="18"/>
  <c r="O38" i="18"/>
  <c r="I21" i="18"/>
  <c r="BC19" i="18"/>
  <c r="F19" i="18"/>
  <c r="CF21" i="18"/>
  <c r="X21" i="18" s="1"/>
  <c r="CB23" i="18"/>
  <c r="CF26" i="18"/>
  <c r="CG26" i="18"/>
  <c r="X26" i="18"/>
  <c r="BC31" i="18"/>
  <c r="BC34" i="18"/>
  <c r="BC39" i="18"/>
  <c r="F39" i="18"/>
  <c r="CB41" i="18"/>
  <c r="CF45" i="18"/>
  <c r="X45" i="18" s="1"/>
  <c r="CB46" i="18"/>
  <c r="BQ48" i="18"/>
  <c r="BR48" i="18" s="1"/>
  <c r="O48" i="18"/>
  <c r="CB49" i="18"/>
  <c r="R54" i="18"/>
  <c r="BH69" i="18"/>
  <c r="I69" i="18"/>
  <c r="BQ79" i="18"/>
  <c r="BR79" i="18" s="1"/>
  <c r="BR87" i="18"/>
  <c r="U88" i="18"/>
  <c r="BM14" i="18"/>
  <c r="CG25" i="18"/>
  <c r="BR31" i="18"/>
  <c r="CG69" i="18"/>
  <c r="BV80" i="18"/>
  <c r="R80" i="18" s="1"/>
  <c r="CG81" i="18"/>
  <c r="CG83" i="18"/>
  <c r="BH85" i="18"/>
  <c r="BB88" i="18"/>
  <c r="BC88" i="18" s="1"/>
  <c r="BR90" i="18"/>
  <c r="BV95" i="18"/>
  <c r="BW95" i="18" s="1"/>
  <c r="BM77" i="18"/>
  <c r="CB77" i="18"/>
  <c r="BH78" i="18"/>
  <c r="BH80" i="18"/>
  <c r="CB84" i="18"/>
  <c r="BH89" i="18"/>
  <c r="BH92" i="18"/>
  <c r="CG97" i="18"/>
  <c r="BW99" i="18"/>
  <c r="R95" i="18"/>
  <c r="L89" i="18"/>
  <c r="BW22" i="18"/>
  <c r="BH28" i="18"/>
  <c r="BM62" i="18"/>
  <c r="BR71" i="18"/>
  <c r="BC75" i="18"/>
  <c r="BW88" i="18"/>
  <c r="BB91" i="18"/>
  <c r="F91" i="18" s="1"/>
  <c r="CB92" i="18"/>
  <c r="CB96" i="18"/>
  <c r="BR98" i="18"/>
  <c r="BR30" i="18"/>
  <c r="BH37" i="18"/>
  <c r="CG42" i="18"/>
  <c r="BH45" i="18"/>
  <c r="BM49" i="18"/>
  <c r="CG50" i="18"/>
  <c r="BH67" i="18"/>
  <c r="BH68" i="18"/>
  <c r="BW68" i="18"/>
  <c r="BR75" i="18"/>
  <c r="CB76" i="18"/>
  <c r="O96" i="18"/>
  <c r="X10" i="18"/>
  <c r="BH20" i="18"/>
  <c r="BC24" i="18"/>
  <c r="CB25" i="18"/>
  <c r="BQ30" i="18"/>
  <c r="O30" i="18" s="1"/>
  <c r="CB32" i="18"/>
  <c r="CF33" i="18"/>
  <c r="X33" i="18" s="1"/>
  <c r="BH48" i="18"/>
  <c r="BL49" i="18"/>
  <c r="L49" i="18" s="1"/>
  <c r="BM51" i="18"/>
  <c r="BC71" i="18"/>
  <c r="BG77" i="18"/>
  <c r="I77" i="18" s="1"/>
  <c r="CK77" i="18" s="1"/>
  <c r="AP77" i="18" s="1"/>
  <c r="BH84" i="18"/>
  <c r="BC87" i="18"/>
  <c r="CB90" i="18"/>
  <c r="BC99" i="18"/>
  <c r="CB100" i="18"/>
  <c r="BW52" i="18"/>
  <c r="R52" i="18"/>
  <c r="BW27" i="18"/>
  <c r="R27" i="18"/>
  <c r="BW44" i="18"/>
  <c r="R44" i="18"/>
  <c r="BW65" i="18"/>
  <c r="R65" i="18"/>
  <c r="R61" i="18"/>
  <c r="R36" i="18"/>
  <c r="BV39" i="18"/>
  <c r="R39" i="18" s="1"/>
  <c r="BW58" i="18"/>
  <c r="BW60" i="18"/>
  <c r="BV62" i="18"/>
  <c r="BW62" i="18" s="1"/>
  <c r="BW64" i="18"/>
  <c r="BW55" i="18"/>
  <c r="BV32" i="18"/>
  <c r="BW32" i="18" s="1"/>
  <c r="R58" i="18"/>
  <c r="R24" i="18"/>
  <c r="BW24" i="18"/>
  <c r="BW49" i="18"/>
  <c r="BW61" i="18"/>
  <c r="R55" i="18"/>
  <c r="BW51" i="18"/>
  <c r="R41" i="18"/>
  <c r="R40" i="18"/>
  <c r="BH56" i="2"/>
  <c r="I56" i="2"/>
  <c r="BR64" i="2"/>
  <c r="O64" i="2"/>
  <c r="BR86" i="2"/>
  <c r="BM54" i="2"/>
  <c r="BC93" i="2"/>
  <c r="F93" i="2"/>
  <c r="X98" i="2"/>
  <c r="X25" i="2"/>
  <c r="O36" i="2"/>
  <c r="BC29" i="2"/>
  <c r="BV30" i="2"/>
  <c r="R30" i="2"/>
  <c r="CF32" i="2"/>
  <c r="X32" i="2" s="1"/>
  <c r="BV48" i="2"/>
  <c r="R48" i="2" s="1"/>
  <c r="BW48" i="2"/>
  <c r="U68" i="2"/>
  <c r="L36" i="2"/>
  <c r="L31" i="2"/>
  <c r="BW30" i="2"/>
  <c r="CF45" i="2"/>
  <c r="CG45" i="2" s="1"/>
  <c r="BB47" i="2"/>
  <c r="BC47" i="2" s="1"/>
  <c r="R51" i="2"/>
  <c r="F58" i="2"/>
  <c r="BQ62" i="2"/>
  <c r="BR62" i="2" s="1"/>
  <c r="BC63" i="2"/>
  <c r="BG64" i="2"/>
  <c r="I64" i="2" s="1"/>
  <c r="BL77" i="2"/>
  <c r="L77" i="2" s="1"/>
  <c r="BG80" i="2"/>
  <c r="BH80" i="2" s="1"/>
  <c r="I80" i="2"/>
  <c r="BV80" i="2"/>
  <c r="BW80" i="2" s="1"/>
  <c r="BG81" i="2"/>
  <c r="BH81" i="2" s="1"/>
  <c r="BB90" i="2"/>
  <c r="F90" i="2" s="1"/>
  <c r="BM98" i="2"/>
  <c r="CF98" i="2"/>
  <c r="CG98" i="2" s="1"/>
  <c r="BQ99" i="2"/>
  <c r="O99" i="2" s="1"/>
  <c r="BH30" i="2"/>
  <c r="F33" i="2"/>
  <c r="L49" i="2"/>
  <c r="F50" i="2"/>
  <c r="BC50" i="2"/>
  <c r="O53" i="2"/>
  <c r="BR69" i="2"/>
  <c r="I70" i="2"/>
  <c r="BW84" i="2"/>
  <c r="BV84" i="2"/>
  <c r="R84" i="2" s="1"/>
  <c r="BM97" i="2"/>
  <c r="BW23" i="2"/>
  <c r="F27" i="2"/>
  <c r="BR27" i="2"/>
  <c r="O32" i="2"/>
  <c r="BB33" i="2"/>
  <c r="BC33" i="2" s="1"/>
  <c r="BH35" i="2"/>
  <c r="BG43" i="2"/>
  <c r="BH43" i="2" s="1"/>
  <c r="BV43" i="2"/>
  <c r="R43" i="2" s="1"/>
  <c r="L60" i="2"/>
  <c r="BM60" i="2"/>
  <c r="I69" i="2"/>
  <c r="U74" i="2"/>
  <c r="X75" i="2"/>
  <c r="BM76" i="2"/>
  <c r="L76" i="2"/>
  <c r="CB79" i="2"/>
  <c r="BR83" i="2"/>
  <c r="BR98" i="2"/>
  <c r="BM39" i="2"/>
  <c r="BQ45" i="2"/>
  <c r="O45" i="2"/>
  <c r="BR66" i="2"/>
  <c r="BG69" i="2"/>
  <c r="BH78" i="2"/>
  <c r="X81" i="2"/>
  <c r="CG81" i="2"/>
  <c r="I100" i="2"/>
  <c r="BW86" i="2"/>
  <c r="BG28" i="2"/>
  <c r="BH28" i="2" s="1"/>
  <c r="BC41" i="2"/>
  <c r="F41" i="2"/>
  <c r="BB45" i="2"/>
  <c r="BC45" i="2" s="1"/>
  <c r="F45" i="2"/>
  <c r="BG62" i="2"/>
  <c r="BH62" i="2" s="1"/>
  <c r="BH69" i="2"/>
  <c r="BL73" i="2"/>
  <c r="BM73" i="2" s="1"/>
  <c r="L73" i="2"/>
  <c r="BV83" i="2"/>
  <c r="BW83" i="2" s="1"/>
  <c r="R83" i="2"/>
  <c r="X84" i="2"/>
  <c r="CG70" i="2"/>
  <c r="BL79" i="2"/>
  <c r="BM79" i="2" s="1"/>
  <c r="F82" i="2"/>
  <c r="BQ86" i="2"/>
  <c r="BQ95" i="2"/>
  <c r="BR95" i="2" s="1"/>
  <c r="BQ96" i="2"/>
  <c r="BR96" i="2" s="1"/>
  <c r="BH100" i="2"/>
  <c r="BC27" i="2"/>
  <c r="L24" i="2"/>
  <c r="BB40" i="2"/>
  <c r="BC40" i="2" s="1"/>
  <c r="CA50" i="2"/>
  <c r="U50" i="2" s="1"/>
  <c r="L46" i="2"/>
  <c r="R29" i="2"/>
  <c r="X72" i="2"/>
  <c r="BG17" i="2"/>
  <c r="I17" i="2" s="1"/>
  <c r="BM24" i="2"/>
  <c r="BQ25" i="2"/>
  <c r="BR25" i="2" s="1"/>
  <c r="BQ39" i="2"/>
  <c r="O39" i="2" s="1"/>
  <c r="I53" i="2"/>
  <c r="BL54" i="2"/>
  <c r="L54" i="2" s="1"/>
  <c r="CG58" i="2"/>
  <c r="BW67" i="2"/>
  <c r="O71" i="2"/>
  <c r="BB72" i="2"/>
  <c r="F72" i="2" s="1"/>
  <c r="BB74" i="2"/>
  <c r="F74" i="2" s="1"/>
  <c r="CF78" i="2"/>
  <c r="CG78" i="2" s="1"/>
  <c r="BB82" i="2"/>
  <c r="BC82" i="2" s="1"/>
  <c r="BG83" i="2"/>
  <c r="I83" i="2" s="1"/>
  <c r="F85" i="2"/>
  <c r="CG90" i="2"/>
  <c r="BM92" i="2"/>
  <c r="BB66" i="2"/>
  <c r="BC66" i="2" s="1"/>
  <c r="O27" i="2"/>
  <c r="O88" i="2"/>
  <c r="BW26" i="2"/>
  <c r="BL42" i="2"/>
  <c r="L42" i="2" s="1"/>
  <c r="BL68" i="2"/>
  <c r="L68" i="2" s="1"/>
  <c r="BQ71" i="2"/>
  <c r="BR71" i="2" s="1"/>
  <c r="BR72" i="2"/>
  <c r="F92" i="2"/>
  <c r="BQ93" i="2"/>
  <c r="O93" i="2" s="1"/>
  <c r="I61" i="2"/>
  <c r="F87" i="2"/>
  <c r="I48" i="2"/>
  <c r="F88" i="2"/>
  <c r="U79" i="2"/>
  <c r="X91" i="2"/>
  <c r="I36" i="2"/>
  <c r="BH49" i="2"/>
  <c r="BC51" i="2"/>
  <c r="O63" i="2"/>
  <c r="BQ90" i="2"/>
  <c r="O90" i="2"/>
  <c r="BC91" i="2"/>
  <c r="BB92" i="2"/>
  <c r="CB98" i="2"/>
  <c r="CF99" i="2"/>
  <c r="CG99" i="2" s="1"/>
  <c r="BR19" i="2"/>
  <c r="BH38" i="2"/>
  <c r="BH46" i="2"/>
  <c r="BR77" i="2"/>
  <c r="BC80" i="2"/>
  <c r="BR80" i="2"/>
  <c r="CB93" i="2"/>
  <c r="BR35" i="2"/>
  <c r="BR50" i="2"/>
  <c r="BW75" i="2"/>
  <c r="O80" i="2"/>
  <c r="O35" i="2"/>
  <c r="X64" i="2"/>
  <c r="L87" i="2"/>
  <c r="L39" i="2"/>
  <c r="BQ28" i="2"/>
  <c r="BR28" i="2" s="1"/>
  <c r="BR29" i="2"/>
  <c r="BG53" i="2"/>
  <c r="BH53" i="2" s="1"/>
  <c r="BG67" i="2"/>
  <c r="I67" i="2" s="1"/>
  <c r="BC69" i="2"/>
  <c r="BL72" i="2"/>
  <c r="L72" i="2" s="1"/>
  <c r="BR82" i="2"/>
  <c r="BQ83" i="2"/>
  <c r="O83" i="2" s="1"/>
  <c r="CF84" i="2"/>
  <c r="BM89" i="2"/>
  <c r="CB96" i="2"/>
  <c r="BW53" i="2"/>
  <c r="CG46" i="2"/>
  <c r="CG56" i="2"/>
  <c r="CG49" i="2"/>
  <c r="BH61" i="2"/>
  <c r="BR63" i="2"/>
  <c r="BC98" i="2"/>
  <c r="O67" i="2"/>
  <c r="R99" i="2"/>
  <c r="I38" i="2"/>
  <c r="BC32" i="2"/>
  <c r="U34" i="2"/>
  <c r="CG42" i="2"/>
  <c r="BH48" i="2"/>
  <c r="BL49" i="2"/>
  <c r="BQ53" i="2"/>
  <c r="BR53" i="2" s="1"/>
  <c r="BV57" i="2"/>
  <c r="R57" i="2" s="1"/>
  <c r="BR78" i="2"/>
  <c r="CB71" i="2"/>
  <c r="I46" i="2"/>
  <c r="CG28" i="2"/>
  <c r="BC37" i="2"/>
  <c r="BM49" i="2"/>
  <c r="BC53" i="2"/>
  <c r="BR67" i="2"/>
  <c r="BW72" i="2"/>
  <c r="BC79" i="2"/>
  <c r="BH86" i="2"/>
  <c r="BW87" i="2"/>
  <c r="BH89" i="2"/>
  <c r="BH94" i="2"/>
  <c r="BW70" i="2"/>
  <c r="BR38" i="2"/>
  <c r="BH57" i="2"/>
  <c r="BC59" i="2"/>
  <c r="O50" i="2"/>
  <c r="O74" i="2"/>
  <c r="O19" i="2"/>
  <c r="U92" i="2"/>
  <c r="O54" i="2"/>
  <c r="BW20" i="2"/>
  <c r="CG34" i="2"/>
  <c r="BR37" i="2"/>
  <c r="BC43" i="2"/>
  <c r="BM48" i="2"/>
  <c r="BR51" i="2"/>
  <c r="BH65" i="2"/>
  <c r="CB84" i="2"/>
  <c r="BH97" i="2"/>
  <c r="BM100" i="2"/>
  <c r="U32" i="2"/>
  <c r="U53" i="2"/>
  <c r="U57" i="2"/>
  <c r="U33" i="2"/>
  <c r="CB53" i="2"/>
  <c r="U61" i="2"/>
  <c r="U44" i="2"/>
  <c r="CB34" i="2"/>
  <c r="CB32" i="2"/>
  <c r="CA52" i="2"/>
  <c r="U52" i="2" s="1"/>
  <c r="CB60" i="2"/>
  <c r="CB45" i="2"/>
  <c r="CB39" i="2"/>
  <c r="CA40" i="2"/>
  <c r="CB40" i="2" s="1"/>
  <c r="CB41" i="2"/>
  <c r="U5" i="2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I27" i="18"/>
  <c r="BH27" i="18"/>
  <c r="BQ29" i="18"/>
  <c r="BR29" i="18" s="1"/>
  <c r="CF30" i="18"/>
  <c r="CG30" i="18" s="1"/>
  <c r="R35" i="18"/>
  <c r="BW35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 s="1"/>
  <c r="U6" i="18"/>
  <c r="CB6" i="18"/>
  <c r="U8" i="18"/>
  <c r="CB8" i="18"/>
  <c r="BQ9" i="18"/>
  <c r="O9" i="18" s="1"/>
  <c r="X13" i="18"/>
  <c r="CG13" i="18"/>
  <c r="BV30" i="18"/>
  <c r="R30" i="18" s="1"/>
  <c r="BG52" i="18"/>
  <c r="BH52" i="18" s="1"/>
  <c r="BQ54" i="18"/>
  <c r="O54" i="18" s="1"/>
  <c r="O29" i="18"/>
  <c r="CA3" i="18"/>
  <c r="U3" i="18" s="1"/>
  <c r="CB5" i="18"/>
  <c r="L17" i="18"/>
  <c r="BM17" i="18"/>
  <c r="BC26" i="18"/>
  <c r="F26" i="18"/>
  <c r="L30" i="18"/>
  <c r="BM30" i="18"/>
  <c r="BM36" i="18"/>
  <c r="BB37" i="18"/>
  <c r="F37" i="18" s="1"/>
  <c r="BQ42" i="18"/>
  <c r="O42" i="18" s="1"/>
  <c r="BG7" i="18"/>
  <c r="I7" i="18" s="1"/>
  <c r="BQ25" i="18"/>
  <c r="O25" i="18" s="1"/>
  <c r="BV28" i="18"/>
  <c r="R28" i="18" s="1"/>
  <c r="BW2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L39" i="18"/>
  <c r="L39" i="18" s="1"/>
  <c r="BM43" i="18"/>
  <c r="CF28" i="18"/>
  <c r="X28" i="18" s="1"/>
  <c r="BB30" i="18"/>
  <c r="F30" i="18" s="1"/>
  <c r="BG31" i="18"/>
  <c r="I31" i="18" s="1"/>
  <c r="CF41" i="18"/>
  <c r="X41" i="18" s="1"/>
  <c r="BL45" i="18"/>
  <c r="L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Q57" i="18"/>
  <c r="O57" i="18" s="1"/>
  <c r="CA59" i="18"/>
  <c r="U59" i="18" s="1"/>
  <c r="CA11" i="18"/>
  <c r="U11" i="18" s="1"/>
  <c r="CF12" i="18"/>
  <c r="X12" i="18" s="1"/>
  <c r="BQ33" i="18"/>
  <c r="O33" i="18" s="1"/>
  <c r="BV34" i="18"/>
  <c r="R34" i="18" s="1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L16" i="18"/>
  <c r="L16" i="18" s="1"/>
  <c r="CF16" i="18"/>
  <c r="X16" i="18" s="1"/>
  <c r="BH17" i="18"/>
  <c r="BQ17" i="18"/>
  <c r="O17" i="18" s="1"/>
  <c r="BQ24" i="18"/>
  <c r="O24" i="18" s="1"/>
  <c r="CK24" i="18" s="1"/>
  <c r="AP24" i="18" s="1"/>
  <c r="BV25" i="18"/>
  <c r="R25" i="18" s="1"/>
  <c r="CA26" i="18"/>
  <c r="U26" i="18" s="1"/>
  <c r="CF27" i="18"/>
  <c r="X27" i="18" s="1"/>
  <c r="BH30" i="18"/>
  <c r="BG35" i="18"/>
  <c r="I35" i="18" s="1"/>
  <c r="BR35" i="18"/>
  <c r="CA35" i="18"/>
  <c r="U35" i="18" s="1"/>
  <c r="BG44" i="18"/>
  <c r="I44" i="18" s="1"/>
  <c r="CA48" i="18"/>
  <c r="U48" i="18" s="1"/>
  <c r="BV53" i="18"/>
  <c r="R53" i="18" s="1"/>
  <c r="CG55" i="18"/>
  <c r="CF58" i="18"/>
  <c r="X58" i="18" s="1"/>
  <c r="BG63" i="18"/>
  <c r="I63" i="18" s="1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G30" i="18"/>
  <c r="I30" i="18" s="1"/>
  <c r="BL31" i="18"/>
  <c r="L31" i="18" s="1"/>
  <c r="BL36" i="18"/>
  <c r="L36" i="18" s="1"/>
  <c r="BW36" i="18"/>
  <c r="CF36" i="18"/>
  <c r="X36" i="18" s="1"/>
  <c r="BQ37" i="18"/>
  <c r="O37" i="18" s="1"/>
  <c r="CB37" i="18"/>
  <c r="BB38" i="18"/>
  <c r="F38" i="18" s="1"/>
  <c r="BV38" i="18"/>
  <c r="R38" i="18" s="1"/>
  <c r="CG38" i="18"/>
  <c r="BG39" i="18"/>
  <c r="I39" i="18" s="1"/>
  <c r="CG43" i="18"/>
  <c r="BC47" i="18"/>
  <c r="BV47" i="18"/>
  <c r="R47" i="18" s="1"/>
  <c r="BB54" i="18"/>
  <c r="F54" i="18" s="1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BR19" i="18"/>
  <c r="CA19" i="18"/>
  <c r="U19" i="18" s="1"/>
  <c r="BL20" i="18"/>
  <c r="L20" i="18" s="1"/>
  <c r="BW20" i="18"/>
  <c r="CF20" i="18"/>
  <c r="X20" i="18" s="1"/>
  <c r="BQ21" i="18"/>
  <c r="O21" i="18" s="1"/>
  <c r="BB22" i="18"/>
  <c r="F22" i="18" s="1"/>
  <c r="BQ32" i="18"/>
  <c r="O32" i="18" s="1"/>
  <c r="CA39" i="18"/>
  <c r="U39" i="18" s="1"/>
  <c r="BC40" i="18"/>
  <c r="BL40" i="18"/>
  <c r="L40" i="18" s="1"/>
  <c r="CF40" i="18"/>
  <c r="X40" i="18" s="1"/>
  <c r="BQ41" i="18"/>
  <c r="O41" i="18" s="1"/>
  <c r="BV43" i="18"/>
  <c r="R43" i="18" s="1"/>
  <c r="BB53" i="18"/>
  <c r="F53" i="18" s="1"/>
  <c r="BM55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BH70" i="18"/>
  <c r="BH59" i="18"/>
  <c r="BC62" i="18"/>
  <c r="BM64" i="18"/>
  <c r="BC67" i="18"/>
  <c r="BG71" i="18"/>
  <c r="I71" i="18" s="1"/>
  <c r="BV73" i="18"/>
  <c r="R73" i="18" s="1"/>
  <c r="BW73" i="18"/>
  <c r="BW92" i="18"/>
  <c r="BM98" i="18"/>
  <c r="CF68" i="18"/>
  <c r="X68" i="18" s="1"/>
  <c r="AB68" i="18" s="1"/>
  <c r="CA75" i="18"/>
  <c r="U75" i="18" s="1"/>
  <c r="BQ46" i="18"/>
  <c r="O46" i="18" s="1"/>
  <c r="BW56" i="18"/>
  <c r="CG56" i="18"/>
  <c r="BR66" i="18"/>
  <c r="BC77" i="18"/>
  <c r="BB78" i="18"/>
  <c r="F78" i="18" s="1"/>
  <c r="BQ80" i="18"/>
  <c r="O80" i="18" s="1"/>
  <c r="CB80" i="18"/>
  <c r="BC96" i="18"/>
  <c r="CF59" i="18"/>
  <c r="X59" i="18" s="1"/>
  <c r="BM61" i="18"/>
  <c r="CB64" i="18"/>
  <c r="BB73" i="18"/>
  <c r="F73" i="18" s="1"/>
  <c r="BB83" i="18"/>
  <c r="F83" i="18" s="1"/>
  <c r="CF89" i="18"/>
  <c r="X89" i="18" s="1"/>
  <c r="BL54" i="18"/>
  <c r="L54" i="18" s="1"/>
  <c r="BQ55" i="18"/>
  <c r="O55" i="18" s="1"/>
  <c r="CG57" i="18"/>
  <c r="BG58" i="18"/>
  <c r="I58" i="18" s="1"/>
  <c r="BM59" i="18"/>
  <c r="BV59" i="18"/>
  <c r="R59" i="18" s="1"/>
  <c r="CB60" i="18"/>
  <c r="BL61" i="18"/>
  <c r="L61" i="18" s="1"/>
  <c r="BG62" i="18"/>
  <c r="I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BM71" i="18"/>
  <c r="BV71" i="18"/>
  <c r="R71" i="18" s="1"/>
  <c r="CF71" i="18"/>
  <c r="X71" i="18" s="1"/>
  <c r="CA82" i="18"/>
  <c r="U82" i="18" s="1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G43" i="18"/>
  <c r="I43" i="18" s="1"/>
  <c r="BL44" i="18"/>
  <c r="L44" i="18" s="1"/>
  <c r="BQ45" i="18"/>
  <c r="O45" i="18" s="1"/>
  <c r="BC46" i="18"/>
  <c r="CG46" i="18"/>
  <c r="CA53" i="18"/>
  <c r="U53" i="18" s="1"/>
  <c r="BW54" i="18"/>
  <c r="BG55" i="18"/>
  <c r="I55" i="18" s="1"/>
  <c r="BV57" i="18"/>
  <c r="R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F79" i="18"/>
  <c r="X79" i="18" s="1"/>
  <c r="CG85" i="18"/>
  <c r="BV46" i="18"/>
  <c r="R46" i="18" s="1"/>
  <c r="BH47" i="18"/>
  <c r="CB47" i="18"/>
  <c r="BC50" i="18"/>
  <c r="BM50" i="18"/>
  <c r="BH51" i="18"/>
  <c r="BM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G90" i="18"/>
  <c r="I90" i="18" s="1"/>
  <c r="BL91" i="18"/>
  <c r="L91" i="18" s="1"/>
  <c r="BQ92" i="18"/>
  <c r="O92" i="18" s="1"/>
  <c r="BV93" i="18"/>
  <c r="R93" i="18" s="1"/>
  <c r="CA94" i="18"/>
  <c r="U94" i="18" s="1"/>
  <c r="CF95" i="18"/>
  <c r="X95" i="18" s="1"/>
  <c r="BB97" i="18"/>
  <c r="F97" i="18" s="1"/>
  <c r="BG98" i="18"/>
  <c r="I98" i="18" s="1"/>
  <c r="BL99" i="18"/>
  <c r="L99" i="18" s="1"/>
  <c r="BQ100" i="18"/>
  <c r="O100" i="18" s="1"/>
  <c r="BR65" i="18"/>
  <c r="BM68" i="18"/>
  <c r="BG74" i="18"/>
  <c r="I74" i="18" s="1"/>
  <c r="BR77" i="18"/>
  <c r="BH79" i="18"/>
  <c r="BM83" i="18"/>
  <c r="BL83" i="18"/>
  <c r="L83" i="18" s="1"/>
  <c r="BM88" i="18"/>
  <c r="CG91" i="18"/>
  <c r="BC93" i="18"/>
  <c r="BH94" i="18"/>
  <c r="BM95" i="18"/>
  <c r="BR96" i="18"/>
  <c r="BW97" i="18"/>
  <c r="CB98" i="18"/>
  <c r="CG99" i="18"/>
  <c r="BQ84" i="18"/>
  <c r="O84" i="18" s="1"/>
  <c r="BH61" i="18"/>
  <c r="BR63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CB81" i="18"/>
  <c r="BC85" i="18"/>
  <c r="BL85" i="18"/>
  <c r="L85" i="18" s="1"/>
  <c r="BV85" i="18"/>
  <c r="R85" i="18" s="1"/>
  <c r="CG88" i="18"/>
  <c r="BQ89" i="18"/>
  <c r="O89" i="18" s="1"/>
  <c r="CG90" i="18"/>
  <c r="BV42" i="18"/>
  <c r="R42" i="18" s="1"/>
  <c r="CA43" i="18"/>
  <c r="U43" i="18" s="1"/>
  <c r="CF44" i="18"/>
  <c r="X44" i="18" s="1"/>
  <c r="BL48" i="18"/>
  <c r="L48" i="18" s="1"/>
  <c r="BQ49" i="18"/>
  <c r="O49" i="18" s="1"/>
  <c r="BV50" i="18"/>
  <c r="R50" i="18" s="1"/>
  <c r="CA51" i="18"/>
  <c r="U51" i="18" s="1"/>
  <c r="BL55" i="18"/>
  <c r="L55" i="18" s="1"/>
  <c r="BB56" i="18"/>
  <c r="F56" i="18" s="1"/>
  <c r="BQ62" i="18"/>
  <c r="O62" i="18" s="1"/>
  <c r="CA64" i="18"/>
  <c r="U64" i="18" s="1"/>
  <c r="BL66" i="18"/>
  <c r="L66" i="18" s="1"/>
  <c r="CG67" i="18"/>
  <c r="BQ68" i="18"/>
  <c r="O68" i="18" s="1"/>
  <c r="CB71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C94" i="18"/>
  <c r="BG53" i="18"/>
  <c r="I53" i="18" s="1"/>
  <c r="CG53" i="18"/>
  <c r="CA57" i="18"/>
  <c r="U57" i="18" s="1"/>
  <c r="BR58" i="18"/>
  <c r="BB65" i="18"/>
  <c r="F65" i="18" s="1"/>
  <c r="BV66" i="18"/>
  <c r="R66" i="18" s="1"/>
  <c r="CG66" i="18"/>
  <c r="BV69" i="18"/>
  <c r="R69" i="18" s="1"/>
  <c r="CG72" i="18"/>
  <c r="BQ73" i="18"/>
  <c r="O73" i="18" s="1"/>
  <c r="BW74" i="18"/>
  <c r="CG74" i="18"/>
  <c r="CA78" i="18"/>
  <c r="U78" i="18" s="1"/>
  <c r="BV82" i="18"/>
  <c r="R82" i="18" s="1"/>
  <c r="CB83" i="18"/>
  <c r="BC84" i="18"/>
  <c r="CG87" i="18"/>
  <c r="CF87" i="18"/>
  <c r="X87" i="18" s="1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BM30" i="2"/>
  <c r="BB39" i="2"/>
  <c r="F39" i="2" s="1"/>
  <c r="BG42" i="2"/>
  <c r="I42" i="2" s="1"/>
  <c r="BB44" i="2"/>
  <c r="F44" i="2" s="1"/>
  <c r="BC44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BB36" i="2"/>
  <c r="F36" i="2" s="1"/>
  <c r="BV40" i="2"/>
  <c r="R40" i="2" s="1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BM37" i="2"/>
  <c r="BL37" i="2"/>
  <c r="CF41" i="2"/>
  <c r="CG41" i="2" s="1"/>
  <c r="BQ43" i="2"/>
  <c r="O43" i="2" s="1"/>
  <c r="BR46" i="2"/>
  <c r="BQ47" i="2"/>
  <c r="O47" i="2" s="1"/>
  <c r="BR47" i="2"/>
  <c r="BQ49" i="2"/>
  <c r="O49" i="2" s="1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BB28" i="2"/>
  <c r="F28" i="2" s="1"/>
  <c r="BL34" i="2"/>
  <c r="L34" i="2" s="1"/>
  <c r="CA36" i="2"/>
  <c r="U36" i="2" s="1"/>
  <c r="BL41" i="2"/>
  <c r="L41" i="2" s="1"/>
  <c r="BG47" i="2"/>
  <c r="I47" i="2" s="1"/>
  <c r="CG48" i="2"/>
  <c r="CA56" i="2"/>
  <c r="U56" i="2" s="1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3" i="2"/>
  <c r="BC34" i="2"/>
  <c r="BB35" i="2"/>
  <c r="F35" i="2" s="1"/>
  <c r="BV39" i="2"/>
  <c r="BW39" i="2" s="1"/>
  <c r="BW43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V32" i="2"/>
  <c r="R32" i="2" s="1"/>
  <c r="CG35" i="2"/>
  <c r="BR40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AB42" i="2" s="1"/>
  <c r="BG50" i="2"/>
  <c r="I50" i="2" s="1"/>
  <c r="BH52" i="2"/>
  <c r="CF53" i="2"/>
  <c r="X53" i="2" s="1"/>
  <c r="CA62" i="2"/>
  <c r="CB62" i="2" s="1"/>
  <c r="BB64" i="2"/>
  <c r="F64" i="2" s="1"/>
  <c r="BH67" i="2"/>
  <c r="BC77" i="2"/>
  <c r="BB78" i="2"/>
  <c r="BC78" i="2" s="1"/>
  <c r="CA86" i="2"/>
  <c r="CB86" i="2" s="1"/>
  <c r="BG87" i="2"/>
  <c r="I87" i="2" s="1"/>
  <c r="BB96" i="2"/>
  <c r="F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L82" i="2"/>
  <c r="L82" i="2" s="1"/>
  <c r="BH83" i="2"/>
  <c r="BG95" i="2"/>
  <c r="BH95" i="2" s="1"/>
  <c r="CG62" i="2"/>
  <c r="CF76" i="2"/>
  <c r="X76" i="2" s="1"/>
  <c r="BW55" i="2"/>
  <c r="BG59" i="2"/>
  <c r="I59" i="2" s="1"/>
  <c r="BB62" i="2"/>
  <c r="F62" i="2" s="1"/>
  <c r="BL83" i="2"/>
  <c r="BM83" i="2" s="1"/>
  <c r="BG84" i="2"/>
  <c r="I84" i="2" s="1"/>
  <c r="BQ91" i="2"/>
  <c r="O91" i="2" s="1"/>
  <c r="BL93" i="2"/>
  <c r="L93" i="2" s="1"/>
  <c r="CF94" i="2"/>
  <c r="X94" i="2" s="1"/>
  <c r="BQ100" i="2"/>
  <c r="BR100" i="2" s="1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A42" i="2"/>
  <c r="U42" i="2" s="1"/>
  <c r="BV50" i="2"/>
  <c r="R50" i="2" s="1"/>
  <c r="BC52" i="2"/>
  <c r="BB55" i="2"/>
  <c r="F55" i="2" s="1"/>
  <c r="BL55" i="2"/>
  <c r="BM55" i="2" s="1"/>
  <c r="BV58" i="2"/>
  <c r="BW58" i="2" s="1"/>
  <c r="CA64" i="2"/>
  <c r="U64" i="2" s="1"/>
  <c r="BB65" i="2"/>
  <c r="BC65" i="2" s="1"/>
  <c r="BV65" i="2"/>
  <c r="R65" i="2" s="1"/>
  <c r="CF73" i="2"/>
  <c r="X73" i="2" s="1"/>
  <c r="BH74" i="2"/>
  <c r="BG74" i="2"/>
  <c r="I74" i="2" s="1"/>
  <c r="BB75" i="2"/>
  <c r="BC75" i="2" s="1"/>
  <c r="BV76" i="2"/>
  <c r="R76" i="2" s="1"/>
  <c r="BB83" i="2"/>
  <c r="F83" i="2" s="1"/>
  <c r="BL90" i="2"/>
  <c r="L90" i="2" s="1"/>
  <c r="BV90" i="2"/>
  <c r="R90" i="2" s="1"/>
  <c r="CF97" i="2"/>
  <c r="CG97" i="2" s="1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CG27" i="2" s="1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R41" i="2" s="1"/>
  <c r="BL43" i="2"/>
  <c r="L43" i="2" s="1"/>
  <c r="CF44" i="2"/>
  <c r="CG44" i="2" s="1"/>
  <c r="CA48" i="2"/>
  <c r="U48" i="2" s="1"/>
  <c r="CF50" i="2"/>
  <c r="X50" i="2" s="1"/>
  <c r="CB54" i="2"/>
  <c r="BQ70" i="2"/>
  <c r="O70" i="2" s="1"/>
  <c r="BC87" i="2"/>
  <c r="CG87" i="2"/>
  <c r="CF87" i="2"/>
  <c r="X87" i="2" s="1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C73" i="2"/>
  <c r="BB73" i="2"/>
  <c r="F73" i="2" s="1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F100" i="2"/>
  <c r="X100" i="2" s="1"/>
  <c r="BL47" i="2"/>
  <c r="L47" i="2" s="1"/>
  <c r="BG51" i="2"/>
  <c r="I51" i="2" s="1"/>
  <c r="CF51" i="2"/>
  <c r="X51" i="2" s="1"/>
  <c r="CF52" i="2"/>
  <c r="CG52" i="2" s="1"/>
  <c r="CF57" i="2"/>
  <c r="X57" i="2" s="1"/>
  <c r="BV59" i="2"/>
  <c r="R59" i="2" s="1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C56" i="2" s="1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V82" i="2"/>
  <c r="BW82" i="2" s="1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F79" i="2"/>
  <c r="CG79" i="2" s="1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BW71" i="2" s="1"/>
  <c r="CB73" i="2"/>
  <c r="BW74" i="2"/>
  <c r="BG76" i="2"/>
  <c r="I76" i="2" s="1"/>
  <c r="BM78" i="2"/>
  <c r="BH79" i="2"/>
  <c r="CA80" i="2"/>
  <c r="U80" i="2" s="1"/>
  <c r="CG82" i="2"/>
  <c r="CB83" i="2"/>
  <c r="BL85" i="2"/>
  <c r="BM85" i="2" s="1"/>
  <c r="BR87" i="2"/>
  <c r="BM88" i="2"/>
  <c r="CF89" i="2"/>
  <c r="X89" i="2" s="1"/>
  <c r="BC92" i="2"/>
  <c r="BQ94" i="2"/>
  <c r="O94" i="2" s="1"/>
  <c r="BW96" i="2"/>
  <c r="BB99" i="2"/>
  <c r="F99" i="2" s="1"/>
  <c r="BH55" i="2"/>
  <c r="CB59" i="2"/>
  <c r="BH63" i="2"/>
  <c r="CG63" i="2"/>
  <c r="CF63" i="2"/>
  <c r="X63" i="2" s="1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V85" i="2"/>
  <c r="BW85" i="2" s="1"/>
  <c r="CG85" i="2"/>
  <c r="BL88" i="2"/>
  <c r="BG90" i="2"/>
  <c r="BH90" i="2" s="1"/>
  <c r="BR90" i="2"/>
  <c r="CF92" i="2"/>
  <c r="X92" i="2" s="1"/>
  <c r="CA94" i="2"/>
  <c r="CB94" i="2" s="1"/>
  <c r="BQ97" i="2"/>
  <c r="O97" i="2" s="1"/>
  <c r="BL99" i="2"/>
  <c r="BM99" i="2" s="1"/>
  <c r="BW99" i="2"/>
  <c r="BC95" i="2"/>
  <c r="CB100" i="2"/>
  <c r="I2" i="2"/>
  <c r="L32" i="2"/>
  <c r="F100" i="2"/>
  <c r="F20" i="2"/>
  <c r="O29" i="2"/>
  <c r="L51" i="2"/>
  <c r="U31" i="2"/>
  <c r="U6" i="2"/>
  <c r="I43" i="2"/>
  <c r="X30" i="2"/>
  <c r="U40" i="2"/>
  <c r="O81" i="2"/>
  <c r="F91" i="2"/>
  <c r="X15" i="2"/>
  <c r="F3" i="2"/>
  <c r="F25" i="2"/>
  <c r="I66" i="2"/>
  <c r="U66" i="2"/>
  <c r="F75" i="2"/>
  <c r="O46" i="2"/>
  <c r="F51" i="2"/>
  <c r="U58" i="2"/>
  <c r="U90" i="2"/>
  <c r="R4" i="2"/>
  <c r="I58" i="2"/>
  <c r="F65" i="2"/>
  <c r="U99" i="2"/>
  <c r="F11" i="2"/>
  <c r="R22" i="2"/>
  <c r="R27" i="2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R36" i="2"/>
  <c r="R38" i="2"/>
  <c r="U54" i="2"/>
  <c r="O78" i="2"/>
  <c r="F86" i="2"/>
  <c r="U86" i="2"/>
  <c r="L88" i="2"/>
  <c r="R98" i="2"/>
  <c r="U35" i="2"/>
  <c r="L67" i="2"/>
  <c r="O86" i="2"/>
  <c r="O33" i="2"/>
  <c r="R47" i="2"/>
  <c r="I52" i="2"/>
  <c r="O60" i="2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95" i="2"/>
  <c r="X99" i="2"/>
  <c r="X36" i="2"/>
  <c r="F78" i="2"/>
  <c r="O84" i="2"/>
  <c r="L85" i="2"/>
  <c r="AB85" i="2" s="1"/>
  <c r="R85" i="2"/>
  <c r="I86" i="2"/>
  <c r="R95" i="2"/>
  <c r="I31" i="2"/>
  <c r="O38" i="2"/>
  <c r="F43" i="2"/>
  <c r="U45" i="2"/>
  <c r="X46" i="2"/>
  <c r="F48" i="2"/>
  <c r="I49" i="2"/>
  <c r="L50" i="2"/>
  <c r="O51" i="2"/>
  <c r="U55" i="2"/>
  <c r="R58" i="2"/>
  <c r="U59" i="2"/>
  <c r="R71" i="2"/>
  <c r="L95" i="2"/>
  <c r="L83" i="2"/>
  <c r="O92" i="2"/>
  <c r="F97" i="2"/>
  <c r="L40" i="2"/>
  <c r="R42" i="2"/>
  <c r="U43" i="2"/>
  <c r="X44" i="2"/>
  <c r="F46" i="2"/>
  <c r="L48" i="2"/>
  <c r="U51" i="2"/>
  <c r="O57" i="2"/>
  <c r="CK57" i="2" s="1"/>
  <c r="AP57" i="2" s="1"/>
  <c r="F59" i="2"/>
  <c r="L59" i="2"/>
  <c r="X60" i="2"/>
  <c r="R63" i="2"/>
  <c r="O65" i="2"/>
  <c r="U72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CB22" i="18" l="1"/>
  <c r="U61" i="18"/>
  <c r="BH93" i="18"/>
  <c r="AB58" i="18"/>
  <c r="CG68" i="18"/>
  <c r="CK40" i="18"/>
  <c r="AP40" i="18" s="1"/>
  <c r="BH44" i="18"/>
  <c r="I91" i="18"/>
  <c r="CK91" i="18" s="1"/>
  <c r="AP91" i="18" s="1"/>
  <c r="BH36" i="18"/>
  <c r="R86" i="18"/>
  <c r="AB86" i="18" s="1"/>
  <c r="BC82" i="18"/>
  <c r="BC65" i="18"/>
  <c r="BR81" i="18"/>
  <c r="BM67" i="18"/>
  <c r="BC70" i="18"/>
  <c r="CB94" i="18"/>
  <c r="CB82" i="18"/>
  <c r="BH58" i="18"/>
  <c r="BC73" i="18"/>
  <c r="BC78" i="18"/>
  <c r="BC54" i="18"/>
  <c r="BC38" i="18"/>
  <c r="CG65" i="18"/>
  <c r="BR17" i="18"/>
  <c r="BH22" i="18"/>
  <c r="BC37" i="18"/>
  <c r="X30" i="18"/>
  <c r="AB30" i="18" s="1"/>
  <c r="R32" i="18"/>
  <c r="CK32" i="18" s="1"/>
  <c r="AP32" i="18" s="1"/>
  <c r="X31" i="18"/>
  <c r="F79" i="18"/>
  <c r="CK79" i="18" s="1"/>
  <c r="AP79" i="18" s="1"/>
  <c r="U65" i="18"/>
  <c r="F52" i="18"/>
  <c r="CB85" i="18"/>
  <c r="CG19" i="18"/>
  <c r="O79" i="18"/>
  <c r="CK47" i="18"/>
  <c r="AP47" i="18" s="1"/>
  <c r="CK68" i="18"/>
  <c r="AP68" i="18" s="1"/>
  <c r="BC91" i="18"/>
  <c r="CK88" i="18"/>
  <c r="AP88" i="18" s="1"/>
  <c r="I100" i="18"/>
  <c r="CK100" i="18" s="1"/>
  <c r="AP100" i="18" s="1"/>
  <c r="F42" i="18"/>
  <c r="L42" i="18"/>
  <c r="O51" i="18"/>
  <c r="BW77" i="18"/>
  <c r="BW90" i="18"/>
  <c r="CG71" i="18"/>
  <c r="CG49" i="18"/>
  <c r="CB73" i="18"/>
  <c r="BW42" i="18"/>
  <c r="CG59" i="18"/>
  <c r="BM16" i="18"/>
  <c r="CG60" i="18"/>
  <c r="BW98" i="18"/>
  <c r="BM99" i="18"/>
  <c r="BH90" i="18"/>
  <c r="AB57" i="18"/>
  <c r="AB61" i="18"/>
  <c r="CB53" i="18"/>
  <c r="BH71" i="18"/>
  <c r="CB21" i="18"/>
  <c r="CK36" i="18"/>
  <c r="AP36" i="18" s="1"/>
  <c r="BM27" i="18"/>
  <c r="BR40" i="18"/>
  <c r="BM39" i="18"/>
  <c r="AB28" i="18"/>
  <c r="I52" i="18"/>
  <c r="CK52" i="18" s="1"/>
  <c r="AP52" i="18" s="1"/>
  <c r="BW31" i="18"/>
  <c r="BH88" i="18"/>
  <c r="O70" i="18"/>
  <c r="CK70" i="18" s="1"/>
  <c r="AP70" i="18" s="1"/>
  <c r="BC12" i="18"/>
  <c r="O60" i="18"/>
  <c r="X32" i="18"/>
  <c r="AB45" i="18"/>
  <c r="CB57" i="18"/>
  <c r="CG48" i="18"/>
  <c r="CK45" i="18"/>
  <c r="AP45" i="18" s="1"/>
  <c r="CK84" i="18"/>
  <c r="AP84" i="18" s="1"/>
  <c r="BR55" i="18"/>
  <c r="BW47" i="18"/>
  <c r="CG58" i="18"/>
  <c r="BM32" i="18"/>
  <c r="AB50" i="18"/>
  <c r="CB67" i="18"/>
  <c r="CK39" i="18"/>
  <c r="AP39" i="18" s="1"/>
  <c r="CG27" i="18"/>
  <c r="F55" i="18"/>
  <c r="CK55" i="18" s="1"/>
  <c r="AP55" i="18" s="1"/>
  <c r="BH77" i="18"/>
  <c r="BW80" i="18"/>
  <c r="BM65" i="18"/>
  <c r="CK42" i="18"/>
  <c r="AP42" i="18" s="1"/>
  <c r="BM58" i="18"/>
  <c r="BH18" i="18"/>
  <c r="BR57" i="18"/>
  <c r="BM45" i="18"/>
  <c r="BM48" i="18"/>
  <c r="BR84" i="18"/>
  <c r="X29" i="18"/>
  <c r="CK69" i="18"/>
  <c r="AP69" i="18" s="1"/>
  <c r="CB97" i="18"/>
  <c r="BR95" i="18"/>
  <c r="BR68" i="18"/>
  <c r="CK49" i="18"/>
  <c r="AP49" i="18" s="1"/>
  <c r="CG52" i="18"/>
  <c r="CK59" i="18"/>
  <c r="AP59" i="18" s="1"/>
  <c r="BR80" i="18"/>
  <c r="CB75" i="18"/>
  <c r="CB48" i="18"/>
  <c r="BR24" i="18"/>
  <c r="BH31" i="18"/>
  <c r="CB39" i="18"/>
  <c r="CG33" i="18"/>
  <c r="CG21" i="18"/>
  <c r="BR94" i="18"/>
  <c r="BM37" i="18"/>
  <c r="BW66" i="18"/>
  <c r="BW43" i="18"/>
  <c r="R62" i="18"/>
  <c r="CK62" i="18" s="1"/>
  <c r="AP62" i="18" s="1"/>
  <c r="BW46" i="18"/>
  <c r="BW57" i="18"/>
  <c r="CK46" i="18"/>
  <c r="AP46" i="18" s="1"/>
  <c r="AB24" i="18"/>
  <c r="BW53" i="18"/>
  <c r="BW29" i="18"/>
  <c r="AB19" i="18"/>
  <c r="BW39" i="18"/>
  <c r="AB27" i="2"/>
  <c r="CK63" i="2"/>
  <c r="AP63" i="2" s="1"/>
  <c r="BW50" i="2"/>
  <c r="BC55" i="2"/>
  <c r="BM42" i="2"/>
  <c r="I62" i="2"/>
  <c r="BC90" i="2"/>
  <c r="F40" i="2"/>
  <c r="U94" i="2"/>
  <c r="AB94" i="2" s="1"/>
  <c r="CK60" i="2"/>
  <c r="AP60" i="2" s="1"/>
  <c r="O25" i="2"/>
  <c r="L79" i="2"/>
  <c r="AB84" i="2"/>
  <c r="BM29" i="2"/>
  <c r="BR93" i="2"/>
  <c r="X78" i="2"/>
  <c r="F47" i="2"/>
  <c r="I81" i="2"/>
  <c r="O62" i="2"/>
  <c r="CG33" i="2"/>
  <c r="I28" i="2"/>
  <c r="X45" i="2"/>
  <c r="BC72" i="2"/>
  <c r="BM38" i="2"/>
  <c r="BH41" i="2"/>
  <c r="F66" i="2"/>
  <c r="R80" i="2"/>
  <c r="CK80" i="2" s="1"/>
  <c r="AP80" i="2" s="1"/>
  <c r="O28" i="2"/>
  <c r="BM77" i="2"/>
  <c r="CK42" i="2"/>
  <c r="AP42" i="2" s="1"/>
  <c r="CG100" i="2"/>
  <c r="CB42" i="2"/>
  <c r="X52" i="2"/>
  <c r="BW62" i="2"/>
  <c r="CK27" i="2"/>
  <c r="AP27" i="2" s="1"/>
  <c r="BM82" i="2"/>
  <c r="BR31" i="2"/>
  <c r="BW28" i="2"/>
  <c r="CB47" i="2"/>
  <c r="BR48" i="2"/>
  <c r="BC62" i="2"/>
  <c r="CK53" i="2"/>
  <c r="AP53" i="2" s="1"/>
  <c r="AB28" i="2"/>
  <c r="BM68" i="2"/>
  <c r="CB50" i="2"/>
  <c r="F56" i="2"/>
  <c r="AB56" i="2" s="1"/>
  <c r="X38" i="2"/>
  <c r="BR97" i="2"/>
  <c r="BR49" i="2"/>
  <c r="AB72" i="2"/>
  <c r="X41" i="2"/>
  <c r="U62" i="2"/>
  <c r="AB62" i="2" s="1"/>
  <c r="X16" i="2"/>
  <c r="CB46" i="2"/>
  <c r="BR94" i="2"/>
  <c r="CG53" i="2"/>
  <c r="CG26" i="2"/>
  <c r="CG31" i="2"/>
  <c r="BW57" i="2"/>
  <c r="O96" i="2"/>
  <c r="CK96" i="2" s="1"/>
  <c r="AP96" i="2" s="1"/>
  <c r="BR99" i="2"/>
  <c r="BH64" i="2"/>
  <c r="AB32" i="2"/>
  <c r="O41" i="2"/>
  <c r="CK41" i="2" s="1"/>
  <c r="AP41" i="2" s="1"/>
  <c r="R52" i="2"/>
  <c r="R61" i="2"/>
  <c r="CG92" i="2"/>
  <c r="BC99" i="2"/>
  <c r="AB87" i="2"/>
  <c r="BR70" i="2"/>
  <c r="O95" i="2"/>
  <c r="CB56" i="2"/>
  <c r="U30" i="2"/>
  <c r="CK30" i="2" s="1"/>
  <c r="AP30" i="2" s="1"/>
  <c r="CB36" i="2"/>
  <c r="L9" i="2"/>
  <c r="BH21" i="2"/>
  <c r="I22" i="2"/>
  <c r="AB22" i="2" s="1"/>
  <c r="O6" i="2"/>
  <c r="BR21" i="2"/>
  <c r="L19" i="2"/>
  <c r="L15" i="2"/>
  <c r="F15" i="2"/>
  <c r="CK15" i="2" s="1"/>
  <c r="AP15" i="2" s="1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AB52" i="18"/>
  <c r="CK27" i="18"/>
  <c r="AP27" i="18" s="1"/>
  <c r="AB27" i="18"/>
  <c r="AB69" i="18"/>
  <c r="BH74" i="18"/>
  <c r="AB100" i="18"/>
  <c r="CK7" i="18"/>
  <c r="AP7" i="18" s="1"/>
  <c r="AB7" i="18"/>
  <c r="CK21" i="18"/>
  <c r="AP21" i="18" s="1"/>
  <c r="AB21" i="18"/>
  <c r="AB95" i="18"/>
  <c r="CK95" i="18"/>
  <c r="AP95" i="18" s="1"/>
  <c r="CK80" i="18"/>
  <c r="AP80" i="18" s="1"/>
  <c r="AB80" i="18"/>
  <c r="BM80" i="18"/>
  <c r="AB98" i="18"/>
  <c r="AB79" i="18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BH35" i="18"/>
  <c r="BC18" i="18"/>
  <c r="BW26" i="18"/>
  <c r="AB40" i="18"/>
  <c r="CK50" i="18"/>
  <c r="AP50" i="18" s="1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AB34" i="2" s="1"/>
  <c r="L23" i="2"/>
  <c r="CK23" i="2" s="1"/>
  <c r="AP23" i="2" s="1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AB45" i="2" s="1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68" i="2" s="1"/>
  <c r="AP68" i="2" s="1"/>
  <c r="CK35" i="2"/>
  <c r="AP35" i="2" s="1"/>
  <c r="I92" i="2"/>
  <c r="AB92" i="2" s="1"/>
  <c r="F38" i="2"/>
  <c r="CK38" i="2" s="1"/>
  <c r="AP38" i="2" s="1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AB60" i="2"/>
  <c r="AB57" i="2"/>
  <c r="AB49" i="2"/>
  <c r="CK92" i="2"/>
  <c r="AP92" i="2" s="1"/>
  <c r="AB31" i="2"/>
  <c r="AB50" i="2"/>
  <c r="CK50" i="2"/>
  <c r="AP50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91" i="2"/>
  <c r="AP91" i="2" s="1"/>
  <c r="AB91" i="2"/>
  <c r="AB97" i="2"/>
  <c r="CK97" i="2"/>
  <c r="AP97" i="2" s="1"/>
  <c r="AB15" i="2"/>
  <c r="AB68" i="2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CK34" i="2"/>
  <c r="AP34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17" i="2"/>
  <c r="AB30" i="2"/>
  <c r="AB23" i="2"/>
  <c r="BS1" i="2"/>
  <c r="BO1" i="2"/>
  <c r="AB2" i="2"/>
  <c r="CK2" i="2"/>
  <c r="AP2" i="2" s="1"/>
  <c r="BM2" i="2"/>
  <c r="CK30" i="18" l="1"/>
  <c r="AP30" i="18" s="1"/>
  <c r="AB32" i="18"/>
  <c r="CK86" i="18"/>
  <c r="AP86" i="18" s="1"/>
  <c r="AB91" i="18"/>
  <c r="AB62" i="18"/>
  <c r="CK70" i="2"/>
  <c r="AP70" i="2" s="1"/>
  <c r="AB11" i="2"/>
  <c r="CK45" i="2"/>
  <c r="AP45" i="2" s="1"/>
  <c r="CK56" i="2"/>
  <c r="AP56" i="2" s="1"/>
  <c r="CK22" i="2"/>
  <c r="AP22" i="2" s="1"/>
  <c r="AB41" i="2"/>
  <c r="AB14" i="2"/>
  <c r="CK94" i="2"/>
  <c r="AP94" i="2" s="1"/>
  <c r="AB64" i="2"/>
  <c r="CK28" i="2"/>
  <c r="AP28" i="2" s="1"/>
  <c r="CK19" i="2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F3" i="12"/>
  <c r="C3" i="12"/>
  <c r="I3" i="12"/>
  <c r="E3" i="12"/>
  <c r="G3" i="12" s="1"/>
  <c r="AR3" i="12"/>
  <c r="AE3" i="12"/>
  <c r="J3" i="12"/>
  <c r="AG3" i="12"/>
  <c r="AH3" i="12"/>
  <c r="AS3" i="12"/>
  <c r="A4" i="12" a="1"/>
  <c r="AQ3" i="12" l="1"/>
  <c r="S3" i="12" s="1"/>
  <c r="D3" i="12"/>
  <c r="Z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4" i="12"/>
  <c r="AI3" i="12" l="1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U11" i="12" l="1"/>
  <c r="N11" i="12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T27" i="12" l="1"/>
  <c r="Q27" i="12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S38" i="12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R151" i="12" s="1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O151" i="12" l="1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V168" i="12" l="1"/>
  <c r="P168" i="12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N191" i="12" s="1"/>
  <c r="A192" i="12" a="1"/>
  <c r="Q191" i="12" l="1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O235" i="12" s="1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V235" i="12" l="1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T238" i="12" s="1"/>
  <c r="A239" i="12" a="1"/>
  <c r="R238" i="12" l="1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N243" i="12" l="1"/>
  <c r="R243" i="12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V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Q293" i="12" s="1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T293" i="12" l="1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V297" i="12" s="1"/>
  <c r="A298" i="12" a="1"/>
  <c r="U297" i="12" l="1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<sst xmlns="http://schemas.openxmlformats.org/spreadsheetml/2006/main" count="2526" uniqueCount="1513">
  <si>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</si>
  <si>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</si>
  <si>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</si>
  <si>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</si>
  <si>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</si>
  <si>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</si>
  <si>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</si>
  <si>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</si>
  <si>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</si>
  <si>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</si>
  <si>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</si>
  <si>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</si>
  <si>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</si>
  <si>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</si>
  <si>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</si>
  <si>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</si>
  <si>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</si>
  <si>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</si>
  <si>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</si>
  <si>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</si>
  <si>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</si>
  <si>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</si>
  <si>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</si>
  <si>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</si>
  <si>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</si>
  <si>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</si>
  <si>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</si>
  <si>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</si>
  <si>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</si>
  <si>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</si>
  <si>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</si>
  <si>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</si>
  <si>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</si>
  <si>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</si>
  <si>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</si>
  <si>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</si>
  <si>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</si>
  <si>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</si>
  <si>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</si>
  <si>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</si>
  <si>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</si>
  <si>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</si>
  <si>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</si>
  <si>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</si>
  <si>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</si>
  <si>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</si>
  <si>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</si>
  <si>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</si>
  <si>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</si>
  <si>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</si>
  <si>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</si>
  <si>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</si>
  <si>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</si>
  <si>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</si>
  <si>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</si>
  <si>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</si>
  <si>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</si>
  <si>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</si>
  <si>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</si>
  <si>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</si>
  <si>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</si>
  <si>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</si>
  <si>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</si>
  <si>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</si>
  <si>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</si>
  <si>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</si>
  <si>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</si>
  <si>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</si>
  <si>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</si>
  <si>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</si>
  <si>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</si>
  <si>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</si>
  <si>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</si>
  <si>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</si>
  <si>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</si>
  <si>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</si>
  <si>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</si>
  <si>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</si>
  <si>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</si>
  <si>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</si>
  <si>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</si>
  <si>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</si>
  <si>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</si>
  <si>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</si>
  <si>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</si>
  <si>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</si>
  <si>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</si>
  <si>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</si>
  <si>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</si>
  <si>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</si>
  <si>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</si>
  <si>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</si>
  <si>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</si>
  <si>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</si>
  <si>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</si>
  <si>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</si>
  <si>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</si>
  <si>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</si>
  <si>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</si>
  <si>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</si>
  <si>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</si>
  <si>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</si>
  <si>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</si>
  <si>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</si>
  <si>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</si>
  <si>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</si>
  <si>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</si>
  <si>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</si>
  <si>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</si>
  <si>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</si>
  <si>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</si>
  <si>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</si>
  <si>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</si>
  <si>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</si>
  <si>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</si>
  <si>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</si>
  <si>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</si>
  <si>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</si>
  <si>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</si>
  <si>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</si>
  <si>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</si>
  <si>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</si>
  <si>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</si>
  <si>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</si>
  <si>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</si>
  <si>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</si>
  <si>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</si>
  <si>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</si>
  <si>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</si>
  <si>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</si>
  <si>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</si>
  <si>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</si>
  <si>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</si>
  <si>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</si>
  <si>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</si>
  <si>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</si>
  <si>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</si>
  <si>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</si>
  <si>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</si>
  <si>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</si>
  <si>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</si>
  <si>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</si>
  <si>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</si>
  <si>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</si>
  <si>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</si>
  <si>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</si>
  <si>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</si>
  <si>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</si>
  <si>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</si>
  <si>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</si>
  <si>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</si>
  <si>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</si>
  <si>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</si>
  <si>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</si>
  <si>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</si>
  <si>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</si>
  <si>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</si>
  <si>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</si>
  <si>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</si>
  <si>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</si>
  <si>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</si>
  <si>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</si>
  <si>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</si>
  <si>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</si>
  <si>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</si>
  <si>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</si>
  <si>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</si>
  <si>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</si>
  <si>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</si>
  <si>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</si>
  <si>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</si>
  <si>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</si>
  <si>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</si>
  <si>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</si>
  <si>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</si>
  <si>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</si>
  <si>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</si>
  <si>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</si>
  <si>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</si>
  <si>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</si>
  <si>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</si>
  <si>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</si>
  <si>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</si>
  <si>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</si>
  <si>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</si>
  <si>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</si>
  <si>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</si>
  <si>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</si>
  <si>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</si>
  <si>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</si>
  <si>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</si>
  <si>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</si>
  <si>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</si>
  <si>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</si>
  <si>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</si>
  <si>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</si>
  <si>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</si>
  <si>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</si>
  <si>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</si>
  <si>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</si>
  <si>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</si>
  <si>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</si>
  <si>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</si>
  <si>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</si>
  <si>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</si>
  <si>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</si>
  <si>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</si>
  <si>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</si>
  <si>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</si>
  <si>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</si>
  <si>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</si>
  <si>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</si>
  <si>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</si>
  <si>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</si>
  <si>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</si>
  <si>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</si>
  <si>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</si>
  <si>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</si>
  <si>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</si>
  <si>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</si>
  <si>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</si>
  <si>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</si>
  <si>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</si>
  <si>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</si>
  <si>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</si>
  <si>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</si>
  <si>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</si>
  <si>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</si>
  <si>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</si>
  <si>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</si>
  <si>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</si>
  <si>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</si>
  <si>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</si>
  <si>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</si>
  <si>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</si>
  <si>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</si>
  <si>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</si>
  <si>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</si>
  <si>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</si>
  <si>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</si>
  <si>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</si>
  <si>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</si>
  <si>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</si>
  <si>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</si>
  <si>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</si>
  <si>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</si>
  <si>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</si>
  <si>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</si>
  <si>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</si>
  <si>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</si>
  <si>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</si>
  <si>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</si>
  <si>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</si>
  <si>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</si>
  <si>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</si>
  <si>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</si>
  <si>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</si>
  <si>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</si>
  <si>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</si>
  <si>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</si>
  <si>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</si>
  <si>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</si>
  <si>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</si>
  <si>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</si>
  <si>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</si>
  <si>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</si>
  <si>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</si>
  <si>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</si>
  <si>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</si>
  <si>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</si>
  <si>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</si>
  <si>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</si>
  <si>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</si>
  <si>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</si>
  <si>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</si>
  <si>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</si>
  <si>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</si>
  <si>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</si>
  <si>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</si>
  <si>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</si>
  <si>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</si>
  <si>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</si>
  <si>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</si>
  <si>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</si>
  <si>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</si>
  <si>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</si>
  <si>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</si>
  <si>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</si>
  <si>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</si>
  <si>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</si>
  <si>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</si>
  <si>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</si>
  <si>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</si>
  <si>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</si>
  <si>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</si>
  <si>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</si>
  <si>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</si>
  <si>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</si>
  <si>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</si>
  <si>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</si>
  <si>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</si>
  <si>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</si>
  <si>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</si>
  <si>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</si>
  <si>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</si>
  <si>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</si>
  <si>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</si>
  <si>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</si>
  <si>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</si>
  <si>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</si>
  <si>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</si>
  <si>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</si>
  <si>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</si>
  <si>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</si>
  <si>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</si>
  <si>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</si>
  <si>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</si>
  <si>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</si>
  <si>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</si>
  <si>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</si>
  <si>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</si>
  <si>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</si>
  <si>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</si>
  <si>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</si>
  <si>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</si>
  <si>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</si>
  <si>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</si>
  <si>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</si>
  <si>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</si>
  <si>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</si>
  <si>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</si>
  <si>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</si>
  <si>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</si>
  <si>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</si>
  <si>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</si>
  <si>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</si>
  <si>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</si>
  <si>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</si>
  <si>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</si>
  <si>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</si>
  <si>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</si>
  <si>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</si>
  <si>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</si>
  <si>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</si>
  <si>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</si>
  <si>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</si>
  <si>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</si>
  <si>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</si>
  <si>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</si>
  <si>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</si>
  <si>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</si>
  <si>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</si>
  <si>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</si>
  <si>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</si>
  <si>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</si>
  <si>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</si>
  <si>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</si>
  <si>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</si>
  <si>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</si>
  <si>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</si>
  <si>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</si>
  <si>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</si>
  <si>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</si>
  <si>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</si>
  <si>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</si>
  <si>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</si>
  <si>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</si>
  <si>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</si>
  <si>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</si>
  <si>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</si>
  <si>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</si>
  <si>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</si>
  <si>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</si>
  <si>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</si>
  <si>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</si>
  <si>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</si>
  <si>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</si>
  <si>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</si>
  <si>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</si>
  <si>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</si>
  <si>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</si>
  <si>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</si>
  <si>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</si>
  <si>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</si>
  <si>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</si>
  <si>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</si>
  <si>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</si>
  <si>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</si>
  <si>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</si>
  <si>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</si>
  <si>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</si>
  <si>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</si>
  <si>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</si>
  <si>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</si>
  <si>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</si>
  <si>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</si>
  <si>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</si>
  <si>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</si>
  <si>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</si>
  <si>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</si>
  <si>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</si>
  <si>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</si>
  <si>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</si>
  <si>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</si>
  <si>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</si>
  <si>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</si>
  <si>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</si>
  <si>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</si>
  <si>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</si>
  <si>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</si>
  <si>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</si>
  <si>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</si>
  <si>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</si>
  <si>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</si>
  <si>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</si>
  <si>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</si>
  <si>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</si>
  <si>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</si>
  <si>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</si>
  <si>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</si>
  <si>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</si>
  <si>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</si>
  <si>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</si>
  <si>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</si>
  <si>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</si>
  <si>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</si>
  <si>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</si>
  <si>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</si>
  <si>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</si>
  <si>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</si>
  <si>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</si>
  <si>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</si>
  <si>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</si>
  <si>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</si>
  <si>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</si>
  <si>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</si>
  <si>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</si>
  <si>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</si>
  <si>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</si>
  <si>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</si>
  <si>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</si>
  <si>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</si>
  <si>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</si>
  <si>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</si>
  <si>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</si>
  <si>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</si>
  <si>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</si>
  <si>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</si>
  <si>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</si>
  <si>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</si>
  <si>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</si>
  <si>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</si>
  <si>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</si>
  <si>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</si>
  <si>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</si>
  <si>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</si>
  <si>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</si>
  <si>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</si>
  <si>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</si>
  <si>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</si>
  <si>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</si>
  <si>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</si>
  <si>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</si>
  <si>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</si>
  <si>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</si>
  <si>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</si>
  <si>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</si>
  <si>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</si>
  <si>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</si>
  <si>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</si>
  <si>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</si>
  <si>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</si>
  <si>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</si>
  <si>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</si>
  <si>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</si>
  <si>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</si>
  <si>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</si>
  <si>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</si>
  <si>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</si>
  <si>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</si>
  <si>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</si>
  <si>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</si>
  <si>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</si>
  <si>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</si>
  <si>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</si>
  <si>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</si>
  <si>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</si>
  <si>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</si>
  <si>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</si>
  <si>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</si>
  <si>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</si>
  <si>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</si>
  <si>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</si>
  <si>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</si>
  <si>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</si>
  <si>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</si>
  <si>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</si>
  <si>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</si>
  <si>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</si>
  <si>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</si>
  <si>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</si>
  <si>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</si>
  <si>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</si>
  <si>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</si>
  <si>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</si>
  <si>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</si>
  <si>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</si>
  <si>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</si>
  <si>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</si>
  <si>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</si>
  <si>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</si>
  <si>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</si>
  <si>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</si>
  <si>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</si>
  <si>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</si>
  <si>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</si>
  <si>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</si>
  <si>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</si>
  <si>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</si>
  <si>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</si>
  <si>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</si>
  <si>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</si>
  <si>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</si>
  <si>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</si>
  <si>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</si>
  <si>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</si>
  <si>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</si>
  <si>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</si>
  <si>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</si>
  <si>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</si>
  <si>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</si>
  <si>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</si>
  <si>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</si>
  <si>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</si>
  <si>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</si>
  <si>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</si>
  <si>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</si>
  <si>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</si>
  <si>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</si>
  <si>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</si>
  <si>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</si>
  <si>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</si>
  <si>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</si>
  <si>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</si>
  <si>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</si>
  <si>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</si>
  <si>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</si>
  <si>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</si>
  <si>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</si>
  <si>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</si>
  <si>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</si>
  <si>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</si>
  <si>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</si>
  <si>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</si>
  <si>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</si>
  <si>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</si>
  <si>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</si>
  <si>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</si>
  <si>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</si>
  <si>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</si>
  <si>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</si>
  <si>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</si>
  <si>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</si>
  <si>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</si>
  <si>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</si>
  <si>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</si>
  <si>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</si>
  <si>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</si>
  <si>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</si>
  <si>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</si>
  <si>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</si>
  <si>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</si>
  <si>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</si>
  <si>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</si>
  <si>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</si>
  <si>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</si>
  <si>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</si>
  <si>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</si>
  <si>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</si>
  <si>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</si>
  <si>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</si>
  <si>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</si>
  <si>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</si>
  <si>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</si>
  <si>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</si>
  <si>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</si>
  <si>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</si>
  <si>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</si>
  <si>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</si>
  <si>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</si>
  <si>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</si>
  <si>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</si>
  <si>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</si>
  <si>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</si>
  <si>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</si>
  <si>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</si>
  <si>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</si>
  <si>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</si>
  <si>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</si>
  <si>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</si>
  <si>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</si>
  <si>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</si>
  <si>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</si>
  <si>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</si>
  <si>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</si>
  <si>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</si>
  <si>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</si>
  <si>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</si>
  <si>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</si>
  <si>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</si>
  <si>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</si>
  <si>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</si>
  <si>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</si>
  <si>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</si>
  <si>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</si>
  <si>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</si>
  <si>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</si>
  <si>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</si>
  <si>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</si>
  <si>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</si>
  <si>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</si>
  <si>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</si>
  <si>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</si>
  <si>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</si>
  <si>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</si>
  <si>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</si>
  <si>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</si>
  <si>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</si>
  <si>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</si>
  <si>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</si>
  <si>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</si>
  <si>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</si>
  <si>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</si>
  <si>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</si>
  <si>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</si>
  <si>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</si>
  <si>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</si>
  <si>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</si>
  <si>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</si>
  <si>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</si>
  <si>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</si>
  <si>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</si>
  <si>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</si>
  <si>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</si>
  <si>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</si>
  <si>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</si>
  <si>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</si>
  <si>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</si>
  <si>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</si>
  <si>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</si>
  <si>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</si>
  <si>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</si>
  <si>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</si>
  <si>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</si>
  <si>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</si>
  <si>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</si>
  <si>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</si>
  <si>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</si>
  <si>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</si>
  <si>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</si>
  <si>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</si>
  <si>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</si>
  <si>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</si>
  <si>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</si>
  <si>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</si>
  <si>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</si>
  <si>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</si>
  <si>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</si>
  <si>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</si>
  <si>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</si>
  <si>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</si>
  <si>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</si>
  <si>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</si>
  <si>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</si>
  <si>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</si>
  <si>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</si>
  <si>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</si>
  <si>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</si>
  <si>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</si>
  <si>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</si>
  <si>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</si>
  <si>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</si>
  <si>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</si>
  <si>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</si>
  <si>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</si>
  <si>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</si>
  <si>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</si>
  <si>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</si>
  <si>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</si>
  <si>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</si>
  <si>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</si>
  <si>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</si>
  <si>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</si>
  <si>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</si>
  <si>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</si>
  <si>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</si>
  <si>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</si>
  <si>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</si>
  <si>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</si>
  <si>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</si>
  <si>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</si>
  <si>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</si>
  <si>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</si>
  <si>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</si>
  <si>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</si>
  <si>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</si>
  <si>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</si>
  <si>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</si>
  <si>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</si>
  <si>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</si>
  <si>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</si>
  <si>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</si>
  <si>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</si>
  <si>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</si>
  <si>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</si>
  <si>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</si>
  <si>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</si>
  <si>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</si>
  <si>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</si>
  <si>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</si>
  <si>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</si>
  <si>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</si>
  <si>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</si>
  <si>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</si>
  <si>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</si>
  <si>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</si>
  <si>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</si>
  <si>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</si>
  <si>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</si>
  <si>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</si>
  <si>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</si>
  <si>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</si>
  <si>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</si>
  <si>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</si>
  <si>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</si>
  <si>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</si>
  <si>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</si>
  <si>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</si>
  <si>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</si>
  <si>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</si>
  <si>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</si>
  <si>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</si>
  <si>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</si>
  <si>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</si>
  <si>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</si>
  <si>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</si>
  <si>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</si>
  <si>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</si>
  <si>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</si>
  <si>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</si>
  <si>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</si>
  <si>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</si>
  <si>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</si>
  <si>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</si>
  <si>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</si>
  <si>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</si>
  <si>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</si>
  <si>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</si>
  <si>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</si>
  <si>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</si>
  <si>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</si>
  <si>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</si>
  <si>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</si>
  <si>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</si>
  <si>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</si>
  <si>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</si>
  <si>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</si>
  <si>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</si>
  <si>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</si>
  <si>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</si>
  <si>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</si>
  <si>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</si>
  <si>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</si>
  <si>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</si>
  <si>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</si>
  <si>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</si>
  <si>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</si>
  <si>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</si>
  <si>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</si>
  <si>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</si>
  <si>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</si>
  <si>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</si>
  <si>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</si>
  <si>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</si>
  <si>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</si>
  <si>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</si>
  <si>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</si>
  <si>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</si>
  <si>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</si>
  <si>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</si>
  <si>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</si>
  <si>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</si>
  <si>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</si>
  <si>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</si>
  <si>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</si>
  <si>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</si>
  <si>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</si>
  <si>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</si>
  <si>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</si>
  <si>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</si>
  <si>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</si>
  <si>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</si>
  <si>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</si>
  <si>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</si>
  <si>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</si>
  <si>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</si>
  <si>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</si>
  <si>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</si>
  <si>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</si>
  <si>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</si>
  <si>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</si>
  <si>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</si>
  <si>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</si>
  <si>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</si>
  <si>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</si>
  <si>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</si>
  <si>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</si>
  <si>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</si>
  <si>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</si>
  <si>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</si>
  <si>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</si>
  <si>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</si>
  <si>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</si>
  <si>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</si>
  <si>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</si>
  <si>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</si>
  <si>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</si>
  <si>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</si>
  <si>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</si>
  <si>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</si>
  <si>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</si>
  <si>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</si>
  <si>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</si>
  <si>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</si>
  <si>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</si>
  <si>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</si>
  <si>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</si>
  <si>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</si>
  <si>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</si>
  <si>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</si>
  <si>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</si>
  <si>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</si>
  <si>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</si>
  <si>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</si>
  <si>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</si>
  <si>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</si>
  <si>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</si>
  <si>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</si>
  <si>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</si>
  <si>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</si>
  <si>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</si>
  <si>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</si>
  <si>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</si>
  <si>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</si>
  <si>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</si>
  <si>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</si>
  <si>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</si>
  <si>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</si>
  <si>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</si>
  <si>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</si>
  <si>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</si>
  <si>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</si>
  <si>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</si>
  <si>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</si>
  <si>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</si>
  <si>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</si>
  <si>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</si>
  <si>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</si>
  <si>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</si>
  <si>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</si>
  <si>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</si>
  <si>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</si>
  <si>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</si>
  <si>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</si>
  <si>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</si>
  <si>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</si>
  <si>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</si>
  <si>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</si>
  <si>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</si>
  <si>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</si>
  <si>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</si>
  <si>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</si>
  <si>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</si>
  <si>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</si>
  <si>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</si>
  <si>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</si>
  <si>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</si>
  <si>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</si>
  <si>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</si>
  <si>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</si>
  <si>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</si>
  <si>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</si>
  <si>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</si>
  <si>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</si>
  <si>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</si>
  <si>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</si>
  <si>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</si>
  <si>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</si>
  <si>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</si>
  <si>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</si>
  <si>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</si>
  <si>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</si>
  <si>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</si>
  <si>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</si>
  <si>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</si>
  <si>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</si>
  <si>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</si>
  <si>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</si>
  <si>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</si>
  <si>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</si>
  <si>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</si>
  <si>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</si>
  <si>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</si>
  <si>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</si>
  <si>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</si>
  <si>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</si>
  <si>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</si>
  <si>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</si>
  <si>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</si>
  <si>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</si>
  <si>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</si>
  <si>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</si>
  <si>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</si>
  <si>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</si>
  <si>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</si>
  <si>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</si>
  <si>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</si>
  <si>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</si>
  <si>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</si>
  <si>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</si>
  <si>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</si>
  <si>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</si>
  <si>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</si>
  <si>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</si>
  <si>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</si>
  <si>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</si>
  <si>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</si>
  <si>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</si>
  <si>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</si>
  <si>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</si>
  <si>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</si>
  <si>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</si>
  <si>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</si>
  <si>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</si>
  <si>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</si>
  <si>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</si>
  <si>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</si>
  <si>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</si>
  <si>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</si>
  <si>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</si>
  <si>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</si>
  <si>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</si>
  <si>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</si>
  <si>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</si>
  <si>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</si>
  <si>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</si>
  <si>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</si>
  <si>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</si>
  <si>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</si>
  <si>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</si>
  <si>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</si>
  <si>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</si>
  <si>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</si>
  <si>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</si>
  <si>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</si>
  <si>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</si>
  <si>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</si>
  <si>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</si>
  <si>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</si>
  <si>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</si>
  <si>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</si>
  <si>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</si>
  <si>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</si>
  <si>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</si>
  <si>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</si>
  <si>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</si>
  <si>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</si>
  <si>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</si>
  <si>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</si>
  <si>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</si>
  <si>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</si>
  <si>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</si>
  <si>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</si>
  <si>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</si>
  <si>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</si>
  <si>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</si>
  <si>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</si>
  <si>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</si>
  <si>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</si>
  <si>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</si>
  <si>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</si>
  <si>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</si>
  <si>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</si>
  <si>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</si>
  <si>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</si>
  <si>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</si>
  <si>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</si>
  <si>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</si>
  <si>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</si>
  <si>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</si>
  <si>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</si>
  <si>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</si>
  <si>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</si>
  <si>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</si>
  <si>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</si>
  <si>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</si>
  <si>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</si>
  <si>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</si>
  <si>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</si>
  <si>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</si>
  <si>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</si>
  <si>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</si>
  <si>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</si>
  <si>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</si>
  <si>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</si>
  <si>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</si>
  <si>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</si>
  <si>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</si>
  <si>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</si>
  <si>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</si>
  <si>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</si>
  <si>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</si>
  <si>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</si>
  <si>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</si>
  <si>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</si>
  <si>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</si>
  <si>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</si>
  <si>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</si>
  <si>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</si>
  <si>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</si>
  <si>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</si>
  <si>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</si>
  <si>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</si>
  <si>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</si>
  <si>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</si>
  <si>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</si>
  <si>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</si>
  <si>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</si>
  <si>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</si>
  <si>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</si>
  <si>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</si>
  <si>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</si>
  <si>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</si>
  <si>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</si>
  <si>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</si>
  <si>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</si>
  <si>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</si>
  <si>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</si>
  <si>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</si>
  <si>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</si>
  <si>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</si>
  <si>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</si>
  <si>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</si>
  <si>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</si>
  <si>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</si>
  <si>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</si>
  <si>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</si>
  <si>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</si>
  <si>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</si>
  <si>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</si>
  <si>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</si>
  <si>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</si>
  <si>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</si>
  <si>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</si>
  <si>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</si>
  <si>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</si>
  <si>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</si>
  <si>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</si>
  <si>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</si>
  <si>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</si>
  <si>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</si>
  <si>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</si>
  <si>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</si>
  <si>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</si>
  <si>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</si>
  <si>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</si>
  <si>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</si>
  <si>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</si>
  <si>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</si>
  <si>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</si>
  <si>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</si>
  <si>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</si>
  <si>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</si>
  <si>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</si>
  <si>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</si>
  <si>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</si>
  <si>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</si>
  <si>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</si>
  <si>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</si>
  <si>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</si>
  <si>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</si>
  <si>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</si>
  <si>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</si>
  <si>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</si>
  <si>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</si>
  <si>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</si>
  <si>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</si>
  <si>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</si>
  <si>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</si>
  <si>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</si>
  <si>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</si>
  <si>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</si>
  <si>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</si>
  <si>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</si>
  <si>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</si>
  <si>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</si>
  <si>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</si>
  <si>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</si>
  <si>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</si>
  <si>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</si>
  <si>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</si>
  <si>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</si>
  <si>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</si>
  <si>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</si>
  <si>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</si>
  <si>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</si>
  <si>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</si>
  <si>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</si>
  <si>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</si>
  <si>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</si>
  <si>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</si>
  <si>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</si>
  <si>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</si>
  <si>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</si>
  <si>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</si>
  <si>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</si>
  <si>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</si>
  <si>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</si>
  <si>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</si>
  <si>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</si>
  <si>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</si>
  <si>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</si>
  <si>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</si>
  <si>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</si>
  <si>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</si>
  <si>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</si>
  <si>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</si>
  <si>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</si>
  <si>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</si>
  <si>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</si>
  <si>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</si>
  <si>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</si>
  <si>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</si>
  <si>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</si>
  <si>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</si>
  <si>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</si>
  <si>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</si>
  <si>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</si>
  <si>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</si>
  <si>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</si>
  <si>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</si>
  <si>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</si>
  <si>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</si>
  <si>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</si>
  <si>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</si>
  <si>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</si>
  <si>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</si>
  <si>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</si>
  <si>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</si>
  <si>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</si>
  <si>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</si>
  <si>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</si>
  <si>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</si>
  <si>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</si>
  <si>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</si>
  <si>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</si>
  <si>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</si>
  <si>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</si>
  <si>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</si>
  <si>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</si>
  <si>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</si>
  <si>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</si>
  <si>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</si>
  <si>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</si>
  <si>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</si>
  <si>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</si>
  <si>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</si>
  <si>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</si>
  <si>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</si>
  <si>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</si>
  <si>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</si>
  <si>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</si>
  <si>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</si>
  <si>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</si>
  <si>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</si>
  <si>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</si>
  <si>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</si>
  <si>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</si>
  <si>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</si>
  <si>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</si>
  <si>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</si>
  <si>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</si>
  <si>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</si>
  <si>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</si>
  <si>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</si>
  <si>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</si>
  <si>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</si>
  <si>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</si>
  <si>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</si>
  <si>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</si>
  <si>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</si>
  <si>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</si>
  <si>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</si>
  <si>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</si>
  <si>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</si>
  <si>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</si>
  <si>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</si>
  <si>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</si>
  <si>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</si>
  <si>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</si>
  <si>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</si>
  <si>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</si>
  <si>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</si>
  <si>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</si>
  <si>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</si>
  <si>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</si>
  <si>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</si>
  <si>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</si>
  <si>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</si>
  <si>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</si>
  <si>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</si>
  <si>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</si>
  <si>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</si>
  <si>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</si>
  <si>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</si>
  <si>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</si>
  <si>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</si>
  <si>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</si>
  <si>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</si>
  <si>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</si>
  <si>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</si>
  <si>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</si>
  <si>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</si>
  <si>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</si>
  <si>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</si>
  <si>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</si>
  <si>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</si>
  <si>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</si>
  <si>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</si>
  <si>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</si>
  <si>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</si>
  <si>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</si>
  <si>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</si>
  <si>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</si>
  <si>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</si>
  <si>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</si>
  <si>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</si>
  <si>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</si>
  <si>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</si>
  <si>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</si>
  <si>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</si>
  <si>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</si>
  <si>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</si>
  <si>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</si>
  <si>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</si>
  <si>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</si>
  <si>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</si>
  <si>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</si>
  <si>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</si>
  <si>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</si>
  <si>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</si>
  <si>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</si>
  <si>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</si>
  <si>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</si>
  <si>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</si>
  <si>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</si>
  <si>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</si>
  <si>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</si>
  <si>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</si>
  <si>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</si>
  <si>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</si>
  <si>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</si>
  <si>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</si>
  <si>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</si>
  <si>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</si>
  <si>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</si>
  <si>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</si>
  <si>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</si>
  <si>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</si>
  <si>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</si>
  <si>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</si>
  <si>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</si>
  <si>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</si>
  <si>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</si>
  <si>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</si>
  <si>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</si>
  <si>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</si>
  <si>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</si>
  <si>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</si>
  <si>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</si>
  <si>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</si>
  <si>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</si>
  <si>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</si>
  <si>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</si>
  <si>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</si>
  <si>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</si>
  <si>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</si>
  <si>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</si>
  <si>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</si>
  <si>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</si>
  <si>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</si>
  <si>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</si>
  <si>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</si>
  <si>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</si>
  <si>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</si>
  <si>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</si>
  <si>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</si>
  <si>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</si>
  <si>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</si>
  <si>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</si>
  <si>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</si>
  <si>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</si>
  <si>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</si>
  <si>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</si>
  <si>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</si>
  <si>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</si>
  <si>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</si>
  <si>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</si>
  <si>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</si>
  <si>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</si>
  <si>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</si>
  <si>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</si>
  <si>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</si>
  <si>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</si>
  <si>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</si>
  <si>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</si>
  <si>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</si>
  <si>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</si>
  <si>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</si>
  <si>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</si>
  <si>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</si>
  <si>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</si>
  <si>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</si>
  <si>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</si>
  <si>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</si>
  <si>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</si>
  <si>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</si>
  <si>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</si>
  <si>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</si>
  <si>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</si>
  <si>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</si>
  <si>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</si>
  <si>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</si>
  <si>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</si>
  <si>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</si>
  <si>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</si>
  <si>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</si>
  <si>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</si>
  <si>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</si>
  <si>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</si>
  <si>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</si>
  <si>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</si>
  <si>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</si>
  <si>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</si>
  <si>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</si>
  <si>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</si>
  <si>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</si>
  <si>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</si>
  <si>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</si>
  <si>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</si>
  <si>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</si>
  <si>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</si>
  <si>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</si>
  <si>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</si>
  <si>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</si>
  <si>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</si>
  <si>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</si>
  <si>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</si>
  <si>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</si>
  <si>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</si>
  <si>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</si>
  <si>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</si>
  <si>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</si>
  <si>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</si>
  <si>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</si>
  <si>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</si>
  <si>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</si>
  <si>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</si>
  <si>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</si>
  <si>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</si>
  <si>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</si>
  <si>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</si>
  <si>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</si>
  <si>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</si>
  <si>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</si>
  <si>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</si>
  <si>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</si>
  <si>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</si>
  <si>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</si>
  <si>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</si>
  <si>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</si>
  <si>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</si>
  <si>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</si>
  <si>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</si>
  <si>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</si>
  <si>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</si>
  <si>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</si>
  <si>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</si>
  <si>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</si>
  <si>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</si>
  <si>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</si>
  <si>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</si>
  <si>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</si>
  <si>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</si>
  <si>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</si>
  <si>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</si>
  <si>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</si>
  <si>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</si>
  <si>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</si>
  <si>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</si>
  <si>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</si>
  <si>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</si>
  <si>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</si>
  <si>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</si>
  <si>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</si>
  <si>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</si>
  <si>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</si>
  <si>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</si>
  <si>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</si>
  <si>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</si>
  <si>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</si>
  <si>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</si>
  <si>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</si>
  <si>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</si>
  <si>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</si>
  <si>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</si>
  <si>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</si>
  <si>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</si>
  <si>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</si>
  <si>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</si>
  <si>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</si>
  <si>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</si>
  <si>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</si>
  <si>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</si>
  <si>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</si>
  <si>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</si>
  <si>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</si>
  <si>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</si>
  <si>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</si>
  <si>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</si>
  <si>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</si>
  <si>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</si>
  <si>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</si>
  <si>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</si>
  <si>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</si>
  <si>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</si>
  <si>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</si>
  <si>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</si>
  <si>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</si>
  <si>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</si>
  <si>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</si>
  <si>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</si>
  <si>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</si>
  <si>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</si>
  <si>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</si>
  <si>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</si>
  <si>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</si>
  <si>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</si>
  <si>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</si>
  <si>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</si>
  <si>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</si>
  <si>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</si>
  <si>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</si>
  <si>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</si>
  <si>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</si>
  <si>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</si>
  <si>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</si>
  <si>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</si>
  <si>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</si>
  <si>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</si>
  <si>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</si>
  <si>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</si>
  <si>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</si>
  <si>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</si>
  <si>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</si>
  <si>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</si>
  <si>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</si>
  <si>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</si>
  <si>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</si>
  <si>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</si>
  <si>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</si>
  <si>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</si>
  <si>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</si>
  <si>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</si>
  <si>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</si>
  <si>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</si>
  <si>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</si>
  <si>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</si>
  <si>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</si>
  <si>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</si>
  <si>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</si>
  <si>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</si>
  <si>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</si>
  <si>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</si>
  <si>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</si>
  <si>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</si>
  <si>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</si>
  <si>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</si>
  <si>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</si>
  <si>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</si>
  <si>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</si>
  <si>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</si>
  <si>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</si>
  <si>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</si>
  <si>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</si>
  <si>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</si>
  <si>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</si>
  <si>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</si>
  <si>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Carrie liu</t>
  </si>
  <si>
    <t>suky tang</t>
    <phoneticPr fontId="2" type="noConversion"/>
  </si>
  <si>
    <t>Edward yang</t>
  </si>
  <si>
    <t>Lili Chen</t>
  </si>
  <si>
    <t>周五没有休息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</si>
</sst>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5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18"/>
      <color rgb="FF0C0C0C"/>
      <name val="Calibri"/>
      <family val="2"/>
    </font>
    <font>
      <sz val="18"/>
      <color rgb="FF000000"/>
      <name val="Calibri"/>
      <family val="2"/>
    </font>
    <font>
      <sz val="20"/>
      <color rgb="FF000000"/>
      <name val="SimSun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2" fillId="0" borderId="0" xfId="0" applyFont="1" applyAlignment="1" applyProtection="1">
      <alignment horizontal="center" wrapText="1"/>
      <protection locked="0"/>
    </xf>
    <xf numFmtId="0" fontId="43" fillId="0" borderId="0" xfId="0" applyFont="1" applyAlignment="1" applyProtection="1">
      <alignment horizontal="center" wrapText="1"/>
      <protection locked="0"/>
    </xf>
    <xf numFmtId="0" fontId="43" fillId="0" borderId="0" xfId="0" applyFont="1" applyAlignment="1" applyProtection="1">
      <alignment horizontal="center"/>
      <protection locked="0"/>
    </xf>
    <xf numFmtId="0" fontId="40" fillId="0" borderId="0" xfId="0" applyFont="1" applyAlignment="1" applyProtection="1">
      <alignment horizontal="center"/>
      <protection locked="0"/>
    </xf>
    <xf numFmtId="4" fontId="44" fillId="0" borderId="0" xfId="0" applyNumberFormat="1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6" zoomScaleNormal="60" workbookViewId="0">
      <pane xSplit="3" ySplit="1" topLeftCell="AC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9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10155</v>
      </c>
      <c r="B2" s="73" t="s">
        <v>43</v>
      </c>
      <c r="C2" s="102" t="s">
        <v>1508</v>
      </c>
      <c r="D2" s="100"/>
      <c r="E2" s="84"/>
      <c r="F2" s="91">
        <f>BA2-BB2</f>
        <v>0</v>
      </c>
      <c r="G2" s="84"/>
      <c r="H2" s="84"/>
      <c r="I2" s="91">
        <f>BF2-BG2</f>
        <v>0</v>
      </c>
      <c r="J2" s="84"/>
      <c r="K2" s="84"/>
      <c r="L2" s="91">
        <f>BK2-BL2</f>
        <v>0</v>
      </c>
      <c r="M2" s="84"/>
      <c r="N2" s="100"/>
      <c r="O2" s="91">
        <f>BP2-BQ2</f>
        <v>0</v>
      </c>
      <c r="P2" s="100">
        <v>0.375</v>
      </c>
      <c r="Q2" s="84">
        <v>0.66666666666666663</v>
      </c>
      <c r="R2" s="91">
        <f>BU2-BV2</f>
        <v>6.4999999999999991</v>
      </c>
      <c r="S2" s="84">
        <v>0.375</v>
      </c>
      <c r="T2" s="84">
        <v>0.70833333333333337</v>
      </c>
      <c r="U2" s="91">
        <f>BZ2-CA2</f>
        <v>7.5</v>
      </c>
      <c r="V2" s="84"/>
      <c r="W2" s="84"/>
      <c r="X2" s="91">
        <f>CE2-CF2</f>
        <v>0</v>
      </c>
      <c r="Y2" s="91"/>
      <c r="Z2" s="91"/>
      <c r="AA2" s="91"/>
      <c r="AB2" s="91">
        <f>SUM(F2,I2,L2,O2,R2,U2,X2)</f>
        <v>14</v>
      </c>
      <c r="AC2" s="92"/>
      <c r="AD2" s="77">
        <v>1.5</v>
      </c>
      <c r="AE2" s="93">
        <f t="shared" ref="AE2:AE40" si="1">SUMIF($BC$1:$CI$1,AE$1,$BC2:$CI2)+AD2</f>
        <v>7.9999999999999991</v>
      </c>
      <c r="AF2" s="77"/>
      <c r="AG2" s="93">
        <f t="shared" ref="AG2:AG40" si="2">SUMIF($BC$1:$CI$1,AG$1,$BC2:$CI2)+AF2</f>
        <v>7.5</v>
      </c>
      <c r="AH2" s="78"/>
      <c r="AI2" s="93">
        <f t="shared" ref="AI2:AI40" si="3">SUMIF($BC$1:$CI$1,AI$1,$BC2:$CI2)+AH2</f>
        <v>0</v>
      </c>
      <c r="AJ2" s="77"/>
      <c r="AK2" s="93">
        <f t="shared" ref="AK2:AK40" si="4">SUMIF($BC$1:$CI$1,AK$1,$BC2:$CI2)+AJ2</f>
        <v>0</v>
      </c>
      <c r="AL2" s="77"/>
      <c r="AM2" s="93">
        <f t="shared" ref="AM2:AM40" si="5">SUMIF($BC$1:$CI$1,AM$1,$BC2:$CI2)+AL2</f>
        <v>0</v>
      </c>
      <c r="AN2" s="77"/>
      <c r="AO2" s="93">
        <f t="shared" ref="AO2:AO40" si="6">SUMIF($BC$1:$CI$1,AO$1,$BC2:$CI2)+AN2</f>
        <v>0</v>
      </c>
      <c r="AP2" s="94">
        <f>CK2</f>
        <v>2</v>
      </c>
      <c r="AQ2" s="77"/>
      <c r="AR2" s="77"/>
      <c r="AS2" s="77"/>
      <c r="AT2" s="44">
        <f>AE2+AG2+AI2+AK2+AM2+AO2+SUM(AQ2:AS2)</f>
        <v>15.5</v>
      </c>
      <c r="AU2" s="106" t="s">
        <v>1512</v>
      </c>
      <c r="AV2" s="5"/>
      <c r="AW2" s="5"/>
      <c r="AX2" s="5"/>
      <c r="AY2" s="5"/>
      <c r="AZ2" s="24">
        <f>VLOOKUP(C2,Employees!D:I,6,FALSE)</f>
        <v>10155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6.9999999999999991</v>
      </c>
      <c r="BV2" s="5">
        <f>IF(BU2&gt;$AY$1,1,IF(BU2&gt;=$AX$1,0.5,0))</f>
        <v>0.5</v>
      </c>
      <c r="BW2" s="5">
        <f>BU2-BV2-BX2-BY2</f>
        <v>6.4999999999999991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8</v>
      </c>
      <c r="CA2" s="5">
        <f>IF(BZ2&gt;$AY$1,1,IF(BZ2&gt;=$AX$1,0.5,0))</f>
        <v>0.5</v>
      </c>
      <c r="CB2" s="5">
        <f>BZ2-CA2-CC2-CD2</f>
        <v>7.5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2</v>
      </c>
    </row>
    <row r="3" spans="1:89" ht="38" customHeight="1">
      <c r="A3" s="74">
        <f t="shared" si="0"/>
        <v>10369</v>
      </c>
      <c r="B3" s="73" t="s">
        <v>43</v>
      </c>
      <c r="C3" s="103" t="s">
        <v>1509</v>
      </c>
      <c r="D3" s="100">
        <v>0.41666666666666669</v>
      </c>
      <c r="E3" s="84">
        <v>0.625</v>
      </c>
      <c r="F3" s="91">
        <f t="shared" ref="F3:F69" si="15">BA3-BB3</f>
        <v>5</v>
      </c>
      <c r="G3" s="100">
        <v>0.41666666666666669</v>
      </c>
      <c r="H3" s="84">
        <v>0.625</v>
      </c>
      <c r="I3" s="91">
        <f t="shared" ref="I3:I69" si="16">BF3-BG3</f>
        <v>5</v>
      </c>
      <c r="J3" s="100">
        <v>0.41666666666666669</v>
      </c>
      <c r="K3" s="84">
        <v>0.625</v>
      </c>
      <c r="L3" s="91">
        <f t="shared" ref="L3:L69" si="17">BK3-BL3</f>
        <v>5</v>
      </c>
      <c r="M3" s="100">
        <v>0.375</v>
      </c>
      <c r="N3" s="84">
        <v>0.58333333333333337</v>
      </c>
      <c r="O3" s="91">
        <f t="shared" ref="O3:O69" si="18">BP3-BQ3</f>
        <v>5.0000000000000009</v>
      </c>
      <c r="P3" s="100"/>
      <c r="Q3" s="84"/>
      <c r="R3" s="91">
        <f t="shared" ref="R3:R69" si="19">BU3-BV3</f>
        <v>0</v>
      </c>
      <c r="S3" s="84"/>
      <c r="T3" s="84"/>
      <c r="U3" s="91">
        <f t="shared" ref="U3:U69" si="20">BZ3-CA3</f>
        <v>0</v>
      </c>
      <c r="V3" s="84"/>
      <c r="W3" s="84"/>
      <c r="X3" s="91">
        <f t="shared" ref="X3:X69" si="21">CE3-CF3</f>
        <v>0</v>
      </c>
      <c r="Y3" s="91"/>
      <c r="Z3" s="91"/>
      <c r="AA3" s="91"/>
      <c r="AB3" s="91">
        <f t="shared" ref="AB3:AB69" si="22">SUM(F3,I3,L3,O3,R3,U3,X3)</f>
        <v>20</v>
      </c>
      <c r="AC3" s="92"/>
      <c r="AD3" s="77"/>
      <c r="AE3" s="93">
        <f t="shared" si="1"/>
        <v>20</v>
      </c>
      <c r="AF3" s="77"/>
      <c r="AG3" s="93">
        <f t="shared" si="2"/>
        <v>0</v>
      </c>
      <c r="AH3" s="78"/>
      <c r="AI3" s="93">
        <f t="shared" si="3"/>
        <v>0</v>
      </c>
      <c r="AJ3" s="77"/>
      <c r="AK3" s="93">
        <f t="shared" si="4"/>
        <v>0</v>
      </c>
      <c r="AL3" s="77"/>
      <c r="AM3" s="93">
        <f t="shared" si="5"/>
        <v>0</v>
      </c>
      <c r="AN3" s="77"/>
      <c r="AO3" s="93">
        <f t="shared" si="6"/>
        <v>0</v>
      </c>
      <c r="AP3" s="94">
        <f t="shared" ref="AP3:AP69" si="23">CK3</f>
        <v>4</v>
      </c>
      <c r="AQ3" s="77"/>
      <c r="AR3" s="77"/>
      <c r="AS3" s="77"/>
      <c r="AT3" s="44">
        <f t="shared" ref="AT3:AT69" si="24">AE3+AG3+AI3+AK3+AM3+AO3+SUM(AQ3:AS3)</f>
        <v>20</v>
      </c>
      <c r="AU3" s="78"/>
      <c r="AV3" s="5"/>
      <c r="AW3" s="5"/>
      <c r="AX3" s="5"/>
      <c r="AY3" s="5"/>
      <c r="AZ3" s="24">
        <f>VLOOKUP(C3,Employees!D:I,6,FALSE)</f>
        <v>10369</v>
      </c>
      <c r="BA3" s="5">
        <f t="shared" ref="BA3:BA66" si="25">IF(ISBLANK(D3),0,(E3-D3)*24)</f>
        <v>5</v>
      </c>
      <c r="BB3" s="5">
        <f t="shared" ref="BB3:BB66" si="26">IF(BA3&gt;$AY$1,1,IF(BA3&gt;=$AX$1,0.5,0))</f>
        <v>0</v>
      </c>
      <c r="BC3" s="5">
        <f t="shared" ref="BC3:BC66" si="27">BA3-BB3-BD3-BE3</f>
        <v>5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5</v>
      </c>
      <c r="BG3" s="5">
        <f t="shared" ref="BG3:BG66" si="30">IF(BF3&gt;$AY$1,1,IF(BF3&gt;=$AX$1,0.5,0))</f>
        <v>0</v>
      </c>
      <c r="BH3" s="5">
        <f t="shared" ref="BH3:BH66" si="31">BF3-BG3-BI3-BJ3</f>
        <v>5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5</v>
      </c>
      <c r="BL3" s="5">
        <f t="shared" ref="BL3:BL66" si="35">IF(BK3&gt;$AY$1,1,IF(BK3&gt;=$AX$1,0.5,0))</f>
        <v>0</v>
      </c>
      <c r="BM3" s="5">
        <f t="shared" ref="BM3:BM66" si="36">BK3-BL3-BN3-BO3</f>
        <v>5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5.0000000000000009</v>
      </c>
      <c r="BQ3" s="5">
        <f t="shared" ref="BQ3:BQ66" si="40">IF(BP3&gt;$AY$1,1,IF(BP3&gt;=$AX$1,0.5,0))</f>
        <v>0</v>
      </c>
      <c r="BR3" s="5">
        <f t="shared" ref="BR3:BR66" si="41">BP3-BQ3-BS3-BT3</f>
        <v>5.0000000000000009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4</v>
      </c>
    </row>
    <row r="4" spans="1:89" ht="38" customHeight="1">
      <c r="A4" s="74">
        <f t="shared" si="0"/>
        <v>210508</v>
      </c>
      <c r="B4" s="73" t="s">
        <v>43</v>
      </c>
      <c r="C4" s="104" t="s">
        <v>1389</v>
      </c>
      <c r="D4" s="84">
        <v>0.58333333333333337</v>
      </c>
      <c r="E4" s="84">
        <v>0.9375</v>
      </c>
      <c r="F4" s="91">
        <f t="shared" si="15"/>
        <v>8</v>
      </c>
      <c r="G4" s="84"/>
      <c r="H4" s="84"/>
      <c r="I4" s="91">
        <f t="shared" si="16"/>
        <v>0</v>
      </c>
      <c r="J4" s="84"/>
      <c r="K4" s="84"/>
      <c r="L4" s="91">
        <f t="shared" si="17"/>
        <v>0</v>
      </c>
      <c r="M4" s="84">
        <v>0.58333333333333337</v>
      </c>
      <c r="N4" s="84">
        <v>0.9375</v>
      </c>
      <c r="O4" s="91">
        <f t="shared" si="18"/>
        <v>8</v>
      </c>
      <c r="P4" s="75"/>
      <c r="Q4" s="75"/>
      <c r="R4" s="91">
        <f t="shared" si="19"/>
        <v>0</v>
      </c>
      <c r="S4" s="75"/>
      <c r="T4" s="75"/>
      <c r="U4" s="91">
        <f t="shared" si="20"/>
        <v>0</v>
      </c>
      <c r="V4" s="84"/>
      <c r="W4" s="84"/>
      <c r="X4" s="91">
        <f t="shared" si="21"/>
        <v>0</v>
      </c>
      <c r="Y4" s="91"/>
      <c r="Z4" s="91"/>
      <c r="AA4" s="91"/>
      <c r="AB4" s="91">
        <f t="shared" si="22"/>
        <v>16</v>
      </c>
      <c r="AC4" s="92"/>
      <c r="AD4" s="77"/>
      <c r="AE4" s="93">
        <f t="shared" si="1"/>
        <v>14.999999999999998</v>
      </c>
      <c r="AF4" s="77"/>
      <c r="AG4" s="93">
        <f t="shared" si="2"/>
        <v>0</v>
      </c>
      <c r="AH4" s="78"/>
      <c r="AI4" s="93">
        <f t="shared" si="3"/>
        <v>0</v>
      </c>
      <c r="AJ4" s="77"/>
      <c r="AK4" s="93">
        <f t="shared" si="4"/>
        <v>0</v>
      </c>
      <c r="AL4" s="77"/>
      <c r="AM4" s="93">
        <f t="shared" si="5"/>
        <v>1.0000000000000018</v>
      </c>
      <c r="AN4" s="77"/>
      <c r="AO4" s="93">
        <f t="shared" si="6"/>
        <v>0</v>
      </c>
      <c r="AP4" s="94">
        <f t="shared" si="23"/>
        <v>2</v>
      </c>
      <c r="AQ4" s="77"/>
      <c r="AR4" s="77"/>
      <c r="AS4" s="77"/>
      <c r="AT4" s="44">
        <f t="shared" si="24"/>
        <v>16</v>
      </c>
      <c r="AU4" s="78"/>
      <c r="AV4" s="5"/>
      <c r="AW4" s="5"/>
      <c r="AX4" s="5"/>
      <c r="AY4" s="5"/>
      <c r="AZ4" s="24">
        <f>VLOOKUP(C4,Employees!D:I,6,FALSE)</f>
        <v>210508</v>
      </c>
      <c r="BA4" s="5">
        <f t="shared" si="25"/>
        <v>8.5</v>
      </c>
      <c r="BB4" s="5">
        <f t="shared" si="26"/>
        <v>0.5</v>
      </c>
      <c r="BC4" s="5">
        <f t="shared" si="27"/>
        <v>7.4999999999999991</v>
      </c>
      <c r="BD4" s="5">
        <f t="shared" ref="BD4:BD66" si="58">IF(AND(E4&gt;$AV$1, D4&lt;$AW$1),(MIN(E4,$AW$1)-MAX(D4,$AV$1))*24,0)</f>
        <v>0.50000000000000089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8.5</v>
      </c>
      <c r="BQ4" s="5">
        <f t="shared" si="40"/>
        <v>0.5</v>
      </c>
      <c r="BR4" s="5">
        <f t="shared" si="41"/>
        <v>7.4999999999999991</v>
      </c>
      <c r="BS4" s="5">
        <f t="shared" si="42"/>
        <v>0.50000000000000089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2</v>
      </c>
    </row>
    <row r="5" spans="1:89" ht="38" customHeight="1">
      <c r="A5" s="74">
        <f t="shared" si="0"/>
        <v>10198</v>
      </c>
      <c r="B5" s="73" t="s">
        <v>43</v>
      </c>
      <c r="C5" s="102" t="s">
        <v>1510</v>
      </c>
      <c r="D5" s="75"/>
      <c r="E5" s="75"/>
      <c r="F5" s="91">
        <f t="shared" si="15"/>
        <v>0</v>
      </c>
      <c r="G5" s="84"/>
      <c r="H5" s="84"/>
      <c r="I5" s="91">
        <f t="shared" si="16"/>
        <v>0</v>
      </c>
      <c r="J5" s="84">
        <v>0.625</v>
      </c>
      <c r="K5" s="84">
        <v>0.9375</v>
      </c>
      <c r="L5" s="91">
        <f t="shared" si="17"/>
        <v>7</v>
      </c>
      <c r="M5" s="75"/>
      <c r="N5" s="75"/>
      <c r="O5" s="91">
        <f t="shared" si="18"/>
        <v>0</v>
      </c>
      <c r="P5" s="75">
        <v>0.625</v>
      </c>
      <c r="Q5" s="75">
        <v>0.97916666666666663</v>
      </c>
      <c r="R5" s="91">
        <f t="shared" si="19"/>
        <v>8</v>
      </c>
      <c r="S5" s="75">
        <v>0.66666666666666663</v>
      </c>
      <c r="T5" s="75">
        <v>0.98333333333333328</v>
      </c>
      <c r="U5" s="91">
        <f t="shared" si="20"/>
        <v>7.1</v>
      </c>
      <c r="V5" s="84">
        <v>0.54166666666666663</v>
      </c>
      <c r="W5" s="84">
        <v>0.96250000000000002</v>
      </c>
      <c r="X5" s="91">
        <f t="shared" si="21"/>
        <v>9.1000000000000014</v>
      </c>
      <c r="Y5" s="91"/>
      <c r="Z5" s="91"/>
      <c r="AA5" s="91"/>
      <c r="AB5" s="91">
        <f t="shared" si="22"/>
        <v>31.200000000000003</v>
      </c>
      <c r="AC5" s="92"/>
      <c r="AD5" s="78"/>
      <c r="AE5" s="93">
        <f t="shared" si="1"/>
        <v>13</v>
      </c>
      <c r="AF5" s="77"/>
      <c r="AG5" s="93">
        <f t="shared" si="2"/>
        <v>7.1</v>
      </c>
      <c r="AH5" s="78"/>
      <c r="AI5" s="93">
        <f t="shared" si="3"/>
        <v>9.1000000000000014</v>
      </c>
      <c r="AJ5" s="77"/>
      <c r="AK5" s="93">
        <f t="shared" si="4"/>
        <v>0</v>
      </c>
      <c r="AL5" s="77"/>
      <c r="AM5" s="93">
        <f t="shared" si="5"/>
        <v>2.0000000000000009</v>
      </c>
      <c r="AN5" s="77"/>
      <c r="AO5" s="93">
        <f t="shared" si="6"/>
        <v>0</v>
      </c>
      <c r="AP5" s="94">
        <f t="shared" si="23"/>
        <v>4</v>
      </c>
      <c r="AQ5" s="77"/>
      <c r="AR5" s="77"/>
      <c r="AS5" s="77"/>
      <c r="AT5" s="44">
        <f t="shared" si="24"/>
        <v>31.200000000000003</v>
      </c>
      <c r="AU5" s="78"/>
      <c r="AV5" s="5"/>
      <c r="AW5" s="5"/>
      <c r="AX5" s="5"/>
      <c r="AY5" s="5"/>
      <c r="AZ5" s="24">
        <f>VLOOKUP(C5,Employees!D:I,6,FALSE)</f>
        <v>10198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7.5</v>
      </c>
      <c r="BL5" s="5">
        <f t="shared" si="35"/>
        <v>0.5</v>
      </c>
      <c r="BM5" s="5">
        <f t="shared" si="36"/>
        <v>6.4999999999999991</v>
      </c>
      <c r="BN5" s="5">
        <f t="shared" si="37"/>
        <v>0.50000000000000089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8.5</v>
      </c>
      <c r="BV5" s="5">
        <f t="shared" si="45"/>
        <v>0.5</v>
      </c>
      <c r="BW5" s="5">
        <f t="shared" si="46"/>
        <v>6.5</v>
      </c>
      <c r="BX5" s="5">
        <f t="shared" si="47"/>
        <v>1.5</v>
      </c>
      <c r="BY5" s="5">
        <f t="shared" si="11"/>
        <v>0</v>
      </c>
      <c r="BZ5" s="5">
        <f t="shared" si="48"/>
        <v>7.6</v>
      </c>
      <c r="CA5" s="5">
        <f t="shared" si="49"/>
        <v>0.5</v>
      </c>
      <c r="CB5" s="5">
        <f t="shared" si="50"/>
        <v>5.5</v>
      </c>
      <c r="CC5" s="5">
        <f t="shared" si="51"/>
        <v>1.5999999999999996</v>
      </c>
      <c r="CD5" s="5">
        <f t="shared" si="52"/>
        <v>0</v>
      </c>
      <c r="CE5" s="5">
        <f t="shared" si="53"/>
        <v>10.100000000000001</v>
      </c>
      <c r="CF5" s="5">
        <f t="shared" si="54"/>
        <v>1</v>
      </c>
      <c r="CG5" s="5">
        <f t="shared" si="55"/>
        <v>8</v>
      </c>
      <c r="CH5" s="5">
        <f t="shared" si="56"/>
        <v>1.1000000000000014</v>
      </c>
      <c r="CI5" s="5">
        <f t="shared" si="57"/>
        <v>0</v>
      </c>
      <c r="CJ5" s="5"/>
      <c r="CK5" s="4">
        <f t="shared" si="14"/>
        <v>4</v>
      </c>
    </row>
    <row r="6" spans="1:89" ht="38" customHeight="1">
      <c r="A6" s="74">
        <f t="shared" si="0"/>
        <v>10410</v>
      </c>
      <c r="B6" s="73" t="s">
        <v>43</v>
      </c>
      <c r="C6" s="103" t="s">
        <v>1122</v>
      </c>
      <c r="D6" s="84"/>
      <c r="E6" s="84"/>
      <c r="F6" s="91">
        <f t="shared" si="15"/>
        <v>0</v>
      </c>
      <c r="G6" s="84">
        <v>0.625</v>
      </c>
      <c r="H6" s="84">
        <v>0.94722222222222219</v>
      </c>
      <c r="I6" s="91">
        <f t="shared" si="16"/>
        <v>7.2333333333333325</v>
      </c>
      <c r="J6" s="84"/>
      <c r="K6" s="84"/>
      <c r="L6" s="91">
        <f t="shared" si="17"/>
        <v>0</v>
      </c>
      <c r="M6" s="75"/>
      <c r="N6" s="75"/>
      <c r="O6" s="91">
        <f t="shared" si="18"/>
        <v>0</v>
      </c>
      <c r="P6" s="75">
        <v>0.70833333333333337</v>
      </c>
      <c r="Q6" s="75">
        <v>0.9916666666666667</v>
      </c>
      <c r="R6" s="91">
        <f t="shared" si="19"/>
        <v>6.3</v>
      </c>
      <c r="S6" s="75">
        <v>0.5</v>
      </c>
      <c r="T6" s="75">
        <v>0.79166666666666663</v>
      </c>
      <c r="U6" s="91">
        <f t="shared" si="20"/>
        <v>6.4999999999999991</v>
      </c>
      <c r="V6" s="84">
        <v>0.375</v>
      </c>
      <c r="W6" s="84">
        <v>0.70833333333333337</v>
      </c>
      <c r="X6" s="91">
        <f t="shared" si="21"/>
        <v>7.5</v>
      </c>
      <c r="Y6" s="91"/>
      <c r="Z6" s="91"/>
      <c r="AA6" s="91"/>
      <c r="AB6" s="91">
        <f t="shared" si="22"/>
        <v>27.533333333333331</v>
      </c>
      <c r="AC6" s="92"/>
      <c r="AD6" s="78"/>
      <c r="AE6" s="93">
        <f t="shared" si="1"/>
        <v>10.999999999999996</v>
      </c>
      <c r="AF6" s="77"/>
      <c r="AG6" s="93">
        <f t="shared" si="2"/>
        <v>6.4999999999999991</v>
      </c>
      <c r="AH6" s="78"/>
      <c r="AI6" s="93">
        <f t="shared" si="3"/>
        <v>7.5</v>
      </c>
      <c r="AJ6" s="77"/>
      <c r="AK6" s="93">
        <f t="shared" si="4"/>
        <v>0</v>
      </c>
      <c r="AL6" s="77"/>
      <c r="AM6" s="93">
        <f t="shared" si="5"/>
        <v>2.533333333333335</v>
      </c>
      <c r="AN6" s="77"/>
      <c r="AO6" s="93">
        <f t="shared" si="6"/>
        <v>0</v>
      </c>
      <c r="AP6" s="94">
        <f t="shared" si="23"/>
        <v>4</v>
      </c>
      <c r="AQ6" s="77"/>
      <c r="AR6" s="77"/>
      <c r="AS6" s="77"/>
      <c r="AT6" s="44">
        <f t="shared" si="24"/>
        <v>27.533333333333331</v>
      </c>
      <c r="AU6" s="78"/>
      <c r="AV6" s="5"/>
      <c r="AW6" s="5"/>
      <c r="AX6" s="5"/>
      <c r="AY6" s="5"/>
      <c r="AZ6" s="24">
        <f>VLOOKUP(C6,Employees!D:I,6,FALSE)</f>
        <v>10410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7.7333333333333325</v>
      </c>
      <c r="BG6" s="5">
        <f t="shared" si="30"/>
        <v>0.5</v>
      </c>
      <c r="BH6" s="5">
        <f t="shared" si="31"/>
        <v>6.4999999999999991</v>
      </c>
      <c r="BI6" s="5">
        <f t="shared" si="32"/>
        <v>0.73333333333333339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6.8</v>
      </c>
      <c r="BV6" s="5">
        <f t="shared" si="45"/>
        <v>0.5</v>
      </c>
      <c r="BW6" s="5">
        <f t="shared" si="46"/>
        <v>4.4999999999999982</v>
      </c>
      <c r="BX6" s="5">
        <f t="shared" si="47"/>
        <v>1.8000000000000016</v>
      </c>
      <c r="BY6" s="5">
        <f t="shared" si="11"/>
        <v>0</v>
      </c>
      <c r="BZ6" s="5">
        <f t="shared" si="48"/>
        <v>6.9999999999999991</v>
      </c>
      <c r="CA6" s="5">
        <f t="shared" si="49"/>
        <v>0.5</v>
      </c>
      <c r="CB6" s="5">
        <f t="shared" si="50"/>
        <v>6.4999999999999991</v>
      </c>
      <c r="CC6" s="5">
        <f t="shared" si="51"/>
        <v>0</v>
      </c>
      <c r="CD6" s="5">
        <f t="shared" si="52"/>
        <v>0</v>
      </c>
      <c r="CE6" s="5">
        <f t="shared" si="53"/>
        <v>8</v>
      </c>
      <c r="CF6" s="5">
        <f t="shared" si="54"/>
        <v>0.5</v>
      </c>
      <c r="CG6" s="5">
        <f t="shared" si="55"/>
        <v>7.5</v>
      </c>
      <c r="CH6" s="5">
        <f t="shared" si="56"/>
        <v>0</v>
      </c>
      <c r="CI6" s="5">
        <f t="shared" si="57"/>
        <v>0</v>
      </c>
      <c r="CJ6" s="5"/>
      <c r="CK6" s="4">
        <f t="shared" si="14"/>
        <v>4</v>
      </c>
    </row>
    <row r="7" spans="1:89" ht="38" customHeight="1">
      <c r="A7" s="74">
        <f t="shared" si="0"/>
        <v>210478</v>
      </c>
      <c r="B7" s="73" t="s">
        <v>43</v>
      </c>
      <c r="C7" s="103" t="s">
        <v>1511</v>
      </c>
      <c r="D7" s="75"/>
      <c r="E7" s="75"/>
      <c r="F7" s="91">
        <f t="shared" si="15"/>
        <v>0</v>
      </c>
      <c r="G7" s="75"/>
      <c r="H7" s="75"/>
      <c r="I7" s="91">
        <f t="shared" si="16"/>
        <v>0</v>
      </c>
      <c r="J7" s="84"/>
      <c r="K7" s="84"/>
      <c r="L7" s="91">
        <f t="shared" si="17"/>
        <v>0</v>
      </c>
      <c r="M7" s="84"/>
      <c r="N7" s="84"/>
      <c r="O7" s="91">
        <f t="shared" si="18"/>
        <v>0</v>
      </c>
      <c r="P7" s="75"/>
      <c r="Q7" s="75"/>
      <c r="R7" s="91">
        <f t="shared" si="19"/>
        <v>0</v>
      </c>
      <c r="S7" s="75"/>
      <c r="T7" s="75"/>
      <c r="U7" s="91">
        <f t="shared" si="20"/>
        <v>0</v>
      </c>
      <c r="V7" s="84"/>
      <c r="W7" s="84"/>
      <c r="X7" s="91">
        <f t="shared" si="21"/>
        <v>0</v>
      </c>
      <c r="Y7" s="91"/>
      <c r="Z7" s="91"/>
      <c r="AA7" s="91"/>
      <c r="AB7" s="91">
        <f t="shared" si="22"/>
        <v>0</v>
      </c>
      <c r="AC7" s="92"/>
      <c r="AD7" s="78"/>
      <c r="AE7" s="93">
        <f t="shared" si="1"/>
        <v>0</v>
      </c>
      <c r="AF7" s="77"/>
      <c r="AG7" s="93">
        <f t="shared" si="2"/>
        <v>0</v>
      </c>
      <c r="AH7" s="77"/>
      <c r="AI7" s="93">
        <f t="shared" si="3"/>
        <v>0</v>
      </c>
      <c r="AJ7" s="77"/>
      <c r="AK7" s="93">
        <f t="shared" si="4"/>
        <v>0</v>
      </c>
      <c r="AL7" s="77"/>
      <c r="AM7" s="93">
        <f t="shared" si="5"/>
        <v>0</v>
      </c>
      <c r="AN7" s="77"/>
      <c r="AO7" s="93">
        <f t="shared" si="6"/>
        <v>0</v>
      </c>
      <c r="AP7" s="94">
        <f t="shared" si="23"/>
        <v>0</v>
      </c>
      <c r="AQ7" s="77"/>
      <c r="AR7" s="77"/>
      <c r="AS7" s="77"/>
      <c r="AT7" s="44">
        <f t="shared" si="24"/>
        <v>0</v>
      </c>
      <c r="AU7" s="78"/>
      <c r="AV7" s="5"/>
      <c r="AW7" s="5"/>
      <c r="AX7" s="5"/>
      <c r="AY7" s="5"/>
      <c r="AZ7" s="24">
        <f>VLOOKUP(C7,Employees!D:I,6,FALSE)</f>
        <v>210478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>IF(ISBLANK(S7),0,(T7-S7)*24)</f>
        <v>0</v>
      </c>
      <c r="CA7" s="5">
        <f t="shared" si="49"/>
        <v>0</v>
      </c>
      <c r="CB7" s="5">
        <f t="shared" si="50"/>
        <v>0</v>
      </c>
      <c r="CC7" s="5">
        <f>IF(AND(T7&gt;$AV$1, S7&lt;$AW$1),(MIN(T7,$AW$1)-MAX(S7,$AV$1))*24,0)</f>
        <v>0</v>
      </c>
      <c r="CD7" s="5">
        <f>IF(T7&gt;$AW$1,(T7-MAX(S7,$AW$1))*24,0)</f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0</v>
      </c>
    </row>
    <row r="8" spans="1:89" ht="38" customHeight="1">
      <c r="A8" s="74">
        <f t="shared" si="0"/>
        <v>210521</v>
      </c>
      <c r="B8" s="73" t="s">
        <v>43</v>
      </c>
      <c r="C8" s="104" t="s">
        <v>1428</v>
      </c>
      <c r="D8" s="75"/>
      <c r="E8" s="75"/>
      <c r="F8" s="91">
        <f t="shared" si="15"/>
        <v>0</v>
      </c>
      <c r="G8" s="75"/>
      <c r="H8" s="75"/>
      <c r="I8" s="91">
        <f t="shared" si="16"/>
        <v>0</v>
      </c>
      <c r="J8" s="76">
        <v>0.70833333333333337</v>
      </c>
      <c r="K8" s="75">
        <v>0.97916666666666663</v>
      </c>
      <c r="L8" s="91">
        <f t="shared" si="17"/>
        <v>5.9999999999999982</v>
      </c>
      <c r="M8" s="75"/>
      <c r="N8" s="75"/>
      <c r="O8" s="91">
        <f t="shared" si="18"/>
        <v>0</v>
      </c>
      <c r="P8" s="84"/>
      <c r="Q8" s="84"/>
      <c r="R8" s="91">
        <f t="shared" si="19"/>
        <v>0</v>
      </c>
      <c r="S8" s="84">
        <v>0.75</v>
      </c>
      <c r="T8" s="84">
        <v>0.97916666666666663</v>
      </c>
      <c r="U8" s="91">
        <f t="shared" si="20"/>
        <v>4.9999999999999991</v>
      </c>
      <c r="V8" s="75">
        <v>0.70833333333333337</v>
      </c>
      <c r="W8" s="75">
        <v>0.96527777777777779</v>
      </c>
      <c r="X8" s="91">
        <f t="shared" si="21"/>
        <v>5.6666666666666661</v>
      </c>
      <c r="Y8" s="91"/>
      <c r="Z8" s="91"/>
      <c r="AA8" s="91"/>
      <c r="AB8" s="91">
        <f t="shared" si="22"/>
        <v>16.666666666666664</v>
      </c>
      <c r="AC8" s="92"/>
      <c r="AD8" s="78"/>
      <c r="AE8" s="93">
        <f t="shared" si="1"/>
        <v>4.4999999999999982</v>
      </c>
      <c r="AF8" s="77"/>
      <c r="AG8" s="93">
        <f t="shared" si="2"/>
        <v>4.9999999999999991</v>
      </c>
      <c r="AH8" s="77"/>
      <c r="AI8" s="93">
        <f t="shared" si="3"/>
        <v>5.6666666666666661</v>
      </c>
      <c r="AJ8" s="77"/>
      <c r="AK8" s="93">
        <f t="shared" si="4"/>
        <v>0</v>
      </c>
      <c r="AL8" s="77"/>
      <c r="AM8" s="93">
        <f t="shared" si="5"/>
        <v>1.5</v>
      </c>
      <c r="AN8" s="77"/>
      <c r="AO8" s="93">
        <f t="shared" si="6"/>
        <v>0</v>
      </c>
      <c r="AP8" s="94">
        <f t="shared" si="23"/>
        <v>3</v>
      </c>
      <c r="AQ8" s="77"/>
      <c r="AR8" s="77"/>
      <c r="AS8" s="77"/>
      <c r="AT8" s="44">
        <f t="shared" si="24"/>
        <v>16.666666666666664</v>
      </c>
      <c r="AU8" s="78"/>
      <c r="AV8" s="5"/>
      <c r="AW8" s="5"/>
      <c r="AX8" s="5"/>
      <c r="AY8" s="5"/>
      <c r="AZ8" s="24">
        <f>VLOOKUP(C8,Employees!D:I,6,FALSE)</f>
        <v>210521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6.4999999999999982</v>
      </c>
      <c r="BL8" s="5">
        <f t="shared" si="35"/>
        <v>0.5</v>
      </c>
      <c r="BM8" s="5">
        <f t="shared" si="36"/>
        <v>4.4999999999999982</v>
      </c>
      <c r="BN8" s="5">
        <f t="shared" si="37"/>
        <v>1.5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>IF(ISBLANK(S8),0,(T8-S8)*24)</f>
        <v>5.4999999999999991</v>
      </c>
      <c r="CA8" s="5">
        <f t="shared" si="49"/>
        <v>0.5</v>
      </c>
      <c r="CB8" s="5">
        <f t="shared" si="50"/>
        <v>3.4999999999999991</v>
      </c>
      <c r="CC8" s="5">
        <f>IF(AND(T8&gt;$AV$1, S8&lt;$AW$1),(MIN(T8,$AW$1)-MAX(S8,$AV$1))*24,0)</f>
        <v>1.5</v>
      </c>
      <c r="CD8" s="5">
        <f>IF(T8&gt;$AW$1,(T8-MAX(S8,$AW$1))*24,0)</f>
        <v>0</v>
      </c>
      <c r="CE8" s="5">
        <f t="shared" si="53"/>
        <v>6.1666666666666661</v>
      </c>
      <c r="CF8" s="5">
        <f t="shared" si="54"/>
        <v>0.5</v>
      </c>
      <c r="CG8" s="5">
        <f t="shared" si="55"/>
        <v>4.4999999999999982</v>
      </c>
      <c r="CH8" s="5">
        <f t="shared" si="56"/>
        <v>1.1666666666666679</v>
      </c>
      <c r="CI8" s="5">
        <f t="shared" si="57"/>
        <v>0</v>
      </c>
      <c r="CJ8" s="5"/>
      <c r="CK8" s="4">
        <f t="shared" si="14"/>
        <v>3</v>
      </c>
    </row>
    <row r="9" spans="1:89" ht="38" customHeight="1">
      <c r="A9" s="74">
        <f t="shared" si="0"/>
        <v>210520</v>
      </c>
      <c r="B9" s="73" t="s">
        <v>43</v>
      </c>
      <c r="C9" s="104" t="s">
        <v>1426</v>
      </c>
      <c r="D9" s="84">
        <v>0.70833333333333337</v>
      </c>
      <c r="E9" s="84">
        <v>0.96875</v>
      </c>
      <c r="F9" s="91">
        <f t="shared" si="15"/>
        <v>5.7499999999999991</v>
      </c>
      <c r="G9" s="84">
        <v>0.70833333333333337</v>
      </c>
      <c r="H9" s="84">
        <v>0.97847222222222219</v>
      </c>
      <c r="I9" s="91">
        <f t="shared" si="16"/>
        <v>5.9833333333333316</v>
      </c>
      <c r="J9" s="75"/>
      <c r="K9" s="75"/>
      <c r="L9" s="91">
        <f t="shared" si="17"/>
        <v>0</v>
      </c>
      <c r="M9" s="84"/>
      <c r="N9" s="84"/>
      <c r="O9" s="91">
        <f t="shared" si="18"/>
        <v>0</v>
      </c>
      <c r="P9" s="75"/>
      <c r="Q9" s="75"/>
      <c r="R9" s="91">
        <f t="shared" si="19"/>
        <v>0</v>
      </c>
      <c r="S9" s="76"/>
      <c r="T9" s="75"/>
      <c r="U9" s="91">
        <f t="shared" si="20"/>
        <v>0</v>
      </c>
      <c r="V9" s="75"/>
      <c r="W9" s="75"/>
      <c r="X9" s="91">
        <f t="shared" si="21"/>
        <v>0</v>
      </c>
      <c r="Y9" s="91"/>
      <c r="Z9" s="91"/>
      <c r="AA9" s="91"/>
      <c r="AB9" s="91">
        <f t="shared" si="22"/>
        <v>11.733333333333331</v>
      </c>
      <c r="AC9" s="92"/>
      <c r="AD9" s="78"/>
      <c r="AE9" s="93">
        <f t="shared" si="1"/>
        <v>8.9999999999999964</v>
      </c>
      <c r="AF9" s="77"/>
      <c r="AG9" s="93">
        <f t="shared" si="2"/>
        <v>0</v>
      </c>
      <c r="AH9" s="77"/>
      <c r="AI9" s="93">
        <f t="shared" si="3"/>
        <v>0</v>
      </c>
      <c r="AJ9" s="77"/>
      <c r="AK9" s="93">
        <f t="shared" si="4"/>
        <v>0</v>
      </c>
      <c r="AL9" s="77"/>
      <c r="AM9" s="93">
        <f t="shared" si="5"/>
        <v>2.7333333333333343</v>
      </c>
      <c r="AN9" s="77"/>
      <c r="AO9" s="93">
        <f t="shared" si="6"/>
        <v>0</v>
      </c>
      <c r="AP9" s="94">
        <f t="shared" si="23"/>
        <v>2</v>
      </c>
      <c r="AQ9" s="77"/>
      <c r="AR9" s="77"/>
      <c r="AS9" s="77"/>
      <c r="AT9" s="44">
        <f t="shared" si="24"/>
        <v>11.733333333333331</v>
      </c>
      <c r="AU9" s="78"/>
      <c r="AV9" s="5"/>
      <c r="AW9" s="5"/>
      <c r="AX9" s="5"/>
      <c r="AY9" s="5"/>
      <c r="AZ9" s="24">
        <f>VLOOKUP(C9,Employees!D:I,6,FALSE)</f>
        <v>210520</v>
      </c>
      <c r="BA9" s="5">
        <f t="shared" si="25"/>
        <v>6.2499999999999991</v>
      </c>
      <c r="BB9" s="5">
        <f t="shared" si="26"/>
        <v>0.5</v>
      </c>
      <c r="BC9" s="5">
        <f t="shared" si="27"/>
        <v>4.4999999999999982</v>
      </c>
      <c r="BD9" s="5">
        <f t="shared" si="58"/>
        <v>1.2500000000000009</v>
      </c>
      <c r="BE9" s="5">
        <f t="shared" si="28"/>
        <v>0</v>
      </c>
      <c r="BF9" s="5">
        <f t="shared" si="29"/>
        <v>6.4833333333333316</v>
      </c>
      <c r="BG9" s="5">
        <f t="shared" si="30"/>
        <v>0.5</v>
      </c>
      <c r="BH9" s="5">
        <f t="shared" si="31"/>
        <v>4.4999999999999982</v>
      </c>
      <c r="BI9" s="5">
        <f t="shared" si="32"/>
        <v>1.4833333333333334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2</v>
      </c>
    </row>
    <row r="10" spans="1:89" ht="38" customHeight="1">
      <c r="A10" s="74">
        <f t="shared" si="0"/>
        <v>210518</v>
      </c>
      <c r="B10" s="73" t="s">
        <v>43</v>
      </c>
      <c r="C10" s="105" t="s">
        <v>1422</v>
      </c>
      <c r="D10" s="75"/>
      <c r="E10" s="75"/>
      <c r="F10" s="91">
        <f t="shared" si="15"/>
        <v>0</v>
      </c>
      <c r="G10" s="75"/>
      <c r="H10" s="75"/>
      <c r="I10" s="91">
        <f t="shared" si="16"/>
        <v>0</v>
      </c>
      <c r="J10" s="76"/>
      <c r="K10" s="75"/>
      <c r="L10" s="91">
        <f t="shared" si="17"/>
        <v>0</v>
      </c>
      <c r="M10" s="84">
        <v>0.70833333333333337</v>
      </c>
      <c r="N10" s="84">
        <v>0.97777777777777775</v>
      </c>
      <c r="O10" s="91">
        <f t="shared" si="18"/>
        <v>5.966666666666665</v>
      </c>
      <c r="P10" s="75"/>
      <c r="Q10" s="75"/>
      <c r="R10" s="91">
        <f t="shared" si="19"/>
        <v>0</v>
      </c>
      <c r="S10" s="75"/>
      <c r="T10" s="75"/>
      <c r="U10" s="91">
        <f t="shared" si="20"/>
        <v>0</v>
      </c>
      <c r="V10" s="75"/>
      <c r="W10" s="75"/>
      <c r="X10" s="91">
        <f t="shared" si="21"/>
        <v>0</v>
      </c>
      <c r="Y10" s="91"/>
      <c r="Z10" s="91"/>
      <c r="AA10" s="91"/>
      <c r="AB10" s="91">
        <f t="shared" si="22"/>
        <v>5.966666666666665</v>
      </c>
      <c r="AC10" s="92"/>
      <c r="AD10" s="78"/>
      <c r="AE10" s="93">
        <f t="shared" si="1"/>
        <v>4.4999999999999982</v>
      </c>
      <c r="AF10" s="77"/>
      <c r="AG10" s="93">
        <f t="shared" si="2"/>
        <v>0</v>
      </c>
      <c r="AH10" s="77"/>
      <c r="AI10" s="93">
        <f t="shared" si="3"/>
        <v>0</v>
      </c>
      <c r="AJ10" s="77"/>
      <c r="AK10" s="93">
        <f t="shared" si="4"/>
        <v>0</v>
      </c>
      <c r="AL10" s="77"/>
      <c r="AM10" s="93">
        <f t="shared" si="5"/>
        <v>1.4666666666666668</v>
      </c>
      <c r="AN10" s="77"/>
      <c r="AO10" s="93">
        <f t="shared" si="6"/>
        <v>0</v>
      </c>
      <c r="AP10" s="94">
        <f t="shared" si="23"/>
        <v>1</v>
      </c>
      <c r="AQ10" s="77"/>
      <c r="AR10" s="77"/>
      <c r="AS10" s="77"/>
      <c r="AT10" s="44">
        <f t="shared" si="24"/>
        <v>5.966666666666665</v>
      </c>
      <c r="AU10" s="78"/>
      <c r="AV10" s="5"/>
      <c r="AW10" s="5"/>
      <c r="AX10" s="5"/>
      <c r="AY10" s="5"/>
      <c r="AZ10" s="24">
        <f>VLOOKUP(C10,Employees!D:I,6,FALSE)</f>
        <v>210518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6.466666666666665</v>
      </c>
      <c r="BQ10" s="5">
        <f t="shared" si="40"/>
        <v>0.5</v>
      </c>
      <c r="BR10" s="5">
        <f t="shared" si="41"/>
        <v>4.4999999999999982</v>
      </c>
      <c r="BS10" s="5">
        <f t="shared" si="42"/>
        <v>1.4666666666666668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1</v>
      </c>
    </row>
    <row r="11" spans="1:89" ht="38" customHeight="1">
      <c r="A11" s="74" t="str">
        <f t="shared" si="0"/>
        <v/>
      </c>
      <c r="B11" s="73"/>
      <c r="C11" s="98"/>
      <c r="D11" s="75"/>
      <c r="E11" s="75"/>
      <c r="F11" s="91">
        <f t="shared" si="15"/>
        <v>0</v>
      </c>
      <c r="G11" s="75"/>
      <c r="H11" s="75"/>
      <c r="I11" s="91">
        <f t="shared" si="16"/>
        <v>0</v>
      </c>
      <c r="J11" s="76"/>
      <c r="K11" s="75"/>
      <c r="L11" s="91">
        <f t="shared" si="17"/>
        <v>0</v>
      </c>
      <c r="M11" s="75"/>
      <c r="N11" s="75"/>
      <c r="O11" s="91">
        <f t="shared" si="18"/>
        <v>0</v>
      </c>
      <c r="P11" s="75"/>
      <c r="Q11" s="75"/>
      <c r="R11" s="91">
        <f t="shared" si="19"/>
        <v>0</v>
      </c>
      <c r="S11" s="75"/>
      <c r="T11" s="75"/>
      <c r="U11" s="91">
        <f t="shared" si="20"/>
        <v>0</v>
      </c>
      <c r="V11" s="75"/>
      <c r="W11" s="75"/>
      <c r="X11" s="91">
        <f t="shared" si="21"/>
        <v>0</v>
      </c>
      <c r="Y11" s="91"/>
      <c r="Z11" s="91"/>
      <c r="AA11" s="91"/>
      <c r="AB11" s="91">
        <f t="shared" si="22"/>
        <v>0</v>
      </c>
      <c r="AC11" s="92"/>
      <c r="AD11" s="78"/>
      <c r="AE11" s="93">
        <f t="shared" si="1"/>
        <v>0</v>
      </c>
      <c r="AF11" s="77"/>
      <c r="AG11" s="93">
        <f t="shared" si="2"/>
        <v>0</v>
      </c>
      <c r="AH11" s="77"/>
      <c r="AI11" s="93">
        <f t="shared" si="3"/>
        <v>0</v>
      </c>
      <c r="AJ11" s="77"/>
      <c r="AK11" s="93">
        <f t="shared" si="4"/>
        <v>0</v>
      </c>
      <c r="AL11" s="77"/>
      <c r="AM11" s="93">
        <f t="shared" si="5"/>
        <v>0</v>
      </c>
      <c r="AN11" s="77"/>
      <c r="AO11" s="93">
        <f t="shared" si="6"/>
        <v>0</v>
      </c>
      <c r="AP11" s="94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99"/>
      <c r="D12" s="75"/>
      <c r="E12" s="75"/>
      <c r="F12" s="91">
        <f t="shared" si="15"/>
        <v>0</v>
      </c>
      <c r="G12" s="75"/>
      <c r="H12" s="75"/>
      <c r="I12" s="91">
        <f t="shared" si="16"/>
        <v>0</v>
      </c>
      <c r="J12" s="76"/>
      <c r="K12" s="75"/>
      <c r="L12" s="91">
        <f t="shared" si="17"/>
        <v>0</v>
      </c>
      <c r="M12" s="75"/>
      <c r="N12" s="75"/>
      <c r="O12" s="91">
        <f t="shared" si="18"/>
        <v>0</v>
      </c>
      <c r="P12" s="75"/>
      <c r="Q12" s="75"/>
      <c r="R12" s="91">
        <f t="shared" si="19"/>
        <v>0</v>
      </c>
      <c r="S12" s="75"/>
      <c r="T12" s="75"/>
      <c r="U12" s="91">
        <f t="shared" si="20"/>
        <v>0</v>
      </c>
      <c r="V12" s="75"/>
      <c r="W12" s="75"/>
      <c r="X12" s="91">
        <f t="shared" si="21"/>
        <v>0</v>
      </c>
      <c r="Y12" s="91"/>
      <c r="Z12" s="91"/>
      <c r="AA12" s="91"/>
      <c r="AB12" s="91">
        <f t="shared" si="22"/>
        <v>0</v>
      </c>
      <c r="AC12" s="92"/>
      <c r="AD12" s="78"/>
      <c r="AE12" s="93">
        <f t="shared" si="1"/>
        <v>0</v>
      </c>
      <c r="AF12" s="77"/>
      <c r="AG12" s="93">
        <f t="shared" si="2"/>
        <v>0</v>
      </c>
      <c r="AH12" s="77"/>
      <c r="AI12" s="93">
        <f t="shared" si="3"/>
        <v>0</v>
      </c>
      <c r="AJ12" s="77"/>
      <c r="AK12" s="93">
        <f t="shared" si="4"/>
        <v>0</v>
      </c>
      <c r="AL12" s="77"/>
      <c r="AM12" s="93">
        <f t="shared" si="5"/>
        <v>0</v>
      </c>
      <c r="AN12" s="77"/>
      <c r="AO12" s="93">
        <f t="shared" si="6"/>
        <v>0</v>
      </c>
      <c r="AP12" s="94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8"/>
      <c r="D13" s="75"/>
      <c r="E13" s="75"/>
      <c r="F13" s="91">
        <f t="shared" si="15"/>
        <v>0</v>
      </c>
      <c r="G13" s="75"/>
      <c r="H13" s="75"/>
      <c r="I13" s="91">
        <f t="shared" si="16"/>
        <v>0</v>
      </c>
      <c r="J13" s="84"/>
      <c r="K13" s="84"/>
      <c r="L13" s="91">
        <f t="shared" si="17"/>
        <v>0</v>
      </c>
      <c r="M13" s="75"/>
      <c r="N13" s="75"/>
      <c r="O13" s="91">
        <f t="shared" si="18"/>
        <v>0</v>
      </c>
      <c r="P13" s="75"/>
      <c r="Q13" s="75"/>
      <c r="R13" s="91">
        <f t="shared" si="19"/>
        <v>0</v>
      </c>
      <c r="S13" s="75"/>
      <c r="T13" s="75"/>
      <c r="U13" s="91">
        <f t="shared" si="20"/>
        <v>0</v>
      </c>
      <c r="V13" s="75"/>
      <c r="W13" s="75"/>
      <c r="X13" s="91">
        <f t="shared" si="21"/>
        <v>0</v>
      </c>
      <c r="Y13" s="91"/>
      <c r="Z13" s="91"/>
      <c r="AA13" s="91"/>
      <c r="AB13" s="91">
        <f t="shared" si="22"/>
        <v>0</v>
      </c>
      <c r="AC13" s="92"/>
      <c r="AD13" s="78"/>
      <c r="AE13" s="93">
        <f t="shared" si="1"/>
        <v>0</v>
      </c>
      <c r="AF13" s="77"/>
      <c r="AG13" s="93">
        <f t="shared" si="2"/>
        <v>0</v>
      </c>
      <c r="AH13" s="77"/>
      <c r="AI13" s="93">
        <f t="shared" si="3"/>
        <v>0</v>
      </c>
      <c r="AJ13" s="77"/>
      <c r="AK13" s="93">
        <f t="shared" si="4"/>
        <v>0</v>
      </c>
      <c r="AL13" s="77"/>
      <c r="AM13" s="93">
        <f t="shared" si="5"/>
        <v>0</v>
      </c>
      <c r="AN13" s="77"/>
      <c r="AO13" s="93">
        <f t="shared" si="6"/>
        <v>0</v>
      </c>
      <c r="AP13" s="94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7"/>
      <c r="D14" s="75"/>
      <c r="E14" s="75"/>
      <c r="F14" s="91">
        <f t="shared" si="15"/>
        <v>0</v>
      </c>
      <c r="G14" s="75"/>
      <c r="H14" s="75"/>
      <c r="I14" s="91">
        <f t="shared" si="16"/>
        <v>0</v>
      </c>
      <c r="J14" s="75"/>
      <c r="K14" s="75"/>
      <c r="L14" s="91">
        <f t="shared" si="17"/>
        <v>0</v>
      </c>
      <c r="M14" s="75"/>
      <c r="N14" s="75"/>
      <c r="O14" s="91">
        <f t="shared" si="18"/>
        <v>0</v>
      </c>
      <c r="P14" s="75"/>
      <c r="Q14" s="75"/>
      <c r="R14" s="91">
        <f t="shared" si="19"/>
        <v>0</v>
      </c>
      <c r="S14" s="75"/>
      <c r="T14" s="75"/>
      <c r="U14" s="91">
        <f t="shared" si="20"/>
        <v>0</v>
      </c>
      <c r="V14" s="75"/>
      <c r="W14" s="75"/>
      <c r="X14" s="91">
        <f t="shared" si="21"/>
        <v>0</v>
      </c>
      <c r="Y14" s="91"/>
      <c r="Z14" s="91"/>
      <c r="AA14" s="91"/>
      <c r="AB14" s="91">
        <f t="shared" si="22"/>
        <v>0</v>
      </c>
      <c r="AC14" s="92"/>
      <c r="AD14" s="77"/>
      <c r="AE14" s="93">
        <f t="shared" si="1"/>
        <v>0</v>
      </c>
      <c r="AF14" s="77"/>
      <c r="AG14" s="93">
        <f t="shared" si="2"/>
        <v>0</v>
      </c>
      <c r="AH14" s="77"/>
      <c r="AI14" s="93">
        <f t="shared" si="3"/>
        <v>0</v>
      </c>
      <c r="AJ14" s="77"/>
      <c r="AK14" s="93">
        <f t="shared" si="4"/>
        <v>0</v>
      </c>
      <c r="AL14" s="77"/>
      <c r="AM14" s="93">
        <f t="shared" si="5"/>
        <v>0</v>
      </c>
      <c r="AN14" s="77"/>
      <c r="AO14" s="93">
        <f t="shared" si="6"/>
        <v>0</v>
      </c>
      <c r="AP14" s="94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6"/>
      <c r="D15" s="75"/>
      <c r="E15" s="75"/>
      <c r="F15" s="91">
        <f t="shared" si="15"/>
        <v>0</v>
      </c>
      <c r="G15" s="75"/>
      <c r="H15" s="75"/>
      <c r="I15" s="91">
        <f t="shared" si="16"/>
        <v>0</v>
      </c>
      <c r="J15" s="75"/>
      <c r="K15" s="75"/>
      <c r="L15" s="91">
        <f t="shared" si="17"/>
        <v>0</v>
      </c>
      <c r="M15" s="75"/>
      <c r="N15" s="75"/>
      <c r="O15" s="91">
        <f t="shared" si="18"/>
        <v>0</v>
      </c>
      <c r="P15" s="75"/>
      <c r="Q15" s="75"/>
      <c r="R15" s="91">
        <f t="shared" si="19"/>
        <v>0</v>
      </c>
      <c r="S15" s="75"/>
      <c r="T15" s="75"/>
      <c r="U15" s="91">
        <f t="shared" si="20"/>
        <v>0</v>
      </c>
      <c r="V15" s="75"/>
      <c r="W15" s="75"/>
      <c r="X15" s="91">
        <f t="shared" si="21"/>
        <v>0</v>
      </c>
      <c r="Y15" s="91"/>
      <c r="Z15" s="91"/>
      <c r="AA15" s="91"/>
      <c r="AB15" s="91">
        <f t="shared" si="22"/>
        <v>0</v>
      </c>
      <c r="AC15" s="92"/>
      <c r="AD15" s="77"/>
      <c r="AE15" s="93">
        <f t="shared" si="1"/>
        <v>0</v>
      </c>
      <c r="AF15" s="77"/>
      <c r="AG15" s="93">
        <f t="shared" si="2"/>
        <v>0</v>
      </c>
      <c r="AH15" s="77"/>
      <c r="AI15" s="93">
        <f t="shared" si="3"/>
        <v>0</v>
      </c>
      <c r="AJ15" s="77"/>
      <c r="AK15" s="93">
        <f t="shared" si="4"/>
        <v>0</v>
      </c>
      <c r="AL15" s="77"/>
      <c r="AM15" s="93">
        <f t="shared" si="5"/>
        <v>0</v>
      </c>
      <c r="AN15" s="77"/>
      <c r="AO15" s="93">
        <f t="shared" si="6"/>
        <v>0</v>
      </c>
      <c r="AP15" s="94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1">
        <f t="shared" si="15"/>
        <v>0</v>
      </c>
      <c r="G16" s="84"/>
      <c r="H16" s="84"/>
      <c r="I16" s="91">
        <f t="shared" si="16"/>
        <v>0</v>
      </c>
      <c r="J16" s="84"/>
      <c r="K16" s="84"/>
      <c r="L16" s="91">
        <f t="shared" si="17"/>
        <v>0</v>
      </c>
      <c r="M16" s="84"/>
      <c r="N16" s="84"/>
      <c r="O16" s="91">
        <f t="shared" si="18"/>
        <v>0</v>
      </c>
      <c r="P16" s="75"/>
      <c r="Q16" s="75"/>
      <c r="R16" s="91">
        <f t="shared" si="19"/>
        <v>0</v>
      </c>
      <c r="S16" s="75"/>
      <c r="T16" s="75"/>
      <c r="U16" s="91">
        <f t="shared" si="20"/>
        <v>0</v>
      </c>
      <c r="V16" s="84"/>
      <c r="W16" s="84"/>
      <c r="X16" s="91">
        <f t="shared" si="21"/>
        <v>0</v>
      </c>
      <c r="Y16" s="91"/>
      <c r="Z16" s="91"/>
      <c r="AA16" s="91"/>
      <c r="AB16" s="91">
        <f t="shared" si="22"/>
        <v>0</v>
      </c>
      <c r="AC16" s="92"/>
      <c r="AD16" s="77"/>
      <c r="AE16" s="93">
        <f t="shared" si="1"/>
        <v>0</v>
      </c>
      <c r="AF16" s="77"/>
      <c r="AG16" s="93">
        <f t="shared" si="2"/>
        <v>0</v>
      </c>
      <c r="AH16" s="77"/>
      <c r="AI16" s="93">
        <f t="shared" si="3"/>
        <v>0</v>
      </c>
      <c r="AJ16" s="77"/>
      <c r="AK16" s="93">
        <f t="shared" si="4"/>
        <v>0</v>
      </c>
      <c r="AL16" s="77"/>
      <c r="AM16" s="93">
        <f t="shared" si="5"/>
        <v>0</v>
      </c>
      <c r="AN16" s="77"/>
      <c r="AO16" s="93">
        <f t="shared" si="6"/>
        <v>0</v>
      </c>
      <c r="AP16" s="94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1">
        <f t="shared" si="15"/>
        <v>0</v>
      </c>
      <c r="G17" s="75"/>
      <c r="H17" s="75"/>
      <c r="I17" s="91">
        <f t="shared" si="16"/>
        <v>0</v>
      </c>
      <c r="J17" s="75"/>
      <c r="K17" s="75"/>
      <c r="L17" s="91">
        <f t="shared" si="17"/>
        <v>0</v>
      </c>
      <c r="M17" s="75"/>
      <c r="N17" s="75"/>
      <c r="O17" s="91">
        <f t="shared" si="18"/>
        <v>0</v>
      </c>
      <c r="P17" s="75"/>
      <c r="Q17" s="75"/>
      <c r="R17" s="91">
        <f t="shared" si="19"/>
        <v>0</v>
      </c>
      <c r="S17" s="84"/>
      <c r="T17" s="84"/>
      <c r="U17" s="91">
        <f t="shared" si="20"/>
        <v>0</v>
      </c>
      <c r="V17" s="75"/>
      <c r="W17" s="75"/>
      <c r="X17" s="91">
        <f t="shared" si="21"/>
        <v>0</v>
      </c>
      <c r="Y17" s="91"/>
      <c r="Z17" s="91"/>
      <c r="AA17" s="91"/>
      <c r="AB17" s="91">
        <f t="shared" si="22"/>
        <v>0</v>
      </c>
      <c r="AC17" s="92"/>
      <c r="AD17" s="77"/>
      <c r="AE17" s="93">
        <f t="shared" si="1"/>
        <v>0</v>
      </c>
      <c r="AF17" s="77"/>
      <c r="AG17" s="93">
        <f t="shared" si="2"/>
        <v>0</v>
      </c>
      <c r="AH17" s="77"/>
      <c r="AI17" s="93">
        <f t="shared" si="3"/>
        <v>0</v>
      </c>
      <c r="AJ17" s="77"/>
      <c r="AK17" s="93">
        <f t="shared" si="4"/>
        <v>0</v>
      </c>
      <c r="AL17" s="77"/>
      <c r="AM17" s="93">
        <f t="shared" si="5"/>
        <v>0</v>
      </c>
      <c r="AN17" s="77"/>
      <c r="AO17" s="93">
        <f t="shared" si="6"/>
        <v>0</v>
      </c>
      <c r="AP17" s="94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1">
        <f t="shared" si="15"/>
        <v>0</v>
      </c>
      <c r="G18" s="75"/>
      <c r="H18" s="75"/>
      <c r="I18" s="91">
        <f t="shared" si="16"/>
        <v>0</v>
      </c>
      <c r="J18" s="75"/>
      <c r="K18" s="75"/>
      <c r="L18" s="91">
        <f t="shared" si="17"/>
        <v>0</v>
      </c>
      <c r="M18" s="75"/>
      <c r="N18" s="75"/>
      <c r="O18" s="91">
        <f t="shared" si="18"/>
        <v>0</v>
      </c>
      <c r="P18" s="75"/>
      <c r="Q18" s="75"/>
      <c r="R18" s="91">
        <f t="shared" si="19"/>
        <v>0</v>
      </c>
      <c r="S18" s="75"/>
      <c r="T18" s="75"/>
      <c r="U18" s="91">
        <f t="shared" si="20"/>
        <v>0</v>
      </c>
      <c r="V18" s="75"/>
      <c r="W18" s="75"/>
      <c r="X18" s="91">
        <f t="shared" si="21"/>
        <v>0</v>
      </c>
      <c r="Y18" s="91"/>
      <c r="Z18" s="91"/>
      <c r="AA18" s="91"/>
      <c r="AB18" s="91">
        <f t="shared" si="22"/>
        <v>0</v>
      </c>
      <c r="AC18" s="92"/>
      <c r="AD18" s="77"/>
      <c r="AE18" s="93">
        <f t="shared" si="1"/>
        <v>0</v>
      </c>
      <c r="AF18" s="77"/>
      <c r="AG18" s="93">
        <f t="shared" si="2"/>
        <v>0</v>
      </c>
      <c r="AH18" s="77"/>
      <c r="AI18" s="93">
        <f t="shared" si="3"/>
        <v>0</v>
      </c>
      <c r="AJ18" s="77"/>
      <c r="AK18" s="93">
        <f t="shared" si="4"/>
        <v>0</v>
      </c>
      <c r="AL18" s="77"/>
      <c r="AM18" s="93">
        <f t="shared" si="5"/>
        <v>0</v>
      </c>
      <c r="AN18" s="77"/>
      <c r="AO18" s="93">
        <f t="shared" si="6"/>
        <v>0</v>
      </c>
      <c r="AP18" s="94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1">
        <f t="shared" si="15"/>
        <v>0</v>
      </c>
      <c r="G19" s="75"/>
      <c r="H19" s="75"/>
      <c r="I19" s="91">
        <f t="shared" si="16"/>
        <v>0</v>
      </c>
      <c r="J19" s="75"/>
      <c r="K19" s="75"/>
      <c r="L19" s="91">
        <f t="shared" si="17"/>
        <v>0</v>
      </c>
      <c r="M19" s="75"/>
      <c r="N19" s="75"/>
      <c r="O19" s="91">
        <f t="shared" si="18"/>
        <v>0</v>
      </c>
      <c r="P19" s="75"/>
      <c r="Q19" s="75"/>
      <c r="R19" s="91">
        <f t="shared" si="19"/>
        <v>0</v>
      </c>
      <c r="S19" s="75"/>
      <c r="T19" s="75"/>
      <c r="U19" s="91">
        <f t="shared" si="20"/>
        <v>0</v>
      </c>
      <c r="V19" s="75"/>
      <c r="W19" s="75"/>
      <c r="X19" s="91">
        <f t="shared" si="21"/>
        <v>0</v>
      </c>
      <c r="Y19" s="91"/>
      <c r="Z19" s="91"/>
      <c r="AA19" s="91"/>
      <c r="AB19" s="91">
        <f t="shared" si="22"/>
        <v>0</v>
      </c>
      <c r="AC19" s="92"/>
      <c r="AD19" s="77"/>
      <c r="AE19" s="93">
        <f t="shared" si="1"/>
        <v>0</v>
      </c>
      <c r="AF19" s="77"/>
      <c r="AG19" s="93">
        <f t="shared" si="2"/>
        <v>0</v>
      </c>
      <c r="AH19" s="77"/>
      <c r="AI19" s="93">
        <f t="shared" si="3"/>
        <v>0</v>
      </c>
      <c r="AJ19" s="77"/>
      <c r="AK19" s="93">
        <f t="shared" si="4"/>
        <v>0</v>
      </c>
      <c r="AL19" s="77"/>
      <c r="AM19" s="93">
        <f t="shared" si="5"/>
        <v>0</v>
      </c>
      <c r="AN19" s="77"/>
      <c r="AO19" s="93">
        <f t="shared" si="6"/>
        <v>0</v>
      </c>
      <c r="AP19" s="94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1">
        <f t="shared" si="15"/>
        <v>0</v>
      </c>
      <c r="G20" s="75"/>
      <c r="H20" s="75"/>
      <c r="I20" s="91">
        <f t="shared" si="16"/>
        <v>0</v>
      </c>
      <c r="J20" s="75"/>
      <c r="K20" s="75"/>
      <c r="L20" s="91">
        <f t="shared" si="17"/>
        <v>0</v>
      </c>
      <c r="M20" s="75"/>
      <c r="N20" s="75"/>
      <c r="O20" s="91">
        <f t="shared" si="18"/>
        <v>0</v>
      </c>
      <c r="P20" s="75"/>
      <c r="Q20" s="75"/>
      <c r="R20" s="91">
        <f t="shared" si="19"/>
        <v>0</v>
      </c>
      <c r="S20" s="75"/>
      <c r="T20" s="75"/>
      <c r="U20" s="91">
        <f t="shared" si="20"/>
        <v>0</v>
      </c>
      <c r="V20" s="75"/>
      <c r="W20" s="75"/>
      <c r="X20" s="91">
        <f t="shared" si="21"/>
        <v>0</v>
      </c>
      <c r="Y20" s="91"/>
      <c r="Z20" s="91"/>
      <c r="AA20" s="91"/>
      <c r="AB20" s="91">
        <f t="shared" si="22"/>
        <v>0</v>
      </c>
      <c r="AC20" s="92"/>
      <c r="AD20" s="77"/>
      <c r="AE20" s="93">
        <f t="shared" si="1"/>
        <v>0</v>
      </c>
      <c r="AF20" s="77"/>
      <c r="AG20" s="93">
        <f t="shared" si="2"/>
        <v>0</v>
      </c>
      <c r="AH20" s="77"/>
      <c r="AI20" s="93">
        <f t="shared" si="3"/>
        <v>0</v>
      </c>
      <c r="AJ20" s="77"/>
      <c r="AK20" s="93">
        <f t="shared" si="4"/>
        <v>0</v>
      </c>
      <c r="AL20" s="77"/>
      <c r="AM20" s="93">
        <f t="shared" si="5"/>
        <v>0</v>
      </c>
      <c r="AN20" s="77"/>
      <c r="AO20" s="93">
        <f t="shared" si="6"/>
        <v>0</v>
      </c>
      <c r="AP20" s="94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1">
        <f t="shared" ref="F21:F29" si="59">BA21-BB21</f>
        <v>0</v>
      </c>
      <c r="G21" s="75"/>
      <c r="H21" s="75"/>
      <c r="I21" s="91">
        <f t="shared" ref="I21:I29" si="60">BF21-BG21</f>
        <v>0</v>
      </c>
      <c r="J21" s="75"/>
      <c r="K21" s="75"/>
      <c r="L21" s="91">
        <f t="shared" ref="L21:L29" si="61">BK21-BL21</f>
        <v>0</v>
      </c>
      <c r="M21" s="75"/>
      <c r="N21" s="75"/>
      <c r="O21" s="91">
        <f t="shared" ref="O21:O29" si="62">BP21-BQ21</f>
        <v>0</v>
      </c>
      <c r="P21" s="75"/>
      <c r="Q21" s="75"/>
      <c r="R21" s="91">
        <f t="shared" ref="R21:R29" si="63">BU21-BV21</f>
        <v>0</v>
      </c>
      <c r="S21" s="75"/>
      <c r="T21" s="75"/>
      <c r="U21" s="91">
        <f t="shared" ref="U21:U29" si="64">BZ21-CA21</f>
        <v>0</v>
      </c>
      <c r="V21" s="75"/>
      <c r="W21" s="75"/>
      <c r="X21" s="91">
        <f t="shared" ref="X21:X29" si="65">CE21-CF21</f>
        <v>0</v>
      </c>
      <c r="Y21" s="91"/>
      <c r="Z21" s="91"/>
      <c r="AA21" s="91"/>
      <c r="AB21" s="91">
        <f t="shared" ref="AB21:AB29" si="66">SUM(F21,I21,L21,O21,R21,U21,X21)</f>
        <v>0</v>
      </c>
      <c r="AC21" s="92"/>
      <c r="AD21" s="77"/>
      <c r="AE21" s="93">
        <f t="shared" ref="AE21:AE29" si="67">SUMIF($BC$1:$CI$1,AE$1,$BC21:$CI21)+AD21</f>
        <v>0</v>
      </c>
      <c r="AF21" s="77"/>
      <c r="AG21" s="93">
        <f t="shared" ref="AG21:AG29" si="68">SUMIF($BC$1:$CI$1,AG$1,$BC21:$CI21)+AF21</f>
        <v>0</v>
      </c>
      <c r="AH21" s="77"/>
      <c r="AI21" s="93">
        <f t="shared" ref="AI21:AI29" si="69">SUMIF($BC$1:$CI$1,AI$1,$BC21:$CI21)+AH21</f>
        <v>0</v>
      </c>
      <c r="AJ21" s="77"/>
      <c r="AK21" s="93">
        <f t="shared" ref="AK21:AK29" si="70">SUMIF($BC$1:$CI$1,AK$1,$BC21:$CI21)+AJ21</f>
        <v>0</v>
      </c>
      <c r="AL21" s="77"/>
      <c r="AM21" s="93">
        <f t="shared" ref="AM21:AM29" si="71">SUMIF($BC$1:$CI$1,AM$1,$BC21:$CI21)+AL21</f>
        <v>0</v>
      </c>
      <c r="AN21" s="77"/>
      <c r="AO21" s="93">
        <f t="shared" ref="AO21:AO29" si="72">SUMIF($BC$1:$CI$1,AO$1,$BC21:$CI21)+AN21</f>
        <v>0</v>
      </c>
      <c r="AP21" s="94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1">
        <f t="shared" si="59"/>
        <v>0</v>
      </c>
      <c r="G22" s="75"/>
      <c r="H22" s="75"/>
      <c r="I22" s="91">
        <f t="shared" si="60"/>
        <v>0</v>
      </c>
      <c r="J22" s="75"/>
      <c r="K22" s="75"/>
      <c r="L22" s="91">
        <f t="shared" si="61"/>
        <v>0</v>
      </c>
      <c r="M22" s="75"/>
      <c r="N22" s="75"/>
      <c r="O22" s="91">
        <f t="shared" si="62"/>
        <v>0</v>
      </c>
      <c r="P22" s="75"/>
      <c r="Q22" s="75"/>
      <c r="R22" s="91">
        <f t="shared" si="63"/>
        <v>0</v>
      </c>
      <c r="S22" s="75"/>
      <c r="T22" s="75"/>
      <c r="U22" s="91">
        <f t="shared" si="64"/>
        <v>0</v>
      </c>
      <c r="V22" s="75"/>
      <c r="W22" s="75"/>
      <c r="X22" s="91">
        <f t="shared" si="65"/>
        <v>0</v>
      </c>
      <c r="Y22" s="91"/>
      <c r="Z22" s="91"/>
      <c r="AA22" s="91"/>
      <c r="AB22" s="91">
        <f t="shared" si="66"/>
        <v>0</v>
      </c>
      <c r="AC22" s="92"/>
      <c r="AD22" s="77"/>
      <c r="AE22" s="93">
        <f t="shared" si="67"/>
        <v>0</v>
      </c>
      <c r="AF22" s="77"/>
      <c r="AG22" s="93">
        <f t="shared" si="68"/>
        <v>0</v>
      </c>
      <c r="AH22" s="77"/>
      <c r="AI22" s="93">
        <f t="shared" si="69"/>
        <v>0</v>
      </c>
      <c r="AJ22" s="77"/>
      <c r="AK22" s="93">
        <f t="shared" si="70"/>
        <v>0</v>
      </c>
      <c r="AL22" s="77"/>
      <c r="AM22" s="93">
        <f t="shared" si="71"/>
        <v>0</v>
      </c>
      <c r="AN22" s="77"/>
      <c r="AO22" s="93">
        <f t="shared" si="72"/>
        <v>0</v>
      </c>
      <c r="AP22" s="94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1">
        <f t="shared" si="59"/>
        <v>0</v>
      </c>
      <c r="G23" s="75"/>
      <c r="H23" s="75"/>
      <c r="I23" s="91">
        <f t="shared" si="60"/>
        <v>0</v>
      </c>
      <c r="J23" s="76"/>
      <c r="K23" s="75"/>
      <c r="L23" s="91">
        <f t="shared" si="61"/>
        <v>0</v>
      </c>
      <c r="M23" s="75"/>
      <c r="N23" s="75"/>
      <c r="O23" s="91">
        <f t="shared" si="62"/>
        <v>0</v>
      </c>
      <c r="P23" s="75"/>
      <c r="Q23" s="75"/>
      <c r="R23" s="91">
        <f t="shared" si="63"/>
        <v>0</v>
      </c>
      <c r="S23" s="75"/>
      <c r="T23" s="75"/>
      <c r="U23" s="91">
        <f t="shared" si="64"/>
        <v>0</v>
      </c>
      <c r="V23" s="75"/>
      <c r="W23" s="75"/>
      <c r="X23" s="91">
        <f t="shared" si="65"/>
        <v>0</v>
      </c>
      <c r="Y23" s="91"/>
      <c r="Z23" s="91"/>
      <c r="AA23" s="91"/>
      <c r="AB23" s="91">
        <f t="shared" si="66"/>
        <v>0</v>
      </c>
      <c r="AC23" s="92"/>
      <c r="AD23" s="77"/>
      <c r="AE23" s="93">
        <f t="shared" si="67"/>
        <v>0</v>
      </c>
      <c r="AF23" s="77"/>
      <c r="AG23" s="93">
        <f t="shared" si="68"/>
        <v>0</v>
      </c>
      <c r="AH23" s="77"/>
      <c r="AI23" s="93">
        <f t="shared" si="69"/>
        <v>0</v>
      </c>
      <c r="AJ23" s="77"/>
      <c r="AK23" s="93">
        <f t="shared" si="70"/>
        <v>0</v>
      </c>
      <c r="AL23" s="77"/>
      <c r="AM23" s="93">
        <f t="shared" si="71"/>
        <v>0</v>
      </c>
      <c r="AN23" s="77"/>
      <c r="AO23" s="93">
        <f t="shared" si="72"/>
        <v>0</v>
      </c>
      <c r="AP23" s="94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1">
        <f t="shared" si="59"/>
        <v>0</v>
      </c>
      <c r="G24" s="75"/>
      <c r="H24" s="75"/>
      <c r="I24" s="91">
        <f t="shared" si="60"/>
        <v>0</v>
      </c>
      <c r="J24" s="76"/>
      <c r="K24" s="75"/>
      <c r="L24" s="91">
        <f t="shared" si="61"/>
        <v>0</v>
      </c>
      <c r="M24" s="75"/>
      <c r="N24" s="75"/>
      <c r="O24" s="91">
        <f t="shared" si="62"/>
        <v>0</v>
      </c>
      <c r="P24" s="75"/>
      <c r="Q24" s="75"/>
      <c r="R24" s="91">
        <f t="shared" si="63"/>
        <v>0</v>
      </c>
      <c r="S24" s="75"/>
      <c r="T24" s="75"/>
      <c r="U24" s="91">
        <f t="shared" si="64"/>
        <v>0</v>
      </c>
      <c r="V24" s="75"/>
      <c r="W24" s="75"/>
      <c r="X24" s="91">
        <f t="shared" si="65"/>
        <v>0</v>
      </c>
      <c r="Y24" s="91"/>
      <c r="Z24" s="91"/>
      <c r="AA24" s="91"/>
      <c r="AB24" s="91">
        <f t="shared" si="66"/>
        <v>0</v>
      </c>
      <c r="AC24" s="92"/>
      <c r="AD24" s="77"/>
      <c r="AE24" s="93">
        <f t="shared" si="67"/>
        <v>0</v>
      </c>
      <c r="AF24" s="77"/>
      <c r="AG24" s="93">
        <f t="shared" si="68"/>
        <v>0</v>
      </c>
      <c r="AH24" s="77"/>
      <c r="AI24" s="93">
        <f t="shared" si="69"/>
        <v>0</v>
      </c>
      <c r="AJ24" s="77"/>
      <c r="AK24" s="93">
        <f t="shared" si="70"/>
        <v>0</v>
      </c>
      <c r="AL24" s="77"/>
      <c r="AM24" s="93">
        <f t="shared" si="71"/>
        <v>0</v>
      </c>
      <c r="AN24" s="77"/>
      <c r="AO24" s="93">
        <f t="shared" si="72"/>
        <v>0</v>
      </c>
      <c r="AP24" s="94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1">
        <f t="shared" si="59"/>
        <v>0</v>
      </c>
      <c r="G25" s="75"/>
      <c r="H25" s="75"/>
      <c r="I25" s="91">
        <f t="shared" si="60"/>
        <v>0</v>
      </c>
      <c r="J25" s="76"/>
      <c r="K25" s="75"/>
      <c r="L25" s="91">
        <f t="shared" si="61"/>
        <v>0</v>
      </c>
      <c r="M25" s="75"/>
      <c r="N25" s="75"/>
      <c r="O25" s="91">
        <f t="shared" si="62"/>
        <v>0</v>
      </c>
      <c r="P25" s="75"/>
      <c r="Q25" s="75"/>
      <c r="R25" s="91">
        <f t="shared" si="63"/>
        <v>0</v>
      </c>
      <c r="S25" s="75"/>
      <c r="T25" s="75"/>
      <c r="U25" s="91">
        <f t="shared" si="64"/>
        <v>0</v>
      </c>
      <c r="V25" s="75"/>
      <c r="W25" s="75"/>
      <c r="X25" s="91">
        <f t="shared" si="65"/>
        <v>0</v>
      </c>
      <c r="Y25" s="91"/>
      <c r="Z25" s="91"/>
      <c r="AA25" s="91"/>
      <c r="AB25" s="91">
        <f t="shared" si="66"/>
        <v>0</v>
      </c>
      <c r="AC25" s="92"/>
      <c r="AD25" s="77"/>
      <c r="AE25" s="93">
        <f t="shared" si="67"/>
        <v>0</v>
      </c>
      <c r="AF25" s="77"/>
      <c r="AG25" s="93">
        <f t="shared" si="68"/>
        <v>0</v>
      </c>
      <c r="AH25" s="77"/>
      <c r="AI25" s="93">
        <f t="shared" si="69"/>
        <v>0</v>
      </c>
      <c r="AJ25" s="77"/>
      <c r="AK25" s="93">
        <f t="shared" si="70"/>
        <v>0</v>
      </c>
      <c r="AL25" s="77"/>
      <c r="AM25" s="93">
        <f t="shared" si="71"/>
        <v>0</v>
      </c>
      <c r="AN25" s="77"/>
      <c r="AO25" s="93">
        <f t="shared" si="72"/>
        <v>0</v>
      </c>
      <c r="AP25" s="94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1">
        <f t="shared" si="59"/>
        <v>0</v>
      </c>
      <c r="G26" s="75"/>
      <c r="H26" s="75"/>
      <c r="I26" s="91">
        <f t="shared" si="60"/>
        <v>0</v>
      </c>
      <c r="J26" s="76"/>
      <c r="K26" s="75"/>
      <c r="L26" s="91">
        <f t="shared" si="61"/>
        <v>0</v>
      </c>
      <c r="M26" s="75"/>
      <c r="N26" s="75"/>
      <c r="O26" s="91">
        <f t="shared" si="62"/>
        <v>0</v>
      </c>
      <c r="P26" s="75"/>
      <c r="Q26" s="75"/>
      <c r="R26" s="91">
        <f t="shared" si="63"/>
        <v>0</v>
      </c>
      <c r="S26" s="75"/>
      <c r="T26" s="75"/>
      <c r="U26" s="91">
        <f t="shared" si="64"/>
        <v>0</v>
      </c>
      <c r="V26" s="75"/>
      <c r="W26" s="75"/>
      <c r="X26" s="91">
        <f t="shared" si="65"/>
        <v>0</v>
      </c>
      <c r="Y26" s="91"/>
      <c r="Z26" s="91"/>
      <c r="AA26" s="91"/>
      <c r="AB26" s="91">
        <f t="shared" si="66"/>
        <v>0</v>
      </c>
      <c r="AC26" s="92"/>
      <c r="AD26" s="77"/>
      <c r="AE26" s="93">
        <f t="shared" si="67"/>
        <v>0</v>
      </c>
      <c r="AF26" s="77"/>
      <c r="AG26" s="93">
        <f t="shared" si="68"/>
        <v>0</v>
      </c>
      <c r="AH26" s="77"/>
      <c r="AI26" s="93">
        <f t="shared" si="69"/>
        <v>0</v>
      </c>
      <c r="AJ26" s="77"/>
      <c r="AK26" s="93">
        <f t="shared" si="70"/>
        <v>0</v>
      </c>
      <c r="AL26" s="77"/>
      <c r="AM26" s="93">
        <f t="shared" si="71"/>
        <v>0</v>
      </c>
      <c r="AN26" s="77"/>
      <c r="AO26" s="93">
        <f t="shared" si="72"/>
        <v>0</v>
      </c>
      <c r="AP26" s="94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1">
        <f t="shared" si="59"/>
        <v>0</v>
      </c>
      <c r="G27" s="75"/>
      <c r="H27" s="75"/>
      <c r="I27" s="91">
        <f t="shared" si="60"/>
        <v>0</v>
      </c>
      <c r="J27" s="76"/>
      <c r="K27" s="75"/>
      <c r="L27" s="91">
        <f t="shared" si="61"/>
        <v>0</v>
      </c>
      <c r="M27" s="75"/>
      <c r="N27" s="75"/>
      <c r="O27" s="91">
        <f t="shared" si="62"/>
        <v>0</v>
      </c>
      <c r="P27" s="75"/>
      <c r="Q27" s="75"/>
      <c r="R27" s="91">
        <f t="shared" si="63"/>
        <v>0</v>
      </c>
      <c r="S27" s="75"/>
      <c r="T27" s="75"/>
      <c r="U27" s="91">
        <f t="shared" si="64"/>
        <v>0</v>
      </c>
      <c r="V27" s="75"/>
      <c r="W27" s="75"/>
      <c r="X27" s="91">
        <f t="shared" si="65"/>
        <v>0</v>
      </c>
      <c r="Y27" s="91"/>
      <c r="Z27" s="91"/>
      <c r="AA27" s="91"/>
      <c r="AB27" s="91">
        <f t="shared" si="66"/>
        <v>0</v>
      </c>
      <c r="AC27" s="92"/>
      <c r="AD27" s="77"/>
      <c r="AE27" s="93">
        <f t="shared" si="67"/>
        <v>0</v>
      </c>
      <c r="AF27" s="77"/>
      <c r="AG27" s="93">
        <f t="shared" si="68"/>
        <v>0</v>
      </c>
      <c r="AH27" s="77"/>
      <c r="AI27" s="93">
        <f t="shared" si="69"/>
        <v>0</v>
      </c>
      <c r="AJ27" s="77"/>
      <c r="AK27" s="93">
        <f t="shared" si="70"/>
        <v>0</v>
      </c>
      <c r="AL27" s="77"/>
      <c r="AM27" s="93">
        <f t="shared" si="71"/>
        <v>0</v>
      </c>
      <c r="AN27" s="77"/>
      <c r="AO27" s="93">
        <f t="shared" si="72"/>
        <v>0</v>
      </c>
      <c r="AP27" s="94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1">
        <f t="shared" si="59"/>
        <v>0</v>
      </c>
      <c r="G28" s="75"/>
      <c r="H28" s="75"/>
      <c r="I28" s="91">
        <f t="shared" si="60"/>
        <v>0</v>
      </c>
      <c r="J28" s="76"/>
      <c r="K28" s="75"/>
      <c r="L28" s="91">
        <f t="shared" si="61"/>
        <v>0</v>
      </c>
      <c r="M28" s="75"/>
      <c r="N28" s="75"/>
      <c r="O28" s="91">
        <f t="shared" si="62"/>
        <v>0</v>
      </c>
      <c r="P28" s="75"/>
      <c r="Q28" s="75"/>
      <c r="R28" s="91">
        <f t="shared" si="63"/>
        <v>0</v>
      </c>
      <c r="S28" s="75"/>
      <c r="T28" s="75"/>
      <c r="U28" s="91">
        <f t="shared" si="64"/>
        <v>0</v>
      </c>
      <c r="V28" s="75"/>
      <c r="W28" s="75"/>
      <c r="X28" s="91">
        <f t="shared" si="65"/>
        <v>0</v>
      </c>
      <c r="Y28" s="91"/>
      <c r="Z28" s="91"/>
      <c r="AA28" s="91"/>
      <c r="AB28" s="91">
        <f t="shared" si="66"/>
        <v>0</v>
      </c>
      <c r="AC28" s="92"/>
      <c r="AD28" s="77"/>
      <c r="AE28" s="93">
        <f t="shared" si="67"/>
        <v>0</v>
      </c>
      <c r="AF28" s="77"/>
      <c r="AG28" s="93">
        <f t="shared" si="68"/>
        <v>0</v>
      </c>
      <c r="AH28" s="77"/>
      <c r="AI28" s="93">
        <f t="shared" si="69"/>
        <v>0</v>
      </c>
      <c r="AJ28" s="77"/>
      <c r="AK28" s="93">
        <f t="shared" si="70"/>
        <v>0</v>
      </c>
      <c r="AL28" s="77"/>
      <c r="AM28" s="93">
        <f t="shared" si="71"/>
        <v>0</v>
      </c>
      <c r="AN28" s="77"/>
      <c r="AO28" s="93">
        <f t="shared" si="72"/>
        <v>0</v>
      </c>
      <c r="AP28" s="94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1">
        <f t="shared" si="59"/>
        <v>0</v>
      </c>
      <c r="G29" s="75"/>
      <c r="H29" s="75"/>
      <c r="I29" s="91">
        <f t="shared" si="60"/>
        <v>0</v>
      </c>
      <c r="J29" s="76"/>
      <c r="K29" s="75"/>
      <c r="L29" s="91">
        <f t="shared" si="61"/>
        <v>0</v>
      </c>
      <c r="M29" s="75"/>
      <c r="N29" s="75"/>
      <c r="O29" s="91">
        <f t="shared" si="62"/>
        <v>0</v>
      </c>
      <c r="P29" s="75"/>
      <c r="Q29" s="75"/>
      <c r="R29" s="91">
        <f t="shared" si="63"/>
        <v>0</v>
      </c>
      <c r="S29" s="75"/>
      <c r="T29" s="75"/>
      <c r="U29" s="91">
        <f t="shared" si="64"/>
        <v>0</v>
      </c>
      <c r="V29" s="75"/>
      <c r="W29" s="75"/>
      <c r="X29" s="91">
        <f t="shared" si="65"/>
        <v>0</v>
      </c>
      <c r="Y29" s="91"/>
      <c r="Z29" s="91"/>
      <c r="AA29" s="91"/>
      <c r="AB29" s="91">
        <f t="shared" si="66"/>
        <v>0</v>
      </c>
      <c r="AC29" s="92"/>
      <c r="AD29" s="77"/>
      <c r="AE29" s="93">
        <f t="shared" si="67"/>
        <v>0</v>
      </c>
      <c r="AF29" s="77"/>
      <c r="AG29" s="93">
        <f t="shared" si="68"/>
        <v>0</v>
      </c>
      <c r="AH29" s="77"/>
      <c r="AI29" s="93">
        <f t="shared" si="69"/>
        <v>0</v>
      </c>
      <c r="AJ29" s="77"/>
      <c r="AK29" s="93">
        <f t="shared" si="70"/>
        <v>0</v>
      </c>
      <c r="AL29" s="77"/>
      <c r="AM29" s="93">
        <f t="shared" si="71"/>
        <v>0</v>
      </c>
      <c r="AN29" s="77"/>
      <c r="AO29" s="93">
        <f t="shared" si="72"/>
        <v>0</v>
      </c>
      <c r="AP29" s="94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1">
        <f t="shared" si="15"/>
        <v>0</v>
      </c>
      <c r="G30" s="75"/>
      <c r="H30" s="75"/>
      <c r="I30" s="91">
        <f t="shared" si="16"/>
        <v>0</v>
      </c>
      <c r="J30" s="76"/>
      <c r="K30" s="75"/>
      <c r="L30" s="91">
        <f t="shared" si="17"/>
        <v>0</v>
      </c>
      <c r="M30" s="75"/>
      <c r="N30" s="75"/>
      <c r="O30" s="91">
        <f t="shared" si="18"/>
        <v>0</v>
      </c>
      <c r="P30" s="75"/>
      <c r="Q30" s="75"/>
      <c r="R30" s="91">
        <f t="shared" si="19"/>
        <v>0</v>
      </c>
      <c r="S30" s="75"/>
      <c r="T30" s="75"/>
      <c r="U30" s="91">
        <f t="shared" si="20"/>
        <v>0</v>
      </c>
      <c r="V30" s="75"/>
      <c r="W30" s="75"/>
      <c r="X30" s="91">
        <f t="shared" si="21"/>
        <v>0</v>
      </c>
      <c r="Y30" s="91"/>
      <c r="Z30" s="91"/>
      <c r="AA30" s="91"/>
      <c r="AB30" s="91">
        <f t="shared" si="22"/>
        <v>0</v>
      </c>
      <c r="AC30" s="92"/>
      <c r="AD30" s="77"/>
      <c r="AE30" s="93">
        <f t="shared" si="1"/>
        <v>0</v>
      </c>
      <c r="AF30" s="77"/>
      <c r="AG30" s="93">
        <f t="shared" si="2"/>
        <v>0</v>
      </c>
      <c r="AH30" s="77"/>
      <c r="AI30" s="93">
        <f t="shared" si="3"/>
        <v>0</v>
      </c>
      <c r="AJ30" s="77"/>
      <c r="AK30" s="93">
        <f t="shared" si="4"/>
        <v>0</v>
      </c>
      <c r="AL30" s="77"/>
      <c r="AM30" s="93">
        <f t="shared" si="5"/>
        <v>0</v>
      </c>
      <c r="AN30" s="77"/>
      <c r="AO30" s="93">
        <f t="shared" si="6"/>
        <v>0</v>
      </c>
      <c r="AP30" s="94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1">
        <f t="shared" si="15"/>
        <v>0</v>
      </c>
      <c r="G31" s="75"/>
      <c r="H31" s="75"/>
      <c r="I31" s="91">
        <f t="shared" si="16"/>
        <v>0</v>
      </c>
      <c r="J31" s="76"/>
      <c r="K31" s="75"/>
      <c r="L31" s="91">
        <f t="shared" si="17"/>
        <v>0</v>
      </c>
      <c r="M31" s="75"/>
      <c r="N31" s="75"/>
      <c r="O31" s="91">
        <f t="shared" si="18"/>
        <v>0</v>
      </c>
      <c r="P31" s="75"/>
      <c r="Q31" s="75"/>
      <c r="R31" s="91">
        <f t="shared" si="19"/>
        <v>0</v>
      </c>
      <c r="S31" s="75"/>
      <c r="T31" s="75"/>
      <c r="U31" s="91">
        <f t="shared" si="20"/>
        <v>0</v>
      </c>
      <c r="V31" s="75"/>
      <c r="W31" s="75"/>
      <c r="X31" s="91">
        <f t="shared" si="21"/>
        <v>0</v>
      </c>
      <c r="Y31" s="91"/>
      <c r="Z31" s="91"/>
      <c r="AA31" s="91"/>
      <c r="AB31" s="91">
        <f t="shared" si="22"/>
        <v>0</v>
      </c>
      <c r="AC31" s="92"/>
      <c r="AD31" s="77"/>
      <c r="AE31" s="93">
        <f t="shared" si="1"/>
        <v>0</v>
      </c>
      <c r="AF31" s="77"/>
      <c r="AG31" s="93">
        <f t="shared" si="2"/>
        <v>0</v>
      </c>
      <c r="AH31" s="77"/>
      <c r="AI31" s="93">
        <f t="shared" si="3"/>
        <v>0</v>
      </c>
      <c r="AJ31" s="77"/>
      <c r="AK31" s="93">
        <f t="shared" si="4"/>
        <v>0</v>
      </c>
      <c r="AL31" s="77"/>
      <c r="AM31" s="93">
        <f t="shared" si="5"/>
        <v>0</v>
      </c>
      <c r="AN31" s="77"/>
      <c r="AO31" s="93">
        <f t="shared" si="6"/>
        <v>0</v>
      </c>
      <c r="AP31" s="94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1">
        <f t="shared" si="15"/>
        <v>0</v>
      </c>
      <c r="G32" s="75"/>
      <c r="H32" s="75"/>
      <c r="I32" s="91">
        <f t="shared" si="16"/>
        <v>0</v>
      </c>
      <c r="J32" s="76"/>
      <c r="K32" s="75"/>
      <c r="L32" s="91">
        <f t="shared" si="17"/>
        <v>0</v>
      </c>
      <c r="M32" s="75"/>
      <c r="N32" s="75"/>
      <c r="O32" s="91">
        <f t="shared" si="18"/>
        <v>0</v>
      </c>
      <c r="P32" s="75"/>
      <c r="Q32" s="75"/>
      <c r="R32" s="91">
        <f t="shared" si="19"/>
        <v>0</v>
      </c>
      <c r="S32" s="75"/>
      <c r="T32" s="75"/>
      <c r="U32" s="91">
        <f t="shared" si="20"/>
        <v>0</v>
      </c>
      <c r="V32" s="75"/>
      <c r="W32" s="75"/>
      <c r="X32" s="91">
        <f t="shared" si="21"/>
        <v>0</v>
      </c>
      <c r="Y32" s="91"/>
      <c r="Z32" s="91"/>
      <c r="AA32" s="91"/>
      <c r="AB32" s="91">
        <f t="shared" si="22"/>
        <v>0</v>
      </c>
      <c r="AC32" s="92"/>
      <c r="AD32" s="77"/>
      <c r="AE32" s="93">
        <f t="shared" si="1"/>
        <v>0</v>
      </c>
      <c r="AF32" s="77"/>
      <c r="AG32" s="93">
        <f t="shared" si="2"/>
        <v>0</v>
      </c>
      <c r="AH32" s="77"/>
      <c r="AI32" s="93">
        <f t="shared" si="3"/>
        <v>0</v>
      </c>
      <c r="AJ32" s="77"/>
      <c r="AK32" s="93">
        <f t="shared" si="4"/>
        <v>0</v>
      </c>
      <c r="AL32" s="77"/>
      <c r="AM32" s="93">
        <f t="shared" si="5"/>
        <v>0</v>
      </c>
      <c r="AN32" s="77"/>
      <c r="AO32" s="93">
        <f t="shared" si="6"/>
        <v>0</v>
      </c>
      <c r="AP32" s="94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1">
        <f t="shared" si="15"/>
        <v>0</v>
      </c>
      <c r="G33" s="75"/>
      <c r="H33" s="75"/>
      <c r="I33" s="91">
        <f t="shared" si="16"/>
        <v>0</v>
      </c>
      <c r="J33" s="76"/>
      <c r="K33" s="75"/>
      <c r="L33" s="91">
        <f t="shared" si="17"/>
        <v>0</v>
      </c>
      <c r="M33" s="75"/>
      <c r="N33" s="75"/>
      <c r="O33" s="91">
        <f t="shared" si="18"/>
        <v>0</v>
      </c>
      <c r="P33" s="75"/>
      <c r="Q33" s="75"/>
      <c r="R33" s="91">
        <f t="shared" si="19"/>
        <v>0</v>
      </c>
      <c r="S33" s="75"/>
      <c r="T33" s="75"/>
      <c r="U33" s="91">
        <f t="shared" si="20"/>
        <v>0</v>
      </c>
      <c r="V33" s="75"/>
      <c r="W33" s="75"/>
      <c r="X33" s="91">
        <f t="shared" si="21"/>
        <v>0</v>
      </c>
      <c r="Y33" s="91"/>
      <c r="Z33" s="91"/>
      <c r="AA33" s="91"/>
      <c r="AB33" s="91">
        <f t="shared" si="22"/>
        <v>0</v>
      </c>
      <c r="AC33" s="92"/>
      <c r="AD33" s="77"/>
      <c r="AE33" s="93">
        <f t="shared" si="1"/>
        <v>0</v>
      </c>
      <c r="AF33" s="77"/>
      <c r="AG33" s="93">
        <f t="shared" si="2"/>
        <v>0</v>
      </c>
      <c r="AH33" s="77"/>
      <c r="AI33" s="93">
        <f t="shared" si="3"/>
        <v>0</v>
      </c>
      <c r="AJ33" s="77"/>
      <c r="AK33" s="93">
        <f t="shared" si="4"/>
        <v>0</v>
      </c>
      <c r="AL33" s="77"/>
      <c r="AM33" s="93">
        <f t="shared" si="5"/>
        <v>0</v>
      </c>
      <c r="AN33" s="77"/>
      <c r="AO33" s="93">
        <f t="shared" si="6"/>
        <v>0</v>
      </c>
      <c r="AP33" s="94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1">
        <f t="shared" si="15"/>
        <v>0</v>
      </c>
      <c r="G34" s="75"/>
      <c r="H34" s="75"/>
      <c r="I34" s="91">
        <f t="shared" si="16"/>
        <v>0</v>
      </c>
      <c r="J34" s="76"/>
      <c r="K34" s="75"/>
      <c r="L34" s="91">
        <f t="shared" si="17"/>
        <v>0</v>
      </c>
      <c r="M34" s="75"/>
      <c r="N34" s="75"/>
      <c r="O34" s="91">
        <f t="shared" si="18"/>
        <v>0</v>
      </c>
      <c r="P34" s="75"/>
      <c r="Q34" s="75"/>
      <c r="R34" s="91">
        <f t="shared" si="19"/>
        <v>0</v>
      </c>
      <c r="S34" s="75"/>
      <c r="T34" s="75"/>
      <c r="U34" s="91">
        <f t="shared" si="20"/>
        <v>0</v>
      </c>
      <c r="V34" s="75"/>
      <c r="W34" s="75"/>
      <c r="X34" s="91">
        <f t="shared" si="21"/>
        <v>0</v>
      </c>
      <c r="Y34" s="91"/>
      <c r="Z34" s="91"/>
      <c r="AA34" s="91"/>
      <c r="AB34" s="91">
        <f t="shared" si="22"/>
        <v>0</v>
      </c>
      <c r="AC34" s="92"/>
      <c r="AD34" s="77"/>
      <c r="AE34" s="93">
        <f t="shared" si="1"/>
        <v>0</v>
      </c>
      <c r="AF34" s="77"/>
      <c r="AG34" s="93">
        <f t="shared" si="2"/>
        <v>0</v>
      </c>
      <c r="AH34" s="77"/>
      <c r="AI34" s="93">
        <f t="shared" si="3"/>
        <v>0</v>
      </c>
      <c r="AJ34" s="77"/>
      <c r="AK34" s="93">
        <f t="shared" si="4"/>
        <v>0</v>
      </c>
      <c r="AL34" s="77"/>
      <c r="AM34" s="93">
        <f t="shared" si="5"/>
        <v>0</v>
      </c>
      <c r="AN34" s="77"/>
      <c r="AO34" s="93">
        <f t="shared" si="6"/>
        <v>0</v>
      </c>
      <c r="AP34" s="94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1">
        <f t="shared" si="15"/>
        <v>0</v>
      </c>
      <c r="G35" s="75"/>
      <c r="H35" s="75"/>
      <c r="I35" s="91">
        <f t="shared" si="16"/>
        <v>0</v>
      </c>
      <c r="J35" s="76"/>
      <c r="K35" s="75"/>
      <c r="L35" s="91">
        <f t="shared" si="17"/>
        <v>0</v>
      </c>
      <c r="M35" s="75"/>
      <c r="N35" s="75"/>
      <c r="O35" s="91">
        <f t="shared" si="18"/>
        <v>0</v>
      </c>
      <c r="P35" s="75"/>
      <c r="Q35" s="75"/>
      <c r="R35" s="91">
        <f t="shared" si="19"/>
        <v>0</v>
      </c>
      <c r="S35" s="75"/>
      <c r="T35" s="75"/>
      <c r="U35" s="91">
        <f t="shared" si="20"/>
        <v>0</v>
      </c>
      <c r="V35" s="75"/>
      <c r="W35" s="75"/>
      <c r="X35" s="91">
        <f t="shared" si="21"/>
        <v>0</v>
      </c>
      <c r="Y35" s="91"/>
      <c r="Z35" s="91"/>
      <c r="AA35" s="91"/>
      <c r="AB35" s="91">
        <f t="shared" si="22"/>
        <v>0</v>
      </c>
      <c r="AC35" s="92"/>
      <c r="AD35" s="77"/>
      <c r="AE35" s="93">
        <f t="shared" si="1"/>
        <v>0</v>
      </c>
      <c r="AF35" s="77"/>
      <c r="AG35" s="93">
        <f t="shared" si="2"/>
        <v>0</v>
      </c>
      <c r="AH35" s="77"/>
      <c r="AI35" s="93">
        <f t="shared" si="3"/>
        <v>0</v>
      </c>
      <c r="AJ35" s="77"/>
      <c r="AK35" s="93">
        <f t="shared" si="4"/>
        <v>0</v>
      </c>
      <c r="AL35" s="77"/>
      <c r="AM35" s="93">
        <f t="shared" si="5"/>
        <v>0</v>
      </c>
      <c r="AN35" s="77"/>
      <c r="AO35" s="93">
        <f t="shared" si="6"/>
        <v>0</v>
      </c>
      <c r="AP35" s="94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1">
        <f t="shared" si="15"/>
        <v>0</v>
      </c>
      <c r="G36" s="75"/>
      <c r="H36" s="75"/>
      <c r="I36" s="91">
        <f t="shared" si="16"/>
        <v>0</v>
      </c>
      <c r="J36" s="76"/>
      <c r="K36" s="75"/>
      <c r="L36" s="91">
        <f t="shared" si="17"/>
        <v>0</v>
      </c>
      <c r="M36" s="75"/>
      <c r="N36" s="75"/>
      <c r="O36" s="91">
        <f t="shared" si="18"/>
        <v>0</v>
      </c>
      <c r="P36" s="75"/>
      <c r="Q36" s="75"/>
      <c r="R36" s="91">
        <f t="shared" si="19"/>
        <v>0</v>
      </c>
      <c r="S36" s="75"/>
      <c r="T36" s="75"/>
      <c r="U36" s="91">
        <f t="shared" si="20"/>
        <v>0</v>
      </c>
      <c r="V36" s="75"/>
      <c r="W36" s="75"/>
      <c r="X36" s="91">
        <f t="shared" si="21"/>
        <v>0</v>
      </c>
      <c r="Y36" s="91"/>
      <c r="Z36" s="91"/>
      <c r="AA36" s="91"/>
      <c r="AB36" s="91">
        <f t="shared" si="22"/>
        <v>0</v>
      </c>
      <c r="AC36" s="92"/>
      <c r="AD36" s="77"/>
      <c r="AE36" s="93">
        <f t="shared" si="1"/>
        <v>0</v>
      </c>
      <c r="AF36" s="77"/>
      <c r="AG36" s="93">
        <f t="shared" si="2"/>
        <v>0</v>
      </c>
      <c r="AH36" s="77"/>
      <c r="AI36" s="93">
        <f t="shared" si="3"/>
        <v>0</v>
      </c>
      <c r="AJ36" s="77"/>
      <c r="AK36" s="93">
        <f t="shared" si="4"/>
        <v>0</v>
      </c>
      <c r="AL36" s="77"/>
      <c r="AM36" s="93">
        <f t="shared" si="5"/>
        <v>0</v>
      </c>
      <c r="AN36" s="77"/>
      <c r="AO36" s="93">
        <f t="shared" si="6"/>
        <v>0</v>
      </c>
      <c r="AP36" s="94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X2" activePane="bottomRight" state="frozen"/>
      <selection pane="topRight" activeCell="D1" sqref="D1"/>
      <selection pane="bottomLeft" activeCell="A2" sqref="A2"/>
      <selection pane="bottomRight" activeCell="AJ2" sqref="AJ2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10155</v>
      </c>
      <c r="B2" s="73" t="s">
        <v>43</v>
      </c>
      <c r="C2" s="102" t="s">
        <v>1508</v>
      </c>
      <c r="D2" s="75">
        <v>0.41666666666666669</v>
      </c>
      <c r="E2" s="75">
        <v>0.65972222222222221</v>
      </c>
      <c r="F2" s="91">
        <f>BA2-BB2</f>
        <v>5.3333333333333321</v>
      </c>
      <c r="G2" s="75"/>
      <c r="H2" s="76"/>
      <c r="I2" s="91">
        <f>BF2-BG2</f>
        <v>0</v>
      </c>
      <c r="J2" s="75"/>
      <c r="K2" s="76"/>
      <c r="L2" s="91">
        <f>BK2-BL2</f>
        <v>0</v>
      </c>
      <c r="M2" s="75"/>
      <c r="N2" s="76"/>
      <c r="O2" s="91">
        <f>BP2-BQ2</f>
        <v>0</v>
      </c>
      <c r="P2" s="75"/>
      <c r="Q2" s="76"/>
      <c r="R2" s="91">
        <f>BU2-BV2</f>
        <v>0</v>
      </c>
      <c r="S2" s="75">
        <v>0.375</v>
      </c>
      <c r="T2" s="75">
        <v>0.79166666666666663</v>
      </c>
      <c r="U2" s="91">
        <f>BZ2-CA2</f>
        <v>9</v>
      </c>
      <c r="V2" s="75">
        <v>0.375</v>
      </c>
      <c r="W2" s="76">
        <v>0.5</v>
      </c>
      <c r="X2" s="91">
        <f>CE2-CF2</f>
        <v>3</v>
      </c>
      <c r="Y2" s="91"/>
      <c r="Z2" s="91"/>
      <c r="AA2" s="91"/>
      <c r="AB2" s="95">
        <f>SUM(F2,I2,L2,O2,R2,U2,X2)</f>
        <v>17.333333333333332</v>
      </c>
      <c r="AC2" s="92"/>
      <c r="AD2" s="78">
        <v>1</v>
      </c>
      <c r="AE2" s="93">
        <f>SUMIF($BC$1:$CI$1,AE$1,$BC2:$CI2)+AD2</f>
        <v>1</v>
      </c>
      <c r="AF2" s="78"/>
      <c r="AG2" s="93">
        <f>SUMIF($BC$1:$CI$1,AG$1,$BC2:$CI2)+AF2</f>
        <v>9</v>
      </c>
      <c r="AH2" s="78"/>
      <c r="AI2" s="93">
        <f>SUMIF($BC$1:$CI$1,AI$1,$BC2:$CI2)+AH2</f>
        <v>3</v>
      </c>
      <c r="AJ2" s="77">
        <v>0.5</v>
      </c>
      <c r="AK2" s="93">
        <f>SUMIF($BC$1:$CI$1,AK$1,$BC2:$CI2)+AJ2</f>
        <v>5.8333333333333321</v>
      </c>
      <c r="AL2" s="78"/>
      <c r="AM2" s="93">
        <f>SUMIF($BC$1:$CI$1,AM$1,$BC2:$CI2)+AL2</f>
        <v>0</v>
      </c>
      <c r="AN2" s="77"/>
      <c r="AO2" s="93">
        <f>SUMIF($BC$1:$CI$1,AO$1,$BC2:$CI2)+AN2</f>
        <v>0</v>
      </c>
      <c r="AP2" s="94">
        <f>CK2</f>
        <v>3</v>
      </c>
      <c r="AQ2" s="77"/>
      <c r="AR2" s="77"/>
      <c r="AS2" s="77"/>
      <c r="AT2" s="63">
        <f>AE2+AG2+AI2+AK2+AM2+AO2+SUM(AQ2:AS2)</f>
        <v>18.833333333333332</v>
      </c>
      <c r="AU2" s="78"/>
      <c r="AV2" s="5"/>
      <c r="AW2" s="5"/>
      <c r="AX2" s="5"/>
      <c r="AY2" s="5"/>
      <c r="AZ2" s="24">
        <f>VLOOKUP(C2,Employees!D:I,6,FALSE)</f>
        <v>10155</v>
      </c>
      <c r="BA2" s="5">
        <f>IF(ISBLANK(D2),0,(E2-D2)*24)</f>
        <v>5.8333333333333321</v>
      </c>
      <c r="BB2" s="5">
        <f>IF(BA2&gt;$AY$1,1,IF(BA2&gt;=$AX$1,0.5,0))</f>
        <v>0.5</v>
      </c>
      <c r="BC2" s="5">
        <f>BA2-BB2-BD2-BE2</f>
        <v>5.3333333333333321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10</v>
      </c>
      <c r="CA2" s="5">
        <f>IF(BZ2&gt;$AY$1,1,IF(BZ2&gt;=$AX$1,0.5,0))</f>
        <v>1</v>
      </c>
      <c r="CB2" s="5">
        <f>BZ2-CA2-CC2-CD2</f>
        <v>9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3</v>
      </c>
      <c r="CF2" s="5">
        <f>IF(CE2&gt;$AY$1,1,IF(CE2&gt;=$AX$1,0.5,0))</f>
        <v>0</v>
      </c>
      <c r="CG2" s="5">
        <f>CE2-CF2-CH2-CI2</f>
        <v>3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3</v>
      </c>
    </row>
    <row r="3" spans="1:89" ht="47" customHeight="1">
      <c r="A3" s="74">
        <f t="shared" si="0"/>
        <v>10369</v>
      </c>
      <c r="B3" s="73" t="s">
        <v>43</v>
      </c>
      <c r="C3" s="103" t="s">
        <v>1509</v>
      </c>
      <c r="D3" s="75"/>
      <c r="E3" s="75"/>
      <c r="F3" s="91">
        <f t="shared" ref="F3:F74" si="9">BA3-BB3</f>
        <v>0</v>
      </c>
      <c r="G3" s="100">
        <v>0.41666666666666669</v>
      </c>
      <c r="H3" s="84">
        <v>0.625</v>
      </c>
      <c r="I3" s="91">
        <f t="shared" ref="I3:I74" si="10">BF3-BG3</f>
        <v>5</v>
      </c>
      <c r="J3" s="100">
        <v>0.41666666666666669</v>
      </c>
      <c r="K3" s="84">
        <v>0.625</v>
      </c>
      <c r="L3" s="91">
        <f t="shared" ref="L3:L74" si="11">BK3-BL3</f>
        <v>5</v>
      </c>
      <c r="M3" s="100">
        <v>0.375</v>
      </c>
      <c r="N3" s="84">
        <v>0.625</v>
      </c>
      <c r="O3" s="91">
        <f t="shared" ref="O3:O74" si="12">BP3-BQ3</f>
        <v>5.5</v>
      </c>
      <c r="P3" s="100">
        <v>0.375</v>
      </c>
      <c r="Q3" s="84">
        <v>0.625</v>
      </c>
      <c r="R3" s="91">
        <f t="shared" ref="R3:R74" si="13">BU3-BV3</f>
        <v>5.5</v>
      </c>
      <c r="S3" s="84"/>
      <c r="T3" s="84"/>
      <c r="U3" s="91">
        <f t="shared" ref="U3:U74" si="14">BZ3-CA3</f>
        <v>0</v>
      </c>
      <c r="V3" s="75"/>
      <c r="W3" s="75"/>
      <c r="X3" s="91">
        <f t="shared" ref="X3:X74" si="15">CE3-CF3</f>
        <v>0</v>
      </c>
      <c r="Y3" s="91"/>
      <c r="Z3" s="91"/>
      <c r="AA3" s="91"/>
      <c r="AB3" s="95">
        <f t="shared" ref="AB3:AB74" si="16">SUM(F3,I3,L3,O3,R3,U3,X3)</f>
        <v>21</v>
      </c>
      <c r="AC3" s="92"/>
      <c r="AD3" s="78"/>
      <c r="AE3" s="93">
        <f t="shared" ref="AE3:AE74" si="17">SUMIF($BC$1:$CI$1,AE$1,$BC3:$CI3)+AD3</f>
        <v>21</v>
      </c>
      <c r="AF3" s="78"/>
      <c r="AG3" s="93">
        <f t="shared" ref="AG3:AG74" si="18">SUMIF($BC$1:$CI$1,AG$1,$BC3:$CI3)+AF3</f>
        <v>0</v>
      </c>
      <c r="AH3" s="78"/>
      <c r="AI3" s="93">
        <f t="shared" ref="AI3:AI74" si="19">SUMIF($BC$1:$CI$1,AI$1,$BC3:$CI3)+AH3</f>
        <v>0</v>
      </c>
      <c r="AJ3" s="77"/>
      <c r="AK3" s="93">
        <f t="shared" ref="AK3:AK74" si="20">SUMIF($BC$1:$CI$1,AK$1,$BC3:$CI3)+AJ3</f>
        <v>0</v>
      </c>
      <c r="AL3" s="78"/>
      <c r="AM3" s="93">
        <f t="shared" ref="AM3:AM74" si="21">SUMIF($BC$1:$CI$1,AM$1,$BC3:$CI3)+AL3</f>
        <v>0</v>
      </c>
      <c r="AN3" s="77"/>
      <c r="AO3" s="93">
        <f t="shared" ref="AO3:AO74" si="22">SUMIF($BC$1:$CI$1,AO$1,$BC3:$CI3)+AN3</f>
        <v>0</v>
      </c>
      <c r="AP3" s="94">
        <f t="shared" ref="AP3:AP74" si="23">CK3</f>
        <v>4</v>
      </c>
      <c r="AQ3" s="77"/>
      <c r="AR3" s="77"/>
      <c r="AS3" s="77"/>
      <c r="AT3" s="63">
        <f t="shared" ref="AT3:AT74" si="24">AE3+AG3+AI3+AK3+AM3+AO3+SUM(AQ3:AS3)</f>
        <v>21</v>
      </c>
      <c r="AU3" s="78"/>
      <c r="AV3" s="5"/>
      <c r="AW3" s="5"/>
      <c r="AX3" s="5"/>
      <c r="AY3" s="5"/>
      <c r="AZ3" s="24">
        <f>VLOOKUP(C3,Employees!D:I,6,FALSE)</f>
        <v>10369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5</v>
      </c>
      <c r="BG3" s="5">
        <f t="shared" ref="BG3:BG66" si="31">IF(BF3&gt;$AY$1,1,IF(BF3&gt;=$AX$1,0.5,0))</f>
        <v>0</v>
      </c>
      <c r="BH3" s="5">
        <f t="shared" ref="BH3:BH66" si="32">BF3-BG3-BI3-BJ3</f>
        <v>5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5</v>
      </c>
      <c r="BL3" s="5">
        <f t="shared" ref="BL3:BL66" si="36">IF(BK3&gt;$AY$1,1,IF(BK3&gt;=$AX$1,0.5,0))</f>
        <v>0</v>
      </c>
      <c r="BM3" s="5">
        <f t="shared" ref="BM3:BM66" si="37">BK3-BL3-BN3-BO3</f>
        <v>5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6</v>
      </c>
      <c r="BQ3" s="5">
        <f t="shared" ref="BQ3:BQ66" si="41">IF(BP3&gt;$AY$1,1,IF(BP3&gt;=$AX$1,0.5,0))</f>
        <v>0.5</v>
      </c>
      <c r="BR3" s="5">
        <f t="shared" ref="BR3:BR66" si="42">BP3-BQ3-BS3-BT3</f>
        <v>5.5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6</v>
      </c>
      <c r="BV3" s="5">
        <f t="shared" ref="BV3:BV66" si="46">IF(BU3&gt;$AY$1,1,IF(BU3&gt;=$AX$1,0.5,0))</f>
        <v>0.5</v>
      </c>
      <c r="BW3" s="5">
        <f t="shared" ref="BW3:BW66" si="47">BU3-BV3-BX3-BY3</f>
        <v>5.5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4</v>
      </c>
    </row>
    <row r="4" spans="1:89" ht="47" customHeight="1">
      <c r="A4" s="74">
        <f t="shared" si="0"/>
        <v>210508</v>
      </c>
      <c r="B4" s="73" t="s">
        <v>43</v>
      </c>
      <c r="C4" s="104" t="s">
        <v>1389</v>
      </c>
      <c r="D4" s="75"/>
      <c r="E4" s="75"/>
      <c r="F4" s="91">
        <f t="shared" si="9"/>
        <v>0</v>
      </c>
      <c r="G4" s="75"/>
      <c r="H4" s="75"/>
      <c r="I4" s="91">
        <f t="shared" si="10"/>
        <v>0</v>
      </c>
      <c r="J4" s="75"/>
      <c r="K4" s="75"/>
      <c r="L4" s="91">
        <f t="shared" si="11"/>
        <v>0</v>
      </c>
      <c r="M4" s="75">
        <v>0.70833333333333337</v>
      </c>
      <c r="N4" s="75">
        <v>0.96875</v>
      </c>
      <c r="O4" s="91">
        <f t="shared" si="12"/>
        <v>5.7499999999999991</v>
      </c>
      <c r="P4" s="75">
        <v>0.58333333333333337</v>
      </c>
      <c r="Q4" s="75">
        <v>0.97916666666666663</v>
      </c>
      <c r="R4" s="91">
        <f t="shared" si="13"/>
        <v>8.4999999999999982</v>
      </c>
      <c r="S4" s="75"/>
      <c r="T4" s="75"/>
      <c r="U4" s="91">
        <f t="shared" si="14"/>
        <v>0</v>
      </c>
      <c r="V4" s="75"/>
      <c r="W4" s="75"/>
      <c r="X4" s="91">
        <f t="shared" si="15"/>
        <v>0</v>
      </c>
      <c r="Y4" s="91"/>
      <c r="Z4" s="91"/>
      <c r="AA4" s="91"/>
      <c r="AB4" s="95">
        <f t="shared" si="16"/>
        <v>14.249999999999996</v>
      </c>
      <c r="AC4" s="92"/>
      <c r="AD4" s="78"/>
      <c r="AE4" s="93">
        <f t="shared" si="17"/>
        <v>11.499999999999996</v>
      </c>
      <c r="AF4" s="78"/>
      <c r="AG4" s="93">
        <f t="shared" si="18"/>
        <v>0</v>
      </c>
      <c r="AH4" s="78"/>
      <c r="AI4" s="93">
        <f t="shared" si="19"/>
        <v>0</v>
      </c>
      <c r="AJ4" s="77"/>
      <c r="AK4" s="93">
        <f t="shared" si="20"/>
        <v>0</v>
      </c>
      <c r="AL4" s="78"/>
      <c r="AM4" s="93">
        <f t="shared" si="21"/>
        <v>2.7500000000000009</v>
      </c>
      <c r="AN4" s="77"/>
      <c r="AO4" s="93">
        <f t="shared" si="22"/>
        <v>0</v>
      </c>
      <c r="AP4" s="94">
        <f t="shared" si="23"/>
        <v>2</v>
      </c>
      <c r="AQ4" s="77"/>
      <c r="AR4" s="77"/>
      <c r="AS4" s="77"/>
      <c r="AT4" s="63">
        <f t="shared" si="24"/>
        <v>14.249999999999996</v>
      </c>
      <c r="AU4" s="78"/>
      <c r="AV4" s="5"/>
      <c r="AW4" s="5"/>
      <c r="AX4" s="5"/>
      <c r="AY4" s="5"/>
      <c r="AZ4" s="24">
        <f>VLOOKUP(C4,Employees!D:I,6,FALSE)</f>
        <v>210508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6.2499999999999991</v>
      </c>
      <c r="BQ4" s="5">
        <f t="shared" si="41"/>
        <v>0.5</v>
      </c>
      <c r="BR4" s="5">
        <f t="shared" si="42"/>
        <v>4.4999999999999982</v>
      </c>
      <c r="BS4" s="5">
        <f t="shared" si="43"/>
        <v>1.2500000000000009</v>
      </c>
      <c r="BT4" s="5">
        <f t="shared" si="44"/>
        <v>0</v>
      </c>
      <c r="BU4" s="5">
        <f>IF(ISBLANK(P4),0,(Q4-P4)*24)</f>
        <v>9.4999999999999982</v>
      </c>
      <c r="BV4" s="5">
        <f t="shared" si="46"/>
        <v>1</v>
      </c>
      <c r="BW4" s="5">
        <f t="shared" si="47"/>
        <v>6.9999999999999982</v>
      </c>
      <c r="BX4" s="5">
        <f>IF(AND(Q4&gt;$AV$1, P4&lt;$AW$1),(MIN(Q4,$AW$1)-MAX(P4,$AV$1))*24,0)</f>
        <v>1.5</v>
      </c>
      <c r="BY4" s="5">
        <f>IF(Q4&gt;$AW$1,(Q4-MAX(P4,$AW$1))*24,0)</f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2</v>
      </c>
    </row>
    <row r="5" spans="1:89" ht="47" customHeight="1">
      <c r="A5" s="74">
        <f t="shared" si="0"/>
        <v>10198</v>
      </c>
      <c r="B5" s="73" t="s">
        <v>43</v>
      </c>
      <c r="C5" s="102" t="s">
        <v>1510</v>
      </c>
      <c r="D5" s="76">
        <v>0.625</v>
      </c>
      <c r="E5" s="75">
        <v>0.9375</v>
      </c>
      <c r="F5" s="91">
        <f t="shared" si="9"/>
        <v>7</v>
      </c>
      <c r="G5" s="76"/>
      <c r="H5" s="75"/>
      <c r="I5" s="91">
        <f t="shared" si="10"/>
        <v>0</v>
      </c>
      <c r="J5" s="76"/>
      <c r="K5" s="76"/>
      <c r="L5" s="91">
        <f t="shared" si="11"/>
        <v>0</v>
      </c>
      <c r="M5" s="75"/>
      <c r="N5" s="75"/>
      <c r="O5" s="91">
        <f t="shared" si="12"/>
        <v>0</v>
      </c>
      <c r="P5" s="75"/>
      <c r="Q5" s="75"/>
      <c r="R5" s="91">
        <f t="shared" si="13"/>
        <v>0</v>
      </c>
      <c r="S5" s="76">
        <v>0.4909722222222222</v>
      </c>
      <c r="T5" s="75">
        <v>0.97916666666666663</v>
      </c>
      <c r="U5" s="91">
        <f t="shared" si="14"/>
        <v>10.716666666666667</v>
      </c>
      <c r="V5" s="75">
        <v>0.5</v>
      </c>
      <c r="W5" s="76">
        <v>0.96180555555555558</v>
      </c>
      <c r="X5" s="91">
        <f t="shared" si="15"/>
        <v>10.083333333333334</v>
      </c>
      <c r="Y5" s="91"/>
      <c r="Z5" s="91"/>
      <c r="AA5" s="91"/>
      <c r="AB5" s="95">
        <f t="shared" si="16"/>
        <v>27.800000000000004</v>
      </c>
      <c r="AC5" s="92"/>
      <c r="AD5" s="78"/>
      <c r="AE5" s="93">
        <f t="shared" si="17"/>
        <v>0</v>
      </c>
      <c r="AF5" s="78"/>
      <c r="AG5" s="93">
        <f t="shared" si="18"/>
        <v>10.716666666666667</v>
      </c>
      <c r="AH5" s="78"/>
      <c r="AI5" s="93">
        <f t="shared" si="19"/>
        <v>10.083333333333336</v>
      </c>
      <c r="AJ5" s="77"/>
      <c r="AK5" s="93">
        <f t="shared" si="20"/>
        <v>7</v>
      </c>
      <c r="AL5" s="78"/>
      <c r="AM5" s="93">
        <f t="shared" si="21"/>
        <v>0</v>
      </c>
      <c r="AN5" s="77"/>
      <c r="AO5" s="93">
        <f t="shared" si="22"/>
        <v>0</v>
      </c>
      <c r="AP5" s="94">
        <f t="shared" si="23"/>
        <v>3</v>
      </c>
      <c r="AQ5" s="77"/>
      <c r="AR5" s="77"/>
      <c r="AS5" s="77"/>
      <c r="AT5" s="63">
        <f t="shared" si="24"/>
        <v>27.800000000000004</v>
      </c>
      <c r="AU5" s="78"/>
      <c r="AV5" s="5"/>
      <c r="AW5" s="5"/>
      <c r="AX5" s="5"/>
      <c r="AY5" s="5"/>
      <c r="AZ5" s="24">
        <f>VLOOKUP(C5,Employees!D:I,6,FALSE)</f>
        <v>10198</v>
      </c>
      <c r="BA5" s="5">
        <f t="shared" si="25"/>
        <v>7.5</v>
      </c>
      <c r="BB5" s="5">
        <f t="shared" si="26"/>
        <v>0.5</v>
      </c>
      <c r="BC5" s="5">
        <f t="shared" si="27"/>
        <v>6.4999999999999991</v>
      </c>
      <c r="BD5" s="5">
        <f t="shared" si="28"/>
        <v>0.50000000000000089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>IF(ISBLANK(P5),0,(Q5-P5)*24)</f>
        <v>0</v>
      </c>
      <c r="BV5" s="5">
        <f t="shared" si="46"/>
        <v>0</v>
      </c>
      <c r="BW5" s="5">
        <f t="shared" si="47"/>
        <v>0</v>
      </c>
      <c r="BX5" s="5">
        <f>IF(AND(Q5&gt;$AV$1, P5&lt;$AW$1),(MIN(Q5,$AW$1)-MAX(P5,$AV$1))*24,0)</f>
        <v>0</v>
      </c>
      <c r="BY5" s="5">
        <f>IF(Q5&gt;$AW$1,(Q5-MAX(P5,$AW$1))*24,0)</f>
        <v>0</v>
      </c>
      <c r="BZ5" s="5">
        <f t="shared" si="50"/>
        <v>11.716666666666667</v>
      </c>
      <c r="CA5" s="5">
        <f t="shared" si="51"/>
        <v>1</v>
      </c>
      <c r="CB5" s="5">
        <f t="shared" si="52"/>
        <v>9.2166666666666668</v>
      </c>
      <c r="CC5" s="5">
        <f t="shared" si="53"/>
        <v>1.5</v>
      </c>
      <c r="CD5" s="5">
        <f t="shared" si="54"/>
        <v>0</v>
      </c>
      <c r="CE5" s="5">
        <f t="shared" si="55"/>
        <v>11.083333333333334</v>
      </c>
      <c r="CF5" s="5">
        <f t="shared" si="56"/>
        <v>1</v>
      </c>
      <c r="CG5" s="5">
        <f t="shared" si="57"/>
        <v>9</v>
      </c>
      <c r="CH5" s="5">
        <f t="shared" si="58"/>
        <v>1.0833333333333348</v>
      </c>
      <c r="CI5" s="5">
        <f t="shared" si="59"/>
        <v>0</v>
      </c>
      <c r="CJ5" s="5"/>
      <c r="CK5" s="4">
        <f t="shared" si="8"/>
        <v>3</v>
      </c>
    </row>
    <row r="6" spans="1:89" ht="47" customHeight="1">
      <c r="A6" s="74">
        <f t="shared" si="0"/>
        <v>10410</v>
      </c>
      <c r="B6" s="73" t="s">
        <v>43</v>
      </c>
      <c r="C6" s="103" t="s">
        <v>1122</v>
      </c>
      <c r="D6" s="76">
        <v>0.70833333333333337</v>
      </c>
      <c r="E6" s="75">
        <v>0.96875</v>
      </c>
      <c r="F6" s="91">
        <f t="shared" si="9"/>
        <v>5.7499999999999991</v>
      </c>
      <c r="G6" s="75">
        <v>0.58333333333333337</v>
      </c>
      <c r="H6" s="76">
        <v>0.9375</v>
      </c>
      <c r="I6" s="91">
        <f t="shared" si="10"/>
        <v>8</v>
      </c>
      <c r="J6" s="76"/>
      <c r="K6" s="76"/>
      <c r="L6" s="91">
        <f t="shared" si="11"/>
        <v>0</v>
      </c>
      <c r="M6" s="76"/>
      <c r="N6" s="76"/>
      <c r="O6" s="91">
        <f t="shared" si="12"/>
        <v>0</v>
      </c>
      <c r="P6" s="76"/>
      <c r="Q6" s="75"/>
      <c r="R6" s="91">
        <f t="shared" si="13"/>
        <v>0</v>
      </c>
      <c r="S6" s="75">
        <v>0.66666666666666663</v>
      </c>
      <c r="T6" s="75">
        <v>0.98472222222222228</v>
      </c>
      <c r="U6" s="91">
        <f t="shared" si="14"/>
        <v>7.1333333333333355</v>
      </c>
      <c r="V6" s="75">
        <v>0.58333333333333337</v>
      </c>
      <c r="W6" s="76">
        <v>0.96250000000000002</v>
      </c>
      <c r="X6" s="91">
        <f t="shared" si="15"/>
        <v>8.1</v>
      </c>
      <c r="Y6" s="91"/>
      <c r="Z6" s="91"/>
      <c r="AA6" s="91"/>
      <c r="AB6" s="95">
        <f t="shared" si="16"/>
        <v>28.983333333333334</v>
      </c>
      <c r="AC6" s="92"/>
      <c r="AD6" s="78"/>
      <c r="AE6" s="93">
        <f t="shared" si="17"/>
        <v>7.4999999999999991</v>
      </c>
      <c r="AF6" s="78"/>
      <c r="AG6" s="93">
        <f t="shared" si="18"/>
        <v>7.1333333333333355</v>
      </c>
      <c r="AH6" s="78"/>
      <c r="AI6" s="93">
        <f t="shared" si="19"/>
        <v>8.1</v>
      </c>
      <c r="AJ6" s="77"/>
      <c r="AK6" s="93">
        <f t="shared" si="20"/>
        <v>5.7499999999999991</v>
      </c>
      <c r="AL6" s="78"/>
      <c r="AM6" s="93">
        <f t="shared" si="21"/>
        <v>0.50000000000000089</v>
      </c>
      <c r="AN6" s="77"/>
      <c r="AO6" s="93">
        <f t="shared" si="22"/>
        <v>0</v>
      </c>
      <c r="AP6" s="94">
        <f t="shared" si="23"/>
        <v>4</v>
      </c>
      <c r="AQ6" s="77"/>
      <c r="AR6" s="77"/>
      <c r="AS6" s="77"/>
      <c r="AT6" s="63">
        <f t="shared" si="24"/>
        <v>28.983333333333334</v>
      </c>
      <c r="AU6" s="78"/>
      <c r="AV6" s="5"/>
      <c r="AW6" s="5"/>
      <c r="AX6" s="5"/>
      <c r="AY6" s="5"/>
      <c r="AZ6" s="24">
        <f>VLOOKUP(C6,Employees!D:I,6,FALSE)</f>
        <v>10410</v>
      </c>
      <c r="BA6" s="5">
        <f t="shared" si="25"/>
        <v>6.2499999999999991</v>
      </c>
      <c r="BB6" s="5">
        <f t="shared" si="26"/>
        <v>0.5</v>
      </c>
      <c r="BC6" s="5">
        <f t="shared" si="27"/>
        <v>4.4999999999999982</v>
      </c>
      <c r="BD6" s="5">
        <f t="shared" si="28"/>
        <v>1.2500000000000009</v>
      </c>
      <c r="BE6" s="5">
        <f t="shared" si="29"/>
        <v>0</v>
      </c>
      <c r="BF6" s="5">
        <f t="shared" si="30"/>
        <v>8.5</v>
      </c>
      <c r="BG6" s="5">
        <f t="shared" si="31"/>
        <v>0.5</v>
      </c>
      <c r="BH6" s="5">
        <f t="shared" si="32"/>
        <v>7.4999999999999991</v>
      </c>
      <c r="BI6" s="5">
        <f t="shared" si="33"/>
        <v>0.50000000000000089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7.6333333333333355</v>
      </c>
      <c r="CA6" s="5">
        <f t="shared" si="51"/>
        <v>0.5</v>
      </c>
      <c r="CB6" s="5">
        <f t="shared" si="52"/>
        <v>5.5</v>
      </c>
      <c r="CC6" s="5">
        <f t="shared" si="53"/>
        <v>1.6333333333333355</v>
      </c>
      <c r="CD6" s="5">
        <f t="shared" si="54"/>
        <v>0</v>
      </c>
      <c r="CE6" s="5">
        <f t="shared" si="55"/>
        <v>9.1</v>
      </c>
      <c r="CF6" s="5">
        <f t="shared" si="56"/>
        <v>1</v>
      </c>
      <c r="CG6" s="5">
        <f t="shared" si="57"/>
        <v>6.9999999999999982</v>
      </c>
      <c r="CH6" s="5">
        <f t="shared" si="58"/>
        <v>1.1000000000000014</v>
      </c>
      <c r="CI6" s="5">
        <f t="shared" si="59"/>
        <v>0</v>
      </c>
      <c r="CJ6" s="5"/>
      <c r="CK6" s="4">
        <f t="shared" si="8"/>
        <v>4</v>
      </c>
    </row>
    <row r="7" spans="1:89" ht="47" customHeight="1">
      <c r="A7" s="74">
        <f t="shared" si="0"/>
        <v>210518</v>
      </c>
      <c r="B7" s="73" t="s">
        <v>43</v>
      </c>
      <c r="C7" s="105" t="s">
        <v>1422</v>
      </c>
      <c r="D7" s="76"/>
      <c r="E7" s="76"/>
      <c r="F7" s="91">
        <f t="shared" si="9"/>
        <v>0</v>
      </c>
      <c r="G7" s="76">
        <v>0.70833333333333337</v>
      </c>
      <c r="H7" s="75">
        <v>0.98888888888888893</v>
      </c>
      <c r="I7" s="91">
        <f t="shared" si="10"/>
        <v>6.2333333333333334</v>
      </c>
      <c r="J7" s="76"/>
      <c r="K7" s="76"/>
      <c r="L7" s="91">
        <f t="shared" si="11"/>
        <v>0</v>
      </c>
      <c r="M7" s="76"/>
      <c r="N7" s="76"/>
      <c r="O7" s="91">
        <f t="shared" si="12"/>
        <v>0</v>
      </c>
      <c r="P7" s="76"/>
      <c r="Q7" s="75"/>
      <c r="R7" s="91">
        <f t="shared" si="13"/>
        <v>0</v>
      </c>
      <c r="S7" s="76"/>
      <c r="T7" s="75"/>
      <c r="U7" s="91">
        <f t="shared" si="14"/>
        <v>0</v>
      </c>
      <c r="V7" s="75"/>
      <c r="W7" s="76"/>
      <c r="X7" s="91">
        <f t="shared" si="15"/>
        <v>0</v>
      </c>
      <c r="Y7" s="91"/>
      <c r="Z7" s="91"/>
      <c r="AA7" s="91"/>
      <c r="AB7" s="95">
        <f t="shared" si="16"/>
        <v>6.2333333333333334</v>
      </c>
      <c r="AC7" s="92"/>
      <c r="AD7" s="78"/>
      <c r="AE7" s="93">
        <f t="shared" si="17"/>
        <v>4.4999999999999982</v>
      </c>
      <c r="AF7" s="77"/>
      <c r="AG7" s="93">
        <f t="shared" si="18"/>
        <v>0</v>
      </c>
      <c r="AH7" s="78"/>
      <c r="AI7" s="93">
        <f t="shared" si="19"/>
        <v>0</v>
      </c>
      <c r="AJ7" s="77"/>
      <c r="AK7" s="93">
        <f t="shared" si="20"/>
        <v>0</v>
      </c>
      <c r="AL7" s="78"/>
      <c r="AM7" s="93">
        <f t="shared" si="21"/>
        <v>1.7333333333333352</v>
      </c>
      <c r="AN7" s="77"/>
      <c r="AO7" s="93">
        <f t="shared" si="22"/>
        <v>0</v>
      </c>
      <c r="AP7" s="94">
        <f t="shared" si="23"/>
        <v>1</v>
      </c>
      <c r="AQ7" s="77"/>
      <c r="AR7" s="77"/>
      <c r="AS7" s="77"/>
      <c r="AT7" s="63">
        <f t="shared" si="24"/>
        <v>6.2333333333333334</v>
      </c>
      <c r="AU7" s="78"/>
      <c r="AV7" s="5"/>
      <c r="AW7" s="5"/>
      <c r="AX7" s="5"/>
      <c r="AY7" s="5"/>
      <c r="AZ7" s="24">
        <f>VLOOKUP(C7,Employees!D:I,6,FALSE)</f>
        <v>210518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6.7333333333333334</v>
      </c>
      <c r="BG7" s="5">
        <f t="shared" si="31"/>
        <v>0.5</v>
      </c>
      <c r="BH7" s="5">
        <f t="shared" si="32"/>
        <v>4.4999999999999982</v>
      </c>
      <c r="BI7" s="5">
        <f t="shared" si="33"/>
        <v>1.7333333333333352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1</v>
      </c>
    </row>
    <row r="8" spans="1:89" ht="47" customHeight="1">
      <c r="A8" s="74">
        <f t="shared" si="0"/>
        <v>210521</v>
      </c>
      <c r="B8" s="73" t="s">
        <v>43</v>
      </c>
      <c r="C8" s="104" t="s">
        <v>1428</v>
      </c>
      <c r="D8" s="76"/>
      <c r="E8" s="76"/>
      <c r="F8" s="91">
        <f t="shared" si="9"/>
        <v>0</v>
      </c>
      <c r="G8" s="76"/>
      <c r="H8" s="75"/>
      <c r="I8" s="91">
        <f t="shared" si="10"/>
        <v>0</v>
      </c>
      <c r="J8" s="75">
        <v>0.70833333333333337</v>
      </c>
      <c r="K8" s="75">
        <v>0.9868055555555556</v>
      </c>
      <c r="L8" s="91">
        <f t="shared" si="11"/>
        <v>6.1833333333333336</v>
      </c>
      <c r="M8" s="76"/>
      <c r="N8" s="75"/>
      <c r="O8" s="91">
        <f t="shared" si="12"/>
        <v>0</v>
      </c>
      <c r="P8" s="76">
        <v>0.66666666666666663</v>
      </c>
      <c r="Q8" s="76">
        <v>0.98958333333333337</v>
      </c>
      <c r="R8" s="91">
        <f t="shared" si="13"/>
        <v>7.2500000000000018</v>
      </c>
      <c r="S8" s="76"/>
      <c r="T8" s="76"/>
      <c r="U8" s="91">
        <f t="shared" si="14"/>
        <v>0</v>
      </c>
      <c r="V8" s="76"/>
      <c r="W8" s="76"/>
      <c r="X8" s="91">
        <f t="shared" si="15"/>
        <v>0</v>
      </c>
      <c r="Y8" s="91"/>
      <c r="Z8" s="91"/>
      <c r="AA8" s="91"/>
      <c r="AB8" s="95">
        <f t="shared" si="16"/>
        <v>13.433333333333335</v>
      </c>
      <c r="AC8" s="92"/>
      <c r="AD8" s="78"/>
      <c r="AE8" s="93">
        <f t="shared" si="17"/>
        <v>9.9999999999999982</v>
      </c>
      <c r="AF8" s="77"/>
      <c r="AG8" s="93">
        <f t="shared" si="18"/>
        <v>0</v>
      </c>
      <c r="AH8" s="78"/>
      <c r="AI8" s="93">
        <f t="shared" si="19"/>
        <v>0</v>
      </c>
      <c r="AJ8" s="77"/>
      <c r="AK8" s="93">
        <f t="shared" si="20"/>
        <v>0</v>
      </c>
      <c r="AL8" s="78"/>
      <c r="AM8" s="93">
        <f t="shared" si="21"/>
        <v>3.4333333333333371</v>
      </c>
      <c r="AN8" s="77"/>
      <c r="AO8" s="93">
        <f t="shared" si="22"/>
        <v>0</v>
      </c>
      <c r="AP8" s="94">
        <f t="shared" si="23"/>
        <v>2</v>
      </c>
      <c r="AQ8" s="77"/>
      <c r="AR8" s="77"/>
      <c r="AS8" s="77"/>
      <c r="AT8" s="63">
        <f t="shared" si="24"/>
        <v>13.433333333333335</v>
      </c>
      <c r="AU8" s="78"/>
      <c r="AV8" s="5"/>
      <c r="AW8" s="5"/>
      <c r="AX8" s="5"/>
      <c r="AY8" s="5"/>
      <c r="AZ8" s="24">
        <f>VLOOKUP(C8,Employees!D:I,6,FALSE)</f>
        <v>210521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6.6833333333333336</v>
      </c>
      <c r="BL8" s="5">
        <f t="shared" si="36"/>
        <v>0.5</v>
      </c>
      <c r="BM8" s="5">
        <f t="shared" si="37"/>
        <v>4.4999999999999982</v>
      </c>
      <c r="BN8" s="5">
        <f t="shared" si="38"/>
        <v>1.6833333333333353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7.7500000000000018</v>
      </c>
      <c r="BV8" s="5">
        <f t="shared" si="46"/>
        <v>0.5</v>
      </c>
      <c r="BW8" s="5">
        <f t="shared" si="47"/>
        <v>5.5</v>
      </c>
      <c r="BX8" s="5">
        <f t="shared" si="48"/>
        <v>1.7500000000000018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2</v>
      </c>
    </row>
    <row r="9" spans="1:89" ht="47" customHeight="1">
      <c r="A9" s="74">
        <f t="shared" si="0"/>
        <v>210520</v>
      </c>
      <c r="B9" s="73" t="s">
        <v>43</v>
      </c>
      <c r="C9" s="104" t="s">
        <v>1426</v>
      </c>
      <c r="D9" s="76"/>
      <c r="E9" s="75"/>
      <c r="F9" s="91">
        <f t="shared" si="9"/>
        <v>0</v>
      </c>
      <c r="G9" s="75"/>
      <c r="H9" s="76"/>
      <c r="I9" s="91">
        <f t="shared" si="10"/>
        <v>0</v>
      </c>
      <c r="J9" s="76">
        <v>0.625</v>
      </c>
      <c r="K9" s="76">
        <v>0.94722222222222219</v>
      </c>
      <c r="L9" s="91">
        <f t="shared" si="11"/>
        <v>7.2333333333333325</v>
      </c>
      <c r="M9" s="75">
        <v>0.625</v>
      </c>
      <c r="N9" s="75">
        <v>0.9375</v>
      </c>
      <c r="O9" s="91">
        <f t="shared" si="12"/>
        <v>7</v>
      </c>
      <c r="P9" s="76"/>
      <c r="Q9" s="75"/>
      <c r="R9" s="91">
        <f t="shared" si="13"/>
        <v>0</v>
      </c>
      <c r="S9" s="76"/>
      <c r="T9" s="75"/>
      <c r="U9" s="91">
        <f t="shared" si="14"/>
        <v>0</v>
      </c>
      <c r="V9" s="75"/>
      <c r="W9" s="76"/>
      <c r="X9" s="91">
        <f t="shared" si="15"/>
        <v>0</v>
      </c>
      <c r="Y9" s="91"/>
      <c r="Z9" s="91"/>
      <c r="AA9" s="91"/>
      <c r="AB9" s="95">
        <f t="shared" si="16"/>
        <v>14.233333333333333</v>
      </c>
      <c r="AC9" s="92"/>
      <c r="AD9" s="78"/>
      <c r="AE9" s="93">
        <f t="shared" si="17"/>
        <v>12.999999999999998</v>
      </c>
      <c r="AF9" s="77"/>
      <c r="AG9" s="93">
        <f t="shared" si="18"/>
        <v>0</v>
      </c>
      <c r="AH9" s="78"/>
      <c r="AI9" s="93">
        <f t="shared" si="19"/>
        <v>0</v>
      </c>
      <c r="AJ9" s="77"/>
      <c r="AK9" s="93">
        <f t="shared" si="20"/>
        <v>0</v>
      </c>
      <c r="AL9" s="78"/>
      <c r="AM9" s="93">
        <f t="shared" si="21"/>
        <v>1.2333333333333343</v>
      </c>
      <c r="AN9" s="77"/>
      <c r="AO9" s="93">
        <f t="shared" si="22"/>
        <v>0</v>
      </c>
      <c r="AP9" s="94">
        <f t="shared" si="23"/>
        <v>2</v>
      </c>
      <c r="AQ9" s="77"/>
      <c r="AR9" s="77"/>
      <c r="AS9" s="77"/>
      <c r="AT9" s="63">
        <f t="shared" si="24"/>
        <v>14.233333333333333</v>
      </c>
      <c r="AU9" s="78"/>
      <c r="AV9" s="5"/>
      <c r="AW9" s="5"/>
      <c r="AX9" s="5"/>
      <c r="AY9" s="5"/>
      <c r="AZ9" s="24">
        <f>VLOOKUP(C9,Employees!D:I,6,FALSE)</f>
        <v>210520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7.7333333333333325</v>
      </c>
      <c r="BL9" s="5">
        <f t="shared" si="36"/>
        <v>0.5</v>
      </c>
      <c r="BM9" s="5">
        <f t="shared" si="37"/>
        <v>6.4999999999999991</v>
      </c>
      <c r="BN9" s="5">
        <f t="shared" si="38"/>
        <v>0.73333333333333339</v>
      </c>
      <c r="BO9" s="5">
        <f t="shared" si="39"/>
        <v>0</v>
      </c>
      <c r="BP9" s="5">
        <f t="shared" si="40"/>
        <v>7.5</v>
      </c>
      <c r="BQ9" s="5">
        <f t="shared" si="41"/>
        <v>0.5</v>
      </c>
      <c r="BR9" s="5">
        <f t="shared" si="42"/>
        <v>6.4999999999999991</v>
      </c>
      <c r="BS9" s="5">
        <f t="shared" si="43"/>
        <v>0.50000000000000089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2</v>
      </c>
    </row>
    <row r="10" spans="1:89" ht="47" customHeight="1">
      <c r="A10" s="74" t="str">
        <f t="shared" si="0"/>
        <v/>
      </c>
      <c r="B10" s="73"/>
      <c r="C10" s="105"/>
      <c r="D10" s="76"/>
      <c r="E10" s="75"/>
      <c r="F10" s="91">
        <f t="shared" si="9"/>
        <v>0</v>
      </c>
      <c r="G10" s="76"/>
      <c r="H10" s="75"/>
      <c r="I10" s="91">
        <f t="shared" si="10"/>
        <v>0</v>
      </c>
      <c r="J10" s="76"/>
      <c r="K10" s="76"/>
      <c r="L10" s="91">
        <f t="shared" si="11"/>
        <v>0</v>
      </c>
      <c r="M10" s="75"/>
      <c r="N10" s="75"/>
      <c r="O10" s="91">
        <f t="shared" si="12"/>
        <v>0</v>
      </c>
      <c r="P10" s="76"/>
      <c r="Q10" s="75"/>
      <c r="R10" s="91">
        <f t="shared" si="13"/>
        <v>0</v>
      </c>
      <c r="S10" s="76"/>
      <c r="T10" s="75"/>
      <c r="U10" s="91">
        <f t="shared" si="14"/>
        <v>0</v>
      </c>
      <c r="V10" s="75"/>
      <c r="W10" s="76"/>
      <c r="X10" s="91">
        <f t="shared" si="15"/>
        <v>0</v>
      </c>
      <c r="Y10" s="91"/>
      <c r="Z10" s="91"/>
      <c r="AA10" s="91"/>
      <c r="AB10" s="95">
        <f t="shared" si="16"/>
        <v>0</v>
      </c>
      <c r="AC10" s="92"/>
      <c r="AD10" s="78"/>
      <c r="AE10" s="93">
        <f t="shared" si="17"/>
        <v>0</v>
      </c>
      <c r="AF10" s="77"/>
      <c r="AG10" s="93">
        <f t="shared" si="18"/>
        <v>0</v>
      </c>
      <c r="AH10" s="78"/>
      <c r="AI10" s="93">
        <f t="shared" si="19"/>
        <v>0</v>
      </c>
      <c r="AJ10" s="77"/>
      <c r="AK10" s="93">
        <f t="shared" si="20"/>
        <v>0</v>
      </c>
      <c r="AL10" s="78"/>
      <c r="AM10" s="93">
        <f t="shared" si="21"/>
        <v>0</v>
      </c>
      <c r="AN10" s="77"/>
      <c r="AO10" s="93">
        <f t="shared" si="22"/>
        <v>0</v>
      </c>
      <c r="AP10" s="94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1">
        <f t="shared" si="9"/>
        <v>0</v>
      </c>
      <c r="G11" s="75"/>
      <c r="H11" s="76"/>
      <c r="I11" s="91">
        <f t="shared" si="10"/>
        <v>0</v>
      </c>
      <c r="J11" s="76"/>
      <c r="K11" s="76"/>
      <c r="L11" s="91">
        <f t="shared" si="11"/>
        <v>0</v>
      </c>
      <c r="M11" s="75"/>
      <c r="N11" s="75"/>
      <c r="O11" s="91">
        <f t="shared" si="12"/>
        <v>0</v>
      </c>
      <c r="P11" s="76"/>
      <c r="Q11" s="75"/>
      <c r="R11" s="91">
        <f t="shared" si="13"/>
        <v>0</v>
      </c>
      <c r="S11" s="76"/>
      <c r="T11" s="75"/>
      <c r="U11" s="91">
        <f t="shared" si="14"/>
        <v>0</v>
      </c>
      <c r="V11" s="75"/>
      <c r="W11" s="76"/>
      <c r="X11" s="91">
        <f t="shared" si="15"/>
        <v>0</v>
      </c>
      <c r="Y11" s="91"/>
      <c r="Z11" s="91"/>
      <c r="AA11" s="91"/>
      <c r="AB11" s="95">
        <f t="shared" si="16"/>
        <v>0</v>
      </c>
      <c r="AC11" s="92"/>
      <c r="AD11" s="78"/>
      <c r="AE11" s="93">
        <f t="shared" si="17"/>
        <v>0</v>
      </c>
      <c r="AF11" s="77"/>
      <c r="AG11" s="93">
        <f t="shared" si="18"/>
        <v>0</v>
      </c>
      <c r="AH11" s="78"/>
      <c r="AI11" s="93">
        <f t="shared" si="19"/>
        <v>0</v>
      </c>
      <c r="AJ11" s="77"/>
      <c r="AK11" s="93">
        <f t="shared" si="20"/>
        <v>0</v>
      </c>
      <c r="AL11" s="78"/>
      <c r="AM11" s="93">
        <f t="shared" si="21"/>
        <v>0</v>
      </c>
      <c r="AN11" s="77"/>
      <c r="AO11" s="93">
        <f t="shared" si="22"/>
        <v>0</v>
      </c>
      <c r="AP11" s="94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1">
        <f t="shared" si="9"/>
        <v>0</v>
      </c>
      <c r="G12" s="75"/>
      <c r="H12" s="76"/>
      <c r="I12" s="91">
        <f t="shared" si="10"/>
        <v>0</v>
      </c>
      <c r="J12" s="76"/>
      <c r="K12" s="76"/>
      <c r="L12" s="91">
        <f t="shared" si="11"/>
        <v>0</v>
      </c>
      <c r="M12" s="75"/>
      <c r="N12" s="75"/>
      <c r="O12" s="91">
        <f t="shared" si="12"/>
        <v>0</v>
      </c>
      <c r="P12" s="76"/>
      <c r="Q12" s="75"/>
      <c r="R12" s="91">
        <f t="shared" si="13"/>
        <v>0</v>
      </c>
      <c r="S12" s="76"/>
      <c r="T12" s="75"/>
      <c r="U12" s="91">
        <f t="shared" si="14"/>
        <v>0</v>
      </c>
      <c r="V12" s="75"/>
      <c r="W12" s="76"/>
      <c r="X12" s="91">
        <f t="shared" si="15"/>
        <v>0</v>
      </c>
      <c r="Y12" s="91"/>
      <c r="Z12" s="91"/>
      <c r="AA12" s="91"/>
      <c r="AB12" s="95">
        <f t="shared" si="16"/>
        <v>0</v>
      </c>
      <c r="AC12" s="92"/>
      <c r="AD12" s="78"/>
      <c r="AE12" s="93">
        <f t="shared" si="17"/>
        <v>0</v>
      </c>
      <c r="AF12" s="77"/>
      <c r="AG12" s="93">
        <f t="shared" si="18"/>
        <v>0</v>
      </c>
      <c r="AH12" s="77"/>
      <c r="AI12" s="93">
        <f t="shared" si="19"/>
        <v>0</v>
      </c>
      <c r="AJ12" s="77"/>
      <c r="AK12" s="93">
        <f t="shared" si="20"/>
        <v>0</v>
      </c>
      <c r="AL12" s="78"/>
      <c r="AM12" s="93">
        <f t="shared" si="21"/>
        <v>0</v>
      </c>
      <c r="AN12" s="77"/>
      <c r="AO12" s="93">
        <f t="shared" si="22"/>
        <v>0</v>
      </c>
      <c r="AP12" s="94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1">
        <f t="shared" si="9"/>
        <v>0</v>
      </c>
      <c r="G13" s="75"/>
      <c r="H13" s="76"/>
      <c r="I13" s="91">
        <f t="shared" si="10"/>
        <v>0</v>
      </c>
      <c r="J13" s="76"/>
      <c r="K13" s="76"/>
      <c r="L13" s="91">
        <f t="shared" si="11"/>
        <v>0</v>
      </c>
      <c r="M13" s="75"/>
      <c r="N13" s="75"/>
      <c r="O13" s="91">
        <f t="shared" si="12"/>
        <v>0</v>
      </c>
      <c r="P13" s="76"/>
      <c r="Q13" s="75"/>
      <c r="R13" s="91">
        <f t="shared" si="13"/>
        <v>0</v>
      </c>
      <c r="S13" s="76"/>
      <c r="T13" s="75"/>
      <c r="U13" s="91">
        <f t="shared" si="14"/>
        <v>0</v>
      </c>
      <c r="V13" s="75"/>
      <c r="W13" s="76"/>
      <c r="X13" s="91">
        <f t="shared" si="15"/>
        <v>0</v>
      </c>
      <c r="Y13" s="91"/>
      <c r="Z13" s="91"/>
      <c r="AA13" s="91"/>
      <c r="AB13" s="95">
        <f t="shared" si="16"/>
        <v>0</v>
      </c>
      <c r="AC13" s="92"/>
      <c r="AD13" s="77"/>
      <c r="AE13" s="93">
        <f t="shared" si="17"/>
        <v>0</v>
      </c>
      <c r="AF13" s="77"/>
      <c r="AG13" s="93">
        <f t="shared" si="18"/>
        <v>0</v>
      </c>
      <c r="AH13" s="77"/>
      <c r="AI13" s="93">
        <f t="shared" si="19"/>
        <v>0</v>
      </c>
      <c r="AJ13" s="77"/>
      <c r="AK13" s="93">
        <f t="shared" si="20"/>
        <v>0</v>
      </c>
      <c r="AL13" s="78"/>
      <c r="AM13" s="93">
        <f t="shared" si="21"/>
        <v>0</v>
      </c>
      <c r="AN13" s="77"/>
      <c r="AO13" s="93">
        <f t="shared" si="22"/>
        <v>0</v>
      </c>
      <c r="AP13" s="94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1">
        <f t="shared" si="9"/>
        <v>0</v>
      </c>
      <c r="G14" s="75"/>
      <c r="H14" s="76"/>
      <c r="I14" s="91">
        <f t="shared" si="10"/>
        <v>0</v>
      </c>
      <c r="J14" s="76"/>
      <c r="K14" s="76"/>
      <c r="L14" s="91">
        <f t="shared" si="11"/>
        <v>0</v>
      </c>
      <c r="M14" s="75"/>
      <c r="N14" s="75"/>
      <c r="O14" s="91">
        <f t="shared" si="12"/>
        <v>0</v>
      </c>
      <c r="P14" s="76"/>
      <c r="Q14" s="75"/>
      <c r="R14" s="91">
        <f t="shared" si="13"/>
        <v>0</v>
      </c>
      <c r="S14" s="76"/>
      <c r="T14" s="75"/>
      <c r="U14" s="91">
        <f t="shared" si="14"/>
        <v>0</v>
      </c>
      <c r="V14" s="75"/>
      <c r="W14" s="76"/>
      <c r="X14" s="91">
        <f t="shared" si="15"/>
        <v>0</v>
      </c>
      <c r="Y14" s="91"/>
      <c r="Z14" s="91"/>
      <c r="AA14" s="91"/>
      <c r="AB14" s="95">
        <f t="shared" si="16"/>
        <v>0</v>
      </c>
      <c r="AC14" s="92"/>
      <c r="AD14" s="77"/>
      <c r="AE14" s="93">
        <f t="shared" si="17"/>
        <v>0</v>
      </c>
      <c r="AF14" s="77"/>
      <c r="AG14" s="93">
        <f t="shared" si="18"/>
        <v>0</v>
      </c>
      <c r="AH14" s="77"/>
      <c r="AI14" s="93">
        <f t="shared" si="19"/>
        <v>0</v>
      </c>
      <c r="AJ14" s="77"/>
      <c r="AK14" s="93">
        <f t="shared" si="20"/>
        <v>0</v>
      </c>
      <c r="AL14" s="78"/>
      <c r="AM14" s="93">
        <f t="shared" si="21"/>
        <v>0</v>
      </c>
      <c r="AN14" s="77"/>
      <c r="AO14" s="93">
        <f t="shared" si="22"/>
        <v>0</v>
      </c>
      <c r="AP14" s="94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1">
        <f t="shared" si="9"/>
        <v>0</v>
      </c>
      <c r="G15" s="75"/>
      <c r="H15" s="76"/>
      <c r="I15" s="91">
        <f t="shared" si="10"/>
        <v>0</v>
      </c>
      <c r="J15" s="76"/>
      <c r="K15" s="76"/>
      <c r="L15" s="91">
        <f t="shared" si="11"/>
        <v>0</v>
      </c>
      <c r="M15" s="75"/>
      <c r="N15" s="75"/>
      <c r="O15" s="91">
        <f t="shared" si="12"/>
        <v>0</v>
      </c>
      <c r="P15" s="76"/>
      <c r="Q15" s="75"/>
      <c r="R15" s="91">
        <f t="shared" si="13"/>
        <v>0</v>
      </c>
      <c r="S15" s="76"/>
      <c r="T15" s="75"/>
      <c r="U15" s="91">
        <f t="shared" si="14"/>
        <v>0</v>
      </c>
      <c r="V15" s="75"/>
      <c r="W15" s="76"/>
      <c r="X15" s="91">
        <f t="shared" si="15"/>
        <v>0</v>
      </c>
      <c r="Y15" s="91"/>
      <c r="Z15" s="91"/>
      <c r="AA15" s="91"/>
      <c r="AB15" s="95">
        <f t="shared" si="16"/>
        <v>0</v>
      </c>
      <c r="AC15" s="92"/>
      <c r="AD15" s="77"/>
      <c r="AE15" s="93">
        <f t="shared" si="17"/>
        <v>0</v>
      </c>
      <c r="AF15" s="77"/>
      <c r="AG15" s="93">
        <f t="shared" si="18"/>
        <v>0</v>
      </c>
      <c r="AH15" s="77"/>
      <c r="AI15" s="93">
        <f t="shared" si="19"/>
        <v>0</v>
      </c>
      <c r="AJ15" s="77"/>
      <c r="AK15" s="93">
        <f t="shared" si="20"/>
        <v>0</v>
      </c>
      <c r="AL15" s="78"/>
      <c r="AM15" s="93">
        <f t="shared" si="21"/>
        <v>0</v>
      </c>
      <c r="AN15" s="77"/>
      <c r="AO15" s="93">
        <f t="shared" si="22"/>
        <v>0</v>
      </c>
      <c r="AP15" s="94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1">
        <f t="shared" si="9"/>
        <v>0</v>
      </c>
      <c r="G16" s="75"/>
      <c r="H16" s="76"/>
      <c r="I16" s="91">
        <f>BF16-BG16</f>
        <v>0</v>
      </c>
      <c r="J16" s="76"/>
      <c r="K16" s="76"/>
      <c r="L16" s="91">
        <f t="shared" si="11"/>
        <v>0</v>
      </c>
      <c r="M16" s="75"/>
      <c r="N16" s="75"/>
      <c r="O16" s="91">
        <f t="shared" si="12"/>
        <v>0</v>
      </c>
      <c r="P16" s="76"/>
      <c r="Q16" s="75"/>
      <c r="R16" s="91">
        <f t="shared" si="13"/>
        <v>0</v>
      </c>
      <c r="S16" s="76"/>
      <c r="T16" s="75"/>
      <c r="U16" s="91">
        <f t="shared" si="14"/>
        <v>0</v>
      </c>
      <c r="V16" s="75"/>
      <c r="W16" s="76"/>
      <c r="X16" s="91">
        <f t="shared" si="15"/>
        <v>0</v>
      </c>
      <c r="Y16" s="91"/>
      <c r="Z16" s="91"/>
      <c r="AA16" s="91"/>
      <c r="AB16" s="95">
        <f t="shared" si="16"/>
        <v>0</v>
      </c>
      <c r="AC16" s="92"/>
      <c r="AD16" s="77"/>
      <c r="AE16" s="93">
        <f t="shared" si="17"/>
        <v>0</v>
      </c>
      <c r="AF16" s="77"/>
      <c r="AG16" s="93">
        <f t="shared" si="18"/>
        <v>0</v>
      </c>
      <c r="AH16" s="77"/>
      <c r="AI16" s="93">
        <f t="shared" si="19"/>
        <v>0</v>
      </c>
      <c r="AJ16" s="77"/>
      <c r="AK16" s="93">
        <f t="shared" si="20"/>
        <v>0</v>
      </c>
      <c r="AL16" s="78"/>
      <c r="AM16" s="93">
        <f t="shared" si="21"/>
        <v>0</v>
      </c>
      <c r="AN16" s="77"/>
      <c r="AO16" s="93">
        <f t="shared" si="22"/>
        <v>0</v>
      </c>
      <c r="AP16" s="94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1">
        <f t="shared" si="9"/>
        <v>0</v>
      </c>
      <c r="G17" s="75"/>
      <c r="H17" s="76"/>
      <c r="I17" s="91">
        <f t="shared" si="10"/>
        <v>0</v>
      </c>
      <c r="J17" s="76"/>
      <c r="K17" s="76"/>
      <c r="L17" s="91">
        <f t="shared" si="11"/>
        <v>0</v>
      </c>
      <c r="M17" s="75"/>
      <c r="N17" s="75"/>
      <c r="O17" s="91">
        <f t="shared" si="12"/>
        <v>0</v>
      </c>
      <c r="P17" s="76"/>
      <c r="Q17" s="75"/>
      <c r="R17" s="91">
        <f t="shared" si="13"/>
        <v>0</v>
      </c>
      <c r="S17" s="76"/>
      <c r="T17" s="75"/>
      <c r="U17" s="91">
        <f t="shared" si="14"/>
        <v>0</v>
      </c>
      <c r="V17" s="75"/>
      <c r="W17" s="76"/>
      <c r="X17" s="91">
        <f t="shared" si="15"/>
        <v>0</v>
      </c>
      <c r="Y17" s="91"/>
      <c r="Z17" s="91"/>
      <c r="AA17" s="91"/>
      <c r="AB17" s="95">
        <f t="shared" si="16"/>
        <v>0</v>
      </c>
      <c r="AC17" s="92"/>
      <c r="AD17" s="77"/>
      <c r="AE17" s="93">
        <f t="shared" si="17"/>
        <v>0</v>
      </c>
      <c r="AF17" s="77"/>
      <c r="AG17" s="93">
        <f t="shared" si="18"/>
        <v>0</v>
      </c>
      <c r="AH17" s="77"/>
      <c r="AI17" s="93">
        <f t="shared" si="19"/>
        <v>0</v>
      </c>
      <c r="AJ17" s="77"/>
      <c r="AK17" s="93">
        <f t="shared" si="20"/>
        <v>0</v>
      </c>
      <c r="AL17" s="78"/>
      <c r="AM17" s="93">
        <f t="shared" si="21"/>
        <v>0</v>
      </c>
      <c r="AN17" s="77"/>
      <c r="AO17" s="93">
        <f t="shared" si="22"/>
        <v>0</v>
      </c>
      <c r="AP17" s="94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1">
        <f t="shared" si="9"/>
        <v>0</v>
      </c>
      <c r="G18" s="75"/>
      <c r="H18" s="76"/>
      <c r="I18" s="91">
        <f t="shared" si="10"/>
        <v>0</v>
      </c>
      <c r="J18" s="76"/>
      <c r="K18" s="76"/>
      <c r="L18" s="91">
        <f t="shared" si="11"/>
        <v>0</v>
      </c>
      <c r="M18" s="75"/>
      <c r="N18" s="75"/>
      <c r="O18" s="91">
        <f t="shared" si="12"/>
        <v>0</v>
      </c>
      <c r="P18" s="76"/>
      <c r="Q18" s="75"/>
      <c r="R18" s="91">
        <f t="shared" si="13"/>
        <v>0</v>
      </c>
      <c r="S18" s="76"/>
      <c r="T18" s="75"/>
      <c r="U18" s="91">
        <f t="shared" si="14"/>
        <v>0</v>
      </c>
      <c r="V18" s="75"/>
      <c r="W18" s="76"/>
      <c r="X18" s="91">
        <f t="shared" si="15"/>
        <v>0</v>
      </c>
      <c r="Y18" s="91"/>
      <c r="Z18" s="91"/>
      <c r="AA18" s="91"/>
      <c r="AB18" s="95">
        <f t="shared" si="16"/>
        <v>0</v>
      </c>
      <c r="AC18" s="92"/>
      <c r="AD18" s="77"/>
      <c r="AE18" s="93">
        <f t="shared" si="17"/>
        <v>0</v>
      </c>
      <c r="AF18" s="77"/>
      <c r="AG18" s="93">
        <f t="shared" si="18"/>
        <v>0</v>
      </c>
      <c r="AH18" s="77"/>
      <c r="AI18" s="93">
        <f t="shared" si="19"/>
        <v>0</v>
      </c>
      <c r="AJ18" s="77"/>
      <c r="AK18" s="93">
        <f t="shared" si="20"/>
        <v>0</v>
      </c>
      <c r="AL18" s="78"/>
      <c r="AM18" s="93">
        <f t="shared" si="21"/>
        <v>0</v>
      </c>
      <c r="AN18" s="77"/>
      <c r="AO18" s="93">
        <f t="shared" si="22"/>
        <v>0</v>
      </c>
      <c r="AP18" s="94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1">
        <f t="shared" si="9"/>
        <v>0</v>
      </c>
      <c r="G19" s="75"/>
      <c r="H19" s="76"/>
      <c r="I19" s="91">
        <f t="shared" si="10"/>
        <v>0</v>
      </c>
      <c r="J19" s="76"/>
      <c r="K19" s="76"/>
      <c r="L19" s="91">
        <f t="shared" si="11"/>
        <v>0</v>
      </c>
      <c r="M19" s="75"/>
      <c r="N19" s="75"/>
      <c r="O19" s="91">
        <f t="shared" si="12"/>
        <v>0</v>
      </c>
      <c r="P19" s="76"/>
      <c r="Q19" s="75"/>
      <c r="R19" s="91">
        <f t="shared" si="13"/>
        <v>0</v>
      </c>
      <c r="S19" s="76"/>
      <c r="T19" s="75"/>
      <c r="U19" s="91">
        <f t="shared" si="14"/>
        <v>0</v>
      </c>
      <c r="V19" s="75"/>
      <c r="W19" s="76"/>
      <c r="X19" s="91">
        <f t="shared" si="15"/>
        <v>0</v>
      </c>
      <c r="Y19" s="91"/>
      <c r="Z19" s="91"/>
      <c r="AA19" s="91"/>
      <c r="AB19" s="95">
        <f t="shared" si="16"/>
        <v>0</v>
      </c>
      <c r="AC19" s="92"/>
      <c r="AD19" s="77"/>
      <c r="AE19" s="93">
        <f t="shared" si="17"/>
        <v>0</v>
      </c>
      <c r="AF19" s="77"/>
      <c r="AG19" s="93">
        <f t="shared" si="18"/>
        <v>0</v>
      </c>
      <c r="AH19" s="77"/>
      <c r="AI19" s="93">
        <f t="shared" si="19"/>
        <v>0</v>
      </c>
      <c r="AJ19" s="77"/>
      <c r="AK19" s="93">
        <f t="shared" si="20"/>
        <v>0</v>
      </c>
      <c r="AL19" s="78"/>
      <c r="AM19" s="93">
        <f t="shared" si="21"/>
        <v>0</v>
      </c>
      <c r="AN19" s="77"/>
      <c r="AO19" s="93">
        <f t="shared" si="22"/>
        <v>0</v>
      </c>
      <c r="AP19" s="94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1">
        <f t="shared" si="9"/>
        <v>0</v>
      </c>
      <c r="G20" s="75"/>
      <c r="H20" s="76"/>
      <c r="I20" s="91">
        <f t="shared" si="10"/>
        <v>0</v>
      </c>
      <c r="J20" s="76"/>
      <c r="K20" s="76"/>
      <c r="L20" s="91">
        <f t="shared" si="11"/>
        <v>0</v>
      </c>
      <c r="M20" s="75"/>
      <c r="N20" s="75"/>
      <c r="O20" s="91">
        <f t="shared" si="12"/>
        <v>0</v>
      </c>
      <c r="P20" s="76"/>
      <c r="Q20" s="75"/>
      <c r="R20" s="91">
        <f t="shared" si="13"/>
        <v>0</v>
      </c>
      <c r="S20" s="76"/>
      <c r="T20" s="75"/>
      <c r="U20" s="91">
        <f t="shared" si="14"/>
        <v>0</v>
      </c>
      <c r="V20" s="75"/>
      <c r="W20" s="76"/>
      <c r="X20" s="91">
        <f t="shared" si="15"/>
        <v>0</v>
      </c>
      <c r="Y20" s="91"/>
      <c r="Z20" s="91"/>
      <c r="AA20" s="91"/>
      <c r="AB20" s="95">
        <f t="shared" si="16"/>
        <v>0</v>
      </c>
      <c r="AC20" s="92"/>
      <c r="AD20" s="77"/>
      <c r="AE20" s="93">
        <f t="shared" si="17"/>
        <v>0</v>
      </c>
      <c r="AF20" s="77"/>
      <c r="AG20" s="93">
        <f t="shared" si="18"/>
        <v>0</v>
      </c>
      <c r="AH20" s="77"/>
      <c r="AI20" s="93">
        <f t="shared" si="19"/>
        <v>0</v>
      </c>
      <c r="AJ20" s="77"/>
      <c r="AK20" s="93">
        <f t="shared" si="20"/>
        <v>0</v>
      </c>
      <c r="AL20" s="78"/>
      <c r="AM20" s="93">
        <f t="shared" si="21"/>
        <v>0</v>
      </c>
      <c r="AN20" s="77"/>
      <c r="AO20" s="93">
        <f t="shared" si="22"/>
        <v>0</v>
      </c>
      <c r="AP20" s="94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1">
        <f t="shared" ref="F21:F29" si="60">BA21-BB21</f>
        <v>0</v>
      </c>
      <c r="G21" s="75"/>
      <c r="H21" s="76"/>
      <c r="I21" s="91">
        <f t="shared" ref="I21:I29" si="61">BF21-BG21</f>
        <v>0</v>
      </c>
      <c r="J21" s="76"/>
      <c r="K21" s="76"/>
      <c r="L21" s="91">
        <f t="shared" ref="L21:L29" si="62">BK21-BL21</f>
        <v>0</v>
      </c>
      <c r="M21" s="75"/>
      <c r="N21" s="75"/>
      <c r="O21" s="91">
        <f t="shared" ref="O21:O29" si="63">BP21-BQ21</f>
        <v>0</v>
      </c>
      <c r="P21" s="76"/>
      <c r="Q21" s="75"/>
      <c r="R21" s="91">
        <f t="shared" ref="R21:R29" si="64">BU21-BV21</f>
        <v>0</v>
      </c>
      <c r="S21" s="76"/>
      <c r="T21" s="76"/>
      <c r="U21" s="91">
        <f t="shared" ref="U21:U29" si="65">BZ21-CA21</f>
        <v>0</v>
      </c>
      <c r="V21" s="75"/>
      <c r="W21" s="76"/>
      <c r="X21" s="91">
        <f t="shared" ref="X21:X29" si="66">CE21-CF21</f>
        <v>0</v>
      </c>
      <c r="Y21" s="91"/>
      <c r="Z21" s="91"/>
      <c r="AA21" s="91"/>
      <c r="AB21" s="95">
        <f t="shared" ref="AB21:AB29" si="67">SUM(F21,I21,L21,O21,R21,U21,X21)</f>
        <v>0</v>
      </c>
      <c r="AC21" s="92"/>
      <c r="AD21" s="77"/>
      <c r="AE21" s="93">
        <f t="shared" ref="AE21:AE29" si="68">SUMIF($BC$1:$CI$1,AE$1,$BC21:$CI21)+AD21</f>
        <v>0</v>
      </c>
      <c r="AF21" s="77"/>
      <c r="AG21" s="93">
        <f t="shared" ref="AG21:AG29" si="69">SUMIF($BC$1:$CI$1,AG$1,$BC21:$CI21)+AF21</f>
        <v>0</v>
      </c>
      <c r="AH21" s="77"/>
      <c r="AI21" s="93">
        <f t="shared" ref="AI21:AI29" si="70">SUMIF($BC$1:$CI$1,AI$1,$BC21:$CI21)+AH21</f>
        <v>0</v>
      </c>
      <c r="AJ21" s="77"/>
      <c r="AK21" s="93">
        <f t="shared" ref="AK21:AK29" si="71">SUMIF($BC$1:$CI$1,AK$1,$BC21:$CI21)+AJ21</f>
        <v>0</v>
      </c>
      <c r="AL21" s="78"/>
      <c r="AM21" s="93">
        <f t="shared" ref="AM21:AM29" si="72">SUMIF($BC$1:$CI$1,AM$1,$BC21:$CI21)+AL21</f>
        <v>0</v>
      </c>
      <c r="AN21" s="77"/>
      <c r="AO21" s="93">
        <f t="shared" ref="AO21:AO29" si="73">SUMIF($BC$1:$CI$1,AO$1,$BC21:$CI21)+AN21</f>
        <v>0</v>
      </c>
      <c r="AP21" s="94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1">
        <f t="shared" si="60"/>
        <v>0</v>
      </c>
      <c r="G22" s="75"/>
      <c r="H22" s="76"/>
      <c r="I22" s="91">
        <f t="shared" si="61"/>
        <v>0</v>
      </c>
      <c r="J22" s="76"/>
      <c r="K22" s="76"/>
      <c r="L22" s="91">
        <f t="shared" si="62"/>
        <v>0</v>
      </c>
      <c r="M22" s="75"/>
      <c r="N22" s="75"/>
      <c r="O22" s="91">
        <f t="shared" si="63"/>
        <v>0</v>
      </c>
      <c r="P22" s="76"/>
      <c r="Q22" s="75"/>
      <c r="R22" s="91">
        <f t="shared" si="64"/>
        <v>0</v>
      </c>
      <c r="S22" s="76"/>
      <c r="T22" s="76"/>
      <c r="U22" s="91">
        <f t="shared" si="65"/>
        <v>0</v>
      </c>
      <c r="V22" s="75"/>
      <c r="W22" s="76"/>
      <c r="X22" s="91">
        <f t="shared" si="66"/>
        <v>0</v>
      </c>
      <c r="Y22" s="91"/>
      <c r="Z22" s="91"/>
      <c r="AA22" s="91"/>
      <c r="AB22" s="95">
        <f t="shared" si="67"/>
        <v>0</v>
      </c>
      <c r="AC22" s="92"/>
      <c r="AD22" s="77"/>
      <c r="AE22" s="93">
        <f t="shared" si="68"/>
        <v>0</v>
      </c>
      <c r="AF22" s="77"/>
      <c r="AG22" s="93">
        <f t="shared" si="69"/>
        <v>0</v>
      </c>
      <c r="AH22" s="77"/>
      <c r="AI22" s="93">
        <f t="shared" si="70"/>
        <v>0</v>
      </c>
      <c r="AJ22" s="77"/>
      <c r="AK22" s="93">
        <f t="shared" si="71"/>
        <v>0</v>
      </c>
      <c r="AL22" s="78"/>
      <c r="AM22" s="93">
        <f t="shared" si="72"/>
        <v>0</v>
      </c>
      <c r="AN22" s="77"/>
      <c r="AO22" s="93">
        <f t="shared" si="73"/>
        <v>0</v>
      </c>
      <c r="AP22" s="94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1">
        <f t="shared" si="60"/>
        <v>0</v>
      </c>
      <c r="G23" s="75"/>
      <c r="H23" s="76"/>
      <c r="I23" s="91">
        <f t="shared" si="61"/>
        <v>0</v>
      </c>
      <c r="J23" s="76"/>
      <c r="K23" s="76"/>
      <c r="L23" s="91">
        <f t="shared" si="62"/>
        <v>0</v>
      </c>
      <c r="M23" s="75"/>
      <c r="N23" s="75"/>
      <c r="O23" s="91">
        <f t="shared" si="63"/>
        <v>0</v>
      </c>
      <c r="P23" s="76"/>
      <c r="Q23" s="75"/>
      <c r="R23" s="91">
        <f t="shared" si="64"/>
        <v>0</v>
      </c>
      <c r="S23" s="76"/>
      <c r="T23" s="76"/>
      <c r="U23" s="91">
        <f t="shared" si="65"/>
        <v>0</v>
      </c>
      <c r="V23" s="75"/>
      <c r="W23" s="76"/>
      <c r="X23" s="91">
        <f t="shared" si="66"/>
        <v>0</v>
      </c>
      <c r="Y23" s="91"/>
      <c r="Z23" s="91"/>
      <c r="AA23" s="91"/>
      <c r="AB23" s="95">
        <f t="shared" si="67"/>
        <v>0</v>
      </c>
      <c r="AC23" s="92"/>
      <c r="AD23" s="77"/>
      <c r="AE23" s="93">
        <f t="shared" si="68"/>
        <v>0</v>
      </c>
      <c r="AF23" s="77"/>
      <c r="AG23" s="93">
        <f t="shared" si="69"/>
        <v>0</v>
      </c>
      <c r="AH23" s="77"/>
      <c r="AI23" s="93">
        <f t="shared" si="70"/>
        <v>0</v>
      </c>
      <c r="AJ23" s="77"/>
      <c r="AK23" s="93">
        <f t="shared" si="71"/>
        <v>0</v>
      </c>
      <c r="AL23" s="78"/>
      <c r="AM23" s="93">
        <f t="shared" si="72"/>
        <v>0</v>
      </c>
      <c r="AN23" s="77"/>
      <c r="AO23" s="93">
        <f t="shared" si="73"/>
        <v>0</v>
      </c>
      <c r="AP23" s="94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1">
        <f t="shared" si="60"/>
        <v>0</v>
      </c>
      <c r="G24" s="75"/>
      <c r="H24" s="76"/>
      <c r="I24" s="91">
        <f t="shared" si="61"/>
        <v>0</v>
      </c>
      <c r="J24" s="76"/>
      <c r="K24" s="76"/>
      <c r="L24" s="91">
        <f t="shared" si="62"/>
        <v>0</v>
      </c>
      <c r="M24" s="75"/>
      <c r="N24" s="75"/>
      <c r="O24" s="91">
        <f t="shared" si="63"/>
        <v>0</v>
      </c>
      <c r="P24" s="76"/>
      <c r="Q24" s="76"/>
      <c r="R24" s="91">
        <f t="shared" si="64"/>
        <v>0</v>
      </c>
      <c r="S24" s="76"/>
      <c r="T24" s="76"/>
      <c r="U24" s="91">
        <f t="shared" si="65"/>
        <v>0</v>
      </c>
      <c r="V24" s="75"/>
      <c r="W24" s="76"/>
      <c r="X24" s="91">
        <f t="shared" si="66"/>
        <v>0</v>
      </c>
      <c r="Y24" s="91"/>
      <c r="Z24" s="91"/>
      <c r="AA24" s="91"/>
      <c r="AB24" s="95">
        <f t="shared" si="67"/>
        <v>0</v>
      </c>
      <c r="AC24" s="92"/>
      <c r="AD24" s="77"/>
      <c r="AE24" s="93">
        <f t="shared" si="68"/>
        <v>0</v>
      </c>
      <c r="AF24" s="77"/>
      <c r="AG24" s="93">
        <f t="shared" si="69"/>
        <v>0</v>
      </c>
      <c r="AH24" s="77"/>
      <c r="AI24" s="93">
        <f t="shared" si="70"/>
        <v>0</v>
      </c>
      <c r="AJ24" s="77"/>
      <c r="AK24" s="93">
        <f t="shared" si="71"/>
        <v>0</v>
      </c>
      <c r="AL24" s="78"/>
      <c r="AM24" s="93">
        <f t="shared" si="72"/>
        <v>0</v>
      </c>
      <c r="AN24" s="77"/>
      <c r="AO24" s="93">
        <f t="shared" si="73"/>
        <v>0</v>
      </c>
      <c r="AP24" s="94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1">
        <f t="shared" si="60"/>
        <v>0</v>
      </c>
      <c r="G25" s="75"/>
      <c r="H25" s="76"/>
      <c r="I25" s="91">
        <f t="shared" si="61"/>
        <v>0</v>
      </c>
      <c r="J25" s="76"/>
      <c r="K25" s="76"/>
      <c r="L25" s="91">
        <f t="shared" si="62"/>
        <v>0</v>
      </c>
      <c r="M25" s="75"/>
      <c r="N25" s="75"/>
      <c r="O25" s="91">
        <f t="shared" si="63"/>
        <v>0</v>
      </c>
      <c r="P25" s="76"/>
      <c r="Q25" s="76"/>
      <c r="R25" s="91">
        <f t="shared" si="64"/>
        <v>0</v>
      </c>
      <c r="S25" s="76"/>
      <c r="T25" s="76"/>
      <c r="U25" s="91">
        <f t="shared" si="65"/>
        <v>0</v>
      </c>
      <c r="V25" s="75"/>
      <c r="W25" s="76"/>
      <c r="X25" s="91">
        <f t="shared" si="66"/>
        <v>0</v>
      </c>
      <c r="Y25" s="91"/>
      <c r="Z25" s="91"/>
      <c r="AA25" s="91"/>
      <c r="AB25" s="95">
        <f t="shared" si="67"/>
        <v>0</v>
      </c>
      <c r="AC25" s="92"/>
      <c r="AD25" s="77"/>
      <c r="AE25" s="93">
        <f t="shared" si="68"/>
        <v>0</v>
      </c>
      <c r="AF25" s="77"/>
      <c r="AG25" s="93">
        <f t="shared" si="69"/>
        <v>0</v>
      </c>
      <c r="AH25" s="77"/>
      <c r="AI25" s="93">
        <f t="shared" si="70"/>
        <v>0</v>
      </c>
      <c r="AJ25" s="77"/>
      <c r="AK25" s="93">
        <f t="shared" si="71"/>
        <v>0</v>
      </c>
      <c r="AL25" s="78"/>
      <c r="AM25" s="93">
        <f t="shared" si="72"/>
        <v>0</v>
      </c>
      <c r="AN25" s="77"/>
      <c r="AO25" s="93">
        <f t="shared" si="73"/>
        <v>0</v>
      </c>
      <c r="AP25" s="94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1">
        <f t="shared" si="60"/>
        <v>0</v>
      </c>
      <c r="G26" s="75"/>
      <c r="H26" s="76"/>
      <c r="I26" s="91">
        <f t="shared" si="61"/>
        <v>0</v>
      </c>
      <c r="J26" s="76"/>
      <c r="K26" s="76"/>
      <c r="L26" s="91">
        <f t="shared" si="62"/>
        <v>0</v>
      </c>
      <c r="M26" s="75"/>
      <c r="N26" s="75"/>
      <c r="O26" s="91">
        <f t="shared" si="63"/>
        <v>0</v>
      </c>
      <c r="P26" s="76"/>
      <c r="Q26" s="76"/>
      <c r="R26" s="91">
        <f t="shared" si="64"/>
        <v>0</v>
      </c>
      <c r="S26" s="76"/>
      <c r="T26" s="76"/>
      <c r="U26" s="91">
        <f t="shared" si="65"/>
        <v>0</v>
      </c>
      <c r="V26" s="75"/>
      <c r="W26" s="76"/>
      <c r="X26" s="91">
        <f t="shared" si="66"/>
        <v>0</v>
      </c>
      <c r="Y26" s="91"/>
      <c r="Z26" s="91"/>
      <c r="AA26" s="91"/>
      <c r="AB26" s="95">
        <f t="shared" si="67"/>
        <v>0</v>
      </c>
      <c r="AC26" s="92"/>
      <c r="AD26" s="77"/>
      <c r="AE26" s="93">
        <f t="shared" si="68"/>
        <v>0</v>
      </c>
      <c r="AF26" s="77"/>
      <c r="AG26" s="93">
        <f t="shared" si="69"/>
        <v>0</v>
      </c>
      <c r="AH26" s="77"/>
      <c r="AI26" s="93">
        <f t="shared" si="70"/>
        <v>0</v>
      </c>
      <c r="AJ26" s="77"/>
      <c r="AK26" s="93">
        <f t="shared" si="71"/>
        <v>0</v>
      </c>
      <c r="AL26" s="78"/>
      <c r="AM26" s="93">
        <f t="shared" si="72"/>
        <v>0</v>
      </c>
      <c r="AN26" s="77"/>
      <c r="AO26" s="93">
        <f t="shared" si="73"/>
        <v>0</v>
      </c>
      <c r="AP26" s="94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1">
        <f t="shared" si="60"/>
        <v>0</v>
      </c>
      <c r="G27" s="75"/>
      <c r="H27" s="76"/>
      <c r="I27" s="91">
        <f t="shared" si="61"/>
        <v>0</v>
      </c>
      <c r="J27" s="76"/>
      <c r="K27" s="76"/>
      <c r="L27" s="91">
        <f t="shared" si="62"/>
        <v>0</v>
      </c>
      <c r="M27" s="75"/>
      <c r="N27" s="75"/>
      <c r="O27" s="91">
        <f t="shared" si="63"/>
        <v>0</v>
      </c>
      <c r="P27" s="76"/>
      <c r="Q27" s="76"/>
      <c r="R27" s="91">
        <f t="shared" si="64"/>
        <v>0</v>
      </c>
      <c r="S27" s="76"/>
      <c r="T27" s="76"/>
      <c r="U27" s="91">
        <f t="shared" si="65"/>
        <v>0</v>
      </c>
      <c r="V27" s="75"/>
      <c r="W27" s="76"/>
      <c r="X27" s="91">
        <f t="shared" si="66"/>
        <v>0</v>
      </c>
      <c r="Y27" s="91"/>
      <c r="Z27" s="91"/>
      <c r="AA27" s="91"/>
      <c r="AB27" s="95">
        <f t="shared" si="67"/>
        <v>0</v>
      </c>
      <c r="AC27" s="92"/>
      <c r="AD27" s="77"/>
      <c r="AE27" s="93">
        <f t="shared" si="68"/>
        <v>0</v>
      </c>
      <c r="AF27" s="77"/>
      <c r="AG27" s="93">
        <f t="shared" si="69"/>
        <v>0</v>
      </c>
      <c r="AH27" s="77"/>
      <c r="AI27" s="93">
        <f t="shared" si="70"/>
        <v>0</v>
      </c>
      <c r="AJ27" s="77"/>
      <c r="AK27" s="93">
        <f t="shared" si="71"/>
        <v>0</v>
      </c>
      <c r="AL27" s="78"/>
      <c r="AM27" s="93">
        <f t="shared" si="72"/>
        <v>0</v>
      </c>
      <c r="AN27" s="77"/>
      <c r="AO27" s="93">
        <f t="shared" si="73"/>
        <v>0</v>
      </c>
      <c r="AP27" s="94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1">
        <f t="shared" si="60"/>
        <v>0</v>
      </c>
      <c r="G28" s="75"/>
      <c r="H28" s="76"/>
      <c r="I28" s="91">
        <f t="shared" si="61"/>
        <v>0</v>
      </c>
      <c r="J28" s="76"/>
      <c r="K28" s="76"/>
      <c r="L28" s="91">
        <f t="shared" si="62"/>
        <v>0</v>
      </c>
      <c r="M28" s="75"/>
      <c r="N28" s="75"/>
      <c r="O28" s="91">
        <f t="shared" si="63"/>
        <v>0</v>
      </c>
      <c r="P28" s="76"/>
      <c r="Q28" s="76"/>
      <c r="R28" s="91">
        <f t="shared" si="64"/>
        <v>0</v>
      </c>
      <c r="S28" s="76"/>
      <c r="T28" s="76"/>
      <c r="U28" s="91">
        <f t="shared" si="65"/>
        <v>0</v>
      </c>
      <c r="V28" s="75"/>
      <c r="W28" s="76"/>
      <c r="X28" s="91">
        <f t="shared" si="66"/>
        <v>0</v>
      </c>
      <c r="Y28" s="91"/>
      <c r="Z28" s="91"/>
      <c r="AA28" s="91"/>
      <c r="AB28" s="95">
        <f t="shared" si="67"/>
        <v>0</v>
      </c>
      <c r="AC28" s="92"/>
      <c r="AD28" s="77"/>
      <c r="AE28" s="93">
        <f t="shared" si="68"/>
        <v>0</v>
      </c>
      <c r="AF28" s="77"/>
      <c r="AG28" s="93">
        <f t="shared" si="69"/>
        <v>0</v>
      </c>
      <c r="AH28" s="77"/>
      <c r="AI28" s="93">
        <f t="shared" si="70"/>
        <v>0</v>
      </c>
      <c r="AJ28" s="77"/>
      <c r="AK28" s="93">
        <f t="shared" si="71"/>
        <v>0</v>
      </c>
      <c r="AL28" s="78"/>
      <c r="AM28" s="93">
        <f t="shared" si="72"/>
        <v>0</v>
      </c>
      <c r="AN28" s="77"/>
      <c r="AO28" s="93">
        <f t="shared" si="73"/>
        <v>0</v>
      </c>
      <c r="AP28" s="94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1">
        <f t="shared" si="60"/>
        <v>0</v>
      </c>
      <c r="G29" s="75"/>
      <c r="H29" s="76"/>
      <c r="I29" s="91">
        <f t="shared" si="61"/>
        <v>0</v>
      </c>
      <c r="J29" s="76"/>
      <c r="K29" s="76"/>
      <c r="L29" s="91">
        <f t="shared" si="62"/>
        <v>0</v>
      </c>
      <c r="M29" s="75"/>
      <c r="N29" s="75"/>
      <c r="O29" s="91">
        <f t="shared" si="63"/>
        <v>0</v>
      </c>
      <c r="P29" s="76"/>
      <c r="Q29" s="76"/>
      <c r="R29" s="91">
        <f t="shared" si="64"/>
        <v>0</v>
      </c>
      <c r="S29" s="76"/>
      <c r="T29" s="76"/>
      <c r="U29" s="91">
        <f t="shared" si="65"/>
        <v>0</v>
      </c>
      <c r="V29" s="75"/>
      <c r="W29" s="76"/>
      <c r="X29" s="91">
        <f t="shared" si="66"/>
        <v>0</v>
      </c>
      <c r="Y29" s="91"/>
      <c r="Z29" s="91"/>
      <c r="AA29" s="91"/>
      <c r="AB29" s="95">
        <f t="shared" si="67"/>
        <v>0</v>
      </c>
      <c r="AC29" s="92"/>
      <c r="AD29" s="77"/>
      <c r="AE29" s="93">
        <f t="shared" si="68"/>
        <v>0</v>
      </c>
      <c r="AF29" s="77"/>
      <c r="AG29" s="93">
        <f t="shared" si="69"/>
        <v>0</v>
      </c>
      <c r="AH29" s="77"/>
      <c r="AI29" s="93">
        <f t="shared" si="70"/>
        <v>0</v>
      </c>
      <c r="AJ29" s="77"/>
      <c r="AK29" s="93">
        <f t="shared" si="71"/>
        <v>0</v>
      </c>
      <c r="AL29" s="78"/>
      <c r="AM29" s="93">
        <f t="shared" si="72"/>
        <v>0</v>
      </c>
      <c r="AN29" s="77"/>
      <c r="AO29" s="93">
        <f t="shared" si="73"/>
        <v>0</v>
      </c>
      <c r="AP29" s="94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1">
        <f t="shared" si="9"/>
        <v>0</v>
      </c>
      <c r="G30" s="75"/>
      <c r="H30" s="76"/>
      <c r="I30" s="91">
        <f t="shared" si="10"/>
        <v>0</v>
      </c>
      <c r="J30" s="76"/>
      <c r="K30" s="76"/>
      <c r="L30" s="91">
        <f t="shared" si="11"/>
        <v>0</v>
      </c>
      <c r="M30" s="75"/>
      <c r="N30" s="75"/>
      <c r="O30" s="91">
        <f t="shared" si="12"/>
        <v>0</v>
      </c>
      <c r="P30" s="76"/>
      <c r="Q30" s="76"/>
      <c r="R30" s="91">
        <f t="shared" si="13"/>
        <v>0</v>
      </c>
      <c r="S30" s="76"/>
      <c r="T30" s="76"/>
      <c r="U30" s="91">
        <f t="shared" si="14"/>
        <v>0</v>
      </c>
      <c r="V30" s="75"/>
      <c r="W30" s="76"/>
      <c r="X30" s="91">
        <f t="shared" si="15"/>
        <v>0</v>
      </c>
      <c r="Y30" s="91"/>
      <c r="Z30" s="91"/>
      <c r="AA30" s="91"/>
      <c r="AB30" s="95">
        <f t="shared" si="16"/>
        <v>0</v>
      </c>
      <c r="AC30" s="92"/>
      <c r="AD30" s="77"/>
      <c r="AE30" s="93">
        <f t="shared" si="17"/>
        <v>0</v>
      </c>
      <c r="AF30" s="77"/>
      <c r="AG30" s="93">
        <f t="shared" si="18"/>
        <v>0</v>
      </c>
      <c r="AH30" s="77"/>
      <c r="AI30" s="93">
        <f t="shared" si="19"/>
        <v>0</v>
      </c>
      <c r="AJ30" s="77"/>
      <c r="AK30" s="93">
        <f t="shared" si="20"/>
        <v>0</v>
      </c>
      <c r="AL30" s="78"/>
      <c r="AM30" s="93">
        <f t="shared" si="21"/>
        <v>0</v>
      </c>
      <c r="AN30" s="77"/>
      <c r="AO30" s="93">
        <f t="shared" si="22"/>
        <v>0</v>
      </c>
      <c r="AP30" s="94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1">
        <f t="shared" si="9"/>
        <v>0</v>
      </c>
      <c r="G31" s="75"/>
      <c r="H31" s="76"/>
      <c r="I31" s="91">
        <f t="shared" si="10"/>
        <v>0</v>
      </c>
      <c r="J31" s="76"/>
      <c r="K31" s="76"/>
      <c r="L31" s="91">
        <f t="shared" si="11"/>
        <v>0</v>
      </c>
      <c r="M31" s="75"/>
      <c r="N31" s="75"/>
      <c r="O31" s="91">
        <f t="shared" si="12"/>
        <v>0</v>
      </c>
      <c r="P31" s="76"/>
      <c r="Q31" s="76"/>
      <c r="R31" s="91">
        <f t="shared" si="13"/>
        <v>0</v>
      </c>
      <c r="S31" s="76"/>
      <c r="T31" s="76"/>
      <c r="U31" s="91">
        <f t="shared" si="14"/>
        <v>0</v>
      </c>
      <c r="V31" s="75"/>
      <c r="W31" s="76"/>
      <c r="X31" s="91">
        <f t="shared" si="15"/>
        <v>0</v>
      </c>
      <c r="Y31" s="91"/>
      <c r="Z31" s="91"/>
      <c r="AA31" s="91"/>
      <c r="AB31" s="95">
        <f t="shared" si="16"/>
        <v>0</v>
      </c>
      <c r="AC31" s="92"/>
      <c r="AD31" s="77"/>
      <c r="AE31" s="93">
        <f t="shared" si="17"/>
        <v>0</v>
      </c>
      <c r="AF31" s="77"/>
      <c r="AG31" s="93">
        <f t="shared" si="18"/>
        <v>0</v>
      </c>
      <c r="AH31" s="77"/>
      <c r="AI31" s="93">
        <f t="shared" si="19"/>
        <v>0</v>
      </c>
      <c r="AJ31" s="77"/>
      <c r="AK31" s="93">
        <f t="shared" si="20"/>
        <v>0</v>
      </c>
      <c r="AL31" s="78"/>
      <c r="AM31" s="93">
        <f t="shared" si="21"/>
        <v>0</v>
      </c>
      <c r="AN31" s="77"/>
      <c r="AO31" s="93">
        <f t="shared" si="22"/>
        <v>0</v>
      </c>
      <c r="AP31" s="94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1">
        <f t="shared" ref="F32" si="76">BA32-BB32</f>
        <v>0</v>
      </c>
      <c r="G32" s="75"/>
      <c r="H32" s="76"/>
      <c r="I32" s="91">
        <f t="shared" ref="I32" si="77">BF32-BG32</f>
        <v>0</v>
      </c>
      <c r="J32" s="76"/>
      <c r="K32" s="76"/>
      <c r="L32" s="91">
        <f t="shared" ref="L32" si="78">BK32-BL32</f>
        <v>0</v>
      </c>
      <c r="M32" s="75"/>
      <c r="N32" s="75"/>
      <c r="O32" s="91">
        <f t="shared" ref="O32" si="79">BP32-BQ32</f>
        <v>0</v>
      </c>
      <c r="P32" s="76"/>
      <c r="Q32" s="76"/>
      <c r="R32" s="91">
        <f t="shared" ref="R32" si="80">BU32-BV32</f>
        <v>0</v>
      </c>
      <c r="S32" s="76"/>
      <c r="T32" s="76"/>
      <c r="U32" s="91">
        <f t="shared" ref="U32" si="81">BZ32-CA32</f>
        <v>0</v>
      </c>
      <c r="V32" s="75"/>
      <c r="W32" s="76"/>
      <c r="X32" s="91">
        <f t="shared" ref="X32" si="82">CE32-CF32</f>
        <v>0</v>
      </c>
      <c r="Y32" s="91"/>
      <c r="Z32" s="91"/>
      <c r="AA32" s="91"/>
      <c r="AB32" s="95">
        <f t="shared" ref="AB32" si="83">SUM(F32,I32,L32,O32,R32,U32,X32)</f>
        <v>0</v>
      </c>
      <c r="AC32" s="92"/>
      <c r="AD32" s="77"/>
      <c r="AE32" s="93">
        <f t="shared" ref="AE32" si="84">SUMIF($BC$1:$CI$1,AE$1,$BC32:$CI32)+AD32</f>
        <v>0</v>
      </c>
      <c r="AF32" s="77"/>
      <c r="AG32" s="93">
        <f t="shared" ref="AG32" si="85">SUMIF($BC$1:$CI$1,AG$1,$BC32:$CI32)+AF32</f>
        <v>0</v>
      </c>
      <c r="AH32" s="77"/>
      <c r="AI32" s="93">
        <f t="shared" ref="AI32" si="86">SUMIF($BC$1:$CI$1,AI$1,$BC32:$CI32)+AH32</f>
        <v>0</v>
      </c>
      <c r="AJ32" s="77"/>
      <c r="AK32" s="93">
        <f t="shared" ref="AK32" si="87">SUMIF($BC$1:$CI$1,AK$1,$BC32:$CI32)+AJ32</f>
        <v>0</v>
      </c>
      <c r="AL32" s="78"/>
      <c r="AM32" s="93">
        <f t="shared" ref="AM32" si="88">SUMIF($BC$1:$CI$1,AM$1,$BC32:$CI32)+AL32</f>
        <v>0</v>
      </c>
      <c r="AN32" s="77"/>
      <c r="AO32" s="93">
        <f t="shared" ref="AO32" si="89">SUMIF($BC$1:$CI$1,AO$1,$BC32:$CI32)+AN32</f>
        <v>0</v>
      </c>
      <c r="AP32" s="94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1">
        <f t="shared" si="9"/>
        <v>0</v>
      </c>
      <c r="G33" s="75"/>
      <c r="H33" s="76"/>
      <c r="I33" s="91">
        <f t="shared" si="10"/>
        <v>0</v>
      </c>
      <c r="J33" s="76"/>
      <c r="K33" s="75"/>
      <c r="L33" s="91">
        <f t="shared" si="11"/>
        <v>0</v>
      </c>
      <c r="M33" s="76"/>
      <c r="N33" s="75"/>
      <c r="O33" s="91">
        <f t="shared" si="12"/>
        <v>0</v>
      </c>
      <c r="P33" s="76"/>
      <c r="Q33" s="75"/>
      <c r="R33" s="91">
        <f t="shared" si="13"/>
        <v>0</v>
      </c>
      <c r="S33" s="76"/>
      <c r="T33" s="76"/>
      <c r="U33" s="91">
        <f t="shared" si="14"/>
        <v>0</v>
      </c>
      <c r="V33" s="75"/>
      <c r="W33" s="76"/>
      <c r="X33" s="91">
        <f t="shared" si="15"/>
        <v>0</v>
      </c>
      <c r="Y33" s="91"/>
      <c r="Z33" s="91"/>
      <c r="AA33" s="91"/>
      <c r="AB33" s="95">
        <f t="shared" si="16"/>
        <v>0</v>
      </c>
      <c r="AC33" s="92"/>
      <c r="AD33" s="77"/>
      <c r="AE33" s="93">
        <f t="shared" si="17"/>
        <v>0</v>
      </c>
      <c r="AF33" s="77"/>
      <c r="AG33" s="93">
        <f t="shared" si="18"/>
        <v>0</v>
      </c>
      <c r="AH33" s="77"/>
      <c r="AI33" s="93">
        <f t="shared" si="19"/>
        <v>0</v>
      </c>
      <c r="AJ33" s="77"/>
      <c r="AK33" s="93">
        <f t="shared" si="20"/>
        <v>0</v>
      </c>
      <c r="AL33" s="78"/>
      <c r="AM33" s="93">
        <f t="shared" si="21"/>
        <v>0</v>
      </c>
      <c r="AN33" s="77"/>
      <c r="AO33" s="93">
        <f t="shared" si="22"/>
        <v>0</v>
      </c>
      <c r="AP33" s="94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1">
        <f t="shared" si="9"/>
        <v>0</v>
      </c>
      <c r="G34" s="75"/>
      <c r="H34" s="76"/>
      <c r="I34" s="91">
        <f t="shared" si="10"/>
        <v>0</v>
      </c>
      <c r="J34" s="76"/>
      <c r="K34" s="76"/>
      <c r="L34" s="91">
        <f t="shared" si="11"/>
        <v>0</v>
      </c>
      <c r="M34" s="75"/>
      <c r="N34" s="75"/>
      <c r="O34" s="91">
        <f t="shared" si="12"/>
        <v>0</v>
      </c>
      <c r="P34" s="76"/>
      <c r="Q34" s="76"/>
      <c r="R34" s="91">
        <f t="shared" si="13"/>
        <v>0</v>
      </c>
      <c r="S34" s="76"/>
      <c r="T34" s="76"/>
      <c r="U34" s="91">
        <f t="shared" si="14"/>
        <v>0</v>
      </c>
      <c r="V34" s="75"/>
      <c r="W34" s="76"/>
      <c r="X34" s="91">
        <f t="shared" si="15"/>
        <v>0</v>
      </c>
      <c r="Y34" s="91"/>
      <c r="Z34" s="91"/>
      <c r="AA34" s="91"/>
      <c r="AB34" s="95">
        <f t="shared" si="16"/>
        <v>0</v>
      </c>
      <c r="AC34" s="92"/>
      <c r="AD34" s="77"/>
      <c r="AE34" s="93">
        <f t="shared" si="17"/>
        <v>0</v>
      </c>
      <c r="AF34" s="77"/>
      <c r="AG34" s="93">
        <f t="shared" si="18"/>
        <v>0</v>
      </c>
      <c r="AH34" s="77"/>
      <c r="AI34" s="93">
        <f t="shared" si="19"/>
        <v>0</v>
      </c>
      <c r="AJ34" s="77"/>
      <c r="AK34" s="93">
        <f t="shared" si="20"/>
        <v>0</v>
      </c>
      <c r="AL34" s="78"/>
      <c r="AM34" s="93">
        <f t="shared" si="21"/>
        <v>0</v>
      </c>
      <c r="AN34" s="77"/>
      <c r="AO34" s="93">
        <f t="shared" si="22"/>
        <v>0</v>
      </c>
      <c r="AP34" s="94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1">
        <f t="shared" si="9"/>
        <v>0</v>
      </c>
      <c r="G35" s="75"/>
      <c r="H35" s="76"/>
      <c r="I35" s="91">
        <f t="shared" si="10"/>
        <v>0</v>
      </c>
      <c r="J35" s="76"/>
      <c r="K35" s="76"/>
      <c r="L35" s="91">
        <f t="shared" si="11"/>
        <v>0</v>
      </c>
      <c r="M35" s="75"/>
      <c r="N35" s="75"/>
      <c r="O35" s="91">
        <f t="shared" si="12"/>
        <v>0</v>
      </c>
      <c r="P35" s="76"/>
      <c r="Q35" s="76"/>
      <c r="R35" s="91">
        <f t="shared" si="13"/>
        <v>0</v>
      </c>
      <c r="S35" s="76"/>
      <c r="T35" s="76"/>
      <c r="U35" s="91">
        <f t="shared" si="14"/>
        <v>0</v>
      </c>
      <c r="V35" s="75"/>
      <c r="W35" s="76"/>
      <c r="X35" s="91">
        <f t="shared" si="15"/>
        <v>0</v>
      </c>
      <c r="Y35" s="91"/>
      <c r="Z35" s="91"/>
      <c r="AA35" s="91"/>
      <c r="AB35" s="95">
        <f t="shared" si="16"/>
        <v>0</v>
      </c>
      <c r="AC35" s="92"/>
      <c r="AD35" s="77"/>
      <c r="AE35" s="93">
        <f t="shared" si="17"/>
        <v>0</v>
      </c>
      <c r="AF35" s="77"/>
      <c r="AG35" s="93">
        <f t="shared" si="18"/>
        <v>0</v>
      </c>
      <c r="AH35" s="77"/>
      <c r="AI35" s="93">
        <f t="shared" si="19"/>
        <v>0</v>
      </c>
      <c r="AJ35" s="77"/>
      <c r="AK35" s="93">
        <f t="shared" si="20"/>
        <v>0</v>
      </c>
      <c r="AL35" s="78"/>
      <c r="AM35" s="93">
        <f t="shared" si="21"/>
        <v>0</v>
      </c>
      <c r="AN35" s="77"/>
      <c r="AO35" s="93">
        <f t="shared" si="22"/>
        <v>0</v>
      </c>
      <c r="AP35" s="94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zoomScale="120" zoomScaleNormal="120" workbookViewId="0">
      <selection activeCell="I7" sqref="I7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10155</v>
      </c>
      <c r="B2" s="28">
        <f ca="1">IF(A2=0,"",_xlfn.NUMBERVALUE(A2))</f>
        <v>10155</v>
      </c>
      <c r="C2" s="28" t="str">
        <f ca="1">IF($A2=0,"",VLOOKUP($B2,Employees!$A:$G,2,FALSE))</f>
        <v>Qianyu</v>
      </c>
      <c r="D2" s="28" t="str">
        <f ca="1">IF($A2=0,"",VLOOKUP($B2,Employees!$A:$G,3,FALSE))</f>
        <v>Liu</v>
      </c>
      <c r="E2" s="26">
        <f ca="1">IF($A2=0,"",VLOOKUP($B2,Employees!$A:$G,5,FALSE))</f>
        <v>35234</v>
      </c>
      <c r="F2" s="13">
        <f ca="1">IF($E2="","",ROUNDDOWN(YEARFRAC($E2, 'Week 1 Roster'!$D$1-1, 1), 0))</f>
        <v>29</v>
      </c>
      <c r="G2" s="13">
        <f ca="1">IF($E2="","",ROUNDDOWN(YEARFRAC($E2, 'Week 1 Roster'!$D$1+14, 1), 0))</f>
        <v>29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EW</v>
      </c>
      <c r="L2" s="13" t="str">
        <f ca="1">IF($A2=0,"",VLOOKUP(K2,Stores!A:B,2,0))</f>
        <v>Superb</v>
      </c>
      <c r="M2" s="14">
        <f t="shared" ref="M2" ca="1" si="0">Y2+AK2</f>
        <v>9</v>
      </c>
      <c r="N2" s="14">
        <f t="shared" ref="N2" ca="1" si="1">Z2+AL2</f>
        <v>16.5</v>
      </c>
      <c r="O2" s="14">
        <f t="shared" ref="O2" ca="1" si="2">AA2+AM2</f>
        <v>3</v>
      </c>
      <c r="P2" s="14">
        <f t="shared" ref="P2" ca="1" si="3">AB2+AN2</f>
        <v>5.8333333333333321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5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34.333333333333329</v>
      </c>
      <c r="Y2" s="17">
        <f ca="1">IF($A2=0,0,SUMIF('Week 1 Roster'!$AZ:$AZ,$B2,'Week 1 Roster'!$AE:$AE))</f>
        <v>7.9999999999999991</v>
      </c>
      <c r="Z2" s="17">
        <f ca="1">IF($A2=0,0,SUMIF('Week 1 Roster'!$AZ:$AZ,$B2,'Week 1 Roster'!$AG:$AG))</f>
        <v>7.5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2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15.5</v>
      </c>
      <c r="AK2" s="17">
        <f ca="1">IF($A2=0,0,SUMIF('Week 2 Roster'!$AZ:$AZ,$B2,'Week 2 Roster'!$AE:$AE))</f>
        <v>1</v>
      </c>
      <c r="AL2" s="17">
        <f ca="1">IF($A2=0,0,SUMIF('Week 2 Roster'!$AZ:$AZ,$B2,'Week 2 Roster'!$AG:$AG))</f>
        <v>9</v>
      </c>
      <c r="AM2" s="17">
        <f ca="1">IF($A2=0,0,SUMIF('Week 2 Roster'!$AZ:$AZ,$B2,'Week 2 Roster'!$AI:$AI))</f>
        <v>3</v>
      </c>
      <c r="AN2" s="17">
        <f ca="1">IF($A2=0,0,SUMIF('Week 2 Roster'!$AZ:$AZ,$B2,'Week 2 Roster'!$AK:$AK))</f>
        <v>5.8333333333333321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3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18.833333333333332</v>
      </c>
      <c r="AV2" s="17"/>
      <c r="AW2" s="25">
        <f>'Week 1 Roster'!A2</f>
        <v>10155</v>
      </c>
      <c r="AX2" s="25">
        <f>'Week 2 Roster'!A2</f>
        <v>10155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10369</v>
      </c>
      <c r="B3" s="28">
        <f t="shared" ref="B3:B66" ca="1" si="9">IF(A3=0,"",_xlfn.NUMBERVALUE(A3))</f>
        <v>10369</v>
      </c>
      <c r="C3" s="28" t="str">
        <f ca="1">IF($A3=0,"",VLOOKUP($B3,Employees!$A:$G,2,FALSE))</f>
        <v>Suqi</v>
      </c>
      <c r="D3" s="28" t="str">
        <f ca="1">IF($A3=0,"",VLOOKUP($B3,Employees!$A:$G,3,FALSE))</f>
        <v>Tang</v>
      </c>
      <c r="E3" s="26">
        <f ca="1">IF($A3=0,"",VLOOKUP($B3,Employees!$A:$G,5,FALSE))</f>
        <v>33016</v>
      </c>
      <c r="F3" s="13">
        <f ca="1">IF($E3="","",ROUNDDOWN(YEARFRAC($E3, 'Week 1 Roster'!$D$1-1, 1), 0))</f>
        <v>35</v>
      </c>
      <c r="G3" s="13">
        <f ca="1">IF($E3="","",ROUNDDOWN(YEARFRAC($E3, 'Week 1 Roster'!$D$1+14, 1), 0))</f>
        <v>35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EW</v>
      </c>
      <c r="L3" s="13" t="str">
        <f ca="1">IF($A3=0,"",VLOOKUP(K3,Stores!A:B,2,0))</f>
        <v>Superb</v>
      </c>
      <c r="M3" s="14">
        <f t="shared" ref="M3:M66" ca="1" si="11">Y3+AK3</f>
        <v>41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8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41</v>
      </c>
      <c r="Y3" s="17">
        <f ca="1">IF($A3=0,0,SUMIF('Week 1 Roster'!$AZ:$AZ,$B3,'Week 1 Roster'!$AE:$AE))</f>
        <v>20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4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20</v>
      </c>
      <c r="AK3" s="17">
        <f ca="1">IF($A3=0,0,SUMIF('Week 2 Roster'!$AZ:$AZ,$B3,'Week 2 Roster'!$AE:$AE))</f>
        <v>21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4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21</v>
      </c>
      <c r="AV3" s="17"/>
      <c r="AW3" s="25">
        <f>'Week 1 Roster'!A3</f>
        <v>10369</v>
      </c>
      <c r="AX3" s="25">
        <f>'Week 2 Roster'!A3</f>
        <v>10369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210508</v>
      </c>
      <c r="B4" s="28">
        <f t="shared" ca="1" si="9"/>
        <v>210508</v>
      </c>
      <c r="C4" s="28" t="str">
        <f ca="1">IF($A4=0,"",VLOOKUP($B4,Employees!$A:$G,2,FALSE))</f>
        <v>May Phyu Cin</v>
      </c>
      <c r="D4" s="28" t="str">
        <f ca="1">IF($A4=0,"",VLOOKUP($B4,Employees!$A:$G,3,FALSE))</f>
        <v>Myo</v>
      </c>
      <c r="E4" s="26">
        <f ca="1">IF($A4=0,"",VLOOKUP($B4,Employees!$A:$G,5,FALSE))</f>
        <v>38176</v>
      </c>
      <c r="F4" s="13">
        <f ca="1">IF($E4="","",ROUNDDOWN(YEARFRAC($E4, 'Week 1 Roster'!$D$1-1, 1), 0))</f>
        <v>21</v>
      </c>
      <c r="G4" s="13">
        <f ca="1">IF($E4="","",ROUNDDOWN(YEARFRAC($E4, 'Week 1 Roster'!$D$1+14, 1), 0))</f>
        <v>21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Win</v>
      </c>
      <c r="K4" s="13" t="str">
        <f ca="1">IF($A4=0,"",IF(ISNA(VLOOKUP(A4,'Week 1 Roster'!A:C,2,0)),VLOOKUP(A4,'Week 2 Roster'!A:C,2,0),VLOOKUP(A4,'Week 1 Roster'!A:C,2,0)))</f>
        <v>EW</v>
      </c>
      <c r="L4" s="13" t="str">
        <f ca="1">IF($A4=0,"",VLOOKUP(K4,Stores!A:B,2,0))</f>
        <v>Superb</v>
      </c>
      <c r="M4" s="14">
        <f t="shared" ca="1" si="11"/>
        <v>26.499999999999993</v>
      </c>
      <c r="N4" s="14">
        <f t="shared" ca="1" si="12"/>
        <v>0</v>
      </c>
      <c r="O4" s="14">
        <f t="shared" ca="1" si="13"/>
        <v>0</v>
      </c>
      <c r="P4" s="14">
        <f t="shared" ca="1" si="14"/>
        <v>0</v>
      </c>
      <c r="Q4" s="14">
        <f t="shared" ca="1" si="15"/>
        <v>3.7500000000000027</v>
      </c>
      <c r="R4" s="14">
        <f t="shared" ca="1" si="16"/>
        <v>0</v>
      </c>
      <c r="S4" s="28">
        <f t="shared" ca="1" si="17"/>
        <v>4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30.249999999999996</v>
      </c>
      <c r="Y4" s="17">
        <f ca="1">IF($A4=0,0,SUMIF('Week 1 Roster'!$AZ:$AZ,$B4,'Week 1 Roster'!$AE:$AE))</f>
        <v>14.999999999999998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1.0000000000000018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2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16</v>
      </c>
      <c r="AK4" s="17">
        <f ca="1">IF($A4=0,0,SUMIF('Week 2 Roster'!$AZ:$AZ,$B4,'Week 2 Roster'!$AE:$AE))</f>
        <v>11.499999999999996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2.7500000000000009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2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14.249999999999996</v>
      </c>
      <c r="AV4" s="17"/>
      <c r="AW4" s="25">
        <f>'Week 1 Roster'!A4</f>
        <v>210508</v>
      </c>
      <c r="AX4" s="25">
        <f>'Week 2 Roster'!A4</f>
        <v>210508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10198</v>
      </c>
      <c r="B5" s="28">
        <f t="shared" ca="1" si="9"/>
        <v>10198</v>
      </c>
      <c r="C5" s="28" t="str">
        <f ca="1">IF($A5=0,"",VLOOKUP($B5,Employees!$A:$G,2,FALSE))</f>
        <v>Sungwoo</v>
      </c>
      <c r="D5" s="28" t="str">
        <f ca="1">IF($A5=0,"",VLOOKUP($B5,Employees!$A:$G,3,FALSE))</f>
        <v>Yang</v>
      </c>
      <c r="E5" s="26">
        <f ca="1">IF($A5=0,"",VLOOKUP($B5,Employees!$A:$G,5,FALSE))</f>
        <v>38050</v>
      </c>
      <c r="F5" s="13">
        <f ca="1">IF($E5="","",ROUNDDOWN(YEARFRAC($E5, 'Week 1 Roster'!$D$1-1, 1), 0))</f>
        <v>21</v>
      </c>
      <c r="G5" s="13">
        <f ca="1">IF($E5="","",ROUNDDOWN(YEARFRAC($E5, 'Week 1 Roster'!$D$1+14, 1), 0))</f>
        <v>21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HL</v>
      </c>
      <c r="K5" s="13" t="str">
        <f ca="1">IF($A5=0,"",IF(ISNA(VLOOKUP(A5,'Week 1 Roster'!A:C,2,0)),VLOOKUP(A5,'Week 2 Roster'!A:C,2,0),VLOOKUP(A5,'Week 1 Roster'!A:C,2,0)))</f>
        <v>EW</v>
      </c>
      <c r="L5" s="13" t="str">
        <f ca="1">IF($A5=0,"",VLOOKUP(K5,Stores!A:B,2,0))</f>
        <v>Superb</v>
      </c>
      <c r="M5" s="14">
        <f t="shared" ca="1" si="11"/>
        <v>13</v>
      </c>
      <c r="N5" s="14">
        <f t="shared" ca="1" si="12"/>
        <v>17.816666666666666</v>
      </c>
      <c r="O5" s="14">
        <f t="shared" ca="1" si="13"/>
        <v>19.183333333333337</v>
      </c>
      <c r="P5" s="14">
        <f t="shared" ca="1" si="14"/>
        <v>7</v>
      </c>
      <c r="Q5" s="14">
        <f t="shared" ca="1" si="15"/>
        <v>2.0000000000000009</v>
      </c>
      <c r="R5" s="14">
        <f t="shared" ca="1" si="16"/>
        <v>0</v>
      </c>
      <c r="S5" s="28">
        <f t="shared" ca="1" si="17"/>
        <v>7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59</v>
      </c>
      <c r="Y5" s="17">
        <f ca="1">IF($A5=0,0,SUMIF('Week 1 Roster'!$AZ:$AZ,$B5,'Week 1 Roster'!$AE:$AE))</f>
        <v>13</v>
      </c>
      <c r="Z5" s="17">
        <f ca="1">IF($A5=0,0,SUMIF('Week 1 Roster'!$AZ:$AZ,$B5,'Week 1 Roster'!$AG:$AG))</f>
        <v>7.1</v>
      </c>
      <c r="AA5" s="17">
        <f ca="1">IF($A5=0,0,SUMIF('Week 1 Roster'!$AZ:$AZ,$B5,'Week 1 Roster'!$AI:$AI))</f>
        <v>9.1000000000000014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2.0000000000000009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4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31.200000000000003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10.716666666666667</v>
      </c>
      <c r="AM5" s="17">
        <f ca="1">IF($A5=0,0,SUMIF('Week 2 Roster'!$AZ:$AZ,$B5,'Week 2 Roster'!$AI:$AI))</f>
        <v>10.083333333333336</v>
      </c>
      <c r="AN5" s="17">
        <f ca="1">IF($A5=0,0,SUMIF('Week 2 Roster'!$AZ:$AZ,$B5,'Week 2 Roster'!$AK:$AK))</f>
        <v>7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3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27.800000000000004</v>
      </c>
      <c r="AV5" s="17"/>
      <c r="AW5" s="25">
        <f>'Week 1 Roster'!A5</f>
        <v>10198</v>
      </c>
      <c r="AX5" s="25">
        <f>'Week 2 Roster'!A5</f>
        <v>10198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10410</v>
      </c>
      <c r="B6" s="28">
        <f t="shared" ca="1" si="9"/>
        <v>10410</v>
      </c>
      <c r="C6" s="28" t="str">
        <f ca="1">IF($A6=0,"",VLOOKUP($B6,Employees!$A:$G,2,FALSE))</f>
        <v>Dominic</v>
      </c>
      <c r="D6" s="28" t="str">
        <f ca="1">IF($A6=0,"",VLOOKUP($B6,Employees!$A:$G,3,FALSE))</f>
        <v>Tomiyama</v>
      </c>
      <c r="E6" s="26">
        <f ca="1">IF($A6=0,"",VLOOKUP($B6,Employees!$A:$G,5,FALSE))</f>
        <v>37623</v>
      </c>
      <c r="F6" s="13">
        <f ca="1">IF($E6="","",ROUNDDOWN(YEARFRAC($E6, 'Week 1 Roster'!$D$1-1, 1), 0))</f>
        <v>23</v>
      </c>
      <c r="G6" s="13">
        <f ca="1">IF($E6="","",ROUNDDOWN(YEARFRAC($E6, 'Week 1 Roster'!$D$1+14, 1), 0))</f>
        <v>23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EW</v>
      </c>
      <c r="L6" s="13" t="str">
        <f ca="1">IF($A6=0,"",VLOOKUP(K6,Stores!A:B,2,0))</f>
        <v>Superb</v>
      </c>
      <c r="M6" s="14">
        <f t="shared" ca="1" si="11"/>
        <v>18.499999999999996</v>
      </c>
      <c r="N6" s="14">
        <f t="shared" ca="1" si="12"/>
        <v>13.633333333333335</v>
      </c>
      <c r="O6" s="14">
        <f t="shared" ca="1" si="13"/>
        <v>15.6</v>
      </c>
      <c r="P6" s="14">
        <f t="shared" ca="1" si="14"/>
        <v>5.7499999999999991</v>
      </c>
      <c r="Q6" s="14">
        <f t="shared" ca="1" si="15"/>
        <v>3.0333333333333359</v>
      </c>
      <c r="R6" s="14">
        <f t="shared" ca="1" si="16"/>
        <v>0</v>
      </c>
      <c r="S6" s="28">
        <f t="shared" ca="1" si="17"/>
        <v>8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56.516666666666673</v>
      </c>
      <c r="Y6" s="17">
        <f ca="1">IF($A6=0,0,SUMIF('Week 1 Roster'!$AZ:$AZ,$B6,'Week 1 Roster'!$AE:$AE))</f>
        <v>10.999999999999996</v>
      </c>
      <c r="Z6" s="17">
        <f ca="1">IF($A6=0,0,SUMIF('Week 1 Roster'!$AZ:$AZ,$B6,'Week 1 Roster'!$AG:$AG))</f>
        <v>6.4999999999999991</v>
      </c>
      <c r="AA6" s="17">
        <f ca="1">IF($A6=0,0,SUMIF('Week 1 Roster'!$AZ:$AZ,$B6,'Week 1 Roster'!$AI:$AI))</f>
        <v>7.5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2.533333333333335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4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27.533333333333331</v>
      </c>
      <c r="AK6" s="17">
        <f ca="1">IF($A6=0,0,SUMIF('Week 2 Roster'!$AZ:$AZ,$B6,'Week 2 Roster'!$AE:$AE))</f>
        <v>7.4999999999999991</v>
      </c>
      <c r="AL6" s="17">
        <f ca="1">IF($A6=0,0,SUMIF('Week 2 Roster'!$AZ:$AZ,$B6,'Week 2 Roster'!$AG:$AG))</f>
        <v>7.1333333333333355</v>
      </c>
      <c r="AM6" s="17">
        <f ca="1">IF($A6=0,0,SUMIF('Week 2 Roster'!$AZ:$AZ,$B6,'Week 2 Roster'!$AI:$AI))</f>
        <v>8.1</v>
      </c>
      <c r="AN6" s="17">
        <f ca="1">IF($A6=0,0,SUMIF('Week 2 Roster'!$AZ:$AZ,$B6,'Week 2 Roster'!$AK:$AK))</f>
        <v>5.7499999999999991</v>
      </c>
      <c r="AO6" s="17">
        <f ca="1">IF($A6=0,0,SUMIF('Week 2 Roster'!$AZ:$AZ,$B6,'Week 2 Roster'!$AM:$AM))</f>
        <v>0.50000000000000089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4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28.983333333333334</v>
      </c>
      <c r="AV6" s="17"/>
      <c r="AW6" s="25">
        <f>'Week 1 Roster'!A6</f>
        <v>10410</v>
      </c>
      <c r="AX6" s="25">
        <f>'Week 2 Roster'!A6</f>
        <v>10410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210478</v>
      </c>
      <c r="B7" s="28">
        <f t="shared" ca="1" si="9"/>
        <v>210478</v>
      </c>
      <c r="C7" s="28" t="str">
        <f ca="1">IF($A7=0,"",VLOOKUP($B7,Employees!$A:$G,2,FALSE))</f>
        <v>Cynthia</v>
      </c>
      <c r="D7" s="28" t="str">
        <f ca="1">IF($A7=0,"",VLOOKUP($B7,Employees!$A:$G,3,FALSE))</f>
        <v>Chen</v>
      </c>
      <c r="E7" s="26">
        <f ca="1">IF($A7=0,"",VLOOKUP($B7,Employees!$A:$G,5,FALSE))</f>
        <v>33851</v>
      </c>
      <c r="F7" s="13">
        <f ca="1">IF($E7="","",ROUNDDOWN(YEARFRAC($E7, 'Week 1 Roster'!$D$1-1, 1), 0))</f>
        <v>33</v>
      </c>
      <c r="G7" s="13">
        <f ca="1">IF($E7="","",ROUNDDOWN(YEARFRAC($E7, 'Week 1 Roster'!$D$1+14, 1), 0))</f>
        <v>33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SS</v>
      </c>
      <c r="K7" s="13" t="str">
        <f ca="1">IF($A7=0,"",IF(ISNA(VLOOKUP(A7,'Week 1 Roster'!A:C,2,0)),VLOOKUP(A7,'Week 2 Roster'!A:C,2,0),VLOOKUP(A7,'Week 1 Roster'!A:C,2,0)))</f>
        <v>EW</v>
      </c>
      <c r="L7" s="13" t="str">
        <f ca="1">IF($A7=0,"",VLOOKUP(K7,Stores!A:B,2,0))</f>
        <v>Superb</v>
      </c>
      <c r="M7" s="14">
        <f t="shared" ca="1" si="11"/>
        <v>0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0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0</v>
      </c>
      <c r="Y7" s="17">
        <f ca="1">IF($A7=0,0,SUMIF('Week 1 Roster'!$AZ:$AZ,$B7,'Week 1 Roster'!$AE:$AE))</f>
        <v>0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0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0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>
        <f>'Week 1 Roster'!A7</f>
        <v>210478</v>
      </c>
      <c r="AX7" s="25">
        <f>'Week 2 Roster'!A7</f>
        <v>210518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210518</v>
      </c>
      <c r="B8" s="28">
        <f t="shared" ca="1" si="9"/>
        <v>210518</v>
      </c>
      <c r="C8" s="28" t="str">
        <f ca="1">IF($A8=0,"",VLOOKUP($B8,Employees!$A:$G,2,FALSE))</f>
        <v>James</v>
      </c>
      <c r="D8" s="28" t="str">
        <f ca="1">IF($A8=0,"",VLOOKUP($B8,Employees!$A:$G,3,FALSE))</f>
        <v>Nguyen</v>
      </c>
      <c r="E8" s="26">
        <f ca="1">IF($A8=0,"",VLOOKUP($B8,Employees!$A:$G,5,FALSE))</f>
        <v>38536</v>
      </c>
      <c r="F8" s="13">
        <f ca="1">IF($E8="","",ROUNDDOWN(YEARFRAC($E8, 'Week 1 Roster'!$D$1-1, 1), 0))</f>
        <v>20</v>
      </c>
      <c r="G8" s="13">
        <f ca="1">IF($E8="","",ROUNDDOWN(YEARFRAC($E8, 'Week 1 Roster'!$D$1+14, 1), 0))</f>
        <v>20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Win</v>
      </c>
      <c r="K8" s="13" t="str">
        <f ca="1">IF($A8=0,"",IF(ISNA(VLOOKUP(A8,'Week 1 Roster'!A:C,2,0)),VLOOKUP(A8,'Week 2 Roster'!A:C,2,0),VLOOKUP(A8,'Week 1 Roster'!A:C,2,0)))</f>
        <v>EW</v>
      </c>
      <c r="L8" s="13" t="str">
        <f ca="1">IF($A8=0,"",VLOOKUP(K8,Stores!A:B,2,0))</f>
        <v>Superb</v>
      </c>
      <c r="M8" s="14">
        <f t="shared" ca="1" si="11"/>
        <v>8.9999999999999964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3.200000000000002</v>
      </c>
      <c r="R8" s="14">
        <f t="shared" ca="1" si="16"/>
        <v>0</v>
      </c>
      <c r="S8" s="28">
        <f t="shared" ca="1" si="17"/>
        <v>2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12.2</v>
      </c>
      <c r="Y8" s="17">
        <f ca="1">IF($A8=0,0,SUMIF('Week 1 Roster'!$AZ:$AZ,$B8,'Week 1 Roster'!$AE:$AE))</f>
        <v>4.4999999999999982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1.4666666666666668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1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5.966666666666665</v>
      </c>
      <c r="AK8" s="17">
        <f ca="1">IF($A8=0,0,SUMIF('Week 2 Roster'!$AZ:$AZ,$B8,'Week 2 Roster'!$AE:$AE))</f>
        <v>4.4999999999999982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1.7333333333333352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1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6.2333333333333334</v>
      </c>
      <c r="AV8" s="17"/>
      <c r="AW8" s="25">
        <f>'Week 1 Roster'!A8</f>
        <v>210521</v>
      </c>
      <c r="AX8" s="25">
        <f>'Week 2 Roster'!A8</f>
        <v>210521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210521</v>
      </c>
      <c r="B9" s="28">
        <f t="shared" ca="1" si="9"/>
        <v>210521</v>
      </c>
      <c r="C9" s="28" t="str">
        <f ca="1">IF($A9=0,"",VLOOKUP($B9,Employees!$A:$G,2,FALSE))</f>
        <v>Raymond</v>
      </c>
      <c r="D9" s="28" t="str">
        <f ca="1">IF($A9=0,"",VLOOKUP($B9,Employees!$A:$G,3,FALSE))</f>
        <v>Zhang</v>
      </c>
      <c r="E9" s="26">
        <f ca="1">IF($A9=0,"",VLOOKUP($B9,Employees!$A:$G,5,FALSE))</f>
        <v>38885</v>
      </c>
      <c r="F9" s="13">
        <f ca="1">IF($E9="","",ROUNDDOWN(YEARFRAC($E9, 'Week 1 Roster'!$D$1-1, 1), 0))</f>
        <v>19</v>
      </c>
      <c r="G9" s="13">
        <f ca="1">IF($E9="","",ROUNDDOWN(YEARFRAC($E9, 'Week 1 Roster'!$D$1+14, 1), 0))</f>
        <v>19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Win</v>
      </c>
      <c r="K9" s="13" t="str">
        <f ca="1">IF($A9=0,"",IF(ISNA(VLOOKUP(A9,'Week 1 Roster'!A:C,2,0)),VLOOKUP(A9,'Week 2 Roster'!A:C,2,0),VLOOKUP(A9,'Week 1 Roster'!A:C,2,0)))</f>
        <v>EW</v>
      </c>
      <c r="L9" s="13" t="str">
        <f ca="1">IF($A9=0,"",VLOOKUP(K9,Stores!A:B,2,0))</f>
        <v>Superb</v>
      </c>
      <c r="M9" s="14">
        <f t="shared" ca="1" si="11"/>
        <v>14.499999999999996</v>
      </c>
      <c r="N9" s="14">
        <f t="shared" ca="1" si="12"/>
        <v>4.9999999999999991</v>
      </c>
      <c r="O9" s="14">
        <f t="shared" ca="1" si="13"/>
        <v>5.6666666666666661</v>
      </c>
      <c r="P9" s="14">
        <f t="shared" ca="1" si="14"/>
        <v>0</v>
      </c>
      <c r="Q9" s="14">
        <f t="shared" ca="1" si="15"/>
        <v>4.9333333333333371</v>
      </c>
      <c r="R9" s="14">
        <f t="shared" ca="1" si="16"/>
        <v>0</v>
      </c>
      <c r="S9" s="28">
        <f t="shared" ca="1" si="17"/>
        <v>5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30.1</v>
      </c>
      <c r="Y9" s="17">
        <f ca="1">IF($A9=0,0,SUMIF('Week 1 Roster'!$AZ:$AZ,$B9,'Week 1 Roster'!$AE:$AE))</f>
        <v>4.4999999999999982</v>
      </c>
      <c r="Z9" s="17">
        <f ca="1">IF($A9=0,0,SUMIF('Week 1 Roster'!$AZ:$AZ,$B9,'Week 1 Roster'!$AG:$AG))</f>
        <v>4.9999999999999991</v>
      </c>
      <c r="AA9" s="17">
        <f ca="1">IF($A9=0,0,SUMIF('Week 1 Roster'!$AZ:$AZ,$B9,'Week 1 Roster'!$AI:$AI))</f>
        <v>5.6666666666666661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1.5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3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16.666666666666664</v>
      </c>
      <c r="AK9" s="17">
        <f ca="1">IF($A9=0,0,SUMIF('Week 2 Roster'!$AZ:$AZ,$B9,'Week 2 Roster'!$AE:$AE))</f>
        <v>9.9999999999999982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3.4333333333333371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2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13.433333333333335</v>
      </c>
      <c r="AV9" s="17"/>
      <c r="AW9" s="25">
        <f>'Week 1 Roster'!A9</f>
        <v>210520</v>
      </c>
      <c r="AX9" s="25">
        <f>'Week 2 Roster'!A9</f>
        <v>210520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210520</v>
      </c>
      <c r="B10" s="28">
        <f t="shared" ca="1" si="9"/>
        <v>210520</v>
      </c>
      <c r="C10" s="28" t="str">
        <f ca="1">IF($A10=0,"",VLOOKUP($B10,Employees!$A:$G,2,FALSE))</f>
        <v>Yuna</v>
      </c>
      <c r="D10" s="28" t="str">
        <f ca="1">IF($A10=0,"",VLOOKUP($B10,Employees!$A:$G,3,FALSE))</f>
        <v>Kim</v>
      </c>
      <c r="E10" s="26">
        <f ca="1">IF($A10=0,"",VLOOKUP($B10,Employees!$A:$G,5,FALSE))</f>
        <v>39297</v>
      </c>
      <c r="F10" s="13">
        <f ca="1">IF($E10="","",ROUNDDOWN(YEARFRAC($E10, 'Week 1 Roster'!$D$1-1, 1), 0))</f>
        <v>18</v>
      </c>
      <c r="G10" s="13">
        <f ca="1">IF($E10="","",ROUNDDOWN(YEARFRAC($E10, 'Week 1 Roster'!$D$1+14, 1), 0))</f>
        <v>18</v>
      </c>
      <c r="H10" s="13" t="b">
        <f t="shared" ca="1" si="10"/>
        <v>0</v>
      </c>
      <c r="I10" s="13">
        <f ca="1">IF($A10=0,"",VLOOKUP($B10,Employees!$A:$G,6,FALSE))</f>
        <v>48</v>
      </c>
      <c r="J10" s="13" t="str">
        <f ca="1">IF($A10=0,"",VLOOKUP($B10,Employees!$A:$G,7,FALSE))</f>
        <v>Win</v>
      </c>
      <c r="K10" s="13" t="str">
        <f ca="1">IF($A10=0,"",IF(ISNA(VLOOKUP(A10,'Week 1 Roster'!A:C,2,0)),VLOOKUP(A10,'Week 2 Roster'!A:C,2,0),VLOOKUP(A10,'Week 1 Roster'!A:C,2,0)))</f>
        <v>EW</v>
      </c>
      <c r="L10" s="13" t="str">
        <f ca="1">IF($A10=0,"",VLOOKUP(K10,Stores!A:B,2,0))</f>
        <v>Superb</v>
      </c>
      <c r="M10" s="14">
        <f t="shared" ca="1" si="11"/>
        <v>21.999999999999993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3.9666666666666686</v>
      </c>
      <c r="R10" s="14">
        <f t="shared" ca="1" si="16"/>
        <v>0</v>
      </c>
      <c r="S10" s="28">
        <f t="shared" ca="1" si="17"/>
        <v>4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25.966666666666661</v>
      </c>
      <c r="Y10" s="17">
        <f ca="1">IF($A10=0,0,SUMIF('Week 1 Roster'!$AZ:$AZ,$B10,'Week 1 Roster'!$AE:$AE))</f>
        <v>8.9999999999999964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2.7333333333333343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2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11.733333333333331</v>
      </c>
      <c r="AK10" s="17">
        <f ca="1">IF($A10=0,0,SUMIF('Week 2 Roster'!$AZ:$AZ,$B10,'Week 2 Roster'!$AE:$AE))</f>
        <v>12.999999999999998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1.2333333333333343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2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14.233333333333333</v>
      </c>
      <c r="AV10" s="17"/>
      <c r="AW10" s="25">
        <f>'Week 1 Roster'!A10</f>
        <v>210518</v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38" zoomScale="186" zoomScaleNormal="186" workbookViewId="0">
      <selection activeCell="D561" sqref="D561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1" t="s">
        <v>123</v>
      </c>
      <c r="D551" s="101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I557" s="12">
        <f t="shared" si="9"/>
        <v>0</v>
      </c>
    </row>
    <row r="558" spans="1:9">
      <c r="I558" s="12">
        <f t="shared" si="9"/>
        <v>0</v>
      </c>
    </row>
    <row r="559" spans="1:9">
      <c r="I559" s="12">
        <f t="shared" si="9"/>
        <v>0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Ypu826lRybS3R4HAJY5QcZsPZD5C3eEyby/E/mVRAsLJ+TrXO/Rza8QGaXh7k+6VaVX+sTg8SeibfkBs5cGfxQ==" saltValue="K6MBd2302QLPbdyKalk6JA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2026-02-01T23:08:52Z</dcterms:modified>
</cp:coreProperties>
</file>