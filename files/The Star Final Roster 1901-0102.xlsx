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1901-0102/"/>
    </mc:Choice>
  </mc:AlternateContent>
  <xr:revisionPtr revIDLastSave="0" documentId="8_{4F8429AF-E0EF-A240-AE32-F2370AFAD0D4}" xr6:coauthVersionLast="47" xr6:coauthVersionMax="47" xr10:uidLastSave="{00000000-0000-0000-0000-000000000000}"/>
  <bookViews>
    <workbookView xWindow="0" yWindow="740" windowWidth="29400" windowHeight="17200" activeTab="2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D3" i="18" l="1"/>
  <c r="AD3" i="2"/>
  <c r="AD2" i="2"/>
  <c r="AZ100" i="2"/>
  <c r="AZ99" i="2"/>
  <c r="AZ98" i="2"/>
  <c r="AZ97" i="2"/>
  <c r="AZ96" i="2"/>
  <c r="A96" i="2" s="1"/>
  <c r="AW96" i="12" s="1"/>
  <c r="AZ95" i="2"/>
  <c r="A95" i="2" s="1"/>
  <c r="AW95" i="12" s="1"/>
  <c r="AZ94" i="2"/>
  <c r="A94" i="2" s="1"/>
  <c r="AW94" i="12" s="1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85" i="2" s="1"/>
  <c r="AW85" i="12" s="1"/>
  <c r="AZ84" i="2"/>
  <c r="AZ83" i="2"/>
  <c r="AZ82" i="2"/>
  <c r="A82" i="2" s="1"/>
  <c r="AW82" i="12" s="1"/>
  <c r="AZ81" i="2"/>
  <c r="AZ80" i="2"/>
  <c r="A80" i="2" s="1"/>
  <c r="AW80" i="12" s="1"/>
  <c r="AZ79" i="2"/>
  <c r="AZ78" i="2"/>
  <c r="A78" i="2" s="1"/>
  <c r="AW78" i="12" s="1"/>
  <c r="AZ77" i="2"/>
  <c r="A77" i="2" s="1"/>
  <c r="AW77" i="12" s="1"/>
  <c r="AZ76" i="2"/>
  <c r="A76" i="2" s="1"/>
  <c r="AW76" i="12" s="1"/>
  <c r="AZ75" i="2"/>
  <c r="AZ74" i="2"/>
  <c r="A74" i="2" s="1"/>
  <c r="AW74" i="12" s="1"/>
  <c r="AZ73" i="2"/>
  <c r="AZ72" i="2"/>
  <c r="AZ71" i="2"/>
  <c r="A71" i="2" s="1"/>
  <c r="AW71" i="12" s="1"/>
  <c r="AZ70" i="2"/>
  <c r="A70" i="2" s="1"/>
  <c r="AW70" i="12" s="1"/>
  <c r="AZ69" i="2"/>
  <c r="A69" i="2" s="1"/>
  <c r="AW69" i="12" s="1"/>
  <c r="AZ68" i="2"/>
  <c r="AZ67" i="2"/>
  <c r="AZ66" i="2"/>
  <c r="A66" i="2" s="1"/>
  <c r="AW66" i="12" s="1"/>
  <c r="AZ65" i="2"/>
  <c r="AZ64" i="2"/>
  <c r="A64" i="2" s="1"/>
  <c r="AW64" i="12" s="1"/>
  <c r="AZ63" i="2"/>
  <c r="AZ62" i="2"/>
  <c r="A62" i="2" s="1"/>
  <c r="AW62" i="12" s="1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54" i="2" s="1"/>
  <c r="AW54" i="12" s="1"/>
  <c r="AZ53" i="2"/>
  <c r="A53" i="2" s="1"/>
  <c r="AW53" i="12" s="1"/>
  <c r="AZ52" i="2"/>
  <c r="AZ51" i="2"/>
  <c r="AZ50" i="2"/>
  <c r="A50" i="2" s="1"/>
  <c r="AW50" i="12" s="1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41" i="2" s="1"/>
  <c r="AW41" i="12" s="1"/>
  <c r="AZ40" i="2"/>
  <c r="A40" i="2" s="1"/>
  <c r="AW40" i="12" s="1"/>
  <c r="AZ39" i="2"/>
  <c r="AZ38" i="2"/>
  <c r="A38" i="2" s="1"/>
  <c r="AW38" i="12" s="1"/>
  <c r="AZ37" i="2"/>
  <c r="A37" i="2" s="1"/>
  <c r="AW37" i="12" s="1"/>
  <c r="AZ36" i="2"/>
  <c r="A36" i="2" s="1"/>
  <c r="AW36" i="12" s="1"/>
  <c r="AZ35" i="2"/>
  <c r="AZ34" i="2"/>
  <c r="A34" i="2" s="1"/>
  <c r="AW34" i="12" s="1"/>
  <c r="AZ33" i="2"/>
  <c r="AZ32" i="2"/>
  <c r="A32" i="2" s="1"/>
  <c r="AW32" i="12" s="1"/>
  <c r="AZ31" i="2"/>
  <c r="A31" i="2" s="1"/>
  <c r="AW31" i="12" s="1"/>
  <c r="AZ30" i="2"/>
  <c r="A30" i="2" s="1"/>
  <c r="AW30" i="12" s="1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22" i="2" s="1"/>
  <c r="AW22" i="12" s="1"/>
  <c r="AZ21" i="2"/>
  <c r="A21" i="2" s="1"/>
  <c r="AW21" i="12" s="1"/>
  <c r="AZ20" i="2"/>
  <c r="AZ19" i="2"/>
  <c r="AZ18" i="2"/>
  <c r="A18" i="2" s="1"/>
  <c r="AW18" i="12" s="1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12" i="2" s="1"/>
  <c r="AW12" i="12" s="1"/>
  <c r="AZ11" i="2"/>
  <c r="A11" i="2" s="1"/>
  <c r="AW11" i="12" s="1"/>
  <c r="AZ10" i="2"/>
  <c r="A10" i="2" s="1"/>
  <c r="AW10" i="12" s="1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100" i="18" s="1"/>
  <c r="AX100" i="12" s="1"/>
  <c r="AZ99" i="18"/>
  <c r="A99" i="18" s="1"/>
  <c r="AX99" i="12" s="1"/>
  <c r="AZ98" i="18"/>
  <c r="A98" i="18" s="1"/>
  <c r="AX98" i="12" s="1"/>
  <c r="AZ97" i="18"/>
  <c r="AZ96" i="18"/>
  <c r="A96" i="18" s="1"/>
  <c r="AX96" i="12" s="1"/>
  <c r="AZ95" i="18"/>
  <c r="A95" i="18" s="1"/>
  <c r="AX95" i="12" s="1"/>
  <c r="AZ94" i="18"/>
  <c r="A94" i="18" s="1"/>
  <c r="AX94" i="12" s="1"/>
  <c r="AZ93" i="18"/>
  <c r="AZ92" i="18"/>
  <c r="A92" i="18" s="1"/>
  <c r="AX92" i="12" s="1"/>
  <c r="AZ91" i="18"/>
  <c r="A91" i="18" s="1"/>
  <c r="AX91" i="12" s="1"/>
  <c r="AZ90" i="18"/>
  <c r="A90" i="18" s="1"/>
  <c r="AX90" i="12" s="1"/>
  <c r="AZ89" i="18"/>
  <c r="A89" i="18" s="1"/>
  <c r="AX89" i="12" s="1"/>
  <c r="AZ88" i="18"/>
  <c r="A88" i="18" s="1"/>
  <c r="AX88" i="12" s="1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83" i="18" s="1"/>
  <c r="AX83" i="12" s="1"/>
  <c r="AZ82" i="18"/>
  <c r="A82" i="18" s="1"/>
  <c r="AX82" i="12" s="1"/>
  <c r="AZ81" i="18"/>
  <c r="A81" i="18" s="1"/>
  <c r="AX81" i="12" s="1"/>
  <c r="AZ80" i="18"/>
  <c r="A80" i="18" s="1"/>
  <c r="AX80" i="12" s="1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L22" i="2"/>
  <c r="BK22" i="2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97" i="18"/>
  <c r="AX97" i="12" s="1"/>
  <c r="A93" i="18"/>
  <c r="AX93" i="12" s="1"/>
  <c r="A85" i="18"/>
  <c r="AX85" i="12" s="1"/>
  <c r="A100" i="2"/>
  <c r="AW100" i="12" s="1"/>
  <c r="A99" i="2"/>
  <c r="AW99" i="12" s="1"/>
  <c r="A98" i="2"/>
  <c r="AW98" i="12" s="1"/>
  <c r="A97" i="2"/>
  <c r="AW97" i="12" s="1"/>
  <c r="A92" i="2"/>
  <c r="AW92" i="12" s="1"/>
  <c r="A91" i="2"/>
  <c r="AW91" i="12" s="1"/>
  <c r="A90" i="2"/>
  <c r="AW90" i="12" s="1"/>
  <c r="A89" i="2"/>
  <c r="AW89" i="12" s="1"/>
  <c r="A87" i="2"/>
  <c r="AW87" i="12" s="1"/>
  <c r="A84" i="2"/>
  <c r="AW84" i="12" s="1"/>
  <c r="A83" i="2"/>
  <c r="AW83" i="12" s="1"/>
  <c r="A81" i="2"/>
  <c r="AW81" i="12" s="1"/>
  <c r="A79" i="2"/>
  <c r="AW79" i="12" s="1"/>
  <c r="A75" i="2"/>
  <c r="AW75" i="12" s="1"/>
  <c r="A73" i="2"/>
  <c r="AW73" i="12" s="1"/>
  <c r="A72" i="2"/>
  <c r="AW72" i="12" s="1"/>
  <c r="A68" i="2"/>
  <c r="AW68" i="12" s="1"/>
  <c r="A67" i="2"/>
  <c r="AW67" i="12" s="1"/>
  <c r="A65" i="2"/>
  <c r="AW65" i="12" s="1"/>
  <c r="A63" i="2"/>
  <c r="AW63" i="12" s="1"/>
  <c r="A60" i="2"/>
  <c r="AW60" i="12" s="1"/>
  <c r="A59" i="2"/>
  <c r="AW59" i="12" s="1"/>
  <c r="A57" i="2"/>
  <c r="AW57" i="12" s="1"/>
  <c r="A55" i="2"/>
  <c r="AW55" i="12" s="1"/>
  <c r="A52" i="2"/>
  <c r="AW52" i="12" s="1"/>
  <c r="A51" i="2"/>
  <c r="AW51" i="12" s="1"/>
  <c r="A49" i="2"/>
  <c r="AW49" i="12" s="1"/>
  <c r="A47" i="2"/>
  <c r="AW47" i="12" s="1"/>
  <c r="A44" i="2"/>
  <c r="AW44" i="12" s="1"/>
  <c r="A43" i="2"/>
  <c r="AW43" i="12" s="1"/>
  <c r="A42" i="2"/>
  <c r="AW42" i="12" s="1"/>
  <c r="A39" i="2"/>
  <c r="AW39" i="12" s="1"/>
  <c r="A35" i="2"/>
  <c r="AW35" i="12" s="1"/>
  <c r="A33" i="2"/>
  <c r="AW33" i="12" s="1"/>
  <c r="A28" i="2"/>
  <c r="AW28" i="12" s="1"/>
  <c r="A27" i="2"/>
  <c r="AW27" i="12" s="1"/>
  <c r="A25" i="2"/>
  <c r="AW25" i="12" s="1"/>
  <c r="A20" i="2"/>
  <c r="AW20" i="12" s="1"/>
  <c r="A19" i="2"/>
  <c r="AW19" i="12" s="1"/>
  <c r="A17" i="2"/>
  <c r="AW17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5" i="2"/>
  <c r="L10" i="2"/>
  <c r="I9" i="18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O4" i="18" l="1"/>
  <c r="L22" i="2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32" i="2"/>
  <c r="AB32" i="2" s="1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L9" i="2" l="1"/>
  <c r="BH21" i="2"/>
  <c r="I22" i="2"/>
  <c r="O6" i="2"/>
  <c r="BR21" i="2"/>
  <c r="L19" i="2"/>
  <c r="L15" i="2"/>
  <c r="F15" i="2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CK19" i="2" l="1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A3" i="12" a="1"/>
  <c r="W1" i="2" l="1"/>
  <c r="Y1" i="2"/>
  <c r="X1" i="2"/>
  <c r="CG1" i="2" s="1"/>
  <c r="CH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AA1" i="2"/>
  <c r="CJ1" i="2" s="1"/>
  <c r="CI1" i="2" s="1"/>
  <c r="Z1" i="2"/>
  <c r="CD1" i="2" l="1"/>
  <c r="B3" i="12"/>
  <c r="AT3" i="12" s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F3" i="12"/>
  <c r="C3" i="12"/>
  <c r="I3" i="12"/>
  <c r="E3" i="12"/>
  <c r="G3" i="12" s="1"/>
  <c r="AR3" i="12"/>
  <c r="J3" i="12"/>
  <c r="AG3" i="12"/>
  <c r="AH3" i="12"/>
  <c r="AS3" i="12"/>
  <c r="A4" i="12" a="1"/>
  <c r="Z3" i="12" l="1"/>
  <c r="AQ3" i="12"/>
  <c r="D3" i="12"/>
  <c r="AE3" i="12"/>
  <c r="S3" i="12" s="1"/>
  <c r="AA3" i="12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V3" i="1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T3" i="12"/>
  <c r="U3" i="12"/>
  <c r="F3" i="12"/>
  <c r="H3" i="12" s="1"/>
  <c r="A4" i="12"/>
  <c r="AI3" i="12" l="1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AM5" i="12" l="1"/>
  <c r="O5" i="12" s="1"/>
  <c r="K6" i="12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C8" i="12"/>
  <c r="Y8" i="12"/>
  <c r="AT8" i="12"/>
  <c r="Z8" i="12"/>
  <c r="A9" i="12"/>
  <c r="B9" i="12" s="1"/>
  <c r="Q8" i="12" l="1"/>
  <c r="S8" i="12"/>
  <c r="V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U11" i="12" s="1"/>
  <c r="Z11" i="12"/>
  <c r="AD11" i="12"/>
  <c r="D11" i="12"/>
  <c r="AK11" i="12"/>
  <c r="Y11" i="12"/>
  <c r="AH11" i="12"/>
  <c r="AE11" i="12"/>
  <c r="AT11" i="12"/>
  <c r="AQ11" i="12"/>
  <c r="C11" i="12"/>
  <c r="AN11" i="12"/>
  <c r="O11" i="12"/>
  <c r="A12" i="12" a="1"/>
  <c r="N11" i="12" l="1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AB12" i="12"/>
  <c r="D12" i="12"/>
  <c r="I12" i="12"/>
  <c r="AG12" i="12"/>
  <c r="AH12" i="12"/>
  <c r="C12" i="12"/>
  <c r="AM12" i="12"/>
  <c r="O12" i="12" s="1"/>
  <c r="AN12" i="12"/>
  <c r="A13" i="12" a="1"/>
  <c r="N12" i="12" l="1"/>
  <c r="R12" i="12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AR13" i="12"/>
  <c r="I13" i="12"/>
  <c r="A14" i="12" a="1"/>
  <c r="T13" i="12" l="1"/>
  <c r="S13" i="12"/>
  <c r="O13" i="12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O14" i="12" l="1"/>
  <c r="U14" i="12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AP15" i="12"/>
  <c r="AN15" i="12"/>
  <c r="D15" i="12"/>
  <c r="J15" i="12"/>
  <c r="AA15" i="12"/>
  <c r="AD15" i="12"/>
  <c r="E15" i="12"/>
  <c r="F15" i="12" s="1"/>
  <c r="AL15" i="12"/>
  <c r="AF15" i="12"/>
  <c r="AQ15" i="12"/>
  <c r="AM15" i="12"/>
  <c r="A16" i="12" a="1"/>
  <c r="T15" i="12" l="1"/>
  <c r="U15" i="12"/>
  <c r="S15" i="12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AG17" i="12"/>
  <c r="AE17" i="12"/>
  <c r="I17" i="12"/>
  <c r="C17" i="12"/>
  <c r="A18" i="12"/>
  <c r="N17" i="12" l="1"/>
  <c r="U17" i="12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F18" i="12" s="1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C18" i="12"/>
  <c r="AO18" i="12"/>
  <c r="D18" i="12"/>
  <c r="AQ18" i="12"/>
  <c r="A19" i="12"/>
  <c r="G18" i="12" l="1"/>
  <c r="R18" i="12"/>
  <c r="U18" i="12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AR19" i="12"/>
  <c r="AH19" i="12"/>
  <c r="E19" i="12"/>
  <c r="G19" i="12" s="1"/>
  <c r="AA19" i="12"/>
  <c r="I19" i="12"/>
  <c r="Y19" i="12"/>
  <c r="D19" i="12"/>
  <c r="A20" i="12"/>
  <c r="N19" i="12" l="1"/>
  <c r="O19" i="12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AN20" i="12"/>
  <c r="AF20" i="12"/>
  <c r="AM20" i="12"/>
  <c r="E20" i="12"/>
  <c r="G20" i="12" s="1"/>
  <c r="AP20" i="12"/>
  <c r="AA20" i="12"/>
  <c r="AH20" i="12"/>
  <c r="AT20" i="12"/>
  <c r="AR20" i="12"/>
  <c r="A21" i="12"/>
  <c r="Q20" i="12" l="1"/>
  <c r="N20" i="12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T27" i="12" s="1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Q27" i="12" l="1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T36" i="12" l="1"/>
  <c r="R36" i="12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N38" i="12" s="1"/>
  <c r="AP38" i="12"/>
  <c r="AQ38" i="12"/>
  <c r="AC38" i="12"/>
  <c r="A39" i="12" a="1"/>
  <c r="S38" i="12" l="1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T47" i="12" l="1"/>
  <c r="N47" i="12"/>
  <c r="Q47" i="12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Q53" i="12" l="1"/>
  <c r="V53" i="12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P74" i="12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N80" i="12" l="1"/>
  <c r="P80" i="12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AE88" i="12"/>
  <c r="AR88" i="12"/>
  <c r="A89" i="12" a="1"/>
  <c r="N88" i="12" l="1"/>
  <c r="O88" i="12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V101" i="12" l="1"/>
  <c r="R101" i="12"/>
  <c r="T101" i="12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N103" i="12" l="1"/>
  <c r="P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N109" i="12" s="1"/>
  <c r="AF109" i="12"/>
  <c r="A110" i="12" a="1"/>
  <c r="T109" i="12" l="1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N133" i="12" l="1"/>
  <c r="P133" i="12"/>
  <c r="R133" i="12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P134" i="12" l="1"/>
  <c r="V134" i="12"/>
  <c r="S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Q146" i="12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O149" i="12" l="1"/>
  <c r="Q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O150" i="12" s="1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R150" i="12" l="1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R151" i="12" s="1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O151" i="12" l="1"/>
  <c r="U151" i="12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S152" i="12" l="1"/>
  <c r="U152" i="12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P154" i="12" s="1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O154" i="12" l="1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V157" i="12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R161" i="12" l="1"/>
  <c r="U161" i="12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P162" i="12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U165" i="12" l="1"/>
  <c r="R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P167" i="12" l="1"/>
  <c r="O167" i="12"/>
  <c r="R167" i="12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P168" i="12" s="1"/>
  <c r="AG168" i="12"/>
  <c r="B168" i="12"/>
  <c r="L168" i="12"/>
  <c r="AC168" i="12"/>
  <c r="AD168" i="12"/>
  <c r="AR168" i="12"/>
  <c r="AK168" i="12"/>
  <c r="AP168" i="12"/>
  <c r="J168" i="12"/>
  <c r="AH168" i="12"/>
  <c r="V168" i="12" s="1"/>
  <c r="AL168" i="12"/>
  <c r="Z168" i="12"/>
  <c r="I168" i="12"/>
  <c r="D168" i="12"/>
  <c r="E168" i="12"/>
  <c r="AO168" i="12"/>
  <c r="Y168" i="12"/>
  <c r="A169" i="12" a="1"/>
  <c r="U168" i="12" l="1"/>
  <c r="O168" i="12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Q170" i="12" s="1"/>
  <c r="AN170" i="12"/>
  <c r="AR170" i="12"/>
  <c r="AF170" i="12"/>
  <c r="AA170" i="12"/>
  <c r="AP170" i="12"/>
  <c r="AD170" i="12"/>
  <c r="AS170" i="12"/>
  <c r="C170" i="12"/>
  <c r="A171" i="12" a="1"/>
  <c r="N170" i="12" l="1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U173" i="12" s="1"/>
  <c r="A174" i="12" a="1"/>
  <c r="T173" i="12" l="1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N175" i="12" l="1"/>
  <c r="U175" i="12"/>
  <c r="Q175" i="12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O177" i="12" s="1"/>
  <c r="AD177" i="12"/>
  <c r="C177" i="12"/>
  <c r="K177" i="12"/>
  <c r="AR177" i="12"/>
  <c r="AK177" i="12"/>
  <c r="L177" i="12"/>
  <c r="Z177" i="12"/>
  <c r="AG177" i="12"/>
  <c r="AH177" i="12"/>
  <c r="A178" i="12" a="1"/>
  <c r="R177" i="12" l="1"/>
  <c r="Q177" i="12"/>
  <c r="N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N181" i="12" s="1"/>
  <c r="AQ181" i="12"/>
  <c r="A182" i="12" a="1"/>
  <c r="O181" i="12" l="1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A184" i="12" a="1"/>
  <c r="O183" i="12" l="1"/>
  <c r="N183" i="12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U184" i="12" s="1"/>
  <c r="AB184" i="12"/>
  <c r="AL184" i="12"/>
  <c r="D184" i="12"/>
  <c r="AA184" i="12"/>
  <c r="I184" i="12"/>
  <c r="B184" i="12"/>
  <c r="A185" i="12" a="1"/>
  <c r="R184" i="12" l="1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P185" i="12" l="1"/>
  <c r="Q185" i="12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S189" i="12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S190" i="12" l="1"/>
  <c r="N190" i="12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N191" i="12" s="1"/>
  <c r="A192" i="12" a="1"/>
  <c r="Q191" i="12" l="1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S192" i="12" l="1"/>
  <c r="R192" i="12"/>
  <c r="P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T195" i="12" s="1"/>
  <c r="AC195" i="12"/>
  <c r="A196" i="12" a="1"/>
  <c r="P195" i="12" l="1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R196" i="12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N197" i="12" l="1"/>
  <c r="U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U198" i="12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S201" i="12" s="1"/>
  <c r="A202" i="12" a="1"/>
  <c r="V201" i="12" l="1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P203" i="12" l="1"/>
  <c r="R203" i="12"/>
  <c r="U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N204" i="12" l="1"/>
  <c r="P204" i="12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S207" i="12" l="1"/>
  <c r="R207" i="12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O210" i="12" s="1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T210" i="12" l="1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V211" i="12" l="1"/>
  <c r="Q211" i="12"/>
  <c r="P211" i="12"/>
  <c r="R211" i="12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Q212" i="12" l="1"/>
  <c r="N212" i="12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Q213" i="12" l="1"/>
  <c r="N213" i="12"/>
  <c r="O213" i="12"/>
  <c r="R213" i="12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R216" i="12" l="1"/>
  <c r="V216" i="12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U222" i="12" s="1"/>
  <c r="AL222" i="12"/>
  <c r="AN222" i="12"/>
  <c r="D222" i="12"/>
  <c r="E222" i="12"/>
  <c r="Z222" i="12"/>
  <c r="A223" i="12" a="1"/>
  <c r="S222" i="12" l="1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AP223" i="12"/>
  <c r="J223" i="12"/>
  <c r="AD223" i="12"/>
  <c r="AO223" i="12"/>
  <c r="AG223" i="12"/>
  <c r="Y223" i="12"/>
  <c r="A224" i="12" a="1"/>
  <c r="U223" i="12" l="1"/>
  <c r="S223" i="12"/>
  <c r="V223" i="12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Q224" i="12" l="1"/>
  <c r="P224" i="12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P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P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R231" i="12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O235" i="12" l="1"/>
  <c r="V235" i="12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R238" i="12" s="1"/>
  <c r="AF238" i="12"/>
  <c r="T238" i="12" s="1"/>
  <c r="A239" i="12" a="1"/>
  <c r="V238" i="12" l="1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V239" i="12" l="1"/>
  <c r="S239" i="12"/>
  <c r="U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O241" i="12" l="1"/>
  <c r="Q241" i="12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N243" i="12" s="1"/>
  <c r="L243" i="12"/>
  <c r="AT243" i="12"/>
  <c r="E243" i="12"/>
  <c r="Y243" i="12"/>
  <c r="AN243" i="12"/>
  <c r="AQ243" i="12"/>
  <c r="AE243" i="12"/>
  <c r="AD243" i="12"/>
  <c r="R243" i="12" s="1"/>
  <c r="AA243" i="12"/>
  <c r="B243" i="12"/>
  <c r="I243" i="12"/>
  <c r="J243" i="12"/>
  <c r="AB243" i="12"/>
  <c r="AL243" i="12"/>
  <c r="AK243" i="12"/>
  <c r="AR243" i="12"/>
  <c r="A244" i="12" a="1"/>
  <c r="S243" i="12" l="1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Q245" i="12" s="1"/>
  <c r="AA245" i="12"/>
  <c r="L245" i="12"/>
  <c r="AS245" i="12"/>
  <c r="AF245" i="12"/>
  <c r="A246" i="12" a="1"/>
  <c r="V245" i="12" l="1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AC246" i="12"/>
  <c r="AS246" i="12"/>
  <c r="AA246" i="12"/>
  <c r="A247" i="12" a="1"/>
  <c r="P246" i="12" l="1"/>
  <c r="N246" i="12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N247" i="12" s="1"/>
  <c r="A248" i="12" a="1"/>
  <c r="V247" i="12" l="1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Q249" i="12" l="1"/>
  <c r="R249" i="12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U250" i="12" s="1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S250" i="12" l="1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U253" i="12" l="1"/>
  <c r="O253" i="12"/>
  <c r="R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O254" i="12" l="1"/>
  <c r="U254" i="12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Q255" i="12" s="1"/>
  <c r="A256" i="12" a="1"/>
  <c r="U255" i="12" l="1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D256" i="12"/>
  <c r="A257" i="12" a="1"/>
  <c r="P256" i="12" l="1"/>
  <c r="N256" i="12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P257" i="12" l="1"/>
  <c r="S257" i="12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N258" i="12" l="1"/>
  <c r="P258" i="12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R259" i="12" l="1"/>
  <c r="Q259" i="12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N261" i="12" s="1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U261" i="12" l="1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S262" i="12" l="1"/>
  <c r="Q262" i="12"/>
  <c r="O262" i="12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V263" i="12" s="1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R263" i="12" l="1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U266" i="12" l="1"/>
  <c r="R266" i="12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P268" i="12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Q269" i="12" s="1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V269" i="12" l="1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R270" i="12" s="1"/>
  <c r="A271" i="12" a="1"/>
  <c r="U270" i="12" l="1"/>
  <c r="N270" i="12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T271" i="12" l="1"/>
  <c r="V271" i="12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L272" i="12"/>
  <c r="A273" i="12" a="1"/>
  <c r="U272" i="12" l="1"/>
  <c r="R272" i="12"/>
  <c r="Q272" i="12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O273" i="12" l="1"/>
  <c r="U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V277" i="12" s="1"/>
  <c r="AK277" i="12"/>
  <c r="AO277" i="12"/>
  <c r="L277" i="12"/>
  <c r="K277" i="12"/>
  <c r="AG277" i="12"/>
  <c r="AE277" i="12"/>
  <c r="I277" i="12"/>
  <c r="B277" i="12"/>
  <c r="A278" i="12" a="1"/>
  <c r="N277" i="12" l="1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O280" i="12" l="1"/>
  <c r="R280" i="12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R282" i="12" s="1"/>
  <c r="A283" i="12" a="1"/>
  <c r="P282" i="12" l="1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P283" i="12" l="1"/>
  <c r="N283" i="12"/>
  <c r="S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N284" i="12" l="1"/>
  <c r="R284" i="12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T286" i="12" l="1"/>
  <c r="S286" i="12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N290" i="12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Q292" i="12" l="1"/>
  <c r="U292" i="12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Q293" i="12" s="1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T293" i="12" l="1"/>
  <c r="O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R294" i="12" s="1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T294" i="12" l="1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AP295" i="12"/>
  <c r="E295" i="12"/>
  <c r="AR295" i="12"/>
  <c r="A296" i="12" a="1"/>
  <c r="U295" i="12" l="1"/>
  <c r="S295" i="12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Y296" i="12"/>
  <c r="A297" i="12" a="1"/>
  <c r="T296" i="12" l="1"/>
  <c r="V296" i="12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AH297" i="12"/>
  <c r="V297" i="12" s="1"/>
  <c r="A298" i="12" a="1"/>
  <c r="U297" i="12" l="1"/>
  <c r="R297" i="12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V298" i="12" s="1"/>
  <c r="A299" i="12" a="1"/>
  <c r="U298" i="12" l="1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O299" i="12" s="1"/>
  <c r="A300" i="12" a="1"/>
  <c r="V299" i="12" l="1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O300" i="12"/>
  <c r="V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<sst xmlns="http://schemas.openxmlformats.org/spreadsheetml/2006/main" count="2532" uniqueCount="1522">
  <si>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</si>
  <si>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</si>
  <si>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</si>
  <si>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</si>
  <si>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</si>
  <si>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</si>
  <si>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</si>
  <si>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</si>
  <si>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</si>
  <si>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</si>
  <si>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</si>
  <si>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</si>
  <si>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</si>
  <si>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</si>
  <si>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</si>
  <si>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</si>
  <si>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</si>
  <si>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</si>
  <si>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</si>
  <si>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</si>
  <si>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</si>
  <si>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</si>
  <si>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</si>
  <si>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</si>
  <si>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</si>
  <si>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</si>
  <si>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</si>
  <si>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</si>
  <si>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</si>
  <si>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</si>
  <si>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</si>
  <si>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</si>
  <si>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</si>
  <si>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</si>
  <si>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</si>
  <si>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</si>
  <si>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</si>
  <si>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</si>
  <si>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</si>
  <si>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</si>
  <si>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</si>
  <si>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</si>
  <si>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</si>
  <si>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</si>
  <si>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</si>
  <si>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</si>
  <si>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</si>
  <si>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</si>
  <si>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</si>
  <si>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</si>
  <si>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</si>
  <si>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</si>
  <si>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</si>
  <si>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</si>
  <si>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</si>
  <si>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</si>
  <si>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</si>
  <si>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</si>
  <si>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</si>
  <si>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</si>
  <si>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</si>
  <si>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</si>
  <si>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</si>
  <si>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</si>
  <si>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</si>
  <si>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</si>
  <si>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</si>
  <si>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</si>
  <si>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</si>
  <si>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</si>
  <si>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</si>
  <si>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</si>
  <si>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</si>
  <si>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</si>
  <si>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</si>
  <si>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</si>
  <si>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</si>
  <si>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</si>
  <si>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</si>
  <si>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</si>
  <si>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</si>
  <si>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</si>
  <si>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</si>
  <si>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</si>
  <si>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</si>
  <si>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</si>
  <si>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</si>
  <si>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</si>
  <si>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</si>
  <si>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</si>
  <si>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</si>
  <si>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</si>
  <si>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</si>
  <si>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</si>
  <si>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</si>
  <si>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</si>
  <si>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</si>
  <si>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</si>
  <si>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</si>
  <si>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</si>
  <si>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</si>
  <si>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</si>
  <si>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</si>
  <si>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</si>
  <si>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</si>
  <si>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</si>
  <si>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</si>
  <si>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</si>
  <si>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</si>
  <si>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</si>
  <si>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</si>
  <si>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</si>
  <si>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</si>
  <si>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</si>
  <si>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</si>
  <si>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</si>
  <si>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</si>
  <si>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</si>
  <si>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</si>
  <si>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</si>
  <si>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</si>
  <si>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</si>
  <si>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</si>
  <si>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</si>
  <si>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</si>
  <si>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</si>
  <si>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</si>
  <si>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</si>
  <si>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</si>
  <si>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</si>
  <si>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</si>
  <si>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</si>
  <si>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</si>
  <si>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</si>
  <si>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</si>
  <si>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</si>
  <si>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</si>
  <si>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</si>
  <si>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</si>
  <si>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</si>
  <si>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</si>
  <si>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</si>
  <si>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</si>
  <si>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</si>
  <si>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</si>
  <si>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</si>
  <si>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</si>
  <si>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</si>
  <si>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</si>
  <si>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</si>
  <si>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</si>
  <si>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</si>
  <si>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</si>
  <si>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</si>
  <si>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</si>
  <si>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</si>
  <si>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</si>
  <si>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</si>
  <si>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</si>
  <si>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</si>
  <si>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</si>
  <si>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</si>
  <si>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</si>
  <si>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</si>
  <si>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</si>
  <si>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</si>
  <si>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</si>
  <si>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</si>
  <si>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</si>
  <si>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</si>
  <si>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</si>
  <si>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</si>
  <si>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</si>
  <si>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</si>
  <si>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</si>
  <si>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</si>
  <si>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</si>
  <si>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</si>
  <si>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</si>
  <si>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</si>
  <si>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</si>
  <si>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</si>
  <si>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</si>
  <si>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</si>
  <si>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</si>
  <si>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</si>
  <si>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</si>
  <si>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</si>
  <si>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</si>
  <si>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</si>
  <si>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</si>
  <si>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</si>
  <si>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</si>
  <si>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</si>
  <si>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</si>
  <si>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</si>
  <si>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</si>
  <si>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</si>
  <si>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</si>
  <si>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</si>
  <si>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</si>
  <si>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</si>
  <si>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</si>
  <si>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</si>
  <si>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</si>
  <si>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</si>
  <si>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</si>
  <si>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</si>
  <si>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</si>
  <si>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</si>
  <si>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</si>
  <si>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</si>
  <si>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</si>
  <si>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</si>
  <si>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</si>
  <si>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</si>
  <si>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</si>
  <si>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</si>
  <si>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</si>
  <si>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</si>
  <si>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</si>
  <si>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</si>
  <si>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</si>
  <si>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</si>
  <si>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</si>
  <si>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</si>
  <si>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</si>
  <si>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</si>
  <si>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</si>
  <si>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</si>
  <si>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</si>
  <si>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</si>
  <si>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</si>
  <si>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</si>
  <si>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</si>
  <si>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</si>
  <si>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</si>
  <si>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</si>
  <si>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</si>
  <si>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</si>
  <si>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</si>
  <si>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</si>
  <si>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</si>
  <si>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</si>
  <si>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</si>
  <si>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</si>
  <si>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</si>
  <si>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</si>
  <si>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</si>
  <si>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</si>
  <si>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</si>
  <si>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</si>
  <si>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</si>
  <si>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</si>
  <si>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</si>
  <si>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</si>
  <si>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</si>
  <si>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</si>
  <si>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</si>
  <si>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</si>
  <si>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</si>
  <si>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</si>
  <si>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</si>
  <si>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</si>
  <si>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</si>
  <si>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</si>
  <si>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</si>
  <si>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</si>
  <si>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</si>
  <si>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</si>
  <si>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</si>
  <si>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</si>
  <si>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</si>
  <si>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</si>
  <si>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</si>
  <si>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</si>
  <si>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</si>
  <si>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</si>
  <si>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</si>
  <si>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</si>
  <si>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</si>
  <si>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</si>
  <si>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</si>
  <si>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</si>
  <si>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</si>
  <si>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</si>
  <si>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</si>
  <si>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</si>
  <si>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</si>
  <si>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</si>
  <si>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</si>
  <si>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</si>
  <si>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</si>
  <si>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</si>
  <si>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</si>
  <si>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</si>
  <si>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</si>
  <si>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</si>
  <si>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</si>
  <si>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</si>
  <si>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</si>
  <si>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</si>
  <si>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</si>
  <si>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</si>
  <si>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</si>
  <si>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</si>
  <si>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</si>
  <si>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</si>
  <si>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</si>
  <si>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</si>
  <si>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</si>
  <si>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</si>
  <si>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</si>
  <si>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</si>
  <si>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</si>
  <si>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</si>
  <si>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</si>
  <si>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</si>
  <si>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</si>
  <si>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</si>
  <si>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</si>
  <si>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</si>
  <si>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</si>
  <si>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</si>
  <si>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</si>
  <si>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</si>
  <si>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</si>
  <si>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</si>
  <si>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</si>
  <si>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</si>
  <si>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</si>
  <si>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</si>
  <si>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</si>
  <si>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</si>
  <si>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</si>
  <si>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</si>
  <si>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</si>
  <si>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</si>
  <si>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</si>
  <si>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</si>
  <si>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</si>
  <si>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</si>
  <si>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</si>
  <si>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</si>
  <si>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</si>
  <si>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</si>
  <si>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</si>
  <si>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</si>
  <si>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</si>
  <si>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</si>
  <si>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</si>
  <si>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</si>
  <si>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</si>
  <si>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</si>
  <si>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</si>
  <si>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</si>
  <si>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</si>
  <si>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</si>
  <si>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</si>
  <si>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</si>
  <si>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</si>
  <si>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</si>
  <si>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</si>
  <si>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</si>
  <si>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</si>
  <si>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</si>
  <si>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</si>
  <si>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</si>
  <si>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</si>
  <si>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</si>
  <si>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</si>
  <si>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</si>
  <si>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</si>
  <si>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</si>
  <si>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</si>
  <si>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</si>
  <si>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</si>
  <si>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</si>
  <si>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</si>
  <si>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</si>
  <si>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</si>
  <si>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</si>
  <si>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</si>
  <si>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</si>
  <si>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</si>
  <si>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</si>
  <si>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</si>
  <si>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</si>
  <si>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</si>
  <si>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</si>
  <si>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</si>
  <si>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</si>
  <si>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</si>
  <si>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</si>
  <si>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</si>
  <si>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</si>
  <si>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</si>
  <si>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</si>
  <si>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</si>
  <si>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</si>
  <si>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</si>
  <si>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</si>
  <si>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</si>
  <si>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</si>
  <si>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</si>
  <si>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</si>
  <si>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</si>
  <si>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</si>
  <si>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</si>
  <si>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</si>
  <si>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</si>
  <si>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</si>
  <si>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</si>
  <si>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</si>
  <si>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</si>
  <si>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</si>
  <si>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</si>
  <si>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</si>
  <si>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</si>
  <si>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</si>
  <si>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</si>
  <si>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</si>
  <si>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</si>
  <si>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</si>
  <si>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</si>
  <si>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</si>
  <si>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</si>
  <si>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</si>
  <si>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</si>
  <si>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</si>
  <si>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</si>
  <si>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</si>
  <si>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</si>
  <si>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</si>
  <si>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</si>
  <si>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</si>
  <si>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</si>
  <si>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</si>
  <si>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</si>
  <si>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</si>
  <si>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</si>
  <si>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</si>
  <si>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</si>
  <si>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</si>
  <si>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</si>
  <si>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</si>
  <si>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</si>
  <si>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</si>
  <si>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</si>
  <si>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</si>
  <si>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</si>
  <si>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</si>
  <si>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</si>
  <si>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</si>
  <si>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</si>
  <si>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</si>
  <si>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</si>
  <si>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</si>
  <si>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</si>
  <si>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</si>
  <si>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</si>
  <si>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</si>
  <si>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</si>
  <si>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</si>
  <si>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</si>
  <si>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</si>
  <si>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</si>
  <si>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</si>
  <si>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</si>
  <si>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</si>
  <si>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</si>
  <si>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</si>
  <si>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</si>
  <si>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</si>
  <si>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</si>
  <si>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</si>
  <si>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</si>
  <si>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</si>
  <si>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</si>
  <si>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</si>
  <si>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</si>
  <si>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</si>
  <si>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</si>
  <si>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</si>
  <si>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</si>
  <si>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</si>
  <si>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</si>
  <si>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</si>
  <si>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</si>
  <si>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</si>
  <si>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</si>
  <si>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</si>
  <si>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</si>
  <si>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</si>
  <si>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</si>
  <si>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</si>
  <si>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</si>
  <si>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</si>
  <si>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</si>
  <si>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</si>
  <si>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</si>
  <si>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</si>
  <si>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</si>
  <si>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</si>
  <si>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</si>
  <si>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</si>
  <si>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</si>
  <si>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</si>
  <si>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</si>
  <si>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</si>
  <si>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</si>
  <si>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</si>
  <si>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</si>
  <si>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</si>
  <si>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</si>
  <si>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</si>
  <si>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</si>
  <si>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</si>
  <si>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</si>
  <si>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</si>
  <si>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</si>
  <si>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</si>
  <si>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</si>
  <si>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</si>
  <si>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</si>
  <si>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</si>
  <si>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</si>
  <si>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</si>
  <si>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</si>
  <si>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</si>
  <si>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</si>
  <si>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</si>
  <si>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</si>
  <si>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</si>
  <si>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</si>
  <si>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</si>
  <si>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</si>
  <si>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</si>
  <si>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</si>
  <si>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</si>
  <si>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</si>
  <si>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</si>
  <si>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</si>
  <si>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</si>
  <si>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</si>
  <si>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</si>
  <si>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</si>
  <si>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</si>
  <si>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</si>
  <si>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</si>
  <si>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</si>
  <si>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</si>
  <si>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</si>
  <si>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</si>
  <si>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</si>
  <si>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</si>
  <si>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</si>
  <si>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</si>
  <si>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</si>
  <si>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</si>
  <si>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</si>
  <si>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</si>
  <si>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</si>
  <si>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</si>
  <si>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</si>
  <si>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</si>
  <si>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</si>
  <si>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</si>
  <si>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</si>
  <si>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</si>
  <si>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</si>
  <si>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</si>
  <si>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</si>
  <si>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</si>
  <si>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</si>
  <si>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</si>
  <si>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</si>
  <si>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</si>
  <si>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</si>
  <si>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</si>
  <si>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</si>
  <si>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</si>
  <si>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</si>
  <si>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</si>
  <si>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</si>
  <si>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</si>
  <si>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</si>
  <si>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</si>
  <si>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</si>
  <si>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</si>
  <si>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</si>
  <si>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</si>
  <si>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</si>
  <si>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</si>
  <si>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</si>
  <si>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</si>
  <si>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</si>
  <si>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</si>
  <si>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</si>
  <si>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</si>
  <si>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</si>
  <si>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</si>
  <si>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</si>
  <si>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</si>
  <si>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</si>
  <si>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</si>
  <si>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</si>
  <si>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</si>
  <si>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</si>
  <si>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</si>
  <si>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</si>
  <si>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</si>
  <si>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</si>
  <si>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</si>
  <si>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</si>
  <si>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</si>
  <si>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</si>
  <si>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</si>
  <si>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</si>
  <si>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</si>
  <si>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</si>
  <si>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</si>
  <si>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</si>
  <si>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</si>
  <si>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</si>
  <si>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</si>
  <si>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</si>
  <si>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</si>
  <si>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</si>
  <si>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</si>
  <si>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</si>
  <si>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</si>
  <si>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</si>
  <si>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</si>
  <si>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</si>
  <si>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</si>
  <si>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</si>
  <si>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</si>
  <si>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</si>
  <si>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</si>
  <si>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</si>
  <si>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</si>
  <si>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</si>
  <si>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</si>
  <si>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</si>
  <si>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</si>
  <si>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</si>
  <si>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</si>
  <si>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</si>
  <si>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</si>
  <si>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</si>
  <si>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</si>
  <si>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</si>
  <si>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</si>
  <si>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</si>
  <si>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</si>
  <si>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</si>
  <si>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</si>
  <si>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</si>
  <si>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</si>
  <si>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</si>
  <si>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</si>
  <si>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</si>
  <si>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</si>
  <si>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</si>
  <si>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</si>
  <si>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</si>
  <si>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</si>
  <si>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</si>
  <si>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</si>
  <si>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</si>
  <si>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</si>
  <si>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</si>
  <si>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</si>
  <si>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</si>
  <si>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</si>
  <si>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</si>
  <si>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</si>
  <si>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</si>
  <si>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</si>
  <si>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</si>
  <si>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</si>
  <si>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</si>
  <si>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</si>
  <si>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</si>
  <si>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</si>
  <si>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</si>
  <si>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</si>
  <si>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</si>
  <si>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</si>
  <si>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</si>
  <si>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</si>
  <si>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</si>
  <si>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</si>
  <si>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</si>
  <si>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</si>
  <si>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</si>
  <si>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</si>
  <si>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</si>
  <si>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</si>
  <si>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</si>
  <si>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</si>
  <si>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</si>
  <si>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</si>
  <si>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</si>
  <si>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</si>
  <si>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</si>
  <si>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</si>
  <si>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</si>
  <si>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</si>
  <si>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</si>
  <si>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</si>
  <si>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</si>
  <si>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</si>
  <si>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</si>
  <si>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</si>
  <si>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</si>
  <si>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</si>
  <si>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</si>
  <si>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</si>
  <si>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</si>
  <si>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</si>
  <si>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</si>
  <si>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</si>
  <si>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</si>
  <si>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</si>
  <si>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</si>
  <si>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</si>
  <si>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</si>
  <si>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</si>
  <si>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</si>
  <si>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</si>
  <si>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</si>
  <si>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</si>
  <si>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</si>
  <si>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</si>
  <si>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</si>
  <si>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</si>
  <si>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</si>
  <si>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</si>
  <si>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</si>
  <si>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</si>
  <si>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</si>
  <si>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</si>
  <si>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</si>
  <si>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</si>
  <si>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</si>
  <si>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</si>
  <si>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</si>
  <si>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</si>
  <si>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</si>
  <si>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</si>
  <si>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</si>
  <si>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</si>
  <si>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</si>
  <si>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</si>
  <si>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</si>
  <si>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</si>
  <si>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</si>
  <si>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</si>
  <si>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</si>
  <si>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</si>
  <si>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</si>
  <si>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</si>
  <si>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</si>
  <si>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</si>
  <si>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</si>
  <si>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</si>
  <si>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</si>
  <si>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</si>
  <si>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</si>
  <si>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</si>
  <si>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</si>
  <si>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</si>
  <si>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</si>
  <si>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</si>
  <si>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</si>
  <si>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</si>
  <si>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</si>
  <si>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</si>
  <si>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</si>
  <si>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</si>
  <si>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</si>
  <si>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</si>
  <si>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</si>
  <si>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</si>
  <si>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</si>
  <si>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</si>
  <si>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</si>
  <si>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</si>
  <si>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</si>
  <si>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</si>
  <si>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</si>
  <si>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</si>
  <si>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</si>
  <si>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</si>
  <si>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</si>
  <si>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</si>
  <si>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</si>
  <si>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</si>
  <si>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</si>
  <si>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</si>
  <si>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</si>
  <si>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</si>
  <si>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</si>
  <si>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</si>
  <si>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</si>
  <si>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</si>
  <si>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</si>
  <si>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</si>
  <si>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</si>
  <si>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</si>
  <si>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</si>
  <si>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</si>
  <si>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</si>
  <si>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</si>
  <si>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</si>
  <si>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</si>
  <si>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</si>
  <si>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</si>
  <si>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</si>
  <si>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</si>
  <si>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</si>
  <si>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</si>
  <si>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</si>
  <si>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</si>
  <si>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</si>
  <si>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</si>
  <si>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</si>
  <si>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</si>
  <si>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</si>
  <si>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</si>
  <si>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</si>
  <si>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</si>
  <si>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</si>
  <si>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</si>
  <si>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</si>
  <si>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</si>
  <si>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</si>
  <si>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</si>
  <si>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</si>
  <si>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</si>
  <si>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</si>
  <si>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</si>
  <si>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</si>
  <si>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</si>
  <si>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</si>
  <si>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</si>
  <si>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</si>
  <si>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</si>
  <si>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</si>
  <si>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</si>
  <si>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</si>
  <si>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</si>
  <si>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</si>
  <si>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</si>
  <si>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</si>
  <si>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</si>
  <si>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</si>
  <si>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</si>
  <si>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</si>
  <si>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</si>
  <si>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</si>
  <si>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</si>
  <si>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</si>
  <si>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</si>
  <si>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</si>
  <si>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</si>
  <si>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</si>
  <si>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</si>
  <si>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</si>
  <si>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</si>
  <si>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</si>
  <si>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</si>
  <si>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</si>
  <si>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</si>
  <si>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</si>
  <si>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</si>
  <si>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</si>
  <si>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</si>
  <si>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</si>
  <si>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</si>
  <si>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</si>
  <si>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</si>
  <si>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</si>
  <si>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</si>
  <si>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</si>
  <si>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</si>
  <si>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</si>
  <si>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</si>
  <si>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</si>
  <si>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</si>
  <si>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</si>
  <si>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</si>
  <si>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</si>
  <si>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</si>
  <si>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</si>
  <si>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</si>
  <si>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</si>
  <si>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</si>
  <si>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</si>
  <si>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</si>
  <si>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</si>
  <si>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</si>
  <si>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</si>
  <si>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</si>
  <si>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</si>
  <si>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</si>
  <si>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</si>
  <si>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</si>
  <si>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</si>
  <si>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</si>
  <si>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</si>
  <si>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</si>
  <si>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</si>
  <si>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</si>
  <si>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</si>
  <si>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</si>
  <si>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</si>
  <si>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</si>
  <si>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</si>
  <si>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</si>
  <si>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</si>
  <si>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</si>
  <si>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</si>
  <si>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</si>
  <si>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</si>
  <si>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</si>
  <si>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</si>
  <si>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</si>
  <si>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</si>
  <si>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</si>
  <si>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</si>
  <si>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</si>
  <si>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</si>
  <si>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</si>
  <si>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</si>
  <si>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</si>
  <si>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</si>
  <si>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</si>
  <si>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</si>
  <si>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</si>
  <si>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</si>
  <si>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</si>
  <si>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</si>
  <si>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</si>
  <si>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</si>
  <si>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</si>
  <si>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</si>
  <si>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</si>
  <si>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</si>
  <si>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</si>
  <si>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</si>
  <si>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</si>
  <si>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</si>
  <si>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</si>
  <si>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</si>
  <si>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</si>
  <si>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</si>
  <si>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</si>
  <si>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</si>
  <si>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</si>
  <si>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</si>
  <si>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</si>
  <si>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</si>
  <si>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</si>
  <si>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</si>
  <si>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</si>
  <si>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</si>
  <si>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</si>
  <si>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</si>
  <si>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</si>
  <si>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</si>
  <si>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</si>
  <si>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</si>
  <si>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</si>
  <si>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</si>
  <si>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</si>
  <si>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</si>
  <si>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</si>
  <si>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</si>
  <si>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</si>
  <si>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</si>
  <si>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</si>
  <si>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</si>
  <si>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</si>
  <si>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</si>
  <si>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</si>
  <si>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</si>
  <si>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</si>
  <si>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</si>
  <si>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</si>
  <si>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</si>
  <si>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</si>
  <si>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</si>
  <si>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</si>
  <si>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</si>
  <si>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</si>
  <si>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</si>
  <si>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</si>
  <si>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</si>
  <si>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</si>
  <si>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</si>
  <si>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</si>
  <si>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</si>
  <si>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</si>
  <si>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</si>
  <si>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</si>
  <si>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</si>
  <si>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</si>
  <si>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</si>
  <si>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</si>
  <si>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</si>
  <si>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</si>
  <si>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</si>
  <si>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</si>
  <si>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</si>
  <si>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</si>
  <si>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</si>
  <si>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</si>
  <si>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</si>
  <si>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</si>
  <si>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</si>
  <si>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</si>
  <si>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</si>
  <si>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</si>
  <si>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</si>
  <si>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</si>
  <si>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</si>
  <si>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</si>
  <si>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</si>
  <si>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</si>
  <si>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</si>
  <si>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</si>
  <si>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</si>
  <si>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</si>
  <si>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</si>
  <si>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</si>
  <si>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</si>
  <si>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</si>
  <si>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</si>
  <si>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</si>
  <si>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</si>
  <si>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</si>
  <si>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</si>
  <si>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</si>
  <si>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</si>
  <si>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</si>
  <si>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</si>
  <si>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</si>
  <si>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</si>
  <si>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</si>
  <si>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</si>
  <si>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</si>
  <si>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</si>
  <si>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</si>
  <si>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</si>
  <si>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</si>
  <si>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</si>
  <si>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</si>
  <si>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</si>
  <si>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</si>
  <si>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</si>
  <si>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</si>
  <si>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</si>
  <si>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</si>
  <si>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</si>
  <si>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</si>
  <si>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</si>
  <si>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</si>
  <si>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</si>
  <si>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</si>
  <si>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</si>
  <si>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</si>
  <si>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</si>
  <si>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</si>
  <si>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</si>
  <si>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</si>
  <si>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</si>
  <si>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</si>
  <si>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</si>
  <si>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</si>
  <si>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</si>
  <si>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</si>
  <si>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</si>
  <si>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</si>
  <si>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</si>
  <si>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</si>
  <si>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</si>
  <si>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</si>
  <si>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</si>
  <si>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</si>
  <si>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</si>
  <si>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</si>
  <si>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</si>
  <si>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</si>
  <si>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</si>
  <si>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</si>
  <si>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</si>
  <si>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</si>
  <si>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</si>
  <si>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</si>
  <si>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</si>
  <si>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</si>
  <si>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</si>
  <si>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</si>
  <si>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</si>
  <si>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</si>
  <si>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</si>
  <si>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</si>
  <si>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</si>
  <si>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</si>
  <si>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</si>
  <si>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</si>
  <si>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</si>
  <si>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</si>
  <si>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</si>
  <si>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</si>
  <si>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</si>
  <si>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</si>
  <si>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</si>
  <si>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</si>
  <si>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</si>
  <si>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</si>
  <si>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</si>
  <si>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</si>
  <si>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</si>
  <si>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</si>
  <si>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</si>
  <si>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</si>
  <si>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</si>
  <si>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</si>
  <si>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</si>
  <si>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</si>
  <si>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</si>
  <si>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</si>
  <si>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</si>
  <si>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</si>
  <si>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</si>
  <si>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</si>
  <si>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</si>
  <si>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</si>
  <si>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</si>
  <si>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</si>
  <si>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</si>
  <si>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</si>
  <si>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</si>
  <si>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</si>
  <si>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</si>
  <si>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</si>
  <si>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</si>
  <si>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</si>
  <si>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</si>
  <si>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</si>
  <si>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</si>
  <si>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</si>
  <si>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</si>
  <si>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</si>
  <si>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</si>
  <si>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</si>
  <si>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</si>
  <si>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</si>
  <si>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</si>
  <si>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</si>
  <si>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</si>
  <si>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</si>
  <si>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</si>
  <si>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</si>
  <si>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</si>
  <si>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</si>
  <si>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</si>
  <si>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</si>
  <si>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</si>
  <si>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</si>
  <si>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</si>
  <si>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</si>
  <si>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</si>
  <si>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</si>
  <si>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</si>
  <si>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</si>
  <si>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</si>
  <si>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</si>
  <si>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</si>
  <si>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</si>
  <si>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</si>
  <si>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</si>
  <si>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</si>
  <si>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</si>
  <si>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</si>
  <si>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</si>
  <si>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</si>
  <si>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</si>
  <si>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</si>
  <si>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</si>
  <si>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</si>
  <si>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</si>
  <si>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</si>
  <si>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</si>
  <si>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</si>
  <si>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</si>
  <si>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</si>
  <si>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</si>
  <si>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</si>
  <si>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</si>
  <si>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</si>
  <si>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</si>
  <si>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</si>
  <si>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</si>
  <si>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</si>
  <si>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</si>
  <si>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</si>
  <si>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</si>
  <si>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</si>
  <si>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</si>
  <si>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</si>
  <si>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</si>
  <si>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</si>
  <si>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</si>
  <si>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</si>
  <si>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</si>
  <si>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</si>
  <si>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</si>
  <si>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</si>
  <si>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</si>
  <si>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</si>
  <si>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</si>
  <si>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</si>
  <si>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</si>
  <si>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</si>
  <si>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</si>
  <si>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</si>
  <si>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</si>
  <si>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</si>
  <si>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</si>
  <si>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</si>
  <si>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</si>
  <si>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</si>
  <si>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</si>
  <si>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</si>
  <si>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</si>
  <si>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</si>
  <si>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</si>
  <si>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</si>
  <si>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</si>
  <si>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</si>
  <si>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</si>
  <si>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</si>
  <si>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</si>
  <si>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</si>
  <si>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</si>
  <si>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</si>
  <si>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</si>
  <si>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</si>
  <si>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</si>
  <si>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</si>
  <si>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</si>
  <si>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</si>
  <si>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</si>
  <si>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</si>
  <si>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</si>
  <si>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</si>
  <si>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</si>
  <si>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</si>
  <si>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</si>
  <si>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</si>
  <si>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</si>
  <si>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</si>
  <si>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</si>
  <si>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</si>
  <si>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</si>
  <si>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</si>
  <si>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</si>
  <si>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</si>
  <si>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</si>
  <si>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</si>
  <si>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</si>
  <si>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</si>
  <si>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</si>
  <si>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</si>
  <si>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</si>
  <si>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</si>
  <si>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</si>
  <si>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</si>
  <si>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</si>
  <si>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</si>
  <si>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</si>
  <si>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</si>
  <si>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</si>
  <si>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</si>
  <si>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</si>
  <si>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</si>
  <si>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</si>
  <si>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</si>
  <si>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</si>
  <si>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</si>
  <si>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</si>
  <si>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</si>
  <si>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</si>
  <si>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</si>
  <si>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</si>
  <si>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</si>
  <si>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</si>
  <si>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</si>
  <si>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</si>
  <si>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</si>
  <si>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</si>
  <si>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</si>
  <si>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</si>
  <si>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</si>
  <si>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</si>
  <si>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</si>
  <si>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</si>
  <si>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</si>
  <si>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</si>
  <si>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</si>
  <si>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</si>
  <si>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</si>
  <si>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</si>
  <si>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</si>
  <si>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</si>
  <si>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</si>
  <si>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</si>
  <si>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</si>
  <si>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</si>
  <si>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</si>
  <si>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</si>
  <si>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</si>
  <si>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</si>
  <si>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</si>
  <si>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</si>
  <si>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</si>
  <si>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</si>
  <si>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</si>
  <si>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</si>
  <si>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</si>
  <si>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</si>
  <si>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</si>
  <si>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</si>
  <si>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</si>
  <si>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</si>
  <si>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</si>
  <si>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</si>
  <si>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</si>
  <si>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</si>
  <si>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</si>
  <si>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</si>
  <si>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</si>
  <si>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</si>
  <si>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</si>
  <si>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</si>
  <si>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</si>
  <si>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</si>
  <si>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</si>
  <si>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</si>
  <si>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</si>
  <si>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</si>
  <si>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</si>
  <si>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</si>
  <si>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</si>
  <si>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</si>
  <si>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</si>
  <si>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</si>
  <si>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</si>
  <si>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</si>
  <si>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</si>
  <si>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</si>
  <si>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</si>
  <si>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</si>
  <si>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</si>
  <si>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</si>
  <si>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</si>
  <si>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</si>
  <si>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</si>
  <si>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</si>
  <si>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</si>
  <si>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</si>
  <si>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</si>
  <si>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</si>
  <si>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</si>
  <si>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</si>
  <si>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</si>
  <si>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</si>
  <si>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</si>
  <si>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</si>
  <si>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</si>
  <si>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</si>
  <si>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</si>
  <si>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</si>
  <si>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</si>
  <si>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</si>
  <si>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</si>
  <si>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</si>
  <si>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</si>
  <si>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</si>
  <si>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</si>
  <si>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</si>
  <si>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</si>
  <si>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</si>
  <si>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</si>
  <si>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</si>
  <si>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</si>
  <si>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</si>
  <si>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</si>
  <si>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</si>
  <si>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</si>
  <si>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</si>
  <si>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</si>
  <si>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</si>
  <si>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</si>
  <si>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</si>
  <si>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</si>
  <si>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</si>
  <si>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</si>
  <si>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</si>
  <si>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</si>
  <si>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</si>
  <si>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</si>
  <si>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</si>
  <si>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</si>
  <si>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</si>
  <si>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</si>
  <si>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</si>
  <si>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</si>
  <si>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</si>
  <si>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</si>
  <si>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</si>
  <si>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</si>
  <si>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</si>
  <si>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</si>
  <si>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</si>
  <si>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</si>
  <si>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</si>
  <si>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</si>
  <si>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</si>
  <si>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</si>
  <si>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</si>
  <si>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</si>
  <si>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</si>
  <si>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</si>
  <si>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</si>
  <si>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</si>
  <si>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</si>
  <si>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</si>
  <si>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</si>
  <si>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</si>
  <si>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</si>
  <si>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</si>
  <si>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</si>
  <si>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</si>
  <si>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</si>
  <si>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</si>
  <si>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</si>
  <si>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</si>
  <si>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</si>
  <si>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</si>
  <si>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</si>
  <si>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</si>
  <si>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</si>
  <si>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</si>
  <si>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</si>
  <si>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</si>
  <si>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</si>
  <si>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</si>
  <si>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</si>
  <si>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Ngoc Han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</si>
  <si>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</si>
  <si>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</si>
  <si>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</si>
  <si>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</si>
  <si>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</si>
  <si>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</si>
  <si>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</si>
  <si>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</si>
  <si>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</si>
  <si>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</si>
  <si>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</si>
  <si>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</si>
  <si>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</si>
  <si>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</si>
  <si>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</si>
  <si>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</si>
  <si>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</si>
  <si>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</si>
  <si>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</si>
  <si>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Tiger Li</t>
  </si>
  <si>
    <t>Zhuojia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</si>
  <si>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</si>
  <si>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</si>
  <si>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</si>
  <si>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</si>
  <si>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</si>
  <si>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</si>
  <si>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</si>
  <si>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</si>
  <si>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</si>
  <si>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</si>
  <si>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</si>
  <si>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</si>
  <si>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</si>
  <si>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</si>
  <si>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</si>
  <si>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</si>
  <si>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Birat</t>
  </si>
  <si>
    <t>Birat Bhattarai</t>
  </si>
  <si>
    <t>Harry Quan Le</t>
  </si>
  <si>
    <t>Yunji</t>
  </si>
  <si>
    <t>Kang</t>
  </si>
  <si>
    <t>Yunie Kang</t>
  </si>
  <si>
    <t>Kimberley</t>
  </si>
  <si>
    <t>Koh</t>
  </si>
  <si>
    <t>Kimberley Koh</t>
  </si>
  <si>
    <t>Elena Zou</t>
  </si>
  <si>
    <t>Zimo Zhang</t>
  </si>
  <si>
    <t>Zimo</t>
  </si>
  <si>
    <t>FukMan</t>
  </si>
  <si>
    <t>Zou</t>
  </si>
  <si>
    <t>+ 1h roster making + 1h meeting + 2h deposit</t>
  </si>
  <si>
    <t>+ 0.5h break on Wed 1/21</t>
  </si>
  <si>
    <t>+ 0.5h break on Tue 1/20</t>
  </si>
  <si>
    <t>+ 1h roster making</t>
  </si>
  <si>
    <t>+ 0.5h break on Wed 1/28 + 0.5h break on Thu 1/29 + 0.5h break on Fri 1/30 + 0.5h break on Sat 1/31</t>
  </si>
  <si>
    <t>+ 0.5h break on Tue 1/27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</si>
</sst>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&quot;/&quot;yyyy"/>
    <numFmt numFmtId="165" formatCode="hh:mm"/>
  </numFmts>
  <fonts count="45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sz val="20"/>
      <color rgb="FF0C0C0C"/>
      <name val="Helvetica Neue"/>
      <family val="2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  <charset val="134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sz val="20"/>
      <color rgb="FF0000FF"/>
      <name val="Helvetica Neue"/>
      <family val="2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  <xf numFmtId="0" fontId="39" fillId="0" borderId="0" xfId="0" applyFont="1" applyAlignment="1" applyProtection="1">
      <alignment horizontal="center" wrapText="1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 wrapText="1"/>
      <protection locked="0"/>
    </xf>
    <xf numFmtId="165" fontId="31" fillId="0" borderId="0" xfId="0" applyNumberFormat="1" applyFont="1" applyAlignment="1" applyProtection="1">
      <alignment horizontal="center" vertical="center" wrapText="1"/>
      <protection locked="0"/>
    </xf>
    <xf numFmtId="0" fontId="35" fillId="0" borderId="0" xfId="0" applyFont="1"/>
    <xf numFmtId="0" fontId="44" fillId="0" borderId="0" xfId="0" quotePrefix="1" applyFont="1" applyAlignment="1" applyProtection="1">
      <alignment wrapText="1"/>
      <protection locked="0"/>
    </xf>
  </cellXfs>
  <cellStyles count="1">
    <cellStyle name="Normal" xfId="0" builtinId="0"/>
  </cellStyles>
  <dxfs count="22"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60" zoomScaleNormal="60" workbookViewId="0">
      <pane xSplit="3" ySplit="1" topLeftCell="X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46041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46042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46043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46044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46045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46046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46047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46048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Pub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Pub</v>
      </c>
      <c r="CJ1" s="36" t="str">
        <f>AA1</f>
        <v>Pub</v>
      </c>
      <c r="CK1" s="36" t="s">
        <v>55</v>
      </c>
    </row>
    <row r="2" spans="1:89" ht="38" customHeight="1">
      <c r="A2" s="74">
        <f t="shared" ref="A2:A33" si="0">IF(ISNA(AZ2),"",AZ2)</f>
        <v>10306</v>
      </c>
      <c r="B2" s="81" t="s">
        <v>900</v>
      </c>
      <c r="C2" s="91" t="s">
        <v>858</v>
      </c>
      <c r="D2" s="101">
        <v>0.41666666666666669</v>
      </c>
      <c r="E2" s="84">
        <v>0.64583333333333337</v>
      </c>
      <c r="F2" s="92">
        <f>BA2-BB2</f>
        <v>5</v>
      </c>
      <c r="G2" s="84"/>
      <c r="H2" s="84"/>
      <c r="I2" s="92">
        <f>BF2-BG2</f>
        <v>0</v>
      </c>
      <c r="J2" s="84"/>
      <c r="K2" s="84"/>
      <c r="L2" s="92">
        <f>BK2-BL2</f>
        <v>0</v>
      </c>
      <c r="M2" s="84"/>
      <c r="N2" s="101"/>
      <c r="O2" s="92">
        <f>BP2-BQ2</f>
        <v>0</v>
      </c>
      <c r="P2" s="101">
        <v>0.63402777777777775</v>
      </c>
      <c r="Q2" s="84">
        <v>0.97499999999999998</v>
      </c>
      <c r="R2" s="92">
        <f>BU2-BV2</f>
        <v>7.6833333333333336</v>
      </c>
      <c r="S2" s="84">
        <v>0.58333333333333337</v>
      </c>
      <c r="T2" s="84">
        <v>0.9916666666666667</v>
      </c>
      <c r="U2" s="92">
        <f>BZ2-CA2</f>
        <v>8.8000000000000007</v>
      </c>
      <c r="V2" s="84"/>
      <c r="W2" s="84"/>
      <c r="X2" s="92">
        <f>CE2-CF2</f>
        <v>0</v>
      </c>
      <c r="Y2" s="92"/>
      <c r="Z2" s="92"/>
      <c r="AA2" s="92"/>
      <c r="AB2" s="92">
        <f>SUM(F2,I2,L2,O2,R2,U2,X2)</f>
        <v>21.483333333333334</v>
      </c>
      <c r="AC2" s="93"/>
      <c r="AD2" s="78">
        <f>1+2+1</f>
        <v>4</v>
      </c>
      <c r="AE2" s="94">
        <f t="shared" ref="AE2:AE40" si="1">SUMIF($BC$1:$CI$1,AE$1,$BC2:$CI2)+AD2</f>
        <v>15.283333333333333</v>
      </c>
      <c r="AF2" s="77"/>
      <c r="AG2" s="94">
        <f t="shared" ref="AG2:AG40" si="2">SUMIF($BC$1:$CI$1,AG$1,$BC2:$CI2)+AF2</f>
        <v>8.8000000000000007</v>
      </c>
      <c r="AH2" s="78"/>
      <c r="AI2" s="94">
        <f t="shared" ref="AI2:AI40" si="3">SUMIF($BC$1:$CI$1,AI$1,$BC2:$CI2)+AH2</f>
        <v>0</v>
      </c>
      <c r="AJ2" s="77"/>
      <c r="AK2" s="94">
        <f t="shared" ref="AK2:AK40" si="4">SUMIF($BC$1:$CI$1,AK$1,$BC2:$CI2)+AJ2</f>
        <v>0</v>
      </c>
      <c r="AL2" s="77"/>
      <c r="AM2" s="94">
        <f t="shared" ref="AM2:AM40" si="5">SUMIF($BC$1:$CI$1,AM$1,$BC2:$CI2)+AL2</f>
        <v>1.4000000000000004</v>
      </c>
      <c r="AN2" s="77"/>
      <c r="AO2" s="94">
        <f t="shared" ref="AO2:AO40" si="6">SUMIF($BC$1:$CI$1,AO$1,$BC2:$CI2)+AN2</f>
        <v>0</v>
      </c>
      <c r="AP2" s="95">
        <f>CK2</f>
        <v>3</v>
      </c>
      <c r="AQ2" s="77"/>
      <c r="AR2" s="77"/>
      <c r="AS2" s="77"/>
      <c r="AT2" s="44">
        <f>AE2+AG2+AI2+AK2+AM2+AO2+SUM(AQ2:AS2)</f>
        <v>25.483333333333334</v>
      </c>
      <c r="AU2" s="105" t="s">
        <v>1516</v>
      </c>
      <c r="AV2" s="5"/>
      <c r="AW2" s="5"/>
      <c r="AX2" s="5"/>
      <c r="AY2" s="5"/>
      <c r="AZ2" s="24">
        <f>VLOOKUP(C2,Employees!D:I,6,FALSE)</f>
        <v>10306</v>
      </c>
      <c r="BA2" s="5">
        <f>IF(ISBLANK(D2),0,(E2-D2)*24)</f>
        <v>5.5</v>
      </c>
      <c r="BB2" s="5">
        <f>IF(BA2&gt;$AY$1,1,IF(BA2&gt;=$AX$1,0.5,0))</f>
        <v>0.5</v>
      </c>
      <c r="BC2" s="5">
        <f>BA2-BB2-BD2-BE2</f>
        <v>5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8.1833333333333336</v>
      </c>
      <c r="BV2" s="5">
        <f>IF(BU2&gt;$AY$1,1,IF(BU2&gt;=$AX$1,0.5,0))</f>
        <v>0.5</v>
      </c>
      <c r="BW2" s="5">
        <f>BU2-BV2-BX2-BY2</f>
        <v>6.2833333333333332</v>
      </c>
      <c r="BX2" s="5">
        <f>IF(AND(Q2&gt;$AV$1, P2&lt;$AW$1),(MIN(Q2,$AW$1)-MAX(P2,$AV$1))*24,0)</f>
        <v>1.4000000000000004</v>
      </c>
      <c r="BY2" s="5">
        <f t="shared" ref="BY2:BY65" si="11">IF(Q2&gt;$AW$1,(Q2-MAX(P2,$AW$1))*24,0)</f>
        <v>0</v>
      </c>
      <c r="BZ2" s="5">
        <f t="shared" ref="BZ2" si="12">IF(ISBLANK(S2),0,(T2-S2)*24)</f>
        <v>9.8000000000000007</v>
      </c>
      <c r="CA2" s="5">
        <f>IF(BZ2&gt;$AY$1,1,IF(BZ2&gt;=$AX$1,0.5,0))</f>
        <v>1</v>
      </c>
      <c r="CB2" s="5">
        <f>BZ2-CA2-CC2-CD2</f>
        <v>6.9999999999999991</v>
      </c>
      <c r="CC2" s="5">
        <f>IF(AND(T2&gt;$AV$1, S2&lt;$AW$1),(MIN(T2,$AW$1)-MAX(S2,$AV$1))*24,0)</f>
        <v>1.8000000000000016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3</v>
      </c>
    </row>
    <row r="3" spans="1:89" ht="38" customHeight="1">
      <c r="A3" s="74">
        <f t="shared" si="0"/>
        <v>10386</v>
      </c>
      <c r="B3" s="81" t="s">
        <v>900</v>
      </c>
      <c r="C3" s="91" t="s">
        <v>1064</v>
      </c>
      <c r="D3" s="101"/>
      <c r="E3" s="84"/>
      <c r="F3" s="92">
        <f t="shared" ref="F3:F69" si="15">BA3-BB3</f>
        <v>0</v>
      </c>
      <c r="G3" s="84"/>
      <c r="H3" s="84"/>
      <c r="I3" s="92">
        <f t="shared" ref="I3:I69" si="16">BF3-BG3</f>
        <v>0</v>
      </c>
      <c r="J3" s="84">
        <v>0.41666666666666669</v>
      </c>
      <c r="K3" s="84">
        <v>0.75138888888888888</v>
      </c>
      <c r="L3" s="92">
        <f t="shared" ref="L3:L69" si="17">BK3-BL3</f>
        <v>7.5333333333333332</v>
      </c>
      <c r="M3" s="84">
        <v>0.41666666666666669</v>
      </c>
      <c r="N3" s="101">
        <v>0.625</v>
      </c>
      <c r="O3" s="92">
        <f t="shared" ref="O3:O69" si="18">BP3-BQ3</f>
        <v>5</v>
      </c>
      <c r="P3" s="101">
        <v>0.41666666666666669</v>
      </c>
      <c r="Q3" s="84">
        <v>0.63541666666666663</v>
      </c>
      <c r="R3" s="92">
        <f t="shared" ref="R3:R69" si="19">BU3-BV3</f>
        <v>5.2499999999999982</v>
      </c>
      <c r="S3" s="84">
        <v>0.41666666666666669</v>
      </c>
      <c r="T3" s="84">
        <v>0.79166666666666663</v>
      </c>
      <c r="U3" s="92">
        <f t="shared" ref="U3:U69" si="20">BZ3-CA3</f>
        <v>8.4999999999999982</v>
      </c>
      <c r="V3" s="84"/>
      <c r="W3" s="84"/>
      <c r="X3" s="92">
        <f t="shared" ref="X3:X69" si="21">CE3-CF3</f>
        <v>0</v>
      </c>
      <c r="Y3" s="92"/>
      <c r="Z3" s="92"/>
      <c r="AA3" s="92"/>
      <c r="AB3" s="92">
        <f t="shared" ref="AB3:AB69" si="22">SUM(F3,I3,L3,O3,R3,U3,X3)</f>
        <v>26.283333333333331</v>
      </c>
      <c r="AC3" s="93"/>
      <c r="AD3" s="78">
        <f>0.5</f>
        <v>0.5</v>
      </c>
      <c r="AE3" s="94">
        <f t="shared" si="1"/>
        <v>18.283333333333331</v>
      </c>
      <c r="AF3" s="77"/>
      <c r="AG3" s="94">
        <f t="shared" si="2"/>
        <v>8.4999999999999982</v>
      </c>
      <c r="AH3" s="78"/>
      <c r="AI3" s="94">
        <f t="shared" si="3"/>
        <v>0</v>
      </c>
      <c r="AJ3" s="77"/>
      <c r="AK3" s="94">
        <f t="shared" si="4"/>
        <v>0</v>
      </c>
      <c r="AL3" s="77"/>
      <c r="AM3" s="94">
        <f t="shared" si="5"/>
        <v>0</v>
      </c>
      <c r="AN3" s="77"/>
      <c r="AO3" s="94">
        <f t="shared" si="6"/>
        <v>0</v>
      </c>
      <c r="AP3" s="95">
        <f t="shared" ref="AP3:AP69" si="23">CK3</f>
        <v>4</v>
      </c>
      <c r="AQ3" s="77"/>
      <c r="AR3" s="77"/>
      <c r="AS3" s="77"/>
      <c r="AT3" s="44">
        <f t="shared" ref="AT3:AT69" si="24">AE3+AG3+AI3+AK3+AM3+AO3+SUM(AQ3:AS3)</f>
        <v>26.783333333333331</v>
      </c>
      <c r="AU3" s="105" t="s">
        <v>1517</v>
      </c>
      <c r="AV3" s="5"/>
      <c r="AW3" s="5"/>
      <c r="AX3" s="5"/>
      <c r="AY3" s="5"/>
      <c r="AZ3" s="24">
        <f>VLOOKUP(C3,Employees!D:I,6,FALSE)</f>
        <v>10386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8.0333333333333332</v>
      </c>
      <c r="BL3" s="5">
        <f t="shared" ref="BL3:BL66" si="35">IF(BK3&gt;$AY$1,1,IF(BK3&gt;=$AX$1,0.5,0))</f>
        <v>0.5</v>
      </c>
      <c r="BM3" s="5">
        <f t="shared" ref="BM3:BM66" si="36">BK3-BL3-BN3-BO3</f>
        <v>7.5333333333333332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5</v>
      </c>
      <c r="BQ3" s="5">
        <f t="shared" ref="BQ3:BQ66" si="40">IF(BP3&gt;$AY$1,1,IF(BP3&gt;=$AX$1,0.5,0))</f>
        <v>0</v>
      </c>
      <c r="BR3" s="5">
        <f t="shared" ref="BR3:BR66" si="41">BP3-BQ3-BS3-BT3</f>
        <v>5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5.2499999999999982</v>
      </c>
      <c r="BV3" s="5">
        <f t="shared" ref="BV3:BV66" si="45">IF(BU3&gt;$AY$1,1,IF(BU3&gt;=$AX$1,0.5,0))</f>
        <v>0</v>
      </c>
      <c r="BW3" s="5">
        <f t="shared" ref="BW3:BW66" si="46">BU3-BV3-BX3-BY3</f>
        <v>5.2499999999999982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8.9999999999999982</v>
      </c>
      <c r="CA3" s="5">
        <f t="shared" ref="CA3:CA66" si="49">IF(BZ3&gt;$AY$1,1,IF(BZ3&gt;=$AX$1,0.5,0))</f>
        <v>0.5</v>
      </c>
      <c r="CB3" s="5">
        <f t="shared" ref="CB3:CB66" si="50">BZ3-CA3-CC3-CD3</f>
        <v>8.4999999999999982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4</v>
      </c>
    </row>
    <row r="4" spans="1:89" ht="38" customHeight="1">
      <c r="A4" s="74">
        <f t="shared" si="0"/>
        <v>10376</v>
      </c>
      <c r="B4" s="81" t="s">
        <v>900</v>
      </c>
      <c r="C4" s="85" t="s">
        <v>1035</v>
      </c>
      <c r="D4" s="84">
        <v>0.64930555555555558</v>
      </c>
      <c r="E4" s="84">
        <v>0.96180555555555558</v>
      </c>
      <c r="F4" s="92">
        <f t="shared" si="15"/>
        <v>7</v>
      </c>
      <c r="G4" s="84"/>
      <c r="H4" s="84"/>
      <c r="I4" s="92">
        <f t="shared" si="16"/>
        <v>0</v>
      </c>
      <c r="J4" s="84">
        <v>0.75</v>
      </c>
      <c r="K4" s="84">
        <v>0.97638888888888886</v>
      </c>
      <c r="L4" s="92">
        <f t="shared" si="17"/>
        <v>5.4333333333333327</v>
      </c>
      <c r="M4" s="84"/>
      <c r="N4" s="84"/>
      <c r="O4" s="92">
        <f t="shared" si="18"/>
        <v>0</v>
      </c>
      <c r="P4" s="75"/>
      <c r="Q4" s="75"/>
      <c r="R4" s="92">
        <f t="shared" si="19"/>
        <v>0</v>
      </c>
      <c r="S4" s="75"/>
      <c r="T4" s="75"/>
      <c r="U4" s="92">
        <f t="shared" si="20"/>
        <v>0</v>
      </c>
      <c r="V4" s="84">
        <v>0.41805555555555557</v>
      </c>
      <c r="W4" s="84">
        <v>0.97847222222222219</v>
      </c>
      <c r="X4" s="92">
        <f t="shared" si="21"/>
        <v>12.449999999999998</v>
      </c>
      <c r="Y4" s="92"/>
      <c r="Z4" s="92"/>
      <c r="AA4" s="92"/>
      <c r="AB4" s="92">
        <f t="shared" si="22"/>
        <v>24.883333333333333</v>
      </c>
      <c r="AC4" s="93"/>
      <c r="AD4" s="78"/>
      <c r="AE4" s="94">
        <f t="shared" si="1"/>
        <v>9.9166666666666643</v>
      </c>
      <c r="AF4" s="77"/>
      <c r="AG4" s="94">
        <f t="shared" si="2"/>
        <v>0</v>
      </c>
      <c r="AH4" s="78"/>
      <c r="AI4" s="94">
        <f t="shared" si="3"/>
        <v>12.45</v>
      </c>
      <c r="AJ4" s="77"/>
      <c r="AK4" s="94">
        <f t="shared" si="4"/>
        <v>0</v>
      </c>
      <c r="AL4" s="77"/>
      <c r="AM4" s="94">
        <f t="shared" si="5"/>
        <v>2.5166666666666684</v>
      </c>
      <c r="AN4" s="77"/>
      <c r="AO4" s="94">
        <f t="shared" si="6"/>
        <v>0</v>
      </c>
      <c r="AP4" s="95">
        <f t="shared" si="23"/>
        <v>3</v>
      </c>
      <c r="AQ4" s="77"/>
      <c r="AR4" s="77"/>
      <c r="AS4" s="77"/>
      <c r="AT4" s="44">
        <f t="shared" si="24"/>
        <v>24.883333333333333</v>
      </c>
      <c r="AU4" s="78"/>
      <c r="AV4" s="5"/>
      <c r="AW4" s="5"/>
      <c r="AX4" s="5"/>
      <c r="AY4" s="5"/>
      <c r="AZ4" s="24">
        <f>VLOOKUP(C4,Employees!D:I,6,FALSE)</f>
        <v>10376</v>
      </c>
      <c r="BA4" s="5">
        <f t="shared" si="25"/>
        <v>7.5</v>
      </c>
      <c r="BB4" s="5">
        <f t="shared" si="26"/>
        <v>0.5</v>
      </c>
      <c r="BC4" s="5">
        <f t="shared" si="27"/>
        <v>5.9166666666666652</v>
      </c>
      <c r="BD4" s="5">
        <f t="shared" ref="BD4:BD66" si="58">IF(AND(E4&gt;$AV$1, D4&lt;$AW$1),(MIN(E4,$AW$1)-MAX(D4,$AV$1))*24,0)</f>
        <v>1.0833333333333348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5.4333333333333327</v>
      </c>
      <c r="BL4" s="5">
        <f t="shared" si="35"/>
        <v>0</v>
      </c>
      <c r="BM4" s="5">
        <f t="shared" si="36"/>
        <v>3.9999999999999991</v>
      </c>
      <c r="BN4" s="5">
        <f t="shared" si="37"/>
        <v>1.4333333333333336</v>
      </c>
      <c r="BO4" s="5">
        <f t="shared" si="38"/>
        <v>0</v>
      </c>
      <c r="BP4" s="5">
        <f t="shared" si="39"/>
        <v>0</v>
      </c>
      <c r="BQ4" s="5">
        <f t="shared" si="40"/>
        <v>0</v>
      </c>
      <c r="BR4" s="5">
        <f t="shared" si="41"/>
        <v>0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13.449999999999998</v>
      </c>
      <c r="CF4" s="5">
        <f t="shared" si="54"/>
        <v>1</v>
      </c>
      <c r="CG4" s="5">
        <f t="shared" si="55"/>
        <v>10.966666666666665</v>
      </c>
      <c r="CH4" s="5">
        <f t="shared" si="56"/>
        <v>1.4833333333333334</v>
      </c>
      <c r="CI4" s="5">
        <f t="shared" si="57"/>
        <v>0</v>
      </c>
      <c r="CJ4" s="5"/>
      <c r="CK4" s="4">
        <f t="shared" si="14"/>
        <v>3</v>
      </c>
    </row>
    <row r="5" spans="1:89" ht="38" customHeight="1">
      <c r="A5" s="74">
        <f t="shared" si="0"/>
        <v>210432</v>
      </c>
      <c r="B5" s="81" t="s">
        <v>900</v>
      </c>
      <c r="C5" s="85" t="s">
        <v>1184</v>
      </c>
      <c r="D5" s="75"/>
      <c r="E5" s="75"/>
      <c r="F5" s="92">
        <f t="shared" si="15"/>
        <v>0</v>
      </c>
      <c r="G5" s="84"/>
      <c r="H5" s="84"/>
      <c r="I5" s="92">
        <f t="shared" si="16"/>
        <v>0</v>
      </c>
      <c r="J5" s="84"/>
      <c r="K5" s="84"/>
      <c r="L5" s="92">
        <f t="shared" si="17"/>
        <v>0</v>
      </c>
      <c r="M5" s="75">
        <v>0.625</v>
      </c>
      <c r="N5" s="75">
        <v>0.96527777777777779</v>
      </c>
      <c r="O5" s="92">
        <f t="shared" si="18"/>
        <v>7.6666666666666679</v>
      </c>
      <c r="P5" s="75"/>
      <c r="Q5" s="75"/>
      <c r="R5" s="92">
        <f t="shared" si="19"/>
        <v>0</v>
      </c>
      <c r="S5" s="75"/>
      <c r="T5" s="75"/>
      <c r="U5" s="92">
        <f t="shared" si="20"/>
        <v>0</v>
      </c>
      <c r="V5" s="84">
        <v>0.5</v>
      </c>
      <c r="W5" s="84">
        <v>0.77152777777777781</v>
      </c>
      <c r="X5" s="92">
        <f t="shared" si="21"/>
        <v>6.0166666666666675</v>
      </c>
      <c r="Y5" s="92"/>
      <c r="Z5" s="92"/>
      <c r="AA5" s="92"/>
      <c r="AB5" s="92">
        <f t="shared" si="22"/>
        <v>13.683333333333335</v>
      </c>
      <c r="AC5" s="93"/>
      <c r="AD5" s="78"/>
      <c r="AE5" s="94">
        <f t="shared" si="1"/>
        <v>6.5</v>
      </c>
      <c r="AF5" s="77"/>
      <c r="AG5" s="94">
        <f t="shared" si="2"/>
        <v>0</v>
      </c>
      <c r="AH5" s="78"/>
      <c r="AI5" s="94">
        <f t="shared" si="3"/>
        <v>6.0166666666666675</v>
      </c>
      <c r="AJ5" s="77"/>
      <c r="AK5" s="94">
        <f t="shared" si="4"/>
        <v>0</v>
      </c>
      <c r="AL5" s="77"/>
      <c r="AM5" s="94">
        <f t="shared" si="5"/>
        <v>1.1666666666666679</v>
      </c>
      <c r="AN5" s="77"/>
      <c r="AO5" s="94">
        <f t="shared" si="6"/>
        <v>0</v>
      </c>
      <c r="AP5" s="95">
        <f t="shared" si="23"/>
        <v>2</v>
      </c>
      <c r="AQ5" s="77"/>
      <c r="AR5" s="77"/>
      <c r="AS5" s="77"/>
      <c r="AT5" s="44">
        <f t="shared" si="24"/>
        <v>13.683333333333335</v>
      </c>
      <c r="AU5" s="78"/>
      <c r="AV5" s="5"/>
      <c r="AW5" s="5"/>
      <c r="AX5" s="5"/>
      <c r="AY5" s="5"/>
      <c r="AZ5" s="24">
        <f>VLOOKUP(C5,Employees!D:I,6,FALSE)</f>
        <v>210432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8.1666666666666679</v>
      </c>
      <c r="BQ5" s="5">
        <f t="shared" si="40"/>
        <v>0.5</v>
      </c>
      <c r="BR5" s="5">
        <f t="shared" si="41"/>
        <v>6.5</v>
      </c>
      <c r="BS5" s="5">
        <f t="shared" si="42"/>
        <v>1.1666666666666679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6.5166666666666675</v>
      </c>
      <c r="CF5" s="5">
        <f t="shared" si="54"/>
        <v>0.5</v>
      </c>
      <c r="CG5" s="5">
        <f t="shared" si="55"/>
        <v>6.0166666666666675</v>
      </c>
      <c r="CH5" s="5">
        <f t="shared" si="56"/>
        <v>0</v>
      </c>
      <c r="CI5" s="5">
        <f t="shared" si="57"/>
        <v>0</v>
      </c>
      <c r="CJ5" s="5"/>
      <c r="CK5" s="4">
        <f t="shared" si="14"/>
        <v>2</v>
      </c>
    </row>
    <row r="6" spans="1:89" ht="38" customHeight="1">
      <c r="A6" s="74">
        <f t="shared" si="0"/>
        <v>210553</v>
      </c>
      <c r="B6" s="81" t="s">
        <v>900</v>
      </c>
      <c r="C6" s="85" t="s">
        <v>1507</v>
      </c>
      <c r="D6" s="84"/>
      <c r="E6" s="84"/>
      <c r="F6" s="92">
        <f t="shared" si="15"/>
        <v>0</v>
      </c>
      <c r="G6" s="84">
        <v>0.75</v>
      </c>
      <c r="H6" s="84">
        <v>0.96527777777777779</v>
      </c>
      <c r="I6" s="92">
        <f t="shared" si="16"/>
        <v>5.166666666666667</v>
      </c>
      <c r="J6" s="84"/>
      <c r="K6" s="84"/>
      <c r="L6" s="92">
        <f t="shared" si="17"/>
        <v>0</v>
      </c>
      <c r="M6" s="75"/>
      <c r="N6" s="75"/>
      <c r="O6" s="92">
        <f t="shared" si="18"/>
        <v>0</v>
      </c>
      <c r="P6" s="75">
        <v>0.5</v>
      </c>
      <c r="Q6" s="75">
        <v>0.75</v>
      </c>
      <c r="R6" s="92">
        <f t="shared" si="19"/>
        <v>5.5</v>
      </c>
      <c r="S6" s="75"/>
      <c r="T6" s="75"/>
      <c r="U6" s="92">
        <f t="shared" si="20"/>
        <v>0</v>
      </c>
      <c r="V6" s="84"/>
      <c r="W6" s="84"/>
      <c r="X6" s="92">
        <f t="shared" si="21"/>
        <v>0</v>
      </c>
      <c r="Y6" s="92"/>
      <c r="Z6" s="92"/>
      <c r="AA6" s="92"/>
      <c r="AB6" s="92">
        <f t="shared" si="22"/>
        <v>10.666666666666668</v>
      </c>
      <c r="AC6" s="93"/>
      <c r="AD6" s="78"/>
      <c r="AE6" s="94">
        <f t="shared" si="1"/>
        <v>9.5</v>
      </c>
      <c r="AF6" s="77"/>
      <c r="AG6" s="94">
        <f t="shared" si="2"/>
        <v>0</v>
      </c>
      <c r="AH6" s="78"/>
      <c r="AI6" s="94">
        <f t="shared" si="3"/>
        <v>0</v>
      </c>
      <c r="AJ6" s="77"/>
      <c r="AK6" s="94">
        <f t="shared" si="4"/>
        <v>0</v>
      </c>
      <c r="AL6" s="77"/>
      <c r="AM6" s="94">
        <f t="shared" si="5"/>
        <v>1.1666666666666679</v>
      </c>
      <c r="AN6" s="77"/>
      <c r="AO6" s="94">
        <f t="shared" si="6"/>
        <v>0</v>
      </c>
      <c r="AP6" s="95">
        <f t="shared" si="23"/>
        <v>2</v>
      </c>
      <c r="AQ6" s="77"/>
      <c r="AR6" s="77"/>
      <c r="AS6" s="77"/>
      <c r="AT6" s="44">
        <f t="shared" si="24"/>
        <v>10.666666666666668</v>
      </c>
      <c r="AU6" s="78"/>
      <c r="AV6" s="5"/>
      <c r="AW6" s="5"/>
      <c r="AX6" s="5"/>
      <c r="AY6" s="5"/>
      <c r="AZ6" s="24">
        <f>VLOOKUP(C6,Employees!D:I,6,FALSE)</f>
        <v>210553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5.166666666666667</v>
      </c>
      <c r="BG6" s="5">
        <f t="shared" si="30"/>
        <v>0</v>
      </c>
      <c r="BH6" s="5">
        <f t="shared" si="31"/>
        <v>3.9999999999999991</v>
      </c>
      <c r="BI6" s="5">
        <f t="shared" si="32"/>
        <v>1.1666666666666679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6</v>
      </c>
      <c r="BV6" s="5">
        <f t="shared" si="45"/>
        <v>0.5</v>
      </c>
      <c r="BW6" s="5">
        <f t="shared" si="46"/>
        <v>5.5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2</v>
      </c>
    </row>
    <row r="7" spans="1:89" ht="38" customHeight="1">
      <c r="A7" s="74">
        <f t="shared" si="0"/>
        <v>10431</v>
      </c>
      <c r="B7" s="81" t="s">
        <v>900</v>
      </c>
      <c r="C7" s="91" t="s">
        <v>1181</v>
      </c>
      <c r="D7" s="75"/>
      <c r="E7" s="75"/>
      <c r="F7" s="92">
        <f t="shared" si="15"/>
        <v>0</v>
      </c>
      <c r="G7" s="75">
        <v>0.41666666666666669</v>
      </c>
      <c r="H7" s="75">
        <v>0.73958333333333337</v>
      </c>
      <c r="I7" s="92">
        <f t="shared" si="16"/>
        <v>7.25</v>
      </c>
      <c r="J7" s="84"/>
      <c r="K7" s="84"/>
      <c r="L7" s="92">
        <f t="shared" si="17"/>
        <v>0</v>
      </c>
      <c r="M7" s="84"/>
      <c r="N7" s="84"/>
      <c r="O7" s="92">
        <f t="shared" si="18"/>
        <v>0</v>
      </c>
      <c r="P7" s="75"/>
      <c r="Q7" s="75"/>
      <c r="R7" s="92">
        <f t="shared" si="19"/>
        <v>0</v>
      </c>
      <c r="S7" s="75"/>
      <c r="T7" s="75"/>
      <c r="U7" s="92">
        <f t="shared" si="20"/>
        <v>0</v>
      </c>
      <c r="V7" s="84"/>
      <c r="W7" s="84"/>
      <c r="X7" s="92">
        <f t="shared" si="21"/>
        <v>0</v>
      </c>
      <c r="Y7" s="92"/>
      <c r="Z7" s="92"/>
      <c r="AA7" s="92"/>
      <c r="AB7" s="92">
        <f t="shared" si="22"/>
        <v>7.25</v>
      </c>
      <c r="AC7" s="93"/>
      <c r="AD7" s="78">
        <v>0.5</v>
      </c>
      <c r="AE7" s="94">
        <f t="shared" si="1"/>
        <v>7.75</v>
      </c>
      <c r="AF7" s="77"/>
      <c r="AG7" s="94">
        <f t="shared" si="2"/>
        <v>0</v>
      </c>
      <c r="AH7" s="77"/>
      <c r="AI7" s="94">
        <f t="shared" si="3"/>
        <v>0</v>
      </c>
      <c r="AJ7" s="77"/>
      <c r="AK7" s="94">
        <f t="shared" si="4"/>
        <v>0</v>
      </c>
      <c r="AL7" s="77"/>
      <c r="AM7" s="94">
        <f t="shared" si="5"/>
        <v>0</v>
      </c>
      <c r="AN7" s="77"/>
      <c r="AO7" s="94">
        <f t="shared" si="6"/>
        <v>0</v>
      </c>
      <c r="AP7" s="95">
        <f t="shared" si="23"/>
        <v>1</v>
      </c>
      <c r="AQ7" s="77"/>
      <c r="AR7" s="77"/>
      <c r="AS7" s="77"/>
      <c r="AT7" s="44">
        <f t="shared" si="24"/>
        <v>7.75</v>
      </c>
      <c r="AU7" s="105" t="s">
        <v>1518</v>
      </c>
      <c r="AV7" s="5"/>
      <c r="AW7" s="5"/>
      <c r="AX7" s="5"/>
      <c r="AY7" s="5"/>
      <c r="AZ7" s="24">
        <f>VLOOKUP(C7,Employees!D:I,6,FALSE)</f>
        <v>10431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7.75</v>
      </c>
      <c r="BG7" s="5">
        <f t="shared" si="30"/>
        <v>0.5</v>
      </c>
      <c r="BH7" s="5">
        <f t="shared" si="31"/>
        <v>7.25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1</v>
      </c>
    </row>
    <row r="8" spans="1:89" ht="38" customHeight="1">
      <c r="A8" s="74">
        <f t="shared" si="0"/>
        <v>10090</v>
      </c>
      <c r="B8" s="81" t="s">
        <v>900</v>
      </c>
      <c r="C8" s="91" t="s">
        <v>152</v>
      </c>
      <c r="D8" s="75"/>
      <c r="E8" s="75"/>
      <c r="F8" s="92">
        <f t="shared" si="15"/>
        <v>0</v>
      </c>
      <c r="G8" s="75">
        <v>0.73958333333333337</v>
      </c>
      <c r="H8" s="75">
        <v>0.96527777777777779</v>
      </c>
      <c r="I8" s="92">
        <f t="shared" si="16"/>
        <v>5.4166666666666661</v>
      </c>
      <c r="J8" s="76"/>
      <c r="K8" s="75"/>
      <c r="L8" s="92">
        <f t="shared" si="17"/>
        <v>0</v>
      </c>
      <c r="M8" s="75"/>
      <c r="N8" s="75"/>
      <c r="O8" s="92">
        <f t="shared" si="18"/>
        <v>0</v>
      </c>
      <c r="P8" s="84"/>
      <c r="Q8" s="84"/>
      <c r="R8" s="92">
        <f t="shared" si="19"/>
        <v>0</v>
      </c>
      <c r="S8" s="84"/>
      <c r="T8" s="84"/>
      <c r="U8" s="92">
        <f t="shared" si="20"/>
        <v>0</v>
      </c>
      <c r="V8" s="75"/>
      <c r="W8" s="75"/>
      <c r="X8" s="92">
        <f t="shared" si="21"/>
        <v>0</v>
      </c>
      <c r="Y8" s="92"/>
      <c r="Z8" s="92"/>
      <c r="AA8" s="92"/>
      <c r="AB8" s="92">
        <f t="shared" si="22"/>
        <v>5.4166666666666661</v>
      </c>
      <c r="AC8" s="93"/>
      <c r="AD8" s="78"/>
      <c r="AE8" s="94">
        <f t="shared" si="1"/>
        <v>4.2499999999999982</v>
      </c>
      <c r="AF8" s="77"/>
      <c r="AG8" s="94">
        <f t="shared" si="2"/>
        <v>0</v>
      </c>
      <c r="AH8" s="77"/>
      <c r="AI8" s="94">
        <f t="shared" si="3"/>
        <v>0</v>
      </c>
      <c r="AJ8" s="77"/>
      <c r="AK8" s="94">
        <f t="shared" si="4"/>
        <v>0</v>
      </c>
      <c r="AL8" s="77"/>
      <c r="AM8" s="94">
        <f t="shared" si="5"/>
        <v>1.1666666666666679</v>
      </c>
      <c r="AN8" s="77"/>
      <c r="AO8" s="94">
        <f t="shared" si="6"/>
        <v>0</v>
      </c>
      <c r="AP8" s="95">
        <f t="shared" si="23"/>
        <v>1</v>
      </c>
      <c r="AQ8" s="77"/>
      <c r="AR8" s="77"/>
      <c r="AS8" s="77"/>
      <c r="AT8" s="44">
        <f t="shared" si="24"/>
        <v>5.4166666666666661</v>
      </c>
      <c r="AU8" s="78"/>
      <c r="AV8" s="5"/>
      <c r="AW8" s="5"/>
      <c r="AX8" s="5"/>
      <c r="AY8" s="5"/>
      <c r="AZ8" s="24">
        <f>VLOOKUP(C8,Employees!D:I,6,FALSE)</f>
        <v>10090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5.4166666666666661</v>
      </c>
      <c r="BG8" s="5">
        <f t="shared" si="30"/>
        <v>0</v>
      </c>
      <c r="BH8" s="5">
        <f t="shared" si="31"/>
        <v>4.2499999999999982</v>
      </c>
      <c r="BI8" s="5">
        <f t="shared" si="32"/>
        <v>1.1666666666666679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1</v>
      </c>
    </row>
    <row r="9" spans="1:89" ht="38" customHeight="1">
      <c r="A9" s="74" t="str">
        <f t="shared" si="0"/>
        <v/>
      </c>
      <c r="B9" s="81"/>
      <c r="C9" s="98"/>
      <c r="D9" s="84"/>
      <c r="E9" s="84"/>
      <c r="F9" s="92">
        <f t="shared" si="15"/>
        <v>0</v>
      </c>
      <c r="G9" s="84"/>
      <c r="H9" s="84"/>
      <c r="I9" s="92">
        <f t="shared" si="16"/>
        <v>0</v>
      </c>
      <c r="J9" s="75"/>
      <c r="K9" s="75"/>
      <c r="L9" s="92">
        <f t="shared" si="17"/>
        <v>0</v>
      </c>
      <c r="M9" s="84"/>
      <c r="N9" s="84"/>
      <c r="O9" s="92">
        <f t="shared" si="18"/>
        <v>0</v>
      </c>
      <c r="P9" s="75"/>
      <c r="Q9" s="75"/>
      <c r="R9" s="92">
        <f t="shared" si="19"/>
        <v>0</v>
      </c>
      <c r="S9" s="76"/>
      <c r="T9" s="75"/>
      <c r="U9" s="92">
        <f t="shared" si="20"/>
        <v>0</v>
      </c>
      <c r="V9" s="75"/>
      <c r="W9" s="75"/>
      <c r="X9" s="92">
        <f t="shared" si="21"/>
        <v>0</v>
      </c>
      <c r="Y9" s="92"/>
      <c r="Z9" s="92"/>
      <c r="AA9" s="92"/>
      <c r="AB9" s="92">
        <f t="shared" si="22"/>
        <v>0</v>
      </c>
      <c r="AC9" s="93"/>
      <c r="AD9" s="78"/>
      <c r="AE9" s="94">
        <f t="shared" si="1"/>
        <v>0</v>
      </c>
      <c r="AF9" s="77"/>
      <c r="AG9" s="94">
        <f t="shared" si="2"/>
        <v>0</v>
      </c>
      <c r="AH9" s="77"/>
      <c r="AI9" s="94">
        <f t="shared" si="3"/>
        <v>0</v>
      </c>
      <c r="AJ9" s="77"/>
      <c r="AK9" s="94">
        <f t="shared" si="4"/>
        <v>0</v>
      </c>
      <c r="AL9" s="77"/>
      <c r="AM9" s="94">
        <f t="shared" si="5"/>
        <v>0</v>
      </c>
      <c r="AN9" s="77"/>
      <c r="AO9" s="94">
        <f t="shared" si="6"/>
        <v>0</v>
      </c>
      <c r="AP9" s="95">
        <f t="shared" si="23"/>
        <v>0</v>
      </c>
      <c r="AQ9" s="77"/>
      <c r="AR9" s="77"/>
      <c r="AS9" s="77"/>
      <c r="AT9" s="44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0</v>
      </c>
    </row>
    <row r="10" spans="1:89" ht="38" customHeight="1">
      <c r="A10" s="74" t="str">
        <f t="shared" si="0"/>
        <v/>
      </c>
      <c r="B10" s="73"/>
      <c r="C10" s="99"/>
      <c r="D10" s="75"/>
      <c r="E10" s="75"/>
      <c r="F10" s="92">
        <f t="shared" si="15"/>
        <v>0</v>
      </c>
      <c r="G10" s="75"/>
      <c r="H10" s="75"/>
      <c r="I10" s="92">
        <f t="shared" si="16"/>
        <v>0</v>
      </c>
      <c r="J10" s="76"/>
      <c r="K10" s="75"/>
      <c r="L10" s="92">
        <f t="shared" si="17"/>
        <v>0</v>
      </c>
      <c r="M10" s="75"/>
      <c r="N10" s="75"/>
      <c r="O10" s="92">
        <f t="shared" si="18"/>
        <v>0</v>
      </c>
      <c r="P10" s="75"/>
      <c r="Q10" s="75"/>
      <c r="R10" s="92">
        <f t="shared" si="19"/>
        <v>0</v>
      </c>
      <c r="S10" s="75"/>
      <c r="T10" s="75"/>
      <c r="U10" s="92">
        <f t="shared" si="20"/>
        <v>0</v>
      </c>
      <c r="V10" s="75"/>
      <c r="W10" s="75"/>
      <c r="X10" s="92">
        <f t="shared" si="21"/>
        <v>0</v>
      </c>
      <c r="Y10" s="92"/>
      <c r="Z10" s="92"/>
      <c r="AA10" s="92"/>
      <c r="AB10" s="92">
        <f t="shared" si="22"/>
        <v>0</v>
      </c>
      <c r="AC10" s="93"/>
      <c r="AD10" s="78"/>
      <c r="AE10" s="94">
        <f t="shared" si="1"/>
        <v>0</v>
      </c>
      <c r="AF10" s="77"/>
      <c r="AG10" s="94">
        <f t="shared" si="2"/>
        <v>0</v>
      </c>
      <c r="AH10" s="77"/>
      <c r="AI10" s="94">
        <f t="shared" si="3"/>
        <v>0</v>
      </c>
      <c r="AJ10" s="77"/>
      <c r="AK10" s="94">
        <f t="shared" si="4"/>
        <v>0</v>
      </c>
      <c r="AL10" s="77"/>
      <c r="AM10" s="94">
        <f t="shared" si="5"/>
        <v>0</v>
      </c>
      <c r="AN10" s="77"/>
      <c r="AO10" s="94">
        <f t="shared" si="6"/>
        <v>0</v>
      </c>
      <c r="AP10" s="95">
        <f t="shared" si="23"/>
        <v>0</v>
      </c>
      <c r="AQ10" s="77"/>
      <c r="AR10" s="77"/>
      <c r="AS10" s="77"/>
      <c r="AT10" s="44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 t="str">
        <f t="shared" si="0"/>
        <v/>
      </c>
      <c r="B11" s="73"/>
      <c r="C11" s="99"/>
      <c r="D11" s="75"/>
      <c r="E11" s="75"/>
      <c r="F11" s="92">
        <f t="shared" si="15"/>
        <v>0</v>
      </c>
      <c r="G11" s="75"/>
      <c r="H11" s="75"/>
      <c r="I11" s="92">
        <f t="shared" si="16"/>
        <v>0</v>
      </c>
      <c r="J11" s="76"/>
      <c r="K11" s="75"/>
      <c r="L11" s="92">
        <f t="shared" si="17"/>
        <v>0</v>
      </c>
      <c r="M11" s="75"/>
      <c r="N11" s="75"/>
      <c r="O11" s="92">
        <f t="shared" si="18"/>
        <v>0</v>
      </c>
      <c r="P11" s="75"/>
      <c r="Q11" s="75"/>
      <c r="R11" s="92">
        <f t="shared" si="19"/>
        <v>0</v>
      </c>
      <c r="S11" s="75"/>
      <c r="T11" s="75"/>
      <c r="U11" s="92">
        <f t="shared" si="20"/>
        <v>0</v>
      </c>
      <c r="V11" s="75"/>
      <c r="W11" s="75"/>
      <c r="X11" s="92">
        <f t="shared" si="21"/>
        <v>0</v>
      </c>
      <c r="Y11" s="92"/>
      <c r="Z11" s="92"/>
      <c r="AA11" s="92"/>
      <c r="AB11" s="92">
        <f t="shared" si="22"/>
        <v>0</v>
      </c>
      <c r="AC11" s="93"/>
      <c r="AD11" s="78"/>
      <c r="AE11" s="94">
        <f t="shared" si="1"/>
        <v>0</v>
      </c>
      <c r="AF11" s="77"/>
      <c r="AG11" s="94">
        <f t="shared" si="2"/>
        <v>0</v>
      </c>
      <c r="AH11" s="77"/>
      <c r="AI11" s="94">
        <f t="shared" si="3"/>
        <v>0</v>
      </c>
      <c r="AJ11" s="77"/>
      <c r="AK11" s="94">
        <f t="shared" si="4"/>
        <v>0</v>
      </c>
      <c r="AL11" s="77"/>
      <c r="AM11" s="94">
        <f t="shared" si="5"/>
        <v>0</v>
      </c>
      <c r="AN11" s="77"/>
      <c r="AO11" s="94">
        <f t="shared" si="6"/>
        <v>0</v>
      </c>
      <c r="AP11" s="95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73"/>
      <c r="C12" s="100"/>
      <c r="D12" s="75"/>
      <c r="E12" s="75"/>
      <c r="F12" s="92">
        <f t="shared" si="15"/>
        <v>0</v>
      </c>
      <c r="G12" s="75"/>
      <c r="H12" s="75"/>
      <c r="I12" s="92">
        <f t="shared" si="16"/>
        <v>0</v>
      </c>
      <c r="J12" s="76"/>
      <c r="K12" s="75"/>
      <c r="L12" s="92">
        <f t="shared" si="17"/>
        <v>0</v>
      </c>
      <c r="M12" s="75"/>
      <c r="N12" s="75"/>
      <c r="O12" s="92">
        <f t="shared" si="18"/>
        <v>0</v>
      </c>
      <c r="P12" s="75"/>
      <c r="Q12" s="75"/>
      <c r="R12" s="92">
        <f t="shared" si="19"/>
        <v>0</v>
      </c>
      <c r="S12" s="75"/>
      <c r="T12" s="75"/>
      <c r="U12" s="92">
        <f t="shared" si="20"/>
        <v>0</v>
      </c>
      <c r="V12" s="75"/>
      <c r="W12" s="75"/>
      <c r="X12" s="92">
        <f t="shared" si="21"/>
        <v>0</v>
      </c>
      <c r="Y12" s="92"/>
      <c r="Z12" s="92"/>
      <c r="AA12" s="92"/>
      <c r="AB12" s="92">
        <f t="shared" si="22"/>
        <v>0</v>
      </c>
      <c r="AC12" s="93"/>
      <c r="AD12" s="78"/>
      <c r="AE12" s="94">
        <f t="shared" si="1"/>
        <v>0</v>
      </c>
      <c r="AF12" s="77"/>
      <c r="AG12" s="94">
        <f t="shared" si="2"/>
        <v>0</v>
      </c>
      <c r="AH12" s="77"/>
      <c r="AI12" s="94">
        <f t="shared" si="3"/>
        <v>0</v>
      </c>
      <c r="AJ12" s="77"/>
      <c r="AK12" s="94">
        <f t="shared" si="4"/>
        <v>0</v>
      </c>
      <c r="AL12" s="77"/>
      <c r="AM12" s="94">
        <f t="shared" si="5"/>
        <v>0</v>
      </c>
      <c r="AN12" s="77"/>
      <c r="AO12" s="94">
        <f t="shared" si="6"/>
        <v>0</v>
      </c>
      <c r="AP12" s="95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73"/>
      <c r="C13" s="99"/>
      <c r="D13" s="75"/>
      <c r="E13" s="75"/>
      <c r="F13" s="92">
        <f t="shared" si="15"/>
        <v>0</v>
      </c>
      <c r="G13" s="75"/>
      <c r="H13" s="75"/>
      <c r="I13" s="92">
        <f t="shared" si="16"/>
        <v>0</v>
      </c>
      <c r="J13" s="84"/>
      <c r="K13" s="84"/>
      <c r="L13" s="92">
        <f t="shared" si="17"/>
        <v>0</v>
      </c>
      <c r="M13" s="75"/>
      <c r="N13" s="75"/>
      <c r="O13" s="92">
        <f t="shared" si="18"/>
        <v>0</v>
      </c>
      <c r="P13" s="75"/>
      <c r="Q13" s="75"/>
      <c r="R13" s="92">
        <f t="shared" si="19"/>
        <v>0</v>
      </c>
      <c r="S13" s="75"/>
      <c r="T13" s="75"/>
      <c r="U13" s="92">
        <f t="shared" si="20"/>
        <v>0</v>
      </c>
      <c r="V13" s="75"/>
      <c r="W13" s="75"/>
      <c r="X13" s="92">
        <f t="shared" si="21"/>
        <v>0</v>
      </c>
      <c r="Y13" s="92"/>
      <c r="Z13" s="92"/>
      <c r="AA13" s="92"/>
      <c r="AB13" s="92">
        <f t="shared" si="22"/>
        <v>0</v>
      </c>
      <c r="AC13" s="93"/>
      <c r="AD13" s="78"/>
      <c r="AE13" s="94">
        <f t="shared" si="1"/>
        <v>0</v>
      </c>
      <c r="AF13" s="77"/>
      <c r="AG13" s="94">
        <f t="shared" si="2"/>
        <v>0</v>
      </c>
      <c r="AH13" s="77"/>
      <c r="AI13" s="94">
        <f t="shared" si="3"/>
        <v>0</v>
      </c>
      <c r="AJ13" s="77"/>
      <c r="AK13" s="94">
        <f t="shared" si="4"/>
        <v>0</v>
      </c>
      <c r="AL13" s="77"/>
      <c r="AM13" s="94">
        <f t="shared" si="5"/>
        <v>0</v>
      </c>
      <c r="AN13" s="77"/>
      <c r="AO13" s="94">
        <f t="shared" si="6"/>
        <v>0</v>
      </c>
      <c r="AP13" s="95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73"/>
      <c r="C14" s="98"/>
      <c r="D14" s="75"/>
      <c r="E14" s="75"/>
      <c r="F14" s="92">
        <f t="shared" si="15"/>
        <v>0</v>
      </c>
      <c r="G14" s="75"/>
      <c r="H14" s="75"/>
      <c r="I14" s="92">
        <f t="shared" si="16"/>
        <v>0</v>
      </c>
      <c r="J14" s="75"/>
      <c r="K14" s="75"/>
      <c r="L14" s="92">
        <f t="shared" si="17"/>
        <v>0</v>
      </c>
      <c r="M14" s="75"/>
      <c r="N14" s="75"/>
      <c r="O14" s="92">
        <f t="shared" si="18"/>
        <v>0</v>
      </c>
      <c r="P14" s="75"/>
      <c r="Q14" s="75"/>
      <c r="R14" s="92">
        <f t="shared" si="19"/>
        <v>0</v>
      </c>
      <c r="S14" s="75"/>
      <c r="T14" s="75"/>
      <c r="U14" s="92">
        <f t="shared" si="20"/>
        <v>0</v>
      </c>
      <c r="V14" s="75"/>
      <c r="W14" s="75"/>
      <c r="X14" s="92">
        <f t="shared" si="21"/>
        <v>0</v>
      </c>
      <c r="Y14" s="92"/>
      <c r="Z14" s="92"/>
      <c r="AA14" s="92"/>
      <c r="AB14" s="92">
        <f t="shared" si="22"/>
        <v>0</v>
      </c>
      <c r="AC14" s="93"/>
      <c r="AD14" s="77"/>
      <c r="AE14" s="94">
        <f t="shared" si="1"/>
        <v>0</v>
      </c>
      <c r="AF14" s="77"/>
      <c r="AG14" s="94">
        <f t="shared" si="2"/>
        <v>0</v>
      </c>
      <c r="AH14" s="77"/>
      <c r="AI14" s="94">
        <f t="shared" si="3"/>
        <v>0</v>
      </c>
      <c r="AJ14" s="77"/>
      <c r="AK14" s="94">
        <f t="shared" si="4"/>
        <v>0</v>
      </c>
      <c r="AL14" s="77"/>
      <c r="AM14" s="94">
        <f t="shared" si="5"/>
        <v>0</v>
      </c>
      <c r="AN14" s="77"/>
      <c r="AO14" s="94">
        <f t="shared" si="6"/>
        <v>0</v>
      </c>
      <c r="AP14" s="95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97"/>
      <c r="D15" s="75"/>
      <c r="E15" s="75"/>
      <c r="F15" s="92">
        <f t="shared" si="15"/>
        <v>0</v>
      </c>
      <c r="G15" s="75"/>
      <c r="H15" s="75"/>
      <c r="I15" s="92">
        <f t="shared" si="16"/>
        <v>0</v>
      </c>
      <c r="J15" s="75"/>
      <c r="K15" s="75"/>
      <c r="L15" s="92">
        <f t="shared" si="17"/>
        <v>0</v>
      </c>
      <c r="M15" s="75"/>
      <c r="N15" s="75"/>
      <c r="O15" s="92">
        <f t="shared" si="18"/>
        <v>0</v>
      </c>
      <c r="P15" s="75"/>
      <c r="Q15" s="75"/>
      <c r="R15" s="92">
        <f t="shared" si="19"/>
        <v>0</v>
      </c>
      <c r="S15" s="75"/>
      <c r="T15" s="75"/>
      <c r="U15" s="92">
        <f t="shared" si="20"/>
        <v>0</v>
      </c>
      <c r="V15" s="75"/>
      <c r="W15" s="75"/>
      <c r="X15" s="92">
        <f t="shared" si="21"/>
        <v>0</v>
      </c>
      <c r="Y15" s="92"/>
      <c r="Z15" s="92"/>
      <c r="AA15" s="92"/>
      <c r="AB15" s="92">
        <f t="shared" si="22"/>
        <v>0</v>
      </c>
      <c r="AC15" s="93"/>
      <c r="AD15" s="77"/>
      <c r="AE15" s="94">
        <f t="shared" si="1"/>
        <v>0</v>
      </c>
      <c r="AF15" s="77"/>
      <c r="AG15" s="94">
        <f t="shared" si="2"/>
        <v>0</v>
      </c>
      <c r="AH15" s="77"/>
      <c r="AI15" s="94">
        <f t="shared" si="3"/>
        <v>0</v>
      </c>
      <c r="AJ15" s="77"/>
      <c r="AK15" s="94">
        <f t="shared" si="4"/>
        <v>0</v>
      </c>
      <c r="AL15" s="77"/>
      <c r="AM15" s="94">
        <f t="shared" si="5"/>
        <v>0</v>
      </c>
      <c r="AN15" s="77"/>
      <c r="AO15" s="94">
        <f t="shared" si="6"/>
        <v>0</v>
      </c>
      <c r="AP15" s="95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6"/>
      <c r="D16" s="75"/>
      <c r="E16" s="75"/>
      <c r="F16" s="92">
        <f t="shared" si="15"/>
        <v>0</v>
      </c>
      <c r="G16" s="84"/>
      <c r="H16" s="84"/>
      <c r="I16" s="92">
        <f t="shared" si="16"/>
        <v>0</v>
      </c>
      <c r="J16" s="84"/>
      <c r="K16" s="84"/>
      <c r="L16" s="92">
        <f t="shared" si="17"/>
        <v>0</v>
      </c>
      <c r="M16" s="84"/>
      <c r="N16" s="84"/>
      <c r="O16" s="92">
        <f t="shared" si="18"/>
        <v>0</v>
      </c>
      <c r="P16" s="75"/>
      <c r="Q16" s="75"/>
      <c r="R16" s="92">
        <f t="shared" si="19"/>
        <v>0</v>
      </c>
      <c r="S16" s="75"/>
      <c r="T16" s="75"/>
      <c r="U16" s="92">
        <f t="shared" si="20"/>
        <v>0</v>
      </c>
      <c r="V16" s="84"/>
      <c r="W16" s="84"/>
      <c r="X16" s="92">
        <f t="shared" si="21"/>
        <v>0</v>
      </c>
      <c r="Y16" s="92"/>
      <c r="Z16" s="92"/>
      <c r="AA16" s="92"/>
      <c r="AB16" s="92">
        <f t="shared" si="22"/>
        <v>0</v>
      </c>
      <c r="AC16" s="93"/>
      <c r="AD16" s="77"/>
      <c r="AE16" s="94">
        <f t="shared" si="1"/>
        <v>0</v>
      </c>
      <c r="AF16" s="77"/>
      <c r="AG16" s="94">
        <f t="shared" si="2"/>
        <v>0</v>
      </c>
      <c r="AH16" s="77"/>
      <c r="AI16" s="94">
        <f t="shared" si="3"/>
        <v>0</v>
      </c>
      <c r="AJ16" s="77"/>
      <c r="AK16" s="94">
        <f t="shared" si="4"/>
        <v>0</v>
      </c>
      <c r="AL16" s="77"/>
      <c r="AM16" s="94">
        <f t="shared" si="5"/>
        <v>0</v>
      </c>
      <c r="AN16" s="77"/>
      <c r="AO16" s="94">
        <f t="shared" si="6"/>
        <v>0</v>
      </c>
      <c r="AP16" s="95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6"/>
      <c r="D17" s="75"/>
      <c r="E17" s="75"/>
      <c r="F17" s="92">
        <f t="shared" si="15"/>
        <v>0</v>
      </c>
      <c r="G17" s="75"/>
      <c r="H17" s="75"/>
      <c r="I17" s="92">
        <f t="shared" si="16"/>
        <v>0</v>
      </c>
      <c r="J17" s="75"/>
      <c r="K17" s="75"/>
      <c r="L17" s="92">
        <f t="shared" si="17"/>
        <v>0</v>
      </c>
      <c r="M17" s="75"/>
      <c r="N17" s="75"/>
      <c r="O17" s="92">
        <f t="shared" si="18"/>
        <v>0</v>
      </c>
      <c r="P17" s="75"/>
      <c r="Q17" s="75"/>
      <c r="R17" s="92">
        <f t="shared" si="19"/>
        <v>0</v>
      </c>
      <c r="S17" s="84"/>
      <c r="T17" s="84"/>
      <c r="U17" s="92">
        <f t="shared" si="20"/>
        <v>0</v>
      </c>
      <c r="V17" s="75"/>
      <c r="W17" s="75"/>
      <c r="X17" s="92">
        <f t="shared" si="21"/>
        <v>0</v>
      </c>
      <c r="Y17" s="92"/>
      <c r="Z17" s="92"/>
      <c r="AA17" s="92"/>
      <c r="AB17" s="92">
        <f t="shared" si="22"/>
        <v>0</v>
      </c>
      <c r="AC17" s="93"/>
      <c r="AD17" s="77"/>
      <c r="AE17" s="94">
        <f t="shared" si="1"/>
        <v>0</v>
      </c>
      <c r="AF17" s="77"/>
      <c r="AG17" s="94">
        <f t="shared" si="2"/>
        <v>0</v>
      </c>
      <c r="AH17" s="77"/>
      <c r="AI17" s="94">
        <f t="shared" si="3"/>
        <v>0</v>
      </c>
      <c r="AJ17" s="77"/>
      <c r="AK17" s="94">
        <f t="shared" si="4"/>
        <v>0</v>
      </c>
      <c r="AL17" s="77"/>
      <c r="AM17" s="94">
        <f t="shared" si="5"/>
        <v>0</v>
      </c>
      <c r="AN17" s="77"/>
      <c r="AO17" s="94">
        <f t="shared" si="6"/>
        <v>0</v>
      </c>
      <c r="AP17" s="95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2">
        <f t="shared" si="15"/>
        <v>0</v>
      </c>
      <c r="G18" s="75"/>
      <c r="H18" s="75"/>
      <c r="I18" s="92">
        <f t="shared" si="16"/>
        <v>0</v>
      </c>
      <c r="J18" s="75"/>
      <c r="K18" s="75"/>
      <c r="L18" s="92">
        <f t="shared" si="17"/>
        <v>0</v>
      </c>
      <c r="M18" s="75"/>
      <c r="N18" s="75"/>
      <c r="O18" s="92">
        <f t="shared" si="18"/>
        <v>0</v>
      </c>
      <c r="P18" s="75"/>
      <c r="Q18" s="75"/>
      <c r="R18" s="92">
        <f t="shared" si="19"/>
        <v>0</v>
      </c>
      <c r="S18" s="75"/>
      <c r="T18" s="75"/>
      <c r="U18" s="92">
        <f t="shared" si="20"/>
        <v>0</v>
      </c>
      <c r="V18" s="75"/>
      <c r="W18" s="75"/>
      <c r="X18" s="92">
        <f t="shared" si="21"/>
        <v>0</v>
      </c>
      <c r="Y18" s="92"/>
      <c r="Z18" s="92"/>
      <c r="AA18" s="92"/>
      <c r="AB18" s="92">
        <f t="shared" si="22"/>
        <v>0</v>
      </c>
      <c r="AC18" s="93"/>
      <c r="AD18" s="77"/>
      <c r="AE18" s="94">
        <f t="shared" si="1"/>
        <v>0</v>
      </c>
      <c r="AF18" s="77"/>
      <c r="AG18" s="94">
        <f t="shared" si="2"/>
        <v>0</v>
      </c>
      <c r="AH18" s="77"/>
      <c r="AI18" s="94">
        <f t="shared" si="3"/>
        <v>0</v>
      </c>
      <c r="AJ18" s="77"/>
      <c r="AK18" s="94">
        <f t="shared" si="4"/>
        <v>0</v>
      </c>
      <c r="AL18" s="77"/>
      <c r="AM18" s="94">
        <f t="shared" si="5"/>
        <v>0</v>
      </c>
      <c r="AN18" s="77"/>
      <c r="AO18" s="94">
        <f t="shared" si="6"/>
        <v>0</v>
      </c>
      <c r="AP18" s="95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2">
        <f t="shared" si="15"/>
        <v>0</v>
      </c>
      <c r="G19" s="75"/>
      <c r="H19" s="75"/>
      <c r="I19" s="92">
        <f t="shared" si="16"/>
        <v>0</v>
      </c>
      <c r="J19" s="75"/>
      <c r="K19" s="75"/>
      <c r="L19" s="92">
        <f t="shared" si="17"/>
        <v>0</v>
      </c>
      <c r="M19" s="75"/>
      <c r="N19" s="75"/>
      <c r="O19" s="92">
        <f t="shared" si="18"/>
        <v>0</v>
      </c>
      <c r="P19" s="75"/>
      <c r="Q19" s="75"/>
      <c r="R19" s="92">
        <f t="shared" si="19"/>
        <v>0</v>
      </c>
      <c r="S19" s="75"/>
      <c r="T19" s="75"/>
      <c r="U19" s="92">
        <f t="shared" si="20"/>
        <v>0</v>
      </c>
      <c r="V19" s="75"/>
      <c r="W19" s="75"/>
      <c r="X19" s="92">
        <f t="shared" si="21"/>
        <v>0</v>
      </c>
      <c r="Y19" s="92"/>
      <c r="Z19" s="92"/>
      <c r="AA19" s="92"/>
      <c r="AB19" s="92">
        <f t="shared" si="22"/>
        <v>0</v>
      </c>
      <c r="AC19" s="93"/>
      <c r="AD19" s="77"/>
      <c r="AE19" s="94">
        <f t="shared" si="1"/>
        <v>0</v>
      </c>
      <c r="AF19" s="77"/>
      <c r="AG19" s="94">
        <f t="shared" si="2"/>
        <v>0</v>
      </c>
      <c r="AH19" s="77"/>
      <c r="AI19" s="94">
        <f t="shared" si="3"/>
        <v>0</v>
      </c>
      <c r="AJ19" s="77"/>
      <c r="AK19" s="94">
        <f t="shared" si="4"/>
        <v>0</v>
      </c>
      <c r="AL19" s="77"/>
      <c r="AM19" s="94">
        <f t="shared" si="5"/>
        <v>0</v>
      </c>
      <c r="AN19" s="77"/>
      <c r="AO19" s="94">
        <f t="shared" si="6"/>
        <v>0</v>
      </c>
      <c r="AP19" s="95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2">
        <f t="shared" si="15"/>
        <v>0</v>
      </c>
      <c r="G20" s="75"/>
      <c r="H20" s="75"/>
      <c r="I20" s="92">
        <f t="shared" si="16"/>
        <v>0</v>
      </c>
      <c r="J20" s="75"/>
      <c r="K20" s="75"/>
      <c r="L20" s="92">
        <f t="shared" si="17"/>
        <v>0</v>
      </c>
      <c r="M20" s="75"/>
      <c r="N20" s="75"/>
      <c r="O20" s="92">
        <f t="shared" si="18"/>
        <v>0</v>
      </c>
      <c r="P20" s="75"/>
      <c r="Q20" s="75"/>
      <c r="R20" s="92">
        <f t="shared" si="19"/>
        <v>0</v>
      </c>
      <c r="S20" s="75"/>
      <c r="T20" s="75"/>
      <c r="U20" s="92">
        <f t="shared" si="20"/>
        <v>0</v>
      </c>
      <c r="V20" s="75"/>
      <c r="W20" s="75"/>
      <c r="X20" s="92">
        <f t="shared" si="21"/>
        <v>0</v>
      </c>
      <c r="Y20" s="92"/>
      <c r="Z20" s="92"/>
      <c r="AA20" s="92"/>
      <c r="AB20" s="92">
        <f t="shared" si="22"/>
        <v>0</v>
      </c>
      <c r="AC20" s="93"/>
      <c r="AD20" s="77"/>
      <c r="AE20" s="94">
        <f t="shared" si="1"/>
        <v>0</v>
      </c>
      <c r="AF20" s="77"/>
      <c r="AG20" s="94">
        <f t="shared" si="2"/>
        <v>0</v>
      </c>
      <c r="AH20" s="77"/>
      <c r="AI20" s="94">
        <f t="shared" si="3"/>
        <v>0</v>
      </c>
      <c r="AJ20" s="77"/>
      <c r="AK20" s="94">
        <f t="shared" si="4"/>
        <v>0</v>
      </c>
      <c r="AL20" s="77"/>
      <c r="AM20" s="94">
        <f t="shared" si="5"/>
        <v>0</v>
      </c>
      <c r="AN20" s="77"/>
      <c r="AO20" s="94">
        <f t="shared" si="6"/>
        <v>0</v>
      </c>
      <c r="AP20" s="95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2">
        <f t="shared" ref="F21:F29" si="59">BA21-BB21</f>
        <v>0</v>
      </c>
      <c r="G21" s="75"/>
      <c r="H21" s="75"/>
      <c r="I21" s="92">
        <f t="shared" ref="I21:I29" si="60">BF21-BG21</f>
        <v>0</v>
      </c>
      <c r="J21" s="75"/>
      <c r="K21" s="75"/>
      <c r="L21" s="92">
        <f t="shared" ref="L21:L29" si="61">BK21-BL21</f>
        <v>0</v>
      </c>
      <c r="M21" s="75"/>
      <c r="N21" s="75"/>
      <c r="O21" s="92">
        <f t="shared" ref="O21:O29" si="62">BP21-BQ21</f>
        <v>0</v>
      </c>
      <c r="P21" s="75"/>
      <c r="Q21" s="75"/>
      <c r="R21" s="92">
        <f t="shared" ref="R21:R29" si="63">BU21-BV21</f>
        <v>0</v>
      </c>
      <c r="S21" s="75"/>
      <c r="T21" s="75"/>
      <c r="U21" s="92">
        <f t="shared" ref="U21:U29" si="64">BZ21-CA21</f>
        <v>0</v>
      </c>
      <c r="V21" s="75"/>
      <c r="W21" s="75"/>
      <c r="X21" s="92">
        <f t="shared" ref="X21:X29" si="65">CE21-CF21</f>
        <v>0</v>
      </c>
      <c r="Y21" s="92"/>
      <c r="Z21" s="92"/>
      <c r="AA21" s="92"/>
      <c r="AB21" s="92">
        <f t="shared" ref="AB21:AB29" si="66">SUM(F21,I21,L21,O21,R21,U21,X21)</f>
        <v>0</v>
      </c>
      <c r="AC21" s="93"/>
      <c r="AD21" s="77"/>
      <c r="AE21" s="94">
        <f t="shared" ref="AE21:AE29" si="67">SUMIF($BC$1:$CI$1,AE$1,$BC21:$CI21)+AD21</f>
        <v>0</v>
      </c>
      <c r="AF21" s="77"/>
      <c r="AG21" s="94">
        <f t="shared" ref="AG21:AG29" si="68">SUMIF($BC$1:$CI$1,AG$1,$BC21:$CI21)+AF21</f>
        <v>0</v>
      </c>
      <c r="AH21" s="77"/>
      <c r="AI21" s="94">
        <f t="shared" ref="AI21:AI29" si="69">SUMIF($BC$1:$CI$1,AI$1,$BC21:$CI21)+AH21</f>
        <v>0</v>
      </c>
      <c r="AJ21" s="77"/>
      <c r="AK21" s="94">
        <f t="shared" ref="AK21:AK29" si="70">SUMIF($BC$1:$CI$1,AK$1,$BC21:$CI21)+AJ21</f>
        <v>0</v>
      </c>
      <c r="AL21" s="77"/>
      <c r="AM21" s="94">
        <f t="shared" ref="AM21:AM29" si="71">SUMIF($BC$1:$CI$1,AM$1,$BC21:$CI21)+AL21</f>
        <v>0</v>
      </c>
      <c r="AN21" s="77"/>
      <c r="AO21" s="94">
        <f t="shared" ref="AO21:AO29" si="72">SUMIF($BC$1:$CI$1,AO$1,$BC21:$CI21)+AN21</f>
        <v>0</v>
      </c>
      <c r="AP21" s="95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2">
        <f t="shared" si="59"/>
        <v>0</v>
      </c>
      <c r="G22" s="75"/>
      <c r="H22" s="75"/>
      <c r="I22" s="92">
        <f t="shared" si="60"/>
        <v>0</v>
      </c>
      <c r="J22" s="75"/>
      <c r="K22" s="75"/>
      <c r="L22" s="92">
        <f t="shared" si="61"/>
        <v>0</v>
      </c>
      <c r="M22" s="75"/>
      <c r="N22" s="75"/>
      <c r="O22" s="92">
        <f t="shared" si="62"/>
        <v>0</v>
      </c>
      <c r="P22" s="75"/>
      <c r="Q22" s="75"/>
      <c r="R22" s="92">
        <f t="shared" si="63"/>
        <v>0</v>
      </c>
      <c r="S22" s="75"/>
      <c r="T22" s="75"/>
      <c r="U22" s="92">
        <f t="shared" si="64"/>
        <v>0</v>
      </c>
      <c r="V22" s="75"/>
      <c r="W22" s="75"/>
      <c r="X22" s="92">
        <f t="shared" si="65"/>
        <v>0</v>
      </c>
      <c r="Y22" s="92"/>
      <c r="Z22" s="92"/>
      <c r="AA22" s="92"/>
      <c r="AB22" s="92">
        <f t="shared" si="66"/>
        <v>0</v>
      </c>
      <c r="AC22" s="93"/>
      <c r="AD22" s="77"/>
      <c r="AE22" s="94">
        <f t="shared" si="67"/>
        <v>0</v>
      </c>
      <c r="AF22" s="77"/>
      <c r="AG22" s="94">
        <f t="shared" si="68"/>
        <v>0</v>
      </c>
      <c r="AH22" s="77"/>
      <c r="AI22" s="94">
        <f t="shared" si="69"/>
        <v>0</v>
      </c>
      <c r="AJ22" s="77"/>
      <c r="AK22" s="94">
        <f t="shared" si="70"/>
        <v>0</v>
      </c>
      <c r="AL22" s="77"/>
      <c r="AM22" s="94">
        <f t="shared" si="71"/>
        <v>0</v>
      </c>
      <c r="AN22" s="77"/>
      <c r="AO22" s="94">
        <f t="shared" si="72"/>
        <v>0</v>
      </c>
      <c r="AP22" s="95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2">
        <f t="shared" si="59"/>
        <v>0</v>
      </c>
      <c r="G23" s="75"/>
      <c r="H23" s="75"/>
      <c r="I23" s="92">
        <f t="shared" si="60"/>
        <v>0</v>
      </c>
      <c r="J23" s="76"/>
      <c r="K23" s="75"/>
      <c r="L23" s="92">
        <f t="shared" si="61"/>
        <v>0</v>
      </c>
      <c r="M23" s="75"/>
      <c r="N23" s="75"/>
      <c r="O23" s="92">
        <f t="shared" si="62"/>
        <v>0</v>
      </c>
      <c r="P23" s="75"/>
      <c r="Q23" s="75"/>
      <c r="R23" s="92">
        <f t="shared" si="63"/>
        <v>0</v>
      </c>
      <c r="S23" s="75"/>
      <c r="T23" s="75"/>
      <c r="U23" s="92">
        <f t="shared" si="64"/>
        <v>0</v>
      </c>
      <c r="V23" s="75"/>
      <c r="W23" s="75"/>
      <c r="X23" s="92">
        <f t="shared" si="65"/>
        <v>0</v>
      </c>
      <c r="Y23" s="92"/>
      <c r="Z23" s="92"/>
      <c r="AA23" s="92"/>
      <c r="AB23" s="92">
        <f t="shared" si="66"/>
        <v>0</v>
      </c>
      <c r="AC23" s="93"/>
      <c r="AD23" s="77"/>
      <c r="AE23" s="94">
        <f t="shared" si="67"/>
        <v>0</v>
      </c>
      <c r="AF23" s="77"/>
      <c r="AG23" s="94">
        <f t="shared" si="68"/>
        <v>0</v>
      </c>
      <c r="AH23" s="77"/>
      <c r="AI23" s="94">
        <f t="shared" si="69"/>
        <v>0</v>
      </c>
      <c r="AJ23" s="77"/>
      <c r="AK23" s="94">
        <f t="shared" si="70"/>
        <v>0</v>
      </c>
      <c r="AL23" s="77"/>
      <c r="AM23" s="94">
        <f t="shared" si="71"/>
        <v>0</v>
      </c>
      <c r="AN23" s="77"/>
      <c r="AO23" s="94">
        <f t="shared" si="72"/>
        <v>0</v>
      </c>
      <c r="AP23" s="95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2">
        <f t="shared" si="59"/>
        <v>0</v>
      </c>
      <c r="G24" s="75"/>
      <c r="H24" s="75"/>
      <c r="I24" s="92">
        <f t="shared" si="60"/>
        <v>0</v>
      </c>
      <c r="J24" s="76"/>
      <c r="K24" s="75"/>
      <c r="L24" s="92">
        <f t="shared" si="61"/>
        <v>0</v>
      </c>
      <c r="M24" s="75"/>
      <c r="N24" s="75"/>
      <c r="O24" s="92">
        <f t="shared" si="62"/>
        <v>0</v>
      </c>
      <c r="P24" s="75"/>
      <c r="Q24" s="75"/>
      <c r="R24" s="92">
        <f t="shared" si="63"/>
        <v>0</v>
      </c>
      <c r="S24" s="75"/>
      <c r="T24" s="75"/>
      <c r="U24" s="92">
        <f t="shared" si="64"/>
        <v>0</v>
      </c>
      <c r="V24" s="75"/>
      <c r="W24" s="75"/>
      <c r="X24" s="92">
        <f t="shared" si="65"/>
        <v>0</v>
      </c>
      <c r="Y24" s="92"/>
      <c r="Z24" s="92"/>
      <c r="AA24" s="92"/>
      <c r="AB24" s="92">
        <f t="shared" si="66"/>
        <v>0</v>
      </c>
      <c r="AC24" s="93"/>
      <c r="AD24" s="77"/>
      <c r="AE24" s="94">
        <f t="shared" si="67"/>
        <v>0</v>
      </c>
      <c r="AF24" s="77"/>
      <c r="AG24" s="94">
        <f t="shared" si="68"/>
        <v>0</v>
      </c>
      <c r="AH24" s="77"/>
      <c r="AI24" s="94">
        <f t="shared" si="69"/>
        <v>0</v>
      </c>
      <c r="AJ24" s="77"/>
      <c r="AK24" s="94">
        <f t="shared" si="70"/>
        <v>0</v>
      </c>
      <c r="AL24" s="77"/>
      <c r="AM24" s="94">
        <f t="shared" si="71"/>
        <v>0</v>
      </c>
      <c r="AN24" s="77"/>
      <c r="AO24" s="94">
        <f t="shared" si="72"/>
        <v>0</v>
      </c>
      <c r="AP24" s="95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2">
        <f t="shared" si="59"/>
        <v>0</v>
      </c>
      <c r="G25" s="75"/>
      <c r="H25" s="75"/>
      <c r="I25" s="92">
        <f t="shared" si="60"/>
        <v>0</v>
      </c>
      <c r="J25" s="76"/>
      <c r="K25" s="75"/>
      <c r="L25" s="92">
        <f t="shared" si="61"/>
        <v>0</v>
      </c>
      <c r="M25" s="75"/>
      <c r="N25" s="75"/>
      <c r="O25" s="92">
        <f t="shared" si="62"/>
        <v>0</v>
      </c>
      <c r="P25" s="75"/>
      <c r="Q25" s="75"/>
      <c r="R25" s="92">
        <f t="shared" si="63"/>
        <v>0</v>
      </c>
      <c r="S25" s="75"/>
      <c r="T25" s="75"/>
      <c r="U25" s="92">
        <f t="shared" si="64"/>
        <v>0</v>
      </c>
      <c r="V25" s="75"/>
      <c r="W25" s="75"/>
      <c r="X25" s="92">
        <f t="shared" si="65"/>
        <v>0</v>
      </c>
      <c r="Y25" s="92"/>
      <c r="Z25" s="92"/>
      <c r="AA25" s="92"/>
      <c r="AB25" s="92">
        <f t="shared" si="66"/>
        <v>0</v>
      </c>
      <c r="AC25" s="93"/>
      <c r="AD25" s="77"/>
      <c r="AE25" s="94">
        <f t="shared" si="67"/>
        <v>0</v>
      </c>
      <c r="AF25" s="77"/>
      <c r="AG25" s="94">
        <f t="shared" si="68"/>
        <v>0</v>
      </c>
      <c r="AH25" s="77"/>
      <c r="AI25" s="94">
        <f t="shared" si="69"/>
        <v>0</v>
      </c>
      <c r="AJ25" s="77"/>
      <c r="AK25" s="94">
        <f t="shared" si="70"/>
        <v>0</v>
      </c>
      <c r="AL25" s="77"/>
      <c r="AM25" s="94">
        <f t="shared" si="71"/>
        <v>0</v>
      </c>
      <c r="AN25" s="77"/>
      <c r="AO25" s="94">
        <f t="shared" si="72"/>
        <v>0</v>
      </c>
      <c r="AP25" s="95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2">
        <f t="shared" si="59"/>
        <v>0</v>
      </c>
      <c r="G26" s="75"/>
      <c r="H26" s="75"/>
      <c r="I26" s="92">
        <f t="shared" si="60"/>
        <v>0</v>
      </c>
      <c r="J26" s="76"/>
      <c r="K26" s="75"/>
      <c r="L26" s="92">
        <f t="shared" si="61"/>
        <v>0</v>
      </c>
      <c r="M26" s="75"/>
      <c r="N26" s="75"/>
      <c r="O26" s="92">
        <f t="shared" si="62"/>
        <v>0</v>
      </c>
      <c r="P26" s="75"/>
      <c r="Q26" s="75"/>
      <c r="R26" s="92">
        <f t="shared" si="63"/>
        <v>0</v>
      </c>
      <c r="S26" s="75"/>
      <c r="T26" s="75"/>
      <c r="U26" s="92">
        <f t="shared" si="64"/>
        <v>0</v>
      </c>
      <c r="V26" s="75"/>
      <c r="W26" s="75"/>
      <c r="X26" s="92">
        <f t="shared" si="65"/>
        <v>0</v>
      </c>
      <c r="Y26" s="92"/>
      <c r="Z26" s="92"/>
      <c r="AA26" s="92"/>
      <c r="AB26" s="92">
        <f t="shared" si="66"/>
        <v>0</v>
      </c>
      <c r="AC26" s="93"/>
      <c r="AD26" s="77"/>
      <c r="AE26" s="94">
        <f t="shared" si="67"/>
        <v>0</v>
      </c>
      <c r="AF26" s="77"/>
      <c r="AG26" s="94">
        <f t="shared" si="68"/>
        <v>0</v>
      </c>
      <c r="AH26" s="77"/>
      <c r="AI26" s="94">
        <f t="shared" si="69"/>
        <v>0</v>
      </c>
      <c r="AJ26" s="77"/>
      <c r="AK26" s="94">
        <f t="shared" si="70"/>
        <v>0</v>
      </c>
      <c r="AL26" s="77"/>
      <c r="AM26" s="94">
        <f t="shared" si="71"/>
        <v>0</v>
      </c>
      <c r="AN26" s="77"/>
      <c r="AO26" s="94">
        <f t="shared" si="72"/>
        <v>0</v>
      </c>
      <c r="AP26" s="95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2">
        <f t="shared" si="59"/>
        <v>0</v>
      </c>
      <c r="G27" s="75"/>
      <c r="H27" s="75"/>
      <c r="I27" s="92">
        <f t="shared" si="60"/>
        <v>0</v>
      </c>
      <c r="J27" s="76"/>
      <c r="K27" s="75"/>
      <c r="L27" s="92">
        <f t="shared" si="61"/>
        <v>0</v>
      </c>
      <c r="M27" s="75"/>
      <c r="N27" s="75"/>
      <c r="O27" s="92">
        <f t="shared" si="62"/>
        <v>0</v>
      </c>
      <c r="P27" s="75"/>
      <c r="Q27" s="75"/>
      <c r="R27" s="92">
        <f t="shared" si="63"/>
        <v>0</v>
      </c>
      <c r="S27" s="75"/>
      <c r="T27" s="75"/>
      <c r="U27" s="92">
        <f t="shared" si="64"/>
        <v>0</v>
      </c>
      <c r="V27" s="75"/>
      <c r="W27" s="75"/>
      <c r="X27" s="92">
        <f t="shared" si="65"/>
        <v>0</v>
      </c>
      <c r="Y27" s="92"/>
      <c r="Z27" s="92"/>
      <c r="AA27" s="92"/>
      <c r="AB27" s="92">
        <f t="shared" si="66"/>
        <v>0</v>
      </c>
      <c r="AC27" s="93"/>
      <c r="AD27" s="77"/>
      <c r="AE27" s="94">
        <f t="shared" si="67"/>
        <v>0</v>
      </c>
      <c r="AF27" s="77"/>
      <c r="AG27" s="94">
        <f t="shared" si="68"/>
        <v>0</v>
      </c>
      <c r="AH27" s="77"/>
      <c r="AI27" s="94">
        <f t="shared" si="69"/>
        <v>0</v>
      </c>
      <c r="AJ27" s="77"/>
      <c r="AK27" s="94">
        <f t="shared" si="70"/>
        <v>0</v>
      </c>
      <c r="AL27" s="77"/>
      <c r="AM27" s="94">
        <f t="shared" si="71"/>
        <v>0</v>
      </c>
      <c r="AN27" s="77"/>
      <c r="AO27" s="94">
        <f t="shared" si="72"/>
        <v>0</v>
      </c>
      <c r="AP27" s="95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2">
        <f t="shared" si="59"/>
        <v>0</v>
      </c>
      <c r="G28" s="75"/>
      <c r="H28" s="75"/>
      <c r="I28" s="92">
        <f t="shared" si="60"/>
        <v>0</v>
      </c>
      <c r="J28" s="76"/>
      <c r="K28" s="75"/>
      <c r="L28" s="92">
        <f t="shared" si="61"/>
        <v>0</v>
      </c>
      <c r="M28" s="75"/>
      <c r="N28" s="75"/>
      <c r="O28" s="92">
        <f t="shared" si="62"/>
        <v>0</v>
      </c>
      <c r="P28" s="75"/>
      <c r="Q28" s="75"/>
      <c r="R28" s="92">
        <f t="shared" si="63"/>
        <v>0</v>
      </c>
      <c r="S28" s="75"/>
      <c r="T28" s="75"/>
      <c r="U28" s="92">
        <f t="shared" si="64"/>
        <v>0</v>
      </c>
      <c r="V28" s="75"/>
      <c r="W28" s="75"/>
      <c r="X28" s="92">
        <f t="shared" si="65"/>
        <v>0</v>
      </c>
      <c r="Y28" s="92"/>
      <c r="Z28" s="92"/>
      <c r="AA28" s="92"/>
      <c r="AB28" s="92">
        <f t="shared" si="66"/>
        <v>0</v>
      </c>
      <c r="AC28" s="93"/>
      <c r="AD28" s="77"/>
      <c r="AE28" s="94">
        <f t="shared" si="67"/>
        <v>0</v>
      </c>
      <c r="AF28" s="77"/>
      <c r="AG28" s="94">
        <f t="shared" si="68"/>
        <v>0</v>
      </c>
      <c r="AH28" s="77"/>
      <c r="AI28" s="94">
        <f t="shared" si="69"/>
        <v>0</v>
      </c>
      <c r="AJ28" s="77"/>
      <c r="AK28" s="94">
        <f t="shared" si="70"/>
        <v>0</v>
      </c>
      <c r="AL28" s="77"/>
      <c r="AM28" s="94">
        <f t="shared" si="71"/>
        <v>0</v>
      </c>
      <c r="AN28" s="77"/>
      <c r="AO28" s="94">
        <f t="shared" si="72"/>
        <v>0</v>
      </c>
      <c r="AP28" s="95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2">
        <f t="shared" si="59"/>
        <v>0</v>
      </c>
      <c r="G29" s="75"/>
      <c r="H29" s="75"/>
      <c r="I29" s="92">
        <f t="shared" si="60"/>
        <v>0</v>
      </c>
      <c r="J29" s="76"/>
      <c r="K29" s="75"/>
      <c r="L29" s="92">
        <f t="shared" si="61"/>
        <v>0</v>
      </c>
      <c r="M29" s="75"/>
      <c r="N29" s="75"/>
      <c r="O29" s="92">
        <f t="shared" si="62"/>
        <v>0</v>
      </c>
      <c r="P29" s="75"/>
      <c r="Q29" s="75"/>
      <c r="R29" s="92">
        <f t="shared" si="63"/>
        <v>0</v>
      </c>
      <c r="S29" s="75"/>
      <c r="T29" s="75"/>
      <c r="U29" s="92">
        <f t="shared" si="64"/>
        <v>0</v>
      </c>
      <c r="V29" s="75"/>
      <c r="W29" s="75"/>
      <c r="X29" s="92">
        <f t="shared" si="65"/>
        <v>0</v>
      </c>
      <c r="Y29" s="92"/>
      <c r="Z29" s="92"/>
      <c r="AA29" s="92"/>
      <c r="AB29" s="92">
        <f t="shared" si="66"/>
        <v>0</v>
      </c>
      <c r="AC29" s="93"/>
      <c r="AD29" s="77"/>
      <c r="AE29" s="94">
        <f t="shared" si="67"/>
        <v>0</v>
      </c>
      <c r="AF29" s="77"/>
      <c r="AG29" s="94">
        <f t="shared" si="68"/>
        <v>0</v>
      </c>
      <c r="AH29" s="77"/>
      <c r="AI29" s="94">
        <f t="shared" si="69"/>
        <v>0</v>
      </c>
      <c r="AJ29" s="77"/>
      <c r="AK29" s="94">
        <f t="shared" si="70"/>
        <v>0</v>
      </c>
      <c r="AL29" s="77"/>
      <c r="AM29" s="94">
        <f t="shared" si="71"/>
        <v>0</v>
      </c>
      <c r="AN29" s="77"/>
      <c r="AO29" s="94">
        <f t="shared" si="72"/>
        <v>0</v>
      </c>
      <c r="AP29" s="95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2">
        <f t="shared" si="15"/>
        <v>0</v>
      </c>
      <c r="G30" s="75"/>
      <c r="H30" s="75"/>
      <c r="I30" s="92">
        <f t="shared" si="16"/>
        <v>0</v>
      </c>
      <c r="J30" s="76"/>
      <c r="K30" s="75"/>
      <c r="L30" s="92">
        <f t="shared" si="17"/>
        <v>0</v>
      </c>
      <c r="M30" s="75"/>
      <c r="N30" s="75"/>
      <c r="O30" s="92">
        <f t="shared" si="18"/>
        <v>0</v>
      </c>
      <c r="P30" s="75"/>
      <c r="Q30" s="75"/>
      <c r="R30" s="92">
        <f t="shared" si="19"/>
        <v>0</v>
      </c>
      <c r="S30" s="75"/>
      <c r="T30" s="75"/>
      <c r="U30" s="92">
        <f t="shared" si="20"/>
        <v>0</v>
      </c>
      <c r="V30" s="75"/>
      <c r="W30" s="75"/>
      <c r="X30" s="92">
        <f t="shared" si="21"/>
        <v>0</v>
      </c>
      <c r="Y30" s="92"/>
      <c r="Z30" s="92"/>
      <c r="AA30" s="92"/>
      <c r="AB30" s="92">
        <f t="shared" si="22"/>
        <v>0</v>
      </c>
      <c r="AC30" s="93"/>
      <c r="AD30" s="77"/>
      <c r="AE30" s="94">
        <f t="shared" si="1"/>
        <v>0</v>
      </c>
      <c r="AF30" s="77"/>
      <c r="AG30" s="94">
        <f t="shared" si="2"/>
        <v>0</v>
      </c>
      <c r="AH30" s="77"/>
      <c r="AI30" s="94">
        <f t="shared" si="3"/>
        <v>0</v>
      </c>
      <c r="AJ30" s="77"/>
      <c r="AK30" s="94">
        <f t="shared" si="4"/>
        <v>0</v>
      </c>
      <c r="AL30" s="77"/>
      <c r="AM30" s="94">
        <f t="shared" si="5"/>
        <v>0</v>
      </c>
      <c r="AN30" s="77"/>
      <c r="AO30" s="94">
        <f t="shared" si="6"/>
        <v>0</v>
      </c>
      <c r="AP30" s="95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2">
        <f t="shared" si="15"/>
        <v>0</v>
      </c>
      <c r="G31" s="75"/>
      <c r="H31" s="75"/>
      <c r="I31" s="92">
        <f t="shared" si="16"/>
        <v>0</v>
      </c>
      <c r="J31" s="76"/>
      <c r="K31" s="75"/>
      <c r="L31" s="92">
        <f t="shared" si="17"/>
        <v>0</v>
      </c>
      <c r="M31" s="75"/>
      <c r="N31" s="75"/>
      <c r="O31" s="92">
        <f t="shared" si="18"/>
        <v>0</v>
      </c>
      <c r="P31" s="75"/>
      <c r="Q31" s="75"/>
      <c r="R31" s="92">
        <f t="shared" si="19"/>
        <v>0</v>
      </c>
      <c r="S31" s="75"/>
      <c r="T31" s="75"/>
      <c r="U31" s="92">
        <f t="shared" si="20"/>
        <v>0</v>
      </c>
      <c r="V31" s="75"/>
      <c r="W31" s="75"/>
      <c r="X31" s="92">
        <f t="shared" si="21"/>
        <v>0</v>
      </c>
      <c r="Y31" s="92"/>
      <c r="Z31" s="92"/>
      <c r="AA31" s="92"/>
      <c r="AB31" s="92">
        <f t="shared" si="22"/>
        <v>0</v>
      </c>
      <c r="AC31" s="93"/>
      <c r="AD31" s="77"/>
      <c r="AE31" s="94">
        <f t="shared" si="1"/>
        <v>0</v>
      </c>
      <c r="AF31" s="77"/>
      <c r="AG31" s="94">
        <f t="shared" si="2"/>
        <v>0</v>
      </c>
      <c r="AH31" s="77"/>
      <c r="AI31" s="94">
        <f t="shared" si="3"/>
        <v>0</v>
      </c>
      <c r="AJ31" s="77"/>
      <c r="AK31" s="94">
        <f t="shared" si="4"/>
        <v>0</v>
      </c>
      <c r="AL31" s="77"/>
      <c r="AM31" s="94">
        <f t="shared" si="5"/>
        <v>0</v>
      </c>
      <c r="AN31" s="77"/>
      <c r="AO31" s="94">
        <f t="shared" si="6"/>
        <v>0</v>
      </c>
      <c r="AP31" s="95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2">
        <f t="shared" si="15"/>
        <v>0</v>
      </c>
      <c r="G32" s="75"/>
      <c r="H32" s="75"/>
      <c r="I32" s="92">
        <f t="shared" si="16"/>
        <v>0</v>
      </c>
      <c r="J32" s="76"/>
      <c r="K32" s="75"/>
      <c r="L32" s="92">
        <f t="shared" si="17"/>
        <v>0</v>
      </c>
      <c r="M32" s="75"/>
      <c r="N32" s="75"/>
      <c r="O32" s="92">
        <f t="shared" si="18"/>
        <v>0</v>
      </c>
      <c r="P32" s="75"/>
      <c r="Q32" s="75"/>
      <c r="R32" s="92">
        <f t="shared" si="19"/>
        <v>0</v>
      </c>
      <c r="S32" s="75"/>
      <c r="T32" s="75"/>
      <c r="U32" s="92">
        <f t="shared" si="20"/>
        <v>0</v>
      </c>
      <c r="V32" s="75"/>
      <c r="W32" s="75"/>
      <c r="X32" s="92">
        <f t="shared" si="21"/>
        <v>0</v>
      </c>
      <c r="Y32" s="92"/>
      <c r="Z32" s="92"/>
      <c r="AA32" s="92"/>
      <c r="AB32" s="92">
        <f t="shared" si="22"/>
        <v>0</v>
      </c>
      <c r="AC32" s="93"/>
      <c r="AD32" s="77"/>
      <c r="AE32" s="94">
        <f t="shared" si="1"/>
        <v>0</v>
      </c>
      <c r="AF32" s="77"/>
      <c r="AG32" s="94">
        <f t="shared" si="2"/>
        <v>0</v>
      </c>
      <c r="AH32" s="77"/>
      <c r="AI32" s="94">
        <f t="shared" si="3"/>
        <v>0</v>
      </c>
      <c r="AJ32" s="77"/>
      <c r="AK32" s="94">
        <f t="shared" si="4"/>
        <v>0</v>
      </c>
      <c r="AL32" s="77"/>
      <c r="AM32" s="94">
        <f t="shared" si="5"/>
        <v>0</v>
      </c>
      <c r="AN32" s="77"/>
      <c r="AO32" s="94">
        <f t="shared" si="6"/>
        <v>0</v>
      </c>
      <c r="AP32" s="95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2">
        <f t="shared" si="15"/>
        <v>0</v>
      </c>
      <c r="G33" s="75"/>
      <c r="H33" s="75"/>
      <c r="I33" s="92">
        <f t="shared" si="16"/>
        <v>0</v>
      </c>
      <c r="J33" s="76"/>
      <c r="K33" s="75"/>
      <c r="L33" s="92">
        <f t="shared" si="17"/>
        <v>0</v>
      </c>
      <c r="M33" s="75"/>
      <c r="N33" s="75"/>
      <c r="O33" s="92">
        <f t="shared" si="18"/>
        <v>0</v>
      </c>
      <c r="P33" s="75"/>
      <c r="Q33" s="75"/>
      <c r="R33" s="92">
        <f t="shared" si="19"/>
        <v>0</v>
      </c>
      <c r="S33" s="75"/>
      <c r="T33" s="75"/>
      <c r="U33" s="92">
        <f t="shared" si="20"/>
        <v>0</v>
      </c>
      <c r="V33" s="75"/>
      <c r="W33" s="75"/>
      <c r="X33" s="92">
        <f t="shared" si="21"/>
        <v>0</v>
      </c>
      <c r="Y33" s="92"/>
      <c r="Z33" s="92"/>
      <c r="AA33" s="92"/>
      <c r="AB33" s="92">
        <f t="shared" si="22"/>
        <v>0</v>
      </c>
      <c r="AC33" s="93"/>
      <c r="AD33" s="77"/>
      <c r="AE33" s="94">
        <f t="shared" si="1"/>
        <v>0</v>
      </c>
      <c r="AF33" s="77"/>
      <c r="AG33" s="94">
        <f t="shared" si="2"/>
        <v>0</v>
      </c>
      <c r="AH33" s="77"/>
      <c r="AI33" s="94">
        <f t="shared" si="3"/>
        <v>0</v>
      </c>
      <c r="AJ33" s="77"/>
      <c r="AK33" s="94">
        <f t="shared" si="4"/>
        <v>0</v>
      </c>
      <c r="AL33" s="77"/>
      <c r="AM33" s="94">
        <f t="shared" si="5"/>
        <v>0</v>
      </c>
      <c r="AN33" s="77"/>
      <c r="AO33" s="94">
        <f t="shared" si="6"/>
        <v>0</v>
      </c>
      <c r="AP33" s="95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2">
        <f t="shared" si="15"/>
        <v>0</v>
      </c>
      <c r="G34" s="75"/>
      <c r="H34" s="75"/>
      <c r="I34" s="92">
        <f t="shared" si="16"/>
        <v>0</v>
      </c>
      <c r="J34" s="76"/>
      <c r="K34" s="75"/>
      <c r="L34" s="92">
        <f t="shared" si="17"/>
        <v>0</v>
      </c>
      <c r="M34" s="75"/>
      <c r="N34" s="75"/>
      <c r="O34" s="92">
        <f t="shared" si="18"/>
        <v>0</v>
      </c>
      <c r="P34" s="75"/>
      <c r="Q34" s="75"/>
      <c r="R34" s="92">
        <f t="shared" si="19"/>
        <v>0</v>
      </c>
      <c r="S34" s="75"/>
      <c r="T34" s="75"/>
      <c r="U34" s="92">
        <f t="shared" si="20"/>
        <v>0</v>
      </c>
      <c r="V34" s="75"/>
      <c r="W34" s="75"/>
      <c r="X34" s="92">
        <f t="shared" si="21"/>
        <v>0</v>
      </c>
      <c r="Y34" s="92"/>
      <c r="Z34" s="92"/>
      <c r="AA34" s="92"/>
      <c r="AB34" s="92">
        <f t="shared" si="22"/>
        <v>0</v>
      </c>
      <c r="AC34" s="93"/>
      <c r="AD34" s="77"/>
      <c r="AE34" s="94">
        <f t="shared" si="1"/>
        <v>0</v>
      </c>
      <c r="AF34" s="77"/>
      <c r="AG34" s="94">
        <f t="shared" si="2"/>
        <v>0</v>
      </c>
      <c r="AH34" s="77"/>
      <c r="AI34" s="94">
        <f t="shared" si="3"/>
        <v>0</v>
      </c>
      <c r="AJ34" s="77"/>
      <c r="AK34" s="94">
        <f t="shared" si="4"/>
        <v>0</v>
      </c>
      <c r="AL34" s="77"/>
      <c r="AM34" s="94">
        <f t="shared" si="5"/>
        <v>0</v>
      </c>
      <c r="AN34" s="77"/>
      <c r="AO34" s="94">
        <f t="shared" si="6"/>
        <v>0</v>
      </c>
      <c r="AP34" s="95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2">
        <f t="shared" si="15"/>
        <v>0</v>
      </c>
      <c r="G35" s="75"/>
      <c r="H35" s="75"/>
      <c r="I35" s="92">
        <f t="shared" si="16"/>
        <v>0</v>
      </c>
      <c r="J35" s="76"/>
      <c r="K35" s="75"/>
      <c r="L35" s="92">
        <f t="shared" si="17"/>
        <v>0</v>
      </c>
      <c r="M35" s="75"/>
      <c r="N35" s="75"/>
      <c r="O35" s="92">
        <f t="shared" si="18"/>
        <v>0</v>
      </c>
      <c r="P35" s="75"/>
      <c r="Q35" s="75"/>
      <c r="R35" s="92">
        <f t="shared" si="19"/>
        <v>0</v>
      </c>
      <c r="S35" s="75"/>
      <c r="T35" s="75"/>
      <c r="U35" s="92">
        <f t="shared" si="20"/>
        <v>0</v>
      </c>
      <c r="V35" s="75"/>
      <c r="W35" s="75"/>
      <c r="X35" s="92">
        <f t="shared" si="21"/>
        <v>0</v>
      </c>
      <c r="Y35" s="92"/>
      <c r="Z35" s="92"/>
      <c r="AA35" s="92"/>
      <c r="AB35" s="92">
        <f t="shared" si="22"/>
        <v>0</v>
      </c>
      <c r="AC35" s="93"/>
      <c r="AD35" s="77"/>
      <c r="AE35" s="94">
        <f t="shared" si="1"/>
        <v>0</v>
      </c>
      <c r="AF35" s="77"/>
      <c r="AG35" s="94">
        <f t="shared" si="2"/>
        <v>0</v>
      </c>
      <c r="AH35" s="77"/>
      <c r="AI35" s="94">
        <f t="shared" si="3"/>
        <v>0</v>
      </c>
      <c r="AJ35" s="77"/>
      <c r="AK35" s="94">
        <f t="shared" si="4"/>
        <v>0</v>
      </c>
      <c r="AL35" s="77"/>
      <c r="AM35" s="94">
        <f t="shared" si="5"/>
        <v>0</v>
      </c>
      <c r="AN35" s="77"/>
      <c r="AO35" s="94">
        <f t="shared" si="6"/>
        <v>0</v>
      </c>
      <c r="AP35" s="95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2">
        <f t="shared" si="15"/>
        <v>0</v>
      </c>
      <c r="G36" s="75"/>
      <c r="H36" s="75"/>
      <c r="I36" s="92">
        <f t="shared" si="16"/>
        <v>0</v>
      </c>
      <c r="J36" s="76"/>
      <c r="K36" s="75"/>
      <c r="L36" s="92">
        <f t="shared" si="17"/>
        <v>0</v>
      </c>
      <c r="M36" s="75"/>
      <c r="N36" s="75"/>
      <c r="O36" s="92">
        <f t="shared" si="18"/>
        <v>0</v>
      </c>
      <c r="P36" s="75"/>
      <c r="Q36" s="75"/>
      <c r="R36" s="92">
        <f t="shared" si="19"/>
        <v>0</v>
      </c>
      <c r="S36" s="75"/>
      <c r="T36" s="75"/>
      <c r="U36" s="92">
        <f t="shared" si="20"/>
        <v>0</v>
      </c>
      <c r="V36" s="75"/>
      <c r="W36" s="75"/>
      <c r="X36" s="92">
        <f t="shared" si="21"/>
        <v>0</v>
      </c>
      <c r="Y36" s="92"/>
      <c r="Z36" s="92"/>
      <c r="AA36" s="92"/>
      <c r="AB36" s="92">
        <f t="shared" si="22"/>
        <v>0</v>
      </c>
      <c r="AC36" s="93"/>
      <c r="AD36" s="77"/>
      <c r="AE36" s="94">
        <f t="shared" si="1"/>
        <v>0</v>
      </c>
      <c r="AF36" s="77"/>
      <c r="AG36" s="94">
        <f t="shared" si="2"/>
        <v>0</v>
      </c>
      <c r="AH36" s="77"/>
      <c r="AI36" s="94">
        <f t="shared" si="3"/>
        <v>0</v>
      </c>
      <c r="AJ36" s="77"/>
      <c r="AK36" s="94">
        <f t="shared" si="4"/>
        <v>0</v>
      </c>
      <c r="AL36" s="77"/>
      <c r="AM36" s="94">
        <f t="shared" si="5"/>
        <v>0</v>
      </c>
      <c r="AN36" s="77"/>
      <c r="AO36" s="94">
        <f t="shared" si="6"/>
        <v>0</v>
      </c>
      <c r="AP36" s="95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7"/>
      <c r="D37" s="88"/>
      <c r="E37" s="88"/>
      <c r="F37" s="44">
        <f t="shared" si="15"/>
        <v>0</v>
      </c>
      <c r="G37" s="88"/>
      <c r="H37" s="88"/>
      <c r="I37" s="44">
        <f t="shared" si="16"/>
        <v>0</v>
      </c>
      <c r="J37" s="89"/>
      <c r="K37" s="90"/>
      <c r="L37" s="44">
        <f t="shared" si="17"/>
        <v>0</v>
      </c>
      <c r="M37" s="90"/>
      <c r="N37" s="90"/>
      <c r="O37" s="44">
        <f t="shared" si="18"/>
        <v>0</v>
      </c>
      <c r="P37" s="90"/>
      <c r="Q37" s="90"/>
      <c r="R37" s="44">
        <f t="shared" si="19"/>
        <v>0</v>
      </c>
      <c r="S37" s="90"/>
      <c r="T37" s="90"/>
      <c r="U37" s="44">
        <f t="shared" si="20"/>
        <v>0</v>
      </c>
      <c r="V37" s="90"/>
      <c r="W37" s="90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7"/>
      <c r="D38" s="88"/>
      <c r="E38" s="88"/>
      <c r="F38" s="44">
        <f t="shared" si="15"/>
        <v>0</v>
      </c>
      <c r="G38" s="88"/>
      <c r="H38" s="88"/>
      <c r="I38" s="44">
        <f t="shared" si="16"/>
        <v>0</v>
      </c>
      <c r="J38" s="89"/>
      <c r="K38" s="90"/>
      <c r="L38" s="44">
        <f t="shared" si="17"/>
        <v>0</v>
      </c>
      <c r="M38" s="89"/>
      <c r="N38" s="90"/>
      <c r="O38" s="44">
        <f t="shared" si="18"/>
        <v>0</v>
      </c>
      <c r="P38" s="90"/>
      <c r="Q38" s="90"/>
      <c r="R38" s="44">
        <f t="shared" si="19"/>
        <v>0</v>
      </c>
      <c r="S38" s="90"/>
      <c r="T38" s="90"/>
      <c r="U38" s="44">
        <f t="shared" si="20"/>
        <v>0</v>
      </c>
      <c r="V38" s="90"/>
      <c r="W38" s="90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7"/>
      <c r="D39" s="88"/>
      <c r="E39" s="88"/>
      <c r="F39" s="44">
        <f t="shared" si="15"/>
        <v>0</v>
      </c>
      <c r="G39" s="88"/>
      <c r="H39" s="88"/>
      <c r="I39" s="44">
        <f t="shared" si="16"/>
        <v>0</v>
      </c>
      <c r="J39" s="89"/>
      <c r="K39" s="90"/>
      <c r="L39" s="44">
        <f t="shared" si="17"/>
        <v>0</v>
      </c>
      <c r="M39" s="90"/>
      <c r="N39" s="90"/>
      <c r="O39" s="44">
        <f t="shared" si="18"/>
        <v>0</v>
      </c>
      <c r="P39" s="90"/>
      <c r="Q39" s="90"/>
      <c r="R39" s="44">
        <f t="shared" si="19"/>
        <v>0</v>
      </c>
      <c r="S39" s="90"/>
      <c r="T39" s="90"/>
      <c r="U39" s="44">
        <f t="shared" si="20"/>
        <v>0</v>
      </c>
      <c r="V39" s="90"/>
      <c r="W39" s="90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7"/>
      <c r="D40" s="88"/>
      <c r="E40" s="88"/>
      <c r="F40" s="44">
        <f t="shared" si="15"/>
        <v>0</v>
      </c>
      <c r="G40" s="88"/>
      <c r="H40" s="88"/>
      <c r="I40" s="44">
        <f t="shared" si="16"/>
        <v>0</v>
      </c>
      <c r="J40" s="89"/>
      <c r="K40" s="90"/>
      <c r="L40" s="44">
        <f t="shared" si="17"/>
        <v>0</v>
      </c>
      <c r="M40" s="90"/>
      <c r="N40" s="90"/>
      <c r="O40" s="44">
        <f t="shared" si="18"/>
        <v>0</v>
      </c>
      <c r="P40" s="90"/>
      <c r="Q40" s="90"/>
      <c r="R40" s="44">
        <f t="shared" si="19"/>
        <v>0</v>
      </c>
      <c r="S40" s="90"/>
      <c r="T40" s="90"/>
      <c r="U40" s="44">
        <f t="shared" si="20"/>
        <v>0</v>
      </c>
      <c r="V40" s="90"/>
      <c r="W40" s="90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7"/>
      <c r="D41" s="88"/>
      <c r="E41" s="88"/>
      <c r="F41" s="44">
        <f t="shared" ref="F41:F60" si="77">BA41-BB41</f>
        <v>0</v>
      </c>
      <c r="G41" s="88"/>
      <c r="H41" s="88"/>
      <c r="I41" s="44">
        <f t="shared" ref="I41:I60" si="78">BF41-BG41</f>
        <v>0</v>
      </c>
      <c r="J41" s="89"/>
      <c r="K41" s="90"/>
      <c r="L41" s="44">
        <f t="shared" ref="L41:L60" si="79">BK41-BL41</f>
        <v>0</v>
      </c>
      <c r="M41" s="90"/>
      <c r="N41" s="90"/>
      <c r="O41" s="44">
        <f t="shared" ref="O41:O60" si="80">BP41-BQ41</f>
        <v>0</v>
      </c>
      <c r="P41" s="90"/>
      <c r="Q41" s="90"/>
      <c r="R41" s="44">
        <f t="shared" ref="R41:R60" si="81">BU41-BV41</f>
        <v>0</v>
      </c>
      <c r="S41" s="90"/>
      <c r="T41" s="90"/>
      <c r="U41" s="44">
        <f t="shared" ref="U41:U60" si="82">BZ41-CA41</f>
        <v>0</v>
      </c>
      <c r="V41" s="90"/>
      <c r="W41" s="90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7"/>
      <c r="D42" s="88"/>
      <c r="E42" s="88"/>
      <c r="F42" s="44">
        <f t="shared" si="77"/>
        <v>0</v>
      </c>
      <c r="G42" s="88"/>
      <c r="H42" s="88"/>
      <c r="I42" s="44">
        <f t="shared" si="78"/>
        <v>0</v>
      </c>
      <c r="J42" s="89"/>
      <c r="K42" s="90"/>
      <c r="L42" s="44">
        <f t="shared" si="79"/>
        <v>0</v>
      </c>
      <c r="M42" s="90"/>
      <c r="N42" s="90"/>
      <c r="O42" s="44">
        <f t="shared" si="80"/>
        <v>0</v>
      </c>
      <c r="P42" s="90"/>
      <c r="Q42" s="90"/>
      <c r="R42" s="44">
        <f t="shared" si="81"/>
        <v>0</v>
      </c>
      <c r="S42" s="90"/>
      <c r="T42" s="90"/>
      <c r="U42" s="44">
        <f t="shared" si="82"/>
        <v>0</v>
      </c>
      <c r="V42" s="90"/>
      <c r="W42" s="90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7"/>
      <c r="D43" s="88"/>
      <c r="E43" s="88"/>
      <c r="F43" s="44">
        <f t="shared" si="77"/>
        <v>0</v>
      </c>
      <c r="G43" s="88"/>
      <c r="H43" s="88"/>
      <c r="I43" s="44">
        <f t="shared" si="78"/>
        <v>0</v>
      </c>
      <c r="J43" s="89"/>
      <c r="K43" s="90"/>
      <c r="L43" s="44">
        <f t="shared" si="79"/>
        <v>0</v>
      </c>
      <c r="M43" s="90"/>
      <c r="N43" s="90"/>
      <c r="O43" s="44">
        <f t="shared" si="80"/>
        <v>0</v>
      </c>
      <c r="P43" s="90"/>
      <c r="Q43" s="90"/>
      <c r="R43" s="44">
        <f t="shared" si="81"/>
        <v>0</v>
      </c>
      <c r="S43" s="90"/>
      <c r="T43" s="90"/>
      <c r="U43" s="44">
        <f t="shared" si="82"/>
        <v>0</v>
      </c>
      <c r="V43" s="90"/>
      <c r="W43" s="90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7"/>
      <c r="D44" s="88"/>
      <c r="E44" s="88"/>
      <c r="F44" s="44">
        <f t="shared" si="77"/>
        <v>0</v>
      </c>
      <c r="G44" s="88"/>
      <c r="H44" s="88"/>
      <c r="I44" s="44">
        <f t="shared" si="78"/>
        <v>0</v>
      </c>
      <c r="J44" s="89"/>
      <c r="K44" s="90"/>
      <c r="L44" s="44">
        <f t="shared" si="79"/>
        <v>0</v>
      </c>
      <c r="M44" s="90"/>
      <c r="N44" s="90"/>
      <c r="O44" s="44">
        <f t="shared" si="80"/>
        <v>0</v>
      </c>
      <c r="P44" s="90"/>
      <c r="Q44" s="90"/>
      <c r="R44" s="44">
        <f t="shared" si="81"/>
        <v>0</v>
      </c>
      <c r="S44" s="90"/>
      <c r="T44" s="90"/>
      <c r="U44" s="44">
        <f t="shared" si="82"/>
        <v>0</v>
      </c>
      <c r="V44" s="90"/>
      <c r="W44" s="90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7"/>
      <c r="D45" s="88"/>
      <c r="E45" s="88"/>
      <c r="F45" s="44">
        <f t="shared" si="77"/>
        <v>0</v>
      </c>
      <c r="G45" s="88"/>
      <c r="H45" s="88"/>
      <c r="I45" s="44">
        <f t="shared" si="78"/>
        <v>0</v>
      </c>
      <c r="J45" s="89"/>
      <c r="K45" s="90"/>
      <c r="L45" s="44">
        <f t="shared" si="79"/>
        <v>0</v>
      </c>
      <c r="M45" s="90"/>
      <c r="N45" s="90"/>
      <c r="O45" s="44">
        <f t="shared" si="80"/>
        <v>0</v>
      </c>
      <c r="P45" s="90"/>
      <c r="Q45" s="90"/>
      <c r="R45" s="44">
        <f t="shared" si="81"/>
        <v>0</v>
      </c>
      <c r="S45" s="90"/>
      <c r="T45" s="90"/>
      <c r="U45" s="44">
        <f t="shared" si="82"/>
        <v>0</v>
      </c>
      <c r="V45" s="90"/>
      <c r="W45" s="90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7"/>
      <c r="D46" s="88"/>
      <c r="E46" s="88"/>
      <c r="F46" s="44">
        <f t="shared" si="77"/>
        <v>0</v>
      </c>
      <c r="G46" s="88"/>
      <c r="H46" s="88"/>
      <c r="I46" s="44">
        <f t="shared" si="78"/>
        <v>0</v>
      </c>
      <c r="J46" s="89"/>
      <c r="K46" s="90"/>
      <c r="L46" s="44">
        <f t="shared" si="79"/>
        <v>0</v>
      </c>
      <c r="M46" s="90"/>
      <c r="N46" s="90"/>
      <c r="O46" s="44">
        <f t="shared" si="80"/>
        <v>0</v>
      </c>
      <c r="P46" s="90"/>
      <c r="Q46" s="90"/>
      <c r="R46" s="44">
        <f t="shared" si="81"/>
        <v>0</v>
      </c>
      <c r="S46" s="90"/>
      <c r="T46" s="90"/>
      <c r="U46" s="44">
        <f t="shared" si="82"/>
        <v>0</v>
      </c>
      <c r="V46" s="90"/>
      <c r="W46" s="90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7"/>
      <c r="D47" s="88"/>
      <c r="E47" s="88"/>
      <c r="F47" s="44">
        <f t="shared" si="77"/>
        <v>0</v>
      </c>
      <c r="G47" s="88"/>
      <c r="H47" s="88"/>
      <c r="I47" s="44">
        <f t="shared" si="78"/>
        <v>0</v>
      </c>
      <c r="J47" s="89"/>
      <c r="K47" s="90"/>
      <c r="L47" s="44">
        <f t="shared" si="79"/>
        <v>0</v>
      </c>
      <c r="M47" s="90"/>
      <c r="N47" s="90"/>
      <c r="O47" s="44">
        <f t="shared" si="80"/>
        <v>0</v>
      </c>
      <c r="P47" s="90"/>
      <c r="Q47" s="90"/>
      <c r="R47" s="44">
        <f t="shared" si="81"/>
        <v>0</v>
      </c>
      <c r="S47" s="90"/>
      <c r="T47" s="90"/>
      <c r="U47" s="44">
        <f t="shared" si="82"/>
        <v>0</v>
      </c>
      <c r="V47" s="90"/>
      <c r="W47" s="90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7"/>
      <c r="D48" s="88"/>
      <c r="E48" s="88"/>
      <c r="F48" s="44">
        <f t="shared" ref="F48:F59" si="93">BA48-BB48</f>
        <v>0</v>
      </c>
      <c r="G48" s="88"/>
      <c r="H48" s="88"/>
      <c r="I48" s="44">
        <f t="shared" ref="I48:I59" si="94">BF48-BG48</f>
        <v>0</v>
      </c>
      <c r="J48" s="89"/>
      <c r="K48" s="90"/>
      <c r="L48" s="44">
        <f t="shared" ref="L48:L59" si="95">BK48-BL48</f>
        <v>0</v>
      </c>
      <c r="M48" s="90"/>
      <c r="N48" s="90"/>
      <c r="O48" s="44">
        <f t="shared" ref="O48:O59" si="96">BP48-BQ48</f>
        <v>0</v>
      </c>
      <c r="P48" s="90"/>
      <c r="Q48" s="90"/>
      <c r="R48" s="44">
        <f t="shared" ref="R48:R59" si="97">BU48-BV48</f>
        <v>0</v>
      </c>
      <c r="S48" s="90"/>
      <c r="T48" s="90"/>
      <c r="U48" s="44">
        <f t="shared" ref="U48:U59" si="98">BZ48-CA48</f>
        <v>0</v>
      </c>
      <c r="V48" s="90"/>
      <c r="W48" s="90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7"/>
      <c r="D49" s="88"/>
      <c r="E49" s="88"/>
      <c r="F49" s="44">
        <f t="shared" si="93"/>
        <v>0</v>
      </c>
      <c r="G49" s="88"/>
      <c r="H49" s="88"/>
      <c r="I49" s="44">
        <f t="shared" si="94"/>
        <v>0</v>
      </c>
      <c r="J49" s="89"/>
      <c r="K49" s="90"/>
      <c r="L49" s="44">
        <f t="shared" si="95"/>
        <v>0</v>
      </c>
      <c r="M49" s="90"/>
      <c r="N49" s="90"/>
      <c r="O49" s="44">
        <f t="shared" si="96"/>
        <v>0</v>
      </c>
      <c r="P49" s="90"/>
      <c r="Q49" s="90"/>
      <c r="R49" s="44">
        <f t="shared" si="97"/>
        <v>0</v>
      </c>
      <c r="S49" s="90"/>
      <c r="T49" s="90"/>
      <c r="U49" s="44">
        <f t="shared" si="98"/>
        <v>0</v>
      </c>
      <c r="V49" s="90"/>
      <c r="W49" s="90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7"/>
      <c r="D50" s="88"/>
      <c r="E50" s="88"/>
      <c r="F50" s="44">
        <f t="shared" si="93"/>
        <v>0</v>
      </c>
      <c r="G50" s="88"/>
      <c r="H50" s="88"/>
      <c r="I50" s="44">
        <f t="shared" si="94"/>
        <v>0</v>
      </c>
      <c r="J50" s="89"/>
      <c r="K50" s="90"/>
      <c r="L50" s="44">
        <f t="shared" si="95"/>
        <v>0</v>
      </c>
      <c r="M50" s="90"/>
      <c r="N50" s="90"/>
      <c r="O50" s="44">
        <f t="shared" si="96"/>
        <v>0</v>
      </c>
      <c r="P50" s="90"/>
      <c r="Q50" s="90"/>
      <c r="R50" s="44">
        <f t="shared" si="97"/>
        <v>0</v>
      </c>
      <c r="S50" s="90"/>
      <c r="T50" s="90"/>
      <c r="U50" s="44">
        <f t="shared" si="98"/>
        <v>0</v>
      </c>
      <c r="V50" s="90"/>
      <c r="W50" s="90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7"/>
      <c r="D51" s="88"/>
      <c r="E51" s="88"/>
      <c r="F51" s="44">
        <f t="shared" si="93"/>
        <v>0</v>
      </c>
      <c r="G51" s="88"/>
      <c r="H51" s="88"/>
      <c r="I51" s="44">
        <f t="shared" si="94"/>
        <v>0</v>
      </c>
      <c r="J51" s="89"/>
      <c r="K51" s="90"/>
      <c r="L51" s="44">
        <f t="shared" si="95"/>
        <v>0</v>
      </c>
      <c r="M51" s="90"/>
      <c r="N51" s="90"/>
      <c r="O51" s="44">
        <f t="shared" si="96"/>
        <v>0</v>
      </c>
      <c r="P51" s="90"/>
      <c r="Q51" s="90"/>
      <c r="R51" s="44">
        <f t="shared" si="97"/>
        <v>0</v>
      </c>
      <c r="S51" s="90"/>
      <c r="T51" s="90"/>
      <c r="U51" s="44">
        <f t="shared" si="98"/>
        <v>0</v>
      </c>
      <c r="V51" s="90"/>
      <c r="W51" s="90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7"/>
      <c r="D52" s="88"/>
      <c r="E52" s="88"/>
      <c r="F52" s="44">
        <f t="shared" si="93"/>
        <v>0</v>
      </c>
      <c r="G52" s="88"/>
      <c r="H52" s="88"/>
      <c r="I52" s="44">
        <f t="shared" si="94"/>
        <v>0</v>
      </c>
      <c r="J52" s="89"/>
      <c r="K52" s="90"/>
      <c r="L52" s="44">
        <f t="shared" si="95"/>
        <v>0</v>
      </c>
      <c r="M52" s="90"/>
      <c r="N52" s="90"/>
      <c r="O52" s="44">
        <f t="shared" si="96"/>
        <v>0</v>
      </c>
      <c r="P52" s="90"/>
      <c r="Q52" s="90"/>
      <c r="R52" s="44">
        <f t="shared" si="97"/>
        <v>0</v>
      </c>
      <c r="S52" s="90"/>
      <c r="T52" s="90"/>
      <c r="U52" s="44">
        <f t="shared" si="98"/>
        <v>0</v>
      </c>
      <c r="V52" s="90"/>
      <c r="W52" s="90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7"/>
      <c r="D53" s="88"/>
      <c r="E53" s="88"/>
      <c r="F53" s="44">
        <f t="shared" si="93"/>
        <v>0</v>
      </c>
      <c r="G53" s="88"/>
      <c r="H53" s="88"/>
      <c r="I53" s="44">
        <f t="shared" si="94"/>
        <v>0</v>
      </c>
      <c r="J53" s="89"/>
      <c r="K53" s="90"/>
      <c r="L53" s="44">
        <f t="shared" si="95"/>
        <v>0</v>
      </c>
      <c r="M53" s="90"/>
      <c r="N53" s="90"/>
      <c r="O53" s="44">
        <f t="shared" si="96"/>
        <v>0</v>
      </c>
      <c r="P53" s="90"/>
      <c r="Q53" s="90"/>
      <c r="R53" s="44">
        <f t="shared" si="97"/>
        <v>0</v>
      </c>
      <c r="S53" s="90"/>
      <c r="T53" s="90"/>
      <c r="U53" s="44">
        <f t="shared" si="98"/>
        <v>0</v>
      </c>
      <c r="V53" s="90"/>
      <c r="W53" s="90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7"/>
      <c r="D54" s="88"/>
      <c r="E54" s="88"/>
      <c r="F54" s="44">
        <f t="shared" si="93"/>
        <v>0</v>
      </c>
      <c r="G54" s="88"/>
      <c r="H54" s="88"/>
      <c r="I54" s="44">
        <f t="shared" si="94"/>
        <v>0</v>
      </c>
      <c r="J54" s="89"/>
      <c r="K54" s="90"/>
      <c r="L54" s="44">
        <f t="shared" si="95"/>
        <v>0</v>
      </c>
      <c r="M54" s="90"/>
      <c r="N54" s="90"/>
      <c r="O54" s="44">
        <f t="shared" si="96"/>
        <v>0</v>
      </c>
      <c r="P54" s="90"/>
      <c r="Q54" s="90"/>
      <c r="R54" s="44">
        <f t="shared" si="97"/>
        <v>0</v>
      </c>
      <c r="S54" s="90"/>
      <c r="T54" s="90"/>
      <c r="U54" s="44">
        <f t="shared" si="98"/>
        <v>0</v>
      </c>
      <c r="V54" s="90"/>
      <c r="W54" s="90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7"/>
      <c r="D55" s="88"/>
      <c r="E55" s="88"/>
      <c r="F55" s="44">
        <f t="shared" si="93"/>
        <v>0</v>
      </c>
      <c r="G55" s="88"/>
      <c r="H55" s="88"/>
      <c r="I55" s="44">
        <f t="shared" si="94"/>
        <v>0</v>
      </c>
      <c r="J55" s="89"/>
      <c r="K55" s="90"/>
      <c r="L55" s="44">
        <f t="shared" si="95"/>
        <v>0</v>
      </c>
      <c r="M55" s="90"/>
      <c r="N55" s="90"/>
      <c r="O55" s="44">
        <f t="shared" si="96"/>
        <v>0</v>
      </c>
      <c r="P55" s="90"/>
      <c r="Q55" s="90"/>
      <c r="R55" s="44">
        <f t="shared" si="97"/>
        <v>0</v>
      </c>
      <c r="S55" s="90"/>
      <c r="T55" s="90"/>
      <c r="U55" s="44">
        <f t="shared" si="98"/>
        <v>0</v>
      </c>
      <c r="V55" s="90"/>
      <c r="W55" s="90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7"/>
      <c r="D56" s="88"/>
      <c r="E56" s="88"/>
      <c r="F56" s="44">
        <f t="shared" si="93"/>
        <v>0</v>
      </c>
      <c r="G56" s="88"/>
      <c r="H56" s="88"/>
      <c r="I56" s="44">
        <f t="shared" si="94"/>
        <v>0</v>
      </c>
      <c r="J56" s="89"/>
      <c r="K56" s="90"/>
      <c r="L56" s="44">
        <f t="shared" si="95"/>
        <v>0</v>
      </c>
      <c r="M56" s="90"/>
      <c r="N56" s="90"/>
      <c r="O56" s="44">
        <f t="shared" si="96"/>
        <v>0</v>
      </c>
      <c r="P56" s="90"/>
      <c r="Q56" s="90"/>
      <c r="R56" s="44">
        <f t="shared" si="97"/>
        <v>0</v>
      </c>
      <c r="S56" s="90"/>
      <c r="T56" s="90"/>
      <c r="U56" s="44">
        <f t="shared" si="98"/>
        <v>0</v>
      </c>
      <c r="V56" s="90"/>
      <c r="W56" s="90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7"/>
      <c r="D57" s="88"/>
      <c r="E57" s="88"/>
      <c r="F57" s="44">
        <f t="shared" si="93"/>
        <v>0</v>
      </c>
      <c r="G57" s="88"/>
      <c r="H57" s="88"/>
      <c r="I57" s="44">
        <f t="shared" si="94"/>
        <v>0</v>
      </c>
      <c r="J57" s="89"/>
      <c r="K57" s="90"/>
      <c r="L57" s="44">
        <f t="shared" si="95"/>
        <v>0</v>
      </c>
      <c r="M57" s="90"/>
      <c r="N57" s="90"/>
      <c r="O57" s="44">
        <f t="shared" si="96"/>
        <v>0</v>
      </c>
      <c r="P57" s="90"/>
      <c r="Q57" s="90"/>
      <c r="R57" s="44">
        <f t="shared" si="97"/>
        <v>0</v>
      </c>
      <c r="S57" s="90"/>
      <c r="T57" s="90"/>
      <c r="U57" s="44">
        <f t="shared" si="98"/>
        <v>0</v>
      </c>
      <c r="V57" s="90"/>
      <c r="W57" s="90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7"/>
      <c r="D58" s="88"/>
      <c r="E58" s="88"/>
      <c r="F58" s="44">
        <f t="shared" si="93"/>
        <v>0</v>
      </c>
      <c r="G58" s="88"/>
      <c r="H58" s="88"/>
      <c r="I58" s="44">
        <f t="shared" si="94"/>
        <v>0</v>
      </c>
      <c r="J58" s="89"/>
      <c r="K58" s="90"/>
      <c r="L58" s="44">
        <f t="shared" si="95"/>
        <v>0</v>
      </c>
      <c r="M58" s="90"/>
      <c r="N58" s="90"/>
      <c r="O58" s="44">
        <f t="shared" si="96"/>
        <v>0</v>
      </c>
      <c r="P58" s="90"/>
      <c r="Q58" s="90"/>
      <c r="R58" s="44">
        <f t="shared" si="97"/>
        <v>0</v>
      </c>
      <c r="S58" s="90"/>
      <c r="T58" s="90"/>
      <c r="U58" s="44">
        <f t="shared" si="98"/>
        <v>0</v>
      </c>
      <c r="V58" s="90"/>
      <c r="W58" s="90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7"/>
      <c r="D59" s="88"/>
      <c r="E59" s="88"/>
      <c r="F59" s="44">
        <f t="shared" si="93"/>
        <v>0</v>
      </c>
      <c r="G59" s="88"/>
      <c r="H59" s="88"/>
      <c r="I59" s="44">
        <f t="shared" si="94"/>
        <v>0</v>
      </c>
      <c r="J59" s="89"/>
      <c r="K59" s="90"/>
      <c r="L59" s="44">
        <f t="shared" si="95"/>
        <v>0</v>
      </c>
      <c r="M59" s="90"/>
      <c r="N59" s="90"/>
      <c r="O59" s="44">
        <f t="shared" si="96"/>
        <v>0</v>
      </c>
      <c r="P59" s="90"/>
      <c r="Q59" s="90"/>
      <c r="R59" s="44">
        <f t="shared" si="97"/>
        <v>0</v>
      </c>
      <c r="S59" s="90"/>
      <c r="T59" s="90"/>
      <c r="U59" s="44">
        <f t="shared" si="98"/>
        <v>0</v>
      </c>
      <c r="V59" s="90"/>
      <c r="W59" s="90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7"/>
      <c r="D60" s="88"/>
      <c r="E60" s="88"/>
      <c r="F60" s="44">
        <f t="shared" si="77"/>
        <v>0</v>
      </c>
      <c r="G60" s="88"/>
      <c r="H60" s="88"/>
      <c r="I60" s="44">
        <f t="shared" si="78"/>
        <v>0</v>
      </c>
      <c r="J60" s="89"/>
      <c r="K60" s="90"/>
      <c r="L60" s="44">
        <f t="shared" si="79"/>
        <v>0</v>
      </c>
      <c r="M60" s="90"/>
      <c r="N60" s="90"/>
      <c r="O60" s="44">
        <f t="shared" si="80"/>
        <v>0</v>
      </c>
      <c r="P60" s="90"/>
      <c r="Q60" s="90"/>
      <c r="R60" s="44">
        <f t="shared" si="81"/>
        <v>0</v>
      </c>
      <c r="S60" s="90"/>
      <c r="T60" s="90"/>
      <c r="U60" s="44">
        <f t="shared" si="82"/>
        <v>0</v>
      </c>
      <c r="V60" s="90"/>
      <c r="W60" s="90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7"/>
      <c r="D61" s="88"/>
      <c r="E61" s="88"/>
      <c r="F61" s="44">
        <f t="shared" si="15"/>
        <v>0</v>
      </c>
      <c r="G61" s="88"/>
      <c r="H61" s="88"/>
      <c r="I61" s="44">
        <f t="shared" si="16"/>
        <v>0</v>
      </c>
      <c r="J61" s="89"/>
      <c r="K61" s="90"/>
      <c r="L61" s="44">
        <f t="shared" si="17"/>
        <v>0</v>
      </c>
      <c r="M61" s="90"/>
      <c r="N61" s="90"/>
      <c r="O61" s="44">
        <f t="shared" si="18"/>
        <v>0</v>
      </c>
      <c r="P61" s="90"/>
      <c r="Q61" s="90"/>
      <c r="R61" s="44">
        <f t="shared" si="19"/>
        <v>0</v>
      </c>
      <c r="S61" s="90"/>
      <c r="T61" s="90"/>
      <c r="U61" s="44">
        <f t="shared" si="20"/>
        <v>0</v>
      </c>
      <c r="V61" s="90"/>
      <c r="W61" s="90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7"/>
      <c r="D62" s="88"/>
      <c r="E62" s="88"/>
      <c r="F62" s="44">
        <f t="shared" si="15"/>
        <v>0</v>
      </c>
      <c r="G62" s="88"/>
      <c r="H62" s="88"/>
      <c r="I62" s="44">
        <f t="shared" si="16"/>
        <v>0</v>
      </c>
      <c r="J62" s="89"/>
      <c r="K62" s="90"/>
      <c r="L62" s="44">
        <f t="shared" si="17"/>
        <v>0</v>
      </c>
      <c r="M62" s="90"/>
      <c r="N62" s="90"/>
      <c r="O62" s="44">
        <f t="shared" si="18"/>
        <v>0</v>
      </c>
      <c r="P62" s="90"/>
      <c r="Q62" s="90"/>
      <c r="R62" s="44">
        <f t="shared" si="19"/>
        <v>0</v>
      </c>
      <c r="S62" s="90"/>
      <c r="T62" s="90"/>
      <c r="U62" s="44">
        <f t="shared" si="20"/>
        <v>0</v>
      </c>
      <c r="V62" s="90"/>
      <c r="W62" s="90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7"/>
      <c r="D63" s="88"/>
      <c r="E63" s="88"/>
      <c r="F63" s="44">
        <f t="shared" si="15"/>
        <v>0</v>
      </c>
      <c r="G63" s="88"/>
      <c r="H63" s="88"/>
      <c r="I63" s="44">
        <f t="shared" si="16"/>
        <v>0</v>
      </c>
      <c r="J63" s="89"/>
      <c r="K63" s="90"/>
      <c r="L63" s="44">
        <f t="shared" si="17"/>
        <v>0</v>
      </c>
      <c r="M63" s="90"/>
      <c r="N63" s="90"/>
      <c r="O63" s="44">
        <f t="shared" si="18"/>
        <v>0</v>
      </c>
      <c r="P63" s="90"/>
      <c r="Q63" s="90"/>
      <c r="R63" s="44">
        <f t="shared" si="19"/>
        <v>0</v>
      </c>
      <c r="S63" s="90"/>
      <c r="T63" s="90"/>
      <c r="U63" s="44">
        <f t="shared" si="20"/>
        <v>0</v>
      </c>
      <c r="V63" s="90"/>
      <c r="W63" s="90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7"/>
      <c r="D64" s="88"/>
      <c r="E64" s="88"/>
      <c r="F64" s="44">
        <f t="shared" si="15"/>
        <v>0</v>
      </c>
      <c r="G64" s="88"/>
      <c r="H64" s="88"/>
      <c r="I64" s="44">
        <f t="shared" si="16"/>
        <v>0</v>
      </c>
      <c r="J64" s="89"/>
      <c r="K64" s="90"/>
      <c r="L64" s="44">
        <f t="shared" si="17"/>
        <v>0</v>
      </c>
      <c r="M64" s="90"/>
      <c r="N64" s="90"/>
      <c r="O64" s="44">
        <f t="shared" si="18"/>
        <v>0</v>
      </c>
      <c r="P64" s="90"/>
      <c r="Q64" s="90"/>
      <c r="R64" s="44">
        <f t="shared" si="19"/>
        <v>0</v>
      </c>
      <c r="S64" s="90"/>
      <c r="T64" s="90"/>
      <c r="U64" s="44">
        <f t="shared" si="20"/>
        <v>0</v>
      </c>
      <c r="V64" s="90"/>
      <c r="W64" s="90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7"/>
      <c r="D65" s="88"/>
      <c r="E65" s="88"/>
      <c r="F65" s="44">
        <f t="shared" si="15"/>
        <v>0</v>
      </c>
      <c r="G65" s="88"/>
      <c r="H65" s="88"/>
      <c r="I65" s="44">
        <f t="shared" si="16"/>
        <v>0</v>
      </c>
      <c r="J65" s="89"/>
      <c r="K65" s="90"/>
      <c r="L65" s="44">
        <f t="shared" si="17"/>
        <v>0</v>
      </c>
      <c r="M65" s="90"/>
      <c r="N65" s="90"/>
      <c r="O65" s="44">
        <f t="shared" si="18"/>
        <v>0</v>
      </c>
      <c r="P65" s="90"/>
      <c r="Q65" s="90"/>
      <c r="R65" s="44">
        <f t="shared" si="19"/>
        <v>0</v>
      </c>
      <c r="S65" s="90"/>
      <c r="T65" s="90"/>
      <c r="U65" s="44">
        <f t="shared" si="20"/>
        <v>0</v>
      </c>
      <c r="V65" s="90"/>
      <c r="W65" s="90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7"/>
      <c r="D66" s="88"/>
      <c r="E66" s="88"/>
      <c r="F66" s="44">
        <f t="shared" si="15"/>
        <v>0</v>
      </c>
      <c r="G66" s="88"/>
      <c r="H66" s="88"/>
      <c r="I66" s="44">
        <f t="shared" si="16"/>
        <v>0</v>
      </c>
      <c r="J66" s="89"/>
      <c r="K66" s="90"/>
      <c r="L66" s="44">
        <f t="shared" si="17"/>
        <v>0</v>
      </c>
      <c r="M66" s="90"/>
      <c r="N66" s="90"/>
      <c r="O66" s="44">
        <f t="shared" si="18"/>
        <v>0</v>
      </c>
      <c r="P66" s="90"/>
      <c r="Q66" s="90"/>
      <c r="R66" s="44">
        <f t="shared" si="19"/>
        <v>0</v>
      </c>
      <c r="S66" s="90"/>
      <c r="T66" s="90"/>
      <c r="U66" s="44">
        <f t="shared" si="20"/>
        <v>0</v>
      </c>
      <c r="V66" s="90"/>
      <c r="W66" s="90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7"/>
      <c r="D67" s="88"/>
      <c r="E67" s="88"/>
      <c r="F67" s="44">
        <f t="shared" si="15"/>
        <v>0</v>
      </c>
      <c r="G67" s="88"/>
      <c r="H67" s="90"/>
      <c r="I67" s="44">
        <f t="shared" si="16"/>
        <v>0</v>
      </c>
      <c r="J67" s="89"/>
      <c r="K67" s="90"/>
      <c r="L67" s="44">
        <f t="shared" si="17"/>
        <v>0</v>
      </c>
      <c r="M67" s="90"/>
      <c r="N67" s="90"/>
      <c r="O67" s="44">
        <f t="shared" si="18"/>
        <v>0</v>
      </c>
      <c r="P67" s="90"/>
      <c r="Q67" s="90"/>
      <c r="R67" s="44">
        <f t="shared" si="19"/>
        <v>0</v>
      </c>
      <c r="S67" s="90"/>
      <c r="T67" s="90"/>
      <c r="U67" s="44">
        <f t="shared" si="20"/>
        <v>0</v>
      </c>
      <c r="V67" s="90"/>
      <c r="W67" s="90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7"/>
      <c r="D68" s="88"/>
      <c r="E68" s="88"/>
      <c r="F68" s="44">
        <f t="shared" si="15"/>
        <v>0</v>
      </c>
      <c r="G68" s="88"/>
      <c r="H68" s="88"/>
      <c r="I68" s="44">
        <f t="shared" si="16"/>
        <v>0</v>
      </c>
      <c r="J68" s="89"/>
      <c r="K68" s="90"/>
      <c r="L68" s="44">
        <f t="shared" si="17"/>
        <v>0</v>
      </c>
      <c r="M68" s="90"/>
      <c r="N68" s="90"/>
      <c r="O68" s="44">
        <f t="shared" si="18"/>
        <v>0</v>
      </c>
      <c r="P68" s="90"/>
      <c r="Q68" s="90"/>
      <c r="R68" s="44">
        <f t="shared" si="19"/>
        <v>0</v>
      </c>
      <c r="S68" s="90"/>
      <c r="T68" s="90"/>
      <c r="U68" s="44">
        <f t="shared" si="20"/>
        <v>0</v>
      </c>
      <c r="V68" s="90"/>
      <c r="W68" s="90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7"/>
      <c r="D69" s="88"/>
      <c r="E69" s="88"/>
      <c r="F69" s="44">
        <f t="shared" si="15"/>
        <v>0</v>
      </c>
      <c r="G69" s="88"/>
      <c r="H69" s="88"/>
      <c r="I69" s="44">
        <f t="shared" si="16"/>
        <v>0</v>
      </c>
      <c r="J69" s="89"/>
      <c r="K69" s="90"/>
      <c r="L69" s="44">
        <f t="shared" si="17"/>
        <v>0</v>
      </c>
      <c r="M69" s="90"/>
      <c r="N69" s="90"/>
      <c r="O69" s="44">
        <f t="shared" si="18"/>
        <v>0</v>
      </c>
      <c r="P69" s="90"/>
      <c r="Q69" s="90"/>
      <c r="R69" s="44">
        <f t="shared" si="19"/>
        <v>0</v>
      </c>
      <c r="S69" s="90"/>
      <c r="T69" s="90"/>
      <c r="U69" s="44">
        <f t="shared" si="20"/>
        <v>0</v>
      </c>
      <c r="V69" s="90"/>
      <c r="W69" s="90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7"/>
      <c r="D70" s="88"/>
      <c r="E70" s="88"/>
      <c r="F70" s="44">
        <f t="shared" ref="F70:F100" si="152">BA70-BB70</f>
        <v>0</v>
      </c>
      <c r="G70" s="88"/>
      <c r="H70" s="88"/>
      <c r="I70" s="44">
        <f t="shared" ref="I70:I100" si="153">BF70-BG70</f>
        <v>0</v>
      </c>
      <c r="J70" s="89"/>
      <c r="K70" s="90"/>
      <c r="L70" s="44">
        <f t="shared" ref="L70:L100" si="154">BK70-BL70</f>
        <v>0</v>
      </c>
      <c r="M70" s="90"/>
      <c r="N70" s="90"/>
      <c r="O70" s="44">
        <f t="shared" ref="O70:O100" si="155">BP70-BQ70</f>
        <v>0</v>
      </c>
      <c r="P70" s="90"/>
      <c r="Q70" s="90"/>
      <c r="R70" s="44">
        <f t="shared" ref="R70:R100" si="156">BU70-BV70</f>
        <v>0</v>
      </c>
      <c r="S70" s="90"/>
      <c r="T70" s="90"/>
      <c r="U70" s="44">
        <f t="shared" ref="U70:U100" si="157">BZ70-CA70</f>
        <v>0</v>
      </c>
      <c r="V70" s="90"/>
      <c r="W70" s="90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7"/>
      <c r="D71" s="88"/>
      <c r="E71" s="88"/>
      <c r="F71" s="44">
        <f t="shared" si="152"/>
        <v>0</v>
      </c>
      <c r="G71" s="88"/>
      <c r="H71" s="88"/>
      <c r="I71" s="44">
        <f t="shared" si="153"/>
        <v>0</v>
      </c>
      <c r="J71" s="89"/>
      <c r="K71" s="90"/>
      <c r="L71" s="44">
        <f t="shared" si="154"/>
        <v>0</v>
      </c>
      <c r="M71" s="90"/>
      <c r="N71" s="90"/>
      <c r="O71" s="44">
        <f t="shared" si="155"/>
        <v>0</v>
      </c>
      <c r="P71" s="90"/>
      <c r="Q71" s="90"/>
      <c r="R71" s="44">
        <f t="shared" si="156"/>
        <v>0</v>
      </c>
      <c r="S71" s="90"/>
      <c r="T71" s="90"/>
      <c r="U71" s="44">
        <f t="shared" si="157"/>
        <v>0</v>
      </c>
      <c r="V71" s="90"/>
      <c r="W71" s="90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7"/>
      <c r="D72" s="88"/>
      <c r="E72" s="88"/>
      <c r="F72" s="44">
        <f t="shared" si="152"/>
        <v>0</v>
      </c>
      <c r="G72" s="88"/>
      <c r="H72" s="88"/>
      <c r="I72" s="44">
        <f t="shared" si="153"/>
        <v>0</v>
      </c>
      <c r="J72" s="89"/>
      <c r="K72" s="90"/>
      <c r="L72" s="44">
        <f t="shared" si="154"/>
        <v>0</v>
      </c>
      <c r="M72" s="90"/>
      <c r="N72" s="90"/>
      <c r="O72" s="44">
        <f t="shared" si="155"/>
        <v>0</v>
      </c>
      <c r="P72" s="90"/>
      <c r="Q72" s="90"/>
      <c r="R72" s="44">
        <f t="shared" si="156"/>
        <v>0</v>
      </c>
      <c r="S72" s="90"/>
      <c r="T72" s="90"/>
      <c r="U72" s="44">
        <f t="shared" si="157"/>
        <v>0</v>
      </c>
      <c r="V72" s="90"/>
      <c r="W72" s="90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7"/>
      <c r="D73" s="88"/>
      <c r="E73" s="88"/>
      <c r="F73" s="44">
        <f t="shared" si="152"/>
        <v>0</v>
      </c>
      <c r="G73" s="88"/>
      <c r="H73" s="88"/>
      <c r="I73" s="44">
        <f t="shared" si="153"/>
        <v>0</v>
      </c>
      <c r="J73" s="89"/>
      <c r="K73" s="90"/>
      <c r="L73" s="44">
        <f t="shared" si="154"/>
        <v>0</v>
      </c>
      <c r="M73" s="90"/>
      <c r="N73" s="90"/>
      <c r="O73" s="44">
        <f t="shared" si="155"/>
        <v>0</v>
      </c>
      <c r="P73" s="90"/>
      <c r="Q73" s="90"/>
      <c r="R73" s="44">
        <f t="shared" si="156"/>
        <v>0</v>
      </c>
      <c r="S73" s="90"/>
      <c r="T73" s="90"/>
      <c r="U73" s="44">
        <f t="shared" si="157"/>
        <v>0</v>
      </c>
      <c r="V73" s="90"/>
      <c r="W73" s="90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7"/>
      <c r="D74" s="88"/>
      <c r="E74" s="88"/>
      <c r="F74" s="44">
        <f t="shared" si="152"/>
        <v>0</v>
      </c>
      <c r="G74" s="88"/>
      <c r="H74" s="88"/>
      <c r="I74" s="44">
        <f t="shared" si="153"/>
        <v>0</v>
      </c>
      <c r="J74" s="89"/>
      <c r="K74" s="90"/>
      <c r="L74" s="44">
        <f t="shared" si="154"/>
        <v>0</v>
      </c>
      <c r="M74" s="90"/>
      <c r="N74" s="90"/>
      <c r="O74" s="44">
        <f t="shared" si="155"/>
        <v>0</v>
      </c>
      <c r="P74" s="90"/>
      <c r="Q74" s="90"/>
      <c r="R74" s="44">
        <f t="shared" si="156"/>
        <v>0</v>
      </c>
      <c r="S74" s="90"/>
      <c r="T74" s="90"/>
      <c r="U74" s="44">
        <f t="shared" si="157"/>
        <v>0</v>
      </c>
      <c r="V74" s="90"/>
      <c r="W74" s="90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7"/>
      <c r="D75" s="88"/>
      <c r="E75" s="88"/>
      <c r="F75" s="44">
        <f t="shared" si="152"/>
        <v>0</v>
      </c>
      <c r="G75" s="88"/>
      <c r="H75" s="88"/>
      <c r="I75" s="44">
        <f t="shared" si="153"/>
        <v>0</v>
      </c>
      <c r="J75" s="89"/>
      <c r="K75" s="90"/>
      <c r="L75" s="44">
        <f t="shared" si="154"/>
        <v>0</v>
      </c>
      <c r="M75" s="90"/>
      <c r="N75" s="90"/>
      <c r="O75" s="44">
        <f t="shared" si="155"/>
        <v>0</v>
      </c>
      <c r="P75" s="90"/>
      <c r="Q75" s="90"/>
      <c r="R75" s="44">
        <f t="shared" si="156"/>
        <v>0</v>
      </c>
      <c r="S75" s="90"/>
      <c r="T75" s="90"/>
      <c r="U75" s="44">
        <f t="shared" si="157"/>
        <v>0</v>
      </c>
      <c r="V75" s="90"/>
      <c r="W75" s="90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7"/>
      <c r="D76" s="88"/>
      <c r="E76" s="88"/>
      <c r="F76" s="44">
        <f t="shared" si="152"/>
        <v>0</v>
      </c>
      <c r="G76" s="88"/>
      <c r="H76" s="88"/>
      <c r="I76" s="44">
        <f t="shared" si="153"/>
        <v>0</v>
      </c>
      <c r="J76" s="89"/>
      <c r="K76" s="90"/>
      <c r="L76" s="44">
        <f t="shared" si="154"/>
        <v>0</v>
      </c>
      <c r="M76" s="90"/>
      <c r="N76" s="90"/>
      <c r="O76" s="44">
        <f t="shared" si="155"/>
        <v>0</v>
      </c>
      <c r="P76" s="90"/>
      <c r="Q76" s="90"/>
      <c r="R76" s="44">
        <f t="shared" si="156"/>
        <v>0</v>
      </c>
      <c r="S76" s="90"/>
      <c r="T76" s="90"/>
      <c r="U76" s="44">
        <f t="shared" si="157"/>
        <v>0</v>
      </c>
      <c r="V76" s="90"/>
      <c r="W76" s="90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7"/>
      <c r="D77" s="88"/>
      <c r="E77" s="88"/>
      <c r="F77" s="44">
        <f t="shared" si="152"/>
        <v>0</v>
      </c>
      <c r="G77" s="88"/>
      <c r="H77" s="88"/>
      <c r="I77" s="44">
        <f t="shared" si="153"/>
        <v>0</v>
      </c>
      <c r="J77" s="89"/>
      <c r="K77" s="90"/>
      <c r="L77" s="44">
        <f t="shared" si="154"/>
        <v>0</v>
      </c>
      <c r="M77" s="90"/>
      <c r="N77" s="90"/>
      <c r="O77" s="44">
        <f t="shared" si="155"/>
        <v>0</v>
      </c>
      <c r="P77" s="90"/>
      <c r="Q77" s="90"/>
      <c r="R77" s="44">
        <f t="shared" si="156"/>
        <v>0</v>
      </c>
      <c r="S77" s="90"/>
      <c r="T77" s="90"/>
      <c r="U77" s="44">
        <f t="shared" si="157"/>
        <v>0</v>
      </c>
      <c r="V77" s="90"/>
      <c r="W77" s="90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7"/>
      <c r="D78" s="88"/>
      <c r="E78" s="88"/>
      <c r="F78" s="44">
        <f t="shared" si="152"/>
        <v>0</v>
      </c>
      <c r="G78" s="88"/>
      <c r="H78" s="88"/>
      <c r="I78" s="44">
        <f t="shared" si="153"/>
        <v>0</v>
      </c>
      <c r="J78" s="89"/>
      <c r="K78" s="90"/>
      <c r="L78" s="44">
        <f t="shared" si="154"/>
        <v>0</v>
      </c>
      <c r="M78" s="90"/>
      <c r="N78" s="90"/>
      <c r="O78" s="44">
        <f t="shared" si="155"/>
        <v>0</v>
      </c>
      <c r="P78" s="90"/>
      <c r="Q78" s="90"/>
      <c r="R78" s="44">
        <f t="shared" si="156"/>
        <v>0</v>
      </c>
      <c r="S78" s="90"/>
      <c r="T78" s="90"/>
      <c r="U78" s="44">
        <f t="shared" si="157"/>
        <v>0</v>
      </c>
      <c r="V78" s="90"/>
      <c r="W78" s="90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7"/>
      <c r="D79" s="88"/>
      <c r="E79" s="88"/>
      <c r="F79" s="44">
        <f t="shared" si="152"/>
        <v>0</v>
      </c>
      <c r="G79" s="88"/>
      <c r="H79" s="88"/>
      <c r="I79" s="44">
        <f t="shared" si="153"/>
        <v>0</v>
      </c>
      <c r="J79" s="89"/>
      <c r="K79" s="90"/>
      <c r="L79" s="44">
        <f t="shared" si="154"/>
        <v>0</v>
      </c>
      <c r="M79" s="90"/>
      <c r="N79" s="90"/>
      <c r="O79" s="44">
        <f t="shared" si="155"/>
        <v>0</v>
      </c>
      <c r="P79" s="90"/>
      <c r="Q79" s="90"/>
      <c r="R79" s="44">
        <f t="shared" si="156"/>
        <v>0</v>
      </c>
      <c r="S79" s="90"/>
      <c r="T79" s="90"/>
      <c r="U79" s="44">
        <f t="shared" si="157"/>
        <v>0</v>
      </c>
      <c r="V79" s="90"/>
      <c r="W79" s="90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7"/>
      <c r="D80" s="88"/>
      <c r="E80" s="88"/>
      <c r="F80" s="44">
        <f t="shared" si="152"/>
        <v>0</v>
      </c>
      <c r="G80" s="88"/>
      <c r="H80" s="88"/>
      <c r="I80" s="44">
        <f t="shared" si="153"/>
        <v>0</v>
      </c>
      <c r="J80" s="89"/>
      <c r="K80" s="90"/>
      <c r="L80" s="44">
        <f t="shared" si="154"/>
        <v>0</v>
      </c>
      <c r="M80" s="90"/>
      <c r="N80" s="90"/>
      <c r="O80" s="44">
        <f t="shared" si="155"/>
        <v>0</v>
      </c>
      <c r="P80" s="90"/>
      <c r="Q80" s="90"/>
      <c r="R80" s="44">
        <f t="shared" si="156"/>
        <v>0</v>
      </c>
      <c r="S80" s="90"/>
      <c r="T80" s="90"/>
      <c r="U80" s="44">
        <f t="shared" si="157"/>
        <v>0</v>
      </c>
      <c r="V80" s="90"/>
      <c r="W80" s="90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7"/>
      <c r="D81" s="88"/>
      <c r="E81" s="88"/>
      <c r="F81" s="44">
        <f t="shared" si="152"/>
        <v>0</v>
      </c>
      <c r="G81" s="88"/>
      <c r="H81" s="88"/>
      <c r="I81" s="44">
        <f t="shared" si="153"/>
        <v>0</v>
      </c>
      <c r="J81" s="89"/>
      <c r="K81" s="90"/>
      <c r="L81" s="44">
        <f t="shared" si="154"/>
        <v>0</v>
      </c>
      <c r="M81" s="90"/>
      <c r="N81" s="90"/>
      <c r="O81" s="44">
        <f t="shared" si="155"/>
        <v>0</v>
      </c>
      <c r="P81" s="90"/>
      <c r="Q81" s="90"/>
      <c r="R81" s="44">
        <f t="shared" si="156"/>
        <v>0</v>
      </c>
      <c r="S81" s="90"/>
      <c r="T81" s="90"/>
      <c r="U81" s="44">
        <f t="shared" si="157"/>
        <v>0</v>
      </c>
      <c r="V81" s="90"/>
      <c r="W81" s="90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7"/>
      <c r="D82" s="88"/>
      <c r="E82" s="88"/>
      <c r="F82" s="44">
        <f t="shared" si="152"/>
        <v>0</v>
      </c>
      <c r="G82" s="88"/>
      <c r="H82" s="88"/>
      <c r="I82" s="44">
        <f t="shared" si="153"/>
        <v>0</v>
      </c>
      <c r="J82" s="89"/>
      <c r="K82" s="90"/>
      <c r="L82" s="44">
        <f t="shared" si="154"/>
        <v>0</v>
      </c>
      <c r="M82" s="90"/>
      <c r="N82" s="90"/>
      <c r="O82" s="44">
        <f t="shared" si="155"/>
        <v>0</v>
      </c>
      <c r="P82" s="90"/>
      <c r="Q82" s="90"/>
      <c r="R82" s="44">
        <f t="shared" si="156"/>
        <v>0</v>
      </c>
      <c r="S82" s="90"/>
      <c r="T82" s="90"/>
      <c r="U82" s="44">
        <f t="shared" si="157"/>
        <v>0</v>
      </c>
      <c r="V82" s="90"/>
      <c r="W82" s="90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7"/>
      <c r="D83" s="88"/>
      <c r="E83" s="88"/>
      <c r="F83" s="44">
        <f t="shared" si="152"/>
        <v>0</v>
      </c>
      <c r="G83" s="88"/>
      <c r="H83" s="88"/>
      <c r="I83" s="44">
        <f t="shared" si="153"/>
        <v>0</v>
      </c>
      <c r="J83" s="89"/>
      <c r="K83" s="90"/>
      <c r="L83" s="44">
        <f t="shared" si="154"/>
        <v>0</v>
      </c>
      <c r="M83" s="90"/>
      <c r="N83" s="90"/>
      <c r="O83" s="44">
        <f t="shared" si="155"/>
        <v>0</v>
      </c>
      <c r="P83" s="90"/>
      <c r="Q83" s="90"/>
      <c r="R83" s="44">
        <f t="shared" si="156"/>
        <v>0</v>
      </c>
      <c r="S83" s="90"/>
      <c r="T83" s="90"/>
      <c r="U83" s="44">
        <f t="shared" si="157"/>
        <v>0</v>
      </c>
      <c r="V83" s="90"/>
      <c r="W83" s="90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7"/>
      <c r="D84" s="88"/>
      <c r="E84" s="88"/>
      <c r="F84" s="44">
        <f t="shared" si="152"/>
        <v>0</v>
      </c>
      <c r="G84" s="88"/>
      <c r="H84" s="88"/>
      <c r="I84" s="44">
        <f t="shared" si="153"/>
        <v>0</v>
      </c>
      <c r="J84" s="89"/>
      <c r="K84" s="90"/>
      <c r="L84" s="44">
        <f t="shared" si="154"/>
        <v>0</v>
      </c>
      <c r="M84" s="90"/>
      <c r="N84" s="90"/>
      <c r="O84" s="44">
        <f t="shared" si="155"/>
        <v>0</v>
      </c>
      <c r="P84" s="90"/>
      <c r="Q84" s="90"/>
      <c r="R84" s="44">
        <f t="shared" si="156"/>
        <v>0</v>
      </c>
      <c r="S84" s="90"/>
      <c r="T84" s="90"/>
      <c r="U84" s="44">
        <f t="shared" si="157"/>
        <v>0</v>
      </c>
      <c r="V84" s="90"/>
      <c r="W84" s="90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7"/>
      <c r="D85" s="88"/>
      <c r="E85" s="88"/>
      <c r="F85" s="44">
        <f t="shared" si="152"/>
        <v>0</v>
      </c>
      <c r="G85" s="88"/>
      <c r="H85" s="88"/>
      <c r="I85" s="44">
        <f t="shared" si="153"/>
        <v>0</v>
      </c>
      <c r="J85" s="89"/>
      <c r="K85" s="90"/>
      <c r="L85" s="44">
        <f t="shared" si="154"/>
        <v>0</v>
      </c>
      <c r="M85" s="90"/>
      <c r="N85" s="90"/>
      <c r="O85" s="44">
        <f t="shared" si="155"/>
        <v>0</v>
      </c>
      <c r="P85" s="90"/>
      <c r="Q85" s="90"/>
      <c r="R85" s="44">
        <f t="shared" si="156"/>
        <v>0</v>
      </c>
      <c r="S85" s="90"/>
      <c r="T85" s="90"/>
      <c r="U85" s="44">
        <f t="shared" si="157"/>
        <v>0</v>
      </c>
      <c r="V85" s="90"/>
      <c r="W85" s="90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7"/>
      <c r="D86" s="88"/>
      <c r="E86" s="88"/>
      <c r="F86" s="44">
        <f t="shared" si="152"/>
        <v>0</v>
      </c>
      <c r="G86" s="88"/>
      <c r="H86" s="88"/>
      <c r="I86" s="44">
        <f t="shared" si="153"/>
        <v>0</v>
      </c>
      <c r="J86" s="89"/>
      <c r="K86" s="90"/>
      <c r="L86" s="44">
        <f t="shared" si="154"/>
        <v>0</v>
      </c>
      <c r="M86" s="90"/>
      <c r="N86" s="90"/>
      <c r="O86" s="44">
        <f t="shared" si="155"/>
        <v>0</v>
      </c>
      <c r="P86" s="90"/>
      <c r="Q86" s="90"/>
      <c r="R86" s="44">
        <f t="shared" si="156"/>
        <v>0</v>
      </c>
      <c r="S86" s="90"/>
      <c r="T86" s="90"/>
      <c r="U86" s="44">
        <f t="shared" si="157"/>
        <v>0</v>
      </c>
      <c r="V86" s="90"/>
      <c r="W86" s="90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7"/>
      <c r="D87" s="88"/>
      <c r="E87" s="88"/>
      <c r="F87" s="44">
        <f t="shared" si="152"/>
        <v>0</v>
      </c>
      <c r="G87" s="88"/>
      <c r="H87" s="88"/>
      <c r="I87" s="44">
        <f t="shared" si="153"/>
        <v>0</v>
      </c>
      <c r="J87" s="89"/>
      <c r="K87" s="90"/>
      <c r="L87" s="44">
        <f t="shared" si="154"/>
        <v>0</v>
      </c>
      <c r="M87" s="90"/>
      <c r="N87" s="90"/>
      <c r="O87" s="44">
        <f t="shared" si="155"/>
        <v>0</v>
      </c>
      <c r="P87" s="90"/>
      <c r="Q87" s="90"/>
      <c r="R87" s="44">
        <f t="shared" si="156"/>
        <v>0</v>
      </c>
      <c r="S87" s="90"/>
      <c r="T87" s="90"/>
      <c r="U87" s="44">
        <f t="shared" si="157"/>
        <v>0</v>
      </c>
      <c r="V87" s="90"/>
      <c r="W87" s="90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7"/>
      <c r="D88" s="88"/>
      <c r="E88" s="88"/>
      <c r="F88" s="44">
        <f t="shared" si="152"/>
        <v>0</v>
      </c>
      <c r="G88" s="88"/>
      <c r="H88" s="88"/>
      <c r="I88" s="44">
        <f t="shared" si="153"/>
        <v>0</v>
      </c>
      <c r="J88" s="89"/>
      <c r="K88" s="90"/>
      <c r="L88" s="44">
        <f t="shared" si="154"/>
        <v>0</v>
      </c>
      <c r="M88" s="90"/>
      <c r="N88" s="90"/>
      <c r="O88" s="44">
        <f t="shared" si="155"/>
        <v>0</v>
      </c>
      <c r="P88" s="90"/>
      <c r="Q88" s="90"/>
      <c r="R88" s="44">
        <f t="shared" si="156"/>
        <v>0</v>
      </c>
      <c r="S88" s="90"/>
      <c r="T88" s="90"/>
      <c r="U88" s="44">
        <f t="shared" si="157"/>
        <v>0</v>
      </c>
      <c r="V88" s="90"/>
      <c r="W88" s="90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7"/>
      <c r="D89" s="88"/>
      <c r="E89" s="88"/>
      <c r="F89" s="44">
        <f t="shared" si="152"/>
        <v>0</v>
      </c>
      <c r="G89" s="88"/>
      <c r="H89" s="88"/>
      <c r="I89" s="44">
        <f t="shared" si="153"/>
        <v>0</v>
      </c>
      <c r="J89" s="89"/>
      <c r="K89" s="90"/>
      <c r="L89" s="44">
        <f t="shared" si="154"/>
        <v>0</v>
      </c>
      <c r="M89" s="90"/>
      <c r="N89" s="90"/>
      <c r="O89" s="44">
        <f t="shared" si="155"/>
        <v>0</v>
      </c>
      <c r="P89" s="90"/>
      <c r="Q89" s="90"/>
      <c r="R89" s="44">
        <f t="shared" si="156"/>
        <v>0</v>
      </c>
      <c r="S89" s="90"/>
      <c r="T89" s="90"/>
      <c r="U89" s="44">
        <f t="shared" si="157"/>
        <v>0</v>
      </c>
      <c r="V89" s="90"/>
      <c r="W89" s="90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7"/>
      <c r="D90" s="88"/>
      <c r="E90" s="88"/>
      <c r="F90" s="44">
        <f t="shared" si="152"/>
        <v>0</v>
      </c>
      <c r="G90" s="88"/>
      <c r="H90" s="88"/>
      <c r="I90" s="44">
        <f t="shared" si="153"/>
        <v>0</v>
      </c>
      <c r="J90" s="89"/>
      <c r="K90" s="90"/>
      <c r="L90" s="44">
        <f t="shared" si="154"/>
        <v>0</v>
      </c>
      <c r="M90" s="90"/>
      <c r="N90" s="90"/>
      <c r="O90" s="44">
        <f t="shared" si="155"/>
        <v>0</v>
      </c>
      <c r="P90" s="90"/>
      <c r="Q90" s="90"/>
      <c r="R90" s="44">
        <f t="shared" si="156"/>
        <v>0</v>
      </c>
      <c r="S90" s="90"/>
      <c r="T90" s="90"/>
      <c r="U90" s="44">
        <f t="shared" si="157"/>
        <v>0</v>
      </c>
      <c r="V90" s="90"/>
      <c r="W90" s="90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7"/>
      <c r="D91" s="88"/>
      <c r="E91" s="88"/>
      <c r="F91" s="44">
        <f t="shared" si="152"/>
        <v>0</v>
      </c>
      <c r="G91" s="88"/>
      <c r="H91" s="88"/>
      <c r="I91" s="44">
        <f t="shared" si="153"/>
        <v>0</v>
      </c>
      <c r="J91" s="89"/>
      <c r="K91" s="90"/>
      <c r="L91" s="44">
        <f t="shared" si="154"/>
        <v>0</v>
      </c>
      <c r="M91" s="90"/>
      <c r="N91" s="90"/>
      <c r="O91" s="44">
        <f t="shared" si="155"/>
        <v>0</v>
      </c>
      <c r="P91" s="90"/>
      <c r="Q91" s="90"/>
      <c r="R91" s="44">
        <f t="shared" si="156"/>
        <v>0</v>
      </c>
      <c r="S91" s="90"/>
      <c r="T91" s="90"/>
      <c r="U91" s="44">
        <f t="shared" si="157"/>
        <v>0</v>
      </c>
      <c r="V91" s="90"/>
      <c r="W91" s="90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7"/>
      <c r="D92" s="88"/>
      <c r="E92" s="88"/>
      <c r="F92" s="44">
        <f t="shared" si="152"/>
        <v>0</v>
      </c>
      <c r="G92" s="88"/>
      <c r="H92" s="88"/>
      <c r="I92" s="44">
        <f t="shared" si="153"/>
        <v>0</v>
      </c>
      <c r="J92" s="89"/>
      <c r="K92" s="90"/>
      <c r="L92" s="44">
        <f t="shared" si="154"/>
        <v>0</v>
      </c>
      <c r="M92" s="90"/>
      <c r="N92" s="90"/>
      <c r="O92" s="44">
        <f t="shared" si="155"/>
        <v>0</v>
      </c>
      <c r="P92" s="90"/>
      <c r="Q92" s="90"/>
      <c r="R92" s="44">
        <f t="shared" si="156"/>
        <v>0</v>
      </c>
      <c r="S92" s="90"/>
      <c r="T92" s="90"/>
      <c r="U92" s="44">
        <f t="shared" si="157"/>
        <v>0</v>
      </c>
      <c r="V92" s="90"/>
      <c r="W92" s="90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7"/>
      <c r="D93" s="88"/>
      <c r="E93" s="88"/>
      <c r="F93" s="44">
        <f t="shared" si="152"/>
        <v>0</v>
      </c>
      <c r="G93" s="88"/>
      <c r="H93" s="88"/>
      <c r="I93" s="44">
        <f t="shared" si="153"/>
        <v>0</v>
      </c>
      <c r="J93" s="89"/>
      <c r="K93" s="90"/>
      <c r="L93" s="44">
        <f t="shared" si="154"/>
        <v>0</v>
      </c>
      <c r="M93" s="90"/>
      <c r="N93" s="90"/>
      <c r="O93" s="44">
        <f t="shared" si="155"/>
        <v>0</v>
      </c>
      <c r="P93" s="90"/>
      <c r="Q93" s="90"/>
      <c r="R93" s="44">
        <f t="shared" si="156"/>
        <v>0</v>
      </c>
      <c r="S93" s="90"/>
      <c r="T93" s="90"/>
      <c r="U93" s="44">
        <f t="shared" si="157"/>
        <v>0</v>
      </c>
      <c r="V93" s="90"/>
      <c r="W93" s="90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7"/>
      <c r="D94" s="88"/>
      <c r="E94" s="88"/>
      <c r="F94" s="44">
        <f t="shared" si="152"/>
        <v>0</v>
      </c>
      <c r="G94" s="88"/>
      <c r="H94" s="88"/>
      <c r="I94" s="44">
        <f t="shared" si="153"/>
        <v>0</v>
      </c>
      <c r="J94" s="89"/>
      <c r="K94" s="90"/>
      <c r="L94" s="44">
        <f t="shared" si="154"/>
        <v>0</v>
      </c>
      <c r="M94" s="90"/>
      <c r="N94" s="90"/>
      <c r="O94" s="44">
        <f t="shared" si="155"/>
        <v>0</v>
      </c>
      <c r="P94" s="90"/>
      <c r="Q94" s="90"/>
      <c r="R94" s="44">
        <f t="shared" si="156"/>
        <v>0</v>
      </c>
      <c r="S94" s="90"/>
      <c r="T94" s="90"/>
      <c r="U94" s="44">
        <f t="shared" si="157"/>
        <v>0</v>
      </c>
      <c r="V94" s="90"/>
      <c r="W94" s="90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7"/>
      <c r="D95" s="88"/>
      <c r="E95" s="88"/>
      <c r="F95" s="44">
        <f t="shared" si="152"/>
        <v>0</v>
      </c>
      <c r="G95" s="88"/>
      <c r="H95" s="88"/>
      <c r="I95" s="44">
        <f t="shared" si="153"/>
        <v>0</v>
      </c>
      <c r="J95" s="89"/>
      <c r="K95" s="90"/>
      <c r="L95" s="44">
        <f t="shared" si="154"/>
        <v>0</v>
      </c>
      <c r="M95" s="90"/>
      <c r="N95" s="90"/>
      <c r="O95" s="44">
        <f t="shared" si="155"/>
        <v>0</v>
      </c>
      <c r="P95" s="90"/>
      <c r="Q95" s="90"/>
      <c r="R95" s="44">
        <f t="shared" si="156"/>
        <v>0</v>
      </c>
      <c r="S95" s="90"/>
      <c r="T95" s="90"/>
      <c r="U95" s="44">
        <f t="shared" si="157"/>
        <v>0</v>
      </c>
      <c r="V95" s="90"/>
      <c r="W95" s="90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7"/>
      <c r="D96" s="88"/>
      <c r="E96" s="88"/>
      <c r="F96" s="44">
        <f t="shared" si="152"/>
        <v>0</v>
      </c>
      <c r="G96" s="88"/>
      <c r="H96" s="88"/>
      <c r="I96" s="44">
        <f t="shared" si="153"/>
        <v>0</v>
      </c>
      <c r="J96" s="89"/>
      <c r="K96" s="90"/>
      <c r="L96" s="44">
        <f t="shared" si="154"/>
        <v>0</v>
      </c>
      <c r="M96" s="90"/>
      <c r="N96" s="90"/>
      <c r="O96" s="44">
        <f t="shared" si="155"/>
        <v>0</v>
      </c>
      <c r="P96" s="90"/>
      <c r="Q96" s="90"/>
      <c r="R96" s="44">
        <f t="shared" si="156"/>
        <v>0</v>
      </c>
      <c r="S96" s="90"/>
      <c r="T96" s="90"/>
      <c r="U96" s="44">
        <f t="shared" si="157"/>
        <v>0</v>
      </c>
      <c r="V96" s="90"/>
      <c r="W96" s="90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7"/>
      <c r="D97" s="88"/>
      <c r="E97" s="88"/>
      <c r="F97" s="44">
        <f t="shared" si="152"/>
        <v>0</v>
      </c>
      <c r="G97" s="88"/>
      <c r="H97" s="88"/>
      <c r="I97" s="44">
        <f t="shared" si="153"/>
        <v>0</v>
      </c>
      <c r="J97" s="89"/>
      <c r="K97" s="90"/>
      <c r="L97" s="44">
        <f t="shared" si="154"/>
        <v>0</v>
      </c>
      <c r="M97" s="90"/>
      <c r="N97" s="90"/>
      <c r="O97" s="44">
        <f t="shared" si="155"/>
        <v>0</v>
      </c>
      <c r="P97" s="90"/>
      <c r="Q97" s="90"/>
      <c r="R97" s="44">
        <f t="shared" si="156"/>
        <v>0</v>
      </c>
      <c r="S97" s="90"/>
      <c r="T97" s="90"/>
      <c r="U97" s="44">
        <f t="shared" si="157"/>
        <v>0</v>
      </c>
      <c r="V97" s="90"/>
      <c r="W97" s="90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7"/>
      <c r="D98" s="88"/>
      <c r="E98" s="88"/>
      <c r="F98" s="44">
        <f t="shared" si="152"/>
        <v>0</v>
      </c>
      <c r="G98" s="88"/>
      <c r="H98" s="88"/>
      <c r="I98" s="44">
        <f t="shared" si="153"/>
        <v>0</v>
      </c>
      <c r="J98" s="89"/>
      <c r="K98" s="90"/>
      <c r="L98" s="44">
        <f t="shared" si="154"/>
        <v>0</v>
      </c>
      <c r="M98" s="90"/>
      <c r="N98" s="90"/>
      <c r="O98" s="44">
        <f t="shared" si="155"/>
        <v>0</v>
      </c>
      <c r="P98" s="90"/>
      <c r="Q98" s="90"/>
      <c r="R98" s="44">
        <f t="shared" si="156"/>
        <v>0</v>
      </c>
      <c r="S98" s="90"/>
      <c r="T98" s="90"/>
      <c r="U98" s="44">
        <f t="shared" si="157"/>
        <v>0</v>
      </c>
      <c r="V98" s="90"/>
      <c r="W98" s="90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7"/>
      <c r="D99" s="88"/>
      <c r="E99" s="88"/>
      <c r="F99" s="44">
        <f t="shared" si="152"/>
        <v>0</v>
      </c>
      <c r="G99" s="88"/>
      <c r="H99" s="88"/>
      <c r="I99" s="44">
        <f t="shared" si="153"/>
        <v>0</v>
      </c>
      <c r="J99" s="89"/>
      <c r="K99" s="90"/>
      <c r="L99" s="44">
        <f t="shared" si="154"/>
        <v>0</v>
      </c>
      <c r="M99" s="90"/>
      <c r="N99" s="90"/>
      <c r="O99" s="44">
        <f t="shared" si="155"/>
        <v>0</v>
      </c>
      <c r="P99" s="90"/>
      <c r="Q99" s="90"/>
      <c r="R99" s="44">
        <f t="shared" si="156"/>
        <v>0</v>
      </c>
      <c r="S99" s="90"/>
      <c r="T99" s="90"/>
      <c r="U99" s="44">
        <f t="shared" si="157"/>
        <v>0</v>
      </c>
      <c r="V99" s="90"/>
      <c r="W99" s="90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7"/>
      <c r="D100" s="88"/>
      <c r="E100" s="88"/>
      <c r="F100" s="44">
        <f t="shared" si="152"/>
        <v>0</v>
      </c>
      <c r="G100" s="88"/>
      <c r="H100" s="88"/>
      <c r="I100" s="44">
        <f t="shared" si="153"/>
        <v>0</v>
      </c>
      <c r="J100" s="89"/>
      <c r="K100" s="90"/>
      <c r="L100" s="44">
        <f t="shared" si="154"/>
        <v>0</v>
      </c>
      <c r="M100" s="90"/>
      <c r="N100" s="90"/>
      <c r="O100" s="44">
        <f t="shared" si="155"/>
        <v>0</v>
      </c>
      <c r="P100" s="90"/>
      <c r="Q100" s="90"/>
      <c r="R100" s="44">
        <f t="shared" si="156"/>
        <v>0</v>
      </c>
      <c r="S100" s="90"/>
      <c r="T100" s="90"/>
      <c r="U100" s="44">
        <f t="shared" si="157"/>
        <v>0</v>
      </c>
      <c r="V100" s="90"/>
      <c r="W100" s="90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21" priority="697" operator="equal">
      <formula>"Pub"</formula>
    </cfRule>
  </conditionalFormatting>
  <conditionalFormatting sqref="F2:F100 I2:I100 L2:L100 O2:O100 R2:R100 U2:U100 X2:AB100 AT2:AT100">
    <cfRule type="cellIs" dxfId="20" priority="699" operator="lessThan">
      <formula>0</formula>
    </cfRule>
    <cfRule type="cellIs" dxfId="19" priority="700" operator="between">
      <formula>3</formula>
      <formula>0.01</formula>
    </cfRule>
    <cfRule type="cellIs" dxfId="18" priority="772" operator="lessThan">
      <formula>SUMIF($C:$C,$C2,F:F)</formula>
    </cfRule>
  </conditionalFormatting>
  <conditionalFormatting sqref="AD12:AD100">
    <cfRule type="notContainsBlanks" dxfId="17" priority="2">
      <formula>LEN(TRIM(AD12))&gt;0</formula>
    </cfRule>
  </conditionalFormatting>
  <conditionalFormatting sqref="AF2:AF100 AJ2:AJ100 AL2:AL100 AN2:AN100 AQ2:AS100">
    <cfRule type="notContainsBlanks" dxfId="16" priority="773">
      <formula>LEN(TRIM(AF2))&gt;0</formula>
    </cfRule>
  </conditionalFormatting>
  <conditionalFormatting sqref="AH2:AH100">
    <cfRule type="notContainsBlanks" dxfId="15" priority="3">
      <formula>LEN(TRIM(AH2))&gt;0</formula>
    </cfRule>
  </conditionalFormatting>
  <conditionalFormatting sqref="AT1">
    <cfRule type="cellIs" dxfId="14" priority="692" operator="equal">
      <formula>"Pub"</formula>
    </cfRule>
  </conditionalFormatting>
  <conditionalFormatting sqref="AD2:AD11">
    <cfRule type="notContainsBlanks" dxfId="1" priority="1">
      <formula>LEN(TRIM(AD2))&gt;0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AE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46048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Pub</v>
      </c>
      <c r="G1" s="71">
        <f>D1+1</f>
        <v>46049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46050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46051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46052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46053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46054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46055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Pub</v>
      </c>
      <c r="BD1" s="36" t="str">
        <f>IF(BC1="Ord","Eve 1", BC1)</f>
        <v>Pub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10306</v>
      </c>
      <c r="B2" s="81" t="s">
        <v>900</v>
      </c>
      <c r="C2" s="91" t="s">
        <v>858</v>
      </c>
      <c r="D2" s="75">
        <v>0.79166666666666663</v>
      </c>
      <c r="E2" s="75">
        <v>0.95902777777777781</v>
      </c>
      <c r="F2" s="92">
        <f>BA2-BB2</f>
        <v>4.0166666666666684</v>
      </c>
      <c r="G2" s="75"/>
      <c r="H2" s="76"/>
      <c r="I2" s="92">
        <f>BF2-BG2</f>
        <v>0</v>
      </c>
      <c r="J2" s="75">
        <v>0.75</v>
      </c>
      <c r="K2" s="76">
        <v>0.95902777777777781</v>
      </c>
      <c r="L2" s="92">
        <f>BK2-BL2</f>
        <v>5.0166666666666675</v>
      </c>
      <c r="M2" s="75"/>
      <c r="N2" s="76"/>
      <c r="O2" s="92">
        <f>BP2-BQ2</f>
        <v>0</v>
      </c>
      <c r="P2" s="75">
        <v>0.7680555555555556</v>
      </c>
      <c r="Q2" s="76">
        <v>0.96597222222222223</v>
      </c>
      <c r="R2" s="92">
        <f>BU2-BV2</f>
        <v>4.7499999999999991</v>
      </c>
      <c r="S2" s="75">
        <v>0.42222222222222222</v>
      </c>
      <c r="T2" s="75">
        <v>0.85416666666666663</v>
      </c>
      <c r="U2" s="92">
        <f>BZ2-CA2</f>
        <v>9.3666666666666654</v>
      </c>
      <c r="V2" s="75"/>
      <c r="W2" s="103"/>
      <c r="X2" s="92">
        <f>CE2-CF2</f>
        <v>0</v>
      </c>
      <c r="Y2" s="92"/>
      <c r="Z2" s="92"/>
      <c r="AA2" s="92"/>
      <c r="AB2" s="96">
        <f>SUM(F2,I2,L2,O2,R2,U2,X2)</f>
        <v>23.15</v>
      </c>
      <c r="AC2" s="93"/>
      <c r="AD2" s="78">
        <v>1</v>
      </c>
      <c r="AE2" s="94">
        <f>SUMIF($BC$1:$CI$1,AE$1,$BC2:$CI2)+AD2</f>
        <v>8.5666666666666629</v>
      </c>
      <c r="AF2" s="78"/>
      <c r="AG2" s="94">
        <f>SUMIF($BC$1:$CI$1,AG$1,$BC2:$CI2)+AF2</f>
        <v>9.3666666666666654</v>
      </c>
      <c r="AH2" s="78"/>
      <c r="AI2" s="94">
        <f>SUMIF($BC$1:$CI$1,AI$1,$BC2:$CI2)+AH2</f>
        <v>0</v>
      </c>
      <c r="AJ2" s="77"/>
      <c r="AK2" s="94">
        <f>SUMIF($BC$1:$CI$1,AK$1,$BC2:$CI2)+AJ2</f>
        <v>4.0166666666666684</v>
      </c>
      <c r="AL2" s="78"/>
      <c r="AM2" s="94">
        <f>SUMIF($BC$1:$CI$1,AM$1,$BC2:$CI2)+AL2</f>
        <v>2.2000000000000028</v>
      </c>
      <c r="AN2" s="77"/>
      <c r="AO2" s="94">
        <f>SUMIF($BC$1:$CI$1,AO$1,$BC2:$CI2)+AN2</f>
        <v>0</v>
      </c>
      <c r="AP2" s="95">
        <f>CK2</f>
        <v>4</v>
      </c>
      <c r="AQ2" s="77"/>
      <c r="AR2" s="77"/>
      <c r="AS2" s="77"/>
      <c r="AT2" s="63">
        <f>AE2+AG2+AI2+AK2+AM2+AO2+SUM(AQ2:AS2)</f>
        <v>24.150000000000002</v>
      </c>
      <c r="AU2" s="105" t="s">
        <v>1519</v>
      </c>
      <c r="AV2" s="5"/>
      <c r="AW2" s="5"/>
      <c r="AX2" s="5"/>
      <c r="AY2" s="5"/>
      <c r="AZ2" s="24">
        <f>VLOOKUP(C2,Employees!D:I,6,FALSE)</f>
        <v>10306</v>
      </c>
      <c r="BA2" s="5">
        <f>IF(ISBLANK(D2),0,(E2-D2)*24)</f>
        <v>4.0166666666666684</v>
      </c>
      <c r="BB2" s="5">
        <f>IF(BA2&gt;$AY$1,1,IF(BA2&gt;=$AX$1,0.5,0))</f>
        <v>0</v>
      </c>
      <c r="BC2" s="5">
        <f>BA2-BB2-BD2-BE2</f>
        <v>3</v>
      </c>
      <c r="BD2" s="5">
        <f>IF(AND(E2&gt;$AV$1, D2&lt;$AW$1),(MIN(E2,$AW$1)-MAX(D2,$AV$1))*24,0)</f>
        <v>1.0166666666666684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5.0166666666666675</v>
      </c>
      <c r="BL2" s="5">
        <f>IF(BK2&gt;$AY$1,1,IF(BK2&gt;=$AX$1,0.5,0))</f>
        <v>0</v>
      </c>
      <c r="BM2" s="5">
        <f>BK2-BL2-BN2-BO2</f>
        <v>3.9999999999999991</v>
      </c>
      <c r="BN2" s="5">
        <f>IF(AND(K2&gt;$AV$1, J2&lt;$AW$1),(MIN(K2,$AW$1)-MAX(J2,$AV$1))*24,0)</f>
        <v>1.0166666666666684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4.7499999999999991</v>
      </c>
      <c r="BV2" s="5">
        <f>IF(BU2&gt;$AY$1,1,IF(BU2&gt;=$AX$1,0.5,0))</f>
        <v>0</v>
      </c>
      <c r="BW2" s="5">
        <f>BU2-BV2-BX2-BY2</f>
        <v>3.5666666666666647</v>
      </c>
      <c r="BX2" s="5">
        <f>IF(AND(Q2&gt;$AV$1, P2&lt;$AW$1),(MIN(Q2,$AW$1)-MAX(P2,$AV$1))*24,0)</f>
        <v>1.1833333333333345</v>
      </c>
      <c r="BY2" s="5">
        <f t="shared" ref="BY2" si="5">IF(Q2&gt;$AW$1,(Q2-MAX(P2,$AW$1))*24,0)</f>
        <v>0</v>
      </c>
      <c r="BZ2" s="5">
        <f t="shared" ref="BZ2" si="6">IF(ISBLANK(S2),0,(T2-S2)*24)</f>
        <v>10.366666666666665</v>
      </c>
      <c r="CA2" s="5">
        <f>IF(BZ2&gt;$AY$1,1,IF(BZ2&gt;=$AX$1,0.5,0))</f>
        <v>1</v>
      </c>
      <c r="CB2" s="5">
        <f>BZ2-CA2-CC2-CD2</f>
        <v>9.3666666666666654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4</v>
      </c>
    </row>
    <row r="3" spans="1:89" ht="47" customHeight="1">
      <c r="A3" s="74">
        <f t="shared" si="0"/>
        <v>10386</v>
      </c>
      <c r="B3" s="81" t="s">
        <v>900</v>
      </c>
      <c r="C3" s="91" t="s">
        <v>1064</v>
      </c>
      <c r="D3" s="75">
        <v>0.41666666666666669</v>
      </c>
      <c r="E3" s="75">
        <v>0.60555555555555551</v>
      </c>
      <c r="F3" s="92">
        <f t="shared" ref="F3:F74" si="9">BA3-BB3</f>
        <v>4.5333333333333314</v>
      </c>
      <c r="G3" s="75"/>
      <c r="H3" s="75"/>
      <c r="I3" s="92">
        <f t="shared" ref="I3:I74" si="10">BF3-BG3</f>
        <v>0</v>
      </c>
      <c r="J3" s="75">
        <v>0.41666666666666669</v>
      </c>
      <c r="K3" s="75">
        <v>0.75138888888888888</v>
      </c>
      <c r="L3" s="92">
        <f t="shared" ref="L3:L74" si="11">BK3-BL3</f>
        <v>7.5333333333333332</v>
      </c>
      <c r="M3" s="75">
        <v>0.41666666666666669</v>
      </c>
      <c r="N3" s="75">
        <v>0.75277777777777777</v>
      </c>
      <c r="O3" s="92">
        <f t="shared" ref="O3:O74" si="12">BP3-BQ3</f>
        <v>7.5666666666666664</v>
      </c>
      <c r="P3" s="84">
        <v>0.41666666666666669</v>
      </c>
      <c r="Q3" s="84">
        <v>0.75138888888888888</v>
      </c>
      <c r="R3" s="92">
        <f t="shared" ref="R3:R74" si="13">BU3-BV3</f>
        <v>7.5333333333333332</v>
      </c>
      <c r="S3" s="84">
        <v>0.70833333333333337</v>
      </c>
      <c r="T3" s="84">
        <v>0.96250000000000002</v>
      </c>
      <c r="U3" s="92">
        <f t="shared" ref="U3:U74" si="14">BZ3-CA3</f>
        <v>5.6</v>
      </c>
      <c r="V3" s="75">
        <v>0.59652777777777777</v>
      </c>
      <c r="W3" s="75">
        <v>0.96111111111111114</v>
      </c>
      <c r="X3" s="92">
        <f t="shared" ref="X3:X74" si="15">CE3-CF3</f>
        <v>8.25</v>
      </c>
      <c r="Y3" s="92"/>
      <c r="Z3" s="92"/>
      <c r="AA3" s="92"/>
      <c r="AB3" s="96">
        <f t="shared" ref="AB3:AB74" si="16">SUM(F3,I3,L3,O3,R3,U3,X3)</f>
        <v>41.016666666666666</v>
      </c>
      <c r="AC3" s="93"/>
      <c r="AD3" s="78">
        <f>0.5+0.5+0.5</f>
        <v>1.5</v>
      </c>
      <c r="AE3" s="94">
        <f t="shared" ref="AE3:AE74" si="17">SUMIF($BC$1:$CI$1,AE$1,$BC3:$CI3)+AD3</f>
        <v>24.133333333333333</v>
      </c>
      <c r="AF3" s="78">
        <v>0.5</v>
      </c>
      <c r="AG3" s="94">
        <f t="shared" ref="AG3:AG74" si="18">SUMIF($BC$1:$CI$1,AG$1,$BC3:$CI3)+AF3</f>
        <v>6.1</v>
      </c>
      <c r="AH3" s="78"/>
      <c r="AI3" s="94">
        <f t="shared" ref="AI3:AI74" si="19">SUMIF($BC$1:$CI$1,AI$1,$BC3:$CI3)+AH3</f>
        <v>8.25</v>
      </c>
      <c r="AJ3" s="77"/>
      <c r="AK3" s="94">
        <f t="shared" ref="AK3:AK74" si="20">SUMIF($BC$1:$CI$1,AK$1,$BC3:$CI3)+AJ3</f>
        <v>4.5333333333333314</v>
      </c>
      <c r="AL3" s="78"/>
      <c r="AM3" s="94">
        <f t="shared" ref="AM3:AM74" si="21">SUMIF($BC$1:$CI$1,AM$1,$BC3:$CI3)+AL3</f>
        <v>0</v>
      </c>
      <c r="AN3" s="77"/>
      <c r="AO3" s="94">
        <f t="shared" ref="AO3:AO74" si="22">SUMIF($BC$1:$CI$1,AO$1,$BC3:$CI3)+AN3</f>
        <v>0</v>
      </c>
      <c r="AP3" s="95">
        <f t="shared" ref="AP3:AP74" si="23">CK3</f>
        <v>6</v>
      </c>
      <c r="AQ3" s="77"/>
      <c r="AR3" s="77"/>
      <c r="AS3" s="77"/>
      <c r="AT3" s="63">
        <f t="shared" ref="AT3:AT74" si="24">AE3+AG3+AI3+AK3+AM3+AO3+SUM(AQ3:AS3)</f>
        <v>43.016666666666666</v>
      </c>
      <c r="AU3" s="105" t="s">
        <v>1520</v>
      </c>
      <c r="AV3" s="5"/>
      <c r="AW3" s="5"/>
      <c r="AX3" s="5"/>
      <c r="AY3" s="5"/>
      <c r="AZ3" s="24">
        <f>VLOOKUP(C3,Employees!D:I,6,FALSE)</f>
        <v>10386</v>
      </c>
      <c r="BA3" s="5">
        <f t="shared" ref="BA3:BA66" si="25">IF(ISBLANK(D3),0,(E3-D3)*24)</f>
        <v>4.5333333333333314</v>
      </c>
      <c r="BB3" s="5">
        <f t="shared" ref="BB3:BB66" si="26">IF(BA3&gt;$AY$1,1,IF(BA3&gt;=$AX$1,0.5,0))</f>
        <v>0</v>
      </c>
      <c r="BC3" s="5">
        <f t="shared" ref="BC3:BC66" si="27">BA3-BB3-BD3-BE3</f>
        <v>4.5333333333333314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8.0333333333333332</v>
      </c>
      <c r="BL3" s="5">
        <f t="shared" ref="BL3:BL66" si="36">IF(BK3&gt;$AY$1,1,IF(BK3&gt;=$AX$1,0.5,0))</f>
        <v>0.5</v>
      </c>
      <c r="BM3" s="5">
        <f t="shared" ref="BM3:BM66" si="37">BK3-BL3-BN3-BO3</f>
        <v>7.5333333333333332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8.0666666666666664</v>
      </c>
      <c r="BQ3" s="5">
        <f t="shared" ref="BQ3:BQ66" si="41">IF(BP3&gt;$AY$1,1,IF(BP3&gt;=$AX$1,0.5,0))</f>
        <v>0.5</v>
      </c>
      <c r="BR3" s="5">
        <f t="shared" ref="BR3:BR66" si="42">BP3-BQ3-BS3-BT3</f>
        <v>7.5666666666666664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8.0333333333333332</v>
      </c>
      <c r="BV3" s="5">
        <f t="shared" ref="BV3:BV66" si="46">IF(BU3&gt;$AY$1,1,IF(BU3&gt;=$AX$1,0.5,0))</f>
        <v>0.5</v>
      </c>
      <c r="BW3" s="5">
        <f t="shared" ref="BW3:BW66" si="47">BU3-BV3-BX3-BY3</f>
        <v>7.5333333333333332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6.1</v>
      </c>
      <c r="CA3" s="5">
        <f t="shared" ref="CA3:CA66" si="51">IF(BZ3&gt;$AY$1,1,IF(BZ3&gt;=$AX$1,0.5,0))</f>
        <v>0.5</v>
      </c>
      <c r="CB3" s="5">
        <f t="shared" ref="CB3:CB66" si="52">BZ3-CA3-CC3-CD3</f>
        <v>4.4999999999999982</v>
      </c>
      <c r="CC3" s="5">
        <f t="shared" ref="CC3:CC66" si="53">IF(AND(T3&gt;$AV$1, S3&lt;$AW$1),(MIN(T3,$AW$1)-MAX(S3,$AV$1))*24,0)</f>
        <v>1.1000000000000014</v>
      </c>
      <c r="CD3" s="5">
        <f t="shared" ref="CD3:CD66" si="54">IF(T3&gt;$AW$1,(T3-MAX(S3,$AW$1))*24,0)</f>
        <v>0</v>
      </c>
      <c r="CE3" s="5">
        <f t="shared" ref="CE3:CE66" si="55">IF(ISBLANK(V3),0,(W3-V3)*24)</f>
        <v>8.75</v>
      </c>
      <c r="CF3" s="5">
        <f t="shared" ref="CF3:CF66" si="56">IF(CE3&gt;$AY$1,1,IF(CE3&gt;=$AX$1,0.5,0))</f>
        <v>0.5</v>
      </c>
      <c r="CG3" s="5">
        <f t="shared" ref="CG3:CG66" si="57">CE3-CF3-CH3-CI3</f>
        <v>7.1833333333333318</v>
      </c>
      <c r="CH3" s="5">
        <f t="shared" ref="CH3:CH66" si="58">IF(AND(W3&gt;$AV$1, V3&lt;$AW$1),(MIN(W3,$AW$1)-MAX(V3,$AV$1))*24,0)</f>
        <v>1.0666666666666682</v>
      </c>
      <c r="CI3" s="5">
        <f t="shared" ref="CI3:CI66" si="59">IF(W3&gt;$AW$1,(W3-MAX(V3,$AW$1))*24,0)</f>
        <v>0</v>
      </c>
      <c r="CJ3" s="5"/>
      <c r="CK3" s="4">
        <f t="shared" si="8"/>
        <v>6</v>
      </c>
    </row>
    <row r="4" spans="1:89" ht="47" customHeight="1">
      <c r="A4" s="74">
        <f t="shared" si="0"/>
        <v>10376</v>
      </c>
      <c r="B4" s="81" t="s">
        <v>900</v>
      </c>
      <c r="C4" s="85" t="s">
        <v>1035</v>
      </c>
      <c r="D4" s="75">
        <v>0.60555555555555551</v>
      </c>
      <c r="E4" s="75">
        <v>0.79236111111111107</v>
      </c>
      <c r="F4" s="92">
        <f t="shared" si="9"/>
        <v>4.4833333333333334</v>
      </c>
      <c r="G4" s="75">
        <v>0.45833333333333331</v>
      </c>
      <c r="H4" s="75">
        <v>0.75138888888888888</v>
      </c>
      <c r="I4" s="92">
        <f t="shared" si="10"/>
        <v>6.5333333333333332</v>
      </c>
      <c r="J4" s="75"/>
      <c r="K4" s="75"/>
      <c r="L4" s="92">
        <f t="shared" si="11"/>
        <v>0</v>
      </c>
      <c r="M4" s="75"/>
      <c r="N4" s="75"/>
      <c r="O4" s="92">
        <f t="shared" si="12"/>
        <v>0</v>
      </c>
      <c r="P4" s="75"/>
      <c r="Q4" s="75"/>
      <c r="R4" s="92">
        <f t="shared" si="13"/>
        <v>0</v>
      </c>
      <c r="S4" s="75"/>
      <c r="T4" s="75"/>
      <c r="U4" s="92">
        <f t="shared" si="14"/>
        <v>0</v>
      </c>
      <c r="V4" s="75"/>
      <c r="W4" s="75"/>
      <c r="X4" s="92">
        <f t="shared" si="15"/>
        <v>0</v>
      </c>
      <c r="Y4" s="92"/>
      <c r="Z4" s="92"/>
      <c r="AA4" s="92"/>
      <c r="AB4" s="96">
        <f t="shared" si="16"/>
        <v>11.016666666666666</v>
      </c>
      <c r="AC4" s="93"/>
      <c r="AD4" s="78">
        <v>0.5</v>
      </c>
      <c r="AE4" s="94">
        <f t="shared" si="17"/>
        <v>7.0333333333333332</v>
      </c>
      <c r="AF4" s="78"/>
      <c r="AG4" s="94">
        <f t="shared" si="18"/>
        <v>0</v>
      </c>
      <c r="AH4" s="78"/>
      <c r="AI4" s="94">
        <f t="shared" si="19"/>
        <v>0</v>
      </c>
      <c r="AJ4" s="77"/>
      <c r="AK4" s="94">
        <f t="shared" si="20"/>
        <v>4.4833333333333334</v>
      </c>
      <c r="AL4" s="78"/>
      <c r="AM4" s="94">
        <f t="shared" si="21"/>
        <v>0</v>
      </c>
      <c r="AN4" s="77"/>
      <c r="AO4" s="94">
        <f t="shared" si="22"/>
        <v>0</v>
      </c>
      <c r="AP4" s="95">
        <f t="shared" si="23"/>
        <v>2</v>
      </c>
      <c r="AQ4" s="77"/>
      <c r="AR4" s="77"/>
      <c r="AS4" s="77"/>
      <c r="AT4" s="63">
        <f t="shared" si="24"/>
        <v>11.516666666666666</v>
      </c>
      <c r="AU4" s="105" t="s">
        <v>1521</v>
      </c>
      <c r="AV4" s="5"/>
      <c r="AW4" s="5"/>
      <c r="AX4" s="5"/>
      <c r="AY4" s="5"/>
      <c r="AZ4" s="24">
        <f>VLOOKUP(C4,Employees!D:I,6,FALSE)</f>
        <v>10376</v>
      </c>
      <c r="BA4" s="5">
        <f t="shared" si="25"/>
        <v>4.4833333333333334</v>
      </c>
      <c r="BB4" s="5">
        <f t="shared" si="26"/>
        <v>0</v>
      </c>
      <c r="BC4" s="5">
        <f t="shared" si="27"/>
        <v>4.4833333333333334</v>
      </c>
      <c r="BD4" s="5">
        <f t="shared" si="28"/>
        <v>0</v>
      </c>
      <c r="BE4" s="5">
        <f t="shared" si="29"/>
        <v>0</v>
      </c>
      <c r="BF4" s="5">
        <f t="shared" si="30"/>
        <v>7.0333333333333332</v>
      </c>
      <c r="BG4" s="5">
        <f t="shared" si="31"/>
        <v>0.5</v>
      </c>
      <c r="BH4" s="5">
        <f t="shared" si="32"/>
        <v>6.5333333333333332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2</v>
      </c>
    </row>
    <row r="5" spans="1:89" ht="47" customHeight="1">
      <c r="A5" s="74">
        <f t="shared" si="0"/>
        <v>210432</v>
      </c>
      <c r="B5" s="81" t="s">
        <v>900</v>
      </c>
      <c r="C5" s="85" t="s">
        <v>1184</v>
      </c>
      <c r="D5" s="76"/>
      <c r="E5" s="75"/>
      <c r="F5" s="92">
        <f t="shared" si="9"/>
        <v>0</v>
      </c>
      <c r="G5" s="75">
        <v>0.75972222222222219</v>
      </c>
      <c r="H5" s="76">
        <v>0.96180555555555558</v>
      </c>
      <c r="I5" s="92">
        <f t="shared" si="10"/>
        <v>4.8500000000000014</v>
      </c>
      <c r="J5" s="76"/>
      <c r="K5" s="76"/>
      <c r="L5" s="92">
        <f t="shared" si="11"/>
        <v>0</v>
      </c>
      <c r="M5" s="75">
        <v>0.75277777777777777</v>
      </c>
      <c r="N5" s="75">
        <v>0.97152777777777777</v>
      </c>
      <c r="O5" s="92">
        <f t="shared" si="12"/>
        <v>5.25</v>
      </c>
      <c r="P5" s="75"/>
      <c r="Q5" s="75"/>
      <c r="R5" s="92">
        <f t="shared" si="13"/>
        <v>0</v>
      </c>
      <c r="S5" s="76"/>
      <c r="T5" s="75"/>
      <c r="U5" s="92">
        <f t="shared" si="14"/>
        <v>0</v>
      </c>
      <c r="V5" s="75">
        <v>0.42499999999999999</v>
      </c>
      <c r="W5" s="76">
        <v>0.79305555555555551</v>
      </c>
      <c r="X5" s="92">
        <f t="shared" si="15"/>
        <v>8.3333333333333321</v>
      </c>
      <c r="Y5" s="92"/>
      <c r="Z5" s="92"/>
      <c r="AA5" s="92"/>
      <c r="AB5" s="96">
        <f t="shared" si="16"/>
        <v>18.433333333333334</v>
      </c>
      <c r="AC5" s="93"/>
      <c r="AD5" s="78"/>
      <c r="AE5" s="94">
        <f t="shared" si="17"/>
        <v>7.6999999999999993</v>
      </c>
      <c r="AF5" s="78"/>
      <c r="AG5" s="94">
        <f t="shared" si="18"/>
        <v>0</v>
      </c>
      <c r="AH5" s="78"/>
      <c r="AI5" s="94">
        <f t="shared" si="19"/>
        <v>8.3333333333333321</v>
      </c>
      <c r="AJ5" s="77"/>
      <c r="AK5" s="94">
        <f t="shared" si="20"/>
        <v>0</v>
      </c>
      <c r="AL5" s="78"/>
      <c r="AM5" s="94">
        <f t="shared" si="21"/>
        <v>2.4000000000000021</v>
      </c>
      <c r="AN5" s="77"/>
      <c r="AO5" s="94">
        <f t="shared" si="22"/>
        <v>0</v>
      </c>
      <c r="AP5" s="95">
        <f t="shared" si="23"/>
        <v>3</v>
      </c>
      <c r="AQ5" s="77"/>
      <c r="AR5" s="77"/>
      <c r="AS5" s="77"/>
      <c r="AT5" s="63">
        <f t="shared" si="24"/>
        <v>18.433333333333334</v>
      </c>
      <c r="AU5" s="78"/>
      <c r="AV5" s="5"/>
      <c r="AW5" s="5"/>
      <c r="AX5" s="5"/>
      <c r="AY5" s="5"/>
      <c r="AZ5" s="24">
        <f>VLOOKUP(C5,Employees!D:I,6,FALSE)</f>
        <v>210432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4.8500000000000014</v>
      </c>
      <c r="BG5" s="5">
        <f t="shared" si="31"/>
        <v>0</v>
      </c>
      <c r="BH5" s="5">
        <f t="shared" si="32"/>
        <v>3.7666666666666666</v>
      </c>
      <c r="BI5" s="5">
        <f t="shared" si="33"/>
        <v>1.0833333333333348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5.25</v>
      </c>
      <c r="BQ5" s="5">
        <f t="shared" si="41"/>
        <v>0</v>
      </c>
      <c r="BR5" s="5">
        <f t="shared" si="42"/>
        <v>3.9333333333333327</v>
      </c>
      <c r="BS5" s="5">
        <f t="shared" si="43"/>
        <v>1.3166666666666673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8.8333333333333321</v>
      </c>
      <c r="CF5" s="5">
        <f t="shared" si="56"/>
        <v>0.5</v>
      </c>
      <c r="CG5" s="5">
        <f t="shared" si="57"/>
        <v>8.3333333333333321</v>
      </c>
      <c r="CH5" s="5">
        <f t="shared" si="58"/>
        <v>0</v>
      </c>
      <c r="CI5" s="5">
        <f t="shared" si="59"/>
        <v>0</v>
      </c>
      <c r="CJ5" s="5"/>
      <c r="CK5" s="4">
        <f t="shared" si="8"/>
        <v>3</v>
      </c>
    </row>
    <row r="6" spans="1:89" ht="47" customHeight="1">
      <c r="A6" s="74">
        <f t="shared" si="0"/>
        <v>210553</v>
      </c>
      <c r="B6" s="81" t="s">
        <v>900</v>
      </c>
      <c r="C6" s="85" t="s">
        <v>1507</v>
      </c>
      <c r="D6" s="76"/>
      <c r="E6" s="75"/>
      <c r="F6" s="92">
        <f t="shared" si="9"/>
        <v>0</v>
      </c>
      <c r="G6" s="75">
        <v>0.41666666666666669</v>
      </c>
      <c r="H6" s="76">
        <v>0.62569444444444444</v>
      </c>
      <c r="I6" s="92">
        <f t="shared" si="10"/>
        <v>5.0166666666666657</v>
      </c>
      <c r="J6" s="76"/>
      <c r="K6" s="76"/>
      <c r="L6" s="92">
        <f t="shared" si="11"/>
        <v>0</v>
      </c>
      <c r="M6" s="76"/>
      <c r="N6" s="76"/>
      <c r="O6" s="92">
        <f t="shared" si="12"/>
        <v>0</v>
      </c>
      <c r="P6" s="76">
        <v>0.75</v>
      </c>
      <c r="Q6" s="75">
        <v>0.96666666666666667</v>
      </c>
      <c r="R6" s="92">
        <f t="shared" si="13"/>
        <v>5.2</v>
      </c>
      <c r="S6" s="75"/>
      <c r="T6" s="75"/>
      <c r="U6" s="92">
        <f t="shared" si="14"/>
        <v>0</v>
      </c>
      <c r="V6" s="75"/>
      <c r="W6" s="76"/>
      <c r="X6" s="92">
        <f t="shared" si="15"/>
        <v>0</v>
      </c>
      <c r="Y6" s="92"/>
      <c r="Z6" s="92"/>
      <c r="AA6" s="92"/>
      <c r="AB6" s="96">
        <f t="shared" si="16"/>
        <v>10.216666666666665</v>
      </c>
      <c r="AC6" s="93"/>
      <c r="AD6" s="78"/>
      <c r="AE6" s="94">
        <f t="shared" si="17"/>
        <v>9.0166666666666657</v>
      </c>
      <c r="AF6" s="78"/>
      <c r="AG6" s="94">
        <f t="shared" si="18"/>
        <v>0</v>
      </c>
      <c r="AH6" s="78"/>
      <c r="AI6" s="94">
        <f t="shared" si="19"/>
        <v>0</v>
      </c>
      <c r="AJ6" s="77"/>
      <c r="AK6" s="94">
        <f t="shared" si="20"/>
        <v>0</v>
      </c>
      <c r="AL6" s="78"/>
      <c r="AM6" s="94">
        <f t="shared" si="21"/>
        <v>1.2000000000000011</v>
      </c>
      <c r="AN6" s="77"/>
      <c r="AO6" s="94">
        <f t="shared" si="22"/>
        <v>0</v>
      </c>
      <c r="AP6" s="95">
        <f t="shared" si="23"/>
        <v>2</v>
      </c>
      <c r="AQ6" s="77"/>
      <c r="AR6" s="77"/>
      <c r="AS6" s="77"/>
      <c r="AT6" s="63">
        <f t="shared" si="24"/>
        <v>10.216666666666667</v>
      </c>
      <c r="AU6" s="78"/>
      <c r="AV6" s="5"/>
      <c r="AW6" s="5"/>
      <c r="AX6" s="5"/>
      <c r="AY6" s="5"/>
      <c r="AZ6" s="24">
        <f>VLOOKUP(C6,Employees!D:I,6,FALSE)</f>
        <v>210553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5.0166666666666657</v>
      </c>
      <c r="BG6" s="5">
        <f t="shared" si="31"/>
        <v>0</v>
      </c>
      <c r="BH6" s="5">
        <f t="shared" si="32"/>
        <v>5.0166666666666657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5.2</v>
      </c>
      <c r="BV6" s="5">
        <f t="shared" si="46"/>
        <v>0</v>
      </c>
      <c r="BW6" s="5">
        <f t="shared" si="47"/>
        <v>3.9999999999999991</v>
      </c>
      <c r="BX6" s="5">
        <f t="shared" si="48"/>
        <v>1.2000000000000011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2</v>
      </c>
    </row>
    <row r="7" spans="1:89" ht="47" customHeight="1">
      <c r="A7" s="74" t="str">
        <f t="shared" si="0"/>
        <v/>
      </c>
      <c r="B7" s="81"/>
      <c r="C7" s="102"/>
      <c r="D7" s="76"/>
      <c r="E7" s="76"/>
      <c r="F7" s="92">
        <f t="shared" si="9"/>
        <v>0</v>
      </c>
      <c r="G7" s="76"/>
      <c r="H7" s="76"/>
      <c r="I7" s="92">
        <f t="shared" si="10"/>
        <v>0</v>
      </c>
      <c r="J7" s="76"/>
      <c r="K7" s="76"/>
      <c r="L7" s="92">
        <f t="shared" si="11"/>
        <v>0</v>
      </c>
      <c r="M7" s="76"/>
      <c r="N7" s="76"/>
      <c r="O7" s="92">
        <f t="shared" si="12"/>
        <v>0</v>
      </c>
      <c r="P7" s="76"/>
      <c r="Q7" s="75"/>
      <c r="R7" s="92">
        <f t="shared" si="13"/>
        <v>0</v>
      </c>
      <c r="S7" s="76"/>
      <c r="T7" s="75"/>
      <c r="U7" s="92">
        <f t="shared" si="14"/>
        <v>0</v>
      </c>
      <c r="V7" s="75"/>
      <c r="W7" s="76"/>
      <c r="X7" s="92">
        <f t="shared" si="15"/>
        <v>0</v>
      </c>
      <c r="Y7" s="92"/>
      <c r="Z7" s="92"/>
      <c r="AA7" s="92"/>
      <c r="AB7" s="96">
        <f t="shared" si="16"/>
        <v>0</v>
      </c>
      <c r="AC7" s="93"/>
      <c r="AD7" s="78"/>
      <c r="AE7" s="94">
        <f t="shared" si="17"/>
        <v>0</v>
      </c>
      <c r="AF7" s="77"/>
      <c r="AG7" s="94">
        <f t="shared" si="18"/>
        <v>0</v>
      </c>
      <c r="AH7" s="78"/>
      <c r="AI7" s="94">
        <f t="shared" si="19"/>
        <v>0</v>
      </c>
      <c r="AJ7" s="77"/>
      <c r="AK7" s="94">
        <f t="shared" si="20"/>
        <v>0</v>
      </c>
      <c r="AL7" s="78"/>
      <c r="AM7" s="94">
        <f t="shared" si="21"/>
        <v>0</v>
      </c>
      <c r="AN7" s="77"/>
      <c r="AO7" s="94">
        <f t="shared" si="22"/>
        <v>0</v>
      </c>
      <c r="AP7" s="95">
        <f t="shared" si="23"/>
        <v>0</v>
      </c>
      <c r="AQ7" s="77"/>
      <c r="AR7" s="77"/>
      <c r="AS7" s="77"/>
      <c r="AT7" s="63">
        <f t="shared" si="24"/>
        <v>0</v>
      </c>
      <c r="AU7" s="78"/>
      <c r="AV7" s="5"/>
      <c r="AW7" s="5"/>
      <c r="AX7" s="5"/>
      <c r="AY7" s="5"/>
      <c r="AZ7" s="24" t="e">
        <f>VLOOKUP(C7,Employees!D:I,6,FALSE)</f>
        <v>#N/A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0</v>
      </c>
    </row>
    <row r="8" spans="1:89" ht="47" customHeight="1">
      <c r="A8" s="74" t="str">
        <f t="shared" si="0"/>
        <v/>
      </c>
      <c r="B8" s="81"/>
      <c r="C8" s="85"/>
      <c r="D8" s="76"/>
      <c r="E8" s="76"/>
      <c r="F8" s="92">
        <f t="shared" si="9"/>
        <v>0</v>
      </c>
      <c r="G8" s="76"/>
      <c r="H8" s="75"/>
      <c r="I8" s="92">
        <f t="shared" si="10"/>
        <v>0</v>
      </c>
      <c r="J8" s="76"/>
      <c r="K8" s="75"/>
      <c r="L8" s="92">
        <f t="shared" si="11"/>
        <v>0</v>
      </c>
      <c r="M8" s="76"/>
      <c r="N8" s="75"/>
      <c r="O8" s="92">
        <f t="shared" si="12"/>
        <v>0</v>
      </c>
      <c r="P8" s="76"/>
      <c r="Q8" s="76"/>
      <c r="R8" s="92">
        <f t="shared" si="13"/>
        <v>0</v>
      </c>
      <c r="S8" s="76"/>
      <c r="T8" s="76"/>
      <c r="U8" s="92">
        <f t="shared" si="14"/>
        <v>0</v>
      </c>
      <c r="V8" s="76"/>
      <c r="W8" s="76"/>
      <c r="X8" s="92">
        <f t="shared" si="15"/>
        <v>0</v>
      </c>
      <c r="Y8" s="92"/>
      <c r="Z8" s="92"/>
      <c r="AA8" s="92"/>
      <c r="AB8" s="96">
        <f t="shared" si="16"/>
        <v>0</v>
      </c>
      <c r="AC8" s="93"/>
      <c r="AD8" s="78"/>
      <c r="AE8" s="94">
        <f t="shared" si="17"/>
        <v>0</v>
      </c>
      <c r="AF8" s="77"/>
      <c r="AG8" s="94">
        <f t="shared" si="18"/>
        <v>0</v>
      </c>
      <c r="AH8" s="78"/>
      <c r="AI8" s="94">
        <f t="shared" si="19"/>
        <v>0</v>
      </c>
      <c r="AJ8" s="77"/>
      <c r="AK8" s="94">
        <f t="shared" si="20"/>
        <v>0</v>
      </c>
      <c r="AL8" s="78"/>
      <c r="AM8" s="94">
        <f t="shared" si="21"/>
        <v>0</v>
      </c>
      <c r="AN8" s="77"/>
      <c r="AO8" s="94">
        <f t="shared" si="22"/>
        <v>0</v>
      </c>
      <c r="AP8" s="95">
        <f t="shared" si="23"/>
        <v>0</v>
      </c>
      <c r="AQ8" s="77"/>
      <c r="AR8" s="77"/>
      <c r="AS8" s="77"/>
      <c r="AT8" s="63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0</v>
      </c>
    </row>
    <row r="9" spans="1:89" ht="47" customHeight="1">
      <c r="A9" s="74" t="str">
        <f t="shared" si="0"/>
        <v/>
      </c>
      <c r="B9" s="81"/>
      <c r="C9" s="85"/>
      <c r="D9" s="76"/>
      <c r="E9" s="75"/>
      <c r="F9" s="92">
        <f t="shared" si="9"/>
        <v>0</v>
      </c>
      <c r="G9" s="75"/>
      <c r="H9" s="76"/>
      <c r="I9" s="92">
        <f t="shared" si="10"/>
        <v>0</v>
      </c>
      <c r="J9" s="76"/>
      <c r="K9" s="76"/>
      <c r="L9" s="92">
        <f t="shared" si="11"/>
        <v>0</v>
      </c>
      <c r="M9" s="75"/>
      <c r="N9" s="75"/>
      <c r="O9" s="92">
        <f t="shared" si="12"/>
        <v>0</v>
      </c>
      <c r="P9" s="76"/>
      <c r="Q9" s="75"/>
      <c r="R9" s="92">
        <f t="shared" si="13"/>
        <v>0</v>
      </c>
      <c r="S9" s="76"/>
      <c r="T9" s="75"/>
      <c r="U9" s="92">
        <f t="shared" si="14"/>
        <v>0</v>
      </c>
      <c r="V9" s="75"/>
      <c r="W9" s="76"/>
      <c r="X9" s="92">
        <f t="shared" si="15"/>
        <v>0</v>
      </c>
      <c r="Y9" s="92"/>
      <c r="Z9" s="92"/>
      <c r="AA9" s="92"/>
      <c r="AB9" s="96">
        <f t="shared" si="16"/>
        <v>0</v>
      </c>
      <c r="AC9" s="93"/>
      <c r="AD9" s="78"/>
      <c r="AE9" s="94">
        <f t="shared" si="17"/>
        <v>0</v>
      </c>
      <c r="AF9" s="77"/>
      <c r="AG9" s="94">
        <f t="shared" si="18"/>
        <v>0</v>
      </c>
      <c r="AH9" s="78"/>
      <c r="AI9" s="94">
        <f t="shared" si="19"/>
        <v>0</v>
      </c>
      <c r="AJ9" s="77"/>
      <c r="AK9" s="94">
        <f t="shared" si="20"/>
        <v>0</v>
      </c>
      <c r="AL9" s="78"/>
      <c r="AM9" s="94">
        <f t="shared" si="21"/>
        <v>0</v>
      </c>
      <c r="AN9" s="77"/>
      <c r="AO9" s="94">
        <f t="shared" si="22"/>
        <v>0</v>
      </c>
      <c r="AP9" s="95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 t="str">
        <f t="shared" si="0"/>
        <v/>
      </c>
      <c r="B10" s="81"/>
      <c r="C10" s="85"/>
      <c r="D10" s="76"/>
      <c r="E10" s="75"/>
      <c r="F10" s="92">
        <f t="shared" si="9"/>
        <v>0</v>
      </c>
      <c r="G10" s="75"/>
      <c r="H10" s="76"/>
      <c r="I10" s="92">
        <f t="shared" si="10"/>
        <v>0</v>
      </c>
      <c r="J10" s="76"/>
      <c r="K10" s="76"/>
      <c r="L10" s="92">
        <f t="shared" si="11"/>
        <v>0</v>
      </c>
      <c r="M10" s="75"/>
      <c r="N10" s="75"/>
      <c r="O10" s="92">
        <f t="shared" si="12"/>
        <v>0</v>
      </c>
      <c r="P10" s="76"/>
      <c r="Q10" s="75"/>
      <c r="R10" s="92">
        <f t="shared" si="13"/>
        <v>0</v>
      </c>
      <c r="S10" s="76"/>
      <c r="T10" s="75"/>
      <c r="U10" s="92">
        <f t="shared" si="14"/>
        <v>0</v>
      </c>
      <c r="V10" s="75"/>
      <c r="W10" s="76"/>
      <c r="X10" s="92">
        <f t="shared" si="15"/>
        <v>0</v>
      </c>
      <c r="Y10" s="92"/>
      <c r="Z10" s="92"/>
      <c r="AA10" s="92"/>
      <c r="AB10" s="96">
        <f t="shared" si="16"/>
        <v>0</v>
      </c>
      <c r="AC10" s="93"/>
      <c r="AD10" s="78"/>
      <c r="AE10" s="94">
        <f t="shared" si="17"/>
        <v>0</v>
      </c>
      <c r="AF10" s="77"/>
      <c r="AG10" s="94">
        <f t="shared" si="18"/>
        <v>0</v>
      </c>
      <c r="AH10" s="78"/>
      <c r="AI10" s="94">
        <f t="shared" si="19"/>
        <v>0</v>
      </c>
      <c r="AJ10" s="77"/>
      <c r="AK10" s="94">
        <f t="shared" si="20"/>
        <v>0</v>
      </c>
      <c r="AL10" s="78"/>
      <c r="AM10" s="94">
        <f t="shared" si="21"/>
        <v>0</v>
      </c>
      <c r="AN10" s="77"/>
      <c r="AO10" s="94">
        <f t="shared" si="22"/>
        <v>0</v>
      </c>
      <c r="AP10" s="95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85"/>
      <c r="D11" s="76"/>
      <c r="E11" s="75"/>
      <c r="F11" s="92">
        <f t="shared" si="9"/>
        <v>0</v>
      </c>
      <c r="G11" s="75"/>
      <c r="H11" s="76"/>
      <c r="I11" s="92">
        <f t="shared" si="10"/>
        <v>0</v>
      </c>
      <c r="J11" s="76"/>
      <c r="K11" s="76"/>
      <c r="L11" s="92">
        <f t="shared" si="11"/>
        <v>0</v>
      </c>
      <c r="M11" s="75"/>
      <c r="N11" s="75"/>
      <c r="O11" s="92">
        <f t="shared" si="12"/>
        <v>0</v>
      </c>
      <c r="P11" s="76"/>
      <c r="Q11" s="75"/>
      <c r="R11" s="92">
        <f t="shared" si="13"/>
        <v>0</v>
      </c>
      <c r="S11" s="76"/>
      <c r="T11" s="75"/>
      <c r="U11" s="92">
        <f t="shared" si="14"/>
        <v>0</v>
      </c>
      <c r="V11" s="75"/>
      <c r="W11" s="76"/>
      <c r="X11" s="92">
        <f t="shared" si="15"/>
        <v>0</v>
      </c>
      <c r="Y11" s="92"/>
      <c r="Z11" s="92"/>
      <c r="AA11" s="92"/>
      <c r="AB11" s="96">
        <f t="shared" si="16"/>
        <v>0</v>
      </c>
      <c r="AC11" s="93"/>
      <c r="AD11" s="78"/>
      <c r="AE11" s="94">
        <f t="shared" si="17"/>
        <v>0</v>
      </c>
      <c r="AF11" s="77"/>
      <c r="AG11" s="94">
        <f t="shared" si="18"/>
        <v>0</v>
      </c>
      <c r="AH11" s="78"/>
      <c r="AI11" s="94">
        <f t="shared" si="19"/>
        <v>0</v>
      </c>
      <c r="AJ11" s="77"/>
      <c r="AK11" s="94">
        <f t="shared" si="20"/>
        <v>0</v>
      </c>
      <c r="AL11" s="78"/>
      <c r="AM11" s="94">
        <f t="shared" si="21"/>
        <v>0</v>
      </c>
      <c r="AN11" s="77"/>
      <c r="AO11" s="94">
        <f t="shared" si="22"/>
        <v>0</v>
      </c>
      <c r="AP11" s="95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5"/>
      <c r="D12" s="76"/>
      <c r="E12" s="75"/>
      <c r="F12" s="92">
        <f t="shared" si="9"/>
        <v>0</v>
      </c>
      <c r="G12" s="75"/>
      <c r="H12" s="76"/>
      <c r="I12" s="92">
        <f t="shared" si="10"/>
        <v>0</v>
      </c>
      <c r="J12" s="76"/>
      <c r="K12" s="76"/>
      <c r="L12" s="92">
        <f t="shared" si="11"/>
        <v>0</v>
      </c>
      <c r="M12" s="75"/>
      <c r="N12" s="75"/>
      <c r="O12" s="92">
        <f t="shared" si="12"/>
        <v>0</v>
      </c>
      <c r="P12" s="76"/>
      <c r="Q12" s="75"/>
      <c r="R12" s="92">
        <f t="shared" si="13"/>
        <v>0</v>
      </c>
      <c r="S12" s="76"/>
      <c r="T12" s="75"/>
      <c r="U12" s="92">
        <f t="shared" si="14"/>
        <v>0</v>
      </c>
      <c r="V12" s="75"/>
      <c r="W12" s="76"/>
      <c r="X12" s="92">
        <f t="shared" si="15"/>
        <v>0</v>
      </c>
      <c r="Y12" s="92"/>
      <c r="Z12" s="92"/>
      <c r="AA12" s="92"/>
      <c r="AB12" s="96">
        <f t="shared" si="16"/>
        <v>0</v>
      </c>
      <c r="AC12" s="93"/>
      <c r="AD12" s="78"/>
      <c r="AE12" s="94">
        <f t="shared" si="17"/>
        <v>0</v>
      </c>
      <c r="AF12" s="77"/>
      <c r="AG12" s="94">
        <f t="shared" si="18"/>
        <v>0</v>
      </c>
      <c r="AH12" s="77"/>
      <c r="AI12" s="94">
        <f t="shared" si="19"/>
        <v>0</v>
      </c>
      <c r="AJ12" s="77"/>
      <c r="AK12" s="94">
        <f t="shared" si="20"/>
        <v>0</v>
      </c>
      <c r="AL12" s="78"/>
      <c r="AM12" s="94">
        <f t="shared" si="21"/>
        <v>0</v>
      </c>
      <c r="AN12" s="77"/>
      <c r="AO12" s="94">
        <f t="shared" si="22"/>
        <v>0</v>
      </c>
      <c r="AP12" s="95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5"/>
      <c r="D13" s="76"/>
      <c r="E13" s="75"/>
      <c r="F13" s="92">
        <f t="shared" si="9"/>
        <v>0</v>
      </c>
      <c r="G13" s="75"/>
      <c r="H13" s="76"/>
      <c r="I13" s="92">
        <f t="shared" si="10"/>
        <v>0</v>
      </c>
      <c r="J13" s="76"/>
      <c r="K13" s="76"/>
      <c r="L13" s="92">
        <f t="shared" si="11"/>
        <v>0</v>
      </c>
      <c r="M13" s="75"/>
      <c r="N13" s="75"/>
      <c r="O13" s="92">
        <f t="shared" si="12"/>
        <v>0</v>
      </c>
      <c r="P13" s="76"/>
      <c r="Q13" s="75"/>
      <c r="R13" s="92">
        <f t="shared" si="13"/>
        <v>0</v>
      </c>
      <c r="S13" s="76"/>
      <c r="T13" s="75"/>
      <c r="U13" s="92">
        <f t="shared" si="14"/>
        <v>0</v>
      </c>
      <c r="V13" s="75"/>
      <c r="W13" s="76"/>
      <c r="X13" s="92">
        <f t="shared" si="15"/>
        <v>0</v>
      </c>
      <c r="Y13" s="92"/>
      <c r="Z13" s="92"/>
      <c r="AA13" s="92"/>
      <c r="AB13" s="96">
        <f t="shared" si="16"/>
        <v>0</v>
      </c>
      <c r="AC13" s="93"/>
      <c r="AD13" s="77"/>
      <c r="AE13" s="94">
        <f t="shared" si="17"/>
        <v>0</v>
      </c>
      <c r="AF13" s="77"/>
      <c r="AG13" s="94">
        <f t="shared" si="18"/>
        <v>0</v>
      </c>
      <c r="AH13" s="77"/>
      <c r="AI13" s="94">
        <f t="shared" si="19"/>
        <v>0</v>
      </c>
      <c r="AJ13" s="77"/>
      <c r="AK13" s="94">
        <f t="shared" si="20"/>
        <v>0</v>
      </c>
      <c r="AL13" s="78"/>
      <c r="AM13" s="94">
        <f t="shared" si="21"/>
        <v>0</v>
      </c>
      <c r="AN13" s="77"/>
      <c r="AO13" s="94">
        <f t="shared" si="22"/>
        <v>0</v>
      </c>
      <c r="AP13" s="95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5"/>
      <c r="D14" s="76"/>
      <c r="E14" s="75"/>
      <c r="F14" s="92">
        <f t="shared" si="9"/>
        <v>0</v>
      </c>
      <c r="G14" s="75"/>
      <c r="H14" s="76"/>
      <c r="I14" s="92">
        <f t="shared" si="10"/>
        <v>0</v>
      </c>
      <c r="J14" s="76"/>
      <c r="K14" s="76"/>
      <c r="L14" s="92">
        <f t="shared" si="11"/>
        <v>0</v>
      </c>
      <c r="M14" s="75"/>
      <c r="N14" s="75"/>
      <c r="O14" s="92">
        <f t="shared" si="12"/>
        <v>0</v>
      </c>
      <c r="P14" s="76"/>
      <c r="Q14" s="75"/>
      <c r="R14" s="92">
        <f t="shared" si="13"/>
        <v>0</v>
      </c>
      <c r="S14" s="76"/>
      <c r="T14" s="75"/>
      <c r="U14" s="92">
        <f t="shared" si="14"/>
        <v>0</v>
      </c>
      <c r="V14" s="75"/>
      <c r="W14" s="76"/>
      <c r="X14" s="92">
        <f t="shared" si="15"/>
        <v>0</v>
      </c>
      <c r="Y14" s="92"/>
      <c r="Z14" s="92"/>
      <c r="AA14" s="92"/>
      <c r="AB14" s="96">
        <f t="shared" si="16"/>
        <v>0</v>
      </c>
      <c r="AC14" s="93"/>
      <c r="AD14" s="77"/>
      <c r="AE14" s="94">
        <f t="shared" si="17"/>
        <v>0</v>
      </c>
      <c r="AF14" s="77"/>
      <c r="AG14" s="94">
        <f t="shared" si="18"/>
        <v>0</v>
      </c>
      <c r="AH14" s="77"/>
      <c r="AI14" s="94">
        <f t="shared" si="19"/>
        <v>0</v>
      </c>
      <c r="AJ14" s="77"/>
      <c r="AK14" s="94">
        <f t="shared" si="20"/>
        <v>0</v>
      </c>
      <c r="AL14" s="78"/>
      <c r="AM14" s="94">
        <f t="shared" si="21"/>
        <v>0</v>
      </c>
      <c r="AN14" s="77"/>
      <c r="AO14" s="94">
        <f t="shared" si="22"/>
        <v>0</v>
      </c>
      <c r="AP14" s="95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6"/>
      <c r="D15" s="76"/>
      <c r="E15" s="75"/>
      <c r="F15" s="92">
        <f t="shared" si="9"/>
        <v>0</v>
      </c>
      <c r="G15" s="75"/>
      <c r="H15" s="76"/>
      <c r="I15" s="92">
        <f t="shared" si="10"/>
        <v>0</v>
      </c>
      <c r="J15" s="76"/>
      <c r="K15" s="76"/>
      <c r="L15" s="92">
        <f t="shared" si="11"/>
        <v>0</v>
      </c>
      <c r="M15" s="75"/>
      <c r="N15" s="75"/>
      <c r="O15" s="92">
        <f t="shared" si="12"/>
        <v>0</v>
      </c>
      <c r="P15" s="76"/>
      <c r="Q15" s="75"/>
      <c r="R15" s="92">
        <f t="shared" si="13"/>
        <v>0</v>
      </c>
      <c r="S15" s="76"/>
      <c r="T15" s="75"/>
      <c r="U15" s="92">
        <f t="shared" si="14"/>
        <v>0</v>
      </c>
      <c r="V15" s="75"/>
      <c r="W15" s="76"/>
      <c r="X15" s="92">
        <f t="shared" si="15"/>
        <v>0</v>
      </c>
      <c r="Y15" s="92"/>
      <c r="Z15" s="92"/>
      <c r="AA15" s="92"/>
      <c r="AB15" s="96">
        <f t="shared" si="16"/>
        <v>0</v>
      </c>
      <c r="AC15" s="93"/>
      <c r="AD15" s="77"/>
      <c r="AE15" s="94">
        <f t="shared" si="17"/>
        <v>0</v>
      </c>
      <c r="AF15" s="77"/>
      <c r="AG15" s="94">
        <f t="shared" si="18"/>
        <v>0</v>
      </c>
      <c r="AH15" s="77"/>
      <c r="AI15" s="94">
        <f t="shared" si="19"/>
        <v>0</v>
      </c>
      <c r="AJ15" s="77"/>
      <c r="AK15" s="94">
        <f t="shared" si="20"/>
        <v>0</v>
      </c>
      <c r="AL15" s="78"/>
      <c r="AM15" s="94">
        <f t="shared" si="21"/>
        <v>0</v>
      </c>
      <c r="AN15" s="77"/>
      <c r="AO15" s="94">
        <f t="shared" si="22"/>
        <v>0</v>
      </c>
      <c r="AP15" s="95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6"/>
      <c r="D16" s="76"/>
      <c r="E16" s="75"/>
      <c r="F16" s="92">
        <f t="shared" si="9"/>
        <v>0</v>
      </c>
      <c r="G16" s="75"/>
      <c r="H16" s="76"/>
      <c r="I16" s="92">
        <f>BF16-BG16</f>
        <v>0</v>
      </c>
      <c r="J16" s="76"/>
      <c r="K16" s="76"/>
      <c r="L16" s="92">
        <f t="shared" si="11"/>
        <v>0</v>
      </c>
      <c r="M16" s="75"/>
      <c r="N16" s="75"/>
      <c r="O16" s="92">
        <f t="shared" si="12"/>
        <v>0</v>
      </c>
      <c r="P16" s="76"/>
      <c r="Q16" s="75"/>
      <c r="R16" s="92">
        <f t="shared" si="13"/>
        <v>0</v>
      </c>
      <c r="S16" s="76"/>
      <c r="T16" s="75"/>
      <c r="U16" s="92">
        <f t="shared" si="14"/>
        <v>0</v>
      </c>
      <c r="V16" s="75"/>
      <c r="W16" s="76"/>
      <c r="X16" s="92">
        <f t="shared" si="15"/>
        <v>0</v>
      </c>
      <c r="Y16" s="92"/>
      <c r="Z16" s="92"/>
      <c r="AA16" s="92"/>
      <c r="AB16" s="96">
        <f t="shared" si="16"/>
        <v>0</v>
      </c>
      <c r="AC16" s="93"/>
      <c r="AD16" s="77"/>
      <c r="AE16" s="94">
        <f t="shared" si="17"/>
        <v>0</v>
      </c>
      <c r="AF16" s="77"/>
      <c r="AG16" s="94">
        <f t="shared" si="18"/>
        <v>0</v>
      </c>
      <c r="AH16" s="77"/>
      <c r="AI16" s="94">
        <f t="shared" si="19"/>
        <v>0</v>
      </c>
      <c r="AJ16" s="77"/>
      <c r="AK16" s="94">
        <f t="shared" si="20"/>
        <v>0</v>
      </c>
      <c r="AL16" s="78"/>
      <c r="AM16" s="94">
        <f t="shared" si="21"/>
        <v>0</v>
      </c>
      <c r="AN16" s="77"/>
      <c r="AO16" s="94">
        <f t="shared" si="22"/>
        <v>0</v>
      </c>
      <c r="AP16" s="95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2">
        <f t="shared" si="9"/>
        <v>0</v>
      </c>
      <c r="G17" s="75"/>
      <c r="H17" s="76"/>
      <c r="I17" s="92">
        <f t="shared" si="10"/>
        <v>0</v>
      </c>
      <c r="J17" s="76"/>
      <c r="K17" s="76"/>
      <c r="L17" s="92">
        <f t="shared" si="11"/>
        <v>0</v>
      </c>
      <c r="M17" s="75"/>
      <c r="N17" s="75"/>
      <c r="O17" s="92">
        <f t="shared" si="12"/>
        <v>0</v>
      </c>
      <c r="P17" s="76"/>
      <c r="Q17" s="75"/>
      <c r="R17" s="92">
        <f t="shared" si="13"/>
        <v>0</v>
      </c>
      <c r="S17" s="76"/>
      <c r="T17" s="75"/>
      <c r="U17" s="92">
        <f t="shared" si="14"/>
        <v>0</v>
      </c>
      <c r="V17" s="75"/>
      <c r="W17" s="76"/>
      <c r="X17" s="92">
        <f t="shared" si="15"/>
        <v>0</v>
      </c>
      <c r="Y17" s="92"/>
      <c r="Z17" s="92"/>
      <c r="AA17" s="92"/>
      <c r="AB17" s="96">
        <f t="shared" si="16"/>
        <v>0</v>
      </c>
      <c r="AC17" s="93"/>
      <c r="AD17" s="77"/>
      <c r="AE17" s="94">
        <f t="shared" si="17"/>
        <v>0</v>
      </c>
      <c r="AF17" s="77"/>
      <c r="AG17" s="94">
        <f t="shared" si="18"/>
        <v>0</v>
      </c>
      <c r="AH17" s="77"/>
      <c r="AI17" s="94">
        <f t="shared" si="19"/>
        <v>0</v>
      </c>
      <c r="AJ17" s="77"/>
      <c r="AK17" s="94">
        <f t="shared" si="20"/>
        <v>0</v>
      </c>
      <c r="AL17" s="78"/>
      <c r="AM17" s="94">
        <f t="shared" si="21"/>
        <v>0</v>
      </c>
      <c r="AN17" s="77"/>
      <c r="AO17" s="94">
        <f t="shared" si="22"/>
        <v>0</v>
      </c>
      <c r="AP17" s="95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2">
        <f t="shared" si="9"/>
        <v>0</v>
      </c>
      <c r="G18" s="75"/>
      <c r="H18" s="76"/>
      <c r="I18" s="92">
        <f t="shared" si="10"/>
        <v>0</v>
      </c>
      <c r="J18" s="76"/>
      <c r="K18" s="76"/>
      <c r="L18" s="92">
        <f t="shared" si="11"/>
        <v>0</v>
      </c>
      <c r="M18" s="75"/>
      <c r="N18" s="75"/>
      <c r="O18" s="92">
        <f t="shared" si="12"/>
        <v>0</v>
      </c>
      <c r="P18" s="76"/>
      <c r="Q18" s="75"/>
      <c r="R18" s="92">
        <f t="shared" si="13"/>
        <v>0</v>
      </c>
      <c r="S18" s="76"/>
      <c r="T18" s="75"/>
      <c r="U18" s="92">
        <f t="shared" si="14"/>
        <v>0</v>
      </c>
      <c r="V18" s="75"/>
      <c r="W18" s="76"/>
      <c r="X18" s="92">
        <f t="shared" si="15"/>
        <v>0</v>
      </c>
      <c r="Y18" s="92"/>
      <c r="Z18" s="92"/>
      <c r="AA18" s="92"/>
      <c r="AB18" s="96">
        <f t="shared" si="16"/>
        <v>0</v>
      </c>
      <c r="AC18" s="93"/>
      <c r="AD18" s="77"/>
      <c r="AE18" s="94">
        <f t="shared" si="17"/>
        <v>0</v>
      </c>
      <c r="AF18" s="77"/>
      <c r="AG18" s="94">
        <f t="shared" si="18"/>
        <v>0</v>
      </c>
      <c r="AH18" s="77"/>
      <c r="AI18" s="94">
        <f t="shared" si="19"/>
        <v>0</v>
      </c>
      <c r="AJ18" s="77"/>
      <c r="AK18" s="94">
        <f t="shared" si="20"/>
        <v>0</v>
      </c>
      <c r="AL18" s="78"/>
      <c r="AM18" s="94">
        <f t="shared" si="21"/>
        <v>0</v>
      </c>
      <c r="AN18" s="77"/>
      <c r="AO18" s="94">
        <f t="shared" si="22"/>
        <v>0</v>
      </c>
      <c r="AP18" s="95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2">
        <f t="shared" si="9"/>
        <v>0</v>
      </c>
      <c r="G19" s="75"/>
      <c r="H19" s="76"/>
      <c r="I19" s="92">
        <f t="shared" si="10"/>
        <v>0</v>
      </c>
      <c r="J19" s="76"/>
      <c r="K19" s="76"/>
      <c r="L19" s="92">
        <f t="shared" si="11"/>
        <v>0</v>
      </c>
      <c r="M19" s="75"/>
      <c r="N19" s="75"/>
      <c r="O19" s="92">
        <f t="shared" si="12"/>
        <v>0</v>
      </c>
      <c r="P19" s="76"/>
      <c r="Q19" s="75"/>
      <c r="R19" s="92">
        <f t="shared" si="13"/>
        <v>0</v>
      </c>
      <c r="S19" s="76"/>
      <c r="T19" s="75"/>
      <c r="U19" s="92">
        <f t="shared" si="14"/>
        <v>0</v>
      </c>
      <c r="V19" s="75"/>
      <c r="W19" s="76"/>
      <c r="X19" s="92">
        <f t="shared" si="15"/>
        <v>0</v>
      </c>
      <c r="Y19" s="92"/>
      <c r="Z19" s="92"/>
      <c r="AA19" s="92"/>
      <c r="AB19" s="96">
        <f t="shared" si="16"/>
        <v>0</v>
      </c>
      <c r="AC19" s="93"/>
      <c r="AD19" s="77"/>
      <c r="AE19" s="94">
        <f t="shared" si="17"/>
        <v>0</v>
      </c>
      <c r="AF19" s="77"/>
      <c r="AG19" s="94">
        <f t="shared" si="18"/>
        <v>0</v>
      </c>
      <c r="AH19" s="77"/>
      <c r="AI19" s="94">
        <f t="shared" si="19"/>
        <v>0</v>
      </c>
      <c r="AJ19" s="77"/>
      <c r="AK19" s="94">
        <f t="shared" si="20"/>
        <v>0</v>
      </c>
      <c r="AL19" s="78"/>
      <c r="AM19" s="94">
        <f t="shared" si="21"/>
        <v>0</v>
      </c>
      <c r="AN19" s="77"/>
      <c r="AO19" s="94">
        <f t="shared" si="22"/>
        <v>0</v>
      </c>
      <c r="AP19" s="95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2">
        <f t="shared" si="9"/>
        <v>0</v>
      </c>
      <c r="G20" s="75"/>
      <c r="H20" s="76"/>
      <c r="I20" s="92">
        <f t="shared" si="10"/>
        <v>0</v>
      </c>
      <c r="J20" s="76"/>
      <c r="K20" s="76"/>
      <c r="L20" s="92">
        <f t="shared" si="11"/>
        <v>0</v>
      </c>
      <c r="M20" s="75"/>
      <c r="N20" s="75"/>
      <c r="O20" s="92">
        <f t="shared" si="12"/>
        <v>0</v>
      </c>
      <c r="P20" s="76"/>
      <c r="Q20" s="75"/>
      <c r="R20" s="92">
        <f t="shared" si="13"/>
        <v>0</v>
      </c>
      <c r="S20" s="76"/>
      <c r="T20" s="75"/>
      <c r="U20" s="92">
        <f t="shared" si="14"/>
        <v>0</v>
      </c>
      <c r="V20" s="75"/>
      <c r="W20" s="76"/>
      <c r="X20" s="92">
        <f t="shared" si="15"/>
        <v>0</v>
      </c>
      <c r="Y20" s="92"/>
      <c r="Z20" s="92"/>
      <c r="AA20" s="92"/>
      <c r="AB20" s="96">
        <f t="shared" si="16"/>
        <v>0</v>
      </c>
      <c r="AC20" s="93"/>
      <c r="AD20" s="77"/>
      <c r="AE20" s="94">
        <f t="shared" si="17"/>
        <v>0</v>
      </c>
      <c r="AF20" s="77"/>
      <c r="AG20" s="94">
        <f t="shared" si="18"/>
        <v>0</v>
      </c>
      <c r="AH20" s="77"/>
      <c r="AI20" s="94">
        <f t="shared" si="19"/>
        <v>0</v>
      </c>
      <c r="AJ20" s="77"/>
      <c r="AK20" s="94">
        <f t="shared" si="20"/>
        <v>0</v>
      </c>
      <c r="AL20" s="78"/>
      <c r="AM20" s="94">
        <f t="shared" si="21"/>
        <v>0</v>
      </c>
      <c r="AN20" s="77"/>
      <c r="AO20" s="94">
        <f t="shared" si="22"/>
        <v>0</v>
      </c>
      <c r="AP20" s="95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2">
        <f t="shared" ref="F21:F29" si="60">BA21-BB21</f>
        <v>0</v>
      </c>
      <c r="G21" s="75"/>
      <c r="H21" s="76"/>
      <c r="I21" s="92">
        <f t="shared" ref="I21:I29" si="61">BF21-BG21</f>
        <v>0</v>
      </c>
      <c r="J21" s="76"/>
      <c r="K21" s="76"/>
      <c r="L21" s="92">
        <f t="shared" ref="L21:L29" si="62">BK21-BL21</f>
        <v>0</v>
      </c>
      <c r="M21" s="75"/>
      <c r="N21" s="75"/>
      <c r="O21" s="92">
        <f t="shared" ref="O21:O29" si="63">BP21-BQ21</f>
        <v>0</v>
      </c>
      <c r="P21" s="76"/>
      <c r="Q21" s="75"/>
      <c r="R21" s="92">
        <f t="shared" ref="R21:R29" si="64">BU21-BV21</f>
        <v>0</v>
      </c>
      <c r="S21" s="76"/>
      <c r="T21" s="76"/>
      <c r="U21" s="92">
        <f t="shared" ref="U21:U29" si="65">BZ21-CA21</f>
        <v>0</v>
      </c>
      <c r="V21" s="75"/>
      <c r="W21" s="76"/>
      <c r="X21" s="92">
        <f t="shared" ref="X21:X29" si="66">CE21-CF21</f>
        <v>0</v>
      </c>
      <c r="Y21" s="92"/>
      <c r="Z21" s="92"/>
      <c r="AA21" s="92"/>
      <c r="AB21" s="96">
        <f t="shared" ref="AB21:AB29" si="67">SUM(F21,I21,L21,O21,R21,U21,X21)</f>
        <v>0</v>
      </c>
      <c r="AC21" s="93"/>
      <c r="AD21" s="77"/>
      <c r="AE21" s="94">
        <f t="shared" ref="AE21:AE29" si="68">SUMIF($BC$1:$CI$1,AE$1,$BC21:$CI21)+AD21</f>
        <v>0</v>
      </c>
      <c r="AF21" s="77"/>
      <c r="AG21" s="94">
        <f t="shared" ref="AG21:AG29" si="69">SUMIF($BC$1:$CI$1,AG$1,$BC21:$CI21)+AF21</f>
        <v>0</v>
      </c>
      <c r="AH21" s="77"/>
      <c r="AI21" s="94">
        <f t="shared" ref="AI21:AI29" si="70">SUMIF($BC$1:$CI$1,AI$1,$BC21:$CI21)+AH21</f>
        <v>0</v>
      </c>
      <c r="AJ21" s="77"/>
      <c r="AK21" s="94">
        <f t="shared" ref="AK21:AK29" si="71">SUMIF($BC$1:$CI$1,AK$1,$BC21:$CI21)+AJ21</f>
        <v>0</v>
      </c>
      <c r="AL21" s="78"/>
      <c r="AM21" s="94">
        <f t="shared" ref="AM21:AM29" si="72">SUMIF($BC$1:$CI$1,AM$1,$BC21:$CI21)+AL21</f>
        <v>0</v>
      </c>
      <c r="AN21" s="77"/>
      <c r="AO21" s="94">
        <f t="shared" ref="AO21:AO29" si="73">SUMIF($BC$1:$CI$1,AO$1,$BC21:$CI21)+AN21</f>
        <v>0</v>
      </c>
      <c r="AP21" s="95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2">
        <f t="shared" si="60"/>
        <v>0</v>
      </c>
      <c r="G22" s="75"/>
      <c r="H22" s="76"/>
      <c r="I22" s="92">
        <f t="shared" si="61"/>
        <v>0</v>
      </c>
      <c r="J22" s="76"/>
      <c r="K22" s="76"/>
      <c r="L22" s="92">
        <f t="shared" si="62"/>
        <v>0</v>
      </c>
      <c r="M22" s="75"/>
      <c r="N22" s="75"/>
      <c r="O22" s="92">
        <f t="shared" si="63"/>
        <v>0</v>
      </c>
      <c r="P22" s="76"/>
      <c r="Q22" s="75"/>
      <c r="R22" s="92">
        <f t="shared" si="64"/>
        <v>0</v>
      </c>
      <c r="S22" s="76"/>
      <c r="T22" s="76"/>
      <c r="U22" s="92">
        <f t="shared" si="65"/>
        <v>0</v>
      </c>
      <c r="V22" s="75"/>
      <c r="W22" s="76"/>
      <c r="X22" s="92">
        <f t="shared" si="66"/>
        <v>0</v>
      </c>
      <c r="Y22" s="92"/>
      <c r="Z22" s="92"/>
      <c r="AA22" s="92"/>
      <c r="AB22" s="96">
        <f t="shared" si="67"/>
        <v>0</v>
      </c>
      <c r="AC22" s="93"/>
      <c r="AD22" s="77"/>
      <c r="AE22" s="94">
        <f t="shared" si="68"/>
        <v>0</v>
      </c>
      <c r="AF22" s="77"/>
      <c r="AG22" s="94">
        <f t="shared" si="69"/>
        <v>0</v>
      </c>
      <c r="AH22" s="77"/>
      <c r="AI22" s="94">
        <f t="shared" si="70"/>
        <v>0</v>
      </c>
      <c r="AJ22" s="77"/>
      <c r="AK22" s="94">
        <f t="shared" si="71"/>
        <v>0</v>
      </c>
      <c r="AL22" s="78"/>
      <c r="AM22" s="94">
        <f t="shared" si="72"/>
        <v>0</v>
      </c>
      <c r="AN22" s="77"/>
      <c r="AO22" s="94">
        <f t="shared" si="73"/>
        <v>0</v>
      </c>
      <c r="AP22" s="95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2">
        <f t="shared" si="60"/>
        <v>0</v>
      </c>
      <c r="G23" s="75"/>
      <c r="H23" s="76"/>
      <c r="I23" s="92">
        <f t="shared" si="61"/>
        <v>0</v>
      </c>
      <c r="J23" s="76"/>
      <c r="K23" s="76"/>
      <c r="L23" s="92">
        <f t="shared" si="62"/>
        <v>0</v>
      </c>
      <c r="M23" s="75"/>
      <c r="N23" s="75"/>
      <c r="O23" s="92">
        <f t="shared" si="63"/>
        <v>0</v>
      </c>
      <c r="P23" s="76"/>
      <c r="Q23" s="75"/>
      <c r="R23" s="92">
        <f t="shared" si="64"/>
        <v>0</v>
      </c>
      <c r="S23" s="76"/>
      <c r="T23" s="76"/>
      <c r="U23" s="92">
        <f t="shared" si="65"/>
        <v>0</v>
      </c>
      <c r="V23" s="75"/>
      <c r="W23" s="76"/>
      <c r="X23" s="92">
        <f t="shared" si="66"/>
        <v>0</v>
      </c>
      <c r="Y23" s="92"/>
      <c r="Z23" s="92"/>
      <c r="AA23" s="92"/>
      <c r="AB23" s="96">
        <f t="shared" si="67"/>
        <v>0</v>
      </c>
      <c r="AC23" s="93"/>
      <c r="AD23" s="77"/>
      <c r="AE23" s="94">
        <f t="shared" si="68"/>
        <v>0</v>
      </c>
      <c r="AF23" s="77"/>
      <c r="AG23" s="94">
        <f t="shared" si="69"/>
        <v>0</v>
      </c>
      <c r="AH23" s="77"/>
      <c r="AI23" s="94">
        <f t="shared" si="70"/>
        <v>0</v>
      </c>
      <c r="AJ23" s="77"/>
      <c r="AK23" s="94">
        <f t="shared" si="71"/>
        <v>0</v>
      </c>
      <c r="AL23" s="78"/>
      <c r="AM23" s="94">
        <f t="shared" si="72"/>
        <v>0</v>
      </c>
      <c r="AN23" s="77"/>
      <c r="AO23" s="94">
        <f t="shared" si="73"/>
        <v>0</v>
      </c>
      <c r="AP23" s="95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2">
        <f t="shared" si="60"/>
        <v>0</v>
      </c>
      <c r="G24" s="75"/>
      <c r="H24" s="76"/>
      <c r="I24" s="92">
        <f t="shared" si="61"/>
        <v>0</v>
      </c>
      <c r="J24" s="76"/>
      <c r="K24" s="76"/>
      <c r="L24" s="92">
        <f t="shared" si="62"/>
        <v>0</v>
      </c>
      <c r="M24" s="75"/>
      <c r="N24" s="75"/>
      <c r="O24" s="92">
        <f t="shared" si="63"/>
        <v>0</v>
      </c>
      <c r="P24" s="76"/>
      <c r="Q24" s="76"/>
      <c r="R24" s="92">
        <f t="shared" si="64"/>
        <v>0</v>
      </c>
      <c r="S24" s="76"/>
      <c r="T24" s="76"/>
      <c r="U24" s="92">
        <f t="shared" si="65"/>
        <v>0</v>
      </c>
      <c r="V24" s="75"/>
      <c r="W24" s="76"/>
      <c r="X24" s="92">
        <f t="shared" si="66"/>
        <v>0</v>
      </c>
      <c r="Y24" s="92"/>
      <c r="Z24" s="92"/>
      <c r="AA24" s="92"/>
      <c r="AB24" s="96">
        <f t="shared" si="67"/>
        <v>0</v>
      </c>
      <c r="AC24" s="93"/>
      <c r="AD24" s="77"/>
      <c r="AE24" s="94">
        <f t="shared" si="68"/>
        <v>0</v>
      </c>
      <c r="AF24" s="77"/>
      <c r="AG24" s="94">
        <f t="shared" si="69"/>
        <v>0</v>
      </c>
      <c r="AH24" s="77"/>
      <c r="AI24" s="94">
        <f t="shared" si="70"/>
        <v>0</v>
      </c>
      <c r="AJ24" s="77"/>
      <c r="AK24" s="94">
        <f t="shared" si="71"/>
        <v>0</v>
      </c>
      <c r="AL24" s="78"/>
      <c r="AM24" s="94">
        <f t="shared" si="72"/>
        <v>0</v>
      </c>
      <c r="AN24" s="77"/>
      <c r="AO24" s="94">
        <f t="shared" si="73"/>
        <v>0</v>
      </c>
      <c r="AP24" s="95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2">
        <f t="shared" si="60"/>
        <v>0</v>
      </c>
      <c r="G25" s="75"/>
      <c r="H25" s="76"/>
      <c r="I25" s="92">
        <f t="shared" si="61"/>
        <v>0</v>
      </c>
      <c r="J25" s="76"/>
      <c r="K25" s="76"/>
      <c r="L25" s="92">
        <f t="shared" si="62"/>
        <v>0</v>
      </c>
      <c r="M25" s="75"/>
      <c r="N25" s="75"/>
      <c r="O25" s="92">
        <f t="shared" si="63"/>
        <v>0</v>
      </c>
      <c r="P25" s="76"/>
      <c r="Q25" s="76"/>
      <c r="R25" s="92">
        <f t="shared" si="64"/>
        <v>0</v>
      </c>
      <c r="S25" s="76"/>
      <c r="T25" s="76"/>
      <c r="U25" s="92">
        <f t="shared" si="65"/>
        <v>0</v>
      </c>
      <c r="V25" s="75"/>
      <c r="W25" s="76"/>
      <c r="X25" s="92">
        <f t="shared" si="66"/>
        <v>0</v>
      </c>
      <c r="Y25" s="92"/>
      <c r="Z25" s="92"/>
      <c r="AA25" s="92"/>
      <c r="AB25" s="96">
        <f t="shared" si="67"/>
        <v>0</v>
      </c>
      <c r="AC25" s="93"/>
      <c r="AD25" s="77"/>
      <c r="AE25" s="94">
        <f t="shared" si="68"/>
        <v>0</v>
      </c>
      <c r="AF25" s="77"/>
      <c r="AG25" s="94">
        <f t="shared" si="69"/>
        <v>0</v>
      </c>
      <c r="AH25" s="77"/>
      <c r="AI25" s="94">
        <f t="shared" si="70"/>
        <v>0</v>
      </c>
      <c r="AJ25" s="77"/>
      <c r="AK25" s="94">
        <f t="shared" si="71"/>
        <v>0</v>
      </c>
      <c r="AL25" s="78"/>
      <c r="AM25" s="94">
        <f t="shared" si="72"/>
        <v>0</v>
      </c>
      <c r="AN25" s="77"/>
      <c r="AO25" s="94">
        <f t="shared" si="73"/>
        <v>0</v>
      </c>
      <c r="AP25" s="95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2">
        <f t="shared" si="60"/>
        <v>0</v>
      </c>
      <c r="G26" s="75"/>
      <c r="H26" s="76"/>
      <c r="I26" s="92">
        <f t="shared" si="61"/>
        <v>0</v>
      </c>
      <c r="J26" s="76"/>
      <c r="K26" s="76"/>
      <c r="L26" s="92">
        <f t="shared" si="62"/>
        <v>0</v>
      </c>
      <c r="M26" s="75"/>
      <c r="N26" s="75"/>
      <c r="O26" s="92">
        <f t="shared" si="63"/>
        <v>0</v>
      </c>
      <c r="P26" s="76"/>
      <c r="Q26" s="76"/>
      <c r="R26" s="92">
        <f t="shared" si="64"/>
        <v>0</v>
      </c>
      <c r="S26" s="76"/>
      <c r="T26" s="76"/>
      <c r="U26" s="92">
        <f t="shared" si="65"/>
        <v>0</v>
      </c>
      <c r="V26" s="75"/>
      <c r="W26" s="76"/>
      <c r="X26" s="92">
        <f t="shared" si="66"/>
        <v>0</v>
      </c>
      <c r="Y26" s="92"/>
      <c r="Z26" s="92"/>
      <c r="AA26" s="92"/>
      <c r="AB26" s="96">
        <f t="shared" si="67"/>
        <v>0</v>
      </c>
      <c r="AC26" s="93"/>
      <c r="AD26" s="77"/>
      <c r="AE26" s="94">
        <f t="shared" si="68"/>
        <v>0</v>
      </c>
      <c r="AF26" s="77"/>
      <c r="AG26" s="94">
        <f t="shared" si="69"/>
        <v>0</v>
      </c>
      <c r="AH26" s="77"/>
      <c r="AI26" s="94">
        <f t="shared" si="70"/>
        <v>0</v>
      </c>
      <c r="AJ26" s="77"/>
      <c r="AK26" s="94">
        <f t="shared" si="71"/>
        <v>0</v>
      </c>
      <c r="AL26" s="78"/>
      <c r="AM26" s="94">
        <f t="shared" si="72"/>
        <v>0</v>
      </c>
      <c r="AN26" s="77"/>
      <c r="AO26" s="94">
        <f t="shared" si="73"/>
        <v>0</v>
      </c>
      <c r="AP26" s="95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2">
        <f t="shared" si="60"/>
        <v>0</v>
      </c>
      <c r="G27" s="75"/>
      <c r="H27" s="76"/>
      <c r="I27" s="92">
        <f t="shared" si="61"/>
        <v>0</v>
      </c>
      <c r="J27" s="76"/>
      <c r="K27" s="76"/>
      <c r="L27" s="92">
        <f t="shared" si="62"/>
        <v>0</v>
      </c>
      <c r="M27" s="75"/>
      <c r="N27" s="75"/>
      <c r="O27" s="92">
        <f t="shared" si="63"/>
        <v>0</v>
      </c>
      <c r="P27" s="76"/>
      <c r="Q27" s="76"/>
      <c r="R27" s="92">
        <f t="shared" si="64"/>
        <v>0</v>
      </c>
      <c r="S27" s="76"/>
      <c r="T27" s="76"/>
      <c r="U27" s="92">
        <f t="shared" si="65"/>
        <v>0</v>
      </c>
      <c r="V27" s="75"/>
      <c r="W27" s="76"/>
      <c r="X27" s="92">
        <f t="shared" si="66"/>
        <v>0</v>
      </c>
      <c r="Y27" s="92"/>
      <c r="Z27" s="92"/>
      <c r="AA27" s="92"/>
      <c r="AB27" s="96">
        <f t="shared" si="67"/>
        <v>0</v>
      </c>
      <c r="AC27" s="93"/>
      <c r="AD27" s="77"/>
      <c r="AE27" s="94">
        <f t="shared" si="68"/>
        <v>0</v>
      </c>
      <c r="AF27" s="77"/>
      <c r="AG27" s="94">
        <f t="shared" si="69"/>
        <v>0</v>
      </c>
      <c r="AH27" s="77"/>
      <c r="AI27" s="94">
        <f t="shared" si="70"/>
        <v>0</v>
      </c>
      <c r="AJ27" s="77"/>
      <c r="AK27" s="94">
        <f t="shared" si="71"/>
        <v>0</v>
      </c>
      <c r="AL27" s="78"/>
      <c r="AM27" s="94">
        <f t="shared" si="72"/>
        <v>0</v>
      </c>
      <c r="AN27" s="77"/>
      <c r="AO27" s="94">
        <f t="shared" si="73"/>
        <v>0</v>
      </c>
      <c r="AP27" s="95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2">
        <f t="shared" si="60"/>
        <v>0</v>
      </c>
      <c r="G28" s="75"/>
      <c r="H28" s="76"/>
      <c r="I28" s="92">
        <f t="shared" si="61"/>
        <v>0</v>
      </c>
      <c r="J28" s="76"/>
      <c r="K28" s="76"/>
      <c r="L28" s="92">
        <f t="shared" si="62"/>
        <v>0</v>
      </c>
      <c r="M28" s="75"/>
      <c r="N28" s="75"/>
      <c r="O28" s="92">
        <f t="shared" si="63"/>
        <v>0</v>
      </c>
      <c r="P28" s="76"/>
      <c r="Q28" s="76"/>
      <c r="R28" s="92">
        <f t="shared" si="64"/>
        <v>0</v>
      </c>
      <c r="S28" s="76"/>
      <c r="T28" s="76"/>
      <c r="U28" s="92">
        <f t="shared" si="65"/>
        <v>0</v>
      </c>
      <c r="V28" s="75"/>
      <c r="W28" s="76"/>
      <c r="X28" s="92">
        <f t="shared" si="66"/>
        <v>0</v>
      </c>
      <c r="Y28" s="92"/>
      <c r="Z28" s="92"/>
      <c r="AA28" s="92"/>
      <c r="AB28" s="96">
        <f t="shared" si="67"/>
        <v>0</v>
      </c>
      <c r="AC28" s="93"/>
      <c r="AD28" s="77"/>
      <c r="AE28" s="94">
        <f t="shared" si="68"/>
        <v>0</v>
      </c>
      <c r="AF28" s="77"/>
      <c r="AG28" s="94">
        <f t="shared" si="69"/>
        <v>0</v>
      </c>
      <c r="AH28" s="77"/>
      <c r="AI28" s="94">
        <f t="shared" si="70"/>
        <v>0</v>
      </c>
      <c r="AJ28" s="77"/>
      <c r="AK28" s="94">
        <f t="shared" si="71"/>
        <v>0</v>
      </c>
      <c r="AL28" s="78"/>
      <c r="AM28" s="94">
        <f t="shared" si="72"/>
        <v>0</v>
      </c>
      <c r="AN28" s="77"/>
      <c r="AO28" s="94">
        <f t="shared" si="73"/>
        <v>0</v>
      </c>
      <c r="AP28" s="95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2">
        <f t="shared" si="60"/>
        <v>0</v>
      </c>
      <c r="G29" s="75"/>
      <c r="H29" s="76"/>
      <c r="I29" s="92">
        <f t="shared" si="61"/>
        <v>0</v>
      </c>
      <c r="J29" s="76"/>
      <c r="K29" s="76"/>
      <c r="L29" s="92">
        <f t="shared" si="62"/>
        <v>0</v>
      </c>
      <c r="M29" s="75"/>
      <c r="N29" s="75"/>
      <c r="O29" s="92">
        <f t="shared" si="63"/>
        <v>0</v>
      </c>
      <c r="P29" s="76"/>
      <c r="Q29" s="76"/>
      <c r="R29" s="92">
        <f t="shared" si="64"/>
        <v>0</v>
      </c>
      <c r="S29" s="76"/>
      <c r="T29" s="76"/>
      <c r="U29" s="92">
        <f t="shared" si="65"/>
        <v>0</v>
      </c>
      <c r="V29" s="75"/>
      <c r="W29" s="76"/>
      <c r="X29" s="92">
        <f t="shared" si="66"/>
        <v>0</v>
      </c>
      <c r="Y29" s="92"/>
      <c r="Z29" s="92"/>
      <c r="AA29" s="92"/>
      <c r="AB29" s="96">
        <f t="shared" si="67"/>
        <v>0</v>
      </c>
      <c r="AC29" s="93"/>
      <c r="AD29" s="77"/>
      <c r="AE29" s="94">
        <f t="shared" si="68"/>
        <v>0</v>
      </c>
      <c r="AF29" s="77"/>
      <c r="AG29" s="94">
        <f t="shared" si="69"/>
        <v>0</v>
      </c>
      <c r="AH29" s="77"/>
      <c r="AI29" s="94">
        <f t="shared" si="70"/>
        <v>0</v>
      </c>
      <c r="AJ29" s="77"/>
      <c r="AK29" s="94">
        <f t="shared" si="71"/>
        <v>0</v>
      </c>
      <c r="AL29" s="78"/>
      <c r="AM29" s="94">
        <f t="shared" si="72"/>
        <v>0</v>
      </c>
      <c r="AN29" s="77"/>
      <c r="AO29" s="94">
        <f t="shared" si="73"/>
        <v>0</v>
      </c>
      <c r="AP29" s="95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2">
        <f t="shared" si="9"/>
        <v>0</v>
      </c>
      <c r="G30" s="75"/>
      <c r="H30" s="76"/>
      <c r="I30" s="92">
        <f t="shared" si="10"/>
        <v>0</v>
      </c>
      <c r="J30" s="76"/>
      <c r="K30" s="76"/>
      <c r="L30" s="92">
        <f t="shared" si="11"/>
        <v>0</v>
      </c>
      <c r="M30" s="75"/>
      <c r="N30" s="75"/>
      <c r="O30" s="92">
        <f t="shared" si="12"/>
        <v>0</v>
      </c>
      <c r="P30" s="76"/>
      <c r="Q30" s="76"/>
      <c r="R30" s="92">
        <f t="shared" si="13"/>
        <v>0</v>
      </c>
      <c r="S30" s="76"/>
      <c r="T30" s="76"/>
      <c r="U30" s="92">
        <f t="shared" si="14"/>
        <v>0</v>
      </c>
      <c r="V30" s="75"/>
      <c r="W30" s="76"/>
      <c r="X30" s="92">
        <f t="shared" si="15"/>
        <v>0</v>
      </c>
      <c r="Y30" s="92"/>
      <c r="Z30" s="92"/>
      <c r="AA30" s="92"/>
      <c r="AB30" s="96">
        <f t="shared" si="16"/>
        <v>0</v>
      </c>
      <c r="AC30" s="93"/>
      <c r="AD30" s="77"/>
      <c r="AE30" s="94">
        <f t="shared" si="17"/>
        <v>0</v>
      </c>
      <c r="AF30" s="77"/>
      <c r="AG30" s="94">
        <f t="shared" si="18"/>
        <v>0</v>
      </c>
      <c r="AH30" s="77"/>
      <c r="AI30" s="94">
        <f t="shared" si="19"/>
        <v>0</v>
      </c>
      <c r="AJ30" s="77"/>
      <c r="AK30" s="94">
        <f t="shared" si="20"/>
        <v>0</v>
      </c>
      <c r="AL30" s="78"/>
      <c r="AM30" s="94">
        <f t="shared" si="21"/>
        <v>0</v>
      </c>
      <c r="AN30" s="77"/>
      <c r="AO30" s="94">
        <f t="shared" si="22"/>
        <v>0</v>
      </c>
      <c r="AP30" s="95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2">
        <f t="shared" si="9"/>
        <v>0</v>
      </c>
      <c r="G31" s="75"/>
      <c r="H31" s="76"/>
      <c r="I31" s="92">
        <f t="shared" si="10"/>
        <v>0</v>
      </c>
      <c r="J31" s="76"/>
      <c r="K31" s="76"/>
      <c r="L31" s="92">
        <f t="shared" si="11"/>
        <v>0</v>
      </c>
      <c r="M31" s="75"/>
      <c r="N31" s="75"/>
      <c r="O31" s="92">
        <f t="shared" si="12"/>
        <v>0</v>
      </c>
      <c r="P31" s="76"/>
      <c r="Q31" s="76"/>
      <c r="R31" s="92">
        <f t="shared" si="13"/>
        <v>0</v>
      </c>
      <c r="S31" s="76"/>
      <c r="T31" s="76"/>
      <c r="U31" s="92">
        <f t="shared" si="14"/>
        <v>0</v>
      </c>
      <c r="V31" s="75"/>
      <c r="W31" s="76"/>
      <c r="X31" s="92">
        <f t="shared" si="15"/>
        <v>0</v>
      </c>
      <c r="Y31" s="92"/>
      <c r="Z31" s="92"/>
      <c r="AA31" s="92"/>
      <c r="AB31" s="96">
        <f t="shared" si="16"/>
        <v>0</v>
      </c>
      <c r="AC31" s="93"/>
      <c r="AD31" s="77"/>
      <c r="AE31" s="94">
        <f t="shared" si="17"/>
        <v>0</v>
      </c>
      <c r="AF31" s="77"/>
      <c r="AG31" s="94">
        <f t="shared" si="18"/>
        <v>0</v>
      </c>
      <c r="AH31" s="77"/>
      <c r="AI31" s="94">
        <f t="shared" si="19"/>
        <v>0</v>
      </c>
      <c r="AJ31" s="77"/>
      <c r="AK31" s="94">
        <f t="shared" si="20"/>
        <v>0</v>
      </c>
      <c r="AL31" s="78"/>
      <c r="AM31" s="94">
        <f t="shared" si="21"/>
        <v>0</v>
      </c>
      <c r="AN31" s="77"/>
      <c r="AO31" s="94">
        <f t="shared" si="22"/>
        <v>0</v>
      </c>
      <c r="AP31" s="95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2">
        <f t="shared" ref="F32" si="76">BA32-BB32</f>
        <v>0</v>
      </c>
      <c r="G32" s="75"/>
      <c r="H32" s="76"/>
      <c r="I32" s="92">
        <f t="shared" ref="I32" si="77">BF32-BG32</f>
        <v>0</v>
      </c>
      <c r="J32" s="76"/>
      <c r="K32" s="76"/>
      <c r="L32" s="92">
        <f t="shared" ref="L32" si="78">BK32-BL32</f>
        <v>0</v>
      </c>
      <c r="M32" s="75"/>
      <c r="N32" s="75"/>
      <c r="O32" s="92">
        <f t="shared" ref="O32" si="79">BP32-BQ32</f>
        <v>0</v>
      </c>
      <c r="P32" s="76"/>
      <c r="Q32" s="76"/>
      <c r="R32" s="92">
        <f t="shared" ref="R32" si="80">BU32-BV32</f>
        <v>0</v>
      </c>
      <c r="S32" s="76"/>
      <c r="T32" s="76"/>
      <c r="U32" s="92">
        <f t="shared" ref="U32" si="81">BZ32-CA32</f>
        <v>0</v>
      </c>
      <c r="V32" s="75"/>
      <c r="W32" s="76"/>
      <c r="X32" s="92">
        <f t="shared" ref="X32" si="82">CE32-CF32</f>
        <v>0</v>
      </c>
      <c r="Y32" s="92"/>
      <c r="Z32" s="92"/>
      <c r="AA32" s="92"/>
      <c r="AB32" s="96">
        <f t="shared" ref="AB32" si="83">SUM(F32,I32,L32,O32,R32,U32,X32)</f>
        <v>0</v>
      </c>
      <c r="AC32" s="93"/>
      <c r="AD32" s="77"/>
      <c r="AE32" s="94">
        <f t="shared" ref="AE32" si="84">SUMIF($BC$1:$CI$1,AE$1,$BC32:$CI32)+AD32</f>
        <v>0</v>
      </c>
      <c r="AF32" s="77"/>
      <c r="AG32" s="94">
        <f t="shared" ref="AG32" si="85">SUMIF($BC$1:$CI$1,AG$1,$BC32:$CI32)+AF32</f>
        <v>0</v>
      </c>
      <c r="AH32" s="77"/>
      <c r="AI32" s="94">
        <f t="shared" ref="AI32" si="86">SUMIF($BC$1:$CI$1,AI$1,$BC32:$CI32)+AH32</f>
        <v>0</v>
      </c>
      <c r="AJ32" s="77"/>
      <c r="AK32" s="94">
        <f t="shared" ref="AK32" si="87">SUMIF($BC$1:$CI$1,AK$1,$BC32:$CI32)+AJ32</f>
        <v>0</v>
      </c>
      <c r="AL32" s="78"/>
      <c r="AM32" s="94">
        <f t="shared" ref="AM32" si="88">SUMIF($BC$1:$CI$1,AM$1,$BC32:$CI32)+AL32</f>
        <v>0</v>
      </c>
      <c r="AN32" s="77"/>
      <c r="AO32" s="94">
        <f t="shared" ref="AO32" si="89">SUMIF($BC$1:$CI$1,AO$1,$BC32:$CI32)+AN32</f>
        <v>0</v>
      </c>
      <c r="AP32" s="95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2">
        <f t="shared" si="9"/>
        <v>0</v>
      </c>
      <c r="G33" s="75"/>
      <c r="H33" s="76"/>
      <c r="I33" s="92">
        <f t="shared" si="10"/>
        <v>0</v>
      </c>
      <c r="J33" s="76"/>
      <c r="K33" s="75"/>
      <c r="L33" s="92">
        <f t="shared" si="11"/>
        <v>0</v>
      </c>
      <c r="M33" s="76"/>
      <c r="N33" s="75"/>
      <c r="O33" s="92">
        <f t="shared" si="12"/>
        <v>0</v>
      </c>
      <c r="P33" s="76"/>
      <c r="Q33" s="75"/>
      <c r="R33" s="92">
        <f t="shared" si="13"/>
        <v>0</v>
      </c>
      <c r="S33" s="76"/>
      <c r="T33" s="76"/>
      <c r="U33" s="92">
        <f t="shared" si="14"/>
        <v>0</v>
      </c>
      <c r="V33" s="75"/>
      <c r="W33" s="76"/>
      <c r="X33" s="92">
        <f t="shared" si="15"/>
        <v>0</v>
      </c>
      <c r="Y33" s="92"/>
      <c r="Z33" s="92"/>
      <c r="AA33" s="92"/>
      <c r="AB33" s="96">
        <f t="shared" si="16"/>
        <v>0</v>
      </c>
      <c r="AC33" s="93"/>
      <c r="AD33" s="77"/>
      <c r="AE33" s="94">
        <f t="shared" si="17"/>
        <v>0</v>
      </c>
      <c r="AF33" s="77"/>
      <c r="AG33" s="94">
        <f t="shared" si="18"/>
        <v>0</v>
      </c>
      <c r="AH33" s="77"/>
      <c r="AI33" s="94">
        <f t="shared" si="19"/>
        <v>0</v>
      </c>
      <c r="AJ33" s="77"/>
      <c r="AK33" s="94">
        <f t="shared" si="20"/>
        <v>0</v>
      </c>
      <c r="AL33" s="78"/>
      <c r="AM33" s="94">
        <f t="shared" si="21"/>
        <v>0</v>
      </c>
      <c r="AN33" s="77"/>
      <c r="AO33" s="94">
        <f t="shared" si="22"/>
        <v>0</v>
      </c>
      <c r="AP33" s="95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2">
        <f t="shared" si="9"/>
        <v>0</v>
      </c>
      <c r="G34" s="75"/>
      <c r="H34" s="76"/>
      <c r="I34" s="92">
        <f t="shared" si="10"/>
        <v>0</v>
      </c>
      <c r="J34" s="76"/>
      <c r="K34" s="76"/>
      <c r="L34" s="92">
        <f t="shared" si="11"/>
        <v>0</v>
      </c>
      <c r="M34" s="75"/>
      <c r="N34" s="75"/>
      <c r="O34" s="92">
        <f t="shared" si="12"/>
        <v>0</v>
      </c>
      <c r="P34" s="76"/>
      <c r="Q34" s="76"/>
      <c r="R34" s="92">
        <f t="shared" si="13"/>
        <v>0</v>
      </c>
      <c r="S34" s="76"/>
      <c r="T34" s="76"/>
      <c r="U34" s="92">
        <f t="shared" si="14"/>
        <v>0</v>
      </c>
      <c r="V34" s="75"/>
      <c r="W34" s="76"/>
      <c r="X34" s="92">
        <f t="shared" si="15"/>
        <v>0</v>
      </c>
      <c r="Y34" s="92"/>
      <c r="Z34" s="92"/>
      <c r="AA34" s="92"/>
      <c r="AB34" s="96">
        <f t="shared" si="16"/>
        <v>0</v>
      </c>
      <c r="AC34" s="93"/>
      <c r="AD34" s="77"/>
      <c r="AE34" s="94">
        <f t="shared" si="17"/>
        <v>0</v>
      </c>
      <c r="AF34" s="77"/>
      <c r="AG34" s="94">
        <f t="shared" si="18"/>
        <v>0</v>
      </c>
      <c r="AH34" s="77"/>
      <c r="AI34" s="94">
        <f t="shared" si="19"/>
        <v>0</v>
      </c>
      <c r="AJ34" s="77"/>
      <c r="AK34" s="94">
        <f t="shared" si="20"/>
        <v>0</v>
      </c>
      <c r="AL34" s="78"/>
      <c r="AM34" s="94">
        <f t="shared" si="21"/>
        <v>0</v>
      </c>
      <c r="AN34" s="77"/>
      <c r="AO34" s="94">
        <f t="shared" si="22"/>
        <v>0</v>
      </c>
      <c r="AP34" s="95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2">
        <f t="shared" si="9"/>
        <v>0</v>
      </c>
      <c r="G35" s="75"/>
      <c r="H35" s="76"/>
      <c r="I35" s="92">
        <f t="shared" si="10"/>
        <v>0</v>
      </c>
      <c r="J35" s="76"/>
      <c r="K35" s="76"/>
      <c r="L35" s="92">
        <f t="shared" si="11"/>
        <v>0</v>
      </c>
      <c r="M35" s="75"/>
      <c r="N35" s="75"/>
      <c r="O35" s="92">
        <f t="shared" si="12"/>
        <v>0</v>
      </c>
      <c r="P35" s="76"/>
      <c r="Q35" s="76"/>
      <c r="R35" s="92">
        <f t="shared" si="13"/>
        <v>0</v>
      </c>
      <c r="S35" s="76"/>
      <c r="T35" s="76"/>
      <c r="U35" s="92">
        <f t="shared" si="14"/>
        <v>0</v>
      </c>
      <c r="V35" s="75"/>
      <c r="W35" s="76"/>
      <c r="X35" s="92">
        <f t="shared" si="15"/>
        <v>0</v>
      </c>
      <c r="Y35" s="92"/>
      <c r="Z35" s="92"/>
      <c r="AA35" s="92"/>
      <c r="AB35" s="96">
        <f t="shared" si="16"/>
        <v>0</v>
      </c>
      <c r="AC35" s="93"/>
      <c r="AD35" s="77"/>
      <c r="AE35" s="94">
        <f t="shared" si="17"/>
        <v>0</v>
      </c>
      <c r="AF35" s="77"/>
      <c r="AG35" s="94">
        <f t="shared" si="18"/>
        <v>0</v>
      </c>
      <c r="AH35" s="77"/>
      <c r="AI35" s="94">
        <f t="shared" si="19"/>
        <v>0</v>
      </c>
      <c r="AJ35" s="77"/>
      <c r="AK35" s="94">
        <f t="shared" si="20"/>
        <v>0</v>
      </c>
      <c r="AL35" s="78"/>
      <c r="AM35" s="94">
        <f t="shared" si="21"/>
        <v>0</v>
      </c>
      <c r="AN35" s="77"/>
      <c r="AO35" s="94">
        <f t="shared" si="22"/>
        <v>0</v>
      </c>
      <c r="AP35" s="95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3" priority="734" operator="equal">
      <formula>"Pub"</formula>
    </cfRule>
  </conditionalFormatting>
  <conditionalFormatting sqref="F2:F100 I2:I100 L2:L100 O2:O100 R2:R100 U2:U100 X2:AB100 AT2:AT100">
    <cfRule type="cellIs" dxfId="12" priority="735" operator="lessThan">
      <formula>0</formula>
    </cfRule>
    <cfRule type="cellIs" dxfId="11" priority="736" operator="between">
      <formula>3</formula>
      <formula>0.01</formula>
    </cfRule>
    <cfRule type="cellIs" dxfId="10" priority="737" operator="lessThan">
      <formula>SUMIF($C:$C,$C2,F:F)</formula>
    </cfRule>
  </conditionalFormatting>
  <conditionalFormatting sqref="AD5:AD100">
    <cfRule type="notContainsBlanks" dxfId="9" priority="2">
      <formula>LEN(TRIM(AD5))&gt;0</formula>
    </cfRule>
  </conditionalFormatting>
  <conditionalFormatting sqref="AF2:AF100">
    <cfRule type="notContainsBlanks" dxfId="8" priority="4">
      <formula>LEN(TRIM(AF2))&gt;0</formula>
    </cfRule>
  </conditionalFormatting>
  <conditionalFormatting sqref="AH2:AH100">
    <cfRule type="notContainsBlanks" dxfId="7" priority="3">
      <formula>LEN(TRIM(AH2))&gt;0</formula>
    </cfRule>
  </conditionalFormatting>
  <conditionalFormatting sqref="AL2:AL100">
    <cfRule type="notContainsBlanks" dxfId="6" priority="262">
      <formula>LEN(TRIM(AL2))&gt;0</formula>
    </cfRule>
  </conditionalFormatting>
  <conditionalFormatting sqref="AL21:AL29 AL61:AL63 AL75:AL100 AJ2:AJ100 AN2:AN100 AQ2:AS100">
    <cfRule type="notContainsBlanks" dxfId="5" priority="738">
      <formula>LEN(TRIM(AJ2))&gt;0</formula>
    </cfRule>
  </conditionalFormatting>
  <conditionalFormatting sqref="AT1">
    <cfRule type="cellIs" dxfId="4" priority="730" operator="equal">
      <formula>"Pub"</formula>
    </cfRule>
  </conditionalFormatting>
  <conditionalFormatting sqref="AD2:AD4">
    <cfRule type="notContainsBlanks" dxfId="0" priority="1">
      <formula>LEN(TRIM(AD2))&gt;0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abSelected="1" topLeftCell="E1" zoomScale="120" zoomScaleNormal="120" workbookViewId="0">
      <selection activeCell="I7" sqref="I7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18/01/26</v>
      </c>
      <c r="G1" s="13" t="str">
        <f>_xlfn.CONCAT("Age on ",TEXT( 'Week 1 Roster'!$D$1+14,"dd/mm/yy"))</f>
        <v>Age on 02/02/26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10306</v>
      </c>
      <c r="B2" s="28">
        <f ca="1">IF(A2=0,"",_xlfn.NUMBERVALUE(A2))</f>
        <v>10306</v>
      </c>
      <c r="C2" s="28" t="str">
        <f ca="1">IF($A2=0,"",VLOOKUP($B2,Employees!$A:$G,2,FALSE))</f>
        <v>Thuy An</v>
      </c>
      <c r="D2" s="28" t="str">
        <f ca="1">IF($A2=0,"",VLOOKUP($B2,Employees!$A:$G,3,FALSE))</f>
        <v>Pham</v>
      </c>
      <c r="E2" s="26">
        <f ca="1">IF($A2=0,"",VLOOKUP($B2,Employees!$A:$G,5,FALSE))</f>
        <v>37927</v>
      </c>
      <c r="F2" s="13">
        <f ca="1">IF($E2="","",ROUNDDOWN(YEARFRAC($E2, 'Week 1 Roster'!$D$1-1, 1), 0))</f>
        <v>22</v>
      </c>
      <c r="G2" s="13">
        <f ca="1">IF($E2="","",ROUNDDOWN(YEARFRAC($E2, 'Week 1 Roster'!$D$1+14, 1), 0))</f>
        <v>22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GCM</v>
      </c>
      <c r="K2" s="13" t="str">
        <f ca="1">IF($A2=0,"",IF(ISNA(VLOOKUP(A2,'Week 1 Roster'!A:C,2,0)),VLOOKUP(A2,'Week 2 Roster'!A:C,2,0),VLOOKUP(A2,'Week 1 Roster'!A:C,2,0)))</f>
        <v>The Star</v>
      </c>
      <c r="L2" s="13" t="str">
        <f ca="1">IF($A2=0,"",VLOOKUP(K2,Stores!A:B,2,0))</f>
        <v>Winlada</v>
      </c>
      <c r="M2" s="14">
        <f t="shared" ref="M2" ca="1" si="0">Y2+AK2</f>
        <v>23.849999999999994</v>
      </c>
      <c r="N2" s="14">
        <f t="shared" ref="N2" ca="1" si="1">Z2+AL2</f>
        <v>18.166666666666664</v>
      </c>
      <c r="O2" s="14">
        <f t="shared" ref="O2" ca="1" si="2">AA2+AM2</f>
        <v>0</v>
      </c>
      <c r="P2" s="14">
        <f t="shared" ref="P2" ca="1" si="3">AB2+AN2</f>
        <v>4.0166666666666684</v>
      </c>
      <c r="Q2" s="14">
        <f t="shared" ref="Q2" ca="1" si="4">AC2+AO2</f>
        <v>3.6000000000000032</v>
      </c>
      <c r="R2" s="14">
        <f t="shared" ref="R2:S2" ca="1" si="5">AD2+AP2</f>
        <v>0</v>
      </c>
      <c r="S2" s="28">
        <f t="shared" ca="1" si="5"/>
        <v>7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49.633333333333326</v>
      </c>
      <c r="Y2" s="17">
        <f ca="1">IF($A2=0,0,SUMIF('Week 1 Roster'!$AZ:$AZ,$B2,'Week 1 Roster'!$AE:$AE))</f>
        <v>15.283333333333333</v>
      </c>
      <c r="Z2" s="17">
        <f ca="1">IF($A2=0,0,SUMIF('Week 1 Roster'!$AZ:$AZ,$B2,'Week 1 Roster'!$AG:$AG))</f>
        <v>8.8000000000000007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1.4000000000000004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3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25.483333333333334</v>
      </c>
      <c r="AK2" s="17">
        <f ca="1">IF($A2=0,0,SUMIF('Week 2 Roster'!$AZ:$AZ,$B2,'Week 2 Roster'!$AE:$AE))</f>
        <v>8.5666666666666629</v>
      </c>
      <c r="AL2" s="17">
        <f ca="1">IF($A2=0,0,SUMIF('Week 2 Roster'!$AZ:$AZ,$B2,'Week 2 Roster'!$AG:$AG))</f>
        <v>9.3666666666666654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4.0166666666666684</v>
      </c>
      <c r="AO2" s="17">
        <f ca="1">IF($A2=0,0,SUMIF('Week 2 Roster'!$AZ:$AZ,$B2,'Week 2 Roster'!$AM:$AM))</f>
        <v>2.2000000000000028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4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24.150000000000002</v>
      </c>
      <c r="AV2" s="17"/>
      <c r="AW2" s="25">
        <f>'Week 1 Roster'!A2</f>
        <v>10306</v>
      </c>
      <c r="AX2" s="25">
        <f>'Week 2 Roster'!A2</f>
        <v>10306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10386</v>
      </c>
      <c r="B3" s="28">
        <f t="shared" ref="B3:B66" ca="1" si="9">IF(A3=0,"",_xlfn.NUMBERVALUE(A3))</f>
        <v>10386</v>
      </c>
      <c r="C3" s="28" t="str">
        <f ca="1">IF($A3=0,"",VLOOKUP($B3,Employees!$A:$G,2,FALSE))</f>
        <v>Thesya</v>
      </c>
      <c r="D3" s="28" t="str">
        <f ca="1">IF($A3=0,"",VLOOKUP($B3,Employees!$A:$G,3,FALSE))</f>
        <v>Handoko</v>
      </c>
      <c r="E3" s="26">
        <f ca="1">IF($A3=0,"",VLOOKUP($B3,Employees!$A:$G,5,FALSE))</f>
        <v>35963</v>
      </c>
      <c r="F3" s="13">
        <f ca="1">IF($E3="","",ROUNDDOWN(YEARFRAC($E3, 'Week 1 Roster'!$D$1-1, 1), 0))</f>
        <v>27</v>
      </c>
      <c r="G3" s="13">
        <f ca="1">IF($E3="","",ROUNDDOWN(YEARFRAC($E3, 'Week 1 Roster'!$D$1+14, 1), 0))</f>
        <v>27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SS</v>
      </c>
      <c r="K3" s="13" t="str">
        <f ca="1">IF($A3=0,"",IF(ISNA(VLOOKUP(A3,'Week 1 Roster'!A:C,2,0)),VLOOKUP(A3,'Week 2 Roster'!A:C,2,0),VLOOKUP(A3,'Week 1 Roster'!A:C,2,0)))</f>
        <v>The Star</v>
      </c>
      <c r="L3" s="13" t="str">
        <f ca="1">IF($A3=0,"",VLOOKUP(K3,Stores!A:B,2,0))</f>
        <v>Winlada</v>
      </c>
      <c r="M3" s="14">
        <f t="shared" ref="M3:M66" ca="1" si="11">Y3+AK3</f>
        <v>42.416666666666664</v>
      </c>
      <c r="N3" s="14">
        <f t="shared" ref="N3:N66" ca="1" si="12">Z3+AL3</f>
        <v>14.599999999999998</v>
      </c>
      <c r="O3" s="14">
        <f t="shared" ref="O3:O66" ca="1" si="13">AA3+AM3</f>
        <v>8.25</v>
      </c>
      <c r="P3" s="14">
        <f t="shared" ref="P3:P66" ca="1" si="14">AB3+AN3</f>
        <v>4.5333333333333314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10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69.8</v>
      </c>
      <c r="Y3" s="17">
        <f ca="1">IF($A3=0,0,SUMIF('Week 1 Roster'!$AZ:$AZ,$B3,'Week 1 Roster'!$AE:$AE))</f>
        <v>18.283333333333331</v>
      </c>
      <c r="Z3" s="17">
        <f ca="1">IF($A3=0,0,SUMIF('Week 1 Roster'!$AZ:$AZ,$B3,'Week 1 Roster'!$AG:$AG))</f>
        <v>8.4999999999999982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4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26.783333333333331</v>
      </c>
      <c r="AK3" s="17">
        <f ca="1">IF($A3=0,0,SUMIF('Week 2 Roster'!$AZ:$AZ,$B3,'Week 2 Roster'!$AE:$AE))</f>
        <v>24.133333333333333</v>
      </c>
      <c r="AL3" s="17">
        <f ca="1">IF($A3=0,0,SUMIF('Week 2 Roster'!$AZ:$AZ,$B3,'Week 2 Roster'!$AG:$AG))</f>
        <v>6.1</v>
      </c>
      <c r="AM3" s="17">
        <f ca="1">IF($A3=0,0,SUMIF('Week 2 Roster'!$AZ:$AZ,$B3,'Week 2 Roster'!$AI:$AI))</f>
        <v>8.25</v>
      </c>
      <c r="AN3" s="17">
        <f ca="1">IF($A3=0,0,SUMIF('Week 2 Roster'!$AZ:$AZ,$B3,'Week 2 Roster'!$AK:$AK))</f>
        <v>4.5333333333333314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6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43.016666666666666</v>
      </c>
      <c r="AV3" s="17"/>
      <c r="AW3" s="25">
        <f>'Week 1 Roster'!A3</f>
        <v>10386</v>
      </c>
      <c r="AX3" s="25">
        <f>'Week 2 Roster'!A3</f>
        <v>10386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10376</v>
      </c>
      <c r="B4" s="28">
        <f t="shared" ca="1" si="9"/>
        <v>10376</v>
      </c>
      <c r="C4" s="28" t="str">
        <f ca="1">IF($A4=0,"",VLOOKUP($B4,Employees!$A:$G,2,FALSE))</f>
        <v>Cong Hieu</v>
      </c>
      <c r="D4" s="28" t="str">
        <f ca="1">IF($A4=0,"",VLOOKUP($B4,Employees!$A:$G,3,FALSE))</f>
        <v>Le</v>
      </c>
      <c r="E4" s="26">
        <f ca="1">IF($A4=0,"",VLOOKUP($B4,Employees!$A:$G,5,FALSE))</f>
        <v>38021</v>
      </c>
      <c r="F4" s="13">
        <f ca="1">IF($E4="","",ROUNDDOWN(YEARFRAC($E4, 'Week 1 Roster'!$D$1-1, 1), 0))</f>
        <v>21</v>
      </c>
      <c r="G4" s="13">
        <f ca="1">IF($E4="","",ROUNDDOWN(YEARFRAC($E4, 'Week 1 Roster'!$D$1+14, 1), 0))</f>
        <v>21</v>
      </c>
      <c r="H4" s="13" t="b">
        <f t="shared" ca="1" si="10"/>
        <v>0</v>
      </c>
      <c r="I4" s="13">
        <f ca="1">IF($A4=0,"",VLOOKUP($B4,Employees!$A:$G,6,FALSE))</f>
        <v>48</v>
      </c>
      <c r="J4" s="13" t="str">
        <f ca="1">IF($A4=0,"",VLOOKUP($B4,Employees!$A:$G,7,FALSE))</f>
        <v>SS</v>
      </c>
      <c r="K4" s="13" t="str">
        <f ca="1">IF($A4=0,"",IF(ISNA(VLOOKUP(A4,'Week 1 Roster'!A:C,2,0)),VLOOKUP(A4,'Week 2 Roster'!A:C,2,0),VLOOKUP(A4,'Week 1 Roster'!A:C,2,0)))</f>
        <v>The Star</v>
      </c>
      <c r="L4" s="13" t="str">
        <f ca="1">IF($A4=0,"",VLOOKUP(K4,Stores!A:B,2,0))</f>
        <v>Winlada</v>
      </c>
      <c r="M4" s="14">
        <f t="shared" ca="1" si="11"/>
        <v>16.949999999999996</v>
      </c>
      <c r="N4" s="14">
        <f t="shared" ca="1" si="12"/>
        <v>0</v>
      </c>
      <c r="O4" s="14">
        <f t="shared" ca="1" si="13"/>
        <v>12.45</v>
      </c>
      <c r="P4" s="14">
        <f t="shared" ca="1" si="14"/>
        <v>4.4833333333333334</v>
      </c>
      <c r="Q4" s="14">
        <f t="shared" ca="1" si="15"/>
        <v>2.5166666666666684</v>
      </c>
      <c r="R4" s="14">
        <f t="shared" ca="1" si="16"/>
        <v>0</v>
      </c>
      <c r="S4" s="28">
        <f t="shared" ca="1" si="17"/>
        <v>5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36.399999999999991</v>
      </c>
      <c r="Y4" s="17">
        <f ca="1">IF($A4=0,0,SUMIF('Week 1 Roster'!$AZ:$AZ,$B4,'Week 1 Roster'!$AE:$AE))</f>
        <v>9.9166666666666643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12.45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2.5166666666666684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3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24.883333333333333</v>
      </c>
      <c r="AK4" s="17">
        <f ca="1">IF($A4=0,0,SUMIF('Week 2 Roster'!$AZ:$AZ,$B4,'Week 2 Roster'!$AE:$AE))</f>
        <v>7.0333333333333332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4.4833333333333334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2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11.516666666666666</v>
      </c>
      <c r="AV4" s="17"/>
      <c r="AW4" s="25">
        <f>'Week 1 Roster'!A4</f>
        <v>10376</v>
      </c>
      <c r="AX4" s="25">
        <f>'Week 2 Roster'!A4</f>
        <v>10376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210432</v>
      </c>
      <c r="B5" s="28">
        <f t="shared" ca="1" si="9"/>
        <v>210432</v>
      </c>
      <c r="C5" s="28" t="str">
        <f ca="1">IF($A5=0,"",VLOOKUP($B5,Employees!$A:$G,2,FALSE))</f>
        <v>Mya</v>
      </c>
      <c r="D5" s="28" t="str">
        <f ca="1">IF($A5=0,"",VLOOKUP($B5,Employees!$A:$G,3,FALSE))</f>
        <v>Hmue</v>
      </c>
      <c r="E5" s="26">
        <f ca="1">IF($A5=0,"",VLOOKUP($B5,Employees!$A:$G,5,FALSE))</f>
        <v>38106</v>
      </c>
      <c r="F5" s="13">
        <f ca="1">IF($E5="","",ROUNDDOWN(YEARFRAC($E5, 'Week 1 Roster'!$D$1-1, 1), 0))</f>
        <v>21</v>
      </c>
      <c r="G5" s="13">
        <f ca="1">IF($E5="","",ROUNDDOWN(YEARFRAC($E5, 'Week 1 Roster'!$D$1+14, 1), 0))</f>
        <v>21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SS</v>
      </c>
      <c r="K5" s="13" t="str">
        <f ca="1">IF($A5=0,"",IF(ISNA(VLOOKUP(A5,'Week 1 Roster'!A:C,2,0)),VLOOKUP(A5,'Week 2 Roster'!A:C,2,0),VLOOKUP(A5,'Week 1 Roster'!A:C,2,0)))</f>
        <v>The Star</v>
      </c>
      <c r="L5" s="13" t="str">
        <f ca="1">IF($A5=0,"",VLOOKUP(K5,Stores!A:B,2,0))</f>
        <v>Winlada</v>
      </c>
      <c r="M5" s="14">
        <f t="shared" ca="1" si="11"/>
        <v>14.2</v>
      </c>
      <c r="N5" s="14">
        <f t="shared" ca="1" si="12"/>
        <v>0</v>
      </c>
      <c r="O5" s="14">
        <f t="shared" ca="1" si="13"/>
        <v>14.35</v>
      </c>
      <c r="P5" s="14">
        <f t="shared" ca="1" si="14"/>
        <v>0</v>
      </c>
      <c r="Q5" s="14">
        <f t="shared" ca="1" si="15"/>
        <v>3.56666666666667</v>
      </c>
      <c r="R5" s="14">
        <f t="shared" ca="1" si="16"/>
        <v>0</v>
      </c>
      <c r="S5" s="28">
        <f t="shared" ca="1" si="17"/>
        <v>5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32.116666666666667</v>
      </c>
      <c r="Y5" s="17">
        <f ca="1">IF($A5=0,0,SUMIF('Week 1 Roster'!$AZ:$AZ,$B5,'Week 1 Roster'!$AE:$AE))</f>
        <v>6.5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6.0166666666666675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1.1666666666666679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2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13.683333333333335</v>
      </c>
      <c r="AK5" s="17">
        <f ca="1">IF($A5=0,0,SUMIF('Week 2 Roster'!$AZ:$AZ,$B5,'Week 2 Roster'!$AE:$AE))</f>
        <v>7.6999999999999993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8.3333333333333321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2.4000000000000021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3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18.433333333333334</v>
      </c>
      <c r="AV5" s="17"/>
      <c r="AW5" s="25">
        <f>'Week 1 Roster'!A5</f>
        <v>210432</v>
      </c>
      <c r="AX5" s="25">
        <f>'Week 2 Roster'!A5</f>
        <v>210432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210553</v>
      </c>
      <c r="B6" s="28">
        <f t="shared" ca="1" si="9"/>
        <v>210553</v>
      </c>
      <c r="C6" s="28" t="str">
        <f ca="1">IF($A6=0,"",VLOOKUP($B6,Employees!$A:$G,2,FALSE))</f>
        <v>Yunji</v>
      </c>
      <c r="D6" s="28" t="str">
        <f ca="1">IF($A6=0,"",VLOOKUP($B6,Employees!$A:$G,3,FALSE))</f>
        <v>Kang</v>
      </c>
      <c r="E6" s="26">
        <f ca="1">IF($A6=0,"",VLOOKUP($B6,Employees!$A:$G,5,FALSE))</f>
        <v>36234</v>
      </c>
      <c r="F6" s="13">
        <f ca="1">IF($E6="","",ROUNDDOWN(YEARFRAC($E6, 'Week 1 Roster'!$D$1-1, 1), 0))</f>
        <v>26</v>
      </c>
      <c r="G6" s="13">
        <f ca="1">IF($E6="","",ROUNDDOWN(YEARFRAC($E6, 'Week 1 Roster'!$D$1+14, 1), 0))</f>
        <v>26</v>
      </c>
      <c r="H6" s="13" t="b">
        <f t="shared" ca="1" si="10"/>
        <v>0</v>
      </c>
      <c r="I6" s="13">
        <f ca="1">IF($A6=0,"",VLOOKUP($B6,Employees!$A:$G,6,FALSE))</f>
        <v>76</v>
      </c>
      <c r="J6" s="13" t="str">
        <f ca="1">IF($A6=0,"",VLOOKUP($B6,Employees!$A:$G,7,FALSE))</f>
        <v>Win</v>
      </c>
      <c r="K6" s="13" t="str">
        <f ca="1">IF($A6=0,"",IF(ISNA(VLOOKUP(A6,'Week 1 Roster'!A:C,2,0)),VLOOKUP(A6,'Week 2 Roster'!A:C,2,0),VLOOKUP(A6,'Week 1 Roster'!A:C,2,0)))</f>
        <v>The Star</v>
      </c>
      <c r="L6" s="13" t="str">
        <f ca="1">IF($A6=0,"",VLOOKUP(K6,Stores!A:B,2,0))</f>
        <v>Winlada</v>
      </c>
      <c r="M6" s="14">
        <f t="shared" ca="1" si="11"/>
        <v>18.516666666666666</v>
      </c>
      <c r="N6" s="14">
        <f t="shared" ca="1" si="12"/>
        <v>0</v>
      </c>
      <c r="O6" s="14">
        <f t="shared" ca="1" si="13"/>
        <v>0</v>
      </c>
      <c r="P6" s="14">
        <f t="shared" ca="1" si="14"/>
        <v>0</v>
      </c>
      <c r="Q6" s="14">
        <f t="shared" ca="1" si="15"/>
        <v>2.3666666666666689</v>
      </c>
      <c r="R6" s="14">
        <f t="shared" ca="1" si="16"/>
        <v>0</v>
      </c>
      <c r="S6" s="28">
        <f t="shared" ca="1" si="17"/>
        <v>4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20.883333333333333</v>
      </c>
      <c r="Y6" s="17">
        <f ca="1">IF($A6=0,0,SUMIF('Week 1 Roster'!$AZ:$AZ,$B6,'Week 1 Roster'!$AE:$AE))</f>
        <v>9.5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1.1666666666666679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2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10.666666666666668</v>
      </c>
      <c r="AK6" s="17">
        <f ca="1">IF($A6=0,0,SUMIF('Week 2 Roster'!$AZ:$AZ,$B6,'Week 2 Roster'!$AE:$AE))</f>
        <v>9.0166666666666657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1.2000000000000011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2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10.216666666666667</v>
      </c>
      <c r="AV6" s="17"/>
      <c r="AW6" s="25">
        <f>'Week 1 Roster'!A6</f>
        <v>210553</v>
      </c>
      <c r="AX6" s="25">
        <f>'Week 2 Roster'!A6</f>
        <v>210553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10431</v>
      </c>
      <c r="B7" s="28">
        <f t="shared" ca="1" si="9"/>
        <v>10431</v>
      </c>
      <c r="C7" s="28" t="str">
        <f ca="1">IF($A7=0,"",VLOOKUP($B7,Employees!$A:$G,2,FALSE))</f>
        <v>Victoria</v>
      </c>
      <c r="D7" s="28" t="str">
        <f ca="1">IF($A7=0,"",VLOOKUP($B7,Employees!$A:$G,3,FALSE))</f>
        <v>Handoko</v>
      </c>
      <c r="E7" s="26">
        <f ca="1">IF($A7=0,"",VLOOKUP($B7,Employees!$A:$G,5,FALSE))</f>
        <v>36829</v>
      </c>
      <c r="F7" s="13">
        <f ca="1">IF($E7="","",ROUNDDOWN(YEARFRAC($E7, 'Week 1 Roster'!$D$1-1, 1), 0))</f>
        <v>25</v>
      </c>
      <c r="G7" s="13">
        <f ca="1">IF($E7="","",ROUNDDOWN(YEARFRAC($E7, 'Week 1 Roster'!$D$1+14, 1), 0))</f>
        <v>25</v>
      </c>
      <c r="H7" s="13" t="b">
        <f t="shared" ca="1" si="10"/>
        <v>0</v>
      </c>
      <c r="I7" s="13">
        <f ca="1">IF($A7=0,"",VLOOKUP($B7,Employees!$A:$G,6,FALSE))</f>
        <v>62</v>
      </c>
      <c r="J7" s="13" t="str">
        <f ca="1">IF($A7=0,"",VLOOKUP($B7,Employees!$A:$G,7,FALSE))</f>
        <v>Win</v>
      </c>
      <c r="K7" s="13" t="str">
        <f ca="1">IF($A7=0,"",IF(ISNA(VLOOKUP(A7,'Week 1 Roster'!A:C,2,0)),VLOOKUP(A7,'Week 2 Roster'!A:C,2,0),VLOOKUP(A7,'Week 1 Roster'!A:C,2,0)))</f>
        <v>The Star</v>
      </c>
      <c r="L7" s="13" t="str">
        <f ca="1">IF($A7=0,"",VLOOKUP(K7,Stores!A:B,2,0))</f>
        <v>Winlada</v>
      </c>
      <c r="M7" s="14">
        <f t="shared" ca="1" si="11"/>
        <v>7.75</v>
      </c>
      <c r="N7" s="14">
        <f t="shared" ca="1" si="12"/>
        <v>0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1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7.75</v>
      </c>
      <c r="Y7" s="17">
        <f ca="1">IF($A7=0,0,SUMIF('Week 1 Roster'!$AZ:$AZ,$B7,'Week 1 Roster'!$AE:$AE))</f>
        <v>7.75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1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7.75</v>
      </c>
      <c r="AK7" s="17">
        <f ca="1">IF($A7=0,0,SUMIF('Week 2 Roster'!$AZ:$AZ,$B7,'Week 2 Roster'!$AE:$AE))</f>
        <v>0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0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0</v>
      </c>
      <c r="AV7" s="17"/>
      <c r="AW7" s="25">
        <f>'Week 1 Roster'!A7</f>
        <v>10431</v>
      </c>
      <c r="AX7" s="25" t="str">
        <f>'Week 2 Roster'!A7</f>
        <v/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10090</v>
      </c>
      <c r="B8" s="28">
        <f t="shared" ca="1" si="9"/>
        <v>10090</v>
      </c>
      <c r="C8" s="28" t="str">
        <f ca="1">IF($A8=0,"",VLOOKUP($B8,Employees!$A:$G,2,FALSE))</f>
        <v>Hsin-Yi</v>
      </c>
      <c r="D8" s="28" t="str">
        <f ca="1">IF($A8=0,"",VLOOKUP($B8,Employees!$A:$G,3,FALSE))</f>
        <v>CHIANG</v>
      </c>
      <c r="E8" s="26">
        <f ca="1">IF($A8=0,"",VLOOKUP($B8,Employees!$A:$G,5,FALSE))</f>
        <v>33945</v>
      </c>
      <c r="F8" s="13">
        <f ca="1">IF($E8="","",ROUNDDOWN(YEARFRAC($E8, 'Week 1 Roster'!$D$1-1, 1), 0))</f>
        <v>33</v>
      </c>
      <c r="G8" s="13">
        <f ca="1">IF($E8="","",ROUNDDOWN(YEARFRAC($E8, 'Week 1 Roster'!$D$1+14, 1), 0))</f>
        <v>33</v>
      </c>
      <c r="H8" s="13" t="b">
        <f t="shared" ca="1" si="10"/>
        <v>0</v>
      </c>
      <c r="I8" s="13">
        <f ca="1">IF($A8=0,"",VLOOKUP($B8,Employees!$A:$G,6,FALSE))</f>
        <v>76</v>
      </c>
      <c r="J8" s="13" t="str">
        <f ca="1">IF($A8=0,"",VLOOKUP($B8,Employees!$A:$G,7,FALSE))</f>
        <v>HL</v>
      </c>
      <c r="K8" s="13" t="str">
        <f ca="1">IF($A8=0,"",IF(ISNA(VLOOKUP(A8,'Week 1 Roster'!A:C,2,0)),VLOOKUP(A8,'Week 2 Roster'!A:C,2,0),VLOOKUP(A8,'Week 1 Roster'!A:C,2,0)))</f>
        <v>The Star</v>
      </c>
      <c r="L8" s="13" t="str">
        <f ca="1">IF($A8=0,"",VLOOKUP(K8,Stores!A:B,2,0))</f>
        <v>Winlada</v>
      </c>
      <c r="M8" s="14">
        <f t="shared" ca="1" si="11"/>
        <v>4.2499999999999982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1.1666666666666679</v>
      </c>
      <c r="R8" s="14">
        <f t="shared" ca="1" si="16"/>
        <v>0</v>
      </c>
      <c r="S8" s="28">
        <f t="shared" ca="1" si="17"/>
        <v>1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5.4166666666666661</v>
      </c>
      <c r="Y8" s="17">
        <f ca="1">IF($A8=0,0,SUMIF('Week 1 Roster'!$AZ:$AZ,$B8,'Week 1 Roster'!$AE:$AE))</f>
        <v>4.2499999999999982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1.1666666666666679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1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5.4166666666666661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0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0</v>
      </c>
      <c r="AV8" s="17"/>
      <c r="AW8" s="25">
        <f>'Week 1 Roster'!A8</f>
        <v>10090</v>
      </c>
      <c r="AX8" s="25" t="str">
        <f>'Week 2 Roster'!A8</f>
        <v/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0</v>
      </c>
      <c r="B9" s="28" t="str">
        <f t="shared" ca="1" si="9"/>
        <v/>
      </c>
      <c r="C9" s="28" t="str">
        <f ca="1">IF($A9=0,"",VLOOKUP($B9,Employees!$A:$G,2,FALSE))</f>
        <v/>
      </c>
      <c r="D9" s="28" t="str">
        <f ca="1">IF($A9=0,"",VLOOKUP($B9,Employees!$A:$G,3,FALSE))</f>
        <v/>
      </c>
      <c r="E9" s="26" t="str">
        <f ca="1">IF($A9=0,"",VLOOKUP($B9,Employees!$A:$G,5,FALSE))</f>
        <v/>
      </c>
      <c r="F9" s="13" t="str">
        <f ca="1">IF($E9="","",ROUNDDOWN(YEARFRAC($E9, 'Week 1 Roster'!$D$1-1, 1), 0))</f>
        <v/>
      </c>
      <c r="G9" s="13" t="str">
        <f ca="1">IF($E9="","",ROUNDDOWN(YEARFRAC($E9, 'Week 1 Roster'!$D$1+14, 1), 0))</f>
        <v/>
      </c>
      <c r="H9" s="13" t="str">
        <f t="shared" ca="1" si="10"/>
        <v/>
      </c>
      <c r="I9" s="13" t="str">
        <f ca="1">IF($A9=0,"",VLOOKUP($B9,Employees!$A:$G,6,FALSE))</f>
        <v/>
      </c>
      <c r="J9" s="13" t="str">
        <f ca="1">IF($A9=0,"",VLOOKUP($B9,Employees!$A:$G,7,FALSE))</f>
        <v/>
      </c>
      <c r="K9" s="13" t="str">
        <f ca="1">IF($A9=0,"",IF(ISNA(VLOOKUP(A9,'Week 1 Roster'!A:C,2,0)),VLOOKUP(A9,'Week 2 Roster'!A:C,2,0),VLOOKUP(A9,'Week 1 Roster'!A:C,2,0)))</f>
        <v/>
      </c>
      <c r="L9" s="13" t="str">
        <f ca="1">IF($A9=0,"",VLOOKUP(K9,Stores!A:B,2,0))</f>
        <v/>
      </c>
      <c r="M9" s="14">
        <f t="shared" ca="1" si="11"/>
        <v>0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0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0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0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0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 t="str">
        <f>'Week 1 Roster'!A9</f>
        <v/>
      </c>
      <c r="AX9" s="25" t="str">
        <f>'Week 2 Roster'!A9</f>
        <v/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0</v>
      </c>
      <c r="B10" s="28" t="str">
        <f t="shared" ca="1" si="9"/>
        <v/>
      </c>
      <c r="C10" s="28" t="str">
        <f ca="1">IF($A10=0,"",VLOOKUP($B10,Employees!$A:$G,2,FALSE))</f>
        <v/>
      </c>
      <c r="D10" s="28" t="str">
        <f ca="1">IF($A10=0,"",VLOOKUP($B10,Employees!$A:$G,3,FALSE))</f>
        <v/>
      </c>
      <c r="E10" s="26" t="str">
        <f ca="1">IF($A10=0,"",VLOOKUP($B10,Employees!$A:$G,5,FALSE))</f>
        <v/>
      </c>
      <c r="F10" s="13" t="str">
        <f ca="1">IF($E10="","",ROUNDDOWN(YEARFRAC($E10, 'Week 1 Roster'!$D$1-1, 1), 0))</f>
        <v/>
      </c>
      <c r="G10" s="13" t="str">
        <f ca="1">IF($E10="","",ROUNDDOWN(YEARFRAC($E10, 'Week 1 Roster'!$D$1+14, 1), 0))</f>
        <v/>
      </c>
      <c r="H10" s="13" t="str">
        <f t="shared" ca="1" si="10"/>
        <v/>
      </c>
      <c r="I10" s="13" t="str">
        <f ca="1">IF($A10=0,"",VLOOKUP($B10,Employees!$A:$G,6,FALSE))</f>
        <v/>
      </c>
      <c r="J10" s="13" t="str">
        <f ca="1">IF($A10=0,"",VLOOKUP($B10,Employees!$A:$G,7,FALSE))</f>
        <v/>
      </c>
      <c r="K10" s="13" t="str">
        <f ca="1">IF($A10=0,"",IF(ISNA(VLOOKUP(A10,'Week 1 Roster'!A:C,2,0)),VLOOKUP(A10,'Week 2 Roster'!A:C,2,0),VLOOKUP(A10,'Week 1 Roster'!A:C,2,0)))</f>
        <v/>
      </c>
      <c r="L10" s="13" t="str">
        <f ca="1">IF($A10=0,"",VLOOKUP(K10,Stores!A:B,2,0))</f>
        <v/>
      </c>
      <c r="M10" s="14">
        <f t="shared" ca="1" si="11"/>
        <v>0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0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0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 t="str">
        <f>'Week 1 Roster'!A10</f>
        <v/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3" priority="1" operator="equal">
      <formula>FALSE</formula>
    </cfRule>
  </conditionalFormatting>
  <conditionalFormatting sqref="M1:AU1048576">
    <cfRule type="cellIs" dxfId="2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408" zoomScale="186" zoomScaleNormal="186" workbookViewId="0">
      <selection activeCell="F429" sqref="F429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/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76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210176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/>
      <c r="I177" s="12">
        <f t="shared" si="2"/>
        <v>210176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76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1464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1376</v>
      </c>
      <c r="H189" s="39"/>
      <c r="I189" s="12">
        <f t="shared" si="2"/>
        <v>210188</v>
      </c>
    </row>
    <row r="190" spans="1:9">
      <c r="A190" s="2">
        <v>210189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1376</v>
      </c>
      <c r="H190" s="39"/>
      <c r="I190" s="12">
        <f t="shared" si="2"/>
        <v>210189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/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76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76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76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210390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1376</v>
      </c>
      <c r="H391" s="39"/>
      <c r="I391" s="12">
        <f t="shared" si="6"/>
        <v>210390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62</v>
      </c>
      <c r="G432" s="39" t="s">
        <v>1376</v>
      </c>
      <c r="H432" s="39"/>
      <c r="I432" s="12">
        <f t="shared" si="7"/>
        <v>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76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210505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210505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48</v>
      </c>
      <c r="G519" s="39" t="s">
        <v>1376</v>
      </c>
      <c r="I519" s="12">
        <f t="shared" si="9"/>
        <v>210518</v>
      </c>
    </row>
    <row r="520" spans="1:9">
      <c r="A520" s="2">
        <v>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48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7" t="s">
        <v>1434</v>
      </c>
      <c r="C525" s="67" t="s">
        <v>536</v>
      </c>
      <c r="D525" s="67" t="s">
        <v>1435</v>
      </c>
      <c r="E525" s="79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A526" s="2">
        <v>210525</v>
      </c>
      <c r="B526" s="67" t="s">
        <v>1436</v>
      </c>
      <c r="C526" s="67" t="s">
        <v>1425</v>
      </c>
      <c r="D526" s="67" t="s">
        <v>1437</v>
      </c>
      <c r="E526" s="79">
        <v>38289</v>
      </c>
      <c r="F526" s="32">
        <v>76</v>
      </c>
      <c r="G526" s="39" t="s">
        <v>1376</v>
      </c>
      <c r="I526" s="12">
        <f t="shared" si="9"/>
        <v>210525</v>
      </c>
    </row>
    <row r="527" spans="1:9">
      <c r="A527" s="2">
        <v>210526</v>
      </c>
      <c r="B527" s="67" t="s">
        <v>1438</v>
      </c>
      <c r="C527" s="67" t="s">
        <v>308</v>
      </c>
      <c r="D527" s="67" t="s">
        <v>1439</v>
      </c>
      <c r="E527" s="79">
        <v>39023</v>
      </c>
      <c r="F527" s="32">
        <v>76</v>
      </c>
      <c r="G527" s="39" t="s">
        <v>1376</v>
      </c>
      <c r="I527" s="12">
        <f t="shared" si="9"/>
        <v>210526</v>
      </c>
    </row>
    <row r="528" spans="1:9">
      <c r="A528" s="2">
        <v>210527</v>
      </c>
      <c r="B528" s="67" t="s">
        <v>1440</v>
      </c>
      <c r="C528" s="67" t="s">
        <v>1441</v>
      </c>
      <c r="D528" s="67" t="s">
        <v>1442</v>
      </c>
      <c r="E528" s="79">
        <v>35581</v>
      </c>
      <c r="F528" s="32">
        <v>76</v>
      </c>
      <c r="G528" s="39" t="s">
        <v>1376</v>
      </c>
      <c r="I528" s="12">
        <f t="shared" si="9"/>
        <v>210527</v>
      </c>
    </row>
    <row r="529" spans="1:9">
      <c r="A529" s="2">
        <v>210528</v>
      </c>
      <c r="B529" s="67" t="s">
        <v>330</v>
      </c>
      <c r="C529" s="67" t="s">
        <v>311</v>
      </c>
      <c r="D529" s="67" t="s">
        <v>1443</v>
      </c>
      <c r="E529" s="79">
        <v>35518</v>
      </c>
      <c r="F529" s="32">
        <v>48</v>
      </c>
      <c r="G529" s="39" t="s">
        <v>1376</v>
      </c>
      <c r="I529" s="12">
        <f t="shared" si="9"/>
        <v>210528</v>
      </c>
    </row>
    <row r="530" spans="1:9">
      <c r="A530" s="2">
        <v>210529</v>
      </c>
      <c r="B530" s="67" t="s">
        <v>1444</v>
      </c>
      <c r="C530" s="67" t="s">
        <v>924</v>
      </c>
      <c r="D530" s="67" t="s">
        <v>1445</v>
      </c>
      <c r="E530" s="79">
        <v>36108</v>
      </c>
      <c r="F530" s="32">
        <v>48</v>
      </c>
      <c r="G530" s="39" t="s">
        <v>1376</v>
      </c>
      <c r="I530" s="12">
        <f t="shared" si="9"/>
        <v>210529</v>
      </c>
    </row>
    <row r="531" spans="1:9">
      <c r="A531" s="2">
        <v>210530</v>
      </c>
      <c r="B531" s="67" t="s">
        <v>1446</v>
      </c>
      <c r="C531" s="67" t="s">
        <v>1447</v>
      </c>
      <c r="D531" s="67" t="s">
        <v>1448</v>
      </c>
      <c r="E531" s="79">
        <v>36801</v>
      </c>
      <c r="F531" s="32">
        <v>48</v>
      </c>
      <c r="G531" s="39" t="s">
        <v>1376</v>
      </c>
      <c r="I531" s="12">
        <f t="shared" si="9"/>
        <v>210530</v>
      </c>
    </row>
    <row r="532" spans="1:9">
      <c r="A532" s="2">
        <v>210531</v>
      </c>
      <c r="B532" s="67" t="s">
        <v>1449</v>
      </c>
      <c r="C532" s="67" t="s">
        <v>1450</v>
      </c>
      <c r="D532" s="67" t="s">
        <v>1451</v>
      </c>
      <c r="E532" s="79">
        <v>37073</v>
      </c>
      <c r="F532" s="32">
        <v>48</v>
      </c>
      <c r="G532" s="39" t="s">
        <v>1301</v>
      </c>
      <c r="I532" s="12">
        <f t="shared" si="9"/>
        <v>210531</v>
      </c>
    </row>
    <row r="533" spans="1:9">
      <c r="A533" s="2">
        <v>210532</v>
      </c>
      <c r="B533" s="67" t="s">
        <v>1452</v>
      </c>
      <c r="C533" s="67" t="s">
        <v>178</v>
      </c>
      <c r="D533" s="67" t="s">
        <v>1453</v>
      </c>
      <c r="E533" s="79">
        <v>37480</v>
      </c>
      <c r="F533" s="32">
        <v>48</v>
      </c>
      <c r="G533" s="39" t="s">
        <v>1301</v>
      </c>
      <c r="I533" s="12">
        <f t="shared" si="9"/>
        <v>210532</v>
      </c>
    </row>
    <row r="534" spans="1:9">
      <c r="A534" s="2">
        <v>210533</v>
      </c>
      <c r="B534" s="67" t="s">
        <v>1454</v>
      </c>
      <c r="C534" s="67" t="s">
        <v>1455</v>
      </c>
      <c r="D534" s="67" t="s">
        <v>1456</v>
      </c>
      <c r="E534" s="79">
        <v>35573</v>
      </c>
      <c r="F534" s="32">
        <v>48</v>
      </c>
      <c r="G534" s="39" t="s">
        <v>1376</v>
      </c>
      <c r="I534" s="12">
        <f t="shared" si="9"/>
        <v>210533</v>
      </c>
    </row>
    <row r="535" spans="1:9">
      <c r="A535" s="2">
        <v>210534</v>
      </c>
      <c r="B535" s="67" t="s">
        <v>1457</v>
      </c>
      <c r="C535" s="67" t="s">
        <v>364</v>
      </c>
      <c r="D535" s="67" t="s">
        <v>1458</v>
      </c>
      <c r="E535" s="79">
        <v>36202</v>
      </c>
      <c r="F535" s="32">
        <v>48</v>
      </c>
      <c r="G535" s="39" t="s">
        <v>1376</v>
      </c>
      <c r="I535" s="12">
        <f t="shared" si="9"/>
        <v>210534</v>
      </c>
    </row>
    <row r="536" spans="1:9">
      <c r="A536" s="2">
        <v>210535</v>
      </c>
      <c r="B536" s="67" t="s">
        <v>1459</v>
      </c>
      <c r="C536" s="67" t="s">
        <v>178</v>
      </c>
      <c r="D536" s="67" t="s">
        <v>1460</v>
      </c>
      <c r="E536" s="79">
        <v>37135</v>
      </c>
      <c r="F536" s="32">
        <v>48</v>
      </c>
      <c r="G536" s="39" t="s">
        <v>1376</v>
      </c>
      <c r="I536" s="12">
        <f t="shared" si="9"/>
        <v>210535</v>
      </c>
    </row>
    <row r="537" spans="1:9">
      <c r="A537" s="2">
        <v>210536</v>
      </c>
      <c r="B537" s="67" t="s">
        <v>1461</v>
      </c>
      <c r="C537" s="67" t="s">
        <v>1462</v>
      </c>
      <c r="D537" s="67" t="s">
        <v>1463</v>
      </c>
      <c r="E537" s="79">
        <v>38379</v>
      </c>
      <c r="F537" s="32">
        <v>48</v>
      </c>
      <c r="G537" s="39" t="s">
        <v>1376</v>
      </c>
      <c r="I537" s="12">
        <f t="shared" si="9"/>
        <v>210536</v>
      </c>
    </row>
    <row r="538" spans="1:9">
      <c r="A538" s="2">
        <v>210537</v>
      </c>
      <c r="B538" s="67" t="s">
        <v>1465</v>
      </c>
      <c r="C538" s="67" t="s">
        <v>1466</v>
      </c>
      <c r="D538" s="67" t="s">
        <v>1467</v>
      </c>
      <c r="E538" s="79">
        <v>34578</v>
      </c>
      <c r="F538" s="32">
        <v>48</v>
      </c>
      <c r="G538" s="39" t="s">
        <v>1376</v>
      </c>
      <c r="I538" s="12">
        <f t="shared" si="9"/>
        <v>210537</v>
      </c>
    </row>
    <row r="539" spans="1:9">
      <c r="A539" s="2">
        <v>210538</v>
      </c>
      <c r="B539" s="67" t="s">
        <v>763</v>
      </c>
      <c r="C539" s="67" t="s">
        <v>123</v>
      </c>
      <c r="D539" s="67" t="s">
        <v>1468</v>
      </c>
      <c r="E539" s="79">
        <v>37582</v>
      </c>
      <c r="F539" s="32">
        <v>48</v>
      </c>
      <c r="G539" s="39" t="s">
        <v>1376</v>
      </c>
      <c r="I539" s="12">
        <f t="shared" si="9"/>
        <v>210538</v>
      </c>
    </row>
    <row r="540" spans="1:9">
      <c r="A540" s="2">
        <v>210539</v>
      </c>
      <c r="B540" s="67" t="s">
        <v>1469</v>
      </c>
      <c r="C540" s="67" t="s">
        <v>1470</v>
      </c>
      <c r="D540" s="67" t="s">
        <v>1471</v>
      </c>
      <c r="E540" s="79">
        <v>39517</v>
      </c>
      <c r="F540" s="32">
        <v>48</v>
      </c>
      <c r="G540" s="39" t="s">
        <v>1376</v>
      </c>
      <c r="I540" s="12">
        <f t="shared" si="9"/>
        <v>210539</v>
      </c>
    </row>
    <row r="541" spans="1:9">
      <c r="A541" s="2">
        <v>210540</v>
      </c>
      <c r="B541" s="67" t="s">
        <v>1472</v>
      </c>
      <c r="C541" s="67" t="s">
        <v>1011</v>
      </c>
      <c r="D541" s="67" t="s">
        <v>1473</v>
      </c>
      <c r="E541" s="79">
        <v>37647</v>
      </c>
      <c r="F541" s="32">
        <v>48</v>
      </c>
      <c r="G541" s="39" t="s">
        <v>1376</v>
      </c>
      <c r="I541" s="12">
        <f t="shared" si="9"/>
        <v>210540</v>
      </c>
    </row>
    <row r="542" spans="1:9">
      <c r="A542" s="2">
        <v>210541</v>
      </c>
      <c r="B542" s="67" t="s">
        <v>1474</v>
      </c>
      <c r="C542" s="67" t="s">
        <v>1475</v>
      </c>
      <c r="D542" s="67" t="s">
        <v>1476</v>
      </c>
      <c r="E542" s="79">
        <v>38624</v>
      </c>
      <c r="F542" s="32">
        <v>48</v>
      </c>
      <c r="G542" s="39" t="s">
        <v>1376</v>
      </c>
      <c r="I542" s="12">
        <f t="shared" si="9"/>
        <v>210541</v>
      </c>
    </row>
    <row r="543" spans="1:9">
      <c r="A543" s="2">
        <v>210542</v>
      </c>
      <c r="B543" s="67" t="s">
        <v>1477</v>
      </c>
      <c r="C543" s="67" t="s">
        <v>276</v>
      </c>
      <c r="D543" s="67" t="s">
        <v>1478</v>
      </c>
      <c r="E543" s="79">
        <v>39177</v>
      </c>
      <c r="F543" s="32">
        <v>48</v>
      </c>
      <c r="G543" s="39" t="s">
        <v>1376</v>
      </c>
      <c r="I543" s="12">
        <f t="shared" si="9"/>
        <v>210542</v>
      </c>
    </row>
    <row r="544" spans="1:9">
      <c r="A544" s="2">
        <v>210543</v>
      </c>
      <c r="B544" s="67" t="s">
        <v>1479</v>
      </c>
      <c r="C544" s="67" t="s">
        <v>1480</v>
      </c>
      <c r="D544" s="67" t="s">
        <v>1481</v>
      </c>
      <c r="E544" s="79">
        <v>39022</v>
      </c>
      <c r="F544" s="32">
        <v>48</v>
      </c>
      <c r="G544" s="39" t="s">
        <v>1376</v>
      </c>
      <c r="I544" s="12">
        <f t="shared" si="9"/>
        <v>210543</v>
      </c>
    </row>
    <row r="545" spans="1:9">
      <c r="A545" s="2">
        <v>210544</v>
      </c>
      <c r="B545" s="67" t="s">
        <v>1482</v>
      </c>
      <c r="C545" s="67" t="s">
        <v>338</v>
      </c>
      <c r="D545" s="67" t="s">
        <v>1483</v>
      </c>
      <c r="E545" s="79">
        <v>35201</v>
      </c>
      <c r="F545" s="32">
        <v>48</v>
      </c>
      <c r="G545" s="39" t="s">
        <v>1376</v>
      </c>
      <c r="I545" s="12">
        <f t="shared" si="9"/>
        <v>210544</v>
      </c>
    </row>
    <row r="546" spans="1:9">
      <c r="A546" s="2">
        <v>210545</v>
      </c>
      <c r="B546" s="67" t="s">
        <v>1485</v>
      </c>
      <c r="C546" s="67" t="s">
        <v>105</v>
      </c>
      <c r="D546" s="67" t="s">
        <v>1484</v>
      </c>
      <c r="E546" s="79">
        <v>37113</v>
      </c>
      <c r="F546" s="32">
        <v>48</v>
      </c>
      <c r="G546" s="39" t="s">
        <v>1376</v>
      </c>
      <c r="I546" s="12">
        <f t="shared" si="9"/>
        <v>210545</v>
      </c>
    </row>
    <row r="547" spans="1:9">
      <c r="A547" s="2">
        <v>210546</v>
      </c>
      <c r="B547" s="67" t="s">
        <v>1486</v>
      </c>
      <c r="C547" s="67" t="s">
        <v>1487</v>
      </c>
      <c r="D547" s="67" t="s">
        <v>1488</v>
      </c>
      <c r="E547" s="79">
        <v>37027</v>
      </c>
      <c r="F547" s="32">
        <v>48</v>
      </c>
      <c r="G547" s="39" t="s">
        <v>1376</v>
      </c>
      <c r="I547" s="12">
        <f t="shared" si="9"/>
        <v>210546</v>
      </c>
    </row>
    <row r="548" spans="1:9">
      <c r="A548" s="2">
        <v>210547</v>
      </c>
      <c r="B548" s="67" t="s">
        <v>1489</v>
      </c>
      <c r="C548" s="67" t="s">
        <v>1490</v>
      </c>
      <c r="D548" s="67" t="s">
        <v>1491</v>
      </c>
      <c r="E548" s="79">
        <v>39453</v>
      </c>
      <c r="F548" s="32">
        <v>48</v>
      </c>
      <c r="G548" s="39" t="s">
        <v>1376</v>
      </c>
      <c r="I548" s="12">
        <f t="shared" si="9"/>
        <v>210547</v>
      </c>
    </row>
    <row r="549" spans="1:9">
      <c r="A549" s="2">
        <v>210548</v>
      </c>
      <c r="B549" s="67" t="s">
        <v>1492</v>
      </c>
      <c r="C549" s="67" t="s">
        <v>1493</v>
      </c>
      <c r="D549" s="67" t="s">
        <v>1494</v>
      </c>
      <c r="E549" s="79">
        <v>38296</v>
      </c>
      <c r="F549" s="32">
        <v>48</v>
      </c>
      <c r="G549" s="39" t="s">
        <v>1376</v>
      </c>
      <c r="I549" s="12">
        <f t="shared" si="9"/>
        <v>210548</v>
      </c>
    </row>
    <row r="550" spans="1:9">
      <c r="A550" s="2">
        <v>210549</v>
      </c>
      <c r="B550" s="67" t="s">
        <v>1495</v>
      </c>
      <c r="C550" s="67" t="s">
        <v>255</v>
      </c>
      <c r="D550" s="67" t="s">
        <v>1496</v>
      </c>
      <c r="E550" s="79">
        <v>40369</v>
      </c>
      <c r="F550" s="32">
        <v>48</v>
      </c>
      <c r="G550" s="39" t="s">
        <v>1376</v>
      </c>
      <c r="I550" s="12">
        <f t="shared" si="9"/>
        <v>210549</v>
      </c>
    </row>
    <row r="551" spans="1:9">
      <c r="A551" s="2">
        <v>210550</v>
      </c>
      <c r="B551" s="67" t="s">
        <v>1497</v>
      </c>
      <c r="C551" s="104" t="s">
        <v>123</v>
      </c>
      <c r="D551" s="104" t="s">
        <v>1498</v>
      </c>
      <c r="E551" s="79">
        <v>39027</v>
      </c>
      <c r="F551" s="32">
        <v>48</v>
      </c>
      <c r="G551" s="39" t="s">
        <v>1376</v>
      </c>
      <c r="I551" s="12">
        <f t="shared" si="9"/>
        <v>210550</v>
      </c>
    </row>
    <row r="552" spans="1:9">
      <c r="A552" s="2">
        <v>210551</v>
      </c>
      <c r="B552" s="67" t="s">
        <v>1499</v>
      </c>
      <c r="C552" s="67" t="s">
        <v>287</v>
      </c>
      <c r="D552" s="67" t="s">
        <v>1500</v>
      </c>
      <c r="E552" s="79">
        <v>36795</v>
      </c>
      <c r="F552" s="32">
        <v>48</v>
      </c>
      <c r="G552" s="39" t="s">
        <v>1376</v>
      </c>
      <c r="I552" s="12">
        <f t="shared" si="9"/>
        <v>210551</v>
      </c>
    </row>
    <row r="553" spans="1:9">
      <c r="A553" s="2">
        <v>210552</v>
      </c>
      <c r="B553" s="67" t="s">
        <v>516</v>
      </c>
      <c r="C553" s="67" t="s">
        <v>183</v>
      </c>
      <c r="D553" s="67" t="s">
        <v>1501</v>
      </c>
      <c r="E553" s="79">
        <v>30177</v>
      </c>
      <c r="F553" s="32">
        <v>48</v>
      </c>
      <c r="G553" s="39" t="s">
        <v>1376</v>
      </c>
      <c r="I553" s="12">
        <f t="shared" si="9"/>
        <v>210552</v>
      </c>
    </row>
    <row r="554" spans="1:9">
      <c r="A554" s="2">
        <v>210553</v>
      </c>
      <c r="B554" s="67" t="s">
        <v>1505</v>
      </c>
      <c r="C554" s="67" t="s">
        <v>1506</v>
      </c>
      <c r="D554" s="67" t="s">
        <v>1507</v>
      </c>
      <c r="E554" s="79">
        <v>36234</v>
      </c>
      <c r="F554" s="32">
        <v>76</v>
      </c>
      <c r="G554" s="39" t="s">
        <v>1376</v>
      </c>
      <c r="I554" s="12">
        <f t="shared" si="9"/>
        <v>210553</v>
      </c>
    </row>
    <row r="555" spans="1:9">
      <c r="A555" s="2">
        <v>210554</v>
      </c>
      <c r="B555" s="67" t="s">
        <v>1502</v>
      </c>
      <c r="C555" s="67" t="s">
        <v>1487</v>
      </c>
      <c r="D555" s="67" t="s">
        <v>1503</v>
      </c>
      <c r="E555" s="79">
        <v>37027</v>
      </c>
      <c r="F555" s="32">
        <v>48</v>
      </c>
      <c r="G555" s="39" t="s">
        <v>1376</v>
      </c>
      <c r="I555" s="12">
        <f t="shared" si="9"/>
        <v>210554</v>
      </c>
    </row>
    <row r="556" spans="1:9">
      <c r="A556" s="2">
        <v>210555</v>
      </c>
      <c r="B556" s="67" t="s">
        <v>1106</v>
      </c>
      <c r="C556" s="67" t="s">
        <v>215</v>
      </c>
      <c r="D556" s="67" t="s">
        <v>1504</v>
      </c>
      <c r="E556" s="79">
        <v>39177</v>
      </c>
      <c r="F556" s="32">
        <v>48</v>
      </c>
      <c r="G556" s="39" t="s">
        <v>1376</v>
      </c>
      <c r="I556" s="12">
        <f t="shared" si="9"/>
        <v>210555</v>
      </c>
    </row>
    <row r="557" spans="1:9">
      <c r="A557" s="2">
        <v>210556</v>
      </c>
      <c r="B557" s="67" t="s">
        <v>1508</v>
      </c>
      <c r="C557" s="67" t="s">
        <v>1509</v>
      </c>
      <c r="D557" s="67" t="s">
        <v>1510</v>
      </c>
      <c r="E557" s="79">
        <v>39273</v>
      </c>
      <c r="F557" s="32">
        <v>48</v>
      </c>
      <c r="G557" s="39" t="s">
        <v>1376</v>
      </c>
      <c r="I557" s="12">
        <f t="shared" si="9"/>
        <v>210556</v>
      </c>
    </row>
    <row r="558" spans="1:9">
      <c r="A558" s="2">
        <v>210557</v>
      </c>
      <c r="B558" s="67" t="s">
        <v>1513</v>
      </c>
      <c r="C558" s="67" t="s">
        <v>319</v>
      </c>
      <c r="D558" s="67" t="s">
        <v>1512</v>
      </c>
      <c r="E558" s="79">
        <v>39172</v>
      </c>
      <c r="F558" s="32">
        <v>48</v>
      </c>
      <c r="G558" s="39" t="s">
        <v>1376</v>
      </c>
      <c r="I558" s="12">
        <f t="shared" si="9"/>
        <v>210557</v>
      </c>
    </row>
    <row r="559" spans="1:9">
      <c r="A559" s="2">
        <v>210558</v>
      </c>
      <c r="B559" s="67" t="s">
        <v>1514</v>
      </c>
      <c r="C559" s="67" t="s">
        <v>1515</v>
      </c>
      <c r="D559" s="67" t="s">
        <v>1511</v>
      </c>
      <c r="E559" s="79">
        <v>39286</v>
      </c>
      <c r="F559" s="32">
        <v>48</v>
      </c>
      <c r="G559" s="39" t="s">
        <v>1376</v>
      </c>
      <c r="I559" s="12">
        <f t="shared" si="9"/>
        <v>210558</v>
      </c>
    </row>
    <row r="560" spans="1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60"/>
  <sheetViews>
    <sheetView topLeftCell="A34" zoomScale="164" zoomScaleNormal="164" workbookViewId="0">
      <selection activeCell="E55" sqref="E55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s="2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s="2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s="2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s="2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s="2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s="2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s="2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s="2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s="2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  <row r="49" spans="1:2">
      <c r="A49" s="1">
        <v>46023</v>
      </c>
      <c r="B49" s="2" t="s">
        <v>14</v>
      </c>
    </row>
    <row r="50" spans="1:2">
      <c r="A50" s="1">
        <v>46017</v>
      </c>
      <c r="B50" s="2" t="s">
        <v>39</v>
      </c>
    </row>
    <row r="51" spans="1:2">
      <c r="A51" s="1">
        <v>46048</v>
      </c>
      <c r="B51" s="2" t="s">
        <v>15</v>
      </c>
    </row>
    <row r="52" spans="1:2">
      <c r="A52" s="1">
        <v>46115</v>
      </c>
      <c r="B52" s="2" t="s">
        <v>17</v>
      </c>
    </row>
    <row r="53" spans="1:2">
      <c r="A53" s="1">
        <v>46116</v>
      </c>
      <c r="B53" s="2" t="s">
        <v>33</v>
      </c>
    </row>
    <row r="54" spans="1:2">
      <c r="A54" s="1">
        <v>46117</v>
      </c>
      <c r="B54" s="2" t="s">
        <v>731</v>
      </c>
    </row>
    <row r="55" spans="1:2">
      <c r="A55" s="1">
        <v>46118</v>
      </c>
      <c r="B55" s="2" t="s">
        <v>34</v>
      </c>
    </row>
    <row r="56" spans="1:2">
      <c r="A56" s="1">
        <v>46137</v>
      </c>
      <c r="B56" s="2" t="s">
        <v>35</v>
      </c>
    </row>
    <row r="57" spans="1:2">
      <c r="A57" s="1">
        <v>46181</v>
      </c>
      <c r="B57" s="2" t="s">
        <v>1152</v>
      </c>
    </row>
    <row r="58" spans="1:2">
      <c r="A58" s="1">
        <v>46300</v>
      </c>
      <c r="B58" s="2" t="s">
        <v>37</v>
      </c>
    </row>
    <row r="59" spans="1:2">
      <c r="A59" s="1">
        <v>46381</v>
      </c>
      <c r="B59" s="2" t="s">
        <v>38</v>
      </c>
    </row>
    <row r="60" spans="1:2">
      <c r="A60" s="1">
        <v>46384</v>
      </c>
      <c r="B60" s="2" t="s">
        <v>39</v>
      </c>
    </row>
  </sheetData>
  <sheetProtection algorithmName="SHA-512" hashValue="k1snAJv1ictJn7Nynj8UAE9OtptnD6Iz4ikcc6xlLxRcV+2yEGbpTQgb6C+eoEyrWNKiQBAlSMEvCo0WEYi38w==" saltValue="rtl7ojqF7lqffa7t2juGuw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2026-02-02T01:26:14Z</dcterms:modified>
</cp:coreProperties>
</file>