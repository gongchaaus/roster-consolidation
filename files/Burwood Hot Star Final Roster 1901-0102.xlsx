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8_{134CD4AD-1398-0B4D-B26E-44849509CF38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11" i="2" s="1"/>
  <c r="AW11" i="12" s="1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R5" i="18" l="1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AB4" i="2" l="1"/>
  <c r="CK19" i="2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I3" i="12"/>
  <c r="AS3" i="12"/>
  <c r="A4" i="12" a="1"/>
  <c r="AH3" i="12" l="1"/>
  <c r="AG3" i="12"/>
  <c r="J3" i="12"/>
  <c r="AR3" i="12"/>
  <c r="E3" i="12"/>
  <c r="G3" i="12" s="1"/>
  <c r="C3" i="12"/>
  <c r="AF3" i="12"/>
  <c r="Z3" i="12"/>
  <c r="AQ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U3" i="12"/>
  <c r="A4" i="12"/>
  <c r="T3" i="12" l="1"/>
  <c r="F3" i="12"/>
  <c r="H3" i="12" s="1"/>
  <c r="S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O151" i="12" l="1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U168" i="12" l="1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N191" i="12" s="1"/>
  <c r="A192" i="12" a="1"/>
  <c r="Q191" i="12" l="1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T238" i="12" s="1"/>
  <c r="A239" i="12" a="1"/>
  <c r="V238" i="12" l="1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N243" i="12" l="1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T293" i="12" l="1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R297" i="12" l="1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<sst xmlns="http://schemas.openxmlformats.org/spreadsheetml/2006/main" count="2537" uniqueCount="1520">
  <si>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</si>
  <si>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</si>
  <si>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</si>
  <si>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</si>
  <si>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</si>
  <si>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</si>
  <si>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</si>
  <si>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</si>
  <si>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</si>
  <si>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</si>
  <si>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</si>
  <si>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</si>
  <si>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</si>
  <si>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</si>
  <si>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</si>
  <si>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</si>
  <si>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</si>
  <si>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</si>
  <si>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</si>
  <si>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</si>
  <si>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</si>
  <si>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</si>
  <si>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</si>
  <si>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</si>
  <si>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</si>
  <si>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</si>
  <si>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</si>
  <si>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</si>
  <si>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</si>
  <si>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</si>
  <si>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</si>
  <si>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</si>
  <si>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</si>
  <si>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</si>
  <si>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</si>
  <si>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</si>
  <si>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</si>
  <si>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</si>
  <si>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</si>
  <si>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</si>
  <si>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</si>
  <si>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</si>
  <si>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</si>
  <si>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</si>
  <si>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</si>
  <si>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</si>
  <si>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</si>
  <si>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</si>
  <si>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</si>
  <si>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</si>
  <si>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</si>
  <si>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</si>
  <si>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</si>
  <si>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</si>
  <si>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</si>
  <si>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</si>
  <si>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</si>
  <si>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</si>
  <si>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</si>
  <si>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</si>
  <si>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</si>
  <si>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</si>
  <si>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</si>
  <si>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</si>
  <si>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</si>
  <si>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</si>
  <si>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</si>
  <si>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</si>
  <si>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</si>
  <si>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</si>
  <si>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</si>
  <si>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</si>
  <si>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</si>
  <si>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</si>
  <si>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</si>
  <si>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</si>
  <si>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</si>
  <si>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</si>
  <si>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</si>
  <si>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</si>
  <si>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</si>
  <si>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</si>
  <si>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</si>
  <si>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</si>
  <si>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</si>
  <si>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</si>
  <si>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</si>
  <si>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</si>
  <si>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</si>
  <si>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</si>
  <si>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</si>
  <si>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</si>
  <si>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</si>
  <si>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</si>
  <si>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</si>
  <si>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</si>
  <si>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</si>
  <si>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</si>
  <si>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</si>
  <si>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</si>
  <si>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</si>
  <si>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</si>
  <si>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</si>
  <si>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</si>
  <si>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</si>
  <si>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</si>
  <si>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</si>
  <si>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</si>
  <si>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</si>
  <si>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</si>
  <si>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</si>
  <si>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</si>
  <si>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</si>
  <si>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</si>
  <si>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</si>
  <si>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</si>
  <si>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</si>
  <si>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</si>
  <si>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</si>
  <si>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</si>
  <si>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</si>
  <si>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</si>
  <si>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</si>
  <si>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</si>
  <si>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</si>
  <si>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</si>
  <si>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</si>
  <si>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</si>
  <si>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</si>
  <si>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</si>
  <si>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</si>
  <si>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</si>
  <si>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</si>
  <si>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</si>
  <si>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</si>
  <si>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</si>
  <si>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</si>
  <si>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</si>
  <si>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</si>
  <si>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</si>
  <si>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</si>
  <si>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</si>
  <si>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</si>
  <si>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</si>
  <si>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</si>
  <si>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</si>
  <si>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</si>
  <si>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</si>
  <si>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</si>
  <si>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</si>
  <si>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</si>
  <si>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</si>
  <si>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</si>
  <si>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</si>
  <si>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</si>
  <si>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</si>
  <si>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</si>
  <si>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</si>
  <si>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</si>
  <si>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</si>
  <si>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</si>
  <si>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</si>
  <si>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</si>
  <si>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</si>
  <si>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</si>
  <si>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</si>
  <si>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</si>
  <si>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</si>
  <si>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</si>
  <si>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</si>
  <si>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</si>
  <si>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</si>
  <si>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</si>
  <si>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</si>
  <si>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</si>
  <si>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</si>
  <si>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</si>
  <si>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</si>
  <si>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</si>
  <si>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</si>
  <si>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</si>
  <si>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</si>
  <si>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</si>
  <si>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</si>
  <si>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</si>
  <si>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</si>
  <si>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</si>
  <si>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</si>
  <si>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</si>
  <si>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</si>
  <si>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</si>
  <si>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</si>
  <si>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</si>
  <si>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</si>
  <si>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</si>
  <si>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</si>
  <si>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</si>
  <si>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</si>
  <si>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</si>
  <si>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</si>
  <si>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</si>
  <si>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</si>
  <si>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</si>
  <si>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</si>
  <si>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</si>
  <si>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</si>
  <si>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</si>
  <si>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</si>
  <si>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</si>
  <si>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</si>
  <si>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</si>
  <si>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</si>
  <si>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</si>
  <si>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</si>
  <si>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</si>
  <si>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</si>
  <si>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</si>
  <si>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</si>
  <si>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</si>
  <si>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</si>
  <si>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</si>
  <si>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</si>
  <si>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</si>
  <si>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</si>
  <si>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</si>
  <si>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</si>
  <si>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</si>
  <si>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</si>
  <si>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</si>
  <si>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</si>
  <si>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</si>
  <si>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</si>
  <si>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</si>
  <si>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</si>
  <si>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</si>
  <si>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</si>
  <si>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</si>
  <si>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</si>
  <si>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</si>
  <si>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</si>
  <si>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</si>
  <si>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</si>
  <si>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</si>
  <si>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</si>
  <si>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</si>
  <si>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</si>
  <si>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</si>
  <si>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</si>
  <si>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</si>
  <si>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</si>
  <si>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</si>
  <si>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</si>
  <si>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</si>
  <si>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</si>
  <si>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</si>
  <si>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</si>
  <si>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</si>
  <si>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</si>
  <si>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</si>
  <si>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</si>
  <si>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</si>
  <si>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</si>
  <si>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</si>
  <si>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</si>
  <si>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</si>
  <si>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</si>
  <si>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</si>
  <si>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</si>
  <si>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</si>
  <si>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</si>
  <si>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</si>
  <si>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</si>
  <si>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</si>
  <si>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</si>
  <si>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</si>
  <si>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</si>
  <si>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</si>
  <si>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</si>
  <si>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</si>
  <si>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</si>
  <si>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</si>
  <si>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</si>
  <si>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</si>
  <si>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</si>
  <si>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</si>
  <si>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</si>
  <si>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</si>
  <si>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</si>
  <si>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</si>
  <si>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</si>
  <si>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</si>
  <si>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</si>
  <si>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</si>
  <si>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</si>
  <si>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</si>
  <si>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</si>
  <si>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</si>
  <si>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</si>
  <si>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</si>
  <si>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</si>
  <si>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</si>
  <si>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</si>
  <si>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</si>
  <si>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</si>
  <si>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</si>
  <si>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</si>
  <si>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</si>
  <si>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</si>
  <si>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</si>
  <si>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</si>
  <si>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</si>
  <si>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</si>
  <si>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</si>
  <si>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</si>
  <si>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</si>
  <si>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</si>
  <si>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</si>
  <si>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</si>
  <si>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</si>
  <si>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</si>
  <si>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</si>
  <si>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</si>
  <si>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</si>
  <si>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</si>
  <si>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</si>
  <si>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</si>
  <si>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</si>
  <si>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</si>
  <si>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</si>
  <si>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</si>
  <si>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</si>
  <si>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</si>
  <si>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</si>
  <si>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</si>
  <si>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</si>
  <si>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</si>
  <si>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</si>
  <si>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</si>
  <si>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</si>
  <si>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</si>
  <si>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</si>
  <si>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</si>
  <si>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</si>
  <si>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</si>
  <si>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</si>
  <si>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</si>
  <si>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</si>
  <si>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</si>
  <si>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</si>
  <si>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</si>
  <si>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</si>
  <si>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</si>
  <si>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</si>
  <si>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</si>
  <si>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</si>
  <si>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</si>
  <si>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</si>
  <si>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</si>
  <si>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</si>
  <si>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</si>
  <si>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</si>
  <si>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</si>
  <si>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</si>
  <si>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</si>
  <si>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</si>
  <si>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</si>
  <si>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</si>
  <si>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</si>
  <si>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</si>
  <si>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</si>
  <si>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</si>
  <si>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</si>
  <si>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</si>
  <si>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</si>
  <si>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</si>
  <si>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</si>
  <si>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</si>
  <si>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</si>
  <si>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</si>
  <si>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</si>
  <si>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</si>
  <si>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</si>
  <si>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</si>
  <si>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</si>
  <si>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</si>
  <si>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</si>
  <si>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</si>
  <si>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</si>
  <si>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</si>
  <si>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</si>
  <si>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</si>
  <si>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</si>
  <si>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</si>
  <si>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</si>
  <si>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</si>
  <si>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</si>
  <si>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</si>
  <si>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</si>
  <si>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</si>
  <si>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</si>
  <si>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</si>
  <si>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</si>
  <si>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</si>
  <si>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</si>
  <si>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</si>
  <si>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</si>
  <si>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</si>
  <si>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</si>
  <si>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</si>
  <si>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</si>
  <si>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</si>
  <si>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</si>
  <si>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</si>
  <si>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</si>
  <si>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</si>
  <si>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</si>
  <si>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</si>
  <si>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</si>
  <si>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</si>
  <si>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</si>
  <si>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</si>
  <si>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</si>
  <si>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</si>
  <si>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</si>
  <si>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</si>
  <si>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</si>
  <si>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</si>
  <si>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</si>
  <si>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</si>
  <si>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</si>
  <si>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</si>
  <si>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</si>
  <si>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</si>
  <si>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</si>
  <si>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</si>
  <si>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</si>
  <si>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</si>
  <si>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</si>
  <si>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</si>
  <si>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</si>
  <si>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</si>
  <si>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</si>
  <si>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</si>
  <si>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</si>
  <si>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</si>
  <si>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</si>
  <si>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</si>
  <si>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</si>
  <si>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</si>
  <si>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</si>
  <si>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</si>
  <si>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</si>
  <si>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</si>
  <si>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</si>
  <si>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</si>
  <si>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</si>
  <si>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</si>
  <si>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</si>
  <si>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</si>
  <si>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</si>
  <si>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</si>
  <si>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</si>
  <si>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</si>
  <si>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</si>
  <si>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</si>
  <si>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</si>
  <si>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</si>
  <si>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</si>
  <si>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</si>
  <si>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</si>
  <si>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</si>
  <si>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</si>
  <si>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</si>
  <si>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</si>
  <si>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</si>
  <si>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</si>
  <si>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</si>
  <si>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</si>
  <si>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</si>
  <si>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</si>
  <si>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</si>
  <si>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</si>
  <si>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</si>
  <si>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</si>
  <si>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</si>
  <si>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</si>
  <si>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</si>
  <si>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</si>
  <si>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</si>
  <si>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</si>
  <si>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</si>
  <si>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</si>
  <si>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</si>
  <si>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</si>
  <si>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</si>
  <si>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</si>
  <si>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</si>
  <si>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</si>
  <si>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</si>
  <si>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</si>
  <si>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</si>
  <si>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</si>
  <si>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</si>
  <si>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</si>
  <si>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</si>
  <si>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</si>
  <si>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</si>
  <si>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</si>
  <si>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</si>
  <si>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</si>
  <si>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</si>
  <si>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</si>
  <si>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</si>
  <si>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</si>
  <si>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</si>
  <si>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</si>
  <si>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</si>
  <si>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</si>
  <si>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</si>
  <si>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</si>
  <si>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</si>
  <si>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</si>
  <si>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</si>
  <si>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</si>
  <si>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</si>
  <si>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</si>
  <si>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</si>
  <si>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</si>
  <si>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</si>
  <si>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</si>
  <si>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</si>
  <si>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</si>
  <si>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</si>
  <si>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</si>
  <si>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</si>
  <si>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</si>
  <si>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</si>
  <si>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</si>
  <si>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</si>
  <si>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</si>
  <si>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</si>
  <si>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</si>
  <si>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</si>
  <si>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</si>
  <si>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</si>
  <si>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</si>
  <si>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</si>
  <si>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</si>
  <si>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</si>
  <si>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</si>
  <si>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</si>
  <si>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</si>
  <si>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</si>
  <si>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</si>
  <si>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</si>
  <si>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</si>
  <si>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</si>
  <si>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</si>
  <si>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</si>
  <si>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</si>
  <si>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</si>
  <si>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</si>
  <si>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</si>
  <si>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</si>
  <si>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</si>
  <si>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</si>
  <si>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</si>
  <si>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</si>
  <si>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</si>
  <si>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</si>
  <si>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</si>
  <si>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</si>
  <si>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</si>
  <si>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</si>
  <si>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</si>
  <si>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</si>
  <si>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</si>
  <si>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</si>
  <si>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</si>
  <si>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</si>
  <si>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</si>
  <si>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</si>
  <si>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</si>
  <si>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</si>
  <si>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</si>
  <si>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</si>
  <si>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</si>
  <si>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</si>
  <si>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</si>
  <si>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</si>
  <si>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</si>
  <si>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</si>
  <si>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</si>
  <si>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</si>
  <si>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</si>
  <si>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</si>
  <si>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</si>
  <si>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</si>
  <si>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</si>
  <si>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</si>
  <si>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</si>
  <si>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</si>
  <si>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</si>
  <si>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</si>
  <si>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</si>
  <si>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</si>
  <si>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</si>
  <si>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</si>
  <si>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</si>
  <si>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</si>
  <si>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</si>
  <si>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</si>
  <si>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</si>
  <si>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</si>
  <si>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</si>
  <si>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</si>
  <si>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</si>
  <si>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</si>
  <si>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</si>
  <si>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</si>
  <si>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</si>
  <si>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</si>
  <si>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</si>
  <si>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</si>
  <si>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</si>
  <si>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</si>
  <si>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</si>
  <si>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</si>
  <si>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</si>
  <si>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</si>
  <si>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</si>
  <si>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</si>
  <si>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</si>
  <si>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</si>
  <si>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</si>
  <si>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</si>
  <si>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</si>
  <si>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</si>
  <si>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</si>
  <si>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</si>
  <si>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</si>
  <si>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</si>
  <si>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</si>
  <si>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</si>
  <si>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</si>
  <si>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</si>
  <si>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</si>
  <si>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</si>
  <si>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</si>
  <si>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</si>
  <si>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</si>
  <si>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</si>
  <si>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</si>
  <si>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</si>
  <si>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</si>
  <si>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</si>
  <si>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</si>
  <si>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</si>
  <si>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</si>
  <si>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</si>
  <si>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</si>
  <si>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</si>
  <si>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</si>
  <si>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</si>
  <si>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</si>
  <si>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</si>
  <si>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</si>
  <si>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</si>
  <si>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</si>
  <si>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</si>
  <si>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</si>
  <si>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</si>
  <si>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</si>
  <si>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</si>
  <si>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</si>
  <si>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</si>
  <si>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</si>
  <si>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</si>
  <si>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</si>
  <si>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</si>
  <si>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</si>
  <si>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</si>
  <si>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</si>
  <si>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</si>
  <si>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</si>
  <si>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</si>
  <si>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</si>
  <si>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</si>
  <si>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</si>
  <si>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</si>
  <si>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</si>
  <si>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</si>
  <si>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</si>
  <si>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</si>
  <si>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</si>
  <si>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</si>
  <si>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</si>
  <si>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</si>
  <si>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</si>
  <si>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</si>
  <si>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</si>
  <si>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</si>
  <si>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</si>
  <si>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</si>
  <si>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</si>
  <si>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</si>
  <si>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</si>
  <si>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</si>
  <si>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</si>
  <si>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</si>
  <si>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</si>
  <si>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</si>
  <si>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</si>
  <si>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</si>
  <si>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</si>
  <si>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</si>
  <si>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</si>
  <si>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</si>
  <si>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</si>
  <si>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</si>
  <si>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</si>
  <si>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</si>
  <si>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</si>
  <si>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</si>
  <si>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</si>
  <si>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</si>
  <si>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</si>
  <si>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</si>
  <si>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</si>
  <si>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</si>
  <si>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</si>
  <si>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</si>
  <si>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</si>
  <si>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</si>
  <si>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</si>
  <si>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</si>
  <si>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</si>
  <si>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</si>
  <si>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</si>
  <si>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</si>
  <si>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</si>
  <si>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</si>
  <si>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</si>
  <si>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</si>
  <si>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</si>
  <si>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</si>
  <si>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</si>
  <si>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</si>
  <si>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</si>
  <si>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</si>
  <si>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</si>
  <si>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</si>
  <si>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</si>
  <si>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</si>
  <si>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</si>
  <si>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</si>
  <si>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</si>
  <si>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</si>
  <si>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</si>
  <si>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</si>
  <si>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</si>
  <si>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</si>
  <si>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</si>
  <si>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</si>
  <si>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</si>
  <si>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</si>
  <si>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</si>
  <si>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</si>
  <si>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</si>
  <si>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</si>
  <si>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</si>
  <si>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</si>
  <si>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</si>
  <si>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</si>
  <si>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</si>
  <si>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</si>
  <si>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</si>
  <si>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</si>
  <si>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</si>
  <si>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</si>
  <si>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</si>
  <si>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</si>
  <si>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</si>
  <si>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</si>
  <si>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</si>
  <si>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</si>
  <si>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</si>
  <si>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</si>
  <si>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</si>
  <si>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</si>
  <si>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</si>
  <si>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</si>
  <si>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</si>
  <si>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</si>
  <si>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</si>
  <si>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</si>
  <si>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</si>
  <si>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</si>
  <si>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</si>
  <si>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</si>
  <si>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</si>
  <si>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</si>
  <si>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</si>
  <si>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</si>
  <si>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</si>
  <si>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</si>
  <si>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</si>
  <si>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</si>
  <si>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</si>
  <si>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</si>
  <si>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</si>
  <si>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</si>
  <si>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</si>
  <si>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</si>
  <si>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</si>
  <si>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</si>
  <si>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</si>
  <si>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</si>
  <si>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</si>
  <si>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</si>
  <si>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</si>
  <si>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</si>
  <si>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</si>
  <si>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</si>
  <si>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</si>
  <si>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</si>
  <si>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</si>
  <si>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</si>
  <si>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</si>
  <si>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</si>
  <si>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</si>
  <si>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</si>
  <si>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</si>
  <si>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</si>
  <si>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</si>
  <si>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</si>
  <si>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</si>
  <si>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</si>
  <si>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</si>
  <si>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</si>
  <si>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</si>
  <si>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</si>
  <si>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</si>
  <si>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</si>
  <si>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</si>
  <si>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</si>
  <si>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</si>
  <si>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</si>
  <si>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</si>
  <si>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</si>
  <si>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</si>
  <si>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</si>
  <si>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</si>
  <si>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</si>
  <si>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</si>
  <si>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</si>
  <si>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</si>
  <si>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</si>
  <si>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</si>
  <si>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</si>
  <si>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</si>
  <si>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</si>
  <si>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</si>
  <si>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</si>
  <si>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</si>
  <si>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</si>
  <si>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</si>
  <si>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</si>
  <si>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</si>
  <si>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</si>
  <si>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</si>
  <si>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</si>
  <si>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</si>
  <si>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</si>
  <si>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</si>
  <si>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</si>
  <si>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</si>
  <si>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</si>
  <si>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</si>
  <si>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</si>
  <si>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</si>
  <si>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</si>
  <si>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</si>
  <si>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</si>
  <si>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</si>
  <si>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</si>
  <si>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</si>
  <si>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</si>
  <si>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</si>
  <si>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</si>
  <si>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</si>
  <si>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</si>
  <si>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</si>
  <si>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</si>
  <si>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</si>
  <si>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</si>
  <si>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</si>
  <si>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</si>
  <si>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</si>
  <si>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</si>
  <si>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</si>
  <si>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</si>
  <si>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</si>
  <si>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</si>
  <si>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</si>
  <si>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</si>
  <si>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</si>
  <si>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</si>
  <si>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</si>
  <si>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</si>
  <si>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</si>
  <si>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</si>
  <si>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</si>
  <si>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</si>
  <si>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</si>
  <si>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</si>
  <si>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</si>
  <si>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</si>
  <si>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</si>
  <si>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</si>
  <si>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</si>
  <si>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</si>
  <si>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</si>
  <si>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</si>
  <si>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</si>
  <si>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</si>
  <si>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</si>
  <si>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</si>
  <si>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</si>
  <si>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</si>
  <si>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</si>
  <si>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</si>
  <si>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</si>
  <si>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</si>
  <si>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</si>
  <si>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</si>
  <si>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</si>
  <si>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</si>
  <si>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</si>
  <si>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</si>
  <si>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</si>
  <si>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</si>
  <si>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</si>
  <si>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</si>
  <si>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</si>
  <si>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</si>
  <si>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</si>
  <si>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</si>
  <si>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</si>
  <si>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</si>
  <si>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</si>
  <si>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</si>
  <si>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</si>
  <si>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</si>
  <si>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</si>
  <si>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</si>
  <si>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</si>
  <si>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</si>
  <si>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</si>
  <si>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</si>
  <si>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</si>
  <si>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</si>
  <si>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</si>
  <si>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</si>
  <si>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</si>
  <si>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</si>
  <si>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</si>
  <si>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</si>
  <si>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</si>
  <si>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</si>
  <si>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</si>
  <si>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</si>
  <si>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</si>
  <si>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</si>
  <si>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</si>
  <si>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</si>
  <si>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</si>
  <si>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</si>
  <si>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</si>
  <si>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</si>
  <si>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</si>
  <si>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</si>
  <si>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</si>
  <si>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</si>
  <si>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</si>
  <si>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</si>
  <si>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</si>
  <si>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</si>
  <si>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</si>
  <si>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</si>
  <si>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</si>
  <si>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</si>
  <si>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</si>
  <si>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</si>
  <si>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</si>
  <si>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</si>
  <si>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</si>
  <si>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</si>
  <si>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</si>
  <si>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</si>
  <si>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</si>
  <si>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</si>
  <si>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</si>
  <si>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</si>
  <si>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</si>
  <si>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</si>
  <si>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</si>
  <si>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</si>
  <si>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</si>
  <si>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</si>
  <si>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</si>
  <si>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</si>
  <si>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</si>
  <si>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</si>
  <si>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</si>
  <si>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</si>
  <si>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</si>
  <si>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</si>
  <si>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</si>
  <si>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</si>
  <si>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</si>
  <si>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</si>
  <si>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</si>
  <si>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</si>
  <si>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</si>
  <si>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</si>
  <si>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</si>
  <si>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</si>
  <si>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</si>
  <si>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</si>
  <si>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</si>
  <si>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</si>
  <si>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</si>
  <si>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</si>
  <si>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</si>
  <si>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</si>
  <si>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</si>
  <si>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</si>
  <si>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</si>
  <si>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</si>
  <si>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</si>
  <si>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</si>
  <si>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</si>
  <si>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</si>
  <si>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</si>
  <si>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</si>
  <si>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</si>
  <si>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</si>
  <si>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</si>
  <si>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</si>
  <si>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</si>
  <si>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</si>
  <si>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</si>
  <si>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</si>
  <si>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</si>
  <si>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</si>
  <si>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</si>
  <si>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</si>
  <si>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</si>
  <si>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</si>
  <si>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</si>
  <si>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</si>
  <si>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</si>
  <si>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</si>
  <si>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</si>
  <si>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</si>
  <si>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</si>
  <si>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</si>
  <si>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</si>
  <si>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</si>
  <si>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</si>
  <si>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</si>
  <si>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</si>
  <si>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</si>
  <si>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</si>
  <si>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</si>
  <si>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</si>
  <si>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</si>
  <si>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</si>
  <si>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</si>
  <si>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</si>
  <si>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</si>
  <si>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</si>
  <si>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</si>
  <si>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</si>
  <si>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</si>
  <si>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</si>
  <si>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</si>
  <si>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</si>
  <si>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</si>
  <si>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</si>
  <si>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</si>
  <si>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</si>
  <si>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</si>
  <si>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</si>
  <si>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</si>
  <si>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</si>
  <si>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</si>
  <si>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</si>
  <si>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</si>
  <si>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</si>
  <si>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</si>
  <si>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</si>
  <si>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</si>
  <si>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</si>
  <si>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</si>
  <si>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</si>
  <si>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</si>
  <si>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</si>
  <si>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</si>
  <si>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</si>
  <si>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</si>
  <si>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</si>
  <si>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</si>
  <si>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</si>
  <si>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</si>
  <si>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</si>
  <si>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</si>
  <si>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</si>
  <si>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</si>
  <si>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</si>
  <si>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</si>
  <si>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</si>
  <si>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</si>
  <si>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</si>
  <si>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</si>
  <si>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</si>
  <si>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</si>
  <si>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</si>
  <si>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</si>
  <si>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</si>
  <si>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</si>
  <si>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</si>
  <si>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</si>
  <si>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</si>
  <si>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</si>
  <si>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</si>
  <si>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</si>
  <si>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</si>
  <si>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</si>
  <si>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</si>
  <si>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</si>
  <si>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</si>
  <si>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</si>
  <si>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</si>
  <si>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</si>
  <si>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</si>
  <si>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</si>
  <si>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</si>
  <si>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</si>
  <si>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</si>
  <si>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</si>
  <si>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</si>
  <si>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</si>
  <si>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</si>
  <si>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</si>
  <si>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</si>
  <si>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</si>
  <si>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</si>
  <si>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</si>
  <si>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</si>
  <si>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</si>
  <si>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</si>
  <si>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</si>
  <si>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</si>
  <si>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</si>
  <si>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</si>
  <si>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</si>
  <si>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</si>
  <si>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</si>
  <si>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</si>
  <si>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</si>
  <si>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</si>
  <si>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</si>
  <si>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</si>
  <si>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</si>
  <si>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</si>
  <si>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</si>
  <si>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</si>
  <si>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</si>
  <si>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</si>
  <si>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</si>
  <si>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</si>
  <si>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</si>
  <si>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</si>
  <si>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</si>
  <si>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</si>
  <si>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</si>
  <si>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</si>
  <si>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</si>
  <si>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</si>
  <si>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</si>
  <si>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</si>
  <si>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</si>
  <si>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</si>
  <si>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</si>
  <si>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</si>
  <si>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</si>
  <si>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</si>
  <si>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</si>
  <si>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</si>
  <si>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</si>
  <si>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</si>
  <si>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</si>
  <si>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</si>
  <si>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</si>
  <si>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</si>
  <si>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</si>
  <si>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</si>
  <si>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</si>
  <si>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</si>
  <si>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</si>
  <si>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</si>
  <si>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</si>
  <si>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</si>
  <si>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</si>
  <si>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</si>
  <si>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</si>
  <si>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</si>
  <si>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</si>
  <si>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</si>
  <si>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</si>
  <si>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</si>
  <si>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</si>
  <si>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</si>
  <si>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</si>
  <si>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</si>
  <si>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</si>
  <si>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</si>
  <si>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</si>
  <si>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</si>
  <si>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</si>
  <si>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</si>
  <si>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</si>
  <si>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</si>
  <si>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</si>
  <si>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</si>
  <si>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</si>
  <si>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</si>
  <si>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</si>
  <si>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</si>
  <si>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</si>
  <si>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</si>
  <si>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</si>
  <si>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</si>
  <si>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</si>
  <si>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</si>
  <si>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</si>
  <si>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</si>
  <si>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</si>
  <si>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</si>
  <si>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</si>
  <si>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</si>
  <si>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</si>
  <si>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</si>
  <si>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</si>
  <si>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</si>
  <si>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</si>
  <si>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</si>
  <si>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</si>
  <si>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</si>
  <si>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</si>
  <si>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</si>
  <si>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</si>
  <si>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</si>
  <si>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</si>
  <si>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</si>
  <si>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</si>
  <si>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</si>
  <si>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</si>
  <si>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</si>
  <si>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</si>
  <si>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</si>
  <si>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</si>
  <si>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</si>
  <si>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</si>
  <si>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</si>
  <si>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</si>
  <si>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</si>
  <si>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</si>
  <si>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</si>
  <si>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</si>
  <si>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</si>
  <si>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</si>
  <si>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</si>
  <si>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</si>
  <si>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</si>
  <si>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</si>
  <si>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</si>
  <si>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</si>
  <si>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</si>
  <si>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</si>
  <si>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</si>
  <si>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</si>
  <si>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</si>
  <si>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</si>
  <si>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</si>
  <si>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</si>
  <si>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</si>
  <si>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</si>
  <si>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</si>
  <si>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</si>
  <si>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</si>
  <si>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</si>
  <si>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</si>
  <si>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</si>
  <si>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</si>
  <si>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</si>
  <si>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</si>
  <si>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</si>
  <si>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</si>
  <si>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</si>
  <si>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</si>
  <si>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</si>
  <si>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</si>
  <si>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</si>
  <si>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</si>
  <si>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</si>
  <si>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</si>
  <si>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</si>
  <si>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</si>
  <si>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</si>
  <si>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</si>
  <si>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</si>
  <si>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</si>
  <si>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</si>
  <si>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</si>
  <si>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</si>
  <si>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</si>
  <si>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</si>
  <si>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</si>
  <si>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</si>
  <si>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</si>
  <si>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</si>
  <si>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</si>
  <si>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</si>
  <si>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</si>
  <si>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</si>
  <si>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</si>
  <si>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</si>
  <si>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</si>
  <si>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</si>
  <si>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</si>
  <si>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</si>
  <si>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</si>
  <si>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</si>
  <si>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</si>
  <si>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</si>
  <si>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</si>
  <si>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</si>
  <si>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</si>
  <si>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</si>
  <si>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</si>
  <si>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</si>
  <si>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</si>
  <si>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</si>
  <si>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</si>
  <si>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</si>
  <si>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</si>
  <si>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</si>
  <si>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</si>
  <si>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</si>
  <si>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</si>
  <si>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</si>
  <si>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</si>
  <si>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</si>
  <si>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</si>
  <si>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</si>
  <si>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</si>
  <si>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</si>
  <si>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</si>
  <si>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</si>
  <si>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</si>
  <si>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</si>
  <si>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</si>
  <si>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</si>
  <si>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</si>
  <si>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</si>
  <si>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</si>
  <si>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</si>
  <si>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</si>
  <si>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</si>
  <si>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</si>
  <si>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</si>
  <si>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</si>
  <si>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</si>
  <si>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</si>
  <si>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</si>
  <si>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</si>
  <si>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</si>
  <si>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</si>
  <si>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</si>
  <si>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</si>
  <si>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</si>
  <si>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</si>
  <si>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</si>
  <si>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</si>
  <si>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</si>
  <si>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</si>
  <si>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</si>
  <si>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</si>
  <si>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</si>
  <si>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</si>
  <si>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</si>
  <si>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</si>
  <si>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</si>
  <si>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</si>
  <si>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</si>
  <si>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</si>
  <si>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</si>
  <si>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</si>
  <si>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</si>
  <si>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</si>
  <si>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</si>
  <si>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</si>
  <si>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</si>
  <si>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</si>
  <si>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</si>
  <si>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</si>
  <si>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</si>
  <si>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</si>
  <si>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</si>
  <si>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</si>
  <si>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</si>
  <si>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</si>
  <si>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</si>
  <si>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</si>
  <si>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</si>
  <si>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</si>
  <si>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</si>
  <si>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</si>
  <si>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</si>
  <si>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</si>
  <si>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</si>
  <si>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</si>
  <si>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</si>
  <si>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</si>
  <si>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</si>
  <si>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</si>
  <si>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</si>
  <si>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</si>
  <si>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</si>
  <si>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</si>
  <si>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</si>
  <si>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</si>
  <si>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</si>
  <si>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</si>
  <si>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</si>
  <si>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</si>
  <si>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</si>
  <si>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</si>
  <si>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</si>
  <si>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</si>
  <si>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</si>
  <si>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</si>
  <si>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</si>
  <si>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</si>
  <si>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</si>
  <si>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</si>
  <si>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</si>
  <si>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</si>
  <si>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</si>
  <si>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</si>
  <si>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</si>
  <si>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</si>
  <si>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</si>
  <si>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</si>
  <si>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</si>
  <si>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</si>
  <si>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</si>
  <si>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</si>
  <si>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</si>
  <si>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</si>
  <si>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</si>
  <si>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</si>
  <si>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</si>
  <si>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</si>
  <si>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</si>
  <si>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</si>
  <si>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</si>
  <si>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</si>
  <si>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</si>
  <si>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</si>
  <si>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</si>
  <si>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</si>
  <si>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</si>
  <si>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</si>
  <si>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</si>
  <si>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</si>
  <si>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</si>
  <si>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</si>
  <si>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</si>
  <si>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</si>
  <si>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</si>
  <si>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</si>
  <si>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</si>
  <si>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</si>
  <si>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</si>
  <si>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</si>
  <si>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</si>
  <si>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</si>
  <si>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</si>
  <si>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</si>
  <si>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</si>
  <si>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</si>
  <si>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</si>
  <si>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</si>
  <si>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</si>
  <si>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Kimberley</t>
  </si>
  <si>
    <t>Koh</t>
  </si>
  <si>
    <t>Kimberley Koh</t>
  </si>
  <si>
    <t>Elena Zou</t>
  </si>
  <si>
    <t>Zimo Zhang</t>
  </si>
  <si>
    <t>Zimo</t>
  </si>
  <si>
    <t>FukMan</t>
  </si>
  <si>
    <t>Zou</t>
  </si>
  <si>
    <t>Minnie Hou</t>
  </si>
  <si>
    <t>周二11点换油+0.5；周三周四无休，各+0.5；周五存钱+1，排班+1</t>
  </si>
  <si>
    <t>周二11点换油+0.5；周三周四周五无休，各+0.5；周五排班+1</t>
  </si>
  <si>
    <t>周日无休+0.5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</si>
</sst>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18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3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10331</v>
      </c>
      <c r="B2" s="81" t="s">
        <v>1402</v>
      </c>
      <c r="C2" s="91" t="s">
        <v>925</v>
      </c>
      <c r="D2" s="101"/>
      <c r="E2" s="84"/>
      <c r="F2" s="92">
        <f>BA2-BB2</f>
        <v>0</v>
      </c>
      <c r="G2" s="84">
        <v>0.47916666666666669</v>
      </c>
      <c r="H2" s="84">
        <v>0.6875</v>
      </c>
      <c r="I2" s="92">
        <f>BF2-BG2</f>
        <v>5</v>
      </c>
      <c r="J2" s="84">
        <v>0.47916666666666669</v>
      </c>
      <c r="K2" s="84">
        <v>0.70833333333333337</v>
      </c>
      <c r="L2" s="92">
        <f>BK2-BL2</f>
        <v>5</v>
      </c>
      <c r="M2" s="84">
        <v>0.47916666666666669</v>
      </c>
      <c r="N2" s="101">
        <v>0.70833333333333337</v>
      </c>
      <c r="O2" s="92">
        <f>BP2-BQ2</f>
        <v>5</v>
      </c>
      <c r="P2" s="101">
        <v>0.6875</v>
      </c>
      <c r="Q2" s="84">
        <v>0.95833333333333337</v>
      </c>
      <c r="R2" s="92">
        <f>BU2-BV2</f>
        <v>6.0000000000000009</v>
      </c>
      <c r="S2" s="84">
        <v>0.69791666666666663</v>
      </c>
      <c r="T2" s="84">
        <v>0.95833333333333337</v>
      </c>
      <c r="U2" s="92">
        <f>BZ2-CA2</f>
        <v>5.7500000000000018</v>
      </c>
      <c r="V2" s="84">
        <v>0.66666666666666663</v>
      </c>
      <c r="W2" s="84">
        <v>0.95833333333333337</v>
      </c>
      <c r="X2" s="92">
        <f>CE2-CF2</f>
        <v>6.5000000000000018</v>
      </c>
      <c r="Y2" s="92"/>
      <c r="Z2" s="92"/>
      <c r="AA2" s="92"/>
      <c r="AB2" s="92">
        <f>SUM(F2,I2,L2,O2,R2,U2,X2)</f>
        <v>33.25</v>
      </c>
      <c r="AC2" s="93"/>
      <c r="AD2" s="77">
        <v>3.5</v>
      </c>
      <c r="AE2" s="94">
        <f t="shared" ref="AE2:AE40" si="1">SUMIF($BC$1:$CI$1,AE$1,$BC2:$CI2)+AD2</f>
        <v>23.5</v>
      </c>
      <c r="AF2" s="77"/>
      <c r="AG2" s="94">
        <f t="shared" ref="AG2:AG40" si="2">SUMIF($BC$1:$CI$1,AG$1,$BC2:$CI2)+AF2</f>
        <v>5.7500000000000018</v>
      </c>
      <c r="AH2" s="78"/>
      <c r="AI2" s="94">
        <f t="shared" ref="AI2:AI40" si="3">SUMIF($BC$1:$CI$1,AI$1,$BC2:$CI2)+AH2</f>
        <v>6.5000000000000018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1.0000000000000018</v>
      </c>
      <c r="AN2" s="77"/>
      <c r="AO2" s="94">
        <f t="shared" ref="AO2:AO40" si="6">SUMIF($BC$1:$CI$1,AO$1,$BC2:$CI2)+AN2</f>
        <v>0</v>
      </c>
      <c r="AP2" s="95">
        <f>CK2</f>
        <v>6</v>
      </c>
      <c r="AQ2" s="77"/>
      <c r="AR2" s="77"/>
      <c r="AS2" s="77"/>
      <c r="AT2" s="44">
        <f>AE2+AG2+AI2+AK2+AM2+AO2+SUM(AQ2:AS2)</f>
        <v>36.75</v>
      </c>
      <c r="AU2" s="78" t="s">
        <v>1517</v>
      </c>
      <c r="AV2" s="5"/>
      <c r="AW2" s="5"/>
      <c r="AX2" s="5"/>
      <c r="AY2" s="5"/>
      <c r="AZ2" s="24">
        <f>VLOOKUP(C2,Employees!D:I,6,FALSE)</f>
        <v>10331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5</v>
      </c>
      <c r="BG2" s="5">
        <f>IF(BF2&gt;$AY$1,1,IF(BF2&gt;=$AX$1,0.5,0))</f>
        <v>0</v>
      </c>
      <c r="BH2" s="5">
        <f>BF2-BG2-BI2-BJ2</f>
        <v>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5.5</v>
      </c>
      <c r="BL2" s="5">
        <f>IF(BK2&gt;$AY$1,1,IF(BK2&gt;=$AX$1,0.5,0))</f>
        <v>0.5</v>
      </c>
      <c r="BM2" s="5">
        <f>BK2-BL2-BN2-BO2</f>
        <v>5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5.5</v>
      </c>
      <c r="BQ2" s="5">
        <f>IF(BP2&gt;$AY$1,1,IF(BP2&gt;=$AX$1,0.5,0))</f>
        <v>0.5</v>
      </c>
      <c r="BR2" s="5">
        <f>BP2-BQ2-BS2-BT2</f>
        <v>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6.5000000000000009</v>
      </c>
      <c r="BV2" s="5">
        <f>IF(BU2&gt;$AY$1,1,IF(BU2&gt;=$AX$1,0.5,0))</f>
        <v>0.5</v>
      </c>
      <c r="BW2" s="5">
        <f>BU2-BV2-BX2-BY2</f>
        <v>4.9999999999999991</v>
      </c>
      <c r="BX2" s="5">
        <f>IF(AND(Q2&gt;$AV$1, P2&lt;$AW$1),(MIN(Q2,$AW$1)-MAX(P2,$AV$1))*24,0)</f>
        <v>1.0000000000000018</v>
      </c>
      <c r="BY2" s="5">
        <f t="shared" ref="BY2:BY65" si="11">IF(Q2&gt;$AW$1,(Q2-MAX(P2,$AW$1))*24,0)</f>
        <v>0</v>
      </c>
      <c r="BZ2" s="5">
        <f t="shared" ref="BZ2" si="12">IF(ISBLANK(S2),0,(T2-S2)*24)</f>
        <v>6.2500000000000018</v>
      </c>
      <c r="CA2" s="5">
        <f>IF(BZ2&gt;$AY$1,1,IF(BZ2&gt;=$AX$1,0.5,0))</f>
        <v>0.5</v>
      </c>
      <c r="CB2" s="5">
        <f>BZ2-CA2-CC2-CD2</f>
        <v>4.75</v>
      </c>
      <c r="CC2" s="5">
        <f>IF(AND(T2&gt;$AV$1, S2&lt;$AW$1),(MIN(T2,$AW$1)-MAX(S2,$AV$1))*24,0)</f>
        <v>1.0000000000000018</v>
      </c>
      <c r="CD2" s="5">
        <f>IF(T2&gt;$AW$1,(T2-MAX(S2,$AW$1))*24,0)</f>
        <v>0</v>
      </c>
      <c r="CE2" s="5">
        <f t="shared" ref="CE2" si="13">IF(ISBLANK(V2),0,(W2-V2)*24)</f>
        <v>7.0000000000000018</v>
      </c>
      <c r="CF2" s="5">
        <f>IF(CE2&gt;$AY$1,1,IF(CE2&gt;=$AX$1,0.5,0))</f>
        <v>0.5</v>
      </c>
      <c r="CG2" s="5">
        <f>CE2-CF2-CH2-CI2</f>
        <v>5.5</v>
      </c>
      <c r="CH2" s="5">
        <f>IF(AND(W2&gt;$AV$1, V2&lt;$AW$1),(MIN(W2,$AW$1)-MAX(V2,$AV$1))*24,0)</f>
        <v>1.0000000000000018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6</v>
      </c>
    </row>
    <row r="3" spans="1:89" ht="38" customHeight="1">
      <c r="A3" s="74">
        <f t="shared" si="0"/>
        <v>10417</v>
      </c>
      <c r="B3" s="81" t="s">
        <v>1402</v>
      </c>
      <c r="C3" s="91" t="s">
        <v>1147</v>
      </c>
      <c r="D3" s="101"/>
      <c r="E3" s="84"/>
      <c r="F3" s="92">
        <f t="shared" ref="F3:F69" si="15">BA3-BB3</f>
        <v>0</v>
      </c>
      <c r="G3" s="84"/>
      <c r="H3" s="84"/>
      <c r="I3" s="92">
        <f t="shared" ref="I3:I69" si="16">BF3-BG3</f>
        <v>0</v>
      </c>
      <c r="J3" s="84"/>
      <c r="K3" s="84"/>
      <c r="L3" s="92">
        <f t="shared" ref="L3:L69" si="17">BK3-BL3</f>
        <v>0</v>
      </c>
      <c r="M3" s="84">
        <v>0.75</v>
      </c>
      <c r="N3" s="101">
        <v>0.95833333333333337</v>
      </c>
      <c r="O3" s="92">
        <f t="shared" ref="O3:O69" si="18">BP3-BQ3</f>
        <v>5.0000000000000009</v>
      </c>
      <c r="P3" s="101">
        <v>0.75</v>
      </c>
      <c r="Q3" s="84">
        <v>0.95833333333333337</v>
      </c>
      <c r="R3" s="92">
        <f t="shared" ref="R3:R69" si="19">BU3-BV3</f>
        <v>5.0000000000000009</v>
      </c>
      <c r="S3" s="84"/>
      <c r="T3" s="84"/>
      <c r="U3" s="92">
        <f t="shared" ref="U3:U69" si="20">BZ3-CA3</f>
        <v>0</v>
      </c>
      <c r="V3" s="84"/>
      <c r="W3" s="84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10.000000000000002</v>
      </c>
      <c r="AC3" s="93"/>
      <c r="AD3" s="77"/>
      <c r="AE3" s="94">
        <f t="shared" si="1"/>
        <v>7.9999999999999982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2.0000000000000036</v>
      </c>
      <c r="AN3" s="77"/>
      <c r="AO3" s="94">
        <f t="shared" si="6"/>
        <v>0</v>
      </c>
      <c r="AP3" s="95">
        <f t="shared" ref="AP3:AP69" si="23">CK3</f>
        <v>2</v>
      </c>
      <c r="AQ3" s="77"/>
      <c r="AR3" s="77"/>
      <c r="AS3" s="77"/>
      <c r="AT3" s="44">
        <f t="shared" ref="AT3:AT69" si="24">AE3+AG3+AI3+AK3+AM3+AO3+SUM(AQ3:AS3)</f>
        <v>10.000000000000002</v>
      </c>
      <c r="AU3" s="78"/>
      <c r="AV3" s="5"/>
      <c r="AW3" s="5"/>
      <c r="AX3" s="5"/>
      <c r="AY3" s="5"/>
      <c r="AZ3" s="24">
        <f>VLOOKUP(C3,Employees!D:I,6,FALSE)</f>
        <v>10417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5.0000000000000009</v>
      </c>
      <c r="BQ3" s="5">
        <f t="shared" ref="BQ3:BQ66" si="40">IF(BP3&gt;$AY$1,1,IF(BP3&gt;=$AX$1,0.5,0))</f>
        <v>0</v>
      </c>
      <c r="BR3" s="5">
        <f t="shared" ref="BR3:BR66" si="41">BP3-BQ3-BS3-BT3</f>
        <v>3.9999999999999991</v>
      </c>
      <c r="BS3" s="5">
        <f t="shared" ref="BS3:BS66" si="42">IF(AND(N3&gt;$AV$1, M3&lt;$AW$1),(MIN(N3,$AW$1)-MAX(M3,$AV$1))*24,0)</f>
        <v>1.0000000000000018</v>
      </c>
      <c r="BT3" s="5">
        <f t="shared" ref="BT3:BT66" si="43">IF(N3&gt;$AW$1,(N3-MAX(M3,$AW$1))*24,0)</f>
        <v>0</v>
      </c>
      <c r="BU3" s="5">
        <f t="shared" ref="BU3:BU66" si="44">IF(ISBLANK(P3),0,(Q3-P3)*24)</f>
        <v>5.0000000000000009</v>
      </c>
      <c r="BV3" s="5">
        <f t="shared" ref="BV3:BV66" si="45">IF(BU3&gt;$AY$1,1,IF(BU3&gt;=$AX$1,0.5,0))</f>
        <v>0</v>
      </c>
      <c r="BW3" s="5">
        <f t="shared" ref="BW3:BW66" si="46">BU3-BV3-BX3-BY3</f>
        <v>3.9999999999999991</v>
      </c>
      <c r="BX3" s="5">
        <f t="shared" ref="BX3:BX66" si="47">IF(AND(Q3&gt;$AV$1, P3&lt;$AW$1),(MIN(Q3,$AW$1)-MAX(P3,$AV$1))*24,0)</f>
        <v>1.0000000000000018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2</v>
      </c>
    </row>
    <row r="4" spans="1:89" ht="38" customHeight="1">
      <c r="A4" s="74">
        <f t="shared" si="0"/>
        <v>210528</v>
      </c>
      <c r="B4" s="81" t="s">
        <v>1402</v>
      </c>
      <c r="C4" s="85" t="s">
        <v>1443</v>
      </c>
      <c r="D4" s="84"/>
      <c r="E4" s="84"/>
      <c r="F4" s="92">
        <f t="shared" si="15"/>
        <v>0</v>
      </c>
      <c r="G4" s="84"/>
      <c r="H4" s="84"/>
      <c r="I4" s="92">
        <f t="shared" si="16"/>
        <v>0</v>
      </c>
      <c r="J4" s="84"/>
      <c r="K4" s="84"/>
      <c r="L4" s="92">
        <f t="shared" si="17"/>
        <v>0</v>
      </c>
      <c r="M4" s="84"/>
      <c r="N4" s="84"/>
      <c r="O4" s="92">
        <f t="shared" si="18"/>
        <v>0</v>
      </c>
      <c r="P4" s="75"/>
      <c r="Q4" s="75"/>
      <c r="R4" s="92">
        <f t="shared" si="19"/>
        <v>0</v>
      </c>
      <c r="S4" s="75">
        <v>0.47916666666666669</v>
      </c>
      <c r="T4" s="75">
        <v>0.69791666666666663</v>
      </c>
      <c r="U4" s="92">
        <f t="shared" si="20"/>
        <v>5.2499999999999982</v>
      </c>
      <c r="V4" s="84"/>
      <c r="W4" s="84"/>
      <c r="X4" s="92">
        <f t="shared" si="21"/>
        <v>0</v>
      </c>
      <c r="Y4" s="92"/>
      <c r="Z4" s="92"/>
      <c r="AA4" s="92"/>
      <c r="AB4" s="92">
        <f t="shared" si="22"/>
        <v>5.2499999999999982</v>
      </c>
      <c r="AC4" s="93"/>
      <c r="AD4" s="77"/>
      <c r="AE4" s="94">
        <f t="shared" si="1"/>
        <v>0</v>
      </c>
      <c r="AF4" s="77"/>
      <c r="AG4" s="94">
        <f t="shared" si="2"/>
        <v>5.2499999999999982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1</v>
      </c>
      <c r="AQ4" s="77"/>
      <c r="AR4" s="77"/>
      <c r="AS4" s="77"/>
      <c r="AT4" s="44">
        <f t="shared" si="24"/>
        <v>5.2499999999999982</v>
      </c>
      <c r="AU4" s="78"/>
      <c r="AV4" s="5"/>
      <c r="AW4" s="5"/>
      <c r="AX4" s="5"/>
      <c r="AY4" s="5"/>
      <c r="AZ4" s="24">
        <f>VLOOKUP(C4,Employees!D:I,6,FALSE)</f>
        <v>210528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5.2499999999999982</v>
      </c>
      <c r="CA4" s="5">
        <f t="shared" si="49"/>
        <v>0</v>
      </c>
      <c r="CB4" s="5">
        <f t="shared" si="50"/>
        <v>5.2499999999999982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1</v>
      </c>
    </row>
    <row r="5" spans="1:89" ht="38" customHeight="1">
      <c r="A5" s="74">
        <f t="shared" si="0"/>
        <v>210533</v>
      </c>
      <c r="B5" s="81" t="s">
        <v>1402</v>
      </c>
      <c r="C5" s="85" t="s">
        <v>1516</v>
      </c>
      <c r="D5" s="75">
        <v>0.6875</v>
      </c>
      <c r="E5" s="75">
        <v>0.89583333333333337</v>
      </c>
      <c r="F5" s="92">
        <f t="shared" si="15"/>
        <v>5.0000000000000009</v>
      </c>
      <c r="G5" s="84"/>
      <c r="H5" s="84"/>
      <c r="I5" s="92">
        <f t="shared" si="16"/>
        <v>0</v>
      </c>
      <c r="J5" s="84"/>
      <c r="K5" s="84"/>
      <c r="L5" s="92">
        <f t="shared" si="17"/>
        <v>0</v>
      </c>
      <c r="M5" s="75"/>
      <c r="N5" s="75"/>
      <c r="O5" s="92">
        <f t="shared" si="18"/>
        <v>0</v>
      </c>
      <c r="P5" s="75"/>
      <c r="Q5" s="75"/>
      <c r="R5" s="92">
        <f t="shared" si="19"/>
        <v>0</v>
      </c>
      <c r="S5" s="75"/>
      <c r="T5" s="75"/>
      <c r="U5" s="92">
        <f t="shared" si="20"/>
        <v>0</v>
      </c>
      <c r="V5" s="84">
        <v>0.47916666666666669</v>
      </c>
      <c r="W5" s="84">
        <v>0.66666666666666663</v>
      </c>
      <c r="X5" s="92">
        <f t="shared" si="21"/>
        <v>4.4999999999999982</v>
      </c>
      <c r="Y5" s="92"/>
      <c r="Z5" s="92"/>
      <c r="AA5" s="92"/>
      <c r="AB5" s="92">
        <f t="shared" si="22"/>
        <v>9.5</v>
      </c>
      <c r="AC5" s="93"/>
      <c r="AD5" s="78"/>
      <c r="AE5" s="94">
        <f t="shared" si="1"/>
        <v>5.0000000000000009</v>
      </c>
      <c r="AF5" s="77"/>
      <c r="AG5" s="94">
        <f t="shared" si="2"/>
        <v>0</v>
      </c>
      <c r="AH5" s="78"/>
      <c r="AI5" s="94">
        <f t="shared" si="3"/>
        <v>4.4999999999999982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2</v>
      </c>
      <c r="AQ5" s="77"/>
      <c r="AR5" s="77"/>
      <c r="AS5" s="77"/>
      <c r="AT5" s="44">
        <f t="shared" si="24"/>
        <v>9.5</v>
      </c>
      <c r="AU5" s="78"/>
      <c r="AV5" s="5"/>
      <c r="AW5" s="5"/>
      <c r="AX5" s="5"/>
      <c r="AY5" s="5"/>
      <c r="AZ5" s="24">
        <f>VLOOKUP(C5,Employees!D:I,6,FALSE)</f>
        <v>210533</v>
      </c>
      <c r="BA5" s="5">
        <f t="shared" si="25"/>
        <v>5.0000000000000009</v>
      </c>
      <c r="BB5" s="5">
        <f t="shared" si="26"/>
        <v>0</v>
      </c>
      <c r="BC5" s="5">
        <f t="shared" si="27"/>
        <v>5.0000000000000009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4.4999999999999982</v>
      </c>
      <c r="CF5" s="5">
        <f t="shared" si="54"/>
        <v>0</v>
      </c>
      <c r="CG5" s="5">
        <f t="shared" si="55"/>
        <v>4.4999999999999982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210557</v>
      </c>
      <c r="B6" s="81" t="s">
        <v>1402</v>
      </c>
      <c r="C6" s="85" t="s">
        <v>1512</v>
      </c>
      <c r="D6" s="84"/>
      <c r="E6" s="84"/>
      <c r="F6" s="92">
        <f t="shared" si="15"/>
        <v>0</v>
      </c>
      <c r="G6" s="84">
        <v>0.6875</v>
      </c>
      <c r="H6" s="84">
        <v>0.89583333333333337</v>
      </c>
      <c r="I6" s="92">
        <f t="shared" si="16"/>
        <v>5.0000000000000009</v>
      </c>
      <c r="J6" s="84">
        <v>0.70833333333333337</v>
      </c>
      <c r="K6" s="84">
        <v>0.89583333333333337</v>
      </c>
      <c r="L6" s="92">
        <f t="shared" si="17"/>
        <v>4.5</v>
      </c>
      <c r="M6" s="75"/>
      <c r="N6" s="75"/>
      <c r="O6" s="92">
        <f t="shared" si="18"/>
        <v>0</v>
      </c>
      <c r="P6" s="75"/>
      <c r="Q6" s="75"/>
      <c r="R6" s="92">
        <f t="shared" si="19"/>
        <v>0</v>
      </c>
      <c r="S6" s="75"/>
      <c r="T6" s="75"/>
      <c r="U6" s="92">
        <f t="shared" si="20"/>
        <v>0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9.5</v>
      </c>
      <c r="AC6" s="93"/>
      <c r="AD6" s="78"/>
      <c r="AE6" s="94">
        <f t="shared" si="1"/>
        <v>9.5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9.5</v>
      </c>
      <c r="AU6" s="78"/>
      <c r="AV6" s="5"/>
      <c r="AW6" s="5"/>
      <c r="AX6" s="5"/>
      <c r="AY6" s="5"/>
      <c r="AZ6" s="24">
        <f>VLOOKUP(C6,Employees!D:I,6,FALSE)</f>
        <v>210557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5.0000000000000009</v>
      </c>
      <c r="BG6" s="5">
        <f t="shared" si="30"/>
        <v>0</v>
      </c>
      <c r="BH6" s="5">
        <f t="shared" si="31"/>
        <v>5.0000000000000009</v>
      </c>
      <c r="BI6" s="5">
        <f t="shared" si="32"/>
        <v>0</v>
      </c>
      <c r="BJ6" s="5">
        <f t="shared" si="33"/>
        <v>0</v>
      </c>
      <c r="BK6" s="5">
        <f t="shared" si="34"/>
        <v>4.5</v>
      </c>
      <c r="BL6" s="5">
        <f t="shared" si="35"/>
        <v>0</v>
      </c>
      <c r="BM6" s="5">
        <f t="shared" si="36"/>
        <v>4.5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210529</v>
      </c>
      <c r="B7" s="81" t="s">
        <v>1402</v>
      </c>
      <c r="C7" s="104" t="s">
        <v>1445</v>
      </c>
      <c r="D7" s="75">
        <v>0.47916666666666669</v>
      </c>
      <c r="E7" s="75">
        <v>0.6875</v>
      </c>
      <c r="F7" s="92">
        <f t="shared" si="15"/>
        <v>5</v>
      </c>
      <c r="G7" s="75"/>
      <c r="H7" s="75"/>
      <c r="I7" s="92">
        <f t="shared" si="16"/>
        <v>0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/>
      <c r="T7" s="75"/>
      <c r="U7" s="92">
        <f t="shared" si="20"/>
        <v>0</v>
      </c>
      <c r="V7" s="84">
        <v>0.75</v>
      </c>
      <c r="W7" s="84">
        <v>0.95833333333333337</v>
      </c>
      <c r="X7" s="92">
        <f t="shared" si="21"/>
        <v>5.0000000000000009</v>
      </c>
      <c r="Y7" s="92"/>
      <c r="Z7" s="92"/>
      <c r="AA7" s="92"/>
      <c r="AB7" s="92">
        <f t="shared" si="22"/>
        <v>10</v>
      </c>
      <c r="AC7" s="93"/>
      <c r="AD7" s="78"/>
      <c r="AE7" s="94">
        <f t="shared" si="1"/>
        <v>5</v>
      </c>
      <c r="AF7" s="77"/>
      <c r="AG7" s="94">
        <f t="shared" si="2"/>
        <v>0</v>
      </c>
      <c r="AH7" s="77"/>
      <c r="AI7" s="94">
        <f t="shared" si="3"/>
        <v>5.0000000000000009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2</v>
      </c>
      <c r="AQ7" s="77"/>
      <c r="AR7" s="77"/>
      <c r="AS7" s="77"/>
      <c r="AT7" s="44">
        <f t="shared" si="24"/>
        <v>10</v>
      </c>
      <c r="AU7" s="78"/>
      <c r="AV7" s="5"/>
      <c r="AW7" s="5"/>
      <c r="AX7" s="5"/>
      <c r="AY7" s="5"/>
      <c r="AZ7" s="24">
        <f>VLOOKUP(C7,Employees!D:I,6,FALSE)</f>
        <v>210529</v>
      </c>
      <c r="BA7" s="5">
        <f t="shared" si="25"/>
        <v>5</v>
      </c>
      <c r="BB7" s="5">
        <f t="shared" si="26"/>
        <v>0</v>
      </c>
      <c r="BC7" s="5">
        <f t="shared" si="27"/>
        <v>5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5.0000000000000009</v>
      </c>
      <c r="CF7" s="5">
        <f t="shared" si="54"/>
        <v>0</v>
      </c>
      <c r="CG7" s="5">
        <f t="shared" si="55"/>
        <v>3.9999999999999991</v>
      </c>
      <c r="CH7" s="5">
        <f t="shared" si="56"/>
        <v>1.0000000000000018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4">
        <f t="shared" si="0"/>
        <v>210558</v>
      </c>
      <c r="B8" s="81" t="s">
        <v>1402</v>
      </c>
      <c r="C8" s="98" t="s">
        <v>1511</v>
      </c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>
        <v>0.70833333333333337</v>
      </c>
      <c r="N8" s="75">
        <v>0.95833333333333337</v>
      </c>
      <c r="O8" s="92">
        <f t="shared" si="18"/>
        <v>5.5</v>
      </c>
      <c r="P8" s="84"/>
      <c r="Q8" s="84"/>
      <c r="R8" s="92">
        <f t="shared" si="19"/>
        <v>0</v>
      </c>
      <c r="S8" s="84">
        <v>0.75</v>
      </c>
      <c r="T8" s="84">
        <v>0.95833333333333337</v>
      </c>
      <c r="U8" s="92">
        <f t="shared" si="20"/>
        <v>5.0000000000000009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10.5</v>
      </c>
      <c r="AC8" s="93"/>
      <c r="AD8" s="78"/>
      <c r="AE8" s="94">
        <f t="shared" si="1"/>
        <v>4.4999999999999982</v>
      </c>
      <c r="AF8" s="77"/>
      <c r="AG8" s="94">
        <f t="shared" si="2"/>
        <v>5.0000000000000009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1.0000000000000018</v>
      </c>
      <c r="AN8" s="77"/>
      <c r="AO8" s="94">
        <f t="shared" si="6"/>
        <v>0</v>
      </c>
      <c r="AP8" s="95">
        <f t="shared" si="23"/>
        <v>2</v>
      </c>
      <c r="AQ8" s="77"/>
      <c r="AR8" s="77"/>
      <c r="AS8" s="77"/>
      <c r="AT8" s="44">
        <f t="shared" si="24"/>
        <v>10.500000000000002</v>
      </c>
      <c r="AU8" s="78"/>
      <c r="AV8" s="5"/>
      <c r="AW8" s="5"/>
      <c r="AX8" s="5"/>
      <c r="AY8" s="5"/>
      <c r="AZ8" s="24">
        <f>VLOOKUP(C8,Employees!D:I,6,FALSE)</f>
        <v>210558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6</v>
      </c>
      <c r="BQ8" s="5">
        <f t="shared" si="40"/>
        <v>0.5</v>
      </c>
      <c r="BR8" s="5">
        <f t="shared" si="41"/>
        <v>4.4999999999999982</v>
      </c>
      <c r="BS8" s="5">
        <f t="shared" si="42"/>
        <v>1.0000000000000018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5.0000000000000009</v>
      </c>
      <c r="CA8" s="5">
        <f t="shared" si="49"/>
        <v>0</v>
      </c>
      <c r="CB8" s="5">
        <f t="shared" si="50"/>
        <v>3.9999999999999991</v>
      </c>
      <c r="CC8" s="5">
        <f t="shared" si="51"/>
        <v>1.0000000000000018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210505</v>
      </c>
      <c r="B9" s="81" t="s">
        <v>1402</v>
      </c>
      <c r="C9" s="98" t="s">
        <v>1381</v>
      </c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>
        <v>0.47916666666666669</v>
      </c>
      <c r="Q9" s="75">
        <v>0.6875</v>
      </c>
      <c r="R9" s="92">
        <f t="shared" si="19"/>
        <v>5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5</v>
      </c>
      <c r="AC9" s="93"/>
      <c r="AD9" s="78"/>
      <c r="AE9" s="94">
        <f t="shared" si="1"/>
        <v>5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1</v>
      </c>
      <c r="AQ9" s="77"/>
      <c r="AR9" s="77"/>
      <c r="AS9" s="77"/>
      <c r="AT9" s="44">
        <f t="shared" si="24"/>
        <v>5</v>
      </c>
      <c r="AU9" s="78"/>
      <c r="AV9" s="5"/>
      <c r="AW9" s="5"/>
      <c r="AX9" s="5"/>
      <c r="AY9" s="5"/>
      <c r="AZ9" s="24">
        <f>VLOOKUP(C9,Employees!D:I,6,FALSE)</f>
        <v>210505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5</v>
      </c>
      <c r="BV9" s="5">
        <f t="shared" si="45"/>
        <v>0</v>
      </c>
      <c r="BW9" s="5">
        <f t="shared" si="46"/>
        <v>5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 t="str">
        <f t="shared" si="0"/>
        <v/>
      </c>
      <c r="B10" s="73"/>
      <c r="C10" s="99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9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J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10331</v>
      </c>
      <c r="B2" s="81" t="s">
        <v>1402</v>
      </c>
      <c r="C2" s="91" t="s">
        <v>925</v>
      </c>
      <c r="D2" s="75"/>
      <c r="E2" s="75"/>
      <c r="F2" s="92">
        <f>BA2-BB2</f>
        <v>0</v>
      </c>
      <c r="G2" s="75">
        <v>0.47916666666666669</v>
      </c>
      <c r="H2" s="76">
        <v>0.6875</v>
      </c>
      <c r="I2" s="92">
        <f>BF2-BG2</f>
        <v>5</v>
      </c>
      <c r="J2" s="75">
        <v>0.47916666666666669</v>
      </c>
      <c r="K2" s="76">
        <v>0.70833333333333337</v>
      </c>
      <c r="L2" s="92">
        <f>BK2-BL2</f>
        <v>5</v>
      </c>
      <c r="M2" s="75">
        <v>0.47916666666666669</v>
      </c>
      <c r="N2" s="102">
        <v>0.70833333333333337</v>
      </c>
      <c r="O2" s="92">
        <f>BP2-BQ2</f>
        <v>5</v>
      </c>
      <c r="P2" s="75">
        <v>0.47916666666666669</v>
      </c>
      <c r="Q2" s="76">
        <v>0.72916666666666663</v>
      </c>
      <c r="R2" s="92">
        <f>BU2-BV2</f>
        <v>5.4999999999999982</v>
      </c>
      <c r="S2" s="75">
        <v>0.6875</v>
      </c>
      <c r="T2" s="75">
        <v>0.95833333333333337</v>
      </c>
      <c r="U2" s="92">
        <f>BZ2-CA2</f>
        <v>6.0000000000000009</v>
      </c>
      <c r="V2" s="75">
        <v>0.75</v>
      </c>
      <c r="W2" s="102">
        <v>0.95833333333333337</v>
      </c>
      <c r="X2" s="92">
        <f>CE2-CF2</f>
        <v>5.0000000000000009</v>
      </c>
      <c r="Y2" s="92"/>
      <c r="Z2" s="92"/>
      <c r="AA2" s="92"/>
      <c r="AB2" s="96">
        <f>SUM(F2,I2,L2,O2,R2,U2,X2)</f>
        <v>31.5</v>
      </c>
      <c r="AC2" s="93"/>
      <c r="AD2" s="78">
        <v>3</v>
      </c>
      <c r="AE2" s="94">
        <f>SUMIF($BC$1:$CI$1,AE$1,$BC2:$CI2)+AD2</f>
        <v>23.5</v>
      </c>
      <c r="AF2" s="78"/>
      <c r="AG2" s="94">
        <f>SUMIF($BC$1:$CI$1,AG$1,$BC2:$CI2)+AF2</f>
        <v>6.0000000000000009</v>
      </c>
      <c r="AH2" s="78"/>
      <c r="AI2" s="94">
        <f>SUMIF($BC$1:$CI$1,AI$1,$BC2:$CI2)+AH2</f>
        <v>5.0000000000000009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6</v>
      </c>
      <c r="AQ2" s="77"/>
      <c r="AR2" s="77"/>
      <c r="AS2" s="77"/>
      <c r="AT2" s="63">
        <f>AE2+AG2+AI2+AK2+AM2+AO2+SUM(AQ2:AS2)</f>
        <v>34.5</v>
      </c>
      <c r="AU2" s="78" t="s">
        <v>1518</v>
      </c>
      <c r="AV2" s="5"/>
      <c r="AW2" s="5"/>
      <c r="AX2" s="5"/>
      <c r="AY2" s="5"/>
      <c r="AZ2" s="24">
        <f>VLOOKUP(C2,Employees!D:I,6,FALSE)</f>
        <v>10331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5</v>
      </c>
      <c r="BG2" s="5">
        <f>IF(BF2&gt;$AY$1,1,IF(BF2&gt;=$AX$1,0.5,0))</f>
        <v>0</v>
      </c>
      <c r="BH2" s="5">
        <f>BF2-BG2-BI2-BJ2</f>
        <v>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5.5</v>
      </c>
      <c r="BL2" s="5">
        <f>IF(BK2&gt;$AY$1,1,IF(BK2&gt;=$AX$1,0.5,0))</f>
        <v>0.5</v>
      </c>
      <c r="BM2" s="5">
        <f>BK2-BL2-BN2-BO2</f>
        <v>5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5.5</v>
      </c>
      <c r="BQ2" s="5">
        <f>IF(BP2&gt;$AY$1,1,IF(BP2&gt;=$AX$1,0.5,0))</f>
        <v>0.5</v>
      </c>
      <c r="BR2" s="5">
        <f>BP2-BQ2-BS2-BT2</f>
        <v>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5.9999999999999982</v>
      </c>
      <c r="BV2" s="5">
        <f>IF(BU2&gt;$AY$1,1,IF(BU2&gt;=$AX$1,0.5,0))</f>
        <v>0.5</v>
      </c>
      <c r="BW2" s="5">
        <f>BU2-BV2-BX2-BY2</f>
        <v>5.4999999999999982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6.5000000000000009</v>
      </c>
      <c r="CA2" s="5">
        <f>IF(BZ2&gt;$AY$1,1,IF(BZ2&gt;=$AX$1,0.5,0))</f>
        <v>0.5</v>
      </c>
      <c r="CB2" s="5">
        <f>BZ2-CA2-CC2-CD2</f>
        <v>4.9999999999999991</v>
      </c>
      <c r="CC2" s="5">
        <f>IF(AND(T2&gt;$AV$1, S2&lt;$AW$1),(MIN(T2,$AW$1)-MAX(S2,$AV$1))*24,0)</f>
        <v>1.0000000000000018</v>
      </c>
      <c r="CD2" s="5">
        <f>IF(T2&gt;$AW$1,(T2-MAX(S2,$AW$1))*24,0)</f>
        <v>0</v>
      </c>
      <c r="CE2" s="5">
        <f t="shared" ref="CE2" si="7">IF(ISBLANK(V2),0,(W2-V2)*24)</f>
        <v>5.0000000000000009</v>
      </c>
      <c r="CF2" s="5">
        <f>IF(CE2&gt;$AY$1,1,IF(CE2&gt;=$AX$1,0.5,0))</f>
        <v>0</v>
      </c>
      <c r="CG2" s="5">
        <f>CE2-CF2-CH2-CI2</f>
        <v>3.9999999999999991</v>
      </c>
      <c r="CH2" s="5">
        <f>IF(AND(W2&gt;$AV$1, V2&lt;$AW$1),(MIN(W2,$AW$1)-MAX(V2,$AV$1))*24,0)</f>
        <v>1.0000000000000018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6</v>
      </c>
    </row>
    <row r="3" spans="1:89" ht="47" customHeight="1">
      <c r="A3" s="74">
        <f t="shared" si="0"/>
        <v>10417</v>
      </c>
      <c r="B3" s="81" t="s">
        <v>1402</v>
      </c>
      <c r="C3" s="91" t="s">
        <v>1147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>
        <v>0.70833333333333337</v>
      </c>
      <c r="N3" s="75">
        <v>0.95833333333333337</v>
      </c>
      <c r="O3" s="92">
        <f t="shared" ref="O3:O74" si="12">BP3-BQ3</f>
        <v>5.5</v>
      </c>
      <c r="P3" s="84">
        <v>0.75</v>
      </c>
      <c r="Q3" s="84">
        <v>0.95833333333333337</v>
      </c>
      <c r="R3" s="92">
        <f t="shared" ref="R3:R74" si="13">BU3-BV3</f>
        <v>5.0000000000000009</v>
      </c>
      <c r="S3" s="84">
        <v>0.77083333333333337</v>
      </c>
      <c r="T3" s="84">
        <v>0.95833333333333337</v>
      </c>
      <c r="U3" s="92">
        <f t="shared" ref="U3:U74" si="14">BZ3-CA3</f>
        <v>4.5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15</v>
      </c>
      <c r="AC3" s="93"/>
      <c r="AD3" s="78"/>
      <c r="AE3" s="94">
        <f t="shared" ref="AE3:AE74" si="17">SUMIF($BC$1:$CI$1,AE$1,$BC3:$CI3)+AD3</f>
        <v>8.4999999999999964</v>
      </c>
      <c r="AF3" s="78"/>
      <c r="AG3" s="94">
        <f t="shared" ref="AG3:AG74" si="18">SUMIF($BC$1:$CI$1,AG$1,$BC3:$CI3)+AF3</f>
        <v>4.5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2.0000000000000036</v>
      </c>
      <c r="AN3" s="77"/>
      <c r="AO3" s="94">
        <f t="shared" ref="AO3:AO74" si="22">SUMIF($BC$1:$CI$1,AO$1,$BC3:$CI3)+AN3</f>
        <v>0</v>
      </c>
      <c r="AP3" s="95">
        <f t="shared" ref="AP3:AP74" si="23">CK3</f>
        <v>3</v>
      </c>
      <c r="AQ3" s="77"/>
      <c r="AR3" s="77"/>
      <c r="AS3" s="77"/>
      <c r="AT3" s="63">
        <f t="shared" ref="AT3:AT74" si="24">AE3+AG3+AI3+AK3+AM3+AO3+SUM(AQ3:AS3)</f>
        <v>15</v>
      </c>
      <c r="AU3" s="78"/>
      <c r="AV3" s="5"/>
      <c r="AW3" s="5"/>
      <c r="AX3" s="5"/>
      <c r="AY3" s="5"/>
      <c r="AZ3" s="24">
        <f>VLOOKUP(C3,Employees!D:I,6,FALSE)</f>
        <v>10417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6</v>
      </c>
      <c r="BQ3" s="5">
        <f t="shared" ref="BQ3:BQ66" si="41">IF(BP3&gt;$AY$1,1,IF(BP3&gt;=$AX$1,0.5,0))</f>
        <v>0.5</v>
      </c>
      <c r="BR3" s="5">
        <f t="shared" ref="BR3:BR66" si="42">BP3-BQ3-BS3-BT3</f>
        <v>4.4999999999999982</v>
      </c>
      <c r="BS3" s="5">
        <f t="shared" ref="BS3:BS66" si="43">IF(AND(N3&gt;$AV$1, M3&lt;$AW$1),(MIN(N3,$AW$1)-MAX(M3,$AV$1))*24,0)</f>
        <v>1.0000000000000018</v>
      </c>
      <c r="BT3" s="5">
        <f t="shared" ref="BT3:BT66" si="44">IF(N3&gt;$AW$1,(N3-MAX(M3,$AW$1))*24,0)</f>
        <v>0</v>
      </c>
      <c r="BU3" s="5">
        <f t="shared" ref="BU3:BU66" si="45">IF(ISBLANK(P3),0,(Q3-P3)*24)</f>
        <v>5.0000000000000009</v>
      </c>
      <c r="BV3" s="5">
        <f t="shared" ref="BV3:BV66" si="46">IF(BU3&gt;$AY$1,1,IF(BU3&gt;=$AX$1,0.5,0))</f>
        <v>0</v>
      </c>
      <c r="BW3" s="5">
        <f t="shared" ref="BW3:BW66" si="47">BU3-BV3-BX3-BY3</f>
        <v>3.9999999999999991</v>
      </c>
      <c r="BX3" s="5">
        <f t="shared" ref="BX3:BX66" si="48">IF(AND(Q3&gt;$AV$1, P3&lt;$AW$1),(MIN(Q3,$AW$1)-MAX(P3,$AV$1))*24,0)</f>
        <v>1.0000000000000018</v>
      </c>
      <c r="BY3" s="5">
        <f t="shared" ref="BY3:BY66" si="49">IF(Q3&gt;$AW$1,(Q3-MAX(P3,$AW$1))*24,0)</f>
        <v>0</v>
      </c>
      <c r="BZ3" s="5">
        <f t="shared" ref="BZ3:BZ66" si="50">IF(ISBLANK(S3),0,(T3-S3)*24)</f>
        <v>4.5</v>
      </c>
      <c r="CA3" s="5">
        <f t="shared" ref="CA3:CA66" si="51">IF(BZ3&gt;$AY$1,1,IF(BZ3&gt;=$AX$1,0.5,0))</f>
        <v>0</v>
      </c>
      <c r="CB3" s="5">
        <f t="shared" ref="CB3:CB66" si="52">BZ3-CA3-CC3-CD3</f>
        <v>3.4999999999999982</v>
      </c>
      <c r="CC3" s="5">
        <f t="shared" ref="CC3:CC66" si="53">IF(AND(T3&gt;$AV$1, S3&lt;$AW$1),(MIN(T3,$AW$1)-MAX(S3,$AV$1))*24,0)</f>
        <v>1.0000000000000018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3</v>
      </c>
    </row>
    <row r="4" spans="1:89" ht="47" customHeight="1">
      <c r="A4" s="74">
        <f t="shared" si="0"/>
        <v>210528</v>
      </c>
      <c r="B4" s="81" t="s">
        <v>1402</v>
      </c>
      <c r="C4" s="85" t="s">
        <v>1443</v>
      </c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>
        <v>0.77083333333333337</v>
      </c>
      <c r="N4" s="75">
        <v>0.95833333333333337</v>
      </c>
      <c r="O4" s="92">
        <f t="shared" si="12"/>
        <v>4.5</v>
      </c>
      <c r="P4" s="75"/>
      <c r="Q4" s="75"/>
      <c r="R4" s="92">
        <f t="shared" si="13"/>
        <v>0</v>
      </c>
      <c r="S4" s="75">
        <v>0.47916666666666669</v>
      </c>
      <c r="T4" s="75">
        <v>0.6875</v>
      </c>
      <c r="U4" s="92">
        <f t="shared" si="14"/>
        <v>5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9.5</v>
      </c>
      <c r="AC4" s="93"/>
      <c r="AD4" s="78"/>
      <c r="AE4" s="94">
        <f t="shared" si="17"/>
        <v>3.4999999999999982</v>
      </c>
      <c r="AF4" s="78"/>
      <c r="AG4" s="94">
        <f t="shared" si="18"/>
        <v>5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1.0000000000000018</v>
      </c>
      <c r="AN4" s="77"/>
      <c r="AO4" s="94">
        <f t="shared" si="22"/>
        <v>0</v>
      </c>
      <c r="AP4" s="95">
        <f t="shared" si="23"/>
        <v>2</v>
      </c>
      <c r="AQ4" s="77"/>
      <c r="AR4" s="77"/>
      <c r="AS4" s="77"/>
      <c r="AT4" s="63">
        <f t="shared" si="24"/>
        <v>9.5</v>
      </c>
      <c r="AU4" s="78"/>
      <c r="AV4" s="5"/>
      <c r="AW4" s="5"/>
      <c r="AX4" s="5"/>
      <c r="AY4" s="5"/>
      <c r="AZ4" s="24">
        <f>VLOOKUP(C4,Employees!D:I,6,FALSE)</f>
        <v>210528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4.5</v>
      </c>
      <c r="BQ4" s="5">
        <f t="shared" si="41"/>
        <v>0</v>
      </c>
      <c r="BR4" s="5">
        <f t="shared" si="42"/>
        <v>3.4999999999999982</v>
      </c>
      <c r="BS4" s="5">
        <f t="shared" si="43"/>
        <v>1.0000000000000018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5</v>
      </c>
      <c r="CA4" s="5">
        <f t="shared" si="51"/>
        <v>0</v>
      </c>
      <c r="CB4" s="5">
        <f t="shared" si="52"/>
        <v>5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210558</v>
      </c>
      <c r="B5" s="81" t="s">
        <v>1402</v>
      </c>
      <c r="C5" s="85" t="s">
        <v>1511</v>
      </c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>
        <v>0.72916666666666663</v>
      </c>
      <c r="Q5" s="75">
        <v>0.95833333333333337</v>
      </c>
      <c r="R5" s="92">
        <f t="shared" si="13"/>
        <v>5.0000000000000018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5.0000000000000018</v>
      </c>
      <c r="AC5" s="93"/>
      <c r="AD5" s="78"/>
      <c r="AE5" s="94">
        <f t="shared" si="17"/>
        <v>4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1.0000000000000018</v>
      </c>
      <c r="AN5" s="77"/>
      <c r="AO5" s="94">
        <f t="shared" si="22"/>
        <v>0</v>
      </c>
      <c r="AP5" s="95">
        <f t="shared" si="23"/>
        <v>1</v>
      </c>
      <c r="AQ5" s="77"/>
      <c r="AR5" s="77"/>
      <c r="AS5" s="77"/>
      <c r="AT5" s="63">
        <f t="shared" si="24"/>
        <v>5.0000000000000018</v>
      </c>
      <c r="AU5" s="78"/>
      <c r="AV5" s="5"/>
      <c r="AW5" s="5"/>
      <c r="AX5" s="5"/>
      <c r="AY5" s="5"/>
      <c r="AZ5" s="24">
        <f>VLOOKUP(C5,Employees!D:I,6,FALSE)</f>
        <v>210558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5.5000000000000018</v>
      </c>
      <c r="BV5" s="5">
        <f t="shared" si="46"/>
        <v>0.5</v>
      </c>
      <c r="BW5" s="5">
        <f t="shared" si="47"/>
        <v>4</v>
      </c>
      <c r="BX5" s="5">
        <f t="shared" si="48"/>
        <v>1.0000000000000018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1</v>
      </c>
    </row>
    <row r="6" spans="1:89" ht="47" customHeight="1">
      <c r="A6" s="74">
        <f t="shared" si="0"/>
        <v>210533</v>
      </c>
      <c r="B6" s="81" t="s">
        <v>1402</v>
      </c>
      <c r="C6" s="85" t="s">
        <v>1516</v>
      </c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>
        <v>0.47916666666666669</v>
      </c>
      <c r="W6" s="76">
        <v>0.70833333333333337</v>
      </c>
      <c r="X6" s="92">
        <f t="shared" si="15"/>
        <v>5</v>
      </c>
      <c r="Y6" s="92"/>
      <c r="Z6" s="92"/>
      <c r="AA6" s="92"/>
      <c r="AB6" s="96">
        <f t="shared" si="16"/>
        <v>5</v>
      </c>
      <c r="AC6" s="93"/>
      <c r="AD6" s="78"/>
      <c r="AE6" s="94">
        <f t="shared" si="17"/>
        <v>0</v>
      </c>
      <c r="AF6" s="78"/>
      <c r="AG6" s="94">
        <f t="shared" si="18"/>
        <v>0</v>
      </c>
      <c r="AH6" s="78">
        <v>0.5</v>
      </c>
      <c r="AI6" s="94">
        <f t="shared" si="19"/>
        <v>5.5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1</v>
      </c>
      <c r="AQ6" s="77"/>
      <c r="AR6" s="77"/>
      <c r="AS6" s="77"/>
      <c r="AT6" s="63">
        <f t="shared" si="24"/>
        <v>5.5</v>
      </c>
      <c r="AU6" s="78" t="s">
        <v>1519</v>
      </c>
      <c r="AV6" s="5"/>
      <c r="AW6" s="5"/>
      <c r="AX6" s="5"/>
      <c r="AY6" s="5"/>
      <c r="AZ6" s="24">
        <f>VLOOKUP(C6,Employees!D:I,6,FALSE)</f>
        <v>210533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5.5</v>
      </c>
      <c r="CF6" s="5">
        <f t="shared" si="56"/>
        <v>0.5</v>
      </c>
      <c r="CG6" s="5">
        <f t="shared" si="57"/>
        <v>5</v>
      </c>
      <c r="CH6" s="5">
        <f t="shared" si="58"/>
        <v>0</v>
      </c>
      <c r="CI6" s="5">
        <f t="shared" si="59"/>
        <v>0</v>
      </c>
      <c r="CJ6" s="5"/>
      <c r="CK6" s="4">
        <f t="shared" si="8"/>
        <v>1</v>
      </c>
    </row>
    <row r="7" spans="1:89" ht="47" customHeight="1">
      <c r="A7" s="74">
        <f t="shared" si="0"/>
        <v>210557</v>
      </c>
      <c r="B7" s="81" t="s">
        <v>1402</v>
      </c>
      <c r="C7" s="85" t="s">
        <v>1512</v>
      </c>
      <c r="D7" s="76"/>
      <c r="E7" s="76"/>
      <c r="F7" s="92">
        <f t="shared" si="9"/>
        <v>0</v>
      </c>
      <c r="G7" s="76">
        <v>0.6875</v>
      </c>
      <c r="H7" s="76">
        <v>0.89583333333333337</v>
      </c>
      <c r="I7" s="92">
        <f t="shared" si="10"/>
        <v>5.0000000000000009</v>
      </c>
      <c r="J7" s="76">
        <v>0.70833333333333337</v>
      </c>
      <c r="K7" s="76">
        <v>0.89583333333333337</v>
      </c>
      <c r="L7" s="92">
        <f t="shared" si="11"/>
        <v>4.5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9.5</v>
      </c>
      <c r="AC7" s="93"/>
      <c r="AD7" s="78"/>
      <c r="AE7" s="94">
        <f t="shared" si="17"/>
        <v>9.5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2</v>
      </c>
      <c r="AQ7" s="77"/>
      <c r="AR7" s="77"/>
      <c r="AS7" s="77"/>
      <c r="AT7" s="63">
        <f t="shared" si="24"/>
        <v>9.5</v>
      </c>
      <c r="AU7" s="78"/>
      <c r="AV7" s="5"/>
      <c r="AW7" s="5"/>
      <c r="AX7" s="5"/>
      <c r="AY7" s="5"/>
      <c r="AZ7" s="24">
        <f>VLOOKUP(C7,Employees!D:I,6,FALSE)</f>
        <v>210557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5.0000000000000009</v>
      </c>
      <c r="BG7" s="5">
        <f t="shared" si="31"/>
        <v>0</v>
      </c>
      <c r="BH7" s="5">
        <f t="shared" si="32"/>
        <v>5.0000000000000009</v>
      </c>
      <c r="BI7" s="5">
        <f t="shared" si="33"/>
        <v>0</v>
      </c>
      <c r="BJ7" s="5">
        <f t="shared" si="34"/>
        <v>0</v>
      </c>
      <c r="BK7" s="5">
        <f t="shared" si="35"/>
        <v>4.5</v>
      </c>
      <c r="BL7" s="5">
        <f t="shared" si="36"/>
        <v>0</v>
      </c>
      <c r="BM7" s="5">
        <f t="shared" si="37"/>
        <v>4.5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2</v>
      </c>
    </row>
    <row r="8" spans="1:89" ht="47" customHeight="1">
      <c r="A8" s="74">
        <f t="shared" si="0"/>
        <v>210529</v>
      </c>
      <c r="B8" s="81" t="s">
        <v>1402</v>
      </c>
      <c r="C8" s="85" t="s">
        <v>1445</v>
      </c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>
        <v>0.70833333333333337</v>
      </c>
      <c r="W8" s="76">
        <v>0.95833333333333337</v>
      </c>
      <c r="X8" s="92">
        <f t="shared" si="15"/>
        <v>5.5</v>
      </c>
      <c r="Y8" s="92"/>
      <c r="Z8" s="92"/>
      <c r="AA8" s="92"/>
      <c r="AB8" s="96">
        <f t="shared" si="16"/>
        <v>5.5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5.5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1</v>
      </c>
      <c r="AQ8" s="77"/>
      <c r="AR8" s="77"/>
      <c r="AS8" s="77"/>
      <c r="AT8" s="63">
        <f t="shared" si="24"/>
        <v>5.5</v>
      </c>
      <c r="AU8" s="78"/>
      <c r="AV8" s="5"/>
      <c r="AW8" s="5"/>
      <c r="AX8" s="5"/>
      <c r="AY8" s="5"/>
      <c r="AZ8" s="24">
        <f>VLOOKUP(C8,Employees!D:I,6,FALSE)</f>
        <v>210529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6</v>
      </c>
      <c r="CF8" s="5">
        <f t="shared" si="56"/>
        <v>0.5</v>
      </c>
      <c r="CG8" s="5">
        <f t="shared" si="57"/>
        <v>4.4999999999999982</v>
      </c>
      <c r="CH8" s="5">
        <f t="shared" si="58"/>
        <v>1.0000000000000018</v>
      </c>
      <c r="CI8" s="5">
        <f t="shared" si="59"/>
        <v>0</v>
      </c>
      <c r="CJ8" s="5"/>
      <c r="CK8" s="4">
        <f t="shared" si="8"/>
        <v>1</v>
      </c>
    </row>
    <row r="9" spans="1:89" ht="47" customHeight="1">
      <c r="A9" s="74">
        <f t="shared" si="0"/>
        <v>210505</v>
      </c>
      <c r="B9" s="81" t="s">
        <v>1402</v>
      </c>
      <c r="C9" s="85" t="s">
        <v>1381</v>
      </c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>
        <f>VLOOKUP(C9,Employees!D:I,6,FALSE)</f>
        <v>210505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zoomScale="120" zoomScaleNormal="120" workbookViewId="0">
      <selection activeCell="AU1" sqref="AU1:AU104857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10331</v>
      </c>
      <c r="B2" s="28">
        <f ca="1">IF(A2=0,"",_xlfn.NUMBERVALUE(A2))</f>
        <v>10331</v>
      </c>
      <c r="C2" s="28" t="str">
        <f ca="1">IF($A2=0,"",VLOOKUP($B2,Employees!$A:$G,2,FALSE))</f>
        <v>Haoshen</v>
      </c>
      <c r="D2" s="28" t="str">
        <f ca="1">IF($A2=0,"",VLOOKUP($B2,Employees!$A:$G,3,FALSE))</f>
        <v>Luo</v>
      </c>
      <c r="E2" s="26">
        <f ca="1">IF($A2=0,"",VLOOKUP($B2,Employees!$A:$G,5,FALSE))</f>
        <v>36427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SS</v>
      </c>
      <c r="K2" s="13" t="str">
        <f ca="1">IF($A2=0,"",IF(ISNA(VLOOKUP(A2,'Week 1 Roster'!A:C,2,0)),VLOOKUP(A2,'Week 2 Roster'!A:C,2,0),VLOOKUP(A2,'Week 1 Roster'!A:C,2,0)))</f>
        <v>Hotstar Burwood</v>
      </c>
      <c r="L2" s="13" t="str">
        <f ca="1">IF($A2=0,"",VLOOKUP(K2,Stores!A:B,2,0))</f>
        <v>Winlada</v>
      </c>
      <c r="M2" s="14">
        <f t="shared" ref="M2" ca="1" si="0">Y2+AK2</f>
        <v>47</v>
      </c>
      <c r="N2" s="14">
        <f t="shared" ref="N2" ca="1" si="1">Z2+AL2</f>
        <v>11.750000000000004</v>
      </c>
      <c r="O2" s="14">
        <f t="shared" ref="O2" ca="1" si="2">AA2+AM2</f>
        <v>11.500000000000004</v>
      </c>
      <c r="P2" s="14">
        <f t="shared" ref="P2" ca="1" si="3">AB2+AN2</f>
        <v>0</v>
      </c>
      <c r="Q2" s="14">
        <f t="shared" ref="Q2" ca="1" si="4">AC2+AO2</f>
        <v>1.0000000000000018</v>
      </c>
      <c r="R2" s="14">
        <f t="shared" ref="R2:S2" ca="1" si="5">AD2+AP2</f>
        <v>0</v>
      </c>
      <c r="S2" s="28">
        <f t="shared" ca="1" si="5"/>
        <v>12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71.25</v>
      </c>
      <c r="Y2" s="17">
        <f ca="1">IF($A2=0,0,SUMIF('Week 1 Roster'!$AZ:$AZ,$B2,'Week 1 Roster'!$AE:$AE))</f>
        <v>23.5</v>
      </c>
      <c r="Z2" s="17">
        <f ca="1">IF($A2=0,0,SUMIF('Week 1 Roster'!$AZ:$AZ,$B2,'Week 1 Roster'!$AG:$AG))</f>
        <v>5.7500000000000018</v>
      </c>
      <c r="AA2" s="17">
        <f ca="1">IF($A2=0,0,SUMIF('Week 1 Roster'!$AZ:$AZ,$B2,'Week 1 Roster'!$AI:$AI))</f>
        <v>6.5000000000000018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1.0000000000000018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6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36.75</v>
      </c>
      <c r="AK2" s="17">
        <f ca="1">IF($A2=0,0,SUMIF('Week 2 Roster'!$AZ:$AZ,$B2,'Week 2 Roster'!$AE:$AE))</f>
        <v>23.5</v>
      </c>
      <c r="AL2" s="17">
        <f ca="1">IF($A2=0,0,SUMIF('Week 2 Roster'!$AZ:$AZ,$B2,'Week 2 Roster'!$AG:$AG))</f>
        <v>6.0000000000000009</v>
      </c>
      <c r="AM2" s="17">
        <f ca="1">IF($A2=0,0,SUMIF('Week 2 Roster'!$AZ:$AZ,$B2,'Week 2 Roster'!$AI:$AI))</f>
        <v>5.0000000000000009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6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34.5</v>
      </c>
      <c r="AV2" s="17"/>
      <c r="AW2" s="25">
        <f>'Week 1 Roster'!A2</f>
        <v>10331</v>
      </c>
      <c r="AX2" s="25">
        <f>'Week 2 Roster'!A2</f>
        <v>10331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10417</v>
      </c>
      <c r="B3" s="28">
        <f t="shared" ref="B3:B66" ca="1" si="9">IF(A3=0,"",_xlfn.NUMBERVALUE(A3))</f>
        <v>10417</v>
      </c>
      <c r="C3" s="28" t="str">
        <f ca="1">IF($A3=0,"",VLOOKUP($B3,Employees!$A:$G,2,FALSE))</f>
        <v>XinXin</v>
      </c>
      <c r="D3" s="28" t="str">
        <f ca="1">IF($A3=0,"",VLOOKUP($B3,Employees!$A:$G,3,FALSE))</f>
        <v>Liu</v>
      </c>
      <c r="E3" s="26">
        <f ca="1">IF($A3=0,"",VLOOKUP($B3,Employees!$A:$G,5,FALSE))</f>
        <v>37880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Hotstar Burwood</v>
      </c>
      <c r="L3" s="13" t="str">
        <f ca="1">IF($A3=0,"",VLOOKUP(K3,Stores!A:B,2,0))</f>
        <v>Winlada</v>
      </c>
      <c r="M3" s="14">
        <f t="shared" ref="M3:M66" ca="1" si="11">Y3+AK3</f>
        <v>16.499999999999993</v>
      </c>
      <c r="N3" s="14">
        <f t="shared" ref="N3:N66" ca="1" si="12">Z3+AL3</f>
        <v>4.5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4.0000000000000071</v>
      </c>
      <c r="R3" s="14">
        <f t="shared" ref="R3:R66" ca="1" si="16">AD3+AP3</f>
        <v>0</v>
      </c>
      <c r="S3" s="28">
        <f t="shared" ref="S3:S66" ca="1" si="17">AE3+AQ3</f>
        <v>5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25</v>
      </c>
      <c r="Y3" s="17">
        <f ca="1">IF($A3=0,0,SUMIF('Week 1 Roster'!$AZ:$AZ,$B3,'Week 1 Roster'!$AE:$AE))</f>
        <v>7.9999999999999982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2.0000000000000036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2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10.000000000000002</v>
      </c>
      <c r="AK3" s="17">
        <f ca="1">IF($A3=0,0,SUMIF('Week 2 Roster'!$AZ:$AZ,$B3,'Week 2 Roster'!$AE:$AE))</f>
        <v>8.4999999999999964</v>
      </c>
      <c r="AL3" s="17">
        <f ca="1">IF($A3=0,0,SUMIF('Week 2 Roster'!$AZ:$AZ,$B3,'Week 2 Roster'!$AG:$AG))</f>
        <v>4.5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2.0000000000000036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3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15</v>
      </c>
      <c r="AV3" s="17"/>
      <c r="AW3" s="25">
        <f>'Week 1 Roster'!A3</f>
        <v>10417</v>
      </c>
      <c r="AX3" s="25">
        <f>'Week 2 Roster'!A3</f>
        <v>10417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210528</v>
      </c>
      <c r="B4" s="28">
        <f t="shared" ca="1" si="9"/>
        <v>210528</v>
      </c>
      <c r="C4" s="28" t="str">
        <f ca="1">IF($A4=0,"",VLOOKUP($B4,Employees!$A:$G,2,FALSE))</f>
        <v>Di</v>
      </c>
      <c r="D4" s="28" t="str">
        <f ca="1">IF($A4=0,"",VLOOKUP($B4,Employees!$A:$G,3,FALSE))</f>
        <v>Zhu</v>
      </c>
      <c r="E4" s="26">
        <f ca="1">IF($A4=0,"",VLOOKUP($B4,Employees!$A:$G,5,FALSE))</f>
        <v>35518</v>
      </c>
      <c r="F4" s="13">
        <f ca="1">IF($E4="","",ROUNDDOWN(YEARFRAC($E4, 'Week 1 Roster'!$D$1-1, 1), 0))</f>
        <v>28</v>
      </c>
      <c r="G4" s="13">
        <f ca="1">IF($E4="","",ROUNDDOWN(YEARFRAC($E4, 'Week 1 Roster'!$D$1+14, 1), 0))</f>
        <v>28</v>
      </c>
      <c r="H4" s="13" t="b">
        <f t="shared" ca="1" si="10"/>
        <v>0</v>
      </c>
      <c r="I4" s="13">
        <f ca="1">IF($A4=0,"",VLOOKUP($B4,Employees!$A:$G,6,FALSE))</f>
        <v>48</v>
      </c>
      <c r="J4" s="13" t="str">
        <f ca="1">IF($A4=0,"",VLOOKUP($B4,Employees!$A:$G,7,FALSE))</f>
        <v>Win</v>
      </c>
      <c r="K4" s="13" t="str">
        <f ca="1">IF($A4=0,"",IF(ISNA(VLOOKUP(A4,'Week 1 Roster'!A:C,2,0)),VLOOKUP(A4,'Week 2 Roster'!A:C,2,0),VLOOKUP(A4,'Week 1 Roster'!A:C,2,0)))</f>
        <v>Hotstar Burwood</v>
      </c>
      <c r="L4" s="13" t="str">
        <f ca="1">IF($A4=0,"",VLOOKUP(K4,Stores!A:B,2,0))</f>
        <v>Winlada</v>
      </c>
      <c r="M4" s="14">
        <f t="shared" ca="1" si="11"/>
        <v>3.4999999999999982</v>
      </c>
      <c r="N4" s="14">
        <f t="shared" ca="1" si="12"/>
        <v>10.249999999999998</v>
      </c>
      <c r="O4" s="14">
        <f t="shared" ca="1" si="13"/>
        <v>0</v>
      </c>
      <c r="P4" s="14">
        <f t="shared" ca="1" si="14"/>
        <v>0</v>
      </c>
      <c r="Q4" s="14">
        <f t="shared" ca="1" si="15"/>
        <v>1.0000000000000018</v>
      </c>
      <c r="R4" s="14">
        <f t="shared" ca="1" si="16"/>
        <v>0</v>
      </c>
      <c r="S4" s="28">
        <f t="shared" ca="1" si="17"/>
        <v>3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14.749999999999998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5.2499999999999982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5.2499999999999982</v>
      </c>
      <c r="AK4" s="17">
        <f ca="1">IF($A4=0,0,SUMIF('Week 2 Roster'!$AZ:$AZ,$B4,'Week 2 Roster'!$AE:$AE))</f>
        <v>3.4999999999999982</v>
      </c>
      <c r="AL4" s="17">
        <f ca="1">IF($A4=0,0,SUMIF('Week 2 Roster'!$AZ:$AZ,$B4,'Week 2 Roster'!$AG:$AG))</f>
        <v>5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1.0000000000000018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9.5</v>
      </c>
      <c r="AV4" s="17"/>
      <c r="AW4" s="25">
        <f>'Week 1 Roster'!A4</f>
        <v>210528</v>
      </c>
      <c r="AX4" s="25">
        <f>'Week 2 Roster'!A4</f>
        <v>210528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210533</v>
      </c>
      <c r="B5" s="28">
        <f t="shared" ca="1" si="9"/>
        <v>210533</v>
      </c>
      <c r="C5" s="28" t="str">
        <f ca="1">IF($A5=0,"",VLOOKUP($B5,Employees!$A:$G,2,FALSE))</f>
        <v>MING</v>
      </c>
      <c r="D5" s="28" t="str">
        <f ca="1">IF($A5=0,"",VLOOKUP($B5,Employees!$A:$G,3,FALSE))</f>
        <v>HOU</v>
      </c>
      <c r="E5" s="26">
        <f ca="1">IF($A5=0,"",VLOOKUP($B5,Employees!$A:$G,5,FALSE))</f>
        <v>35573</v>
      </c>
      <c r="F5" s="13">
        <f ca="1">IF($E5="","",ROUNDDOWN(YEARFRAC($E5, 'Week 1 Roster'!$D$1-1, 1), 0))</f>
        <v>28</v>
      </c>
      <c r="G5" s="13">
        <f ca="1">IF($E5="","",ROUNDDOWN(YEARFRAC($E5, 'Week 1 Roster'!$D$1+14, 1), 0))</f>
        <v>28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Win</v>
      </c>
      <c r="K5" s="13" t="str">
        <f ca="1">IF($A5=0,"",IF(ISNA(VLOOKUP(A5,'Week 1 Roster'!A:C,2,0)),VLOOKUP(A5,'Week 2 Roster'!A:C,2,0),VLOOKUP(A5,'Week 1 Roster'!A:C,2,0)))</f>
        <v>Hotstar Burwood</v>
      </c>
      <c r="L5" s="13" t="str">
        <f ca="1">IF($A5=0,"",VLOOKUP(K5,Stores!A:B,2,0))</f>
        <v>Winlada</v>
      </c>
      <c r="M5" s="14">
        <f t="shared" ca="1" si="11"/>
        <v>5.0000000000000009</v>
      </c>
      <c r="N5" s="14">
        <f t="shared" ca="1" si="12"/>
        <v>0</v>
      </c>
      <c r="O5" s="14">
        <f t="shared" ca="1" si="13"/>
        <v>9.9999999999999982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3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15</v>
      </c>
      <c r="Y5" s="17">
        <f ca="1">IF($A5=0,0,SUMIF('Week 1 Roster'!$AZ:$AZ,$B5,'Week 1 Roster'!$AE:$AE))</f>
        <v>5.0000000000000009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4.4999999999999982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9.5</v>
      </c>
      <c r="AK5" s="17">
        <f ca="1">IF($A5=0,0,SUMIF('Week 2 Roster'!$AZ:$AZ,$B5,'Week 2 Roster'!$AE:$AE))</f>
        <v>0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5.5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1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5.5</v>
      </c>
      <c r="AV5" s="17"/>
      <c r="AW5" s="25">
        <f>'Week 1 Roster'!A5</f>
        <v>210533</v>
      </c>
      <c r="AX5" s="25">
        <f>'Week 2 Roster'!A5</f>
        <v>210558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210558</v>
      </c>
      <c r="B6" s="28">
        <f t="shared" ca="1" si="9"/>
        <v>210558</v>
      </c>
      <c r="C6" s="28" t="str">
        <f ca="1">IF($A6=0,"",VLOOKUP($B6,Employees!$A:$G,2,FALSE))</f>
        <v>FukMan</v>
      </c>
      <c r="D6" s="28" t="str">
        <f ca="1">IF($A6=0,"",VLOOKUP($B6,Employees!$A:$G,3,FALSE))</f>
        <v>Zou</v>
      </c>
      <c r="E6" s="26">
        <f ca="1">IF($A6=0,"",VLOOKUP($B6,Employees!$A:$G,5,FALSE))</f>
        <v>39286</v>
      </c>
      <c r="F6" s="13">
        <f ca="1">IF($E6="","",ROUNDDOWN(YEARFRAC($E6, 'Week 1 Roster'!$D$1-1, 1), 0))</f>
        <v>18</v>
      </c>
      <c r="G6" s="13">
        <f ca="1">IF($E6="","",ROUNDDOWN(YEARFRAC($E6, 'Week 1 Roster'!$D$1+14, 1), 0))</f>
        <v>18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Hotstar Burwood</v>
      </c>
      <c r="L6" s="13" t="str">
        <f ca="1">IF($A6=0,"",VLOOKUP(K6,Stores!A:B,2,0))</f>
        <v>Winlada</v>
      </c>
      <c r="M6" s="14">
        <f t="shared" ca="1" si="11"/>
        <v>8.4999999999999982</v>
      </c>
      <c r="N6" s="14">
        <f t="shared" ca="1" si="12"/>
        <v>5.0000000000000009</v>
      </c>
      <c r="O6" s="14">
        <f t="shared" ca="1" si="13"/>
        <v>0</v>
      </c>
      <c r="P6" s="14">
        <f t="shared" ca="1" si="14"/>
        <v>0</v>
      </c>
      <c r="Q6" s="14">
        <f t="shared" ca="1" si="15"/>
        <v>2.0000000000000036</v>
      </c>
      <c r="R6" s="14">
        <f t="shared" ca="1" si="16"/>
        <v>0</v>
      </c>
      <c r="S6" s="28">
        <f t="shared" ca="1" si="17"/>
        <v>3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15.500000000000004</v>
      </c>
      <c r="Y6" s="17">
        <f ca="1">IF($A6=0,0,SUMIF('Week 1 Roster'!$AZ:$AZ,$B6,'Week 1 Roster'!$AE:$AE))</f>
        <v>4.4999999999999982</v>
      </c>
      <c r="Z6" s="17">
        <f ca="1">IF($A6=0,0,SUMIF('Week 1 Roster'!$AZ:$AZ,$B6,'Week 1 Roster'!$AG:$AG))</f>
        <v>5.0000000000000009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1.0000000000000018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10.500000000000002</v>
      </c>
      <c r="AK6" s="17">
        <f ca="1">IF($A6=0,0,SUMIF('Week 2 Roster'!$AZ:$AZ,$B6,'Week 2 Roster'!$AE:$AE))</f>
        <v>4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1.0000000000000018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5.0000000000000018</v>
      </c>
      <c r="AV6" s="17"/>
      <c r="AW6" s="25">
        <f>'Week 1 Roster'!A6</f>
        <v>210557</v>
      </c>
      <c r="AX6" s="25">
        <f>'Week 2 Roster'!A6</f>
        <v>210533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210557</v>
      </c>
      <c r="B7" s="28">
        <f t="shared" ca="1" si="9"/>
        <v>210557</v>
      </c>
      <c r="C7" s="28" t="str">
        <f ca="1">IF($A7=0,"",VLOOKUP($B7,Employees!$A:$G,2,FALSE))</f>
        <v>Zimo</v>
      </c>
      <c r="D7" s="28" t="str">
        <f ca="1">IF($A7=0,"",VLOOKUP($B7,Employees!$A:$G,3,FALSE))</f>
        <v>Zhang</v>
      </c>
      <c r="E7" s="26">
        <f ca="1">IF($A7=0,"",VLOOKUP($B7,Employees!$A:$G,5,FALSE))</f>
        <v>39172</v>
      </c>
      <c r="F7" s="13">
        <f ca="1">IF($E7="","",ROUNDDOWN(YEARFRAC($E7, 'Week 1 Roster'!$D$1-1, 1), 0))</f>
        <v>18</v>
      </c>
      <c r="G7" s="13">
        <f ca="1">IF($E7="","",ROUNDDOWN(YEARFRAC($E7, 'Week 1 Roster'!$D$1+14, 1), 0))</f>
        <v>18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Win</v>
      </c>
      <c r="K7" s="13" t="str">
        <f ca="1">IF($A7=0,"",IF(ISNA(VLOOKUP(A7,'Week 1 Roster'!A:C,2,0)),VLOOKUP(A7,'Week 2 Roster'!A:C,2,0),VLOOKUP(A7,'Week 1 Roster'!A:C,2,0)))</f>
        <v>Hotstar Burwood</v>
      </c>
      <c r="L7" s="13" t="str">
        <f ca="1">IF($A7=0,"",VLOOKUP(K7,Stores!A:B,2,0))</f>
        <v>Winlada</v>
      </c>
      <c r="M7" s="14">
        <f t="shared" ca="1" si="11"/>
        <v>19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4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19</v>
      </c>
      <c r="Y7" s="17">
        <f ca="1">IF($A7=0,0,SUMIF('Week 1 Roster'!$AZ:$AZ,$B7,'Week 1 Roster'!$AE:$AE))</f>
        <v>9.5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9.5</v>
      </c>
      <c r="AK7" s="17">
        <f ca="1">IF($A7=0,0,SUMIF('Week 2 Roster'!$AZ:$AZ,$B7,'Week 2 Roster'!$AE:$AE))</f>
        <v>9.5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2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9.5</v>
      </c>
      <c r="AV7" s="17"/>
      <c r="AW7" s="25">
        <f>'Week 1 Roster'!A7</f>
        <v>210529</v>
      </c>
      <c r="AX7" s="25">
        <f>'Week 2 Roster'!A7</f>
        <v>210557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210529</v>
      </c>
      <c r="B8" s="28">
        <f t="shared" ca="1" si="9"/>
        <v>210529</v>
      </c>
      <c r="C8" s="28" t="str">
        <f ca="1">IF($A8=0,"",VLOOKUP($B8,Employees!$A:$G,2,FALSE))</f>
        <v>JUNLIN</v>
      </c>
      <c r="D8" s="28" t="str">
        <f ca="1">IF($A8=0,"",VLOOKUP($B8,Employees!$A:$G,3,FALSE))</f>
        <v>WU</v>
      </c>
      <c r="E8" s="26">
        <f ca="1">IF($A8=0,"",VLOOKUP($B8,Employees!$A:$G,5,FALSE))</f>
        <v>36108</v>
      </c>
      <c r="F8" s="13">
        <f ca="1">IF($E8="","",ROUNDDOWN(YEARFRAC($E8, 'Week 1 Roster'!$D$1-1, 1), 0))</f>
        <v>27</v>
      </c>
      <c r="G8" s="13">
        <f ca="1">IF($E8="","",ROUNDDOWN(YEARFRAC($E8, 'Week 1 Roster'!$D$1+14, 1), 0))</f>
        <v>27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Hotstar Burwood</v>
      </c>
      <c r="L8" s="13" t="str">
        <f ca="1">IF($A8=0,"",VLOOKUP(K8,Stores!A:B,2,0))</f>
        <v>Winlada</v>
      </c>
      <c r="M8" s="14">
        <f t="shared" ca="1" si="11"/>
        <v>5</v>
      </c>
      <c r="N8" s="14">
        <f t="shared" ca="1" si="12"/>
        <v>0</v>
      </c>
      <c r="O8" s="14">
        <f t="shared" ca="1" si="13"/>
        <v>10.5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3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15.5</v>
      </c>
      <c r="Y8" s="17">
        <f ca="1">IF($A8=0,0,SUMIF('Week 1 Roster'!$AZ:$AZ,$B8,'Week 1 Roster'!$AE:$AE))</f>
        <v>5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5.0000000000000009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5.5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5.5</v>
      </c>
      <c r="AV8" s="17"/>
      <c r="AW8" s="25">
        <f>'Week 1 Roster'!A8</f>
        <v>210558</v>
      </c>
      <c r="AX8" s="25">
        <f>'Week 2 Roster'!A8</f>
        <v>210529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210505</v>
      </c>
      <c r="B9" s="28">
        <f t="shared" ca="1" si="9"/>
        <v>210505</v>
      </c>
      <c r="C9" s="28" t="str">
        <f ca="1">IF($A9=0,"",VLOOKUP($B9,Employees!$A:$G,2,FALSE))</f>
        <v>Yingyin</v>
      </c>
      <c r="D9" s="28" t="str">
        <f ca="1">IF($A9=0,"",VLOOKUP($B9,Employees!$A:$G,3,FALSE))</f>
        <v>Zhang</v>
      </c>
      <c r="E9" s="26">
        <f ca="1">IF($A9=0,"",VLOOKUP($B9,Employees!$A:$G,5,FALSE))</f>
        <v>36243</v>
      </c>
      <c r="F9" s="13">
        <f ca="1">IF($E9="","",ROUNDDOWN(YEARFRAC($E9, 'Week 1 Roster'!$D$1-1, 1), 0))</f>
        <v>26</v>
      </c>
      <c r="G9" s="13">
        <f ca="1">IF($E9="","",ROUNDDOWN(YEARFRAC($E9, 'Week 1 Roster'!$D$1+14, 1), 0))</f>
        <v>26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Hotstar Burwood</v>
      </c>
      <c r="L9" s="13" t="str">
        <f ca="1">IF($A9=0,"",VLOOKUP(K9,Stores!A:B,2,0))</f>
        <v>Winlada</v>
      </c>
      <c r="M9" s="14">
        <f t="shared" ca="1" si="11"/>
        <v>5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1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5</v>
      </c>
      <c r="Y9" s="17">
        <f ca="1">IF($A9=0,0,SUMIF('Week 1 Roster'!$AZ:$AZ,$B9,'Week 1 Roster'!$AE:$AE))</f>
        <v>5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5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210505</v>
      </c>
      <c r="AX9" s="25">
        <f>'Week 2 Roster'!A9</f>
        <v>210505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49" zoomScale="186" zoomScaleNormal="186" workbookViewId="0">
      <selection activeCell="D564" sqref="D564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48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/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1376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3" t="s">
        <v>123</v>
      </c>
      <c r="D551" s="103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A557" s="2">
        <v>210556</v>
      </c>
      <c r="B557" s="67" t="s">
        <v>1508</v>
      </c>
      <c r="C557" s="67" t="s">
        <v>1509</v>
      </c>
      <c r="D557" s="67" t="s">
        <v>1510</v>
      </c>
      <c r="E557" s="79">
        <v>39273</v>
      </c>
      <c r="F557" s="32">
        <v>48</v>
      </c>
      <c r="G557" s="39" t="s">
        <v>1376</v>
      </c>
      <c r="I557" s="12">
        <f t="shared" si="9"/>
        <v>210556</v>
      </c>
    </row>
    <row r="558" spans="1:9">
      <c r="A558" s="2">
        <v>210557</v>
      </c>
      <c r="B558" s="67" t="s">
        <v>1513</v>
      </c>
      <c r="C558" s="67" t="s">
        <v>319</v>
      </c>
      <c r="D558" s="67" t="s">
        <v>1512</v>
      </c>
      <c r="E558" s="79">
        <v>39172</v>
      </c>
      <c r="F558" s="32">
        <v>48</v>
      </c>
      <c r="G558" s="39" t="s">
        <v>1376</v>
      </c>
      <c r="I558" s="12">
        <f t="shared" si="9"/>
        <v>210557</v>
      </c>
    </row>
    <row r="559" spans="1:9">
      <c r="A559" s="2">
        <v>210558</v>
      </c>
      <c r="B559" s="67" t="s">
        <v>1514</v>
      </c>
      <c r="C559" s="67" t="s">
        <v>1515</v>
      </c>
      <c r="D559" s="67" t="s">
        <v>1511</v>
      </c>
      <c r="E559" s="79">
        <v>39286</v>
      </c>
      <c r="F559" s="32">
        <v>48</v>
      </c>
      <c r="G559" s="39" t="s">
        <v>1376</v>
      </c>
      <c r="I559" s="12">
        <f t="shared" si="9"/>
        <v>210558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2026-02-02T03:21:25Z</dcterms:modified>
</cp:coreProperties>
</file>