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8_{71D0FE73-FED0-F947-BC30-15DD486EE45B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I3" i="12"/>
  <c r="E3" i="12"/>
  <c r="G3" i="12" s="1"/>
  <c r="AR3" i="12"/>
  <c r="J3" i="12"/>
  <c r="AG3" i="12"/>
  <c r="AH3" i="12"/>
  <c r="A4" i="12" a="1"/>
  <c r="C3" i="12" l="1"/>
  <c r="AS3" i="12"/>
  <c r="AF3" i="12"/>
  <c r="T3" i="12" s="1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U3" i="12"/>
  <c r="F3" i="12"/>
  <c r="H3" i="12" s="1"/>
  <c r="A4" i="12"/>
  <c r="S3" i="12" l="1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P168" i="12" l="1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<sst xmlns="http://schemas.openxmlformats.org/spreadsheetml/2006/main" count="2559" uniqueCount="1519">
  <si>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</si>
  <si>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</si>
  <si>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</si>
  <si>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</si>
  <si>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</si>
  <si>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</si>
  <si>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</si>
  <si>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</si>
  <si>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</si>
  <si>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</si>
  <si>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</si>
  <si>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</si>
  <si>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</si>
  <si>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</si>
  <si>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</si>
  <si>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</si>
  <si>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</si>
  <si>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</si>
  <si>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</si>
  <si>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</si>
  <si>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</si>
  <si>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</si>
  <si>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</si>
  <si>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</si>
  <si>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</si>
  <si>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</si>
  <si>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</si>
  <si>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</si>
  <si>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</si>
  <si>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</si>
  <si>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</si>
  <si>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</si>
  <si>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</si>
  <si>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</si>
  <si>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</si>
  <si>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</si>
  <si>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</si>
  <si>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</si>
  <si>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</si>
  <si>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</si>
  <si>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</si>
  <si>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</si>
  <si>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</si>
  <si>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</si>
  <si>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</si>
  <si>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</si>
  <si>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</si>
  <si>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</si>
  <si>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</si>
  <si>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</si>
  <si>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</si>
  <si>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</si>
  <si>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</si>
  <si>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</si>
  <si>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</si>
  <si>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</si>
  <si>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</si>
  <si>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</si>
  <si>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</si>
  <si>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</si>
  <si>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</si>
  <si>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</si>
  <si>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</si>
  <si>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</si>
  <si>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</si>
  <si>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</si>
  <si>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</si>
  <si>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</si>
  <si>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</si>
  <si>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</si>
  <si>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</si>
  <si>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</si>
  <si>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</si>
  <si>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</si>
  <si>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</si>
  <si>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</si>
  <si>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</si>
  <si>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</si>
  <si>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</si>
  <si>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</si>
  <si>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</si>
  <si>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</si>
  <si>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</si>
  <si>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</si>
  <si>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</si>
  <si>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</si>
  <si>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</si>
  <si>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</si>
  <si>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</si>
  <si>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</si>
  <si>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</si>
  <si>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</si>
  <si>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</si>
  <si>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</si>
  <si>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</si>
  <si>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</si>
  <si>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</si>
  <si>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</si>
  <si>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</si>
  <si>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</si>
  <si>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</si>
  <si>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</si>
  <si>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</si>
  <si>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</si>
  <si>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</si>
  <si>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</si>
  <si>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</si>
  <si>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</si>
  <si>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</si>
  <si>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</si>
  <si>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</si>
  <si>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</si>
  <si>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</si>
  <si>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</si>
  <si>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</si>
  <si>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</si>
  <si>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</si>
  <si>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</si>
  <si>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</si>
  <si>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</si>
  <si>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</si>
  <si>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</si>
  <si>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</si>
  <si>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</si>
  <si>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</si>
  <si>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</si>
  <si>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</si>
  <si>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</si>
  <si>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</si>
  <si>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</si>
  <si>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</si>
  <si>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</si>
  <si>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</si>
  <si>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</si>
  <si>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</si>
  <si>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</si>
  <si>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</si>
  <si>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</si>
  <si>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</si>
  <si>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</si>
  <si>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</si>
  <si>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</si>
  <si>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</si>
  <si>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</si>
  <si>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</si>
  <si>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</si>
  <si>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</si>
  <si>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</si>
  <si>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</si>
  <si>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</si>
  <si>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</si>
  <si>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</si>
  <si>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</si>
  <si>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</si>
  <si>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</si>
  <si>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</si>
  <si>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</si>
  <si>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</si>
  <si>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</si>
  <si>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</si>
  <si>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</si>
  <si>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</si>
  <si>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</si>
  <si>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</si>
  <si>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</si>
  <si>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</si>
  <si>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</si>
  <si>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</si>
  <si>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</si>
  <si>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</si>
  <si>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</si>
  <si>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</si>
  <si>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</si>
  <si>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</si>
  <si>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</si>
  <si>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</si>
  <si>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</si>
  <si>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</si>
  <si>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</si>
  <si>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</si>
  <si>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</si>
  <si>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</si>
  <si>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</si>
  <si>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</si>
  <si>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</si>
  <si>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</si>
  <si>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</si>
  <si>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</si>
  <si>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</si>
  <si>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</si>
  <si>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</si>
  <si>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</si>
  <si>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</si>
  <si>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</si>
  <si>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</si>
  <si>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</si>
  <si>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</si>
  <si>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</si>
  <si>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</si>
  <si>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</si>
  <si>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</si>
  <si>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</si>
  <si>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</si>
  <si>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</si>
  <si>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</si>
  <si>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</si>
  <si>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</si>
  <si>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</si>
  <si>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</si>
  <si>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</si>
  <si>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</si>
  <si>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</si>
  <si>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</si>
  <si>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</si>
  <si>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</si>
  <si>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</si>
  <si>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</si>
  <si>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</si>
  <si>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</si>
  <si>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</si>
  <si>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</si>
  <si>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</si>
  <si>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</si>
  <si>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</si>
  <si>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</si>
  <si>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</si>
  <si>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</si>
  <si>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</si>
  <si>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</si>
  <si>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</si>
  <si>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</si>
  <si>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</si>
  <si>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</si>
  <si>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</si>
  <si>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</si>
  <si>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</si>
  <si>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</si>
  <si>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</si>
  <si>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</si>
  <si>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</si>
  <si>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</si>
  <si>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</si>
  <si>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</si>
  <si>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</si>
  <si>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</si>
  <si>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</si>
  <si>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</si>
  <si>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</si>
  <si>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</si>
  <si>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</si>
  <si>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</si>
  <si>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</si>
  <si>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</si>
  <si>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</si>
  <si>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</si>
  <si>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</si>
  <si>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</si>
  <si>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</si>
  <si>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</si>
  <si>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</si>
  <si>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</si>
  <si>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</si>
  <si>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</si>
  <si>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</si>
  <si>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</si>
  <si>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</si>
  <si>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</si>
  <si>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</si>
  <si>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</si>
  <si>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</si>
  <si>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</si>
  <si>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</si>
  <si>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</si>
  <si>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</si>
  <si>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</si>
  <si>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</si>
  <si>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</si>
  <si>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</si>
  <si>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</si>
  <si>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</si>
  <si>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</si>
  <si>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</si>
  <si>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</si>
  <si>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</si>
  <si>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</si>
  <si>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</si>
  <si>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</si>
  <si>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</si>
  <si>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</si>
  <si>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</si>
  <si>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</si>
  <si>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</si>
  <si>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</si>
  <si>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</si>
  <si>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</si>
  <si>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</si>
  <si>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</si>
  <si>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</si>
  <si>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</si>
  <si>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</si>
  <si>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</si>
  <si>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</si>
  <si>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</si>
  <si>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</si>
  <si>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</si>
  <si>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</si>
  <si>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</si>
  <si>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</si>
  <si>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</si>
  <si>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</si>
  <si>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</si>
  <si>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</si>
  <si>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</si>
  <si>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</si>
  <si>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</si>
  <si>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</si>
  <si>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</si>
  <si>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</si>
  <si>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</si>
  <si>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</si>
  <si>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</si>
  <si>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</si>
  <si>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</si>
  <si>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</si>
  <si>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</si>
  <si>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</si>
  <si>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</si>
  <si>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</si>
  <si>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</si>
  <si>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</si>
  <si>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</si>
  <si>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</si>
  <si>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</si>
  <si>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</si>
  <si>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</si>
  <si>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</si>
  <si>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</si>
  <si>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</si>
  <si>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</si>
  <si>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</si>
  <si>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</si>
  <si>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</si>
  <si>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</si>
  <si>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</si>
  <si>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</si>
  <si>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</si>
  <si>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</si>
  <si>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</si>
  <si>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</si>
  <si>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</si>
  <si>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</si>
  <si>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</si>
  <si>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</si>
  <si>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</si>
  <si>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</si>
  <si>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</si>
  <si>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</si>
  <si>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</si>
  <si>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</si>
  <si>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</si>
  <si>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</si>
  <si>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</si>
  <si>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</si>
  <si>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</si>
  <si>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</si>
  <si>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</si>
  <si>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</si>
  <si>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</si>
  <si>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</si>
  <si>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</si>
  <si>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</si>
  <si>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</si>
  <si>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</si>
  <si>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</si>
  <si>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</si>
  <si>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</si>
  <si>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</si>
  <si>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</si>
  <si>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</si>
  <si>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</si>
  <si>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</si>
  <si>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</si>
  <si>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</si>
  <si>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</si>
  <si>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</si>
  <si>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</si>
  <si>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</si>
  <si>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</si>
  <si>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</si>
  <si>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</si>
  <si>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</si>
  <si>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</si>
  <si>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</si>
  <si>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</si>
  <si>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</si>
  <si>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</si>
  <si>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</si>
  <si>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</si>
  <si>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</si>
  <si>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</si>
  <si>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</si>
  <si>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</si>
  <si>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</si>
  <si>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</si>
  <si>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</si>
  <si>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</si>
  <si>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</si>
  <si>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</si>
  <si>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</si>
  <si>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</si>
  <si>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</si>
  <si>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</si>
  <si>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</si>
  <si>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</si>
  <si>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</si>
  <si>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</si>
  <si>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</si>
  <si>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</si>
  <si>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</si>
  <si>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</si>
  <si>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</si>
  <si>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</si>
  <si>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</si>
  <si>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</si>
  <si>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</si>
  <si>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</si>
  <si>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</si>
  <si>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</si>
  <si>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</si>
  <si>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</si>
  <si>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</si>
  <si>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</si>
  <si>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</si>
  <si>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</si>
  <si>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</si>
  <si>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</si>
  <si>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</si>
  <si>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</si>
  <si>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</si>
  <si>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</si>
  <si>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</si>
  <si>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</si>
  <si>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</si>
  <si>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</si>
  <si>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</si>
  <si>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</si>
  <si>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</si>
  <si>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</si>
  <si>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</si>
  <si>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</si>
  <si>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</si>
  <si>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</si>
  <si>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</si>
  <si>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</si>
  <si>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</si>
  <si>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</si>
  <si>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</si>
  <si>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</si>
  <si>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</si>
  <si>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</si>
  <si>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</si>
  <si>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</si>
  <si>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</si>
  <si>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</si>
  <si>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</si>
  <si>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</si>
  <si>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</si>
  <si>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</si>
  <si>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</si>
  <si>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</si>
  <si>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</si>
  <si>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</si>
  <si>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</si>
  <si>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</si>
  <si>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</si>
  <si>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</si>
  <si>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</si>
  <si>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</si>
  <si>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</si>
  <si>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</si>
  <si>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</si>
  <si>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</si>
  <si>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</si>
  <si>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</si>
  <si>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</si>
  <si>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</si>
  <si>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</si>
  <si>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</si>
  <si>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</si>
  <si>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</si>
  <si>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</si>
  <si>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</si>
  <si>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</si>
  <si>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</si>
  <si>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</si>
  <si>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</si>
  <si>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</si>
  <si>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</si>
  <si>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</si>
  <si>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</si>
  <si>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</si>
  <si>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</si>
  <si>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</si>
  <si>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</si>
  <si>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</si>
  <si>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</si>
  <si>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</si>
  <si>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</si>
  <si>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</si>
  <si>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</si>
  <si>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</si>
  <si>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</si>
  <si>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</si>
  <si>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</si>
  <si>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</si>
  <si>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</si>
  <si>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</si>
  <si>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</si>
  <si>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</si>
  <si>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</si>
  <si>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</si>
  <si>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</si>
  <si>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</si>
  <si>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</si>
  <si>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</si>
  <si>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</si>
  <si>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</si>
  <si>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</si>
  <si>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</si>
  <si>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</si>
  <si>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</si>
  <si>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</si>
  <si>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</si>
  <si>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</si>
  <si>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</si>
  <si>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</si>
  <si>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</si>
  <si>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</si>
  <si>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</si>
  <si>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</si>
  <si>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</si>
  <si>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</si>
  <si>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</si>
  <si>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</si>
  <si>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</si>
  <si>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</si>
  <si>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</si>
  <si>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</si>
  <si>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</si>
  <si>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</si>
  <si>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</si>
  <si>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</si>
  <si>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</si>
  <si>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</si>
  <si>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</si>
  <si>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</si>
  <si>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</si>
  <si>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</si>
  <si>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</si>
  <si>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</si>
  <si>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</si>
  <si>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</si>
  <si>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</si>
  <si>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</si>
  <si>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</si>
  <si>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</si>
  <si>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</si>
  <si>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</si>
  <si>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</si>
  <si>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</si>
  <si>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</si>
  <si>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</si>
  <si>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</si>
  <si>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</si>
  <si>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</si>
  <si>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</si>
  <si>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</si>
  <si>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</si>
  <si>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</si>
  <si>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</si>
  <si>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</si>
  <si>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</si>
  <si>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</si>
  <si>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</si>
  <si>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</si>
  <si>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</si>
  <si>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</si>
  <si>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</si>
  <si>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</si>
  <si>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</si>
  <si>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</si>
  <si>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</si>
  <si>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</si>
  <si>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</si>
  <si>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</si>
  <si>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</si>
  <si>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</si>
  <si>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</si>
  <si>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</si>
  <si>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</si>
  <si>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</si>
  <si>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</si>
  <si>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</si>
  <si>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</si>
  <si>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</si>
  <si>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</si>
  <si>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</si>
  <si>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</si>
  <si>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</si>
  <si>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</si>
  <si>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</si>
  <si>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</si>
  <si>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</si>
  <si>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</si>
  <si>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</si>
  <si>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</si>
  <si>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</si>
  <si>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</si>
  <si>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</si>
  <si>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</si>
  <si>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</si>
  <si>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</si>
  <si>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</si>
  <si>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</si>
  <si>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</si>
  <si>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</si>
  <si>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</si>
  <si>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</si>
  <si>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</si>
  <si>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</si>
  <si>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</si>
  <si>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</si>
  <si>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</si>
  <si>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</si>
  <si>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</si>
  <si>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</si>
  <si>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</si>
  <si>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</si>
  <si>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</si>
  <si>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</si>
  <si>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</si>
  <si>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</si>
  <si>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</si>
  <si>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</si>
  <si>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</si>
  <si>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</si>
  <si>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</si>
  <si>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</si>
  <si>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</si>
  <si>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</si>
  <si>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</si>
  <si>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</si>
  <si>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</si>
  <si>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</si>
  <si>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</si>
  <si>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</si>
  <si>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</si>
  <si>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</si>
  <si>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</si>
  <si>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</si>
  <si>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</si>
  <si>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</si>
  <si>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</si>
  <si>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</si>
  <si>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</si>
  <si>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</si>
  <si>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</si>
  <si>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</si>
  <si>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</si>
  <si>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</si>
  <si>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</si>
  <si>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</si>
  <si>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</si>
  <si>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</si>
  <si>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</si>
  <si>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</si>
  <si>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</si>
  <si>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</si>
  <si>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</si>
  <si>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</si>
  <si>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</si>
  <si>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</si>
  <si>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</si>
  <si>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</si>
  <si>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</si>
  <si>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</si>
  <si>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</si>
  <si>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</si>
  <si>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</si>
  <si>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</si>
  <si>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</si>
  <si>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</si>
  <si>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</si>
  <si>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</si>
  <si>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</si>
  <si>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</si>
  <si>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</si>
  <si>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</si>
  <si>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</si>
  <si>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</si>
  <si>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</si>
  <si>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</si>
  <si>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</si>
  <si>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</si>
  <si>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</si>
  <si>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</si>
  <si>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</si>
  <si>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</si>
  <si>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</si>
  <si>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</si>
  <si>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</si>
  <si>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</si>
  <si>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</si>
  <si>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</si>
  <si>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</si>
  <si>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</si>
  <si>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</si>
  <si>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</si>
  <si>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</si>
  <si>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</si>
  <si>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</si>
  <si>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</si>
  <si>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</si>
  <si>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</si>
  <si>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</si>
  <si>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</si>
  <si>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</si>
  <si>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</si>
  <si>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</si>
  <si>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</si>
  <si>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</si>
  <si>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</si>
  <si>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</si>
  <si>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</si>
  <si>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</si>
  <si>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</si>
  <si>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</si>
  <si>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</si>
  <si>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</si>
  <si>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</si>
  <si>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</si>
  <si>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</si>
  <si>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</si>
  <si>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</si>
  <si>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</si>
  <si>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</si>
  <si>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</si>
  <si>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</si>
  <si>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</si>
  <si>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</si>
  <si>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</si>
  <si>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</si>
  <si>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</si>
  <si>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</si>
  <si>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</si>
  <si>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</si>
  <si>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</si>
  <si>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</si>
  <si>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</si>
  <si>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</si>
  <si>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</si>
  <si>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</si>
  <si>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</si>
  <si>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</si>
  <si>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</si>
  <si>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</si>
  <si>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</si>
  <si>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</si>
  <si>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</si>
  <si>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</si>
  <si>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</si>
  <si>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</si>
  <si>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</si>
  <si>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</si>
  <si>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</si>
  <si>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</si>
  <si>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</si>
  <si>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</si>
  <si>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</si>
  <si>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</si>
  <si>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</si>
  <si>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</si>
  <si>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</si>
  <si>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</si>
  <si>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</si>
  <si>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</si>
  <si>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</si>
  <si>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</si>
  <si>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</si>
  <si>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</si>
  <si>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</si>
  <si>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</si>
  <si>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</si>
  <si>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</si>
  <si>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</si>
  <si>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</si>
  <si>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</si>
  <si>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</si>
  <si>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</si>
  <si>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</si>
  <si>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</si>
  <si>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</si>
  <si>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</si>
  <si>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</si>
  <si>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</si>
  <si>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</si>
  <si>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</si>
  <si>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</si>
  <si>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</si>
  <si>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</si>
  <si>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</si>
  <si>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</si>
  <si>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</si>
  <si>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</si>
  <si>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</si>
  <si>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</si>
  <si>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</si>
  <si>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</si>
  <si>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</si>
  <si>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</si>
  <si>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</si>
  <si>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</si>
  <si>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</si>
  <si>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</si>
  <si>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</si>
  <si>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</si>
  <si>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</si>
  <si>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</si>
  <si>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</si>
  <si>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</si>
  <si>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</si>
  <si>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</si>
  <si>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</si>
  <si>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</si>
  <si>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</si>
  <si>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</si>
  <si>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</si>
  <si>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</si>
  <si>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</si>
  <si>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</si>
  <si>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</si>
  <si>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</si>
  <si>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</si>
  <si>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</si>
  <si>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</si>
  <si>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</si>
  <si>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</si>
  <si>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</si>
  <si>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</si>
  <si>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</si>
  <si>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</si>
  <si>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</si>
  <si>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</si>
  <si>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</si>
  <si>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</si>
  <si>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</si>
  <si>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</si>
  <si>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</si>
  <si>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</si>
  <si>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</si>
  <si>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</si>
  <si>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</si>
  <si>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</si>
  <si>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</si>
  <si>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</si>
  <si>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</si>
  <si>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</si>
  <si>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</si>
  <si>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</si>
  <si>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</si>
  <si>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</si>
  <si>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</si>
  <si>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</si>
  <si>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</si>
  <si>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</si>
  <si>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</si>
  <si>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</si>
  <si>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</si>
  <si>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</si>
  <si>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</si>
  <si>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</si>
  <si>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</si>
  <si>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</si>
  <si>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</si>
  <si>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</si>
  <si>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</si>
  <si>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</si>
  <si>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</si>
  <si>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</si>
  <si>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</si>
  <si>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</si>
  <si>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</si>
  <si>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</si>
  <si>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</si>
  <si>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</si>
  <si>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</si>
  <si>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</si>
  <si>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</si>
  <si>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</si>
  <si>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</si>
  <si>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</si>
  <si>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</si>
  <si>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</si>
  <si>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</si>
  <si>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</si>
  <si>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</si>
  <si>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</si>
  <si>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</si>
  <si>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</si>
  <si>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</si>
  <si>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</si>
  <si>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</si>
  <si>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</si>
  <si>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</si>
  <si>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</si>
  <si>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</si>
  <si>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</si>
  <si>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</si>
  <si>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</si>
  <si>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</si>
  <si>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</si>
  <si>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</si>
  <si>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</si>
  <si>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</si>
  <si>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</si>
  <si>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</si>
  <si>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</si>
  <si>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</si>
  <si>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</si>
  <si>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</si>
  <si>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</si>
  <si>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</si>
  <si>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</si>
  <si>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</si>
  <si>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</si>
  <si>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</si>
  <si>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</si>
  <si>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</si>
  <si>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</si>
  <si>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</si>
  <si>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</si>
  <si>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</si>
  <si>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</si>
  <si>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</si>
  <si>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</si>
  <si>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</si>
  <si>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</si>
  <si>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</si>
  <si>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</si>
  <si>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</si>
  <si>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</si>
  <si>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</si>
  <si>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</si>
  <si>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</si>
  <si>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</si>
  <si>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</si>
  <si>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</si>
  <si>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</si>
  <si>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</si>
  <si>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</si>
  <si>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</si>
  <si>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</si>
  <si>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</si>
  <si>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</si>
  <si>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</si>
  <si>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</si>
  <si>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</si>
  <si>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</si>
  <si>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</si>
  <si>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</si>
  <si>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</si>
  <si>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</si>
  <si>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</si>
  <si>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</si>
  <si>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</si>
  <si>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</si>
  <si>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</si>
  <si>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</si>
  <si>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</si>
  <si>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</si>
  <si>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</si>
  <si>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</si>
  <si>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</si>
  <si>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</si>
  <si>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</si>
  <si>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</si>
  <si>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</si>
  <si>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</si>
  <si>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</si>
  <si>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</si>
  <si>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</si>
  <si>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</si>
  <si>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</si>
  <si>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</si>
  <si>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</si>
  <si>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</si>
  <si>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</si>
  <si>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</si>
  <si>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</si>
  <si>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</si>
  <si>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</si>
  <si>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</si>
  <si>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</si>
  <si>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</si>
  <si>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</si>
  <si>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</si>
  <si>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</si>
  <si>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</si>
  <si>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</si>
  <si>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</si>
  <si>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</si>
  <si>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</si>
  <si>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</si>
  <si>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</si>
  <si>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</si>
  <si>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</si>
  <si>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</si>
  <si>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</si>
  <si>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</si>
  <si>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</si>
  <si>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</si>
  <si>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</si>
  <si>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</si>
  <si>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</si>
  <si>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</si>
  <si>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</si>
  <si>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</si>
  <si>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</si>
  <si>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</si>
  <si>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</si>
  <si>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</si>
  <si>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</si>
  <si>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</si>
  <si>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</si>
  <si>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</si>
  <si>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</si>
  <si>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</si>
  <si>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</si>
  <si>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</si>
  <si>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</si>
  <si>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</si>
  <si>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</si>
  <si>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</si>
  <si>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</si>
  <si>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</si>
  <si>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</si>
  <si>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</si>
  <si>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</si>
  <si>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</si>
  <si>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</si>
  <si>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</si>
  <si>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</si>
  <si>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</si>
  <si>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</si>
  <si>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</si>
  <si>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</si>
  <si>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</si>
  <si>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</si>
  <si>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</si>
  <si>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</si>
  <si>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</si>
  <si>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</si>
  <si>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</si>
  <si>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</si>
  <si>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</si>
  <si>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</si>
  <si>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</si>
  <si>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</si>
  <si>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</si>
  <si>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</si>
  <si>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</si>
  <si>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</si>
  <si>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</si>
  <si>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</si>
  <si>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</si>
  <si>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</si>
  <si>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</si>
  <si>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</si>
  <si>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</si>
  <si>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</si>
  <si>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</si>
  <si>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</si>
  <si>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</si>
  <si>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</si>
  <si>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</si>
  <si>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</si>
  <si>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</si>
  <si>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</si>
  <si>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</si>
  <si>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</si>
  <si>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</si>
  <si>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</si>
  <si>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</si>
  <si>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</si>
  <si>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</si>
  <si>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</si>
  <si>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</si>
  <si>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</si>
  <si>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</si>
  <si>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</si>
  <si>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</si>
  <si>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</si>
  <si>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</si>
  <si>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</si>
  <si>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</si>
  <si>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</si>
  <si>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</si>
  <si>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</si>
  <si>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</si>
  <si>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</si>
  <si>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</si>
  <si>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</si>
  <si>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</si>
  <si>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</si>
  <si>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</si>
  <si>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</si>
  <si>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</si>
  <si>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</si>
  <si>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</si>
  <si>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</si>
  <si>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</si>
  <si>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</si>
  <si>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</si>
  <si>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</si>
  <si>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</si>
  <si>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</si>
  <si>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</si>
  <si>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</si>
  <si>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</si>
  <si>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</si>
  <si>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</si>
  <si>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</si>
  <si>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</si>
  <si>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</si>
  <si>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</si>
  <si>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</si>
  <si>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</si>
  <si>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</si>
  <si>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</si>
  <si>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</si>
  <si>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</si>
  <si>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</si>
  <si>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</si>
  <si>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</si>
  <si>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</si>
  <si>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</si>
  <si>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</si>
  <si>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</si>
  <si>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</si>
  <si>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</si>
  <si>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</si>
  <si>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</si>
  <si>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</si>
  <si>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</si>
  <si>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</si>
  <si>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</si>
  <si>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</si>
  <si>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</si>
  <si>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</si>
  <si>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</si>
  <si>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</si>
  <si>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</si>
  <si>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</si>
  <si>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</si>
  <si>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</si>
  <si>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</si>
  <si>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</si>
  <si>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</si>
  <si>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</si>
  <si>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</si>
  <si>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</si>
  <si>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</si>
  <si>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</si>
  <si>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</si>
  <si>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</si>
  <si>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</si>
  <si>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</si>
  <si>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</si>
  <si>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</si>
  <si>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</si>
  <si>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</si>
  <si>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</si>
  <si>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</si>
  <si>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</si>
  <si>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</si>
  <si>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</si>
  <si>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</si>
  <si>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</si>
  <si>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</si>
  <si>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</si>
  <si>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</si>
  <si>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</si>
  <si>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</si>
  <si>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</si>
  <si>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</si>
  <si>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</si>
  <si>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</si>
  <si>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</si>
  <si>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</si>
  <si>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</si>
  <si>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</si>
  <si>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</si>
  <si>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</si>
  <si>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</si>
  <si>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</si>
  <si>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</si>
  <si>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</si>
  <si>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</si>
  <si>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</si>
  <si>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</si>
  <si>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</si>
  <si>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</si>
  <si>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</si>
  <si>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</si>
  <si>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</si>
  <si>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</si>
  <si>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</si>
  <si>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</si>
  <si>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</si>
  <si>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</si>
  <si>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</si>
  <si>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</si>
  <si>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</si>
  <si>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</si>
  <si>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</si>
  <si>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</si>
  <si>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</si>
  <si>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</si>
  <si>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</si>
  <si>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</si>
  <si>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</si>
  <si>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</si>
  <si>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</si>
  <si>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</si>
  <si>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</si>
  <si>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</si>
  <si>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</si>
  <si>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</si>
  <si>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</si>
  <si>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</si>
  <si>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</si>
  <si>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</si>
  <si>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</si>
  <si>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</si>
  <si>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</si>
  <si>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</si>
  <si>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</si>
  <si>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</si>
  <si>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</si>
  <si>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</si>
  <si>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</si>
  <si>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</si>
  <si>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</si>
  <si>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</si>
  <si>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</si>
  <si>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</si>
  <si>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</si>
  <si>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</si>
  <si>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</si>
  <si>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</si>
  <si>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</si>
  <si>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</si>
  <si>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</si>
  <si>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</si>
  <si>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</si>
  <si>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</si>
  <si>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</si>
  <si>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</si>
  <si>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</si>
  <si>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</si>
  <si>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</si>
  <si>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</si>
  <si>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</si>
  <si>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</si>
  <si>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</si>
  <si>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</si>
  <si>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</si>
  <si>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</si>
  <si>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</si>
  <si>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</si>
  <si>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</si>
  <si>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</si>
  <si>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</si>
  <si>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</si>
  <si>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</si>
  <si>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</si>
  <si>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</si>
  <si>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</si>
  <si>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</si>
  <si>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</si>
  <si>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</si>
  <si>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</si>
  <si>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</si>
  <si>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</si>
  <si>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</si>
  <si>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</si>
  <si>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</si>
  <si>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</si>
  <si>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</si>
  <si>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</si>
  <si>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</si>
  <si>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</si>
  <si>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</si>
  <si>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</si>
  <si>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</si>
  <si>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</si>
  <si>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</si>
  <si>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</si>
  <si>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</si>
  <si>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</si>
  <si>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</si>
  <si>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</si>
  <si>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</si>
  <si>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</si>
  <si>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</si>
  <si>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</si>
  <si>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</si>
  <si>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</si>
  <si>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</si>
  <si>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</si>
  <si>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</si>
  <si>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</si>
  <si>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</si>
  <si>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</si>
  <si>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</si>
  <si>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</si>
  <si>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</si>
  <si>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</si>
  <si>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</si>
  <si>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</si>
  <si>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</si>
  <si>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</si>
  <si>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</si>
  <si>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</si>
  <si>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</si>
  <si>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</si>
  <si>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</si>
  <si>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</si>
  <si>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</si>
  <si>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</si>
  <si>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</si>
  <si>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</si>
  <si>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</si>
  <si>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</si>
  <si>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</si>
  <si>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</si>
  <si>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</si>
  <si>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</si>
  <si>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</si>
  <si>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</si>
  <si>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</si>
  <si>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</si>
  <si>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</si>
  <si>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</si>
  <si>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</si>
  <si>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</si>
  <si>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</si>
  <si>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</si>
  <si>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</si>
  <si>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</si>
  <si>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</si>
  <si>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</si>
  <si>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</si>
  <si>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</si>
  <si>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</si>
  <si>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</si>
  <si>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</si>
  <si>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</si>
  <si>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</si>
  <si>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</si>
  <si>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</si>
  <si>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</si>
  <si>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</si>
  <si>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</si>
  <si>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</si>
  <si>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</si>
  <si>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</si>
  <si>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</si>
  <si>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</si>
  <si>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</si>
  <si>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</si>
  <si>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</si>
  <si>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</si>
  <si>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</si>
  <si>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</si>
  <si>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</si>
  <si>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</si>
  <si>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</si>
  <si>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</si>
  <si>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</si>
  <si>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</si>
  <si>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</si>
  <si>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</si>
  <si>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</si>
  <si>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</si>
  <si>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</si>
  <si>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</si>
  <si>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</si>
  <si>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</si>
  <si>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</si>
  <si>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</si>
  <si>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</si>
  <si>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</si>
  <si>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</si>
  <si>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</si>
  <si>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</si>
  <si>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</si>
  <si>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</si>
  <si>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</si>
  <si>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</si>
  <si>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</si>
  <si>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</si>
  <si>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</si>
  <si>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</si>
  <si>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</si>
  <si>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</si>
  <si>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</si>
  <si>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</si>
  <si>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</si>
  <si>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</si>
  <si>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</si>
  <si>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</si>
  <si>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</si>
  <si>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</si>
  <si>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</si>
  <si>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</si>
  <si>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</si>
  <si>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</si>
  <si>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</si>
  <si>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</si>
  <si>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</si>
  <si>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</si>
  <si>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</si>
  <si>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</si>
  <si>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</si>
  <si>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</si>
  <si>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</si>
  <si>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</si>
  <si>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</si>
  <si>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</si>
  <si>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</si>
  <si>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</si>
  <si>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</si>
  <si>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</si>
  <si>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</si>
  <si>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</si>
  <si>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</si>
  <si>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</si>
  <si>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</si>
  <si>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</si>
  <si>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</si>
  <si>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</si>
  <si>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</si>
  <si>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</si>
  <si>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</si>
  <si>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</si>
  <si>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</si>
  <si>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</si>
  <si>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</si>
  <si>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</si>
  <si>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</si>
  <si>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</si>
  <si>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</si>
  <si>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</si>
  <si>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</si>
  <si>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</si>
  <si>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</si>
  <si>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</si>
  <si>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</si>
  <si>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</si>
  <si>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</si>
  <si>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</si>
  <si>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</si>
  <si>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</si>
  <si>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</si>
  <si>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</si>
  <si>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</si>
  <si>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</si>
  <si>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</si>
  <si>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</si>
  <si>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</si>
  <si>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</si>
  <si>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</si>
  <si>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</si>
  <si>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</si>
  <si>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</si>
  <si>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</si>
  <si>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</si>
  <si>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</si>
  <si>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</si>
  <si>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</si>
  <si>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</si>
  <si>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</si>
  <si>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</si>
  <si>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</si>
  <si>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</si>
  <si>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</si>
  <si>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</si>
  <si>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</si>
  <si>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</si>
  <si>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</si>
  <si>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</si>
  <si>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</si>
  <si>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</si>
  <si>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</si>
  <si>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</si>
  <si>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</si>
  <si>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</si>
  <si>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</si>
  <si>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</si>
  <si>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</si>
  <si>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</si>
  <si>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</si>
  <si>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</si>
  <si>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</si>
  <si>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</si>
  <si>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2hr deposit, 1 hr roster, 0.5 no break friday</t>
  </si>
  <si>
    <t xml:space="preserve">2x deposit 2hr 1 hr roster </t>
  </si>
  <si>
    <t>No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</si>
</sst>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2" fillId="0" borderId="0" xfId="0" applyFont="1" applyAlignment="1" applyProtection="1">
      <alignment horizont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4" fontId="31" fillId="0" borderId="0" xfId="0" applyNumberFormat="1" applyFont="1" applyAlignment="1" applyProtection="1">
      <alignment horizontal="center" vertical="center" wrapText="1"/>
    </xf>
  </cellXfs>
  <cellStyles count="1">
    <cellStyle name="Normal" xfId="0" builtinId="0"/>
  </cellStyles>
  <dxfs count="21">
    <dxf>
      <font>
        <color rgb="FF00B0F0"/>
      </font>
      <fill>
        <patternFill patternType="none"/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10061</v>
      </c>
      <c r="B2" s="81" t="s">
        <v>50</v>
      </c>
      <c r="C2" s="91" t="s">
        <v>73</v>
      </c>
      <c r="D2" s="75">
        <v>0.39583333333333331</v>
      </c>
      <c r="E2" s="75">
        <v>0.75347222222222221</v>
      </c>
      <c r="F2" s="92">
        <f>BA2-BB2</f>
        <v>8.0833333333333339</v>
      </c>
      <c r="G2" s="84">
        <v>0.5854166666666667</v>
      </c>
      <c r="H2" s="84">
        <v>0.89583333333333337</v>
      </c>
      <c r="I2" s="92">
        <f>BF2-BG2</f>
        <v>6.95</v>
      </c>
      <c r="J2" s="84">
        <v>0.7368055555555556</v>
      </c>
      <c r="K2" s="84">
        <v>0.89583333333333337</v>
      </c>
      <c r="L2" s="92">
        <f>BK2-BL2</f>
        <v>3.8166666666666664</v>
      </c>
      <c r="M2" s="84"/>
      <c r="N2" s="84"/>
      <c r="O2" s="92">
        <f>BP2-BQ2</f>
        <v>0</v>
      </c>
      <c r="P2" s="100">
        <v>0.5854166666666667</v>
      </c>
      <c r="Q2" s="84">
        <v>0.89583333333333337</v>
      </c>
      <c r="R2" s="92">
        <f>BU2-BV2</f>
        <v>6.95</v>
      </c>
      <c r="S2" s="84"/>
      <c r="T2" s="84"/>
      <c r="U2" s="92">
        <f>BZ2-CA2</f>
        <v>0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25.8</v>
      </c>
      <c r="AC2" s="93"/>
      <c r="AD2" s="77">
        <v>3.5</v>
      </c>
      <c r="AE2" s="94">
        <f t="shared" ref="AE2:AE40" si="1">SUMIF($BC$1:$CI$1,AE$1,$BC2:$CI2)+AD2</f>
        <v>29.3</v>
      </c>
      <c r="AF2" s="77"/>
      <c r="AG2" s="94">
        <f t="shared" ref="AG2:AG40" si="2">SUMIF($BC$1:$CI$1,AG$1,$BC2:$CI2)+AF2</f>
        <v>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4</v>
      </c>
      <c r="AQ2" s="77"/>
      <c r="AR2" s="77"/>
      <c r="AS2" s="77"/>
      <c r="AT2" s="44">
        <f>AE2+AG2+AI2+AK2+AM2+AO2+SUM(AQ2:AS2)</f>
        <v>29.3</v>
      </c>
      <c r="AU2" s="105" t="s">
        <v>1516</v>
      </c>
      <c r="AV2" s="5"/>
      <c r="AW2" s="5"/>
      <c r="AX2" s="5"/>
      <c r="AY2" s="5"/>
      <c r="AZ2" s="24">
        <f>VLOOKUP(C2,Employees!D:I,6,FALSE)</f>
        <v>10061</v>
      </c>
      <c r="BA2" s="5">
        <f>IF(ISBLANK(D2),0,(E2-D2)*24)</f>
        <v>8.5833333333333339</v>
      </c>
      <c r="BB2" s="5">
        <f>IF(BA2&gt;$AY$1,1,IF(BA2&gt;=$AX$1,0.5,0))</f>
        <v>0.5</v>
      </c>
      <c r="BC2" s="5">
        <f>BA2-BB2-BD2-BE2</f>
        <v>8.0833333333333339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7.45</v>
      </c>
      <c r="BG2" s="5">
        <f>IF(BF2&gt;$AY$1,1,IF(BF2&gt;=$AX$1,0.5,0))</f>
        <v>0.5</v>
      </c>
      <c r="BH2" s="5">
        <f>BF2-BG2-BI2-BJ2</f>
        <v>6.95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3.8166666666666664</v>
      </c>
      <c r="BL2" s="5">
        <f>IF(BK2&gt;$AY$1,1,IF(BK2&gt;=$AX$1,0.5,0))</f>
        <v>0</v>
      </c>
      <c r="BM2" s="5">
        <f>BK2-BL2-BN2-BO2</f>
        <v>3.8166666666666664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7.45</v>
      </c>
      <c r="BV2" s="5">
        <f>IF(BU2&gt;$AY$1,1,IF(BU2&gt;=$AX$1,0.5,0))</f>
        <v>0.5</v>
      </c>
      <c r="BW2" s="5">
        <f>BU2-BV2-BX2-BY2</f>
        <v>6.95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210184</v>
      </c>
      <c r="B3" s="81" t="s">
        <v>50</v>
      </c>
      <c r="C3" s="91" t="s">
        <v>554</v>
      </c>
      <c r="D3" s="100"/>
      <c r="E3" s="84"/>
      <c r="F3" s="92">
        <f t="shared" ref="F3:F69" si="15">BA3-BB3</f>
        <v>0</v>
      </c>
      <c r="G3" s="84"/>
      <c r="H3" s="84"/>
      <c r="I3" s="92">
        <f t="shared" ref="I3:I69" si="16">BF3-BG3</f>
        <v>0</v>
      </c>
      <c r="J3" s="84">
        <v>0.39583333333333331</v>
      </c>
      <c r="K3" s="84">
        <v>0.6694444444444444</v>
      </c>
      <c r="L3" s="92">
        <f t="shared" ref="L3:L69" si="17">BK3-BL3</f>
        <v>6.0666666666666664</v>
      </c>
      <c r="M3" s="75">
        <v>0.58333333333333337</v>
      </c>
      <c r="N3" s="75">
        <v>0.83680555555555558</v>
      </c>
      <c r="O3" s="92">
        <f t="shared" ref="O3:O69" si="18">BP3-BQ3</f>
        <v>5.583333333333333</v>
      </c>
      <c r="P3" s="76"/>
      <c r="Q3" s="75"/>
      <c r="R3" s="92">
        <f t="shared" ref="R3:R69" si="19">BU3-BV3</f>
        <v>0</v>
      </c>
      <c r="S3" s="84"/>
      <c r="T3" s="84"/>
      <c r="U3" s="92">
        <f t="shared" ref="U3:U69" si="20">BZ3-CA3</f>
        <v>0</v>
      </c>
      <c r="V3" s="84"/>
      <c r="W3" s="84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11.649999999999999</v>
      </c>
      <c r="AC3" s="93"/>
      <c r="AD3" s="77"/>
      <c r="AE3" s="94">
        <f t="shared" si="1"/>
        <v>11.649999999999999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11.649999999999999</v>
      </c>
      <c r="AU3" s="78"/>
      <c r="AV3" s="5"/>
      <c r="AW3" s="5"/>
      <c r="AX3" s="5"/>
      <c r="AY3" s="5"/>
      <c r="AZ3" s="24">
        <f>VLOOKUP(C3,Employees!D:I,6,FALSE)</f>
        <v>210184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6.5666666666666664</v>
      </c>
      <c r="BL3" s="5">
        <f t="shared" ref="BL3:BL66" si="35">IF(BK3&gt;$AY$1,1,IF(BK3&gt;=$AX$1,0.5,0))</f>
        <v>0.5</v>
      </c>
      <c r="BM3" s="5">
        <f t="shared" ref="BM3:BM66" si="36">BK3-BL3-BN3-BO3</f>
        <v>6.0666666666666664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6.083333333333333</v>
      </c>
      <c r="BQ3" s="5">
        <f t="shared" ref="BQ3:BQ66" si="40">IF(BP3&gt;$AY$1,1,IF(BP3&gt;=$AX$1,0.5,0))</f>
        <v>0.5</v>
      </c>
      <c r="BR3" s="5">
        <f t="shared" ref="BR3:BR66" si="41">BP3-BQ3-BS3-BT3</f>
        <v>5.583333333333333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10084</v>
      </c>
      <c r="B4" s="81" t="s">
        <v>50</v>
      </c>
      <c r="C4" s="85" t="s">
        <v>139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104"/>
      <c r="K4" s="84"/>
      <c r="L4" s="92">
        <f t="shared" si="17"/>
        <v>0</v>
      </c>
      <c r="M4" s="84"/>
      <c r="N4" s="84"/>
      <c r="O4" s="92">
        <f t="shared" si="18"/>
        <v>0</v>
      </c>
      <c r="P4" s="75"/>
      <c r="Q4" s="75"/>
      <c r="R4" s="92">
        <f t="shared" si="19"/>
        <v>0</v>
      </c>
      <c r="S4" s="75">
        <v>0.62847222222222221</v>
      </c>
      <c r="T4" s="75">
        <v>0.89583333333333337</v>
      </c>
      <c r="U4" s="92">
        <f t="shared" si="20"/>
        <v>5.9166666666666679</v>
      </c>
      <c r="V4" s="84">
        <v>0.39652777777777776</v>
      </c>
      <c r="W4" s="84">
        <v>0.81458333333333333</v>
      </c>
      <c r="X4" s="92">
        <f t="shared" si="21"/>
        <v>9.0333333333333332</v>
      </c>
      <c r="Y4" s="92"/>
      <c r="Z4" s="92"/>
      <c r="AA4" s="92"/>
      <c r="AB4" s="92">
        <f t="shared" si="22"/>
        <v>14.950000000000001</v>
      </c>
      <c r="AC4" s="93"/>
      <c r="AD4" s="77"/>
      <c r="AE4" s="94">
        <f t="shared" si="1"/>
        <v>0</v>
      </c>
      <c r="AF4" s="77"/>
      <c r="AG4" s="94">
        <f t="shared" si="2"/>
        <v>5.9166666666666679</v>
      </c>
      <c r="AH4" s="78"/>
      <c r="AI4" s="94">
        <f t="shared" si="3"/>
        <v>9.0333333333333332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2</v>
      </c>
      <c r="AQ4" s="77"/>
      <c r="AR4" s="77"/>
      <c r="AS4" s="77"/>
      <c r="AT4" s="44">
        <f t="shared" si="24"/>
        <v>14.950000000000001</v>
      </c>
      <c r="AU4" s="78"/>
      <c r="AV4" s="5"/>
      <c r="AW4" s="5"/>
      <c r="AX4" s="5"/>
      <c r="AY4" s="5"/>
      <c r="AZ4" s="24">
        <f>VLOOKUP(C4,Employees!D:I,6,FALSE)</f>
        <v>10084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6.4166666666666679</v>
      </c>
      <c r="CA4" s="5">
        <f t="shared" si="49"/>
        <v>0.5</v>
      </c>
      <c r="CB4" s="5">
        <f t="shared" si="50"/>
        <v>5.9166666666666679</v>
      </c>
      <c r="CC4" s="5">
        <f t="shared" si="51"/>
        <v>0</v>
      </c>
      <c r="CD4" s="5">
        <f t="shared" si="52"/>
        <v>0</v>
      </c>
      <c r="CE4" s="5">
        <f t="shared" si="53"/>
        <v>10.033333333333333</v>
      </c>
      <c r="CF4" s="5">
        <f t="shared" si="54"/>
        <v>1</v>
      </c>
      <c r="CG4" s="5">
        <f t="shared" si="55"/>
        <v>9.0333333333333332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210183</v>
      </c>
      <c r="B5" s="81" t="s">
        <v>50</v>
      </c>
      <c r="C5" s="85" t="s">
        <v>551</v>
      </c>
      <c r="D5" s="75"/>
      <c r="E5" s="75"/>
      <c r="F5" s="92">
        <f t="shared" si="15"/>
        <v>0</v>
      </c>
      <c r="G5" s="75"/>
      <c r="H5" s="75"/>
      <c r="I5" s="92">
        <f t="shared" si="16"/>
        <v>0</v>
      </c>
      <c r="J5" s="84"/>
      <c r="K5" s="84"/>
      <c r="L5" s="92">
        <f t="shared" si="17"/>
        <v>0</v>
      </c>
      <c r="M5" s="75"/>
      <c r="N5" s="75"/>
      <c r="O5" s="92">
        <f t="shared" si="18"/>
        <v>0</v>
      </c>
      <c r="P5" s="75"/>
      <c r="Q5" s="75"/>
      <c r="R5" s="92">
        <f t="shared" si="19"/>
        <v>0</v>
      </c>
      <c r="S5" s="75"/>
      <c r="T5" s="75"/>
      <c r="U5" s="92">
        <f t="shared" si="20"/>
        <v>0</v>
      </c>
      <c r="V5" s="75"/>
      <c r="W5" s="75"/>
      <c r="X5" s="92">
        <f t="shared" si="21"/>
        <v>0</v>
      </c>
      <c r="Y5" s="92"/>
      <c r="Z5" s="92"/>
      <c r="AA5" s="92"/>
      <c r="AB5" s="92">
        <f t="shared" si="22"/>
        <v>0</v>
      </c>
      <c r="AC5" s="93"/>
      <c r="AD5" s="78"/>
      <c r="AE5" s="94">
        <f t="shared" si="1"/>
        <v>0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>
        <f>VLOOKUP(C5,Employees!D:I,6,FALSE)</f>
        <v>210183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10222</v>
      </c>
      <c r="B6" s="81" t="s">
        <v>50</v>
      </c>
      <c r="C6" s="85" t="s">
        <v>647</v>
      </c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75"/>
      <c r="K6" s="75"/>
      <c r="L6" s="92">
        <f t="shared" si="17"/>
        <v>0</v>
      </c>
      <c r="M6" s="75">
        <v>0.39583333333333331</v>
      </c>
      <c r="N6" s="75">
        <v>0.66874999999999996</v>
      </c>
      <c r="O6" s="92">
        <f t="shared" si="18"/>
        <v>6.0499999999999989</v>
      </c>
      <c r="P6" s="75">
        <v>0.39583333333333331</v>
      </c>
      <c r="Q6" s="84">
        <v>0.70972222222222225</v>
      </c>
      <c r="R6" s="92">
        <f t="shared" si="19"/>
        <v>7.033333333333335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13.083333333333334</v>
      </c>
      <c r="AC6" s="93"/>
      <c r="AD6" s="78"/>
      <c r="AE6" s="94">
        <f t="shared" si="1"/>
        <v>13.083333333333334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13.083333333333334</v>
      </c>
      <c r="AU6" s="78"/>
      <c r="AV6" s="5"/>
      <c r="AW6" s="5"/>
      <c r="AX6" s="5"/>
      <c r="AY6" s="5"/>
      <c r="AZ6" s="24">
        <f>VLOOKUP(C6,Employees!D:I,6,FALSE)</f>
        <v>10222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6.5499999999999989</v>
      </c>
      <c r="BQ6" s="5">
        <f t="shared" si="40"/>
        <v>0.5</v>
      </c>
      <c r="BR6" s="5">
        <f t="shared" si="41"/>
        <v>6.0499999999999989</v>
      </c>
      <c r="BS6" s="5">
        <f t="shared" si="42"/>
        <v>0</v>
      </c>
      <c r="BT6" s="5">
        <f t="shared" si="43"/>
        <v>0</v>
      </c>
      <c r="BU6" s="5">
        <f t="shared" si="44"/>
        <v>7.533333333333335</v>
      </c>
      <c r="BV6" s="5">
        <f t="shared" si="45"/>
        <v>0.5</v>
      </c>
      <c r="BW6" s="5">
        <f t="shared" si="46"/>
        <v>7.033333333333335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10081</v>
      </c>
      <c r="B7" s="81" t="s">
        <v>50</v>
      </c>
      <c r="C7" s="103" t="s">
        <v>130</v>
      </c>
      <c r="D7" s="75"/>
      <c r="E7" s="75"/>
      <c r="F7" s="92">
        <f t="shared" si="15"/>
        <v>0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0</v>
      </c>
      <c r="AC7" s="93"/>
      <c r="AD7" s="78"/>
      <c r="AE7" s="94">
        <f t="shared" si="1"/>
        <v>0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>
        <f>VLOOKUP(C7,Employees!D:I,6,FALSE)</f>
        <v>10081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>
        <f t="shared" si="0"/>
        <v>210218</v>
      </c>
      <c r="B8" s="81" t="s">
        <v>50</v>
      </c>
      <c r="C8" s="97" t="s">
        <v>637</v>
      </c>
      <c r="D8" s="75"/>
      <c r="E8" s="75"/>
      <c r="F8" s="92">
        <f t="shared" si="15"/>
        <v>0</v>
      </c>
      <c r="G8" s="75">
        <v>0.39583333333333331</v>
      </c>
      <c r="H8" s="75">
        <v>0.75069444444444444</v>
      </c>
      <c r="I8" s="92">
        <f t="shared" si="16"/>
        <v>8.0166666666666675</v>
      </c>
      <c r="J8" s="76"/>
      <c r="K8" s="75"/>
      <c r="L8" s="92">
        <f t="shared" si="17"/>
        <v>0</v>
      </c>
      <c r="M8" s="75">
        <v>0.70833333333333337</v>
      </c>
      <c r="N8" s="75">
        <v>0.89930555555555558</v>
      </c>
      <c r="O8" s="92">
        <f t="shared" si="18"/>
        <v>4.583333333333333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12.600000000000001</v>
      </c>
      <c r="AC8" s="93"/>
      <c r="AD8" s="78"/>
      <c r="AE8" s="94">
        <f t="shared" si="1"/>
        <v>12.600000000000001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2</v>
      </c>
      <c r="AQ8" s="77"/>
      <c r="AR8" s="77"/>
      <c r="AS8" s="77"/>
      <c r="AT8" s="44">
        <f t="shared" si="24"/>
        <v>12.600000000000001</v>
      </c>
      <c r="AU8" s="78"/>
      <c r="AV8" s="5"/>
      <c r="AW8" s="5"/>
      <c r="AX8" s="5"/>
      <c r="AY8" s="5"/>
      <c r="AZ8" s="24">
        <f>VLOOKUP(C8,Employees!D:I,6,FALSE)</f>
        <v>210218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8.5166666666666675</v>
      </c>
      <c r="BG8" s="5">
        <f t="shared" si="30"/>
        <v>0.5</v>
      </c>
      <c r="BH8" s="5">
        <f t="shared" si="31"/>
        <v>8.0166666666666675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4.583333333333333</v>
      </c>
      <c r="BQ8" s="5">
        <f t="shared" si="40"/>
        <v>0</v>
      </c>
      <c r="BR8" s="5">
        <f t="shared" si="41"/>
        <v>4.583333333333333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210212</v>
      </c>
      <c r="B9" s="81" t="s">
        <v>50</v>
      </c>
      <c r="C9" s="97" t="s">
        <v>622</v>
      </c>
      <c r="D9" s="75">
        <v>0.58819444444444446</v>
      </c>
      <c r="E9" s="75">
        <v>0.88611111111111107</v>
      </c>
      <c r="F9" s="92">
        <f t="shared" si="15"/>
        <v>6.6499999999999986</v>
      </c>
      <c r="G9" s="84"/>
      <c r="H9" s="84"/>
      <c r="I9" s="92">
        <f t="shared" si="16"/>
        <v>0</v>
      </c>
      <c r="J9" s="75">
        <v>0.58402777777777781</v>
      </c>
      <c r="K9" s="75">
        <v>0.79236111111111107</v>
      </c>
      <c r="L9" s="92">
        <f t="shared" si="17"/>
        <v>4.9999999999999982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84"/>
      <c r="W9" s="84"/>
      <c r="X9" s="92">
        <f t="shared" si="21"/>
        <v>0</v>
      </c>
      <c r="Y9" s="92"/>
      <c r="Z9" s="92"/>
      <c r="AA9" s="92"/>
      <c r="AB9" s="92">
        <f t="shared" si="22"/>
        <v>11.649999999999997</v>
      </c>
      <c r="AC9" s="93"/>
      <c r="AD9" s="78"/>
      <c r="AE9" s="94">
        <f t="shared" si="1"/>
        <v>11.649999999999997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2</v>
      </c>
      <c r="AQ9" s="77"/>
      <c r="AR9" s="77"/>
      <c r="AS9" s="77"/>
      <c r="AT9" s="44">
        <f t="shared" si="24"/>
        <v>11.649999999999997</v>
      </c>
      <c r="AU9" s="78"/>
      <c r="AV9" s="5"/>
      <c r="AW9" s="5"/>
      <c r="AX9" s="5"/>
      <c r="AY9" s="5"/>
      <c r="AZ9" s="24">
        <f>VLOOKUP(C9,Employees!D:I,6,FALSE)</f>
        <v>210212</v>
      </c>
      <c r="BA9" s="5">
        <f t="shared" si="25"/>
        <v>7.1499999999999986</v>
      </c>
      <c r="BB9" s="5">
        <f t="shared" si="26"/>
        <v>0.5</v>
      </c>
      <c r="BC9" s="5">
        <f t="shared" si="27"/>
        <v>6.6499999999999986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4.9999999999999982</v>
      </c>
      <c r="BL9" s="5">
        <f t="shared" si="35"/>
        <v>0</v>
      </c>
      <c r="BM9" s="5">
        <f t="shared" si="36"/>
        <v>4.9999999999999982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2</v>
      </c>
    </row>
    <row r="10" spans="1:89" ht="38" customHeight="1">
      <c r="A10" s="74">
        <f t="shared" si="0"/>
        <v>10125</v>
      </c>
      <c r="B10" s="81" t="s">
        <v>50</v>
      </c>
      <c r="C10" s="98" t="s">
        <v>247</v>
      </c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>
        <f>VLOOKUP(C10,Employees!D:I,6,FALSE)</f>
        <v>10125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>
        <f t="shared" si="0"/>
        <v>210437</v>
      </c>
      <c r="B11" s="81" t="s">
        <v>50</v>
      </c>
      <c r="C11" s="98" t="s">
        <v>1193</v>
      </c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>
        <v>0.39583333333333331</v>
      </c>
      <c r="T11" s="75">
        <v>0.66666666666666663</v>
      </c>
      <c r="U11" s="92">
        <f t="shared" si="20"/>
        <v>6</v>
      </c>
      <c r="V11" s="75">
        <v>0.54166666666666663</v>
      </c>
      <c r="W11" s="75">
        <v>0.89097222222222228</v>
      </c>
      <c r="X11" s="92">
        <f t="shared" si="21"/>
        <v>7.8833333333333364</v>
      </c>
      <c r="Y11" s="92"/>
      <c r="Z11" s="92"/>
      <c r="AA11" s="92"/>
      <c r="AB11" s="92">
        <f t="shared" si="22"/>
        <v>13.883333333333336</v>
      </c>
      <c r="AC11" s="93"/>
      <c r="AD11" s="78"/>
      <c r="AE11" s="94">
        <f t="shared" si="1"/>
        <v>0</v>
      </c>
      <c r="AF11" s="77"/>
      <c r="AG11" s="94">
        <f t="shared" si="2"/>
        <v>6</v>
      </c>
      <c r="AH11" s="77"/>
      <c r="AI11" s="94">
        <f t="shared" si="3"/>
        <v>7.8833333333333364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2</v>
      </c>
      <c r="AQ11" s="77"/>
      <c r="AR11" s="77"/>
      <c r="AS11" s="77"/>
      <c r="AT11" s="44">
        <f t="shared" si="24"/>
        <v>13.883333333333336</v>
      </c>
      <c r="AU11" s="78"/>
      <c r="AV11" s="5"/>
      <c r="AW11" s="5"/>
      <c r="AX11" s="5"/>
      <c r="AY11" s="5"/>
      <c r="AZ11" s="24">
        <f>VLOOKUP(C11,Employees!D:I,6,FALSE)</f>
        <v>210437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6.5</v>
      </c>
      <c r="CA11" s="5">
        <f t="shared" si="49"/>
        <v>0.5</v>
      </c>
      <c r="CB11" s="5">
        <f t="shared" si="50"/>
        <v>6</v>
      </c>
      <c r="CC11" s="5">
        <f t="shared" si="51"/>
        <v>0</v>
      </c>
      <c r="CD11" s="5">
        <f t="shared" si="52"/>
        <v>0</v>
      </c>
      <c r="CE11" s="5">
        <f t="shared" si="53"/>
        <v>8.3833333333333364</v>
      </c>
      <c r="CF11" s="5">
        <f t="shared" si="54"/>
        <v>0.5</v>
      </c>
      <c r="CG11" s="5">
        <f t="shared" si="55"/>
        <v>7.8833333333333364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2</v>
      </c>
    </row>
    <row r="12" spans="1:89" ht="38" customHeight="1">
      <c r="A12" s="74">
        <f t="shared" si="0"/>
        <v>210177</v>
      </c>
      <c r="B12" s="81" t="s">
        <v>50</v>
      </c>
      <c r="C12" s="99" t="s">
        <v>533</v>
      </c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>
        <f>VLOOKUP(C12,Employees!D:I,6,FALSE)</f>
        <v>210177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>
        <f t="shared" si="0"/>
        <v>10220</v>
      </c>
      <c r="B13" s="81" t="s">
        <v>50</v>
      </c>
      <c r="C13" s="98" t="s">
        <v>642</v>
      </c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>
        <f>VLOOKUP(C13,Employees!D:I,6,FALSE)</f>
        <v>10220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>
        <f t="shared" si="0"/>
        <v>210547</v>
      </c>
      <c r="B14" s="81" t="s">
        <v>50</v>
      </c>
      <c r="C14" s="97" t="s">
        <v>1491</v>
      </c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>
        <f>VLOOKUP(C14,Employees!D:I,6,FALSE)</f>
        <v>210547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>
        <f t="shared" si="0"/>
        <v>10148</v>
      </c>
      <c r="B15" s="81" t="s">
        <v>50</v>
      </c>
      <c r="C15" s="103" t="s">
        <v>309</v>
      </c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>
        <v>0.54166666666666663</v>
      </c>
      <c r="T15" s="75">
        <v>0.83333333333333337</v>
      </c>
      <c r="U15" s="92">
        <f t="shared" si="20"/>
        <v>6.5000000000000018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6.5000000000000018</v>
      </c>
      <c r="AC15" s="93"/>
      <c r="AD15" s="77"/>
      <c r="AE15" s="94">
        <f t="shared" si="1"/>
        <v>0</v>
      </c>
      <c r="AF15" s="77"/>
      <c r="AG15" s="94">
        <f t="shared" si="2"/>
        <v>6.5000000000000018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1</v>
      </c>
      <c r="AQ15" s="77"/>
      <c r="AR15" s="77"/>
      <c r="AS15" s="77"/>
      <c r="AT15" s="44">
        <f t="shared" si="24"/>
        <v>6.5000000000000018</v>
      </c>
      <c r="AU15" s="77"/>
      <c r="AV15" s="5"/>
      <c r="AW15" s="5"/>
      <c r="AX15" s="5"/>
      <c r="AY15" s="5"/>
      <c r="AZ15" s="24">
        <f>VLOOKUP(C15,Employees!D:I,6,FALSE)</f>
        <v>10148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7.0000000000000018</v>
      </c>
      <c r="CA15" s="5">
        <f t="shared" si="49"/>
        <v>0.5</v>
      </c>
      <c r="CB15" s="5">
        <f t="shared" si="50"/>
        <v>6.5000000000000018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1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0" priority="696" operator="equal">
      <formula>"Pub"</formula>
    </cfRule>
  </conditionalFormatting>
  <conditionalFormatting sqref="F2:F100 I2:I100 L2:L100 O2:O100 R2:R100 U2:U100 X2:AB100 AT2:AT100">
    <cfRule type="cellIs" dxfId="19" priority="698" operator="lessThan">
      <formula>0</formula>
    </cfRule>
    <cfRule type="cellIs" dxfId="18" priority="699" operator="between">
      <formula>3</formula>
      <formula>0.01</formula>
    </cfRule>
    <cfRule type="cellIs" dxfId="17" priority="771" operator="lessThan">
      <formula>SUMIF($C:$C,$C2,F:F)</formula>
    </cfRule>
  </conditionalFormatting>
  <conditionalFormatting sqref="AD2:AD100">
    <cfRule type="notContainsBlanks" dxfId="16" priority="1">
      <formula>LEN(TRIM(AD2))&gt;0</formula>
    </cfRule>
  </conditionalFormatting>
  <conditionalFormatting sqref="AF2:AF100 AJ2:AJ100 AL2:AL100 AN2:AN100 AQ2:AS100">
    <cfRule type="notContainsBlanks" dxfId="15" priority="772">
      <formula>LEN(TRIM(AF2))&gt;0</formula>
    </cfRule>
  </conditionalFormatting>
  <conditionalFormatting sqref="AH2:AH100">
    <cfRule type="notContainsBlanks" dxfId="14" priority="2">
      <formula>LEN(TRIM(AH2))&gt;0</formula>
    </cfRule>
  </conditionalFormatting>
  <conditionalFormatting sqref="AT1">
    <cfRule type="cellIs" dxfId="13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N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10061</v>
      </c>
      <c r="B2" s="81" t="s">
        <v>50</v>
      </c>
      <c r="C2" s="91" t="s">
        <v>73</v>
      </c>
      <c r="D2" s="75">
        <v>0.39583333333333331</v>
      </c>
      <c r="E2" s="75">
        <v>0.625</v>
      </c>
      <c r="F2" s="92">
        <f>BA2-BB2</f>
        <v>5</v>
      </c>
      <c r="G2" s="76">
        <v>0.5854166666666667</v>
      </c>
      <c r="H2" s="75">
        <v>0.89583333333333337</v>
      </c>
      <c r="I2" s="92">
        <f>BF2-BG2</f>
        <v>6.95</v>
      </c>
      <c r="J2" s="75"/>
      <c r="K2" s="76"/>
      <c r="L2" s="92">
        <f>BK2-BL2</f>
        <v>0</v>
      </c>
      <c r="M2" s="75">
        <v>0.70972222222222225</v>
      </c>
      <c r="N2" s="75">
        <v>0.89583333333333337</v>
      </c>
      <c r="O2" s="92">
        <f>BP2-BQ2</f>
        <v>4.4666666666666668</v>
      </c>
      <c r="P2" s="76">
        <v>0.5854166666666667</v>
      </c>
      <c r="Q2" s="76">
        <v>0.8354166666666667</v>
      </c>
      <c r="R2" s="92">
        <f>BU2-BV2</f>
        <v>5.5</v>
      </c>
      <c r="S2" s="75">
        <v>0.54166666666666663</v>
      </c>
      <c r="T2" s="75">
        <v>0.89583333333333337</v>
      </c>
      <c r="U2" s="92">
        <f>BZ2-CA2</f>
        <v>8.0000000000000018</v>
      </c>
      <c r="V2" s="75"/>
      <c r="W2" s="101"/>
      <c r="X2" s="92">
        <f>CE2-CF2</f>
        <v>0</v>
      </c>
      <c r="Y2" s="92"/>
      <c r="Z2" s="92"/>
      <c r="AA2" s="92"/>
      <c r="AB2" s="96">
        <f>SUM(F2,I2,L2,O2,R2,U2,X2)</f>
        <v>29.916666666666664</v>
      </c>
      <c r="AC2" s="93"/>
      <c r="AD2" s="78">
        <v>3</v>
      </c>
      <c r="AE2" s="94">
        <f>SUMIF($BC$1:$CI$1,AE$1,$BC2:$CI2)+AD2</f>
        <v>19.916666666666668</v>
      </c>
      <c r="AF2" s="78"/>
      <c r="AG2" s="94">
        <f>SUMIF($BC$1:$CI$1,AG$1,$BC2:$CI2)+AF2</f>
        <v>8.0000000000000018</v>
      </c>
      <c r="AH2" s="78"/>
      <c r="AI2" s="94">
        <f>SUMIF($BC$1:$CI$1,AI$1,$BC2:$CI2)+AH2</f>
        <v>0</v>
      </c>
      <c r="AJ2" s="77"/>
      <c r="AK2" s="94">
        <f>SUMIF($BC$1:$CI$1,AK$1,$BC2:$CI2)+AJ2</f>
        <v>5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5</v>
      </c>
      <c r="AQ2" s="77"/>
      <c r="AR2" s="77"/>
      <c r="AS2" s="77"/>
      <c r="AT2" s="63">
        <f>AE2+AG2+AI2+AK2+AM2+AO2+SUM(AQ2:AS2)</f>
        <v>32.916666666666671</v>
      </c>
      <c r="AU2" s="78" t="s">
        <v>1517</v>
      </c>
      <c r="AV2" s="5"/>
      <c r="AW2" s="5"/>
      <c r="AX2" s="5"/>
      <c r="AY2" s="5"/>
      <c r="AZ2" s="24">
        <f>VLOOKUP(C2,Employees!D:I,6,FALSE)</f>
        <v>10061</v>
      </c>
      <c r="BA2" s="5">
        <f>IF(ISBLANK(D2),0,(E2-D2)*24)</f>
        <v>5.5</v>
      </c>
      <c r="BB2" s="5">
        <f>IF(BA2&gt;$AY$1,1,IF(BA2&gt;=$AX$1,0.5,0))</f>
        <v>0.5</v>
      </c>
      <c r="BC2" s="5">
        <f>BA2-BB2-BD2-BE2</f>
        <v>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7.45</v>
      </c>
      <c r="BG2" s="5">
        <f>IF(BF2&gt;$AY$1,1,IF(BF2&gt;=$AX$1,0.5,0))</f>
        <v>0.5</v>
      </c>
      <c r="BH2" s="5">
        <f>BF2-BG2-BI2-BJ2</f>
        <v>6.95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4.4666666666666668</v>
      </c>
      <c r="BQ2" s="5">
        <f>IF(BP2&gt;$AY$1,1,IF(BP2&gt;=$AX$1,0.5,0))</f>
        <v>0</v>
      </c>
      <c r="BR2" s="5">
        <f>BP2-BQ2-BS2-BT2</f>
        <v>4.4666666666666668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6</v>
      </c>
      <c r="BV2" s="5">
        <f>IF(BU2&gt;$AY$1,1,IF(BU2&gt;=$AX$1,0.5,0))</f>
        <v>0.5</v>
      </c>
      <c r="BW2" s="5">
        <f>BU2-BV2-BX2-BY2</f>
        <v>5.5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8.5000000000000018</v>
      </c>
      <c r="CA2" s="5">
        <f>IF(BZ2&gt;$AY$1,1,IF(BZ2&gt;=$AX$1,0.5,0))</f>
        <v>0.5</v>
      </c>
      <c r="CB2" s="5">
        <f>BZ2-CA2-CC2-CD2</f>
        <v>8.0000000000000018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210184</v>
      </c>
      <c r="B3" s="81" t="s">
        <v>50</v>
      </c>
      <c r="C3" s="91" t="s">
        <v>554</v>
      </c>
      <c r="D3" s="75"/>
      <c r="E3" s="75"/>
      <c r="F3" s="92">
        <f t="shared" ref="F3:F74" si="9">BA3-BB3</f>
        <v>0</v>
      </c>
      <c r="G3" s="75">
        <v>0.39583333333333331</v>
      </c>
      <c r="H3" s="75">
        <v>0.75138888888888888</v>
      </c>
      <c r="I3" s="92">
        <f t="shared" ref="I3:I74" si="10">BF3-BG3</f>
        <v>8.0333333333333332</v>
      </c>
      <c r="J3" s="75">
        <v>0.39583333333333331</v>
      </c>
      <c r="K3" s="76">
        <v>0.6694444444444444</v>
      </c>
      <c r="L3" s="92">
        <f t="shared" ref="L3:L74" si="11">BK3-BL3</f>
        <v>6.0666666666666664</v>
      </c>
      <c r="M3" s="75"/>
      <c r="N3" s="75"/>
      <c r="O3" s="92">
        <f t="shared" ref="O3:O74" si="12">BP3-BQ3</f>
        <v>0</v>
      </c>
      <c r="P3" s="84"/>
      <c r="Q3" s="84"/>
      <c r="R3" s="92">
        <f t="shared" ref="R3:R74" si="13">BU3-BV3</f>
        <v>0</v>
      </c>
      <c r="S3" s="75"/>
      <c r="T3" s="76"/>
      <c r="U3" s="92">
        <f t="shared" ref="U3:U74" si="14">BZ3-CA3</f>
        <v>0</v>
      </c>
      <c r="V3" s="76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14.1</v>
      </c>
      <c r="AC3" s="93"/>
      <c r="AD3" s="78"/>
      <c r="AE3" s="94">
        <f t="shared" ref="AE3:AE74" si="17">SUMIF($BC$1:$CI$1,AE$1,$BC3:$CI3)+AD3</f>
        <v>14.1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2</v>
      </c>
      <c r="AQ3" s="77"/>
      <c r="AR3" s="77"/>
      <c r="AS3" s="77"/>
      <c r="AT3" s="63">
        <f t="shared" ref="AT3:AT74" si="24">AE3+AG3+AI3+AK3+AM3+AO3+SUM(AQ3:AS3)</f>
        <v>14.1</v>
      </c>
      <c r="AU3" s="78"/>
      <c r="AV3" s="5"/>
      <c r="AW3" s="5"/>
      <c r="AX3" s="5"/>
      <c r="AY3" s="5"/>
      <c r="AZ3" s="24">
        <f>VLOOKUP(C3,Employees!D:I,6,FALSE)</f>
        <v>210184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8.5333333333333332</v>
      </c>
      <c r="BG3" s="5">
        <f t="shared" ref="BG3:BG66" si="31">IF(BF3&gt;$AY$1,1,IF(BF3&gt;=$AX$1,0.5,0))</f>
        <v>0.5</v>
      </c>
      <c r="BH3" s="5">
        <f t="shared" ref="BH3:BH66" si="32">BF3-BG3-BI3-BJ3</f>
        <v>8.0333333333333332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6.5666666666666664</v>
      </c>
      <c r="BL3" s="5">
        <f t="shared" ref="BL3:BL66" si="36">IF(BK3&gt;$AY$1,1,IF(BK3&gt;=$AX$1,0.5,0))</f>
        <v>0.5</v>
      </c>
      <c r="BM3" s="5">
        <f t="shared" ref="BM3:BM66" si="37">BK3-BL3-BN3-BO3</f>
        <v>6.0666666666666664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4">
        <f t="shared" si="0"/>
        <v>10084</v>
      </c>
      <c r="B4" s="81" t="s">
        <v>50</v>
      </c>
      <c r="C4" s="85" t="s">
        <v>139</v>
      </c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>
        <v>0.70833333333333337</v>
      </c>
      <c r="K4" s="75">
        <v>0.89583333333333337</v>
      </c>
      <c r="L4" s="92">
        <f t="shared" si="11"/>
        <v>4.5</v>
      </c>
      <c r="M4" s="75"/>
      <c r="N4" s="76"/>
      <c r="O4" s="92">
        <f t="shared" si="12"/>
        <v>0</v>
      </c>
      <c r="P4" s="75"/>
      <c r="Q4" s="75"/>
      <c r="R4" s="92">
        <f t="shared" si="13"/>
        <v>0</v>
      </c>
      <c r="S4" s="76">
        <v>0.62777777777777777</v>
      </c>
      <c r="T4" s="76">
        <v>0.83611111111111114</v>
      </c>
      <c r="U4" s="92">
        <f t="shared" si="14"/>
        <v>5.0000000000000009</v>
      </c>
      <c r="V4" s="75">
        <v>0.3972222222222222</v>
      </c>
      <c r="W4" s="76">
        <v>0.66805555555555551</v>
      </c>
      <c r="X4" s="92">
        <f t="shared" si="15"/>
        <v>6</v>
      </c>
      <c r="Y4" s="92"/>
      <c r="Z4" s="92"/>
      <c r="AA4" s="92"/>
      <c r="AB4" s="96">
        <f t="shared" si="16"/>
        <v>15.5</v>
      </c>
      <c r="AC4" s="93"/>
      <c r="AD4" s="78"/>
      <c r="AE4" s="94">
        <f t="shared" si="17"/>
        <v>4.5</v>
      </c>
      <c r="AF4" s="78"/>
      <c r="AG4" s="94">
        <f t="shared" si="18"/>
        <v>5.0000000000000009</v>
      </c>
      <c r="AH4" s="78"/>
      <c r="AI4" s="94">
        <f t="shared" si="19"/>
        <v>6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3</v>
      </c>
      <c r="AQ4" s="77"/>
      <c r="AR4" s="77"/>
      <c r="AS4" s="77"/>
      <c r="AT4" s="63">
        <f t="shared" si="24"/>
        <v>15.5</v>
      </c>
      <c r="AU4" s="78"/>
      <c r="AV4" s="5"/>
      <c r="AW4" s="5"/>
      <c r="AX4" s="5"/>
      <c r="AY4" s="5"/>
      <c r="AZ4" s="24">
        <f>VLOOKUP(C4,Employees!D:I,6,FALSE)</f>
        <v>10084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4.5</v>
      </c>
      <c r="BL4" s="5">
        <f t="shared" si="36"/>
        <v>0</v>
      </c>
      <c r="BM4" s="5">
        <f t="shared" si="37"/>
        <v>4.5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5.0000000000000009</v>
      </c>
      <c r="CA4" s="5">
        <f t="shared" si="51"/>
        <v>0</v>
      </c>
      <c r="CB4" s="5">
        <f t="shared" si="52"/>
        <v>5.0000000000000009</v>
      </c>
      <c r="CC4" s="5">
        <f t="shared" si="53"/>
        <v>0</v>
      </c>
      <c r="CD4" s="5">
        <f t="shared" si="54"/>
        <v>0</v>
      </c>
      <c r="CE4" s="5">
        <f t="shared" si="55"/>
        <v>6.5</v>
      </c>
      <c r="CF4" s="5">
        <f t="shared" si="56"/>
        <v>0.5</v>
      </c>
      <c r="CG4" s="5">
        <f t="shared" si="57"/>
        <v>6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210183</v>
      </c>
      <c r="B5" s="81" t="s">
        <v>50</v>
      </c>
      <c r="C5" s="85" t="s">
        <v>551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210183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10222</v>
      </c>
      <c r="B6" s="81" t="s">
        <v>50</v>
      </c>
      <c r="C6" s="85" t="s">
        <v>647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5">
        <v>0.39583333333333331</v>
      </c>
      <c r="N6" s="76">
        <v>0.62638888888888888</v>
      </c>
      <c r="O6" s="92">
        <f t="shared" si="12"/>
        <v>5.0333333333333332</v>
      </c>
      <c r="P6" s="75">
        <v>0.39583333333333331</v>
      </c>
      <c r="Q6" s="76">
        <v>0.67152777777777772</v>
      </c>
      <c r="R6" s="92">
        <f t="shared" si="13"/>
        <v>6.1166666666666654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11.149999999999999</v>
      </c>
      <c r="AC6" s="93"/>
      <c r="AD6" s="78"/>
      <c r="AE6" s="94">
        <f t="shared" si="17"/>
        <v>11.149999999999999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2</v>
      </c>
      <c r="AQ6" s="77"/>
      <c r="AR6" s="77"/>
      <c r="AS6" s="77"/>
      <c r="AT6" s="63">
        <f t="shared" si="24"/>
        <v>11.149999999999999</v>
      </c>
      <c r="AU6" s="78"/>
      <c r="AV6" s="5"/>
      <c r="AW6" s="5"/>
      <c r="AX6" s="5"/>
      <c r="AY6" s="5"/>
      <c r="AZ6" s="24">
        <f>VLOOKUP(C6,Employees!D:I,6,FALSE)</f>
        <v>10222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5.5333333333333332</v>
      </c>
      <c r="BQ6" s="5">
        <f t="shared" si="41"/>
        <v>0.5</v>
      </c>
      <c r="BR6" s="5">
        <f t="shared" si="42"/>
        <v>5.0333333333333332</v>
      </c>
      <c r="BS6" s="5">
        <f t="shared" si="43"/>
        <v>0</v>
      </c>
      <c r="BT6" s="5">
        <f t="shared" si="44"/>
        <v>0</v>
      </c>
      <c r="BU6" s="5">
        <f t="shared" si="45"/>
        <v>6.6166666666666654</v>
      </c>
      <c r="BV6" s="5">
        <f t="shared" si="46"/>
        <v>0.5</v>
      </c>
      <c r="BW6" s="5">
        <f t="shared" si="47"/>
        <v>6.1166666666666654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10081</v>
      </c>
      <c r="B7" s="81" t="s">
        <v>50</v>
      </c>
      <c r="C7" s="85" t="s">
        <v>130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>
        <f>VLOOKUP(C7,Employees!D:I,6,FALSE)</f>
        <v>10081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>
        <f t="shared" si="0"/>
        <v>210218</v>
      </c>
      <c r="B8" s="81" t="s">
        <v>50</v>
      </c>
      <c r="C8" s="85" t="s">
        <v>637</v>
      </c>
      <c r="D8" s="76">
        <v>0.54166666666666663</v>
      </c>
      <c r="E8" s="76">
        <v>0.83402777777777781</v>
      </c>
      <c r="F8" s="92">
        <f t="shared" si="9"/>
        <v>6.5166666666666684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>
        <v>0.58333333333333337</v>
      </c>
      <c r="N8" s="75">
        <v>0.83402777777777781</v>
      </c>
      <c r="O8" s="92">
        <f t="shared" si="12"/>
        <v>5.5166666666666666</v>
      </c>
      <c r="P8" s="75">
        <v>0.70833333333333337</v>
      </c>
      <c r="Q8" s="75">
        <v>0.89583333333333337</v>
      </c>
      <c r="R8" s="92">
        <f t="shared" si="13"/>
        <v>4.5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16.533333333333335</v>
      </c>
      <c r="AC8" s="93"/>
      <c r="AD8" s="78"/>
      <c r="AE8" s="94">
        <f t="shared" si="17"/>
        <v>10.016666666666666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6.5166666666666684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3</v>
      </c>
      <c r="AQ8" s="77"/>
      <c r="AR8" s="77"/>
      <c r="AS8" s="77"/>
      <c r="AT8" s="63">
        <f t="shared" si="24"/>
        <v>16.533333333333335</v>
      </c>
      <c r="AU8" s="78"/>
      <c r="AV8" s="5"/>
      <c r="AW8" s="5"/>
      <c r="AX8" s="5"/>
      <c r="AY8" s="5"/>
      <c r="AZ8" s="24">
        <f>VLOOKUP(C8,Employees!D:I,6,FALSE)</f>
        <v>210218</v>
      </c>
      <c r="BA8" s="5">
        <f t="shared" si="25"/>
        <v>7.0166666666666684</v>
      </c>
      <c r="BB8" s="5">
        <f t="shared" si="26"/>
        <v>0.5</v>
      </c>
      <c r="BC8" s="5">
        <f t="shared" si="27"/>
        <v>6.5166666666666684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6.0166666666666666</v>
      </c>
      <c r="BQ8" s="5">
        <f t="shared" si="41"/>
        <v>0.5</v>
      </c>
      <c r="BR8" s="5">
        <f t="shared" si="42"/>
        <v>5.5166666666666666</v>
      </c>
      <c r="BS8" s="5">
        <f t="shared" si="43"/>
        <v>0</v>
      </c>
      <c r="BT8" s="5">
        <f t="shared" si="44"/>
        <v>0</v>
      </c>
      <c r="BU8" s="5">
        <f t="shared" si="45"/>
        <v>4.5</v>
      </c>
      <c r="BV8" s="5">
        <f t="shared" si="46"/>
        <v>0</v>
      </c>
      <c r="BW8" s="5">
        <f t="shared" si="47"/>
        <v>4.5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210212</v>
      </c>
      <c r="B9" s="81" t="s">
        <v>50</v>
      </c>
      <c r="C9" s="85" t="s">
        <v>622</v>
      </c>
      <c r="D9" s="76">
        <v>0.625</v>
      </c>
      <c r="E9" s="75">
        <v>0.88055555555555554</v>
      </c>
      <c r="F9" s="92">
        <f t="shared" si="9"/>
        <v>5.6333333333333329</v>
      </c>
      <c r="G9" s="75"/>
      <c r="H9" s="76"/>
      <c r="I9" s="92">
        <f t="shared" si="10"/>
        <v>0</v>
      </c>
      <c r="J9" s="76">
        <v>0.58402777777777781</v>
      </c>
      <c r="K9" s="75">
        <v>0.79305555555555551</v>
      </c>
      <c r="L9" s="92">
        <f t="shared" si="11"/>
        <v>5.0166666666666648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5">
        <v>0.39583333333333331</v>
      </c>
      <c r="T9" s="76">
        <v>0.66666666666666663</v>
      </c>
      <c r="U9" s="92">
        <f t="shared" si="14"/>
        <v>6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16.649999999999999</v>
      </c>
      <c r="AC9" s="93"/>
      <c r="AD9" s="78"/>
      <c r="AE9" s="94">
        <f t="shared" si="17"/>
        <v>5.0166666666666648</v>
      </c>
      <c r="AF9" s="77"/>
      <c r="AG9" s="94">
        <f t="shared" si="18"/>
        <v>6</v>
      </c>
      <c r="AH9" s="78"/>
      <c r="AI9" s="94">
        <f t="shared" si="19"/>
        <v>0</v>
      </c>
      <c r="AJ9" s="77"/>
      <c r="AK9" s="94">
        <f t="shared" si="20"/>
        <v>5.6333333333333329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3</v>
      </c>
      <c r="AQ9" s="77"/>
      <c r="AR9" s="77"/>
      <c r="AS9" s="77"/>
      <c r="AT9" s="63">
        <f t="shared" si="24"/>
        <v>16.649999999999999</v>
      </c>
      <c r="AU9" s="78"/>
      <c r="AV9" s="5"/>
      <c r="AW9" s="5"/>
      <c r="AX9" s="5"/>
      <c r="AY9" s="5"/>
      <c r="AZ9" s="24">
        <f>VLOOKUP(C9,Employees!D:I,6,FALSE)</f>
        <v>210212</v>
      </c>
      <c r="BA9" s="5">
        <f t="shared" si="25"/>
        <v>6.1333333333333329</v>
      </c>
      <c r="BB9" s="5">
        <f t="shared" si="26"/>
        <v>0.5</v>
      </c>
      <c r="BC9" s="5">
        <f t="shared" si="27"/>
        <v>5.6333333333333329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5.0166666666666648</v>
      </c>
      <c r="BL9" s="5">
        <f t="shared" si="36"/>
        <v>0</v>
      </c>
      <c r="BM9" s="5">
        <f t="shared" si="37"/>
        <v>5.0166666666666648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6.5</v>
      </c>
      <c r="CA9" s="5">
        <f t="shared" si="51"/>
        <v>0.5</v>
      </c>
      <c r="CB9" s="5">
        <f t="shared" si="52"/>
        <v>6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3</v>
      </c>
    </row>
    <row r="10" spans="1:89" ht="47" customHeight="1">
      <c r="A10" s="74">
        <f t="shared" si="0"/>
        <v>10125</v>
      </c>
      <c r="B10" s="81" t="s">
        <v>50</v>
      </c>
      <c r="C10" s="85" t="s">
        <v>247</v>
      </c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>
        <f>VLOOKUP(C10,Employees!D:I,6,FALSE)</f>
        <v>10125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>
        <f t="shared" si="0"/>
        <v>210437</v>
      </c>
      <c r="B11" s="81" t="s">
        <v>50</v>
      </c>
      <c r="C11" s="85" t="s">
        <v>1193</v>
      </c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>
        <v>0.54861111111111116</v>
      </c>
      <c r="W11" s="76">
        <v>0.88958333333333328</v>
      </c>
      <c r="X11" s="92">
        <f t="shared" si="15"/>
        <v>7.68333333333333</v>
      </c>
      <c r="Y11" s="92"/>
      <c r="Z11" s="92"/>
      <c r="AA11" s="92"/>
      <c r="AB11" s="96">
        <f t="shared" si="16"/>
        <v>7.68333333333333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>
        <v>0.5</v>
      </c>
      <c r="AI11" s="94">
        <f t="shared" si="19"/>
        <v>8.18333333333333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1</v>
      </c>
      <c r="AQ11" s="77"/>
      <c r="AR11" s="77"/>
      <c r="AS11" s="77"/>
      <c r="AT11" s="63">
        <f t="shared" si="24"/>
        <v>8.18333333333333</v>
      </c>
      <c r="AU11" s="78" t="s">
        <v>1518</v>
      </c>
      <c r="AV11" s="5"/>
      <c r="AW11" s="5"/>
      <c r="AX11" s="5"/>
      <c r="AY11" s="5"/>
      <c r="AZ11" s="24">
        <f>VLOOKUP(C11,Employees!D:I,6,FALSE)</f>
        <v>210437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8.18333333333333</v>
      </c>
      <c r="CF11" s="5">
        <f t="shared" si="56"/>
        <v>0.5</v>
      </c>
      <c r="CG11" s="5">
        <f t="shared" si="57"/>
        <v>7.68333333333333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>
        <f t="shared" si="0"/>
        <v>210177</v>
      </c>
      <c r="B12" s="81" t="s">
        <v>50</v>
      </c>
      <c r="C12" s="85" t="s">
        <v>533</v>
      </c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>
        <f>VLOOKUP(C12,Employees!D:I,6,FALSE)</f>
        <v>210177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>
        <f t="shared" si="0"/>
        <v>10220</v>
      </c>
      <c r="B13" s="81" t="s">
        <v>50</v>
      </c>
      <c r="C13" s="85" t="s">
        <v>642</v>
      </c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>
        <f>VLOOKUP(C13,Employees!D:I,6,FALSE)</f>
        <v>10220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>
        <f t="shared" si="0"/>
        <v>210547</v>
      </c>
      <c r="B14" s="81" t="s">
        <v>50</v>
      </c>
      <c r="C14" s="85" t="s">
        <v>1491</v>
      </c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>
        <f>VLOOKUP(C14,Employees!D:I,6,FALSE)</f>
        <v>210547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2" priority="734" operator="equal">
      <formula>"Pub"</formula>
    </cfRule>
  </conditionalFormatting>
  <conditionalFormatting sqref="F2:F100 I2:I100 L2:L100 O2:O100 R2:R100 U2:U100 X2:AB100 AT2:AT100">
    <cfRule type="cellIs" dxfId="11" priority="735" operator="lessThan">
      <formula>0</formula>
    </cfRule>
    <cfRule type="cellIs" dxfId="10" priority="736" operator="between">
      <formula>3</formula>
      <formula>0.01</formula>
    </cfRule>
    <cfRule type="cellIs" dxfId="9" priority="737" operator="lessThan">
      <formula>SUMIF($C:$C,$C2,F:F)</formula>
    </cfRule>
  </conditionalFormatting>
  <conditionalFormatting sqref="AD2:AD100">
    <cfRule type="notContainsBlanks" dxfId="8" priority="2">
      <formula>LEN(TRIM(AD2))&gt;0</formula>
    </cfRule>
  </conditionalFormatting>
  <conditionalFormatting sqref="AF2:AF100">
    <cfRule type="notContainsBlanks" dxfId="7" priority="4">
      <formula>LEN(TRIM(AF2))&gt;0</formula>
    </cfRule>
  </conditionalFormatting>
  <conditionalFormatting sqref="AH12:AH100">
    <cfRule type="notContainsBlanks" dxfId="6" priority="3">
      <formula>LEN(TRIM(AH12))&gt;0</formula>
    </cfRule>
  </conditionalFormatting>
  <conditionalFormatting sqref="AL2:AL100">
    <cfRule type="notContainsBlanks" dxfId="5" priority="262">
      <formula>LEN(TRIM(AL2))&gt;0</formula>
    </cfRule>
  </conditionalFormatting>
  <conditionalFormatting sqref="AL21:AL29 AL61:AL63 AL75:AL100 AJ2:AJ100 AN2:AN100 AQ2:AS100">
    <cfRule type="notContainsBlanks" dxfId="4" priority="738">
      <formula>LEN(TRIM(AJ2))&gt;0</formula>
    </cfRule>
  </conditionalFormatting>
  <conditionalFormatting sqref="AT1">
    <cfRule type="cellIs" dxfId="3" priority="730" operator="equal">
      <formula>"Pub"</formula>
    </cfRule>
  </conditionalFormatting>
  <conditionalFormatting sqref="AH2:AH11">
    <cfRule type="notContainsBlanks" dxfId="0" priority="1">
      <formula>LEN(TRIM(AH2))&gt;0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F1" zoomScale="120" zoomScaleNormal="120" workbookViewId="0">
      <selection activeCell="I14" sqref="I14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10061</v>
      </c>
      <c r="B2" s="28">
        <f ca="1">IF(A2=0,"",_xlfn.NUMBERVALUE(A2))</f>
        <v>10061</v>
      </c>
      <c r="C2" s="28" t="str">
        <f ca="1">IF($A2=0,"",VLOOKUP($B2,Employees!$A:$G,2,FALSE))</f>
        <v>Adrian</v>
      </c>
      <c r="D2" s="28" t="str">
        <f ca="1">IF($A2=0,"",VLOOKUP($B2,Employees!$A:$G,3,FALSE))</f>
        <v>Lim</v>
      </c>
      <c r="E2" s="26">
        <f ca="1">IF($A2=0,"",VLOOKUP($B2,Employees!$A:$G,5,FALSE))</f>
        <v>36386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Marsden Park</v>
      </c>
      <c r="L2" s="13" t="str">
        <f ca="1">IF($A2=0,"",VLOOKUP(K2,Stores!A:B,2,0))</f>
        <v>Superb</v>
      </c>
      <c r="M2" s="14">
        <f t="shared" ref="M2" ca="1" si="0">Y2+AK2</f>
        <v>49.216666666666669</v>
      </c>
      <c r="N2" s="14">
        <f t="shared" ref="N2" ca="1" si="1">Z2+AL2</f>
        <v>8.0000000000000018</v>
      </c>
      <c r="O2" s="14">
        <f t="shared" ref="O2" ca="1" si="2">AA2+AM2</f>
        <v>0</v>
      </c>
      <c r="P2" s="14">
        <f t="shared" ref="P2" ca="1" si="3">AB2+AN2</f>
        <v>5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62.216666666666669</v>
      </c>
      <c r="Y2" s="17">
        <f ca="1">IF($A2=0,0,SUMIF('Week 1 Roster'!$AZ:$AZ,$B2,'Week 1 Roster'!$AE:$AE))</f>
        <v>29.3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29.3</v>
      </c>
      <c r="AK2" s="17">
        <f ca="1">IF($A2=0,0,SUMIF('Week 2 Roster'!$AZ:$AZ,$B2,'Week 2 Roster'!$AE:$AE))</f>
        <v>19.916666666666668</v>
      </c>
      <c r="AL2" s="17">
        <f ca="1">IF($A2=0,0,SUMIF('Week 2 Roster'!$AZ:$AZ,$B2,'Week 2 Roster'!$AG:$AG))</f>
        <v>8.0000000000000018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5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32.916666666666671</v>
      </c>
      <c r="AV2" s="17"/>
      <c r="AW2" s="25">
        <f>'Week 1 Roster'!A2</f>
        <v>10061</v>
      </c>
      <c r="AX2" s="25">
        <f>'Week 2 Roster'!A2</f>
        <v>10061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210184</v>
      </c>
      <c r="B3" s="28">
        <f t="shared" ref="B3:B66" ca="1" si="9">IF(A3=0,"",_xlfn.NUMBERVALUE(A3))</f>
        <v>210184</v>
      </c>
      <c r="C3" s="28" t="str">
        <f ca="1">IF($A3=0,"",VLOOKUP($B3,Employees!$A:$G,2,FALSE))</f>
        <v>Jiuri</v>
      </c>
      <c r="D3" s="28" t="str">
        <f ca="1">IF($A3=0,"",VLOOKUP($B3,Employees!$A:$G,3,FALSE))</f>
        <v>Palahang</v>
      </c>
      <c r="E3" s="26">
        <f ca="1">IF($A3=0,"",VLOOKUP($B3,Employees!$A:$G,5,FALSE))</f>
        <v>39072</v>
      </c>
      <c r="F3" s="13">
        <f ca="1">IF($E3="","",ROUNDDOWN(YEARFRAC($E3, 'Week 1 Roster'!$D$1-1, 1), 0))</f>
        <v>19</v>
      </c>
      <c r="G3" s="13">
        <f ca="1">IF($E3="","",ROUNDDOWN(YEARFRAC($E3, 'Week 1 Roster'!$D$1+14, 1), 0))</f>
        <v>19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Marsden Park</v>
      </c>
      <c r="L3" s="13" t="str">
        <f ca="1">IF($A3=0,"",VLOOKUP(K3,Stores!A:B,2,0))</f>
        <v>Superb</v>
      </c>
      <c r="M3" s="14">
        <f t="shared" ref="M3:M66" ca="1" si="11">Y3+AK3</f>
        <v>25.75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4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25.75</v>
      </c>
      <c r="Y3" s="17">
        <f ca="1">IF($A3=0,0,SUMIF('Week 1 Roster'!$AZ:$AZ,$B3,'Week 1 Roster'!$AE:$AE))</f>
        <v>11.649999999999999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11.649999999999999</v>
      </c>
      <c r="AK3" s="17">
        <f ca="1">IF($A3=0,0,SUMIF('Week 2 Roster'!$AZ:$AZ,$B3,'Week 2 Roster'!$AE:$AE))</f>
        <v>14.1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2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14.1</v>
      </c>
      <c r="AV3" s="17"/>
      <c r="AW3" s="25">
        <f>'Week 1 Roster'!A3</f>
        <v>210184</v>
      </c>
      <c r="AX3" s="25">
        <f>'Week 2 Roster'!A3</f>
        <v>210184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10084</v>
      </c>
      <c r="B4" s="28">
        <f t="shared" ca="1" si="9"/>
        <v>10084</v>
      </c>
      <c r="C4" s="28" t="str">
        <f ca="1">IF($A4=0,"",VLOOKUP($B4,Employees!$A:$G,2,FALSE))</f>
        <v>Giancarlo</v>
      </c>
      <c r="D4" s="28" t="str">
        <f ca="1">IF($A4=0,"",VLOOKUP($B4,Employees!$A:$G,3,FALSE))</f>
        <v>Gonzalez</v>
      </c>
      <c r="E4" s="26">
        <f ca="1">IF($A4=0,"",VLOOKUP($B4,Employees!$A:$G,5,FALSE))</f>
        <v>38575</v>
      </c>
      <c r="F4" s="13">
        <f ca="1">IF($E4="","",ROUNDDOWN(YEARFRAC($E4, 'Week 1 Roster'!$D$1-1, 1), 0))</f>
        <v>20</v>
      </c>
      <c r="G4" s="13">
        <f ca="1">IF($E4="","",ROUNDDOWN(YEARFRAC($E4, 'Week 1 Roster'!$D$1+14, 1), 0))</f>
        <v>20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HL</v>
      </c>
      <c r="K4" s="13" t="str">
        <f ca="1">IF($A4=0,"",IF(ISNA(VLOOKUP(A4,'Week 1 Roster'!A:C,2,0)),VLOOKUP(A4,'Week 2 Roster'!A:C,2,0),VLOOKUP(A4,'Week 1 Roster'!A:C,2,0)))</f>
        <v>Marsden Park</v>
      </c>
      <c r="L4" s="13" t="str">
        <f ca="1">IF($A4=0,"",VLOOKUP(K4,Stores!A:B,2,0))</f>
        <v>Superb</v>
      </c>
      <c r="M4" s="14">
        <f t="shared" ca="1" si="11"/>
        <v>4.5</v>
      </c>
      <c r="N4" s="14">
        <f t="shared" ca="1" si="12"/>
        <v>10.916666666666668</v>
      </c>
      <c r="O4" s="14">
        <f t="shared" ca="1" si="13"/>
        <v>15.033333333333333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30.450000000000003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5.9166666666666679</v>
      </c>
      <c r="AA4" s="17">
        <f ca="1">IF($A4=0,0,SUMIF('Week 1 Roster'!$AZ:$AZ,$B4,'Week 1 Roster'!$AI:$AI))</f>
        <v>9.0333333333333332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14.950000000000001</v>
      </c>
      <c r="AK4" s="17">
        <f ca="1">IF($A4=0,0,SUMIF('Week 2 Roster'!$AZ:$AZ,$B4,'Week 2 Roster'!$AE:$AE))</f>
        <v>4.5</v>
      </c>
      <c r="AL4" s="17">
        <f ca="1">IF($A4=0,0,SUMIF('Week 2 Roster'!$AZ:$AZ,$B4,'Week 2 Roster'!$AG:$AG))</f>
        <v>5.0000000000000009</v>
      </c>
      <c r="AM4" s="17">
        <f ca="1">IF($A4=0,0,SUMIF('Week 2 Roster'!$AZ:$AZ,$B4,'Week 2 Roster'!$AI:$AI))</f>
        <v>6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15.5</v>
      </c>
      <c r="AV4" s="17"/>
      <c r="AW4" s="25">
        <f>'Week 1 Roster'!A4</f>
        <v>10084</v>
      </c>
      <c r="AX4" s="25">
        <f>'Week 2 Roster'!A4</f>
        <v>10084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210183</v>
      </c>
      <c r="B5" s="28">
        <f t="shared" ca="1" si="9"/>
        <v>210183</v>
      </c>
      <c r="C5" s="28" t="str">
        <f ca="1">IF($A5=0,"",VLOOKUP($B5,Employees!$A:$G,2,FALSE))</f>
        <v>Isabella</v>
      </c>
      <c r="D5" s="28" t="str">
        <f ca="1">IF($A5=0,"",VLOOKUP($B5,Employees!$A:$G,3,FALSE))</f>
        <v>Limjap</v>
      </c>
      <c r="E5" s="26">
        <f ca="1">IF($A5=0,"",VLOOKUP($B5,Employees!$A:$G,5,FALSE))</f>
        <v>39260</v>
      </c>
      <c r="F5" s="13">
        <f ca="1">IF($E5="","",ROUNDDOWN(YEARFRAC($E5, 'Week 1 Roster'!$D$1-1, 1), 0))</f>
        <v>18</v>
      </c>
      <c r="G5" s="13">
        <f ca="1">IF($E5="","",ROUNDDOWN(YEARFRAC($E5, 'Week 1 Roster'!$D$1+14, 1), 0))</f>
        <v>18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Marsden Park</v>
      </c>
      <c r="L5" s="13" t="str">
        <f ca="1">IF($A5=0,"",VLOOKUP(K5,Stores!A:B,2,0))</f>
        <v>Superb</v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>
        <f>'Week 1 Roster'!A5</f>
        <v>210183</v>
      </c>
      <c r="AX5" s="25">
        <f>'Week 2 Roster'!A5</f>
        <v>210183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10222</v>
      </c>
      <c r="B6" s="28">
        <f t="shared" ca="1" si="9"/>
        <v>10222</v>
      </c>
      <c r="C6" s="28" t="str">
        <f ca="1">IF($A6=0,"",VLOOKUP($B6,Employees!$A:$G,2,FALSE))</f>
        <v>Jessica</v>
      </c>
      <c r="D6" s="28" t="str">
        <f ca="1">IF($A6=0,"",VLOOKUP($B6,Employees!$A:$G,3,FALSE))</f>
        <v>Modarelli</v>
      </c>
      <c r="E6" s="26">
        <f ca="1">IF($A6=0,"",VLOOKUP($B6,Employees!$A:$G,5,FALSE))</f>
        <v>36400</v>
      </c>
      <c r="F6" s="13">
        <f ca="1">IF($E6="","",ROUNDDOWN(YEARFRAC($E6, 'Week 1 Roster'!$D$1-1, 1), 0))</f>
        <v>26</v>
      </c>
      <c r="G6" s="13">
        <f ca="1">IF($E6="","",ROUNDDOWN(YEARFRAC($E6, 'Week 1 Roster'!$D$1+14, 1), 0))</f>
        <v>26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Marsden Park</v>
      </c>
      <c r="L6" s="13" t="str">
        <f ca="1">IF($A6=0,"",VLOOKUP(K6,Stores!A:B,2,0))</f>
        <v>Superb</v>
      </c>
      <c r="M6" s="14">
        <f t="shared" ca="1" si="11"/>
        <v>24.233333333333334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4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24.233333333333334</v>
      </c>
      <c r="Y6" s="17">
        <f ca="1">IF($A6=0,0,SUMIF('Week 1 Roster'!$AZ:$AZ,$B6,'Week 1 Roster'!$AE:$AE))</f>
        <v>13.083333333333334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13.083333333333334</v>
      </c>
      <c r="AK6" s="17">
        <f ca="1">IF($A6=0,0,SUMIF('Week 2 Roster'!$AZ:$AZ,$B6,'Week 2 Roster'!$AE:$AE))</f>
        <v>11.149999999999999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11.149999999999999</v>
      </c>
      <c r="AV6" s="17"/>
      <c r="AW6" s="25">
        <f>'Week 1 Roster'!A6</f>
        <v>10222</v>
      </c>
      <c r="AX6" s="25">
        <f>'Week 2 Roster'!A6</f>
        <v>10222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10081</v>
      </c>
      <c r="B7" s="28">
        <f t="shared" ca="1" si="9"/>
        <v>10081</v>
      </c>
      <c r="C7" s="28" t="str">
        <f ca="1">IF($A7=0,"",VLOOKUP($B7,Employees!$A:$G,2,FALSE))</f>
        <v>Emmanuel</v>
      </c>
      <c r="D7" s="28" t="str">
        <f ca="1">IF($A7=0,"",VLOOKUP($B7,Employees!$A:$G,3,FALSE))</f>
        <v>Quebec</v>
      </c>
      <c r="E7" s="26">
        <f ca="1">IF($A7=0,"",VLOOKUP($B7,Employees!$A:$G,5,FALSE))</f>
        <v>37594</v>
      </c>
      <c r="F7" s="13">
        <f ca="1">IF($E7="","",ROUNDDOWN(YEARFRAC($E7, 'Week 1 Roster'!$D$1-1, 1), 0))</f>
        <v>23</v>
      </c>
      <c r="G7" s="13">
        <f ca="1">IF($E7="","",ROUNDDOWN(YEARFRAC($E7, 'Week 1 Roster'!$D$1+14, 1), 0))</f>
        <v>23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Marsden Park</v>
      </c>
      <c r="L7" s="13" t="str">
        <f ca="1">IF($A7=0,"",VLOOKUP(K7,Stores!A:B,2,0))</f>
        <v>Superb</v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10081</v>
      </c>
      <c r="AX7" s="25">
        <f>'Week 2 Roster'!A7</f>
        <v>10081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210218</v>
      </c>
      <c r="B8" s="28">
        <f t="shared" ca="1" si="9"/>
        <v>210218</v>
      </c>
      <c r="C8" s="28" t="str">
        <f ca="1">IF($A8=0,"",VLOOKUP($B8,Employees!$A:$G,2,FALSE))</f>
        <v>Mikayla</v>
      </c>
      <c r="D8" s="28" t="str">
        <f ca="1">IF($A8=0,"",VLOOKUP($B8,Employees!$A:$G,3,FALSE))</f>
        <v>Perez</v>
      </c>
      <c r="E8" s="26">
        <f ca="1">IF($A8=0,"",VLOOKUP($B8,Employees!$A:$G,5,FALSE))</f>
        <v>39043</v>
      </c>
      <c r="F8" s="13">
        <f ca="1">IF($E8="","",ROUNDDOWN(YEARFRAC($E8, 'Week 1 Roster'!$D$1-1, 1), 0))</f>
        <v>19</v>
      </c>
      <c r="G8" s="13">
        <f ca="1">IF($E8="","",ROUNDDOWN(YEARFRAC($E8, 'Week 1 Roster'!$D$1+14, 1), 0))</f>
        <v>19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HL</v>
      </c>
      <c r="K8" s="13" t="str">
        <f ca="1">IF($A8=0,"",IF(ISNA(VLOOKUP(A8,'Week 1 Roster'!A:C,2,0)),VLOOKUP(A8,'Week 2 Roster'!A:C,2,0),VLOOKUP(A8,'Week 1 Roster'!A:C,2,0)))</f>
        <v>Marsden Park</v>
      </c>
      <c r="L8" s="13" t="str">
        <f ca="1">IF($A8=0,"",VLOOKUP(K8,Stores!A:B,2,0))</f>
        <v>Superb</v>
      </c>
      <c r="M8" s="14">
        <f t="shared" ca="1" si="11"/>
        <v>22.616666666666667</v>
      </c>
      <c r="N8" s="14">
        <f t="shared" ca="1" si="12"/>
        <v>0</v>
      </c>
      <c r="O8" s="14">
        <f t="shared" ca="1" si="13"/>
        <v>0</v>
      </c>
      <c r="P8" s="14">
        <f t="shared" ca="1" si="14"/>
        <v>6.5166666666666684</v>
      </c>
      <c r="Q8" s="14">
        <f t="shared" ca="1" si="15"/>
        <v>0</v>
      </c>
      <c r="R8" s="14">
        <f t="shared" ca="1" si="16"/>
        <v>0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29.133333333333336</v>
      </c>
      <c r="Y8" s="17">
        <f ca="1">IF($A8=0,0,SUMIF('Week 1 Roster'!$AZ:$AZ,$B8,'Week 1 Roster'!$AE:$AE))</f>
        <v>12.600000000000001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12.600000000000001</v>
      </c>
      <c r="AK8" s="17">
        <f ca="1">IF($A8=0,0,SUMIF('Week 2 Roster'!$AZ:$AZ,$B8,'Week 2 Roster'!$AE:$AE))</f>
        <v>10.016666666666666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6.5166666666666684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3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16.533333333333335</v>
      </c>
      <c r="AV8" s="17"/>
      <c r="AW8" s="25">
        <f>'Week 1 Roster'!A8</f>
        <v>210218</v>
      </c>
      <c r="AX8" s="25">
        <f>'Week 2 Roster'!A8</f>
        <v>210218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210212</v>
      </c>
      <c r="B9" s="28">
        <f t="shared" ca="1" si="9"/>
        <v>210212</v>
      </c>
      <c r="C9" s="28" t="str">
        <f ca="1">IF($A9=0,"",VLOOKUP($B9,Employees!$A:$G,2,FALSE))</f>
        <v>Elyssa</v>
      </c>
      <c r="D9" s="28" t="str">
        <f ca="1">IF($A9=0,"",VLOOKUP($B9,Employees!$A:$G,3,FALSE))</f>
        <v>Acallar</v>
      </c>
      <c r="E9" s="26">
        <f ca="1">IF($A9=0,"",VLOOKUP($B9,Employees!$A:$G,5,FALSE))</f>
        <v>38844</v>
      </c>
      <c r="F9" s="13">
        <f ca="1">IF($E9="","",ROUNDDOWN(YEARFRAC($E9, 'Week 1 Roster'!$D$1-1, 1), 0))</f>
        <v>19</v>
      </c>
      <c r="G9" s="13">
        <f ca="1">IF($E9="","",ROUNDDOWN(YEARFRAC($E9, 'Week 1 Roster'!$D$1+14, 1), 0))</f>
        <v>19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HL</v>
      </c>
      <c r="K9" s="13" t="str">
        <f ca="1">IF($A9=0,"",IF(ISNA(VLOOKUP(A9,'Week 1 Roster'!A:C,2,0)),VLOOKUP(A9,'Week 2 Roster'!A:C,2,0),VLOOKUP(A9,'Week 1 Roster'!A:C,2,0)))</f>
        <v>Marsden Park</v>
      </c>
      <c r="L9" s="13" t="str">
        <f ca="1">IF($A9=0,"",VLOOKUP(K9,Stores!A:B,2,0))</f>
        <v>Superb</v>
      </c>
      <c r="M9" s="14">
        <f t="shared" ca="1" si="11"/>
        <v>16.666666666666661</v>
      </c>
      <c r="N9" s="14">
        <f t="shared" ca="1" si="12"/>
        <v>6</v>
      </c>
      <c r="O9" s="14">
        <f t="shared" ca="1" si="13"/>
        <v>0</v>
      </c>
      <c r="P9" s="14">
        <f t="shared" ca="1" si="14"/>
        <v>5.6333333333333329</v>
      </c>
      <c r="Q9" s="14">
        <f t="shared" ca="1" si="15"/>
        <v>0</v>
      </c>
      <c r="R9" s="14">
        <f t="shared" ca="1" si="16"/>
        <v>0</v>
      </c>
      <c r="S9" s="28">
        <f t="shared" ca="1" si="17"/>
        <v>5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28.299999999999994</v>
      </c>
      <c r="Y9" s="17">
        <f ca="1">IF($A9=0,0,SUMIF('Week 1 Roster'!$AZ:$AZ,$B9,'Week 1 Roster'!$AE:$AE))</f>
        <v>11.649999999999997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11.649999999999997</v>
      </c>
      <c r="AK9" s="17">
        <f ca="1">IF($A9=0,0,SUMIF('Week 2 Roster'!$AZ:$AZ,$B9,'Week 2 Roster'!$AE:$AE))</f>
        <v>5.0166666666666648</v>
      </c>
      <c r="AL9" s="17">
        <f ca="1">IF($A9=0,0,SUMIF('Week 2 Roster'!$AZ:$AZ,$B9,'Week 2 Roster'!$AG:$AG))</f>
        <v>6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5.6333333333333329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3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16.649999999999999</v>
      </c>
      <c r="AV9" s="17"/>
      <c r="AW9" s="25">
        <f>'Week 1 Roster'!A9</f>
        <v>210212</v>
      </c>
      <c r="AX9" s="25">
        <f>'Week 2 Roster'!A9</f>
        <v>210212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10125</v>
      </c>
      <c r="B10" s="28">
        <f t="shared" ca="1" si="9"/>
        <v>10125</v>
      </c>
      <c r="C10" s="28" t="str">
        <f ca="1">IF($A10=0,"",VLOOKUP($B10,Employees!$A:$G,2,FALSE))</f>
        <v>Ouksa</v>
      </c>
      <c r="D10" s="28" t="str">
        <f ca="1">IF($A10=0,"",VLOOKUP($B10,Employees!$A:$G,3,FALSE))</f>
        <v>Sim</v>
      </c>
      <c r="E10" s="26">
        <f ca="1">IF($A10=0,"",VLOOKUP($B10,Employees!$A:$G,5,FALSE))</f>
        <v>35184</v>
      </c>
      <c r="F10" s="13">
        <f ca="1">IF($E10="","",ROUNDDOWN(YEARFRAC($E10, 'Week 1 Roster'!$D$1-1, 1), 0))</f>
        <v>29</v>
      </c>
      <c r="G10" s="13">
        <f ca="1">IF($E10="","",ROUNDDOWN(YEARFRAC($E10, 'Week 1 Roster'!$D$1+14, 1), 0))</f>
        <v>29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HL</v>
      </c>
      <c r="K10" s="13" t="str">
        <f ca="1">IF($A10=0,"",IF(ISNA(VLOOKUP(A10,'Week 1 Roster'!A:C,2,0)),VLOOKUP(A10,'Week 2 Roster'!A:C,2,0),VLOOKUP(A10,'Week 1 Roster'!A:C,2,0)))</f>
        <v>Marsden Park</v>
      </c>
      <c r="L10" s="13" t="str">
        <f ca="1">IF($A10=0,"",VLOOKUP(K10,Stores!A:B,2,0))</f>
        <v>Superb</v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10125</v>
      </c>
      <c r="AX10" s="25">
        <f>'Week 2 Roster'!A10</f>
        <v>10125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210437</v>
      </c>
      <c r="B11" s="28">
        <f t="shared" ca="1" si="9"/>
        <v>210437</v>
      </c>
      <c r="C11" s="28" t="str">
        <f ca="1">IF($A11=0,"",VLOOKUP($B11,Employees!$A:$G,2,FALSE))</f>
        <v>Yu Jia</v>
      </c>
      <c r="D11" s="28" t="str">
        <f ca="1">IF($A11=0,"",VLOOKUP($B11,Employees!$A:$G,3,FALSE))</f>
        <v>Ren</v>
      </c>
      <c r="E11" s="26">
        <f ca="1">IF($A11=0,"",VLOOKUP($B11,Employees!$A:$G,5,FALSE))</f>
        <v>39304</v>
      </c>
      <c r="F11" s="13">
        <f ca="1">IF($E11="","",ROUNDDOWN(YEARFRAC($E11, 'Week 1 Roster'!$D$1-1, 1), 0))</f>
        <v>18</v>
      </c>
      <c r="G11" s="13">
        <f ca="1">IF($E11="","",ROUNDDOWN(YEARFRAC($E11, 'Week 1 Roster'!$D$1+14, 1), 0))</f>
        <v>18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Marsden Park</v>
      </c>
      <c r="L11" s="13" t="str">
        <f ca="1">IF($A11=0,"",VLOOKUP(K11,Stores!A:B,2,0))</f>
        <v>Superb</v>
      </c>
      <c r="M11" s="14">
        <f t="shared" ca="1" si="11"/>
        <v>0</v>
      </c>
      <c r="N11" s="14">
        <f t="shared" ca="1" si="12"/>
        <v>6</v>
      </c>
      <c r="O11" s="14">
        <f t="shared" ca="1" si="13"/>
        <v>16.066666666666666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3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22.066666666666666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6</v>
      </c>
      <c r="AA11" s="17">
        <f ca="1">IF($A11=0,0,SUMIF('Week 1 Roster'!$AZ:$AZ,$B11,'Week 1 Roster'!$AI:$AI))</f>
        <v>7.8833333333333364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2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13.883333333333336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8.18333333333333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8.18333333333333</v>
      </c>
      <c r="AV11" s="17"/>
      <c r="AW11" s="25">
        <f>'Week 1 Roster'!A11</f>
        <v>210437</v>
      </c>
      <c r="AX11" s="25">
        <f>'Week 2 Roster'!A11</f>
        <v>210437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210177</v>
      </c>
      <c r="B12" s="28">
        <f t="shared" ca="1" si="9"/>
        <v>210177</v>
      </c>
      <c r="C12" s="28" t="str">
        <f ca="1">IF($A12=0,"",VLOOKUP($B12,Employees!$A:$G,2,FALSE))</f>
        <v>Cloey</v>
      </c>
      <c r="D12" s="28" t="str">
        <f ca="1">IF($A12=0,"",VLOOKUP($B12,Employees!$A:$G,3,FALSE))</f>
        <v>Nguyen</v>
      </c>
      <c r="E12" s="26">
        <f ca="1">IF($A12=0,"",VLOOKUP($B12,Employees!$A:$G,5,FALSE))</f>
        <v>39319</v>
      </c>
      <c r="F12" s="13">
        <f ca="1">IF($E12="","",ROUNDDOWN(YEARFRAC($E12, 'Week 1 Roster'!$D$1-1, 1), 0))</f>
        <v>18</v>
      </c>
      <c r="G12" s="13">
        <f ca="1">IF($E12="","",ROUNDDOWN(YEARFRAC($E12, 'Week 1 Roster'!$D$1+14, 1), 0))</f>
        <v>18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HL</v>
      </c>
      <c r="K12" s="13" t="str">
        <f ca="1">IF($A12=0,"",IF(ISNA(VLOOKUP(A12,'Week 1 Roster'!A:C,2,0)),VLOOKUP(A12,'Week 2 Roster'!A:C,2,0),VLOOKUP(A12,'Week 1 Roster'!A:C,2,0)))</f>
        <v>Marsden Park</v>
      </c>
      <c r="L12" s="13" t="str">
        <f ca="1">IF($A12=0,"",VLOOKUP(K12,Stores!A:B,2,0))</f>
        <v>Superb</v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210177</v>
      </c>
      <c r="AX12" s="25">
        <f>'Week 2 Roster'!A12</f>
        <v>210177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10220</v>
      </c>
      <c r="B13" s="28">
        <f t="shared" ca="1" si="9"/>
        <v>10220</v>
      </c>
      <c r="C13" s="28" t="str">
        <f ca="1">IF($A13=0,"",VLOOKUP($B13,Employees!$A:$G,2,FALSE))</f>
        <v>Heleana</v>
      </c>
      <c r="D13" s="28" t="str">
        <f ca="1">IF($A13=0,"",VLOOKUP($B13,Employees!$A:$G,3,FALSE))</f>
        <v>Soriano</v>
      </c>
      <c r="E13" s="26">
        <f ca="1">IF($A13=0,"",VLOOKUP($B13,Employees!$A:$G,5,FALSE))</f>
        <v>38861</v>
      </c>
      <c r="F13" s="13">
        <f ca="1">IF($E13="","",ROUNDDOWN(YEARFRAC($E13, 'Week 1 Roster'!$D$1-1, 1), 0))</f>
        <v>19</v>
      </c>
      <c r="G13" s="13">
        <f ca="1">IF($E13="","",ROUNDDOWN(YEARFRAC($E13, 'Week 1 Roster'!$D$1+14, 1), 0))</f>
        <v>19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HL</v>
      </c>
      <c r="K13" s="13" t="str">
        <f ca="1">IF($A13=0,"",IF(ISNA(VLOOKUP(A13,'Week 1 Roster'!A:C,2,0)),VLOOKUP(A13,'Week 2 Roster'!A:C,2,0),VLOOKUP(A13,'Week 1 Roster'!A:C,2,0)))</f>
        <v>Marsden Park</v>
      </c>
      <c r="L13" s="13" t="str">
        <f ca="1">IF($A13=0,"",VLOOKUP(K13,Stores!A:B,2,0))</f>
        <v>Superb</v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>
        <f>'Week 1 Roster'!A13</f>
        <v>10220</v>
      </c>
      <c r="AX13" s="25">
        <f>'Week 2 Roster'!A13</f>
        <v>10220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210547</v>
      </c>
      <c r="B14" s="28">
        <f t="shared" ca="1" si="9"/>
        <v>210547</v>
      </c>
      <c r="C14" s="28" t="str">
        <f ca="1">IF($A14=0,"",VLOOKUP($B14,Employees!$A:$G,2,FALSE))</f>
        <v>Karandeep</v>
      </c>
      <c r="D14" s="28" t="str">
        <f ca="1">IF($A14=0,"",VLOOKUP($B14,Employees!$A:$G,3,FALSE))</f>
        <v>Bedi</v>
      </c>
      <c r="E14" s="26">
        <f ca="1">IF($A14=0,"",VLOOKUP($B14,Employees!$A:$G,5,FALSE))</f>
        <v>39453</v>
      </c>
      <c r="F14" s="13">
        <f ca="1">IF($E14="","",ROUNDDOWN(YEARFRAC($E14, 'Week 1 Roster'!$D$1-1, 1), 0))</f>
        <v>18</v>
      </c>
      <c r="G14" s="13">
        <f ca="1">IF($E14="","",ROUNDDOWN(YEARFRAC($E14, 'Week 1 Roster'!$D$1+14, 1), 0))</f>
        <v>18</v>
      </c>
      <c r="H14" s="13" t="b">
        <f t="shared" ca="1" si="10"/>
        <v>0</v>
      </c>
      <c r="I14" s="13">
        <f ca="1">IF($A14=0,"",VLOOKUP($B14,Employees!$A:$G,6,FALSE))</f>
        <v>48</v>
      </c>
      <c r="J14" s="13" t="str">
        <f ca="1">IF($A14=0,"",VLOOKUP($B14,Employees!$A:$G,7,FALSE))</f>
        <v>Win</v>
      </c>
      <c r="K14" s="13" t="str">
        <f ca="1">IF($A14=0,"",IF(ISNA(VLOOKUP(A14,'Week 1 Roster'!A:C,2,0)),VLOOKUP(A14,'Week 2 Roster'!A:C,2,0),VLOOKUP(A14,'Week 1 Roster'!A:C,2,0)))</f>
        <v>Marsden Park</v>
      </c>
      <c r="L14" s="13" t="str">
        <f ca="1">IF($A14=0,"",VLOOKUP(K14,Stores!A:B,2,0))</f>
        <v>Superb</v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>
        <f>'Week 1 Roster'!A14</f>
        <v>210547</v>
      </c>
      <c r="AX14" s="25">
        <f>'Week 2 Roster'!A14</f>
        <v>210547</v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10148</v>
      </c>
      <c r="B15" s="28">
        <f t="shared" ca="1" si="9"/>
        <v>10148</v>
      </c>
      <c r="C15" s="28" t="str">
        <f ca="1">IF($A15=0,"",VLOOKUP($B15,Employees!$A:$G,2,FALSE))</f>
        <v>Yeng Ting</v>
      </c>
      <c r="D15" s="28" t="str">
        <f ca="1">IF($A15=0,"",VLOOKUP($B15,Employees!$A:$G,3,FALSE))</f>
        <v>Luo</v>
      </c>
      <c r="E15" s="26">
        <f ca="1">IF($A15=0,"",VLOOKUP($B15,Employees!$A:$G,5,FALSE))</f>
        <v>36453</v>
      </c>
      <c r="F15" s="13">
        <f ca="1">IF($E15="","",ROUNDDOWN(YEARFRAC($E15, 'Week 1 Roster'!$D$1-1, 1), 0))</f>
        <v>26</v>
      </c>
      <c r="G15" s="13">
        <f ca="1">IF($E15="","",ROUNDDOWN(YEARFRAC($E15, 'Week 1 Roster'!$D$1+14, 1), 0))</f>
        <v>26</v>
      </c>
      <c r="H15" s="13" t="b">
        <f t="shared" ca="1" si="10"/>
        <v>0</v>
      </c>
      <c r="I15" s="13">
        <f ca="1">IF($A15=0,"",VLOOKUP($B15,Employees!$A:$G,6,FALSE))</f>
        <v>76</v>
      </c>
      <c r="J15" s="13" t="str">
        <f ca="1">IF($A15=0,"",VLOOKUP($B15,Employees!$A:$G,7,FALSE))</f>
        <v>HL</v>
      </c>
      <c r="K15" s="13" t="str">
        <f ca="1">IF($A15=0,"",IF(ISNA(VLOOKUP(A15,'Week 1 Roster'!A:C,2,0)),VLOOKUP(A15,'Week 2 Roster'!A:C,2,0),VLOOKUP(A15,'Week 1 Roster'!A:C,2,0)))</f>
        <v>Marsden Park</v>
      </c>
      <c r="L15" s="13" t="str">
        <f ca="1">IF($A15=0,"",VLOOKUP(K15,Stores!A:B,2,0))</f>
        <v>Superb</v>
      </c>
      <c r="M15" s="14">
        <f t="shared" ca="1" si="11"/>
        <v>0</v>
      </c>
      <c r="N15" s="14">
        <f t="shared" ca="1" si="12"/>
        <v>6.5000000000000018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1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6.5000000000000018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6.5000000000000018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1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6.5000000000000018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>
        <f>'Week 1 Roster'!A15</f>
        <v>10148</v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2" priority="1" operator="equal">
      <formula>FALSE</formula>
    </cfRule>
  </conditionalFormatting>
  <conditionalFormatting sqref="M1:AU1048576">
    <cfRule type="cellIs" dxfId="1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46" zoomScale="186" zoomScaleNormal="186" workbookViewId="0">
      <selection activeCell="D556" sqref="D556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2" t="s">
        <v>123</v>
      </c>
      <c r="D551" s="102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2026-02-02T02:10:46Z</dcterms:modified>
</cp:coreProperties>
</file>