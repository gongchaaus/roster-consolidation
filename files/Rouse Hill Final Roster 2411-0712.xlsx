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dy/Developer/Python/roster-consolidation/files/"/>
    </mc:Choice>
  </mc:AlternateContent>
  <xr:revisionPtr revIDLastSave="0" documentId="13_ncr:1_{5DC9F9FD-EB60-9D4D-8D28-1FB277F7265B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98" i="2" s="1"/>
  <c r="AW98" i="12" s="1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72" i="2" s="1"/>
  <c r="AW72" i="12" s="1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3" i="18"/>
  <c r="AX83" i="12" s="1"/>
  <c r="A81" i="18"/>
  <c r="AX81" i="12" s="1"/>
  <c r="A100" i="2"/>
  <c r="AW100" i="12" s="1"/>
  <c r="A99" i="2"/>
  <c r="AW99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68" i="2"/>
  <c r="AW68" i="12" s="1"/>
  <c r="A67" i="2"/>
  <c r="AW67" i="12" s="1"/>
  <c r="A65" i="2"/>
  <c r="AW65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1" i="2"/>
  <c r="AW41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D1" i="2"/>
  <c r="AA1" i="2"/>
  <c r="CJ1" i="2" s="1"/>
  <c r="CI1" i="2" s="1"/>
  <c r="Z1" i="2"/>
  <c r="B3" i="12" l="1"/>
  <c r="AF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H3" i="12" l="1"/>
  <c r="AQ3" i="12"/>
  <c r="J3" i="12"/>
  <c r="D3" i="12"/>
  <c r="AE3" i="12"/>
  <c r="AT3" i="12"/>
  <c r="AR3" i="12"/>
  <c r="T3" i="12" s="1"/>
  <c r="Z3" i="12"/>
  <c r="I3" i="12"/>
  <c r="AG3" i="12"/>
  <c r="E3" i="12"/>
  <c r="G3" i="12" s="1"/>
  <c r="AS3" i="12"/>
  <c r="C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V3" i="12" l="1"/>
  <c r="U3" i="12"/>
  <c r="F3" i="12"/>
  <c r="H3" i="12" s="1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P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R203" i="12" l="1"/>
  <c r="P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Q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<sst xmlns="http://schemas.openxmlformats.org/spreadsheetml/2006/main" count="2435" uniqueCount="1464">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</sst>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5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C0C0C"/>
      <name val="&quot;Helvetica Neue&quot;"/>
    </font>
    <font>
      <sz val="15"/>
      <color theme="1"/>
      <name val="Helvetica Neue"/>
      <family val="18"/>
      <charset val="1"/>
    </font>
    <font>
      <sz val="18"/>
      <color rgb="FF000000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0" fontId="43" fillId="0" borderId="0" xfId="0" applyFont="1" applyAlignment="1" applyProtection="1">
      <alignment wrapText="1"/>
      <protection locked="0"/>
    </xf>
    <xf numFmtId="0" fontId="44" fillId="0" borderId="0" xfId="0" applyFont="1" applyAlignment="1" applyProtection="1">
      <alignment wrapText="1"/>
      <protection locked="0"/>
    </xf>
    <xf numFmtId="0" fontId="28" fillId="0" borderId="0" xfId="0" applyFont="1" applyAlignment="1">
      <alignment wrapText="1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B2" sqref="B2:B9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45985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45986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45987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45988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45989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45990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45991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45992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10185</v>
      </c>
      <c r="B2" s="81" t="s">
        <v>51</v>
      </c>
      <c r="C2" s="101" t="s">
        <v>555</v>
      </c>
      <c r="D2" s="100"/>
      <c r="E2" s="84"/>
      <c r="F2" s="91">
        <f>BA2-BB2</f>
        <v>0</v>
      </c>
      <c r="G2" s="84"/>
      <c r="H2" s="84"/>
      <c r="I2" s="91">
        <f>BF2-BG2</f>
        <v>0</v>
      </c>
      <c r="J2" s="84"/>
      <c r="K2" s="84"/>
      <c r="L2" s="91">
        <f>BK2-BL2</f>
        <v>0</v>
      </c>
      <c r="M2" s="84"/>
      <c r="N2" s="100"/>
      <c r="O2" s="91">
        <f>BP2-BQ2</f>
        <v>0</v>
      </c>
      <c r="P2" s="100"/>
      <c r="Q2" s="84"/>
      <c r="R2" s="91">
        <f>BU2-BV2</f>
        <v>0</v>
      </c>
      <c r="S2" s="84">
        <v>0.375</v>
      </c>
      <c r="T2" s="84">
        <v>0.625</v>
      </c>
      <c r="U2" s="91">
        <f>BZ2-CA2</f>
        <v>5.5</v>
      </c>
      <c r="V2" s="84">
        <v>0.375</v>
      </c>
      <c r="W2" s="84">
        <v>0.625</v>
      </c>
      <c r="X2" s="91">
        <f>CE2-CF2</f>
        <v>5.5</v>
      </c>
      <c r="Y2" s="91"/>
      <c r="Z2" s="91"/>
      <c r="AA2" s="91"/>
      <c r="AB2" s="91">
        <f>SUM(F2,I2,L2,O2,R2,U2,X2)</f>
        <v>11</v>
      </c>
      <c r="AC2" s="92"/>
      <c r="AD2" s="77">
        <v>1</v>
      </c>
      <c r="AE2" s="93">
        <f t="shared" ref="AE2:AE40" si="1">SUMIF($BC$1:$CI$1,AE$1,$BC2:$CI2)+AD2</f>
        <v>1</v>
      </c>
      <c r="AF2" s="77">
        <v>0.5</v>
      </c>
      <c r="AG2" s="93">
        <f t="shared" ref="AG2:AG40" si="2">SUMIF($BC$1:$CI$1,AG$1,$BC2:$CI2)+AF2</f>
        <v>6</v>
      </c>
      <c r="AH2" s="78">
        <v>0.5</v>
      </c>
      <c r="AI2" s="93">
        <f t="shared" ref="AI2:AI40" si="3">SUMIF($BC$1:$CI$1,AI$1,$BC2:$CI2)+AH2</f>
        <v>6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2</v>
      </c>
      <c r="AQ2" s="77"/>
      <c r="AR2" s="77"/>
      <c r="AS2" s="77"/>
      <c r="AT2" s="44">
        <f>AE2+AG2+AI2+AK2+AM2+AO2+SUM(AQ2:AS2)</f>
        <v>13</v>
      </c>
      <c r="AU2" s="78"/>
      <c r="AV2" s="5"/>
      <c r="AW2" s="5"/>
      <c r="AX2" s="5"/>
      <c r="AY2" s="5"/>
      <c r="AZ2" s="24">
        <f>VLOOKUP(C2,Employees!D:I,6,FALSE)</f>
        <v>10185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6</v>
      </c>
      <c r="CA2" s="5">
        <f>IF(BZ2&gt;$AY$1,1,IF(BZ2&gt;=$AX$1,0.5,0))</f>
        <v>0.5</v>
      </c>
      <c r="CB2" s="5">
        <f>BZ2-CA2-CC2-CD2</f>
        <v>5.5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6</v>
      </c>
      <c r="CF2" s="5">
        <f>IF(CE2&gt;$AY$1,1,IF(CE2&gt;=$AX$1,0.5,0))</f>
        <v>0.5</v>
      </c>
      <c r="CG2" s="5">
        <f>CE2-CF2-CH2-CI2</f>
        <v>5.5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4">
        <f t="shared" si="0"/>
        <v>10138</v>
      </c>
      <c r="B3" s="81" t="s">
        <v>51</v>
      </c>
      <c r="C3" s="102" t="s">
        <v>282</v>
      </c>
      <c r="D3" s="100">
        <v>0.39930555555555558</v>
      </c>
      <c r="E3" s="84">
        <v>0.70833333333333337</v>
      </c>
      <c r="F3" s="91">
        <f t="shared" ref="F3:F69" si="15">BA3-BB3</f>
        <v>6.916666666666667</v>
      </c>
      <c r="G3" s="84"/>
      <c r="H3" s="84"/>
      <c r="I3" s="91">
        <f t="shared" ref="I3:I69" si="16">BF3-BG3</f>
        <v>0</v>
      </c>
      <c r="J3" s="84">
        <v>0.39652777777777776</v>
      </c>
      <c r="K3" s="84">
        <v>0.70833333333333337</v>
      </c>
      <c r="L3" s="91">
        <f t="shared" ref="L3:L69" si="17">BK3-BL3</f>
        <v>6.9833333333333343</v>
      </c>
      <c r="M3" s="84"/>
      <c r="N3" s="100"/>
      <c r="O3" s="91">
        <f t="shared" ref="O3:O69" si="18">BP3-BQ3</f>
        <v>0</v>
      </c>
      <c r="P3" s="100"/>
      <c r="Q3" s="84"/>
      <c r="R3" s="91">
        <f t="shared" ref="R3:R69" si="19">BU3-BV3</f>
        <v>0</v>
      </c>
      <c r="S3" s="84">
        <v>0.5229166666666667</v>
      </c>
      <c r="T3" s="84">
        <v>0.70833333333333337</v>
      </c>
      <c r="U3" s="91">
        <f t="shared" ref="U3:U69" si="20">BZ3-CA3</f>
        <v>4.45</v>
      </c>
      <c r="V3" s="84">
        <v>0.5</v>
      </c>
      <c r="W3" s="84">
        <v>0.79166666666666663</v>
      </c>
      <c r="X3" s="91">
        <f t="shared" ref="X3:X69" si="21">CE3-CF3</f>
        <v>6.4999999999999991</v>
      </c>
      <c r="Y3" s="91"/>
      <c r="Z3" s="91"/>
      <c r="AA3" s="91"/>
      <c r="AB3" s="91">
        <f t="shared" ref="AB3:AB69" si="22">SUM(F3,I3,L3,O3,R3,U3,X3)</f>
        <v>24.85</v>
      </c>
      <c r="AC3" s="92"/>
      <c r="AD3" s="77"/>
      <c r="AE3" s="93">
        <f t="shared" si="1"/>
        <v>13.900000000000002</v>
      </c>
      <c r="AF3" s="77"/>
      <c r="AG3" s="93">
        <f t="shared" si="2"/>
        <v>4.45</v>
      </c>
      <c r="AH3" s="78"/>
      <c r="AI3" s="93">
        <f t="shared" si="3"/>
        <v>6.4999999999999991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24.85</v>
      </c>
      <c r="AU3" s="78"/>
      <c r="AV3" s="5"/>
      <c r="AW3" s="5"/>
      <c r="AX3" s="5"/>
      <c r="AY3" s="5"/>
      <c r="AZ3" s="24">
        <f>VLOOKUP(C3,Employees!D:I,6,FALSE)</f>
        <v>10138</v>
      </c>
      <c r="BA3" s="5">
        <f t="shared" ref="BA3:BA66" si="25">IF(ISBLANK(D3),0,(E3-D3)*24)</f>
        <v>7.416666666666667</v>
      </c>
      <c r="BB3" s="5">
        <f t="shared" ref="BB3:BB66" si="26">IF(BA3&gt;$AY$1,1,IF(BA3&gt;=$AX$1,0.5,0))</f>
        <v>0.5</v>
      </c>
      <c r="BC3" s="5">
        <f t="shared" ref="BC3:BC66" si="27">BA3-BB3-BD3-BE3</f>
        <v>6.916666666666667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7.4833333333333343</v>
      </c>
      <c r="BL3" s="5">
        <f t="shared" ref="BL3:BL66" si="35">IF(BK3&gt;$AY$1,1,IF(BK3&gt;=$AX$1,0.5,0))</f>
        <v>0.5</v>
      </c>
      <c r="BM3" s="5">
        <f t="shared" ref="BM3:BM66" si="36">BK3-BL3-BN3-BO3</f>
        <v>6.9833333333333343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4.45</v>
      </c>
      <c r="CA3" s="5">
        <f t="shared" ref="CA3:CA66" si="49">IF(BZ3&gt;$AY$1,1,IF(BZ3&gt;=$AX$1,0.5,0))</f>
        <v>0</v>
      </c>
      <c r="CB3" s="5">
        <f t="shared" ref="CB3:CB66" si="50">BZ3-CA3-CC3-CD3</f>
        <v>4.45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6.9999999999999991</v>
      </c>
      <c r="CF3" s="5">
        <f t="shared" ref="CF3:CF66" si="54">IF(CE3&gt;$AY$1,1,IF(CE3&gt;=$AX$1,0.5,0))</f>
        <v>0.5</v>
      </c>
      <c r="CG3" s="5">
        <f t="shared" ref="CG3:CG66" si="55">CE3-CF3-CH3-CI3</f>
        <v>6.4999999999999991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10335</v>
      </c>
      <c r="B4" s="81" t="s">
        <v>51</v>
      </c>
      <c r="C4" s="101" t="s">
        <v>929</v>
      </c>
      <c r="D4" s="84"/>
      <c r="E4" s="84"/>
      <c r="F4" s="91">
        <f t="shared" si="15"/>
        <v>0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84">
        <v>0.38055555555555554</v>
      </c>
      <c r="N4" s="84">
        <v>0.70833333333333337</v>
      </c>
      <c r="O4" s="91">
        <f t="shared" si="18"/>
        <v>7.366666666666668</v>
      </c>
      <c r="P4" s="75">
        <v>0.38819444444444445</v>
      </c>
      <c r="Q4" s="75">
        <v>0.625</v>
      </c>
      <c r="R4" s="91">
        <f t="shared" si="19"/>
        <v>5.1833333333333336</v>
      </c>
      <c r="S4" s="75"/>
      <c r="T4" s="75"/>
      <c r="U4" s="91">
        <f t="shared" si="20"/>
        <v>0</v>
      </c>
      <c r="V4" s="84">
        <v>0.47361111111111109</v>
      </c>
      <c r="W4" s="84">
        <v>0.79166666666666663</v>
      </c>
      <c r="X4" s="91">
        <f t="shared" si="21"/>
        <v>7.1333333333333329</v>
      </c>
      <c r="Y4" s="91"/>
      <c r="Z4" s="91"/>
      <c r="AA4" s="91"/>
      <c r="AB4" s="91">
        <f t="shared" si="22"/>
        <v>19.683333333333334</v>
      </c>
      <c r="AC4" s="92"/>
      <c r="AD4" s="77"/>
      <c r="AE4" s="93">
        <f t="shared" si="1"/>
        <v>12.55</v>
      </c>
      <c r="AF4" s="77"/>
      <c r="AG4" s="93">
        <f t="shared" si="2"/>
        <v>0</v>
      </c>
      <c r="AH4" s="78"/>
      <c r="AI4" s="93">
        <f t="shared" si="3"/>
        <v>7.1333333333333329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3</v>
      </c>
      <c r="AQ4" s="77"/>
      <c r="AR4" s="77"/>
      <c r="AS4" s="77"/>
      <c r="AT4" s="44">
        <f t="shared" si="24"/>
        <v>19.683333333333334</v>
      </c>
      <c r="AU4" s="78"/>
      <c r="AV4" s="5"/>
      <c r="AW4" s="5"/>
      <c r="AX4" s="5"/>
      <c r="AY4" s="5"/>
      <c r="AZ4" s="24">
        <f>VLOOKUP(C4,Employees!D:I,6,FALSE)</f>
        <v>10335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7.866666666666668</v>
      </c>
      <c r="BQ4" s="5">
        <f t="shared" si="40"/>
        <v>0.5</v>
      </c>
      <c r="BR4" s="5">
        <f t="shared" si="41"/>
        <v>7.366666666666668</v>
      </c>
      <c r="BS4" s="5">
        <f t="shared" si="42"/>
        <v>0</v>
      </c>
      <c r="BT4" s="5">
        <f t="shared" si="43"/>
        <v>0</v>
      </c>
      <c r="BU4" s="5">
        <f t="shared" si="44"/>
        <v>5.6833333333333336</v>
      </c>
      <c r="BV4" s="5">
        <f t="shared" si="45"/>
        <v>0.5</v>
      </c>
      <c r="BW4" s="5">
        <f t="shared" si="46"/>
        <v>5.1833333333333336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7.6333333333333329</v>
      </c>
      <c r="CF4" s="5">
        <f t="shared" si="54"/>
        <v>0.5</v>
      </c>
      <c r="CG4" s="5">
        <f t="shared" si="55"/>
        <v>7.1333333333333329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10125</v>
      </c>
      <c r="B5" s="81" t="s">
        <v>51</v>
      </c>
      <c r="C5" s="103" t="s">
        <v>247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84"/>
      <c r="W5" s="84"/>
      <c r="X5" s="91">
        <f t="shared" si="21"/>
        <v>0</v>
      </c>
      <c r="Y5" s="91"/>
      <c r="Z5" s="91"/>
      <c r="AA5" s="91"/>
      <c r="AB5" s="91">
        <f t="shared" si="22"/>
        <v>0</v>
      </c>
      <c r="AC5" s="92"/>
      <c r="AD5" s="78"/>
      <c r="AE5" s="93">
        <f t="shared" si="1"/>
        <v>0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>
        <f>VLOOKUP(C5,Employees!D:I,6,FALSE)</f>
        <v>10125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10074</v>
      </c>
      <c r="B6" s="81" t="s">
        <v>51</v>
      </c>
      <c r="C6" s="103" t="s">
        <v>112</v>
      </c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84"/>
      <c r="K6" s="84"/>
      <c r="L6" s="91">
        <f t="shared" si="17"/>
        <v>0</v>
      </c>
      <c r="M6" s="75"/>
      <c r="N6" s="75"/>
      <c r="O6" s="91">
        <f t="shared" si="18"/>
        <v>0</v>
      </c>
      <c r="P6" s="75"/>
      <c r="Q6" s="7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0</v>
      </c>
      <c r="AC6" s="92"/>
      <c r="AD6" s="78"/>
      <c r="AE6" s="93">
        <f t="shared" si="1"/>
        <v>0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>
        <f>VLOOKUP(C6,Employees!D:I,6,FALSE)</f>
        <v>10074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>
        <f t="shared" si="0"/>
        <v>10085</v>
      </c>
      <c r="B7" s="81" t="s">
        <v>51</v>
      </c>
      <c r="C7" s="103" t="s">
        <v>142</v>
      </c>
      <c r="D7" s="75">
        <v>0.50763888888888886</v>
      </c>
      <c r="E7" s="75">
        <v>0.8125</v>
      </c>
      <c r="F7" s="91">
        <f t="shared" si="15"/>
        <v>6.8166666666666673</v>
      </c>
      <c r="G7" s="75">
        <v>0.53194444444444444</v>
      </c>
      <c r="H7" s="75">
        <v>0.8125</v>
      </c>
      <c r="I7" s="91">
        <f t="shared" si="16"/>
        <v>6.2333333333333334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75">
        <v>0.54166666666666663</v>
      </c>
      <c r="Q7" s="75">
        <v>0.8125</v>
      </c>
      <c r="R7" s="91">
        <f t="shared" si="19"/>
        <v>6.0000000000000009</v>
      </c>
      <c r="S7" s="75">
        <v>0.54166666666666663</v>
      </c>
      <c r="T7" s="75">
        <v>0.8125</v>
      </c>
      <c r="U7" s="91">
        <f t="shared" si="20"/>
        <v>6.0000000000000009</v>
      </c>
      <c r="V7" s="84">
        <v>0.54166666666666663</v>
      </c>
      <c r="W7" s="84">
        <v>0.80486111111111114</v>
      </c>
      <c r="X7" s="91">
        <f t="shared" si="21"/>
        <v>5.8166666666666682</v>
      </c>
      <c r="Y7" s="91"/>
      <c r="Z7" s="91"/>
      <c r="AA7" s="91"/>
      <c r="AB7" s="91">
        <f t="shared" si="22"/>
        <v>30.866666666666667</v>
      </c>
      <c r="AC7" s="92"/>
      <c r="AD7" s="78"/>
      <c r="AE7" s="93">
        <f t="shared" si="1"/>
        <v>19.05</v>
      </c>
      <c r="AF7" s="77"/>
      <c r="AG7" s="93">
        <f t="shared" si="2"/>
        <v>6.0000000000000009</v>
      </c>
      <c r="AH7" s="77">
        <v>-5.57</v>
      </c>
      <c r="AI7" s="93">
        <f t="shared" si="3"/>
        <v>0.24666666666666792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5</v>
      </c>
      <c r="AQ7" s="77"/>
      <c r="AR7" s="77"/>
      <c r="AS7" s="77"/>
      <c r="AT7" s="44">
        <f t="shared" si="24"/>
        <v>25.296666666666667</v>
      </c>
      <c r="AU7" s="78"/>
      <c r="AV7" s="5"/>
      <c r="AW7" s="5"/>
      <c r="AX7" s="5"/>
      <c r="AY7" s="5"/>
      <c r="AZ7" s="24">
        <f>VLOOKUP(C7,Employees!D:I,6,FALSE)</f>
        <v>10085</v>
      </c>
      <c r="BA7" s="5">
        <f t="shared" si="25"/>
        <v>7.3166666666666673</v>
      </c>
      <c r="BB7" s="5">
        <f t="shared" si="26"/>
        <v>0.5</v>
      </c>
      <c r="BC7" s="5">
        <f t="shared" si="27"/>
        <v>6.8166666666666673</v>
      </c>
      <c r="BD7" s="5">
        <f t="shared" si="58"/>
        <v>0</v>
      </c>
      <c r="BE7" s="5">
        <f t="shared" si="28"/>
        <v>0</v>
      </c>
      <c r="BF7" s="5">
        <f t="shared" si="29"/>
        <v>6.7333333333333334</v>
      </c>
      <c r="BG7" s="5">
        <f t="shared" si="30"/>
        <v>0.5</v>
      </c>
      <c r="BH7" s="5">
        <f t="shared" si="31"/>
        <v>6.2333333333333334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6.5000000000000009</v>
      </c>
      <c r="BV7" s="5">
        <f t="shared" si="45"/>
        <v>0.5</v>
      </c>
      <c r="BW7" s="5">
        <f t="shared" si="46"/>
        <v>6.0000000000000009</v>
      </c>
      <c r="BX7" s="5">
        <f t="shared" si="47"/>
        <v>0</v>
      </c>
      <c r="BY7" s="5">
        <f t="shared" si="11"/>
        <v>0</v>
      </c>
      <c r="BZ7" s="5">
        <f t="shared" si="48"/>
        <v>6.5000000000000009</v>
      </c>
      <c r="CA7" s="5">
        <f t="shared" si="49"/>
        <v>0.5</v>
      </c>
      <c r="CB7" s="5">
        <f t="shared" si="50"/>
        <v>6.0000000000000009</v>
      </c>
      <c r="CC7" s="5">
        <f t="shared" si="51"/>
        <v>0</v>
      </c>
      <c r="CD7" s="5">
        <f t="shared" si="52"/>
        <v>0</v>
      </c>
      <c r="CE7" s="5">
        <f t="shared" si="53"/>
        <v>6.3166666666666682</v>
      </c>
      <c r="CF7" s="5">
        <f t="shared" si="54"/>
        <v>0.5</v>
      </c>
      <c r="CG7" s="5">
        <f t="shared" si="55"/>
        <v>5.8166666666666682</v>
      </c>
      <c r="CH7" s="5">
        <f t="shared" si="56"/>
        <v>0</v>
      </c>
      <c r="CI7" s="5">
        <f t="shared" si="57"/>
        <v>0</v>
      </c>
      <c r="CJ7" s="5"/>
      <c r="CK7" s="4">
        <f t="shared" si="14"/>
        <v>5</v>
      </c>
    </row>
    <row r="8" spans="1:89" ht="38" customHeight="1">
      <c r="A8" s="74">
        <f t="shared" si="0"/>
        <v>210443</v>
      </c>
      <c r="B8" s="81" t="s">
        <v>51</v>
      </c>
      <c r="C8" s="103" t="s">
        <v>1211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>
        <v>0.5</v>
      </c>
      <c r="K8" s="75">
        <v>0.8125</v>
      </c>
      <c r="L8" s="91">
        <f t="shared" si="17"/>
        <v>7</v>
      </c>
      <c r="M8" s="75">
        <v>0.5</v>
      </c>
      <c r="N8" s="75">
        <v>0.88958333333333328</v>
      </c>
      <c r="O8" s="91">
        <f t="shared" si="18"/>
        <v>8.3499999999999979</v>
      </c>
      <c r="P8" s="84">
        <v>0.45833333333333331</v>
      </c>
      <c r="Q8" s="84">
        <v>0.77083333333333337</v>
      </c>
      <c r="R8" s="91">
        <f t="shared" si="19"/>
        <v>7.0000000000000018</v>
      </c>
      <c r="S8" s="84">
        <v>0.4861111111111111</v>
      </c>
      <c r="T8" s="84">
        <v>0.79166666666666663</v>
      </c>
      <c r="U8" s="91">
        <f t="shared" si="20"/>
        <v>6.8333333333333321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29.183333333333334</v>
      </c>
      <c r="AC8" s="92"/>
      <c r="AD8" s="78">
        <v>0.5</v>
      </c>
      <c r="AE8" s="93">
        <f t="shared" si="1"/>
        <v>22.85</v>
      </c>
      <c r="AF8" s="77"/>
      <c r="AG8" s="93">
        <f t="shared" si="2"/>
        <v>6.8333333333333321</v>
      </c>
      <c r="AH8" s="77">
        <v>5.57</v>
      </c>
      <c r="AI8" s="93">
        <f t="shared" si="3"/>
        <v>5.57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4</v>
      </c>
      <c r="AQ8" s="77"/>
      <c r="AR8" s="77"/>
      <c r="AS8" s="77"/>
      <c r="AT8" s="44">
        <f t="shared" si="24"/>
        <v>35.25333333333333</v>
      </c>
      <c r="AU8" s="78"/>
      <c r="AV8" s="5"/>
      <c r="AW8" s="5"/>
      <c r="AX8" s="5"/>
      <c r="AY8" s="5"/>
      <c r="AZ8" s="24">
        <f>VLOOKUP(C8,Employees!D:I,6,FALSE)</f>
        <v>210443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7.5</v>
      </c>
      <c r="BL8" s="5">
        <f t="shared" si="35"/>
        <v>0.5</v>
      </c>
      <c r="BM8" s="5">
        <f t="shared" si="36"/>
        <v>7</v>
      </c>
      <c r="BN8" s="5">
        <f t="shared" si="37"/>
        <v>0</v>
      </c>
      <c r="BO8" s="5">
        <f t="shared" si="38"/>
        <v>0</v>
      </c>
      <c r="BP8" s="5">
        <f t="shared" si="39"/>
        <v>9.3499999999999979</v>
      </c>
      <c r="BQ8" s="5">
        <f t="shared" si="40"/>
        <v>1</v>
      </c>
      <c r="BR8" s="5">
        <f t="shared" si="41"/>
        <v>8.3499999999999979</v>
      </c>
      <c r="BS8" s="5">
        <f t="shared" si="42"/>
        <v>0</v>
      </c>
      <c r="BT8" s="5">
        <f t="shared" si="43"/>
        <v>0</v>
      </c>
      <c r="BU8" s="5">
        <f t="shared" si="44"/>
        <v>7.5000000000000018</v>
      </c>
      <c r="BV8" s="5">
        <f t="shared" si="45"/>
        <v>0.5</v>
      </c>
      <c r="BW8" s="5">
        <f t="shared" si="46"/>
        <v>7.0000000000000018</v>
      </c>
      <c r="BX8" s="5">
        <f t="shared" si="47"/>
        <v>0</v>
      </c>
      <c r="BY8" s="5">
        <f t="shared" si="11"/>
        <v>0</v>
      </c>
      <c r="BZ8" s="5">
        <f t="shared" si="48"/>
        <v>7.3333333333333321</v>
      </c>
      <c r="CA8" s="5">
        <f t="shared" si="49"/>
        <v>0.5</v>
      </c>
      <c r="CB8" s="5">
        <f t="shared" si="50"/>
        <v>6.8333333333333321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4</v>
      </c>
    </row>
    <row r="9" spans="1:89" ht="38" customHeight="1">
      <c r="A9" s="74">
        <f t="shared" si="0"/>
        <v>210456</v>
      </c>
      <c r="B9" s="81" t="s">
        <v>51</v>
      </c>
      <c r="C9" s="103" t="s">
        <v>1243</v>
      </c>
      <c r="D9" s="84"/>
      <c r="E9" s="84"/>
      <c r="F9" s="91">
        <f t="shared" si="15"/>
        <v>0</v>
      </c>
      <c r="G9" s="84">
        <v>0.375</v>
      </c>
      <c r="H9" s="84">
        <v>0.70833333333333337</v>
      </c>
      <c r="I9" s="91">
        <f t="shared" si="16"/>
        <v>7.5</v>
      </c>
      <c r="J9" s="75"/>
      <c r="K9" s="75"/>
      <c r="L9" s="91">
        <f t="shared" si="17"/>
        <v>0</v>
      </c>
      <c r="M9" s="84">
        <v>0.625</v>
      </c>
      <c r="N9" s="84">
        <v>0.89027777777777772</v>
      </c>
      <c r="O9" s="91">
        <f t="shared" si="18"/>
        <v>5.8666666666666654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13.366666666666665</v>
      </c>
      <c r="AC9" s="92"/>
      <c r="AD9" s="78"/>
      <c r="AE9" s="93">
        <f t="shared" si="1"/>
        <v>13.366666666666665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13.366666666666665</v>
      </c>
      <c r="AU9" s="78"/>
      <c r="AV9" s="5"/>
      <c r="AW9" s="5"/>
      <c r="AX9" s="5"/>
      <c r="AY9" s="5"/>
      <c r="AZ9" s="24">
        <f>VLOOKUP(C9,Employees!D:I,6,FALSE)</f>
        <v>210456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8</v>
      </c>
      <c r="BG9" s="5">
        <f t="shared" si="30"/>
        <v>0.5</v>
      </c>
      <c r="BH9" s="5">
        <f t="shared" si="31"/>
        <v>7.5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6.3666666666666654</v>
      </c>
      <c r="BQ9" s="5">
        <f t="shared" si="40"/>
        <v>0.5</v>
      </c>
      <c r="BR9" s="5">
        <f t="shared" si="41"/>
        <v>5.8666666666666654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 t="str">
        <f t="shared" si="0"/>
        <v/>
      </c>
      <c r="B10" s="73"/>
      <c r="C10" s="98"/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45992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45993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45994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45995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45996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45997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45998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45999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10185</v>
      </c>
      <c r="B2" s="81" t="s">
        <v>51</v>
      </c>
      <c r="C2" s="101" t="s">
        <v>555</v>
      </c>
      <c r="D2" s="75"/>
      <c r="E2" s="75"/>
      <c r="F2" s="91">
        <f>BA2-BB2</f>
        <v>0</v>
      </c>
      <c r="G2" s="75"/>
      <c r="H2" s="76"/>
      <c r="I2" s="91">
        <f>BF2-BG2</f>
        <v>0</v>
      </c>
      <c r="J2" s="75"/>
      <c r="K2" s="76"/>
      <c r="L2" s="91">
        <f>BK2-BL2</f>
        <v>0</v>
      </c>
      <c r="M2" s="75"/>
      <c r="N2" s="76"/>
      <c r="O2" s="91">
        <f>BP2-BQ2</f>
        <v>0</v>
      </c>
      <c r="P2" s="75"/>
      <c r="Q2" s="76"/>
      <c r="R2" s="91">
        <f>BU2-BV2</f>
        <v>0</v>
      </c>
      <c r="S2" s="75">
        <v>0.375</v>
      </c>
      <c r="T2" s="75">
        <v>0.625</v>
      </c>
      <c r="U2" s="91">
        <f>BZ2-CA2</f>
        <v>5.5</v>
      </c>
      <c r="V2" s="75">
        <v>0.375</v>
      </c>
      <c r="W2" s="76">
        <v>0.625</v>
      </c>
      <c r="X2" s="91">
        <f>CE2-CF2</f>
        <v>5.5</v>
      </c>
      <c r="Y2" s="91"/>
      <c r="Z2" s="91"/>
      <c r="AA2" s="91"/>
      <c r="AB2" s="95">
        <f>SUM(F2,I2,L2,O2,R2,U2,X2)</f>
        <v>11</v>
      </c>
      <c r="AC2" s="92"/>
      <c r="AD2" s="78">
        <v>1</v>
      </c>
      <c r="AE2" s="93">
        <f>SUMIF($BC$1:$CI$1,AE$1,$BC2:$CI2)+AD2</f>
        <v>1</v>
      </c>
      <c r="AF2" s="78">
        <v>0.5</v>
      </c>
      <c r="AG2" s="93">
        <f>SUMIF($BC$1:$CI$1,AG$1,$BC2:$CI2)+AF2</f>
        <v>6</v>
      </c>
      <c r="AH2" s="78">
        <v>0.5</v>
      </c>
      <c r="AI2" s="93">
        <f>SUMIF($BC$1:$CI$1,AI$1,$BC2:$CI2)+AH2</f>
        <v>6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2</v>
      </c>
      <c r="AQ2" s="77"/>
      <c r="AR2" s="77"/>
      <c r="AS2" s="77"/>
      <c r="AT2" s="63">
        <f>AE2+AG2+AI2+AK2+AM2+AO2+SUM(AQ2:AS2)</f>
        <v>13</v>
      </c>
      <c r="AU2" s="78"/>
      <c r="AV2" s="5"/>
      <c r="AW2" s="5"/>
      <c r="AX2" s="5"/>
      <c r="AY2" s="5"/>
      <c r="AZ2" s="24">
        <f>VLOOKUP(C2,Employees!D:I,6,FALSE)</f>
        <v>10185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6</v>
      </c>
      <c r="CA2" s="5">
        <f>IF(BZ2&gt;$AY$1,1,IF(BZ2&gt;=$AX$1,0.5,0))</f>
        <v>0.5</v>
      </c>
      <c r="CB2" s="5">
        <f>BZ2-CA2-CC2-CD2</f>
        <v>5.5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6</v>
      </c>
      <c r="CF2" s="5">
        <f>IF(CE2&gt;$AY$1,1,IF(CE2&gt;=$AX$1,0.5,0))</f>
        <v>0.5</v>
      </c>
      <c r="CG2" s="5">
        <f>CE2-CF2-CH2-CI2</f>
        <v>5.5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74">
        <f t="shared" si="0"/>
        <v>10138</v>
      </c>
      <c r="B3" s="81" t="s">
        <v>51</v>
      </c>
      <c r="C3" s="102" t="s">
        <v>282</v>
      </c>
      <c r="D3" s="75">
        <v>0.375</v>
      </c>
      <c r="E3" s="75">
        <v>0.70833333333333337</v>
      </c>
      <c r="F3" s="91">
        <f t="shared" ref="F3:F74" si="9">BA3-BB3</f>
        <v>7.5</v>
      </c>
      <c r="G3" s="75"/>
      <c r="H3" s="75"/>
      <c r="I3" s="91">
        <f t="shared" ref="I3:I74" si="10">BF3-BG3</f>
        <v>0</v>
      </c>
      <c r="J3" s="75">
        <v>0.38263888888888886</v>
      </c>
      <c r="K3" s="75">
        <v>0.70833333333333337</v>
      </c>
      <c r="L3" s="91">
        <f t="shared" ref="L3:L74" si="11">BK3-BL3</f>
        <v>7.3166666666666682</v>
      </c>
      <c r="M3" s="75">
        <v>0.38194444444444442</v>
      </c>
      <c r="N3" s="75">
        <v>0.70833333333333337</v>
      </c>
      <c r="O3" s="91">
        <f t="shared" ref="O3:O74" si="12">BP3-BQ3</f>
        <v>7.3333333333333348</v>
      </c>
      <c r="P3" s="84"/>
      <c r="Q3" s="84"/>
      <c r="R3" s="91">
        <f t="shared" ref="R3:R74" si="13">BU3-BV3</f>
        <v>0</v>
      </c>
      <c r="S3" s="84">
        <v>0.4513888888888889</v>
      </c>
      <c r="T3" s="84">
        <v>0.70833333333333337</v>
      </c>
      <c r="U3" s="91">
        <f t="shared" ref="U3:U74" si="14">BZ3-CA3</f>
        <v>5.6666666666666679</v>
      </c>
      <c r="V3" s="75">
        <v>0.4826388888888889</v>
      </c>
      <c r="W3" s="75">
        <v>0.70833333333333337</v>
      </c>
      <c r="X3" s="91">
        <f t="shared" ref="X3:X74" si="15">CE3-CF3</f>
        <v>5.4166666666666679</v>
      </c>
      <c r="Y3" s="91"/>
      <c r="Z3" s="91"/>
      <c r="AA3" s="91"/>
      <c r="AB3" s="95">
        <f t="shared" ref="AB3:AB74" si="16">SUM(F3,I3,L3,O3,R3,U3,X3)</f>
        <v>33.233333333333334</v>
      </c>
      <c r="AC3" s="92"/>
      <c r="AD3" s="78"/>
      <c r="AE3" s="93">
        <f t="shared" ref="AE3:AE74" si="17">SUMIF($BC$1:$CI$1,AE$1,$BC3:$CI3)+AD3</f>
        <v>22.150000000000002</v>
      </c>
      <c r="AF3" s="78"/>
      <c r="AG3" s="93">
        <f t="shared" ref="AG3:AG74" si="18">SUMIF($BC$1:$CI$1,AG$1,$BC3:$CI3)+AF3</f>
        <v>5.6666666666666679</v>
      </c>
      <c r="AH3" s="78"/>
      <c r="AI3" s="93">
        <f t="shared" ref="AI3:AI74" si="19">SUMIF($BC$1:$CI$1,AI$1,$BC3:$CI3)+AH3</f>
        <v>5.4166666666666679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33.233333333333334</v>
      </c>
      <c r="AU3" s="78"/>
      <c r="AV3" s="5"/>
      <c r="AW3" s="5"/>
      <c r="AX3" s="5"/>
      <c r="AY3" s="5"/>
      <c r="AZ3" s="24">
        <f>VLOOKUP(C3,Employees!D:I,6,FALSE)</f>
        <v>10138</v>
      </c>
      <c r="BA3" s="5">
        <f t="shared" ref="BA3:BA66" si="25">IF(ISBLANK(D3),0,(E3-D3)*24)</f>
        <v>8</v>
      </c>
      <c r="BB3" s="5">
        <f t="shared" ref="BB3:BB66" si="26">IF(BA3&gt;$AY$1,1,IF(BA3&gt;=$AX$1,0.5,0))</f>
        <v>0.5</v>
      </c>
      <c r="BC3" s="5">
        <f t="shared" ref="BC3:BC66" si="27">BA3-BB3-BD3-BE3</f>
        <v>7.5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7.8166666666666682</v>
      </c>
      <c r="BL3" s="5">
        <f t="shared" ref="BL3:BL66" si="36">IF(BK3&gt;$AY$1,1,IF(BK3&gt;=$AX$1,0.5,0))</f>
        <v>0.5</v>
      </c>
      <c r="BM3" s="5">
        <f t="shared" ref="BM3:BM66" si="37">BK3-BL3-BN3-BO3</f>
        <v>7.3166666666666682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7.8333333333333348</v>
      </c>
      <c r="BQ3" s="5">
        <f t="shared" ref="BQ3:BQ66" si="41">IF(BP3&gt;$AY$1,1,IF(BP3&gt;=$AX$1,0.5,0))</f>
        <v>0.5</v>
      </c>
      <c r="BR3" s="5">
        <f t="shared" ref="BR3:BR66" si="42">BP3-BQ3-BS3-BT3</f>
        <v>7.3333333333333348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6.1666666666666679</v>
      </c>
      <c r="CA3" s="5">
        <f t="shared" ref="CA3:CA66" si="51">IF(BZ3&gt;$AY$1,1,IF(BZ3&gt;=$AX$1,0.5,0))</f>
        <v>0.5</v>
      </c>
      <c r="CB3" s="5">
        <f t="shared" ref="CB3:CB66" si="52">BZ3-CA3-CC3-CD3</f>
        <v>5.6666666666666679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5.4166666666666679</v>
      </c>
      <c r="CF3" s="5">
        <f t="shared" ref="CF3:CF66" si="56">IF(CE3&gt;$AY$1,1,IF(CE3&gt;=$AX$1,0.5,0))</f>
        <v>0</v>
      </c>
      <c r="CG3" s="5">
        <f t="shared" ref="CG3:CG66" si="57">CE3-CF3-CH3-CI3</f>
        <v>5.4166666666666679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5</v>
      </c>
    </row>
    <row r="4" spans="1:89" ht="47" customHeight="1">
      <c r="A4" s="74">
        <f t="shared" si="0"/>
        <v>10335</v>
      </c>
      <c r="B4" s="81" t="s">
        <v>51</v>
      </c>
      <c r="C4" s="101" t="s">
        <v>929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>
        <v>0.54166666666666663</v>
      </c>
      <c r="T4" s="75">
        <v>0.79305555555555551</v>
      </c>
      <c r="U4" s="91">
        <f t="shared" si="14"/>
        <v>5.5333333333333332</v>
      </c>
      <c r="V4" s="75">
        <v>0.50416666666666665</v>
      </c>
      <c r="W4" s="75">
        <v>0.79166666666666663</v>
      </c>
      <c r="X4" s="91">
        <f t="shared" si="15"/>
        <v>6.3999999999999995</v>
      </c>
      <c r="Y4" s="91"/>
      <c r="Z4" s="91"/>
      <c r="AA4" s="91"/>
      <c r="AB4" s="95">
        <f t="shared" si="16"/>
        <v>11.933333333333334</v>
      </c>
      <c r="AC4" s="92"/>
      <c r="AD4" s="78"/>
      <c r="AE4" s="93">
        <f t="shared" si="17"/>
        <v>0</v>
      </c>
      <c r="AF4" s="78"/>
      <c r="AG4" s="93">
        <f t="shared" si="18"/>
        <v>5.5333333333333332</v>
      </c>
      <c r="AH4" s="78"/>
      <c r="AI4" s="93">
        <f t="shared" si="19"/>
        <v>6.3999999999999995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2</v>
      </c>
      <c r="AQ4" s="77"/>
      <c r="AR4" s="77"/>
      <c r="AS4" s="77"/>
      <c r="AT4" s="63">
        <f t="shared" si="24"/>
        <v>11.933333333333334</v>
      </c>
      <c r="AU4" s="78"/>
      <c r="AV4" s="5"/>
      <c r="AW4" s="5"/>
      <c r="AX4" s="5"/>
      <c r="AY4" s="5"/>
      <c r="AZ4" s="24">
        <f>VLOOKUP(C4,Employees!D:I,6,FALSE)</f>
        <v>10335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6.0333333333333332</v>
      </c>
      <c r="CA4" s="5">
        <f t="shared" si="51"/>
        <v>0.5</v>
      </c>
      <c r="CB4" s="5">
        <f t="shared" si="52"/>
        <v>5.5333333333333332</v>
      </c>
      <c r="CC4" s="5">
        <f t="shared" si="53"/>
        <v>0</v>
      </c>
      <c r="CD4" s="5">
        <f t="shared" si="54"/>
        <v>0</v>
      </c>
      <c r="CE4" s="5">
        <f t="shared" si="55"/>
        <v>6.8999999999999995</v>
      </c>
      <c r="CF4" s="5">
        <f t="shared" si="56"/>
        <v>0.5</v>
      </c>
      <c r="CG4" s="5">
        <f t="shared" si="57"/>
        <v>6.3999999999999995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10125</v>
      </c>
      <c r="B5" s="81" t="s">
        <v>51</v>
      </c>
      <c r="C5" s="103" t="s">
        <v>247</v>
      </c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/>
      <c r="T5" s="75"/>
      <c r="U5" s="91">
        <f t="shared" si="14"/>
        <v>0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0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10125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10074</v>
      </c>
      <c r="B6" s="81" t="s">
        <v>51</v>
      </c>
      <c r="C6" s="103" t="s">
        <v>112</v>
      </c>
      <c r="D6" s="76"/>
      <c r="E6" s="75"/>
      <c r="F6" s="91">
        <f t="shared" si="9"/>
        <v>0</v>
      </c>
      <c r="G6" s="75">
        <v>0.52013888888888893</v>
      </c>
      <c r="H6" s="76">
        <v>0.80833333333333335</v>
      </c>
      <c r="I6" s="91">
        <f t="shared" si="10"/>
        <v>6.4166666666666661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>
        <v>0.375</v>
      </c>
      <c r="Q6" s="75">
        <v>0.64583333333333337</v>
      </c>
      <c r="R6" s="91">
        <f t="shared" si="13"/>
        <v>6.0000000000000009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12.416666666666668</v>
      </c>
      <c r="AC6" s="92"/>
      <c r="AD6" s="78"/>
      <c r="AE6" s="93">
        <f t="shared" si="17"/>
        <v>12.416666666666668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2</v>
      </c>
      <c r="AQ6" s="77"/>
      <c r="AR6" s="77"/>
      <c r="AS6" s="77"/>
      <c r="AT6" s="63">
        <f t="shared" si="24"/>
        <v>12.416666666666668</v>
      </c>
      <c r="AU6" s="78"/>
      <c r="AV6" s="5"/>
      <c r="AW6" s="5"/>
      <c r="AX6" s="5"/>
      <c r="AY6" s="5"/>
      <c r="AZ6" s="24">
        <f>VLOOKUP(C6,Employees!D:I,6,FALSE)</f>
        <v>10074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6.9166666666666661</v>
      </c>
      <c r="BG6" s="5">
        <f t="shared" si="31"/>
        <v>0.5</v>
      </c>
      <c r="BH6" s="5">
        <f t="shared" si="32"/>
        <v>6.4166666666666661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6.5000000000000009</v>
      </c>
      <c r="BV6" s="5">
        <f t="shared" si="46"/>
        <v>0.5</v>
      </c>
      <c r="BW6" s="5">
        <f t="shared" si="47"/>
        <v>6.0000000000000009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10085</v>
      </c>
      <c r="B7" s="81" t="s">
        <v>51</v>
      </c>
      <c r="C7" s="103" t="s">
        <v>142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>
        <v>0.5</v>
      </c>
      <c r="N7" s="76">
        <v>0.88749999999999996</v>
      </c>
      <c r="O7" s="91">
        <f t="shared" si="12"/>
        <v>8.2999999999999989</v>
      </c>
      <c r="P7" s="76">
        <v>0.54166666666666663</v>
      </c>
      <c r="Q7" s="75">
        <v>0.81041666666666667</v>
      </c>
      <c r="R7" s="91">
        <f t="shared" si="13"/>
        <v>5.9500000000000011</v>
      </c>
      <c r="S7" s="76"/>
      <c r="T7" s="75"/>
      <c r="U7" s="91">
        <f t="shared" si="14"/>
        <v>0</v>
      </c>
      <c r="V7" s="75">
        <v>0.54166666666666663</v>
      </c>
      <c r="W7" s="76">
        <v>0.79374999999999996</v>
      </c>
      <c r="X7" s="91">
        <f t="shared" si="15"/>
        <v>5.55</v>
      </c>
      <c r="Y7" s="91"/>
      <c r="Z7" s="91"/>
      <c r="AA7" s="91"/>
      <c r="AB7" s="95">
        <f t="shared" si="16"/>
        <v>19.8</v>
      </c>
      <c r="AC7" s="92"/>
      <c r="AD7" s="78">
        <v>0.5</v>
      </c>
      <c r="AE7" s="93">
        <f t="shared" si="17"/>
        <v>14.75</v>
      </c>
      <c r="AF7" s="77"/>
      <c r="AG7" s="93">
        <f t="shared" si="18"/>
        <v>0</v>
      </c>
      <c r="AH7" s="78"/>
      <c r="AI7" s="93">
        <f t="shared" si="19"/>
        <v>5.55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3</v>
      </c>
      <c r="AQ7" s="77">
        <v>8</v>
      </c>
      <c r="AR7" s="77"/>
      <c r="AS7" s="77"/>
      <c r="AT7" s="63">
        <f t="shared" si="24"/>
        <v>28.3</v>
      </c>
      <c r="AU7" s="78"/>
      <c r="AV7" s="5"/>
      <c r="AW7" s="5"/>
      <c r="AX7" s="5"/>
      <c r="AY7" s="5"/>
      <c r="AZ7" s="24">
        <f>VLOOKUP(C7,Employees!D:I,6,FALSE)</f>
        <v>10085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9.2999999999999989</v>
      </c>
      <c r="BQ7" s="5">
        <f t="shared" si="41"/>
        <v>1</v>
      </c>
      <c r="BR7" s="5">
        <f t="shared" si="42"/>
        <v>8.2999999999999989</v>
      </c>
      <c r="BS7" s="5">
        <f t="shared" si="43"/>
        <v>0</v>
      </c>
      <c r="BT7" s="5">
        <f t="shared" si="44"/>
        <v>0</v>
      </c>
      <c r="BU7" s="5">
        <f t="shared" si="45"/>
        <v>6.4500000000000011</v>
      </c>
      <c r="BV7" s="5">
        <f t="shared" si="46"/>
        <v>0.5</v>
      </c>
      <c r="BW7" s="5">
        <f t="shared" si="47"/>
        <v>5.9500000000000011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6.05</v>
      </c>
      <c r="CF7" s="5">
        <f t="shared" si="56"/>
        <v>0.5</v>
      </c>
      <c r="CG7" s="5">
        <f t="shared" si="57"/>
        <v>5.55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210443</v>
      </c>
      <c r="B8" s="81" t="s">
        <v>51</v>
      </c>
      <c r="C8" s="103" t="s">
        <v>1211</v>
      </c>
      <c r="D8" s="76">
        <v>0.5</v>
      </c>
      <c r="E8" s="76">
        <v>0.80138888888888893</v>
      </c>
      <c r="F8" s="91">
        <f t="shared" si="9"/>
        <v>6.7333333333333343</v>
      </c>
      <c r="G8" s="76">
        <v>0.375</v>
      </c>
      <c r="H8" s="75">
        <v>0.70833333333333337</v>
      </c>
      <c r="I8" s="91">
        <f t="shared" si="10"/>
        <v>7.5</v>
      </c>
      <c r="J8" s="76">
        <v>0.5</v>
      </c>
      <c r="K8" s="75">
        <v>0.80486111111111114</v>
      </c>
      <c r="L8" s="91">
        <f t="shared" si="11"/>
        <v>6.8166666666666673</v>
      </c>
      <c r="M8" s="76">
        <v>0.625</v>
      </c>
      <c r="N8" s="75">
        <v>0.88749999999999996</v>
      </c>
      <c r="O8" s="91">
        <f t="shared" si="12"/>
        <v>5.7999999999999989</v>
      </c>
      <c r="P8" s="76">
        <v>0.5</v>
      </c>
      <c r="Q8" s="76">
        <v>0.79166666666666663</v>
      </c>
      <c r="R8" s="91">
        <f t="shared" si="13"/>
        <v>6.4999999999999991</v>
      </c>
      <c r="S8" s="76">
        <v>0.49583333333333335</v>
      </c>
      <c r="T8" s="76">
        <v>0.79166666666666663</v>
      </c>
      <c r="U8" s="91">
        <f t="shared" si="14"/>
        <v>6.5999999999999988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39.950000000000003</v>
      </c>
      <c r="AC8" s="92"/>
      <c r="AD8" s="78"/>
      <c r="AE8" s="93">
        <f t="shared" si="17"/>
        <v>33.35</v>
      </c>
      <c r="AF8" s="77"/>
      <c r="AG8" s="93">
        <f t="shared" si="18"/>
        <v>6.5999999999999988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6</v>
      </c>
      <c r="AQ8" s="77"/>
      <c r="AR8" s="77"/>
      <c r="AS8" s="77"/>
      <c r="AT8" s="63">
        <f t="shared" si="24"/>
        <v>39.950000000000003</v>
      </c>
      <c r="AU8" s="78"/>
      <c r="AV8" s="5"/>
      <c r="AW8" s="5"/>
      <c r="AX8" s="5"/>
      <c r="AY8" s="5"/>
      <c r="AZ8" s="24">
        <f>VLOOKUP(C8,Employees!D:I,6,FALSE)</f>
        <v>210443</v>
      </c>
      <c r="BA8" s="5">
        <f t="shared" si="25"/>
        <v>7.2333333333333343</v>
      </c>
      <c r="BB8" s="5">
        <f t="shared" si="26"/>
        <v>0.5</v>
      </c>
      <c r="BC8" s="5">
        <f t="shared" si="27"/>
        <v>6.7333333333333343</v>
      </c>
      <c r="BD8" s="5">
        <f t="shared" si="28"/>
        <v>0</v>
      </c>
      <c r="BE8" s="5">
        <f t="shared" si="29"/>
        <v>0</v>
      </c>
      <c r="BF8" s="5">
        <f t="shared" si="30"/>
        <v>8</v>
      </c>
      <c r="BG8" s="5">
        <f t="shared" si="31"/>
        <v>0.5</v>
      </c>
      <c r="BH8" s="5">
        <f t="shared" si="32"/>
        <v>7.5</v>
      </c>
      <c r="BI8" s="5">
        <f t="shared" si="33"/>
        <v>0</v>
      </c>
      <c r="BJ8" s="5">
        <f t="shared" si="34"/>
        <v>0</v>
      </c>
      <c r="BK8" s="5">
        <f t="shared" si="35"/>
        <v>7.3166666666666673</v>
      </c>
      <c r="BL8" s="5">
        <f t="shared" si="36"/>
        <v>0.5</v>
      </c>
      <c r="BM8" s="5">
        <f t="shared" si="37"/>
        <v>6.8166666666666673</v>
      </c>
      <c r="BN8" s="5">
        <f t="shared" si="38"/>
        <v>0</v>
      </c>
      <c r="BO8" s="5">
        <f t="shared" si="39"/>
        <v>0</v>
      </c>
      <c r="BP8" s="5">
        <f t="shared" si="40"/>
        <v>6.2999999999999989</v>
      </c>
      <c r="BQ8" s="5">
        <f t="shared" si="41"/>
        <v>0.5</v>
      </c>
      <c r="BR8" s="5">
        <f t="shared" si="42"/>
        <v>5.7999999999999989</v>
      </c>
      <c r="BS8" s="5">
        <f t="shared" si="43"/>
        <v>0</v>
      </c>
      <c r="BT8" s="5">
        <f t="shared" si="44"/>
        <v>0</v>
      </c>
      <c r="BU8" s="5">
        <f t="shared" si="45"/>
        <v>6.9999999999999991</v>
      </c>
      <c r="BV8" s="5">
        <f t="shared" si="46"/>
        <v>0.5</v>
      </c>
      <c r="BW8" s="5">
        <f t="shared" si="47"/>
        <v>6.4999999999999991</v>
      </c>
      <c r="BX8" s="5">
        <f t="shared" si="48"/>
        <v>0</v>
      </c>
      <c r="BY8" s="5">
        <f t="shared" si="49"/>
        <v>0</v>
      </c>
      <c r="BZ8" s="5">
        <f t="shared" si="50"/>
        <v>7.0999999999999988</v>
      </c>
      <c r="CA8" s="5">
        <f t="shared" si="51"/>
        <v>0.5</v>
      </c>
      <c r="CB8" s="5">
        <f t="shared" si="52"/>
        <v>6.5999999999999988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6</v>
      </c>
    </row>
    <row r="9" spans="1:89" ht="47" customHeight="1">
      <c r="A9" s="74" t="str">
        <f t="shared" si="0"/>
        <v/>
      </c>
      <c r="B9" s="81"/>
      <c r="C9" s="103"/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sqref="A1:XFD1048576"/>
    </sheetView>
  </sheetViews>
  <sheetFormatPr baseColWidth="10" defaultRowHeight="13"/>
  <cols>
    <col min="1" max="1" width="10.83203125" style="16" customWidth="1"/>
    <col min="2" max="2" width="11.332031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.1640625" style="14" bestFit="1" customWidth="1"/>
    <col min="15" max="15" width="6.33203125" style="14" bestFit="1" customWidth="1"/>
    <col min="16" max="16" width="6.1640625" style="14" bestFit="1" customWidth="1"/>
    <col min="17" max="17" width="6" style="14" bestFit="1" customWidth="1"/>
    <col min="18" max="18" width="6.1640625" style="14" bestFit="1" customWidth="1"/>
    <col min="19" max="19" width="11" style="28" bestFit="1" customWidth="1"/>
    <col min="20" max="20" width="13.83203125" style="14" bestFit="1" customWidth="1"/>
    <col min="21" max="22" width="12.5" style="14" bestFit="1" customWidth="1"/>
    <col min="23" max="23" width="12.33203125" style="14" customWidth="1"/>
    <col min="24" max="24" width="10.83203125" style="17"/>
    <col min="25" max="25" width="6.33203125" style="17" bestFit="1" customWidth="1"/>
    <col min="26" max="30" width="12" style="17" customWidth="1"/>
    <col min="31" max="31" width="10.83203125" style="38" bestFit="1" customWidth="1"/>
    <col min="32" max="36" width="12" style="17" customWidth="1"/>
    <col min="37" max="37" width="6.33203125" style="17" bestFit="1" customWidth="1"/>
    <col min="38" max="42" width="12" style="16" customWidth="1"/>
    <col min="43" max="43" width="12" style="38" customWidth="1"/>
    <col min="44" max="47" width="11" style="16" bestFit="1" customWidth="1"/>
    <col min="48" max="48" width="10.83203125" style="16"/>
    <col min="49" max="50" width="10.832031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23/11/25</v>
      </c>
      <c r="G1" s="13" t="str">
        <f>_xlfn.CONCAT("Age on ",TEXT( 'Week 1 Roster'!$D$1+14,"dd/mm/yy"))</f>
        <v>Age on 08/12/25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10185</v>
      </c>
      <c r="B2" s="28">
        <f ca="1">IF(A2=0,"",_xlfn.NUMBERVALUE(A2))</f>
        <v>10185</v>
      </c>
      <c r="C2" s="28" t="str">
        <f ca="1">IF($A2=0,"",VLOOKUP($B2,Employees!$A:$G,2,FALSE))</f>
        <v>Lihour</v>
      </c>
      <c r="D2" s="28" t="str">
        <f ca="1">IF($A2=0,"",VLOOKUP($B2,Employees!$A:$G,3,FALSE))</f>
        <v>Chhit</v>
      </c>
      <c r="E2" s="26">
        <f ca="1">IF($A2=0,"",VLOOKUP($B2,Employees!$A:$G,5,FALSE))</f>
        <v>36488</v>
      </c>
      <c r="F2" s="13">
        <f ca="1">IF($E2="","",ROUNDDOWN(YEARFRAC($E2, 'Week 1 Roster'!$D$1-1, 1), 0))</f>
        <v>25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Rouse Hill</v>
      </c>
      <c r="L2" s="13" t="str">
        <f ca="1">IF($A2=0,"",VLOOKUP(K2,Stores!A:B,2,0))</f>
        <v>Superb</v>
      </c>
      <c r="M2" s="14">
        <f t="shared" ref="M2" ca="1" si="0">Y2+AK2</f>
        <v>2</v>
      </c>
      <c r="N2" s="14">
        <f t="shared" ref="N2" ca="1" si="1">Z2+AL2</f>
        <v>12</v>
      </c>
      <c r="O2" s="14">
        <f t="shared" ref="O2" ca="1" si="2">AA2+AM2</f>
        <v>12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4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26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6</v>
      </c>
      <c r="AA2" s="17">
        <f ca="1">IF($A2=0,0,SUMIF('Week 1 Roster'!$AZ:$AZ,$B2,'Week 1 Roster'!$AI:$AI))</f>
        <v>6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2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13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6</v>
      </c>
      <c r="AM2" s="17">
        <f ca="1">IF($A2=0,0,SUMIF('Week 2 Roster'!$AZ:$AZ,$B2,'Week 2 Roster'!$AI:$AI))</f>
        <v>6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2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13</v>
      </c>
      <c r="AV2" s="17"/>
      <c r="AW2" s="25">
        <f>'Week 1 Roster'!A2</f>
        <v>10185</v>
      </c>
      <c r="AX2" s="25">
        <f>'Week 2 Roster'!A2</f>
        <v>10185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10138</v>
      </c>
      <c r="B3" s="28">
        <f t="shared" ref="B3:B66" ca="1" si="9">IF(A3=0,"",_xlfn.NUMBERVALUE(A3))</f>
        <v>10138</v>
      </c>
      <c r="C3" s="28" t="str">
        <f ca="1">IF($A3=0,"",VLOOKUP($B3,Employees!$A:$G,2,FALSE))</f>
        <v>Soksophoanketia</v>
      </c>
      <c r="D3" s="28" t="str">
        <f ca="1">IF($A3=0,"",VLOOKUP($B3,Employees!$A:$G,3,FALSE))</f>
        <v>Chantha</v>
      </c>
      <c r="E3" s="26">
        <f ca="1">IF($A3=0,"",VLOOKUP($B3,Employees!$A:$G,5,FALSE))</f>
        <v>38436</v>
      </c>
      <c r="F3" s="13">
        <f ca="1">IF($E3="","",ROUNDDOWN(YEARFRAC($E3, 'Week 1 Roster'!$D$1-1, 1), 0))</f>
        <v>20</v>
      </c>
      <c r="G3" s="13">
        <f ca="1">IF($E3="","",ROUNDDOWN(YEARFRAC($E3, 'Week 1 Roster'!$D$1+14, 1), 0))</f>
        <v>20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Rouse Hill</v>
      </c>
      <c r="L3" s="13" t="str">
        <f ca="1">IF($A3=0,"",VLOOKUP(K3,Stores!A:B,2,0))</f>
        <v>Superb</v>
      </c>
      <c r="M3" s="14">
        <f t="shared" ref="M3:M66" ca="1" si="11">Y3+AK3</f>
        <v>36.050000000000004</v>
      </c>
      <c r="N3" s="14">
        <f t="shared" ref="N3:N66" ca="1" si="12">Z3+AL3</f>
        <v>10.116666666666667</v>
      </c>
      <c r="O3" s="14">
        <f t="shared" ref="O3:O66" ca="1" si="13">AA3+AM3</f>
        <v>11.916666666666668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9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58.083333333333343</v>
      </c>
      <c r="Y3" s="17">
        <f ca="1">IF($A3=0,0,SUMIF('Week 1 Roster'!$AZ:$AZ,$B3,'Week 1 Roster'!$AE:$AE))</f>
        <v>13.900000000000002</v>
      </c>
      <c r="Z3" s="17">
        <f ca="1">IF($A3=0,0,SUMIF('Week 1 Roster'!$AZ:$AZ,$B3,'Week 1 Roster'!$AG:$AG))</f>
        <v>4.45</v>
      </c>
      <c r="AA3" s="17">
        <f ca="1">IF($A3=0,0,SUMIF('Week 1 Roster'!$AZ:$AZ,$B3,'Week 1 Roster'!$AI:$AI))</f>
        <v>6.4999999999999991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24.85</v>
      </c>
      <c r="AK3" s="17">
        <f ca="1">IF($A3=0,0,SUMIF('Week 2 Roster'!$AZ:$AZ,$B3,'Week 2 Roster'!$AE:$AE))</f>
        <v>22.150000000000002</v>
      </c>
      <c r="AL3" s="17">
        <f ca="1">IF($A3=0,0,SUMIF('Week 2 Roster'!$AZ:$AZ,$B3,'Week 2 Roster'!$AG:$AG))</f>
        <v>5.6666666666666679</v>
      </c>
      <c r="AM3" s="17">
        <f ca="1">IF($A3=0,0,SUMIF('Week 2 Roster'!$AZ:$AZ,$B3,'Week 2 Roster'!$AI:$AI))</f>
        <v>5.4166666666666679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33.233333333333334</v>
      </c>
      <c r="AV3" s="17"/>
      <c r="AW3" s="25">
        <f>'Week 1 Roster'!A3</f>
        <v>10138</v>
      </c>
      <c r="AX3" s="25">
        <f>'Week 2 Roster'!A3</f>
        <v>10138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10335</v>
      </c>
      <c r="B4" s="28">
        <f t="shared" ca="1" si="9"/>
        <v>10335</v>
      </c>
      <c r="C4" s="28" t="str">
        <f ca="1">IF($A4=0,"",VLOOKUP($B4,Employees!$A:$G,2,FALSE))</f>
        <v>Chansethea</v>
      </c>
      <c r="D4" s="28" t="str">
        <f ca="1">IF($A4=0,"",VLOOKUP($B4,Employees!$A:$G,3,FALSE))</f>
        <v>Sunly</v>
      </c>
      <c r="E4" s="26">
        <f ca="1">IF($A4=0,"",VLOOKUP($B4,Employees!$A:$G,5,FALSE))</f>
        <v>36668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Rouse Hill</v>
      </c>
      <c r="L4" s="13" t="str">
        <f ca="1">IF($A4=0,"",VLOOKUP(K4,Stores!A:B,2,0))</f>
        <v>Superb</v>
      </c>
      <c r="M4" s="14">
        <f t="shared" ca="1" si="11"/>
        <v>12.55</v>
      </c>
      <c r="N4" s="14">
        <f t="shared" ca="1" si="12"/>
        <v>5.5333333333333332</v>
      </c>
      <c r="O4" s="14">
        <f t="shared" ca="1" si="13"/>
        <v>13.533333333333331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31.616666666666667</v>
      </c>
      <c r="Y4" s="17">
        <f ca="1">IF($A4=0,0,SUMIF('Week 1 Roster'!$AZ:$AZ,$B4,'Week 1 Roster'!$AE:$AE))</f>
        <v>12.55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7.1333333333333329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19.683333333333334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5.5333333333333332</v>
      </c>
      <c r="AM4" s="17">
        <f ca="1">IF($A4=0,0,SUMIF('Week 2 Roster'!$AZ:$AZ,$B4,'Week 2 Roster'!$AI:$AI))</f>
        <v>6.3999999999999995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11.933333333333334</v>
      </c>
      <c r="AV4" s="17"/>
      <c r="AW4" s="25">
        <f>'Week 1 Roster'!A4</f>
        <v>10335</v>
      </c>
      <c r="AX4" s="25">
        <f>'Week 2 Roster'!A4</f>
        <v>10335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10125</v>
      </c>
      <c r="B5" s="28">
        <f t="shared" ca="1" si="9"/>
        <v>10125</v>
      </c>
      <c r="C5" s="28" t="str">
        <f ca="1">IF($A5=0,"",VLOOKUP($B5,Employees!$A:$G,2,FALSE))</f>
        <v>Ouksa</v>
      </c>
      <c r="D5" s="28" t="str">
        <f ca="1">IF($A5=0,"",VLOOKUP($B5,Employees!$A:$G,3,FALSE))</f>
        <v>Sim</v>
      </c>
      <c r="E5" s="26">
        <f ca="1">IF($A5=0,"",VLOOKUP($B5,Employees!$A:$G,5,FALSE))</f>
        <v>35184</v>
      </c>
      <c r="F5" s="13">
        <f ca="1">IF($E5="","",ROUNDDOWN(YEARFRAC($E5, 'Week 1 Roster'!$D$1-1, 1), 0))</f>
        <v>29</v>
      </c>
      <c r="G5" s="13">
        <f ca="1">IF($E5="","",ROUNDDOWN(YEARFRAC($E5, 'Week 1 Roster'!$D$1+14, 1), 0))</f>
        <v>29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Rouse Hill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10125</v>
      </c>
      <c r="AX5" s="25">
        <f>'Week 2 Roster'!A5</f>
        <v>10125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10074</v>
      </c>
      <c r="B6" s="28">
        <f t="shared" ca="1" si="9"/>
        <v>10074</v>
      </c>
      <c r="C6" s="28" t="str">
        <f ca="1">IF($A6=0,"",VLOOKUP($B6,Employees!$A:$G,2,FALSE))</f>
        <v>Criselle Joy</v>
      </c>
      <c r="D6" s="28" t="str">
        <f ca="1">IF($A6=0,"",VLOOKUP($B6,Employees!$A:$G,3,FALSE))</f>
        <v>Sico</v>
      </c>
      <c r="E6" s="26">
        <f ca="1">IF($A6=0,"",VLOOKUP($B6,Employees!$A:$G,5,FALSE))</f>
        <v>32690</v>
      </c>
      <c r="F6" s="13">
        <f ca="1">IF($E6="","",ROUNDDOWN(YEARFRAC($E6, 'Week 1 Roster'!$D$1-1, 1), 0))</f>
        <v>36</v>
      </c>
      <c r="G6" s="13">
        <f ca="1">IF($E6="","",ROUNDDOWN(YEARFRAC($E6, 'Week 1 Roster'!$D$1+14, 1), 0))</f>
        <v>36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Rouse Hill</v>
      </c>
      <c r="L6" s="13" t="str">
        <f ca="1">IF($A6=0,"",VLOOKUP(K6,Stores!A:B,2,0))</f>
        <v>Superb</v>
      </c>
      <c r="M6" s="14">
        <f t="shared" ca="1" si="11"/>
        <v>12.416666666666668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2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12.416666666666668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12.416666666666668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12.416666666666668</v>
      </c>
      <c r="AV6" s="17"/>
      <c r="AW6" s="25">
        <f>'Week 1 Roster'!A6</f>
        <v>10074</v>
      </c>
      <c r="AX6" s="25">
        <f>'Week 2 Roster'!A6</f>
        <v>10074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10085</v>
      </c>
      <c r="B7" s="28">
        <f t="shared" ca="1" si="9"/>
        <v>10085</v>
      </c>
      <c r="C7" s="28" t="str">
        <f ca="1">IF($A7=0,"",VLOOKUP($B7,Employees!$A:$G,2,FALSE))</f>
        <v>Gideon</v>
      </c>
      <c r="D7" s="28" t="str">
        <f ca="1">IF($A7=0,"",VLOOKUP($B7,Employees!$A:$G,3,FALSE))</f>
        <v>Remulta</v>
      </c>
      <c r="E7" s="26">
        <f ca="1">IF($A7=0,"",VLOOKUP($B7,Employees!$A:$G,5,FALSE))</f>
        <v>38322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21</v>
      </c>
      <c r="H7" s="13" t="b">
        <f t="shared" ca="1" si="10"/>
        <v>1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Rouse Hill</v>
      </c>
      <c r="L7" s="13" t="str">
        <f ca="1">IF($A7=0,"",VLOOKUP(K7,Stores!A:B,2,0))</f>
        <v>Superb</v>
      </c>
      <c r="M7" s="14">
        <f t="shared" ca="1" si="11"/>
        <v>33.799999999999997</v>
      </c>
      <c r="N7" s="14">
        <f t="shared" ca="1" si="12"/>
        <v>6.0000000000000009</v>
      </c>
      <c r="O7" s="14">
        <f t="shared" ca="1" si="13"/>
        <v>5.7966666666666677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8</v>
      </c>
      <c r="T7" s="14">
        <f t="shared" ca="1" si="18"/>
        <v>8</v>
      </c>
      <c r="U7" s="14">
        <f t="shared" ca="1" si="19"/>
        <v>0</v>
      </c>
      <c r="V7" s="14">
        <f t="shared" ca="1" si="20"/>
        <v>0</v>
      </c>
      <c r="W7" s="14">
        <f t="shared" ca="1" si="21"/>
        <v>53.596666666666664</v>
      </c>
      <c r="Y7" s="17">
        <f ca="1">IF($A7=0,0,SUMIF('Week 1 Roster'!$AZ:$AZ,$B7,'Week 1 Roster'!$AE:$AE))</f>
        <v>19.05</v>
      </c>
      <c r="Z7" s="17">
        <f ca="1">IF($A7=0,0,SUMIF('Week 1 Roster'!$AZ:$AZ,$B7,'Week 1 Roster'!$AG:$AG))</f>
        <v>6.0000000000000009</v>
      </c>
      <c r="AA7" s="17">
        <f ca="1">IF($A7=0,0,SUMIF('Week 1 Roster'!$AZ:$AZ,$B7,'Week 1 Roster'!$AI:$AI))</f>
        <v>0.24666666666666792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5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25.296666666666667</v>
      </c>
      <c r="AK7" s="17">
        <f ca="1">IF($A7=0,0,SUMIF('Week 2 Roster'!$AZ:$AZ,$B7,'Week 2 Roster'!$AE:$AE))</f>
        <v>14.75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5.55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8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28.3</v>
      </c>
      <c r="AV7" s="17"/>
      <c r="AW7" s="25">
        <f>'Week 1 Roster'!A7</f>
        <v>10085</v>
      </c>
      <c r="AX7" s="25">
        <f>'Week 2 Roster'!A7</f>
        <v>10085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210443</v>
      </c>
      <c r="B8" s="28">
        <f t="shared" ca="1" si="9"/>
        <v>210443</v>
      </c>
      <c r="C8" s="28" t="str">
        <f ca="1">IF($A8=0,"",VLOOKUP($B8,Employees!$A:$G,2,FALSE))</f>
        <v>Rathanak</v>
      </c>
      <c r="D8" s="28" t="str">
        <f ca="1">IF($A8=0,"",VLOOKUP($B8,Employees!$A:$G,3,FALSE))</f>
        <v>Hov</v>
      </c>
      <c r="E8" s="26">
        <f ca="1">IF($A8=0,"",VLOOKUP($B8,Employees!$A:$G,5,FALSE))</f>
        <v>38327</v>
      </c>
      <c r="F8" s="13">
        <f ca="1">IF($E8="","",ROUNDDOWN(YEARFRAC($E8, 'Week 1 Roster'!$D$1-1, 1), 0))</f>
        <v>20</v>
      </c>
      <c r="G8" s="13">
        <f ca="1">IF($E8="","",ROUNDDOWN(YEARFRAC($E8, 'Week 1 Roster'!$D$1+14, 1), 0))</f>
        <v>21</v>
      </c>
      <c r="H8" s="13" t="b">
        <f t="shared" ca="1" si="10"/>
        <v>1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Rouse Hill</v>
      </c>
      <c r="L8" s="13" t="str">
        <f ca="1">IF($A8=0,"",VLOOKUP(K8,Stores!A:B,2,0))</f>
        <v>Superb</v>
      </c>
      <c r="M8" s="14">
        <f t="shared" ca="1" si="11"/>
        <v>56.2</v>
      </c>
      <c r="N8" s="14">
        <f t="shared" ca="1" si="12"/>
        <v>13.43333333333333</v>
      </c>
      <c r="O8" s="14">
        <f t="shared" ca="1" si="13"/>
        <v>5.57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75.203333333333319</v>
      </c>
      <c r="Y8" s="17">
        <f ca="1">IF($A8=0,0,SUMIF('Week 1 Roster'!$AZ:$AZ,$B8,'Week 1 Roster'!$AE:$AE))</f>
        <v>22.85</v>
      </c>
      <c r="Z8" s="17">
        <f ca="1">IF($A8=0,0,SUMIF('Week 1 Roster'!$AZ:$AZ,$B8,'Week 1 Roster'!$AG:$AG))</f>
        <v>6.8333333333333321</v>
      </c>
      <c r="AA8" s="17">
        <f ca="1">IF($A8=0,0,SUMIF('Week 1 Roster'!$AZ:$AZ,$B8,'Week 1 Roster'!$AI:$AI))</f>
        <v>5.57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4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35.25333333333333</v>
      </c>
      <c r="AK8" s="17">
        <f ca="1">IF($A8=0,0,SUMIF('Week 2 Roster'!$AZ:$AZ,$B8,'Week 2 Roster'!$AE:$AE))</f>
        <v>33.35</v>
      </c>
      <c r="AL8" s="17">
        <f ca="1">IF($A8=0,0,SUMIF('Week 2 Roster'!$AZ:$AZ,$B8,'Week 2 Roster'!$AG:$AG))</f>
        <v>6.5999999999999988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6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39.950000000000003</v>
      </c>
      <c r="AV8" s="17"/>
      <c r="AW8" s="25">
        <f>'Week 1 Roster'!A8</f>
        <v>210443</v>
      </c>
      <c r="AX8" s="25">
        <f>'Week 2 Roster'!A8</f>
        <v>210443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210456</v>
      </c>
      <c r="B9" s="28">
        <f t="shared" ca="1" si="9"/>
        <v>210456</v>
      </c>
      <c r="C9" s="28" t="str">
        <f ca="1">IF($A9=0,"",VLOOKUP($B9,Employees!$A:$G,2,FALSE))</f>
        <v>Norakuntheary</v>
      </c>
      <c r="D9" s="28" t="str">
        <f ca="1">IF($A9=0,"",VLOOKUP($B9,Employees!$A:$G,3,FALSE))</f>
        <v>Nouv</v>
      </c>
      <c r="E9" s="26">
        <f ca="1">IF($A9=0,"",VLOOKUP($B9,Employees!$A:$G,5,FALSE))</f>
        <v>35089</v>
      </c>
      <c r="F9" s="13">
        <f ca="1">IF($E9="","",ROUNDDOWN(YEARFRAC($E9, 'Week 1 Roster'!$D$1-1, 1), 0))</f>
        <v>29</v>
      </c>
      <c r="G9" s="13">
        <f ca="1">IF($E9="","",ROUNDDOWN(YEARFRAC($E9, 'Week 1 Roster'!$D$1+14, 1), 0))</f>
        <v>29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Rouse Hill</v>
      </c>
      <c r="L9" s="13" t="str">
        <f ca="1">IF($A9=0,"",VLOOKUP(K9,Stores!A:B,2,0))</f>
        <v>Superb</v>
      </c>
      <c r="M9" s="14">
        <f t="shared" ca="1" si="11"/>
        <v>13.366666666666665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13.366666666666665</v>
      </c>
      <c r="Y9" s="17">
        <f ca="1">IF($A9=0,0,SUMIF('Week 1 Roster'!$AZ:$AZ,$B9,'Week 1 Roster'!$AE:$AE))</f>
        <v>13.366666666666665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13.366666666666665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210456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15" zoomScale="186" zoomScaleNormal="186" workbookViewId="0">
      <selection activeCell="A515" sqref="A1:XFD1048576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 ht="28">
      <c r="A139">
        <v>10138</v>
      </c>
      <c r="B139" s="65" t="s">
        <v>280</v>
      </c>
      <c r="C139" s="65" t="s">
        <v>281</v>
      </c>
      <c r="D139" s="104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I538" s="12">
        <f t="shared" si="9"/>
        <v>0</v>
      </c>
    </row>
    <row r="539" spans="1:9">
      <c r="I539" s="12">
        <f t="shared" si="9"/>
        <v>0</v>
      </c>
    </row>
    <row r="540" spans="1:9">
      <c r="I540" s="12">
        <f t="shared" si="9"/>
        <v>0</v>
      </c>
    </row>
    <row r="541" spans="1:9">
      <c r="I541" s="12">
        <f t="shared" si="9"/>
        <v>0</v>
      </c>
    </row>
    <row r="542" spans="1:9">
      <c r="I542" s="12">
        <f t="shared" si="9"/>
        <v>0</v>
      </c>
    </row>
    <row r="543" spans="1:9">
      <c r="I543" s="12">
        <f t="shared" si="9"/>
        <v>0</v>
      </c>
    </row>
    <row r="544" spans="1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Eddy Xu</cp:lastModifiedBy>
  <cp:lastPrinted>2018-08-22T07:05:44Z</cp:lastPrinted>
  <dcterms:created xsi:type="dcterms:W3CDTF">2018-08-22T06:29:13Z</dcterms:created>
  <dcterms:modified xsi:type="dcterms:W3CDTF">2025-12-08T06:14:53Z</dcterms:modified>
</cp:coreProperties>
</file>