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"/>
    </mc:Choice>
  </mc:AlternateContent>
  <xr:revisionPtr revIDLastSave="0" documentId="13_ncr:1_{D06D9D7B-DBED-5D4E-92B0-080AA00234CF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69" i="2" s="1"/>
  <c r="AW69" i="12" s="1"/>
  <c r="AZ68" i="2"/>
  <c r="AZ67" i="2"/>
  <c r="AZ66" i="2"/>
  <c r="A66" i="2" s="1"/>
  <c r="AW66" i="12" s="1"/>
  <c r="AZ65" i="2"/>
  <c r="AZ64" i="2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53" i="2" s="1"/>
  <c r="AW53" i="12" s="1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21" i="2" s="1"/>
  <c r="AW21" i="12" s="1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3" i="18"/>
  <c r="AX83" i="12" s="1"/>
  <c r="A81" i="18"/>
  <c r="AX81" i="12" s="1"/>
  <c r="A80" i="18"/>
  <c r="AX80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4" i="2"/>
  <c r="AW54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8" i="2"/>
  <c r="AW28" i="12" s="1"/>
  <c r="A27" i="2"/>
  <c r="AW27" i="12" s="1"/>
  <c r="A25" i="2"/>
  <c r="AW25" i="12" s="1"/>
  <c r="A22" i="2"/>
  <c r="AW22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A9" i="2"/>
  <c r="AW9" i="12" s="1"/>
  <c r="A8" i="2"/>
  <c r="AW8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X6" i="2" l="1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11" i="2" l="1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A3" i="12" l="1"/>
  <c r="T2" i="12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D3" i="12" s="1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Z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C8" i="12"/>
  <c r="AQ8" i="12"/>
  <c r="A9" i="12" a="1"/>
  <c r="J8" i="12" l="1"/>
  <c r="AH8" i="12"/>
  <c r="AE8" i="12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A9" i="12"/>
  <c r="B9" i="12" s="1"/>
  <c r="N8" i="12" l="1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R10" i="12"/>
  <c r="AD10" i="12"/>
  <c r="AG10" i="12"/>
  <c r="C10" i="12"/>
  <c r="AT10" i="12"/>
  <c r="I10" i="12"/>
  <c r="AB10" i="12"/>
  <c r="AM10" i="12"/>
  <c r="AL10" i="12" l="1"/>
  <c r="Z10" i="12"/>
  <c r="Y10" i="12"/>
  <c r="J10" i="12"/>
  <c r="AH10" i="12"/>
  <c r="V10" i="12" s="1"/>
  <c r="AC10" i="12"/>
  <c r="AA10" i="12"/>
  <c r="O10" i="12" s="1"/>
  <c r="D10" i="12"/>
  <c r="E10" i="12"/>
  <c r="F10" i="12" s="1"/>
  <c r="AE10" i="12"/>
  <c r="AF10" i="12"/>
  <c r="T10" i="12" s="1"/>
  <c r="AO10" i="12"/>
  <c r="AQ10" i="12"/>
  <c r="AS10" i="12"/>
  <c r="U10" i="12" s="1"/>
  <c r="AK10" i="12"/>
  <c r="AN10" i="12"/>
  <c r="P10" i="12" s="1"/>
  <c r="R10" i="12"/>
  <c r="N10" i="12"/>
  <c r="Q10" i="12" l="1"/>
  <c r="AI10" i="12"/>
  <c r="S10" i="12"/>
  <c r="AU10" i="12"/>
  <c r="G10" i="12"/>
  <c r="H10" i="12" s="1"/>
  <c r="M10" i="12"/>
  <c r="W10" i="12"/>
  <c r="A11" i="12" a="1"/>
  <c r="A11" i="12" l="1"/>
  <c r="K11" i="12" l="1"/>
  <c r="L11" i="12" s="1"/>
  <c r="B11" i="12"/>
  <c r="AM11" i="12" s="1"/>
  <c r="AA11" i="12" l="1"/>
  <c r="AG11" i="12"/>
  <c r="J11" i="12"/>
  <c r="AC11" i="12"/>
  <c r="AO11" i="12"/>
  <c r="AF11" i="12"/>
  <c r="T11" i="12" s="1"/>
  <c r="AB11" i="12"/>
  <c r="E11" i="12"/>
  <c r="F11" i="12" s="1"/>
  <c r="AP11" i="12"/>
  <c r="AR11" i="12"/>
  <c r="I11" i="12"/>
  <c r="AL11" i="12"/>
  <c r="AS11" i="12"/>
  <c r="U11" i="12" s="1"/>
  <c r="Z11" i="12"/>
  <c r="N11" i="12" s="1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Q11" i="12" l="1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M12" i="12" s="1"/>
  <c r="J12" i="12"/>
  <c r="AO12" i="12"/>
  <c r="Y12" i="12"/>
  <c r="AP12" i="12"/>
  <c r="AQ12" i="12"/>
  <c r="S12" i="12" s="1"/>
  <c r="AS12" i="12"/>
  <c r="AR12" i="12"/>
  <c r="E12" i="12"/>
  <c r="AD12" i="12"/>
  <c r="R12" i="12" s="1"/>
  <c r="AL12" i="12"/>
  <c r="N12" i="12" s="1"/>
  <c r="AB12" i="12"/>
  <c r="D12" i="12"/>
  <c r="I12" i="12"/>
  <c r="AG12" i="12"/>
  <c r="AH12" i="12"/>
  <c r="V12" i="12" s="1"/>
  <c r="C12" i="12"/>
  <c r="AM12" i="12"/>
  <c r="O12" i="12" s="1"/>
  <c r="AN12" i="12"/>
  <c r="P12" i="12" s="1"/>
  <c r="A13" i="12" a="1"/>
  <c r="U12" i="12" l="1"/>
  <c r="T12" i="12"/>
  <c r="AI12" i="12"/>
  <c r="Q12" i="12"/>
  <c r="W12" i="12" s="1"/>
  <c r="AU12" i="12"/>
  <c r="G12" i="12"/>
  <c r="F12" i="12"/>
  <c r="A13" i="12"/>
  <c r="H12" i="12" l="1"/>
  <c r="K13" i="12"/>
  <c r="L13" i="12" s="1"/>
  <c r="B13" i="12"/>
  <c r="AN13" i="12" s="1"/>
  <c r="AE13" i="12" l="1"/>
  <c r="AM13" i="12"/>
  <c r="AL13" i="12"/>
  <c r="AO13" i="12"/>
  <c r="AH13" i="12"/>
  <c r="AA13" i="12"/>
  <c r="O13" i="12" s="1"/>
  <c r="Y13" i="12"/>
  <c r="AP13" i="12"/>
  <c r="AF13" i="12"/>
  <c r="J13" i="12"/>
  <c r="C13" i="12"/>
  <c r="AC13" i="12"/>
  <c r="AK13" i="12"/>
  <c r="AS13" i="12"/>
  <c r="Z13" i="12"/>
  <c r="N13" i="12" s="1"/>
  <c r="AT13" i="12"/>
  <c r="AD13" i="12"/>
  <c r="AG13" i="12"/>
  <c r="D13" i="12"/>
  <c r="E13" i="12"/>
  <c r="F13" i="12" s="1"/>
  <c r="AB13" i="12"/>
  <c r="P13" i="12" s="1"/>
  <c r="AQ13" i="12"/>
  <c r="S13" i="12" s="1"/>
  <c r="AR13" i="12"/>
  <c r="T13" i="12" s="1"/>
  <c r="I13" i="12"/>
  <c r="A14" i="12" a="1"/>
  <c r="V13" i="12" l="1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S14" i="12"/>
  <c r="AM14" i="12"/>
  <c r="AB14" i="12" l="1"/>
  <c r="AT14" i="12"/>
  <c r="AQ14" i="12"/>
  <c r="AP14" i="12"/>
  <c r="AA14" i="12"/>
  <c r="O14" i="12" s="1"/>
  <c r="AN14" i="12"/>
  <c r="P14" i="12" s="1"/>
  <c r="I14" i="12"/>
  <c r="AH14" i="12"/>
  <c r="V14" i="12" s="1"/>
  <c r="AO14" i="12"/>
  <c r="AL14" i="12"/>
  <c r="D14" i="12"/>
  <c r="Z14" i="12"/>
  <c r="AE14" i="12"/>
  <c r="S14" i="12" s="1"/>
  <c r="J14" i="12"/>
  <c r="AG14" i="12"/>
  <c r="U14" i="12" s="1"/>
  <c r="AF14" i="12"/>
  <c r="T14" i="12" s="1"/>
  <c r="AK14" i="12"/>
  <c r="AC14" i="12"/>
  <c r="AD14" i="12"/>
  <c r="Y14" i="12"/>
  <c r="C14" i="12"/>
  <c r="E14" i="12"/>
  <c r="G14" i="12" s="1"/>
  <c r="A15" i="12" a="1"/>
  <c r="R14" i="12" l="1"/>
  <c r="Q14" i="12"/>
  <c r="N14" i="12"/>
  <c r="AU14" i="12"/>
  <c r="AI14" i="12"/>
  <c r="M14" i="12"/>
  <c r="F14" i="12"/>
  <c r="H14" i="12" s="1"/>
  <c r="W14" i="12"/>
  <c r="A15" i="12"/>
  <c r="K15" i="12" l="1"/>
  <c r="L15" i="12" s="1"/>
  <c r="B15" i="12"/>
  <c r="AT15" i="12" s="1"/>
  <c r="AG15" i="12" l="1"/>
  <c r="AE15" i="12"/>
  <c r="AC15" i="12"/>
  <c r="I15" i="12"/>
  <c r="AH15" i="12"/>
  <c r="V15" i="12" s="1"/>
  <c r="AO15" i="12"/>
  <c r="Q15" i="12" s="1"/>
  <c r="AB15" i="12"/>
  <c r="C15" i="12"/>
  <c r="AR15" i="12"/>
  <c r="AK15" i="12"/>
  <c r="Z15" i="12"/>
  <c r="Y15" i="12"/>
  <c r="M15" i="12" s="1"/>
  <c r="AS15" i="12"/>
  <c r="U15" i="12" s="1"/>
  <c r="AP15" i="12"/>
  <c r="AN15" i="12"/>
  <c r="D15" i="12"/>
  <c r="J15" i="12"/>
  <c r="AA15" i="12"/>
  <c r="AD15" i="12"/>
  <c r="E15" i="12"/>
  <c r="F15" i="12" s="1"/>
  <c r="AL15" i="12"/>
  <c r="AF15" i="12"/>
  <c r="T15" i="12" s="1"/>
  <c r="AQ15" i="12"/>
  <c r="S15" i="12" s="1"/>
  <c r="AM15" i="12"/>
  <c r="A16" i="12" a="1"/>
  <c r="AU15" i="12" l="1"/>
  <c r="O15" i="12"/>
  <c r="R15" i="12"/>
  <c r="N15" i="12"/>
  <c r="P15" i="12"/>
  <c r="AI15" i="12"/>
  <c r="G15" i="12"/>
  <c r="H15" i="12" s="1"/>
  <c r="A16" i="12"/>
  <c r="W15" i="12" l="1"/>
  <c r="Y16" i="12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R16" i="12" s="1"/>
  <c r="AS16" i="12"/>
  <c r="AB16" i="12"/>
  <c r="P16" i="12" s="1"/>
  <c r="A17" i="12" a="1"/>
  <c r="V16" i="12" l="1"/>
  <c r="T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S17" i="12" l="1"/>
  <c r="N17" i="12"/>
  <c r="T17" i="12"/>
  <c r="V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N18" i="12" s="1"/>
  <c r="AQ18" i="12"/>
  <c r="K18" i="12"/>
  <c r="E18" i="12"/>
  <c r="AE18" i="12"/>
  <c r="AR18" i="12"/>
  <c r="T18" i="12" s="1"/>
  <c r="AN18" i="12"/>
  <c r="AK18" i="12"/>
  <c r="AS18" i="12"/>
  <c r="D18" i="12"/>
  <c r="AD18" i="12"/>
  <c r="R18" i="12" s="1"/>
  <c r="AA18" i="12"/>
  <c r="J18" i="12"/>
  <c r="AB18" i="12"/>
  <c r="AM18" i="12"/>
  <c r="AT18" i="12"/>
  <c r="AH18" i="12"/>
  <c r="V18" i="12" s="1"/>
  <c r="L18" i="12"/>
  <c r="A19" i="12" a="1"/>
  <c r="S18" i="12" l="1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T19" i="12" s="1"/>
  <c r="A20" i="12" a="1"/>
  <c r="R19" i="12" l="1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P20" i="12" l="1"/>
  <c r="R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T21" i="12" l="1"/>
  <c r="P21" i="12"/>
  <c r="O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O22" i="12" s="1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N22" i="12" l="1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O23" i="12" s="1"/>
  <c r="L23" i="12"/>
  <c r="A24" i="12" a="1"/>
  <c r="S23" i="12" l="1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T25" i="12" s="1"/>
  <c r="L25" i="12"/>
  <c r="AA25" i="12"/>
  <c r="AC25" i="12"/>
  <c r="AO25" i="12"/>
  <c r="Y25" i="12"/>
  <c r="I25" i="12"/>
  <c r="A26" i="12" a="1"/>
  <c r="N25" i="12" l="1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Q27" i="12" s="1"/>
  <c r="AP27" i="12"/>
  <c r="AG27" i="12"/>
  <c r="AS27" i="12"/>
  <c r="AH27" i="12"/>
  <c r="E27" i="12"/>
  <c r="AB27" i="12"/>
  <c r="AO27" i="12"/>
  <c r="A28" i="12" a="1"/>
  <c r="U27" i="12" l="1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O29" i="12" s="1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Q29" i="12" l="1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Q31" i="12" s="1"/>
  <c r="J31" i="12"/>
  <c r="AT31" i="12"/>
  <c r="AQ31" i="12"/>
  <c r="A32" i="12" a="1"/>
  <c r="V31" i="12" l="1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P32" i="12" s="1"/>
  <c r="J32" i="12"/>
  <c r="AG32" i="12"/>
  <c r="Z32" i="12"/>
  <c r="AM32" i="12"/>
  <c r="L32" i="12"/>
  <c r="AO32" i="12"/>
  <c r="AP32" i="12"/>
  <c r="A33" i="12" a="1"/>
  <c r="T32" i="12" l="1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O35" i="12" s="1"/>
  <c r="A36" i="12" a="1"/>
  <c r="V35" i="12" l="1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R36" i="12" s="1"/>
  <c r="AC36" i="12"/>
  <c r="Q36" i="12" s="1"/>
  <c r="AN36" i="12"/>
  <c r="J36" i="12"/>
  <c r="AA36" i="12"/>
  <c r="AB36" i="12"/>
  <c r="Y36" i="12"/>
  <c r="AH36" i="12"/>
  <c r="V36" i="12" s="1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AU36" i="12" l="1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S37" i="12" s="1"/>
  <c r="AB37" i="12"/>
  <c r="AF37" i="12"/>
  <c r="T37" i="12" s="1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V37" i="12" l="1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O39" i="12" s="1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AU39" i="12" l="1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P40" i="12" s="1"/>
  <c r="AC40" i="12"/>
  <c r="AM40" i="12"/>
  <c r="AK40" i="12"/>
  <c r="AT40" i="12"/>
  <c r="Y40" i="12"/>
  <c r="A41" i="12" a="1"/>
  <c r="V40" i="12" l="1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Q47" i="12" s="1"/>
  <c r="AA47" i="12"/>
  <c r="K47" i="12"/>
  <c r="AB47" i="12"/>
  <c r="J47" i="12"/>
  <c r="AP47" i="12"/>
  <c r="A48" i="12" a="1"/>
  <c r="U47" i="12" l="1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V49" i="12" s="1"/>
  <c r="E49" i="12"/>
  <c r="L49" i="12"/>
  <c r="B49" i="12"/>
  <c r="AB49" i="12"/>
  <c r="AO49" i="12"/>
  <c r="I49" i="12"/>
  <c r="J49" i="12"/>
  <c r="K49" i="12"/>
  <c r="AM49" i="12"/>
  <c r="A50" i="12" a="1"/>
  <c r="U49" i="12" l="1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N52" i="12" s="1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T52" i="12" l="1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V53" i="12" s="1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Q57" i="12" s="1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O57" i="12" l="1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Q58" i="12" s="1"/>
  <c r="AB58" i="12"/>
  <c r="P58" i="12" s="1"/>
  <c r="AG58" i="12"/>
  <c r="U58" i="12" s="1"/>
  <c r="L58" i="12"/>
  <c r="AP58" i="12"/>
  <c r="E58" i="12"/>
  <c r="Z58" i="12"/>
  <c r="AO58" i="12"/>
  <c r="AH58" i="12"/>
  <c r="A59" i="12" a="1"/>
  <c r="V58" i="12" l="1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P65" i="12" s="1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R65" i="12" s="1"/>
  <c r="A66" i="12" a="1"/>
  <c r="Q65" i="12" l="1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N70" i="12" s="1"/>
  <c r="AR70" i="12"/>
  <c r="I70" i="12"/>
  <c r="AN70" i="12"/>
  <c r="B70" i="12"/>
  <c r="AM70" i="12"/>
  <c r="A71" i="12" a="1"/>
  <c r="T70" i="12" l="1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O73" i="12" s="1"/>
  <c r="AN73" i="12"/>
  <c r="AH73" i="12"/>
  <c r="AE73" i="12"/>
  <c r="AG73" i="12"/>
  <c r="AS73" i="12"/>
  <c r="AC73" i="12"/>
  <c r="AM73" i="12"/>
  <c r="AL73" i="12"/>
  <c r="A74" i="12" a="1"/>
  <c r="V73" i="12" l="1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T76" i="12" s="1"/>
  <c r="Z76" i="12"/>
  <c r="A77" i="12" a="1"/>
  <c r="V76" i="12" l="1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O82" i="12" s="1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T82" i="12" l="1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P84" i="12" s="1"/>
  <c r="D84" i="12"/>
  <c r="AD84" i="12"/>
  <c r="J84" i="12"/>
  <c r="AG84" i="12"/>
  <c r="AK84" i="12"/>
  <c r="L84" i="12"/>
  <c r="AC84" i="12"/>
  <c r="Q84" i="12" s="1"/>
  <c r="C84" i="12"/>
  <c r="E84" i="12"/>
  <c r="A85" i="12" a="1"/>
  <c r="T84" i="12" l="1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S89" i="12" s="1"/>
  <c r="K89" i="12"/>
  <c r="AC89" i="12"/>
  <c r="AM89" i="12"/>
  <c r="A90" i="12" a="1"/>
  <c r="P89" i="12" l="1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N90" i="12" s="1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U90" i="12" l="1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Q96" i="12" s="1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V101" i="12" s="1"/>
  <c r="AD101" i="12"/>
  <c r="R101" i="12" s="1"/>
  <c r="AA101" i="12"/>
  <c r="Z101" i="12"/>
  <c r="J101" i="12"/>
  <c r="AN101" i="12"/>
  <c r="A102" i="12" a="1"/>
  <c r="T101" i="12" l="1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P105" i="12" l="1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P106" i="12" s="1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T106" i="12" l="1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U108" i="12" s="1"/>
  <c r="AB108" i="12"/>
  <c r="AP108" i="12"/>
  <c r="AC108" i="12"/>
  <c r="Q108" i="12" s="1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O108" i="12" l="1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U111" i="12" s="1"/>
  <c r="E111" i="12"/>
  <c r="L111" i="12"/>
  <c r="AT111" i="12"/>
  <c r="C111" i="12"/>
  <c r="AE111" i="12"/>
  <c r="A112" i="12" a="1"/>
  <c r="V111" i="12" l="1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O114" i="12" s="1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P114" i="12" l="1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T126" i="12" s="1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N126" i="12" l="1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U127" i="12" s="1"/>
  <c r="AO127" i="12"/>
  <c r="AD127" i="12"/>
  <c r="AL127" i="12"/>
  <c r="AF127" i="12"/>
  <c r="AQ127" i="12"/>
  <c r="AE127" i="12"/>
  <c r="AR127" i="12"/>
  <c r="B127" i="12"/>
  <c r="A128" i="12" a="1"/>
  <c r="R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V133" i="12" l="1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S134" i="12" s="1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R134" i="12" l="1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U135" i="12" s="1"/>
  <c r="A136" i="12" a="1"/>
  <c r="P135" i="12" l="1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Q140" i="12" s="1"/>
  <c r="K140" i="12"/>
  <c r="AB140" i="12"/>
  <c r="D140" i="12"/>
  <c r="Z140" i="12"/>
  <c r="AF140" i="12"/>
  <c r="AK140" i="12"/>
  <c r="A141" i="12" a="1"/>
  <c r="V140" i="12" l="1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Q146" i="12" s="1"/>
  <c r="L146" i="12"/>
  <c r="AD146" i="12"/>
  <c r="R146" i="12" s="1"/>
  <c r="AH146" i="12"/>
  <c r="AT146" i="12"/>
  <c r="AQ146" i="12"/>
  <c r="AR146" i="12"/>
  <c r="B146" i="12"/>
  <c r="A147" i="12" a="1"/>
  <c r="N146" i="12" l="1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R150" i="12" s="1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V150" i="12" l="1"/>
  <c r="S150" i="12"/>
  <c r="Q150" i="12"/>
  <c r="A151" i="12"/>
  <c r="AU150" i="12"/>
  <c r="P150" i="12"/>
  <c r="AI150" i="12"/>
  <c r="M150" i="12"/>
  <c r="W150" i="12" s="1"/>
  <c r="G150" i="12"/>
  <c r="H150" i="12"/>
  <c r="F150" i="12"/>
  <c r="U150" i="12"/>
  <c r="N150" i="12"/>
  <c r="T150" i="12"/>
  <c r="AP151" i="12" l="1"/>
  <c r="Y151" i="12"/>
  <c r="AF151" i="12"/>
  <c r="C151" i="12"/>
  <c r="AQ151" i="12"/>
  <c r="E151" i="12"/>
  <c r="AD151" i="12"/>
  <c r="R151" i="12" s="1"/>
  <c r="AB151" i="12"/>
  <c r="P151" i="12" s="1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U151" i="12" s="1"/>
  <c r="I151" i="12"/>
  <c r="L151" i="12"/>
  <c r="AT151" i="12"/>
  <c r="D151" i="12"/>
  <c r="A152" i="12" a="1"/>
  <c r="AU151" i="12" l="1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U152" i="12" s="1"/>
  <c r="L152" i="12"/>
  <c r="AR152" i="12"/>
  <c r="AL152" i="12"/>
  <c r="AS152" i="12"/>
  <c r="AO152" i="12"/>
  <c r="Y152" i="12"/>
  <c r="A153" i="12" a="1"/>
  <c r="Q152" i="12" l="1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P153" i="12" l="1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R155" i="12" s="1"/>
  <c r="Y155" i="12"/>
  <c r="AG155" i="12"/>
  <c r="U155" i="12" s="1"/>
  <c r="J155" i="12"/>
  <c r="K155" i="12"/>
  <c r="I155" i="12"/>
  <c r="AO155" i="12"/>
  <c r="AC155" i="12"/>
  <c r="AK155" i="12"/>
  <c r="B155" i="12"/>
  <c r="A156" i="12" a="1"/>
  <c r="Q155" i="12" l="1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V157" i="12" s="1"/>
  <c r="AB157" i="12"/>
  <c r="P157" i="12" s="1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U157" i="12" l="1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S158" i="12" s="1"/>
  <c r="K158" i="12"/>
  <c r="AB158" i="12"/>
  <c r="AP158" i="12"/>
  <c r="AQ158" i="12"/>
  <c r="AK158" i="12"/>
  <c r="Z158" i="12"/>
  <c r="AN158" i="12"/>
  <c r="AD158" i="12"/>
  <c r="R158" i="12" s="1"/>
  <c r="D158" i="12"/>
  <c r="AG158" i="12"/>
  <c r="AH158" i="12"/>
  <c r="J158" i="12"/>
  <c r="AM158" i="12"/>
  <c r="C158" i="12"/>
  <c r="A159" i="12" a="1"/>
  <c r="A159" i="12" l="1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P161" i="12" s="1"/>
  <c r="AA161" i="12"/>
  <c r="AF161" i="12"/>
  <c r="AC161" i="12"/>
  <c r="D161" i="12"/>
  <c r="AD161" i="12"/>
  <c r="R161" i="12" s="1"/>
  <c r="C161" i="12"/>
  <c r="AH161" i="12"/>
  <c r="AG161" i="12"/>
  <c r="U161" i="12" s="1"/>
  <c r="AT161" i="12"/>
  <c r="AL161" i="12"/>
  <c r="AS161" i="12"/>
  <c r="B161" i="12"/>
  <c r="AK161" i="12"/>
  <c r="AR161" i="12"/>
  <c r="A162" i="12" a="1"/>
  <c r="O161" i="12" l="1"/>
  <c r="A162" i="12"/>
  <c r="V161" i="12"/>
  <c r="H161" i="12"/>
  <c r="G161" i="12"/>
  <c r="F161" i="12"/>
  <c r="AI161" i="12"/>
  <c r="M161" i="12"/>
  <c r="W161" i="12" s="1"/>
  <c r="AU161" i="12"/>
  <c r="S161" i="12"/>
  <c r="Q161" i="12"/>
  <c r="T161" i="12"/>
  <c r="N161" i="12"/>
  <c r="AR162" i="12" l="1"/>
  <c r="AH162" i="12"/>
  <c r="Y162" i="12"/>
  <c r="AB162" i="12"/>
  <c r="P162" i="12" s="1"/>
  <c r="AP162" i="12"/>
  <c r="AD162" i="12"/>
  <c r="K162" i="12"/>
  <c r="C162" i="12"/>
  <c r="AN162" i="12"/>
  <c r="AS162" i="12"/>
  <c r="E162" i="12"/>
  <c r="AL162" i="12"/>
  <c r="B162" i="12"/>
  <c r="AE162" i="12"/>
  <c r="AF162" i="12"/>
  <c r="T162" i="12" s="1"/>
  <c r="AK162" i="12"/>
  <c r="I162" i="12"/>
  <c r="AT162" i="12"/>
  <c r="J162" i="12"/>
  <c r="Z162" i="12"/>
  <c r="AM162" i="12"/>
  <c r="L162" i="12"/>
  <c r="AG162" i="12"/>
  <c r="U162" i="12" s="1"/>
  <c r="AC162" i="12"/>
  <c r="Q162" i="12" s="1"/>
  <c r="AO162" i="12"/>
  <c r="AA162" i="12"/>
  <c r="D162" i="12"/>
  <c r="AQ162" i="12"/>
  <c r="A163" i="12" a="1"/>
  <c r="S162" i="12" l="1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N163" i="12" s="1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V163" i="12" l="1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O164" i="12" s="1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R164" i="12" l="1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R165" i="12" s="1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S165" i="12" l="1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P166" i="12" s="1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R166" i="12" s="1"/>
  <c r="A167" i="12" a="1"/>
  <c r="O166" i="12" l="1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R167" i="12" s="1"/>
  <c r="AB167" i="12"/>
  <c r="P167" i="12" s="1"/>
  <c r="A168" i="12" a="1"/>
  <c r="N167" i="12" l="1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O168" i="12" l="1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T169" i="12" s="1"/>
  <c r="I169" i="12"/>
  <c r="AM169" i="12"/>
  <c r="AA169" i="12"/>
  <c r="AE169" i="12"/>
  <c r="AL169" i="12"/>
  <c r="A170" i="12" a="1"/>
  <c r="O169" i="12" l="1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P172" i="12" s="1"/>
  <c r="A173" i="12" a="1"/>
  <c r="T172" i="12" l="1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T173" i="12" s="1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R173" i="12" l="1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U175" i="12" s="1"/>
  <c r="L175" i="12"/>
  <c r="AA175" i="12"/>
  <c r="AC175" i="12"/>
  <c r="Q175" i="12" s="1"/>
  <c r="AQ175" i="12"/>
  <c r="AL175" i="12"/>
  <c r="AB175" i="12"/>
  <c r="B175" i="12"/>
  <c r="Y175" i="12"/>
  <c r="AF175" i="12"/>
  <c r="T175" i="12" s="1"/>
  <c r="AK175" i="12"/>
  <c r="AD175" i="12"/>
  <c r="D175" i="12"/>
  <c r="AN175" i="12"/>
  <c r="AR175" i="12"/>
  <c r="E175" i="12"/>
  <c r="Z175" i="12"/>
  <c r="N175" i="12" s="1"/>
  <c r="A176" i="12" a="1"/>
  <c r="S175" i="12" l="1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Q177" i="12" s="1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N177" i="12" s="1"/>
  <c r="AG177" i="12"/>
  <c r="AH177" i="12"/>
  <c r="V177" i="12" s="1"/>
  <c r="A178" i="12" a="1"/>
  <c r="P177" i="12" l="1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T178" i="12" s="1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N178" i="12" l="1"/>
  <c r="A179" i="12"/>
  <c r="AU178" i="12"/>
  <c r="V178" i="12"/>
  <c r="S178" i="12"/>
  <c r="O178" i="12"/>
  <c r="AI178" i="12"/>
  <c r="M178" i="12"/>
  <c r="W178" i="12" s="1"/>
  <c r="H178" i="12"/>
  <c r="F178" i="12"/>
  <c r="G178" i="12"/>
  <c r="U178" i="12"/>
  <c r="R178" i="12"/>
  <c r="P178" i="12"/>
  <c r="I179" i="12" l="1"/>
  <c r="AD179" i="12"/>
  <c r="AT179" i="12"/>
  <c r="E179" i="12"/>
  <c r="AB179" i="12"/>
  <c r="P179" i="12" s="1"/>
  <c r="AM179" i="12"/>
  <c r="D179" i="12"/>
  <c r="L179" i="12"/>
  <c r="AG179" i="12"/>
  <c r="AP179" i="12"/>
  <c r="AA179" i="12"/>
  <c r="Y179" i="12"/>
  <c r="Z179" i="12"/>
  <c r="N179" i="12" s="1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V179" i="12" s="1"/>
  <c r="AS179" i="12"/>
  <c r="A180" i="12" a="1"/>
  <c r="T179" i="12" l="1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T183" i="12" s="1"/>
  <c r="AB183" i="12"/>
  <c r="P183" i="12" s="1"/>
  <c r="AT183" i="12"/>
  <c r="D183" i="12"/>
  <c r="AE183" i="12"/>
  <c r="AQ183" i="12"/>
  <c r="Z183" i="12"/>
  <c r="N183" i="12" s="1"/>
  <c r="C183" i="12"/>
  <c r="I183" i="12"/>
  <c r="Y183" i="12"/>
  <c r="AL183" i="12"/>
  <c r="AM183" i="12"/>
  <c r="AP183" i="12"/>
  <c r="AS183" i="12"/>
  <c r="AH183" i="12"/>
  <c r="V183" i="12" s="1"/>
  <c r="B183" i="12"/>
  <c r="AC183" i="12"/>
  <c r="AK183" i="12"/>
  <c r="AU183" i="12" s="1"/>
  <c r="L183" i="12"/>
  <c r="AN183" i="12"/>
  <c r="AR183" i="12"/>
  <c r="K183" i="12"/>
  <c r="AA183" i="12"/>
  <c r="O183" i="12" s="1"/>
  <c r="A184" i="12" a="1"/>
  <c r="Q183" i="12" l="1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Q185" i="12" s="1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N185" i="12" l="1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P186" i="12" s="1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Q186" i="12" l="1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P189" i="12" s="1"/>
  <c r="B189" i="12"/>
  <c r="A190" i="12" a="1"/>
  <c r="S189" i="12" l="1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P191" i="12" s="1"/>
  <c r="AD191" i="12"/>
  <c r="AA191" i="12"/>
  <c r="Y191" i="12"/>
  <c r="AN191" i="12"/>
  <c r="AR191" i="12"/>
  <c r="AE191" i="12"/>
  <c r="AC191" i="12"/>
  <c r="Q191" i="12" s="1"/>
  <c r="AT191" i="12"/>
  <c r="AM191" i="12"/>
  <c r="I191" i="12"/>
  <c r="B191" i="12"/>
  <c r="AK191" i="12"/>
  <c r="AQ191" i="12"/>
  <c r="AG191" i="12"/>
  <c r="Z191" i="12"/>
  <c r="N191" i="12" s="1"/>
  <c r="A192" i="12" a="1"/>
  <c r="R191" i="12" l="1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R192" i="12" s="1"/>
  <c r="AC192" i="12"/>
  <c r="Q192" i="12" s="1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S192" i="12" s="1"/>
  <c r="I192" i="12"/>
  <c r="AQ192" i="12"/>
  <c r="AA192" i="12"/>
  <c r="AT192" i="12"/>
  <c r="E192" i="12"/>
  <c r="A193" i="12" a="1"/>
  <c r="O192" i="12" l="1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U195" i="12" s="1"/>
  <c r="Y195" i="12"/>
  <c r="AT195" i="12"/>
  <c r="AR195" i="12"/>
  <c r="AS195" i="12"/>
  <c r="AQ195" i="12"/>
  <c r="AB195" i="12"/>
  <c r="P195" i="12" s="1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S195" i="12" l="1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V196" i="12" s="1"/>
  <c r="I196" i="12"/>
  <c r="AK196" i="12"/>
  <c r="AA196" i="12"/>
  <c r="AL196" i="12"/>
  <c r="E196" i="12"/>
  <c r="AF196" i="12"/>
  <c r="AS196" i="12"/>
  <c r="L196" i="12"/>
  <c r="J196" i="12"/>
  <c r="B196" i="12"/>
  <c r="AD196" i="12"/>
  <c r="R196" i="12" s="1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AU196" i="12" l="1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U198" i="12" s="1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S198" i="12" l="1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T201" i="12" s="1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V201" i="12" s="1"/>
  <c r="J201" i="12"/>
  <c r="C201" i="12"/>
  <c r="B201" i="12"/>
  <c r="AO201" i="12"/>
  <c r="D201" i="12"/>
  <c r="AQ201" i="12"/>
  <c r="AM201" i="12"/>
  <c r="AE201" i="12"/>
  <c r="S201" i="12" s="1"/>
  <c r="A202" i="12" a="1"/>
  <c r="O201" i="12" l="1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P203" i="12" s="1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O203" i="12" l="1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P204" i="12" s="1"/>
  <c r="E204" i="12"/>
  <c r="AN204" i="12"/>
  <c r="AT204" i="12"/>
  <c r="Y204" i="12"/>
  <c r="Z204" i="12"/>
  <c r="N204" i="12" s="1"/>
  <c r="A205" i="12" a="1"/>
  <c r="R204" i="12" l="1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R205" i="12" s="1"/>
  <c r="A206" i="12" a="1"/>
  <c r="O205" i="12" l="1"/>
  <c r="A206" i="12"/>
  <c r="G205" i="12"/>
  <c r="F205" i="12"/>
  <c r="H205" i="12"/>
  <c r="Q205" i="12"/>
  <c r="AI205" i="12"/>
  <c r="M205" i="12"/>
  <c r="W205" i="12" s="1"/>
  <c r="AU205" i="12"/>
  <c r="V205" i="12"/>
  <c r="P205" i="12"/>
  <c r="U205" i="12"/>
  <c r="T205" i="12"/>
  <c r="S205" i="12"/>
  <c r="J206" i="12" l="1"/>
  <c r="K206" i="12"/>
  <c r="AM206" i="12"/>
  <c r="AE206" i="12"/>
  <c r="AG206" i="12"/>
  <c r="U206" i="12" s="1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T206" i="12" l="1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Q207" i="12" s="1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R207" i="12" s="1"/>
  <c r="Z207" i="12"/>
  <c r="N207" i="12" s="1"/>
  <c r="AA207" i="12"/>
  <c r="AM207" i="12"/>
  <c r="AL207" i="12"/>
  <c r="AK207" i="12"/>
  <c r="AB207" i="12"/>
  <c r="I207" i="12"/>
  <c r="AT207" i="12"/>
  <c r="A208" i="12" a="1"/>
  <c r="P207" i="12" l="1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U208" i="12" s="1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O208" i="12" s="1"/>
  <c r="AT208" i="12"/>
  <c r="A209" i="12" a="1"/>
  <c r="R208" i="12" l="1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Q210" i="12" s="1"/>
  <c r="AH210" i="12"/>
  <c r="AT210" i="12"/>
  <c r="AR210" i="12"/>
  <c r="J210" i="12"/>
  <c r="AF210" i="12"/>
  <c r="T210" i="12" s="1"/>
  <c r="A211" i="12" a="1"/>
  <c r="P210" i="12" l="1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O211" i="12" s="1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Q211" i="12" s="1"/>
  <c r="Y211" i="12"/>
  <c r="AP211" i="12"/>
  <c r="E211" i="12"/>
  <c r="I211" i="12"/>
  <c r="AH211" i="12"/>
  <c r="V211" i="12" s="1"/>
  <c r="A212" i="12" a="1"/>
  <c r="A212" i="12" l="1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Q213" i="12" s="1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R213" i="12" l="1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O215" i="12" s="1"/>
  <c r="AC215" i="12"/>
  <c r="Q215" i="12" s="1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T215" i="12" s="1"/>
  <c r="AE215" i="12"/>
  <c r="A216" i="12" a="1"/>
  <c r="U215" i="12" l="1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V216" i="12" s="1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O216" i="12" s="1"/>
  <c r="AK216" i="12"/>
  <c r="K216" i="12"/>
  <c r="AQ216" i="12"/>
  <c r="AE216" i="12"/>
  <c r="AG216" i="12"/>
  <c r="L216" i="12"/>
  <c r="Z216" i="12"/>
  <c r="N216" i="12" s="1"/>
  <c r="I216" i="12"/>
  <c r="AN216" i="12"/>
  <c r="A217" i="12" a="1"/>
  <c r="S216" i="12" l="1"/>
  <c r="P216" i="12"/>
  <c r="A217" i="12"/>
  <c r="F216" i="12"/>
  <c r="H216" i="12"/>
  <c r="G216" i="12"/>
  <c r="T216" i="12"/>
  <c r="M216" i="12"/>
  <c r="W216" i="12" s="1"/>
  <c r="AI216" i="12"/>
  <c r="AU216" i="12"/>
  <c r="Q216" i="12"/>
  <c r="U216" i="12"/>
  <c r="AK217" i="12" l="1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N217" i="12" s="1"/>
  <c r="J217" i="12"/>
  <c r="AS217" i="12"/>
  <c r="AN217" i="12"/>
  <c r="K217" i="12"/>
  <c r="A218" i="12" a="1"/>
  <c r="Q217" i="12" l="1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Q219" i="12" s="1"/>
  <c r="AF219" i="12"/>
  <c r="AP219" i="12"/>
  <c r="Z219" i="12"/>
  <c r="AB219" i="12"/>
  <c r="Y219" i="12"/>
  <c r="C219" i="12"/>
  <c r="AL219" i="12"/>
  <c r="J219" i="12"/>
  <c r="A220" i="12" a="1"/>
  <c r="U219" i="12" l="1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Q220" i="12" s="1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N220" i="12" s="1"/>
  <c r="Y220" i="12"/>
  <c r="I220" i="12"/>
  <c r="AR220" i="12"/>
  <c r="AM220" i="12"/>
  <c r="AH220" i="12"/>
  <c r="L220" i="12"/>
  <c r="AQ220" i="12"/>
  <c r="A221" i="12" a="1"/>
  <c r="O220" i="12" l="1"/>
  <c r="A221" i="12"/>
  <c r="U220" i="12"/>
  <c r="H220" i="12"/>
  <c r="G220" i="12"/>
  <c r="F220" i="12"/>
  <c r="T220" i="12"/>
  <c r="M220" i="12"/>
  <c r="W220" i="12" s="1"/>
  <c r="AI220" i="12"/>
  <c r="AU220" i="12"/>
  <c r="P220" i="12"/>
  <c r="V220" i="12"/>
  <c r="R220" i="12"/>
  <c r="S220" i="12"/>
  <c r="AA221" i="12" l="1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S222" i="12" s="1"/>
  <c r="Y222" i="12"/>
  <c r="AO222" i="12"/>
  <c r="AG222" i="12"/>
  <c r="U222" i="12" s="1"/>
  <c r="AL222" i="12"/>
  <c r="AN222" i="12"/>
  <c r="D222" i="12"/>
  <c r="E222" i="12"/>
  <c r="Z222" i="12"/>
  <c r="N222" i="12" s="1"/>
  <c r="A223" i="12" a="1"/>
  <c r="P222" i="12" l="1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V223" i="12" s="1"/>
  <c r="AL223" i="12"/>
  <c r="AB223" i="12"/>
  <c r="AT223" i="12"/>
  <c r="AR223" i="12"/>
  <c r="L223" i="12"/>
  <c r="AE223" i="12"/>
  <c r="S223" i="12" s="1"/>
  <c r="K223" i="12"/>
  <c r="AA223" i="12"/>
  <c r="O223" i="12" s="1"/>
  <c r="AP223" i="12"/>
  <c r="J223" i="12"/>
  <c r="AD223" i="12"/>
  <c r="AO223" i="12"/>
  <c r="AG223" i="12"/>
  <c r="U223" i="12" s="1"/>
  <c r="Y223" i="12"/>
  <c r="A224" i="12" a="1"/>
  <c r="T223" i="12" l="1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P224" i="12" s="1"/>
  <c r="AG224" i="12"/>
  <c r="AA224" i="12"/>
  <c r="O224" i="12" s="1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AU224" i="12" l="1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P227" i="12" s="1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V227" i="12" l="1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N228" i="12" s="1"/>
  <c r="A229" i="12" a="1"/>
  <c r="O228" i="12" l="1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O229" i="12" s="1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P229" i="12" s="1"/>
  <c r="AQ229" i="12"/>
  <c r="I229" i="12"/>
  <c r="AO229" i="12"/>
  <c r="AD229" i="12"/>
  <c r="AL229" i="12"/>
  <c r="AR229" i="12"/>
  <c r="AE229" i="12"/>
  <c r="AS229" i="12"/>
  <c r="K229" i="12"/>
  <c r="A230" i="12" a="1"/>
  <c r="R229" i="12" l="1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Q230" i="12" l="1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R231" i="12" s="1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T231" i="12" s="1"/>
  <c r="C231" i="12"/>
  <c r="I231" i="12"/>
  <c r="Z231" i="12"/>
  <c r="AR231" i="12"/>
  <c r="B231" i="12"/>
  <c r="A232" i="12" a="1"/>
  <c r="V231" i="12" l="1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P232" i="12" s="1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S232" i="12" l="1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R233" i="12" s="1"/>
  <c r="AM233" i="12"/>
  <c r="AB233" i="12"/>
  <c r="E233" i="12"/>
  <c r="AN233" i="12"/>
  <c r="AE233" i="12"/>
  <c r="AT233" i="12"/>
  <c r="B233" i="12"/>
  <c r="A234" i="12" a="1"/>
  <c r="Q233" i="12" l="1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R234" i="12" s="1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V234" i="12" l="1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P237" i="12" s="1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T237" i="12" s="1"/>
  <c r="AD237" i="12"/>
  <c r="C237" i="12"/>
  <c r="AR237" i="12"/>
  <c r="Z237" i="12"/>
  <c r="AN237" i="12"/>
  <c r="E237" i="12"/>
  <c r="Y237" i="12"/>
  <c r="A238" i="12" a="1"/>
  <c r="R237" i="12" l="1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U239" i="12" s="1"/>
  <c r="A240" i="12" a="1"/>
  <c r="N239" i="12" l="1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Q240" i="12" s="1"/>
  <c r="AS240" i="12"/>
  <c r="AB240" i="12"/>
  <c r="AM240" i="12"/>
  <c r="Y240" i="12"/>
  <c r="AN240" i="12"/>
  <c r="A241" i="12" a="1"/>
  <c r="O240" i="12" l="1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Q241" i="12" s="1"/>
  <c r="A242" i="12" a="1"/>
  <c r="R241" i="12" l="1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S242" i="12" l="1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S243" i="12" s="1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O243" i="12" l="1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V245" i="12" s="1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N245" i="12" l="1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P248" i="12" s="1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R248" i="12" l="1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R249" i="12" s="1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T249" i="12" l="1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S250" i="12" s="1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T250" i="12" l="1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V251" i="12" s="1"/>
  <c r="AR251" i="12"/>
  <c r="B251" i="12"/>
  <c r="I251" i="12"/>
  <c r="AE251" i="12"/>
  <c r="AM251" i="12"/>
  <c r="AB251" i="12"/>
  <c r="AS251" i="12"/>
  <c r="E251" i="12"/>
  <c r="A252" i="12" a="1"/>
  <c r="AU251" i="12" l="1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V253" i="12" l="1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V254" i="12" s="1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T254" i="12" l="1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U255" i="12" s="1"/>
  <c r="AK255" i="12"/>
  <c r="D255" i="12"/>
  <c r="AL255" i="12"/>
  <c r="AE255" i="12"/>
  <c r="AM255" i="12"/>
  <c r="AB255" i="12"/>
  <c r="L255" i="12"/>
  <c r="AC255" i="12"/>
  <c r="Q255" i="12" s="1"/>
  <c r="A256" i="12" a="1"/>
  <c r="O255" i="12" l="1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U257" i="12" s="1"/>
  <c r="B257" i="12"/>
  <c r="AL257" i="12"/>
  <c r="AF257" i="12"/>
  <c r="AH257" i="12"/>
  <c r="AK257" i="12"/>
  <c r="AS257" i="12"/>
  <c r="Z257" i="12"/>
  <c r="AR257" i="12"/>
  <c r="AO257" i="12"/>
  <c r="I257" i="12"/>
  <c r="AE257" i="12"/>
  <c r="S257" i="12" s="1"/>
  <c r="J257" i="12"/>
  <c r="AP257" i="12"/>
  <c r="AD257" i="12"/>
  <c r="C257" i="12"/>
  <c r="E257" i="12"/>
  <c r="A258" i="12" a="1"/>
  <c r="V257" i="12" l="1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Q259" i="12" s="1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S259" i="12" l="1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V260" i="12" s="1"/>
  <c r="A261" i="12" a="1"/>
  <c r="P260" i="12" l="1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O261" i="12" s="1"/>
  <c r="AG261" i="12"/>
  <c r="U261" i="12" s="1"/>
  <c r="B261" i="12"/>
  <c r="K261" i="12"/>
  <c r="AR261" i="12"/>
  <c r="AP261" i="12"/>
  <c r="Y261" i="12"/>
  <c r="AQ261" i="12"/>
  <c r="AF261" i="12"/>
  <c r="E261" i="12"/>
  <c r="D261" i="12"/>
  <c r="A262" i="12" a="1"/>
  <c r="P261" i="12" l="1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O262" i="12" l="1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U263" i="12" l="1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U265" i="12" s="1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S265" i="12" s="1"/>
  <c r="L265" i="12"/>
  <c r="AH265" i="12"/>
  <c r="C265" i="12"/>
  <c r="I265" i="12"/>
  <c r="B265" i="12"/>
  <c r="AS265" i="12"/>
  <c r="AC265" i="12"/>
  <c r="E265" i="12"/>
  <c r="AO265" i="12"/>
  <c r="A266" i="12" a="1"/>
  <c r="R265" i="12" l="1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N266" i="12" s="1"/>
  <c r="AB266" i="12"/>
  <c r="AP266" i="12"/>
  <c r="B266" i="12"/>
  <c r="I266" i="12"/>
  <c r="AC266" i="12"/>
  <c r="A267" i="12" a="1"/>
  <c r="T266" i="12" l="1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O267" i="12" s="1"/>
  <c r="AL267" i="12"/>
  <c r="AB267" i="12"/>
  <c r="D267" i="12"/>
  <c r="AN267" i="12"/>
  <c r="AF267" i="12"/>
  <c r="J267" i="12"/>
  <c r="AH267" i="12"/>
  <c r="AR267" i="12"/>
  <c r="Z267" i="12"/>
  <c r="A268" i="12" a="1"/>
  <c r="N267" i="12" l="1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O268" i="12" s="1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N268" i="12" s="1"/>
  <c r="AK268" i="12"/>
  <c r="Y268" i="12"/>
  <c r="AR268" i="12"/>
  <c r="AN268" i="12"/>
  <c r="AB268" i="12"/>
  <c r="P268" i="12" s="1"/>
  <c r="AQ268" i="12"/>
  <c r="AO268" i="12"/>
  <c r="AP268" i="12"/>
  <c r="AC268" i="12"/>
  <c r="AM268" i="12"/>
  <c r="C268" i="12"/>
  <c r="AS268" i="12"/>
  <c r="L268" i="12"/>
  <c r="A269" i="12" a="1"/>
  <c r="Q268" i="12" l="1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V269" i="12" s="1"/>
  <c r="AL269" i="12"/>
  <c r="Z269" i="12"/>
  <c r="B269" i="12"/>
  <c r="AS269" i="12"/>
  <c r="AG269" i="12"/>
  <c r="U269" i="12" s="1"/>
  <c r="A270" i="12" a="1"/>
  <c r="R269" i="12" l="1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S270" i="12" s="1"/>
  <c r="AC270" i="12"/>
  <c r="E270" i="12"/>
  <c r="Z270" i="12"/>
  <c r="N270" i="12" s="1"/>
  <c r="AK270" i="12"/>
  <c r="AS270" i="12"/>
  <c r="AL270" i="12"/>
  <c r="D270" i="12"/>
  <c r="AF270" i="12"/>
  <c r="AO270" i="12"/>
  <c r="AA270" i="12"/>
  <c r="O270" i="12" s="1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R270" i="12" s="1"/>
  <c r="A271" i="12" a="1"/>
  <c r="P270" i="12" l="1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Q272" i="12" s="1"/>
  <c r="E272" i="12"/>
  <c r="Y272" i="12"/>
  <c r="AH272" i="12"/>
  <c r="AE272" i="12"/>
  <c r="D272" i="12"/>
  <c r="AQ272" i="12"/>
  <c r="AD272" i="12"/>
  <c r="R272" i="12" s="1"/>
  <c r="L272" i="12"/>
  <c r="A273" i="12" a="1"/>
  <c r="V272" i="12" l="1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O273" i="12" s="1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U273" i="12" s="1"/>
  <c r="D273" i="12"/>
  <c r="L273" i="12"/>
  <c r="AT273" i="12"/>
  <c r="AS273" i="12"/>
  <c r="AB273" i="12"/>
  <c r="AC273" i="12"/>
  <c r="Y273" i="12"/>
  <c r="A274" i="12" a="1"/>
  <c r="V273" i="12" l="1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T274" i="12" s="1"/>
  <c r="A275" i="12" a="1"/>
  <c r="P274" i="12" l="1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U275" i="12" s="1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Q275" i="12" l="1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S276" i="12" s="1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R278" i="12" s="1"/>
  <c r="L278" i="12"/>
  <c r="J278" i="12"/>
  <c r="AH278" i="12"/>
  <c r="V278" i="12" s="1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O278" i="12" l="1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S279" i="12" s="1"/>
  <c r="A280" i="12" a="1"/>
  <c r="N279" i="12" l="1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N280" i="12" s="1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Q280" i="12" l="1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P282" i="12" s="1"/>
  <c r="E282" i="12"/>
  <c r="AD282" i="12"/>
  <c r="R282" i="12" s="1"/>
  <c r="A283" i="12" a="1"/>
  <c r="S282" i="12" l="1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N283" i="12" s="1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R284" i="12" s="1"/>
  <c r="B284" i="12"/>
  <c r="AK284" i="12"/>
  <c r="AT284" i="12"/>
  <c r="AC284" i="12"/>
  <c r="I284" i="12"/>
  <c r="A285" i="12" a="1"/>
  <c r="V284" i="12" l="1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Q288" i="12" s="1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U288" i="12" s="1"/>
  <c r="A289" i="12" a="1"/>
  <c r="AU288" i="12" l="1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S289" i="12" s="1"/>
  <c r="AT289" i="12"/>
  <c r="Y289" i="12"/>
  <c r="AG289" i="12"/>
  <c r="AN289" i="12"/>
  <c r="K289" i="12"/>
  <c r="AL289" i="12"/>
  <c r="AK289" i="12"/>
  <c r="A290" i="12" a="1"/>
  <c r="P289" i="12" l="1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O293" i="12" l="1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T297" i="12" s="1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P297" i="12" l="1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N298" i="12" s="1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Q298" i="12" s="1"/>
  <c r="Y298" i="12"/>
  <c r="I298" i="12"/>
  <c r="E298" i="12"/>
  <c r="AP298" i="12"/>
  <c r="AF298" i="12"/>
  <c r="T298" i="12" s="1"/>
  <c r="AK298" i="12"/>
  <c r="AR298" i="12"/>
  <c r="AG298" i="12"/>
  <c r="U298" i="12" s="1"/>
  <c r="D298" i="12"/>
  <c r="AH298" i="12"/>
  <c r="V298" i="12" s="1"/>
  <c r="A299" i="12" a="1"/>
  <c r="S298" i="12" l="1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V299" i="12" s="1"/>
  <c r="I299" i="12"/>
  <c r="L299" i="12"/>
  <c r="AF299" i="12"/>
  <c r="AG299" i="12"/>
  <c r="AN299" i="12"/>
  <c r="AK299" i="12"/>
  <c r="AS299" i="12"/>
  <c r="AA299" i="12"/>
  <c r="O299" i="12" s="1"/>
  <c r="A300" i="12" a="1"/>
  <c r="T299" i="12" l="1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N300" i="12" s="1"/>
  <c r="AH300" i="12"/>
  <c r="V300" i="12" s="1"/>
  <c r="L300" i="12"/>
  <c r="AA300" i="12"/>
  <c r="O300" i="12" s="1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R300" i="12" l="1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<sst xmlns="http://schemas.openxmlformats.org/spreadsheetml/2006/main" count="2343" uniqueCount="1427">
  <si>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</si>
  <si>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</si>
  <si>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</si>
  <si>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</si>
  <si>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</si>
  <si>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</si>
  <si>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</si>
  <si>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</si>
  <si>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</si>
  <si>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</si>
  <si>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</si>
  <si>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</si>
  <si>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</si>
  <si>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</si>
  <si>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</si>
  <si>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</si>
  <si>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</si>
  <si>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</si>
  <si>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</si>
  <si>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</si>
  <si>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</si>
  <si>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</si>
  <si>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</si>
  <si>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</si>
  <si>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</si>
  <si>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</si>
  <si>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</si>
  <si>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</si>
  <si>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</si>
  <si>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</si>
  <si>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</si>
  <si>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</si>
  <si>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</si>
  <si>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</si>
  <si>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</si>
  <si>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</si>
  <si>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</si>
  <si>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</si>
  <si>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</si>
  <si>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</si>
  <si>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</si>
  <si>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</si>
  <si>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</si>
  <si>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</si>
  <si>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</si>
  <si>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</si>
  <si>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</si>
  <si>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</si>
  <si>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</si>
  <si>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</si>
  <si>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</si>
  <si>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</si>
  <si>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</si>
  <si>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</si>
  <si>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</si>
  <si>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</si>
  <si>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</si>
  <si>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</si>
  <si>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</si>
  <si>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</si>
  <si>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</si>
  <si>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</si>
  <si>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</si>
  <si>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</si>
  <si>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</si>
  <si>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</si>
  <si>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</si>
  <si>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</si>
  <si>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</si>
  <si>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</si>
  <si>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</si>
  <si>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</si>
  <si>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</si>
  <si>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</si>
  <si>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</si>
  <si>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</si>
  <si>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</si>
  <si>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</si>
  <si>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</si>
  <si>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</si>
  <si>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</si>
  <si>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</si>
  <si>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</si>
  <si>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</si>
  <si>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</si>
  <si>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</si>
  <si>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</si>
  <si>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</si>
  <si>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</si>
  <si>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</si>
  <si>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</si>
  <si>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</si>
  <si>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</si>
  <si>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</si>
  <si>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</si>
  <si>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</si>
  <si>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</si>
  <si>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</si>
  <si>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</si>
  <si>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</si>
  <si>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</si>
  <si>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</si>
  <si>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</si>
  <si>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</si>
  <si>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</si>
  <si>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</si>
  <si>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</si>
  <si>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</si>
  <si>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</si>
  <si>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</si>
  <si>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</si>
  <si>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</si>
  <si>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</si>
  <si>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</si>
  <si>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</si>
  <si>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</si>
  <si>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</si>
  <si>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</si>
  <si>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</si>
  <si>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</si>
  <si>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</si>
  <si>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</si>
  <si>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</si>
  <si>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</si>
  <si>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</si>
  <si>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</si>
  <si>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</si>
  <si>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</si>
  <si>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</si>
  <si>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</si>
  <si>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</si>
  <si>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</si>
  <si>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</si>
  <si>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</si>
  <si>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</si>
  <si>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</si>
  <si>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</si>
  <si>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</si>
  <si>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</si>
  <si>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</si>
  <si>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</si>
  <si>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</si>
  <si>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</si>
  <si>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</si>
  <si>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</si>
  <si>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</si>
  <si>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</si>
  <si>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</si>
  <si>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</si>
  <si>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</si>
  <si>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</si>
  <si>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</si>
  <si>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</si>
  <si>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</si>
  <si>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</si>
  <si>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</si>
  <si>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</si>
  <si>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</si>
  <si>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</si>
  <si>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</si>
  <si>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</si>
  <si>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</si>
  <si>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</si>
  <si>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</si>
  <si>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</si>
  <si>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</si>
  <si>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</si>
  <si>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</si>
  <si>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</si>
  <si>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</si>
  <si>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</si>
  <si>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</si>
  <si>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</si>
  <si>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</si>
  <si>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</si>
  <si>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</si>
  <si>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</si>
  <si>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</si>
  <si>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</si>
  <si>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</si>
  <si>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</si>
  <si>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</si>
  <si>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</si>
  <si>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</si>
  <si>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</si>
  <si>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</si>
  <si>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</si>
  <si>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</si>
  <si>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</si>
  <si>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</si>
  <si>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</si>
  <si>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</si>
  <si>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</si>
  <si>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</si>
  <si>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</si>
  <si>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</si>
  <si>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</si>
  <si>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</si>
  <si>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</si>
  <si>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</si>
  <si>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</si>
  <si>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</si>
  <si>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</si>
  <si>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</si>
  <si>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</si>
  <si>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</si>
  <si>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</si>
  <si>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</si>
  <si>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</si>
  <si>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</si>
  <si>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</si>
  <si>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</si>
  <si>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</si>
  <si>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</si>
  <si>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</si>
  <si>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</si>
  <si>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</si>
  <si>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</si>
  <si>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</si>
  <si>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</si>
  <si>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</si>
  <si>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</si>
  <si>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</si>
  <si>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</si>
  <si>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</si>
  <si>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</si>
  <si>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</si>
  <si>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</si>
  <si>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</si>
  <si>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</si>
  <si>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</si>
  <si>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</si>
  <si>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</si>
  <si>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</si>
  <si>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</si>
  <si>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</si>
  <si>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</si>
  <si>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</si>
  <si>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</si>
  <si>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</si>
  <si>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</si>
  <si>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</si>
  <si>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</si>
  <si>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</si>
  <si>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</si>
  <si>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</si>
  <si>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</si>
  <si>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</si>
  <si>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</si>
  <si>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</si>
  <si>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</si>
  <si>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</si>
  <si>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</si>
  <si>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</si>
  <si>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</si>
  <si>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</si>
  <si>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</si>
  <si>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</si>
  <si>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</si>
  <si>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</si>
  <si>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</si>
  <si>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</si>
  <si>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</si>
  <si>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</si>
  <si>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</si>
  <si>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</si>
  <si>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</si>
  <si>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</si>
  <si>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</si>
  <si>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</si>
  <si>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</si>
  <si>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</si>
  <si>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</si>
  <si>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</si>
  <si>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</si>
  <si>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</si>
  <si>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</si>
  <si>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</si>
  <si>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</si>
  <si>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</si>
  <si>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</si>
  <si>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</si>
  <si>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</si>
  <si>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</si>
  <si>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</si>
  <si>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</si>
  <si>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</si>
  <si>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</si>
  <si>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</si>
  <si>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</si>
  <si>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</si>
  <si>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</si>
  <si>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</si>
  <si>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</si>
  <si>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</si>
  <si>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</si>
  <si>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</si>
  <si>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</si>
  <si>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</si>
  <si>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</si>
  <si>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</si>
  <si>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</si>
  <si>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</si>
  <si>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</si>
  <si>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</si>
  <si>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</si>
  <si>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</si>
  <si>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</si>
  <si>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</si>
  <si>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</si>
  <si>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</si>
  <si>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</si>
  <si>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</si>
  <si>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</si>
  <si>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</si>
  <si>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</si>
  <si>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</si>
  <si>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</si>
  <si>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</si>
  <si>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</si>
  <si>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</si>
  <si>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</si>
  <si>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</si>
  <si>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</si>
  <si>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</si>
  <si>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</si>
  <si>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</si>
  <si>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</si>
  <si>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</si>
  <si>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</si>
  <si>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</si>
  <si>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</si>
  <si>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</si>
  <si>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</si>
  <si>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</si>
  <si>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</si>
  <si>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</si>
  <si>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</si>
  <si>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</si>
  <si>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</si>
  <si>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</si>
  <si>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</si>
  <si>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</si>
  <si>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</si>
  <si>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</si>
  <si>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</si>
  <si>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</si>
  <si>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</si>
  <si>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</si>
  <si>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</si>
  <si>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</si>
  <si>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</si>
  <si>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</si>
  <si>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</si>
  <si>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</si>
  <si>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</si>
  <si>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</si>
  <si>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</si>
  <si>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</si>
  <si>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</si>
  <si>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</si>
  <si>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</si>
  <si>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</si>
  <si>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</si>
  <si>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</si>
  <si>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</si>
  <si>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</si>
  <si>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</si>
  <si>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</si>
  <si>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</si>
  <si>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</si>
  <si>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</si>
  <si>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</si>
  <si>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</si>
  <si>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</si>
  <si>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</si>
  <si>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</si>
  <si>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</si>
  <si>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</si>
  <si>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</si>
  <si>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</si>
  <si>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</si>
  <si>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</si>
  <si>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</si>
  <si>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</si>
  <si>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</si>
  <si>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</si>
  <si>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</si>
  <si>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</si>
  <si>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</si>
  <si>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</si>
  <si>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</si>
  <si>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</si>
  <si>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</si>
  <si>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</si>
  <si>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</si>
  <si>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</si>
  <si>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</si>
  <si>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</si>
  <si>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</si>
  <si>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</si>
  <si>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</si>
  <si>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</si>
  <si>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</si>
  <si>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</si>
  <si>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</si>
  <si>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</si>
  <si>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</si>
  <si>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</si>
  <si>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</si>
  <si>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</si>
  <si>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</si>
  <si>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</si>
  <si>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</si>
  <si>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</si>
  <si>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</si>
  <si>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</si>
  <si>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</si>
  <si>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</si>
  <si>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</si>
  <si>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</si>
  <si>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</si>
  <si>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</si>
  <si>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</si>
  <si>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</si>
  <si>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</si>
  <si>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</si>
  <si>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</si>
  <si>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</si>
  <si>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</si>
  <si>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</si>
  <si>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</si>
  <si>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</si>
  <si>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</si>
  <si>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</si>
  <si>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</si>
  <si>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</si>
  <si>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</si>
  <si>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</si>
  <si>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</si>
  <si>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</si>
  <si>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</si>
  <si>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</si>
  <si>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</si>
  <si>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</si>
  <si>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</si>
  <si>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</si>
  <si>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</si>
  <si>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</si>
  <si>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</si>
  <si>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</si>
  <si>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</si>
  <si>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</si>
  <si>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</si>
  <si>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</si>
  <si>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</si>
  <si>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</si>
  <si>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</si>
  <si>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</si>
  <si>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</si>
  <si>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</si>
  <si>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</si>
  <si>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</si>
  <si>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</si>
  <si>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</si>
  <si>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</si>
  <si>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</si>
  <si>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</si>
  <si>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</si>
  <si>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</si>
  <si>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</si>
  <si>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</si>
  <si>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</si>
  <si>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</si>
  <si>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</si>
  <si>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</si>
  <si>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</si>
  <si>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</si>
  <si>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</si>
  <si>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</si>
  <si>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</si>
  <si>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</si>
  <si>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</si>
  <si>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</si>
  <si>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</si>
  <si>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</si>
  <si>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</si>
  <si>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</si>
  <si>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</si>
  <si>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</si>
  <si>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</si>
  <si>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</si>
  <si>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</si>
  <si>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</si>
  <si>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</si>
  <si>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</si>
  <si>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</si>
  <si>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</si>
  <si>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</si>
  <si>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</si>
  <si>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</si>
  <si>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</si>
  <si>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</si>
  <si>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</si>
  <si>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</si>
  <si>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</si>
  <si>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</si>
  <si>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</si>
  <si>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</si>
  <si>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</si>
  <si>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</si>
  <si>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</si>
  <si>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</si>
  <si>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</si>
  <si>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</si>
  <si>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</si>
  <si>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</si>
  <si>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</si>
  <si>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</si>
  <si>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</si>
  <si>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</si>
  <si>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</si>
  <si>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</si>
  <si>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</si>
  <si>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</si>
  <si>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</si>
  <si>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</si>
  <si>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</si>
  <si>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</si>
  <si>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</si>
  <si>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</si>
  <si>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</si>
  <si>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</si>
  <si>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</si>
  <si>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</si>
  <si>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</si>
  <si>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</si>
  <si>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</si>
  <si>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</si>
  <si>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</si>
  <si>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</si>
  <si>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</si>
  <si>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</si>
  <si>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</si>
  <si>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</si>
  <si>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</si>
  <si>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</si>
  <si>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</si>
  <si>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</si>
  <si>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</si>
  <si>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</si>
  <si>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</si>
  <si>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</si>
  <si>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</si>
  <si>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</si>
  <si>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</si>
  <si>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</si>
  <si>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</si>
  <si>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</si>
  <si>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</si>
  <si>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</si>
  <si>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</si>
  <si>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</si>
  <si>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</si>
  <si>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</si>
  <si>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</si>
  <si>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</si>
  <si>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</si>
  <si>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</si>
  <si>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</si>
  <si>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</si>
  <si>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</si>
  <si>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</si>
  <si>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</si>
  <si>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</si>
  <si>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</si>
  <si>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</si>
  <si>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</si>
  <si>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</si>
  <si>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</si>
  <si>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</si>
  <si>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</si>
  <si>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</si>
  <si>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</si>
  <si>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</si>
  <si>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</si>
  <si>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</si>
  <si>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</si>
  <si>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</si>
  <si>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</si>
  <si>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</si>
  <si>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</si>
  <si>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</si>
  <si>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</si>
  <si>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</si>
  <si>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</si>
  <si>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</si>
  <si>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</si>
  <si>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</si>
  <si>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</si>
  <si>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</si>
  <si>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</si>
  <si>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</si>
  <si>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</si>
  <si>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</si>
  <si>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</si>
  <si>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</si>
  <si>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</si>
  <si>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</si>
  <si>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</si>
  <si>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</si>
  <si>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</si>
  <si>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</si>
  <si>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</si>
  <si>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</si>
  <si>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</si>
  <si>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</si>
  <si>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</si>
  <si>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</si>
  <si>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</si>
  <si>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</si>
  <si>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</si>
  <si>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</si>
  <si>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</si>
  <si>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</si>
  <si>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</si>
  <si>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</si>
  <si>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</si>
  <si>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</si>
  <si>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</si>
  <si>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</si>
  <si>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</si>
  <si>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</si>
  <si>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</si>
  <si>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</si>
  <si>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</si>
  <si>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</si>
  <si>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</si>
  <si>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</si>
  <si>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</si>
  <si>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</si>
  <si>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</si>
  <si>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</si>
  <si>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</si>
  <si>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</si>
  <si>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</si>
  <si>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</si>
  <si>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</si>
  <si>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</si>
  <si>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</si>
  <si>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</si>
  <si>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</si>
  <si>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</si>
  <si>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</si>
  <si>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</si>
  <si>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</si>
  <si>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</si>
  <si>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</si>
  <si>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</si>
  <si>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</si>
  <si>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</si>
  <si>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</si>
  <si>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</si>
  <si>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</si>
  <si>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</si>
  <si>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</si>
  <si>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</si>
  <si>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</si>
  <si>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</si>
  <si>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</si>
  <si>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</si>
  <si>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</si>
  <si>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</si>
  <si>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</si>
  <si>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</si>
  <si>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</si>
  <si>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</si>
  <si>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</si>
  <si>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</si>
  <si>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</si>
  <si>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</si>
  <si>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</si>
  <si>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</si>
  <si>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</si>
  <si>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</si>
  <si>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</si>
  <si>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</si>
  <si>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</si>
  <si>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</si>
  <si>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</si>
  <si>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</si>
  <si>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</si>
  <si>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</si>
  <si>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</si>
  <si>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</si>
  <si>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</si>
  <si>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</si>
  <si>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</si>
  <si>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</si>
  <si>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</si>
  <si>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</si>
  <si>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</si>
  <si>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</si>
  <si>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</si>
  <si>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</si>
  <si>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</si>
  <si>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</si>
  <si>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</si>
  <si>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</si>
  <si>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</si>
  <si>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</si>
  <si>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</si>
  <si>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</si>
  <si>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</si>
  <si>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</si>
  <si>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</si>
  <si>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</si>
  <si>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</si>
  <si>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</si>
  <si>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</si>
  <si>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</si>
  <si>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</si>
  <si>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</si>
  <si>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</si>
  <si>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</si>
  <si>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</si>
  <si>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</si>
  <si>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</si>
  <si>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</si>
  <si>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</si>
  <si>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</si>
  <si>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</si>
  <si>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</si>
  <si>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</si>
  <si>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</si>
  <si>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</si>
  <si>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</si>
  <si>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</si>
  <si>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</si>
  <si>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</si>
  <si>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</si>
  <si>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</si>
  <si>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</si>
  <si>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</si>
  <si>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</si>
  <si>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</si>
  <si>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</si>
  <si>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</si>
  <si>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</si>
  <si>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</si>
  <si>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</si>
  <si>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</si>
  <si>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</si>
  <si>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</si>
  <si>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</si>
  <si>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</si>
  <si>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</si>
  <si>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</si>
  <si>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</si>
  <si>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</si>
  <si>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</si>
  <si>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</si>
  <si>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</si>
  <si>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</si>
  <si>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</si>
  <si>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</si>
  <si>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</si>
  <si>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</si>
  <si>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</si>
  <si>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</si>
  <si>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</si>
  <si>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</si>
  <si>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</si>
  <si>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</si>
  <si>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</si>
  <si>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</si>
  <si>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</si>
  <si>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</si>
  <si>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</si>
  <si>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</si>
  <si>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</si>
  <si>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</si>
  <si>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</si>
  <si>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</si>
  <si>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</si>
  <si>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</si>
  <si>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</si>
  <si>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</si>
  <si>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</si>
  <si>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</si>
  <si>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</si>
  <si>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</si>
  <si>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</si>
  <si>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</si>
  <si>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</si>
  <si>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</si>
  <si>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</si>
  <si>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</si>
  <si>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</si>
  <si>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</si>
  <si>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</si>
  <si>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</si>
  <si>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</si>
  <si>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</si>
  <si>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</si>
  <si>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</si>
  <si>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</si>
  <si>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</si>
  <si>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</si>
  <si>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</si>
  <si>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</si>
  <si>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</si>
  <si>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</si>
  <si>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</si>
  <si>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</si>
  <si>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</si>
  <si>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</si>
  <si>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</si>
  <si>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</si>
  <si>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</si>
  <si>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</si>
  <si>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</si>
  <si>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</si>
  <si>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</si>
  <si>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</si>
  <si>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</si>
  <si>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</si>
  <si>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</si>
  <si>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</si>
  <si>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</si>
  <si>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</si>
  <si>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</si>
  <si>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</si>
  <si>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</si>
  <si>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</si>
  <si>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</si>
  <si>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</si>
  <si>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</si>
  <si>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</si>
  <si>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</si>
  <si>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</si>
  <si>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</si>
  <si>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</si>
  <si>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</si>
  <si>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</si>
  <si>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</si>
  <si>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</si>
  <si>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</si>
  <si>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</si>
  <si>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</si>
  <si>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</si>
  <si>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</si>
  <si>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</si>
  <si>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</si>
  <si>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</si>
  <si>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</si>
  <si>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</si>
  <si>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</si>
  <si>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</si>
  <si>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</si>
  <si>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</si>
  <si>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</si>
  <si>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</si>
  <si>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</si>
  <si>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</si>
  <si>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</si>
  <si>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</si>
  <si>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</si>
  <si>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</si>
  <si>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</si>
  <si>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</si>
  <si>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</si>
  <si>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</si>
  <si>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</si>
  <si>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</si>
  <si>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</si>
  <si>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</si>
  <si>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</si>
  <si>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</si>
  <si>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</si>
  <si>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</si>
  <si>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</si>
  <si>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</si>
  <si>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</si>
  <si>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</si>
  <si>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</si>
  <si>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</si>
  <si>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</si>
  <si>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</si>
  <si>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</si>
  <si>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</si>
  <si>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</si>
  <si>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</si>
  <si>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</si>
  <si>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</si>
  <si>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</si>
  <si>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</si>
  <si>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</si>
  <si>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</si>
  <si>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</si>
  <si>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</si>
  <si>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</si>
  <si>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</si>
  <si>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</si>
  <si>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</si>
  <si>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</si>
  <si>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</si>
  <si>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</si>
  <si>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</si>
  <si>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</si>
  <si>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</si>
  <si>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</si>
  <si>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</si>
  <si>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</si>
  <si>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</si>
  <si>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</si>
  <si>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</si>
  <si>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</si>
  <si>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</si>
  <si>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</si>
  <si>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</si>
  <si>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</si>
  <si>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</si>
  <si>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</si>
  <si>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</si>
  <si>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</si>
  <si>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</si>
  <si>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</si>
  <si>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</si>
  <si>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</si>
  <si>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</si>
  <si>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</si>
  <si>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</si>
  <si>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</si>
  <si>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</si>
  <si>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</si>
  <si>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</si>
  <si>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</si>
  <si>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</si>
  <si>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</si>
  <si>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</si>
  <si>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</si>
  <si>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</si>
  <si>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</si>
  <si>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</si>
  <si>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</si>
  <si>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</si>
  <si>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</si>
  <si>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</si>
  <si>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</si>
  <si>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</si>
  <si>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</si>
  <si>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</si>
  <si>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</si>
  <si>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</si>
  <si>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</si>
  <si>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</si>
  <si>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</si>
  <si>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</si>
  <si>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</si>
  <si>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</si>
  <si>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</si>
  <si>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</si>
  <si>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</si>
  <si>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</si>
  <si>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</si>
  <si>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</si>
  <si>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</si>
  <si>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</si>
  <si>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</si>
  <si>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</si>
  <si>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</si>
  <si>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</si>
  <si>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</si>
  <si>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</si>
  <si>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</si>
  <si>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</si>
  <si>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</si>
  <si>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</si>
  <si>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</si>
  <si>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</si>
  <si>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</si>
  <si>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</si>
  <si>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</si>
  <si>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</si>
  <si>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</si>
  <si>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</si>
  <si>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</si>
  <si>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</si>
  <si>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</si>
  <si>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</si>
  <si>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</si>
  <si>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</si>
  <si>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</si>
  <si>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</si>
  <si>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</si>
  <si>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</si>
  <si>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</si>
  <si>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</si>
  <si>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</si>
  <si>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</si>
  <si>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</si>
  <si>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</si>
  <si>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</si>
  <si>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</si>
  <si>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</si>
  <si>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</si>
  <si>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</si>
  <si>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</si>
  <si>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</si>
  <si>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</si>
  <si>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</si>
  <si>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</si>
  <si>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</si>
  <si>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</si>
  <si>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</si>
  <si>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</si>
  <si>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</si>
  <si>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</si>
  <si>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</si>
  <si>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</si>
  <si>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</si>
  <si>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</si>
  <si>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</si>
  <si>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</si>
  <si>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</si>
  <si>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</si>
  <si>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</si>
  <si>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</si>
  <si>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</si>
  <si>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</si>
  <si>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</si>
  <si>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</si>
  <si>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</si>
  <si>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</si>
  <si>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</si>
  <si>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</si>
  <si>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</si>
  <si>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</si>
  <si>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</si>
  <si>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</si>
  <si>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</si>
  <si>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</si>
  <si>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</si>
  <si>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</si>
  <si>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</si>
  <si>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</si>
  <si>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</si>
  <si>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</si>
  <si>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</si>
  <si>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</si>
  <si>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</si>
  <si>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</si>
  <si>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</si>
  <si>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</si>
  <si>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</si>
  <si>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</si>
  <si>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</si>
  <si>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</si>
  <si>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</si>
  <si>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</si>
  <si>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</si>
  <si>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</si>
  <si>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</si>
  <si>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</si>
  <si>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</si>
  <si>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</si>
  <si>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</si>
  <si>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</si>
  <si>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</si>
  <si>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</si>
  <si>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</si>
  <si>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</si>
  <si>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</si>
  <si>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</si>
  <si>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</si>
  <si>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</si>
  <si>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</si>
  <si>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</si>
  <si>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</si>
  <si>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</si>
  <si>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</si>
  <si>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</si>
  <si>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</si>
  <si>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</si>
  <si>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</si>
  <si>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</si>
  <si>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</si>
  <si>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</si>
  <si>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</si>
  <si>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</si>
  <si>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</si>
  <si>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</si>
  <si>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</si>
  <si>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</si>
  <si>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</si>
  <si>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</si>
  <si>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</si>
  <si>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</si>
  <si>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</si>
  <si>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</si>
  <si>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</si>
  <si>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</si>
  <si>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</si>
  <si>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</si>
  <si>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</si>
  <si>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</si>
  <si>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</si>
  <si>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</si>
  <si>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</si>
  <si>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</si>
  <si>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</si>
  <si>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</si>
  <si>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</si>
  <si>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</si>
  <si>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</si>
  <si>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</si>
  <si>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</si>
  <si>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</si>
  <si>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</si>
  <si>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</si>
  <si>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</si>
  <si>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</si>
  <si>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</si>
  <si>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</si>
  <si>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</si>
  <si>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</si>
  <si>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</si>
  <si>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</si>
  <si>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</si>
  <si>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</si>
  <si>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</si>
  <si>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</si>
  <si>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</si>
  <si>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</si>
  <si>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</si>
  <si>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</si>
  <si>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</si>
  <si>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</si>
  <si>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</si>
  <si>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</si>
  <si>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</si>
  <si>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</si>
  <si>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</si>
  <si>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</si>
  <si>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</si>
  <si>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</si>
  <si>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</si>
  <si>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</si>
  <si>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</si>
  <si>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</si>
  <si>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</si>
  <si>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</si>
  <si>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</si>
  <si>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</si>
  <si>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</si>
  <si>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</si>
  <si>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</si>
  <si>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</si>
  <si>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</si>
  <si>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</si>
  <si>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</si>
  <si>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</si>
  <si>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</si>
  <si>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</si>
  <si>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</si>
  <si>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</si>
  <si>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</si>
  <si>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</si>
  <si>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</si>
  <si>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</si>
  <si>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</si>
  <si>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</si>
  <si>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</si>
  <si>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</si>
  <si>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</si>
  <si>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</si>
  <si>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</si>
  <si>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</si>
  <si>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</si>
  <si>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</si>
  <si>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</si>
  <si>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</si>
  <si>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</si>
  <si>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</si>
  <si>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</si>
  <si>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</si>
  <si>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</si>
  <si>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</si>
  <si>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</si>
  <si>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</si>
  <si>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</si>
  <si>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</si>
  <si>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</si>
  <si>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</si>
  <si>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</si>
  <si>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</si>
  <si>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</si>
  <si>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</si>
  <si>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</si>
  <si>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</si>
  <si>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</si>
  <si>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</si>
  <si>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</si>
  <si>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</si>
  <si>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</si>
  <si>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</si>
  <si>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</si>
  <si>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</si>
  <si>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</si>
  <si>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</si>
  <si>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</si>
  <si>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</si>
  <si>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</si>
  <si>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</si>
  <si>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</si>
  <si>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</si>
  <si>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</si>
  <si>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</si>
  <si>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</si>
  <si>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</si>
  <si>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</si>
  <si>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</si>
  <si>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</si>
  <si>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</si>
  <si>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</si>
  <si>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</si>
  <si>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</si>
  <si>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</si>
  <si>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</si>
  <si>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</si>
  <si>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</si>
  <si>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</si>
  <si>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</si>
  <si>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</si>
  <si>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</si>
  <si>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</si>
  <si>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</si>
  <si>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</si>
  <si>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</si>
  <si>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</si>
  <si>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</si>
  <si>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</si>
  <si>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</si>
  <si>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</si>
  <si>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</si>
  <si>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</si>
  <si>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</si>
  <si>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</si>
  <si>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</si>
  <si>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</si>
  <si>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</si>
  <si>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</si>
  <si>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</si>
  <si>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</si>
  <si>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</si>
  <si>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</si>
  <si>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</si>
  <si>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</si>
  <si>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</si>
  <si>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</si>
  <si>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</si>
  <si>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</si>
  <si>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</si>
  <si>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</si>
  <si>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</si>
  <si>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</si>
  <si>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</si>
  <si>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</si>
  <si>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</si>
  <si>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</si>
  <si>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</si>
  <si>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</si>
  <si>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</si>
  <si>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</si>
  <si>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</si>
  <si>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</si>
  <si>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</si>
  <si>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</si>
  <si>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</si>
  <si>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</si>
  <si>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</si>
  <si>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</si>
  <si>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</si>
  <si>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</si>
  <si>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</si>
  <si>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</si>
  <si>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</si>
  <si>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</si>
  <si>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</si>
  <si>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</si>
  <si>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</si>
  <si>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</si>
  <si>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</si>
  <si>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</si>
  <si>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</si>
  <si>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</si>
  <si>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</si>
  <si>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</si>
  <si>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</si>
  <si>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</si>
  <si>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</si>
  <si>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</si>
  <si>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</si>
  <si>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</si>
  <si>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</si>
  <si>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</si>
  <si>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</si>
  <si>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</si>
  <si>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</si>
  <si>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</si>
  <si>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</si>
  <si>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</si>
  <si>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</si>
  <si>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</si>
  <si>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</si>
  <si>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</si>
  <si>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</si>
  <si>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</si>
  <si>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</si>
  <si>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</si>
  <si>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</si>
  <si>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</si>
  <si>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</si>
  <si>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</si>
  <si>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</si>
  <si>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</si>
  <si>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</si>
  <si>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</si>
  <si>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</si>
  <si>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</si>
  <si>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</si>
  <si>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</si>
  <si>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</si>
  <si>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</si>
  <si>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</si>
  <si>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</si>
  <si>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</si>
  <si>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</si>
  <si>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</si>
  <si>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</si>
  <si>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</si>
  <si>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</si>
  <si>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</si>
  <si>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</si>
  <si>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</si>
  <si>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</si>
  <si>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</si>
  <si>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</si>
  <si>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</si>
  <si>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</si>
  <si>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</si>
  <si>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</si>
  <si>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</si>
  <si>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</si>
  <si>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</si>
  <si>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</si>
  <si>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</si>
  <si>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</si>
  <si>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</si>
  <si>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</si>
  <si>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</si>
  <si>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</si>
  <si>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</si>
  <si>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</si>
  <si>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</si>
  <si>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</si>
  <si>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</si>
  <si>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</si>
  <si>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</si>
  <si>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</si>
  <si>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</si>
  <si>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</si>
  <si>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</si>
  <si>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</si>
  <si>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</si>
  <si>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</si>
  <si>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</si>
  <si>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</si>
  <si>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</si>
  <si>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</si>
  <si>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</si>
  <si>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</si>
  <si>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</si>
  <si>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</si>
  <si>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</si>
  <si>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</si>
  <si>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</si>
  <si>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</si>
  <si>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</si>
  <si>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</si>
  <si>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</si>
  <si>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</si>
  <si>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</si>
  <si>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</si>
  <si>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</si>
  <si>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</si>
  <si>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</si>
  <si>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</si>
  <si>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</si>
  <si>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</si>
  <si>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</si>
  <si>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</si>
  <si>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</si>
  <si>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</si>
  <si>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</si>
  <si>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</si>
  <si>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</si>
  <si>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</si>
  <si>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</si>
  <si>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</si>
  <si>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</si>
  <si>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</si>
  <si>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</si>
  <si>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</si>
  <si>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</si>
  <si>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</si>
  <si>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</si>
  <si>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</si>
  <si>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</si>
  <si>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</si>
  <si>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Amber wu</t>
  </si>
  <si>
    <t>Lexi pan</t>
  </si>
  <si>
    <t>Elsie chan</t>
  </si>
  <si>
    <t>Theresa chow</t>
  </si>
  <si>
    <t>Rachel lau</t>
  </si>
  <si>
    <t>Reynardo tjhin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</si>
</sst>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rgb="FF0C0C0C"/>
      <name val="&quot;Helvetica Neue&quot;"/>
      <charset val="134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wrapText="1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21">
    <dxf>
      <font>
        <color rgb="FF00B0F0"/>
      </font>
      <fill>
        <patternFill patternType="none"/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D8" sqref="AD8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10324</v>
      </c>
      <c r="B2" s="73">
        <v>501</v>
      </c>
      <c r="C2" s="97" t="s">
        <v>1421</v>
      </c>
      <c r="D2" s="75">
        <v>0.375</v>
      </c>
      <c r="E2" s="75">
        <v>0.79166666666666696</v>
      </c>
      <c r="F2" s="92">
        <f>BA2-BB2</f>
        <v>9.0000000000000071</v>
      </c>
      <c r="G2" s="75">
        <v>0.375</v>
      </c>
      <c r="H2" s="75">
        <v>0.83333333333333304</v>
      </c>
      <c r="I2" s="92">
        <f>BF2-BG2</f>
        <v>9.9999999999999929</v>
      </c>
      <c r="J2" s="75">
        <v>0.375</v>
      </c>
      <c r="K2" s="75">
        <v>0.70833333333333304</v>
      </c>
      <c r="L2" s="92">
        <f>BK2-BL2</f>
        <v>7.4999999999999929</v>
      </c>
      <c r="M2" s="75">
        <v>0.375</v>
      </c>
      <c r="N2" s="75">
        <v>0.79166666666666696</v>
      </c>
      <c r="O2" s="92">
        <f>BP2-BQ2</f>
        <v>9.0000000000000071</v>
      </c>
      <c r="P2" s="75">
        <v>0.375</v>
      </c>
      <c r="Q2" s="75">
        <v>0.75</v>
      </c>
      <c r="R2" s="92">
        <f>BU2-BV2</f>
        <v>8.5</v>
      </c>
      <c r="S2" s="75"/>
      <c r="T2" s="75"/>
      <c r="U2" s="92">
        <f>BZ2-CA2</f>
        <v>0</v>
      </c>
      <c r="V2" s="75"/>
      <c r="W2" s="75"/>
      <c r="X2" s="92">
        <f>CE2-CF2</f>
        <v>0</v>
      </c>
      <c r="Y2" s="92"/>
      <c r="Z2" s="92"/>
      <c r="AA2" s="92"/>
      <c r="AB2" s="92">
        <f>SUM(F2,I2,L2,O2,R2,U2,X2)</f>
        <v>44</v>
      </c>
      <c r="AC2" s="93"/>
      <c r="AD2" s="77">
        <v>4</v>
      </c>
      <c r="AE2" s="94">
        <f t="shared" ref="AE2:AE40" si="1">SUMIF($BC$1:$CI$1,AE$1,$BC2:$CI2)+AD2</f>
        <v>48</v>
      </c>
      <c r="AF2" s="77"/>
      <c r="AG2" s="94">
        <f t="shared" ref="AG2:AG40" si="2">SUMIF($BC$1:$CI$1,AG$1,$BC2:$CI2)+AF2</f>
        <v>0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5</v>
      </c>
      <c r="AQ2" s="77"/>
      <c r="AR2" s="77"/>
      <c r="AS2" s="77"/>
      <c r="AT2" s="44">
        <f>AE2+AG2+AI2+AK2+AM2+AO2+SUM(AQ2:AS2)</f>
        <v>48</v>
      </c>
      <c r="AU2" s="78"/>
      <c r="AV2" s="5"/>
      <c r="AW2" s="5"/>
      <c r="AX2" s="5"/>
      <c r="AY2" s="5"/>
      <c r="AZ2" s="24">
        <f>VLOOKUP(C2,Employees!D:I,6,FALSE)</f>
        <v>10324</v>
      </c>
      <c r="BA2" s="5">
        <f>IF(ISBLANK(D2),0,(E2-D2)*24)</f>
        <v>10.000000000000007</v>
      </c>
      <c r="BB2" s="5">
        <f>IF(BA2&gt;$AY$1,1,IF(BA2&gt;=$AX$1,0.5,0))</f>
        <v>1</v>
      </c>
      <c r="BC2" s="5">
        <f>BA2-BB2-BD2-BE2</f>
        <v>9.0000000000000071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10.999999999999993</v>
      </c>
      <c r="BG2" s="5">
        <f>IF(BF2&gt;$AY$1,1,IF(BF2&gt;=$AX$1,0.5,0))</f>
        <v>1</v>
      </c>
      <c r="BH2" s="5">
        <f>BF2-BG2-BI2-BJ2</f>
        <v>9.9999999999999929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7.9999999999999929</v>
      </c>
      <c r="BL2" s="5">
        <f>IF(BK2&gt;$AY$1,1,IF(BK2&gt;=$AX$1,0.5,0))</f>
        <v>0.5</v>
      </c>
      <c r="BM2" s="5">
        <f>BK2-BL2-BN2-BO2</f>
        <v>7.4999999999999929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10.000000000000007</v>
      </c>
      <c r="BQ2" s="5">
        <f>IF(BP2&gt;$AY$1,1,IF(BP2&gt;=$AX$1,0.5,0))</f>
        <v>1</v>
      </c>
      <c r="BR2" s="5">
        <f>BP2-BQ2-BS2-BT2</f>
        <v>9.0000000000000071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9</v>
      </c>
      <c r="BV2" s="5">
        <f>IF(BU2&gt;$AY$1,1,IF(BU2&gt;=$AX$1,0.5,0))</f>
        <v>0.5</v>
      </c>
      <c r="BW2" s="5">
        <f>BU2-BV2-BX2-BY2</f>
        <v>8.5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10160</v>
      </c>
      <c r="B3" s="73">
        <v>501</v>
      </c>
      <c r="C3" s="98" t="s">
        <v>1422</v>
      </c>
      <c r="D3" s="75">
        <v>0.54513888888888895</v>
      </c>
      <c r="E3" s="75">
        <v>0.99166666666666703</v>
      </c>
      <c r="F3" s="92">
        <f t="shared" ref="F3:F69" si="15">BA3-BB3</f>
        <v>9.7166666666666739</v>
      </c>
      <c r="G3" s="75"/>
      <c r="H3" s="75"/>
      <c r="I3" s="92">
        <f t="shared" ref="I3:I69" si="16">BF3-BG3</f>
        <v>0</v>
      </c>
      <c r="J3" s="75"/>
      <c r="K3" s="75"/>
      <c r="L3" s="92">
        <f t="shared" ref="L3:L69" si="17">BK3-BL3</f>
        <v>0</v>
      </c>
      <c r="M3" s="75"/>
      <c r="N3" s="75"/>
      <c r="O3" s="92">
        <f t="shared" ref="O3:O69" si="18">BP3-BQ3</f>
        <v>0</v>
      </c>
      <c r="P3" s="75">
        <v>0.66666666666666696</v>
      </c>
      <c r="Q3" s="75">
        <v>1.0131944444444401</v>
      </c>
      <c r="R3" s="92">
        <f t="shared" ref="R3:R69" si="19">BU3-BV3</f>
        <v>7.8166666666665545</v>
      </c>
      <c r="S3" s="75">
        <v>0.54166666666666696</v>
      </c>
      <c r="T3" s="75">
        <v>1.0138888888888899</v>
      </c>
      <c r="U3" s="92">
        <f t="shared" ref="U3:U69" si="20">BZ3-CA3</f>
        <v>10.333333333333352</v>
      </c>
      <c r="V3" s="75">
        <v>0.58958333333333302</v>
      </c>
      <c r="W3" s="75">
        <v>0.98958333333333304</v>
      </c>
      <c r="X3" s="92">
        <f t="shared" ref="X3:X69" si="21">CE3-CF3</f>
        <v>8.6000000000000014</v>
      </c>
      <c r="Y3" s="92"/>
      <c r="Z3" s="92"/>
      <c r="AA3" s="92"/>
      <c r="AB3" s="92">
        <f t="shared" ref="AB3:AB69" si="22">SUM(F3,I3,L3,O3,R3,U3,X3)</f>
        <v>36.466666666666583</v>
      </c>
      <c r="AC3" s="93"/>
      <c r="AD3" s="77"/>
      <c r="AE3" s="94">
        <f t="shared" si="1"/>
        <v>13.416666666666657</v>
      </c>
      <c r="AF3" s="77"/>
      <c r="AG3" s="94">
        <f t="shared" si="2"/>
        <v>10.316666666666553</v>
      </c>
      <c r="AH3" s="78"/>
      <c r="AI3" s="94">
        <f t="shared" si="3"/>
        <v>8.9333333333333602</v>
      </c>
      <c r="AJ3" s="77"/>
      <c r="AK3" s="94">
        <f t="shared" si="4"/>
        <v>0</v>
      </c>
      <c r="AL3" s="77"/>
      <c r="AM3" s="94">
        <f t="shared" si="5"/>
        <v>3.8000000000000105</v>
      </c>
      <c r="AN3" s="77"/>
      <c r="AO3" s="94">
        <f t="shared" si="6"/>
        <v>0</v>
      </c>
      <c r="AP3" s="95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36.466666666666583</v>
      </c>
      <c r="AU3" s="78"/>
      <c r="AV3" s="5"/>
      <c r="AW3" s="5"/>
      <c r="AX3" s="5"/>
      <c r="AY3" s="5"/>
      <c r="AZ3" s="24">
        <f>VLOOKUP(C3,Employees!D:I,6,FALSE)</f>
        <v>10160</v>
      </c>
      <c r="BA3" s="5">
        <f t="shared" ref="BA3:BA66" si="25">IF(ISBLANK(D3),0,(E3-D3)*24)</f>
        <v>10.716666666666674</v>
      </c>
      <c r="BB3" s="5">
        <f t="shared" ref="BB3:BB66" si="26">IF(BA3&gt;$AY$1,1,IF(BA3&gt;=$AX$1,0.5,0))</f>
        <v>1</v>
      </c>
      <c r="BC3" s="5">
        <f t="shared" ref="BC3:BC66" si="27">BA3-BB3-BD3-BE3</f>
        <v>7.9166666666666643</v>
      </c>
      <c r="BD3" s="5">
        <f>IF(AND(E3&gt;$AV$1, D3&lt;$AW$1),(MIN(E3,$AW$1)-MAX(D3,$AV$1))*24,0)</f>
        <v>1.8000000000000096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8.3166666666665545</v>
      </c>
      <c r="BV3" s="5">
        <f t="shared" ref="BV3:BV66" si="45">IF(BU3&gt;$AY$1,1,IF(BU3&gt;=$AX$1,0.5,0))</f>
        <v>0.5</v>
      </c>
      <c r="BW3" s="5">
        <f t="shared" ref="BW3:BW66" si="46">BU3-BV3-BX3-BY3</f>
        <v>5.499999999999992</v>
      </c>
      <c r="BX3" s="5">
        <f t="shared" ref="BX3:BX66" si="47">IF(AND(Q3&gt;$AV$1, P3&lt;$AW$1),(MIN(Q3,$AW$1)-MAX(P3,$AV$1))*24,0)</f>
        <v>2.0000000000000009</v>
      </c>
      <c r="BY3" s="5">
        <f t="shared" si="11"/>
        <v>0.31666666666656162</v>
      </c>
      <c r="BZ3" s="5">
        <f t="shared" ref="BZ3:BZ66" si="48">IF(ISBLANK(S3),0,(T3-S3)*24)</f>
        <v>11.333333333333352</v>
      </c>
      <c r="CA3" s="5">
        <f t="shared" ref="CA3:CA66" si="49">IF(BZ3&gt;$AY$1,1,IF(BZ3&gt;=$AX$1,0.5,0))</f>
        <v>1</v>
      </c>
      <c r="CB3" s="5">
        <f t="shared" ref="CB3:CB66" si="50">BZ3-CA3-CC3-CD3</f>
        <v>7.9999999999999911</v>
      </c>
      <c r="CC3" s="5">
        <f t="shared" ref="CC3:CC66" si="51">IF(AND(T3&gt;$AV$1, S3&lt;$AW$1),(MIN(T3,$AW$1)-MAX(S3,$AV$1))*24,0)</f>
        <v>2.0000000000000009</v>
      </c>
      <c r="CD3" s="5">
        <f t="shared" ref="CD3:CD66" si="52">IF(T3&gt;$AW$1,(T3-MAX(S3,$AW$1))*24,0)</f>
        <v>0.33333333333335879</v>
      </c>
      <c r="CE3" s="5">
        <f t="shared" ref="CE3:CE66" si="53">IF(ISBLANK(V3),0,(W3-V3)*24)</f>
        <v>9.6000000000000014</v>
      </c>
      <c r="CF3" s="5">
        <f t="shared" ref="CF3:CF66" si="54">IF(CE3&gt;$AY$1,1,IF(CE3&gt;=$AX$1,0.5,0))</f>
        <v>1</v>
      </c>
      <c r="CG3" s="5">
        <f t="shared" ref="CG3:CG66" si="55">CE3-CF3-CH3-CI3</f>
        <v>6.8500000000000076</v>
      </c>
      <c r="CH3" s="5">
        <f t="shared" ref="CH3:CH66" si="56">IF(AND(W3&gt;$AV$1, V3&lt;$AW$1),(MIN(W3,$AW$1)-MAX(V3,$AV$1))*24,0)</f>
        <v>1.7499999999999938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10008</v>
      </c>
      <c r="B4" s="73">
        <v>501</v>
      </c>
      <c r="C4" s="97" t="s">
        <v>1423</v>
      </c>
      <c r="D4" s="75"/>
      <c r="E4" s="75"/>
      <c r="F4" s="92">
        <f t="shared" si="15"/>
        <v>0</v>
      </c>
      <c r="G4" s="76">
        <v>0.58333333333333304</v>
      </c>
      <c r="H4" s="75">
        <v>1.0034722222222201</v>
      </c>
      <c r="I4" s="92">
        <f t="shared" si="16"/>
        <v>9.0833333333332895</v>
      </c>
      <c r="J4" s="75">
        <v>0.54166666666666696</v>
      </c>
      <c r="K4" s="75">
        <v>0.91666666666666696</v>
      </c>
      <c r="L4" s="92">
        <f t="shared" si="17"/>
        <v>8.5</v>
      </c>
      <c r="M4" s="76">
        <v>0.58333333333333304</v>
      </c>
      <c r="N4" s="75">
        <v>1</v>
      </c>
      <c r="O4" s="92">
        <f t="shared" si="18"/>
        <v>9.0000000000000071</v>
      </c>
      <c r="P4" s="75"/>
      <c r="Q4" s="75"/>
      <c r="R4" s="92">
        <f t="shared" si="19"/>
        <v>0</v>
      </c>
      <c r="S4" s="75">
        <v>0.375</v>
      </c>
      <c r="T4" s="75">
        <v>0.70833333333333304</v>
      </c>
      <c r="U4" s="92">
        <f t="shared" si="20"/>
        <v>7.4999999999999929</v>
      </c>
      <c r="V4" s="75">
        <v>0.75</v>
      </c>
      <c r="W4" s="75">
        <v>1.00277777777778</v>
      </c>
      <c r="X4" s="92">
        <f t="shared" si="21"/>
        <v>5.5666666666667197</v>
      </c>
      <c r="Y4" s="92"/>
      <c r="Z4" s="92"/>
      <c r="AA4" s="92"/>
      <c r="AB4" s="92">
        <f t="shared" si="22"/>
        <v>39.650000000000006</v>
      </c>
      <c r="AC4" s="93"/>
      <c r="AD4" s="77">
        <v>20</v>
      </c>
      <c r="AE4" s="94">
        <f t="shared" si="1"/>
        <v>42.500000000000014</v>
      </c>
      <c r="AF4" s="77"/>
      <c r="AG4" s="94">
        <f t="shared" si="2"/>
        <v>7.4999999999999929</v>
      </c>
      <c r="AH4" s="78"/>
      <c r="AI4" s="94">
        <f t="shared" si="3"/>
        <v>5.5</v>
      </c>
      <c r="AJ4" s="77"/>
      <c r="AK4" s="94">
        <f t="shared" si="4"/>
        <v>0</v>
      </c>
      <c r="AL4" s="77"/>
      <c r="AM4" s="94">
        <f t="shared" si="5"/>
        <v>4.0000000000000018</v>
      </c>
      <c r="AN4" s="77"/>
      <c r="AO4" s="94">
        <f t="shared" si="6"/>
        <v>0.15000000000000213</v>
      </c>
      <c r="AP4" s="95">
        <f t="shared" si="23"/>
        <v>5</v>
      </c>
      <c r="AQ4" s="77"/>
      <c r="AR4" s="77"/>
      <c r="AS4" s="77"/>
      <c r="AT4" s="44">
        <f t="shared" si="24"/>
        <v>59.650000000000006</v>
      </c>
      <c r="AU4" s="78"/>
      <c r="AV4" s="5"/>
      <c r="AW4" s="5"/>
      <c r="AX4" s="5"/>
      <c r="AY4" s="5"/>
      <c r="AZ4" s="24">
        <f>VLOOKUP(C4,Employees!D:I,6,FALSE)</f>
        <v>10008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10.08333333333329</v>
      </c>
      <c r="BG4" s="5">
        <f t="shared" si="30"/>
        <v>1</v>
      </c>
      <c r="BH4" s="5">
        <f t="shared" si="31"/>
        <v>7.0000000000000062</v>
      </c>
      <c r="BI4" s="5">
        <f t="shared" si="32"/>
        <v>2.0000000000000009</v>
      </c>
      <c r="BJ4" s="5">
        <f t="shared" si="33"/>
        <v>8.3333333333282411E-2</v>
      </c>
      <c r="BK4" s="5">
        <f t="shared" si="34"/>
        <v>9</v>
      </c>
      <c r="BL4" s="5">
        <f t="shared" si="35"/>
        <v>0.5</v>
      </c>
      <c r="BM4" s="5">
        <f t="shared" si="36"/>
        <v>8.5</v>
      </c>
      <c r="BN4" s="5">
        <f t="shared" si="37"/>
        <v>0</v>
      </c>
      <c r="BO4" s="5">
        <f t="shared" si="38"/>
        <v>0</v>
      </c>
      <c r="BP4" s="5">
        <f t="shared" si="39"/>
        <v>10.000000000000007</v>
      </c>
      <c r="BQ4" s="5">
        <f t="shared" si="40"/>
        <v>1</v>
      </c>
      <c r="BR4" s="5">
        <f t="shared" si="41"/>
        <v>7.0000000000000062</v>
      </c>
      <c r="BS4" s="5">
        <f t="shared" si="42"/>
        <v>2.0000000000000009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7.9999999999999929</v>
      </c>
      <c r="CA4" s="5">
        <f t="shared" si="49"/>
        <v>0.5</v>
      </c>
      <c r="CB4" s="5">
        <f t="shared" si="50"/>
        <v>7.4999999999999929</v>
      </c>
      <c r="CC4" s="5">
        <f t="shared" si="51"/>
        <v>0</v>
      </c>
      <c r="CD4" s="5">
        <f t="shared" si="52"/>
        <v>0</v>
      </c>
      <c r="CE4" s="5">
        <f t="shared" si="53"/>
        <v>6.0666666666667197</v>
      </c>
      <c r="CF4" s="5">
        <f t="shared" si="54"/>
        <v>0.5</v>
      </c>
      <c r="CG4" s="5">
        <f t="shared" si="55"/>
        <v>3.4999999999999991</v>
      </c>
      <c r="CH4" s="5">
        <f t="shared" si="56"/>
        <v>2.0000000000000009</v>
      </c>
      <c r="CI4" s="5">
        <f t="shared" si="57"/>
        <v>6.6666666666719721E-2</v>
      </c>
      <c r="CJ4" s="5"/>
      <c r="CK4" s="4">
        <f t="shared" si="14"/>
        <v>5</v>
      </c>
    </row>
    <row r="5" spans="1:89" ht="38" customHeight="1">
      <c r="A5" s="74">
        <f t="shared" si="0"/>
        <v>210423</v>
      </c>
      <c r="B5" s="73">
        <v>501</v>
      </c>
      <c r="C5" s="98" t="s">
        <v>1161</v>
      </c>
      <c r="D5" s="75"/>
      <c r="E5" s="75"/>
      <c r="F5" s="92">
        <f t="shared" si="15"/>
        <v>0</v>
      </c>
      <c r="G5" s="75"/>
      <c r="H5" s="75"/>
      <c r="I5" s="92">
        <f t="shared" si="16"/>
        <v>0</v>
      </c>
      <c r="J5" s="76">
        <v>0.45833333333333298</v>
      </c>
      <c r="K5" s="75">
        <v>0.75</v>
      </c>
      <c r="L5" s="92">
        <f t="shared" si="17"/>
        <v>6.5000000000000089</v>
      </c>
      <c r="M5" s="75">
        <v>0.79166666666666696</v>
      </c>
      <c r="N5" s="75">
        <v>0.99375000000000002</v>
      </c>
      <c r="O5" s="92">
        <f t="shared" si="18"/>
        <v>4.8499999999999934</v>
      </c>
      <c r="P5" s="75">
        <v>0.58333333333333304</v>
      </c>
      <c r="Q5" s="75">
        <v>0.95833333333333304</v>
      </c>
      <c r="R5" s="92">
        <f t="shared" si="19"/>
        <v>8.5</v>
      </c>
      <c r="S5" s="75">
        <v>0.70833333333333304</v>
      </c>
      <c r="T5" s="75">
        <v>0.875</v>
      </c>
      <c r="U5" s="92">
        <f t="shared" si="20"/>
        <v>4.0000000000000071</v>
      </c>
      <c r="V5" s="75"/>
      <c r="W5" s="75"/>
      <c r="X5" s="92">
        <f t="shared" si="21"/>
        <v>0</v>
      </c>
      <c r="Y5" s="92"/>
      <c r="Z5" s="92"/>
      <c r="AA5" s="92"/>
      <c r="AB5" s="92">
        <f t="shared" si="22"/>
        <v>23.850000000000009</v>
      </c>
      <c r="AC5" s="93"/>
      <c r="AD5" s="78"/>
      <c r="AE5" s="94">
        <f t="shared" si="1"/>
        <v>17.000000000000007</v>
      </c>
      <c r="AF5" s="77"/>
      <c r="AG5" s="94">
        <f t="shared" si="2"/>
        <v>4.0000000000000071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2.8499999999999952</v>
      </c>
      <c r="AN5" s="77"/>
      <c r="AO5" s="94">
        <f t="shared" si="6"/>
        <v>0</v>
      </c>
      <c r="AP5" s="95">
        <f t="shared" si="23"/>
        <v>4</v>
      </c>
      <c r="AQ5" s="77"/>
      <c r="AR5" s="77"/>
      <c r="AS5" s="77"/>
      <c r="AT5" s="44">
        <f t="shared" si="24"/>
        <v>23.850000000000009</v>
      </c>
      <c r="AU5" s="78"/>
      <c r="AV5" s="5"/>
      <c r="AW5" s="5"/>
      <c r="AX5" s="5"/>
      <c r="AY5" s="5"/>
      <c r="AZ5" s="24">
        <f>VLOOKUP(C5,Employees!D:I,6,FALSE)</f>
        <v>210423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7.0000000000000089</v>
      </c>
      <c r="BL5" s="5">
        <f t="shared" si="35"/>
        <v>0.5</v>
      </c>
      <c r="BM5" s="5">
        <f t="shared" si="36"/>
        <v>6.5000000000000089</v>
      </c>
      <c r="BN5" s="5">
        <f t="shared" si="37"/>
        <v>0</v>
      </c>
      <c r="BO5" s="5">
        <f t="shared" si="38"/>
        <v>0</v>
      </c>
      <c r="BP5" s="5">
        <f t="shared" si="39"/>
        <v>4.8499999999999934</v>
      </c>
      <c r="BQ5" s="5">
        <f t="shared" si="40"/>
        <v>0</v>
      </c>
      <c r="BR5" s="5">
        <f t="shared" si="41"/>
        <v>2.999999999999992</v>
      </c>
      <c r="BS5" s="5">
        <f t="shared" si="42"/>
        <v>1.8500000000000014</v>
      </c>
      <c r="BT5" s="5">
        <f t="shared" si="43"/>
        <v>0</v>
      </c>
      <c r="BU5" s="5">
        <f t="shared" si="44"/>
        <v>9</v>
      </c>
      <c r="BV5" s="5">
        <f t="shared" si="45"/>
        <v>0.5</v>
      </c>
      <c r="BW5" s="5">
        <f t="shared" si="46"/>
        <v>7.5000000000000062</v>
      </c>
      <c r="BX5" s="5">
        <f t="shared" si="47"/>
        <v>0.99999999999999378</v>
      </c>
      <c r="BY5" s="5">
        <f t="shared" si="11"/>
        <v>0</v>
      </c>
      <c r="BZ5" s="5">
        <f t="shared" si="48"/>
        <v>4.0000000000000071</v>
      </c>
      <c r="CA5" s="5">
        <f t="shared" si="49"/>
        <v>0</v>
      </c>
      <c r="CB5" s="5">
        <f t="shared" si="50"/>
        <v>4.0000000000000071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4</v>
      </c>
    </row>
    <row r="6" spans="1:89" ht="38" customHeight="1">
      <c r="A6" s="74">
        <f t="shared" si="0"/>
        <v>10343</v>
      </c>
      <c r="B6" s="73">
        <v>501</v>
      </c>
      <c r="C6" s="98" t="s">
        <v>1424</v>
      </c>
      <c r="D6" s="84"/>
      <c r="E6" s="84"/>
      <c r="F6" s="92">
        <f t="shared" si="15"/>
        <v>0</v>
      </c>
      <c r="G6" s="84">
        <v>0.5</v>
      </c>
      <c r="H6" s="84">
        <v>0.99097222222222203</v>
      </c>
      <c r="I6" s="92">
        <f t="shared" si="16"/>
        <v>10.783333333333328</v>
      </c>
      <c r="J6" s="84">
        <v>0.75</v>
      </c>
      <c r="K6" s="84">
        <v>1.0090277777777801</v>
      </c>
      <c r="L6" s="92">
        <f t="shared" si="17"/>
        <v>5.7166666666667219</v>
      </c>
      <c r="M6" s="75"/>
      <c r="N6" s="75"/>
      <c r="O6" s="92">
        <f t="shared" si="18"/>
        <v>0</v>
      </c>
      <c r="P6" s="75"/>
      <c r="Q6" s="75"/>
      <c r="R6" s="92">
        <f t="shared" si="19"/>
        <v>0</v>
      </c>
      <c r="S6" s="75">
        <v>0.5</v>
      </c>
      <c r="T6" s="75">
        <v>0.91666666666666696</v>
      </c>
      <c r="U6" s="92">
        <f t="shared" si="20"/>
        <v>9.0000000000000071</v>
      </c>
      <c r="V6" s="75"/>
      <c r="W6" s="75"/>
      <c r="X6" s="92">
        <f t="shared" si="21"/>
        <v>0</v>
      </c>
      <c r="Y6" s="92"/>
      <c r="Z6" s="92"/>
      <c r="AA6" s="92"/>
      <c r="AB6" s="92">
        <f t="shared" si="22"/>
        <v>25.500000000000057</v>
      </c>
      <c r="AC6" s="93"/>
      <c r="AD6" s="78"/>
      <c r="AE6" s="94">
        <f t="shared" si="1"/>
        <v>12.499999999999996</v>
      </c>
      <c r="AF6" s="77"/>
      <c r="AG6" s="94">
        <f t="shared" si="2"/>
        <v>9.0000000000000071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3.7833333333333306</v>
      </c>
      <c r="AN6" s="77"/>
      <c r="AO6" s="94">
        <f t="shared" si="6"/>
        <v>0.21666666666672185</v>
      </c>
      <c r="AP6" s="95">
        <f t="shared" si="23"/>
        <v>3</v>
      </c>
      <c r="AQ6" s="77"/>
      <c r="AR6" s="77"/>
      <c r="AS6" s="77"/>
      <c r="AT6" s="44">
        <f t="shared" si="24"/>
        <v>25.500000000000057</v>
      </c>
      <c r="AU6" s="78"/>
      <c r="AV6" s="5"/>
      <c r="AW6" s="5"/>
      <c r="AX6" s="5"/>
      <c r="AY6" s="5"/>
      <c r="AZ6" s="24">
        <f>VLOOKUP(C6,Employees!D:I,6,FALSE)</f>
        <v>10343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11.783333333333328</v>
      </c>
      <c r="BG6" s="5">
        <f t="shared" si="30"/>
        <v>1</v>
      </c>
      <c r="BH6" s="5">
        <f t="shared" si="31"/>
        <v>8.9999999999999982</v>
      </c>
      <c r="BI6" s="5">
        <f t="shared" si="32"/>
        <v>1.7833333333333297</v>
      </c>
      <c r="BJ6" s="5">
        <f t="shared" si="33"/>
        <v>0</v>
      </c>
      <c r="BK6" s="5">
        <f t="shared" si="34"/>
        <v>6.2166666666667219</v>
      </c>
      <c r="BL6" s="5">
        <f t="shared" si="35"/>
        <v>0.5</v>
      </c>
      <c r="BM6" s="5">
        <f t="shared" si="36"/>
        <v>3.4999999999999991</v>
      </c>
      <c r="BN6" s="5">
        <f t="shared" si="37"/>
        <v>2.0000000000000009</v>
      </c>
      <c r="BO6" s="5">
        <f t="shared" si="38"/>
        <v>0.21666666666672185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10.000000000000007</v>
      </c>
      <c r="CA6" s="5">
        <f t="shared" si="49"/>
        <v>1</v>
      </c>
      <c r="CB6" s="5">
        <f t="shared" si="50"/>
        <v>9.0000000000000071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10385</v>
      </c>
      <c r="B7" s="73">
        <v>501</v>
      </c>
      <c r="C7" s="98" t="s">
        <v>1425</v>
      </c>
      <c r="D7" s="75">
        <v>0.5</v>
      </c>
      <c r="E7" s="75">
        <v>0.875</v>
      </c>
      <c r="F7" s="92">
        <f t="shared" si="15"/>
        <v>8.5</v>
      </c>
      <c r="G7" s="75"/>
      <c r="H7" s="75"/>
      <c r="I7" s="92">
        <f t="shared" si="16"/>
        <v>0</v>
      </c>
      <c r="J7" s="84">
        <v>0.75</v>
      </c>
      <c r="K7" s="84">
        <v>1.0090277777777801</v>
      </c>
      <c r="L7" s="92">
        <f t="shared" si="17"/>
        <v>5.7166666666667219</v>
      </c>
      <c r="M7" s="84">
        <v>0.70833333333333304</v>
      </c>
      <c r="N7" s="84">
        <v>1.00138888888889</v>
      </c>
      <c r="O7" s="92">
        <f t="shared" si="18"/>
        <v>6.533333333333367</v>
      </c>
      <c r="P7" s="75"/>
      <c r="Q7" s="75"/>
      <c r="R7" s="92">
        <f t="shared" si="19"/>
        <v>0</v>
      </c>
      <c r="S7" s="75"/>
      <c r="T7" s="75"/>
      <c r="U7" s="92">
        <f t="shared" si="20"/>
        <v>0</v>
      </c>
      <c r="V7" s="84">
        <v>0.375</v>
      </c>
      <c r="W7" s="84">
        <v>0.70833333333333304</v>
      </c>
      <c r="X7" s="92">
        <f t="shared" si="21"/>
        <v>7.4999999999999929</v>
      </c>
      <c r="Y7" s="92"/>
      <c r="Z7" s="92"/>
      <c r="AA7" s="92"/>
      <c r="AB7" s="92">
        <f t="shared" si="22"/>
        <v>28.250000000000082</v>
      </c>
      <c r="AC7" s="93"/>
      <c r="AD7" s="78"/>
      <c r="AE7" s="94">
        <f t="shared" si="1"/>
        <v>16.500000000000007</v>
      </c>
      <c r="AF7" s="77"/>
      <c r="AG7" s="94">
        <f t="shared" si="2"/>
        <v>0</v>
      </c>
      <c r="AH7" s="77"/>
      <c r="AI7" s="94">
        <f t="shared" si="3"/>
        <v>7.4999999999999929</v>
      </c>
      <c r="AJ7" s="77"/>
      <c r="AK7" s="94">
        <f t="shared" si="4"/>
        <v>0</v>
      </c>
      <c r="AL7" s="77"/>
      <c r="AM7" s="94">
        <f t="shared" si="5"/>
        <v>4.0000000000000018</v>
      </c>
      <c r="AN7" s="77"/>
      <c r="AO7" s="94">
        <f t="shared" si="6"/>
        <v>0.25000000000008171</v>
      </c>
      <c r="AP7" s="95">
        <f t="shared" si="23"/>
        <v>4</v>
      </c>
      <c r="AQ7" s="77"/>
      <c r="AR7" s="77"/>
      <c r="AS7" s="77"/>
      <c r="AT7" s="44">
        <f t="shared" si="24"/>
        <v>28.250000000000082</v>
      </c>
      <c r="AU7" s="78"/>
      <c r="AV7" s="5"/>
      <c r="AW7" s="5"/>
      <c r="AX7" s="5"/>
      <c r="AY7" s="5"/>
      <c r="AZ7" s="24">
        <f>VLOOKUP(C7,Employees!D:I,6,FALSE)</f>
        <v>10385</v>
      </c>
      <c r="BA7" s="5">
        <f t="shared" si="25"/>
        <v>9</v>
      </c>
      <c r="BB7" s="5">
        <f t="shared" si="26"/>
        <v>0.5</v>
      </c>
      <c r="BC7" s="5">
        <f t="shared" si="27"/>
        <v>8.5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6.2166666666667219</v>
      </c>
      <c r="BL7" s="5">
        <f t="shared" si="35"/>
        <v>0.5</v>
      </c>
      <c r="BM7" s="5">
        <f t="shared" si="36"/>
        <v>3.4999999999999991</v>
      </c>
      <c r="BN7" s="5">
        <f t="shared" si="37"/>
        <v>2.0000000000000009</v>
      </c>
      <c r="BO7" s="5">
        <f t="shared" si="38"/>
        <v>0.21666666666672185</v>
      </c>
      <c r="BP7" s="5">
        <f t="shared" si="39"/>
        <v>7.033333333333367</v>
      </c>
      <c r="BQ7" s="5">
        <f t="shared" si="40"/>
        <v>0.5</v>
      </c>
      <c r="BR7" s="5">
        <f t="shared" si="41"/>
        <v>4.5000000000000062</v>
      </c>
      <c r="BS7" s="5">
        <f t="shared" si="42"/>
        <v>2.0000000000000009</v>
      </c>
      <c r="BT7" s="5">
        <f t="shared" si="43"/>
        <v>3.333333333335986E-2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7.9999999999999929</v>
      </c>
      <c r="CF7" s="5">
        <f t="shared" si="54"/>
        <v>0.5</v>
      </c>
      <c r="CG7" s="5">
        <f t="shared" si="55"/>
        <v>7.4999999999999929</v>
      </c>
      <c r="CH7" s="5">
        <f t="shared" si="56"/>
        <v>0</v>
      </c>
      <c r="CI7" s="5">
        <f t="shared" si="57"/>
        <v>0</v>
      </c>
      <c r="CJ7" s="5"/>
      <c r="CK7" s="4">
        <f t="shared" si="14"/>
        <v>4</v>
      </c>
    </row>
    <row r="8" spans="1:89" ht="38" customHeight="1">
      <c r="A8" s="74">
        <f t="shared" si="0"/>
        <v>10341</v>
      </c>
      <c r="B8" s="73">
        <v>501</v>
      </c>
      <c r="C8" s="99" t="s">
        <v>940</v>
      </c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75"/>
      <c r="Q8" s="75"/>
      <c r="R8" s="92">
        <f t="shared" si="19"/>
        <v>0</v>
      </c>
      <c r="S8" s="75"/>
      <c r="T8" s="75"/>
      <c r="U8" s="92">
        <f t="shared" si="20"/>
        <v>0</v>
      </c>
      <c r="V8" s="75">
        <v>0.5</v>
      </c>
      <c r="W8" s="75">
        <v>0.91666666666666696</v>
      </c>
      <c r="X8" s="92">
        <f t="shared" si="21"/>
        <v>9.0000000000000071</v>
      </c>
      <c r="Y8" s="92"/>
      <c r="Z8" s="92"/>
      <c r="AA8" s="92"/>
      <c r="AB8" s="92">
        <f t="shared" si="22"/>
        <v>9.0000000000000071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9.0000000000000071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1</v>
      </c>
      <c r="AQ8" s="77"/>
      <c r="AR8" s="77"/>
      <c r="AS8" s="77"/>
      <c r="AT8" s="44">
        <f t="shared" si="24"/>
        <v>9.0000000000000071</v>
      </c>
      <c r="AU8" s="78"/>
      <c r="AV8" s="5"/>
      <c r="AW8" s="5"/>
      <c r="AX8" s="5"/>
      <c r="AY8" s="5"/>
      <c r="AZ8" s="24">
        <f>VLOOKUP(C8,Employees!D:I,6,FALSE)</f>
        <v>10341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10.000000000000007</v>
      </c>
      <c r="CF8" s="5">
        <f t="shared" si="54"/>
        <v>1</v>
      </c>
      <c r="CG8" s="5">
        <f t="shared" si="55"/>
        <v>9.0000000000000071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>
        <f t="shared" si="0"/>
        <v>10289</v>
      </c>
      <c r="B9" s="73">
        <v>501</v>
      </c>
      <c r="C9" s="99" t="s">
        <v>815</v>
      </c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>
        <v>0.41666666666666702</v>
      </c>
      <c r="K9" s="75">
        <v>0.75</v>
      </c>
      <c r="L9" s="92">
        <f t="shared" si="17"/>
        <v>7.4999999999999911</v>
      </c>
      <c r="M9" s="75"/>
      <c r="N9" s="75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7.4999999999999911</v>
      </c>
      <c r="AC9" s="93"/>
      <c r="AD9" s="78"/>
      <c r="AE9" s="94">
        <f t="shared" si="1"/>
        <v>7.4999999999999911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1</v>
      </c>
      <c r="AQ9" s="77"/>
      <c r="AR9" s="77"/>
      <c r="AS9" s="77"/>
      <c r="AT9" s="44">
        <f t="shared" si="24"/>
        <v>7.4999999999999911</v>
      </c>
      <c r="AU9" s="78"/>
      <c r="AV9" s="5"/>
      <c r="AW9" s="5"/>
      <c r="AX9" s="5"/>
      <c r="AY9" s="5"/>
      <c r="AZ9" s="24">
        <f>VLOOKUP(C9,Employees!D:I,6,FALSE)</f>
        <v>10289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7.9999999999999911</v>
      </c>
      <c r="BL9" s="5">
        <f t="shared" si="35"/>
        <v>0.5</v>
      </c>
      <c r="BM9" s="5">
        <f t="shared" si="36"/>
        <v>7.4999999999999911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>
        <f t="shared" si="0"/>
        <v>210434</v>
      </c>
      <c r="B10" s="73">
        <v>501</v>
      </c>
      <c r="C10" s="100" t="s">
        <v>1187</v>
      </c>
      <c r="D10" s="75">
        <v>0.79166666666666696</v>
      </c>
      <c r="E10" s="75">
        <v>1</v>
      </c>
      <c r="F10" s="92">
        <f t="shared" si="15"/>
        <v>4.9999999999999929</v>
      </c>
      <c r="G10" s="75"/>
      <c r="H10" s="75"/>
      <c r="I10" s="92">
        <f t="shared" si="16"/>
        <v>0</v>
      </c>
      <c r="J10" s="76">
        <v>0.58333333333333304</v>
      </c>
      <c r="K10" s="75">
        <v>0.875</v>
      </c>
      <c r="L10" s="92">
        <f t="shared" si="17"/>
        <v>6.5000000000000071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>
        <v>0.58333333333333304</v>
      </c>
      <c r="T10" s="75">
        <v>0.95833333333333304</v>
      </c>
      <c r="U10" s="92">
        <f t="shared" si="20"/>
        <v>8.5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20</v>
      </c>
      <c r="AC10" s="93"/>
      <c r="AD10" s="78"/>
      <c r="AE10" s="94">
        <f t="shared" si="1"/>
        <v>9.5</v>
      </c>
      <c r="AF10" s="77"/>
      <c r="AG10" s="94">
        <f t="shared" si="2"/>
        <v>8.5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2.0000000000000009</v>
      </c>
      <c r="AN10" s="77"/>
      <c r="AO10" s="94">
        <f t="shared" si="6"/>
        <v>0</v>
      </c>
      <c r="AP10" s="95">
        <f t="shared" si="23"/>
        <v>3</v>
      </c>
      <c r="AQ10" s="77"/>
      <c r="AR10" s="77"/>
      <c r="AS10" s="77"/>
      <c r="AT10" s="44">
        <f t="shared" si="24"/>
        <v>20</v>
      </c>
      <c r="AU10" s="78"/>
      <c r="AV10" s="5"/>
      <c r="AW10" s="5"/>
      <c r="AX10" s="5"/>
      <c r="AY10" s="5"/>
      <c r="AZ10" s="24">
        <f>VLOOKUP(C10,Employees!D:I,6,FALSE)</f>
        <v>210434</v>
      </c>
      <c r="BA10" s="5">
        <f t="shared" si="25"/>
        <v>4.9999999999999929</v>
      </c>
      <c r="BB10" s="5">
        <f t="shared" si="26"/>
        <v>0</v>
      </c>
      <c r="BC10" s="5">
        <f t="shared" si="27"/>
        <v>2.999999999999992</v>
      </c>
      <c r="BD10" s="5">
        <f t="shared" si="58"/>
        <v>2.0000000000000009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7.0000000000000071</v>
      </c>
      <c r="BL10" s="5">
        <f t="shared" si="35"/>
        <v>0.5</v>
      </c>
      <c r="BM10" s="5">
        <f t="shared" si="36"/>
        <v>6.5000000000000071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9</v>
      </c>
      <c r="CA10" s="5">
        <f t="shared" si="49"/>
        <v>0.5</v>
      </c>
      <c r="CB10" s="5">
        <f t="shared" si="50"/>
        <v>7.5000000000000062</v>
      </c>
      <c r="CC10" s="5">
        <f t="shared" si="51"/>
        <v>0.99999999999999378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3</v>
      </c>
    </row>
    <row r="11" spans="1:89" ht="38" customHeight="1">
      <c r="A11" s="74">
        <f t="shared" si="0"/>
        <v>210413</v>
      </c>
      <c r="B11" s="73">
        <v>501</v>
      </c>
      <c r="C11" s="100" t="s">
        <v>1138</v>
      </c>
      <c r="D11" s="75">
        <v>0.66666666666666696</v>
      </c>
      <c r="E11" s="75">
        <v>1</v>
      </c>
      <c r="F11" s="92">
        <f t="shared" si="15"/>
        <v>7.4999999999999929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>
        <v>0.54166666666666696</v>
      </c>
      <c r="N11" s="75">
        <v>0.91666666666666696</v>
      </c>
      <c r="O11" s="92">
        <f t="shared" si="18"/>
        <v>8.5</v>
      </c>
      <c r="P11" s="75"/>
      <c r="Q11" s="75"/>
      <c r="R11" s="92">
        <f t="shared" si="19"/>
        <v>0</v>
      </c>
      <c r="S11" s="75">
        <v>0.625</v>
      </c>
      <c r="T11" s="75">
        <v>0.99236111111111103</v>
      </c>
      <c r="U11" s="92">
        <f t="shared" si="20"/>
        <v>8.3166666666666647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24.316666666666656</v>
      </c>
      <c r="AC11" s="93"/>
      <c r="AD11" s="78"/>
      <c r="AE11" s="94">
        <f t="shared" si="1"/>
        <v>13.999999999999993</v>
      </c>
      <c r="AF11" s="77"/>
      <c r="AG11" s="94">
        <f t="shared" si="2"/>
        <v>8.3166666666666647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2.0000000000000009</v>
      </c>
      <c r="AN11" s="77"/>
      <c r="AO11" s="94">
        <f t="shared" si="6"/>
        <v>0</v>
      </c>
      <c r="AP11" s="95">
        <f t="shared" si="23"/>
        <v>3</v>
      </c>
      <c r="AQ11" s="77"/>
      <c r="AR11" s="77"/>
      <c r="AS11" s="77"/>
      <c r="AT11" s="44">
        <f t="shared" si="24"/>
        <v>24.316666666666656</v>
      </c>
      <c r="AU11" s="78"/>
      <c r="AV11" s="5"/>
      <c r="AW11" s="5"/>
      <c r="AX11" s="5"/>
      <c r="AY11" s="5"/>
      <c r="AZ11" s="24">
        <f>VLOOKUP(C11,Employees!D:I,6,FALSE)</f>
        <v>210413</v>
      </c>
      <c r="BA11" s="5">
        <f t="shared" si="25"/>
        <v>7.9999999999999929</v>
      </c>
      <c r="BB11" s="5">
        <f t="shared" si="26"/>
        <v>0.5</v>
      </c>
      <c r="BC11" s="5">
        <f t="shared" si="27"/>
        <v>5.499999999999992</v>
      </c>
      <c r="BD11" s="5">
        <f t="shared" si="58"/>
        <v>2.0000000000000009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9</v>
      </c>
      <c r="BQ11" s="5">
        <f t="shared" si="40"/>
        <v>0.5</v>
      </c>
      <c r="BR11" s="5">
        <f t="shared" si="41"/>
        <v>8.5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8.8166666666666647</v>
      </c>
      <c r="CA11" s="5">
        <f t="shared" si="49"/>
        <v>0.5</v>
      </c>
      <c r="CB11" s="5">
        <f t="shared" si="50"/>
        <v>6.4999999999999991</v>
      </c>
      <c r="CC11" s="5">
        <f t="shared" si="51"/>
        <v>1.8166666666666655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3</v>
      </c>
    </row>
    <row r="12" spans="1:89" ht="38" customHeight="1">
      <c r="A12" s="74">
        <f t="shared" si="0"/>
        <v>210485</v>
      </c>
      <c r="B12" s="73">
        <v>501</v>
      </c>
      <c r="C12" s="101" t="s">
        <v>1326</v>
      </c>
      <c r="D12" s="75">
        <v>0.41666666666666702</v>
      </c>
      <c r="E12" s="75">
        <v>0.70833333333333304</v>
      </c>
      <c r="F12" s="92">
        <f t="shared" si="15"/>
        <v>6.499999999999984</v>
      </c>
      <c r="G12" s="75">
        <v>0.54166666666666696</v>
      </c>
      <c r="H12" s="75">
        <v>1.0034722222222201</v>
      </c>
      <c r="I12" s="92">
        <f t="shared" si="16"/>
        <v>10.083333333333275</v>
      </c>
      <c r="J12" s="76">
        <v>0.75</v>
      </c>
      <c r="K12" s="75">
        <v>0.99305555555555602</v>
      </c>
      <c r="L12" s="92">
        <f t="shared" si="17"/>
        <v>5.3333333333333446</v>
      </c>
      <c r="M12" s="75">
        <v>0.41666666666666702</v>
      </c>
      <c r="N12" s="75">
        <v>0.70833333333333304</v>
      </c>
      <c r="O12" s="92">
        <f t="shared" si="18"/>
        <v>6.499999999999984</v>
      </c>
      <c r="P12" s="75"/>
      <c r="Q12" s="75"/>
      <c r="R12" s="92">
        <f t="shared" si="19"/>
        <v>0</v>
      </c>
      <c r="S12" s="75">
        <v>0.41666666666666702</v>
      </c>
      <c r="T12" s="75">
        <v>0.75</v>
      </c>
      <c r="U12" s="92">
        <f t="shared" si="20"/>
        <v>7.4999999999999911</v>
      </c>
      <c r="V12" s="75">
        <v>0.54166666666666696</v>
      </c>
      <c r="W12" s="75">
        <v>1.00277777777778</v>
      </c>
      <c r="X12" s="92">
        <f t="shared" si="21"/>
        <v>10.066666666666713</v>
      </c>
      <c r="Y12" s="92"/>
      <c r="Z12" s="92"/>
      <c r="AA12" s="92"/>
      <c r="AB12" s="92">
        <f t="shared" si="22"/>
        <v>45.983333333333292</v>
      </c>
      <c r="AC12" s="93"/>
      <c r="AD12" s="78"/>
      <c r="AE12" s="94">
        <f t="shared" si="1"/>
        <v>24.499999999999957</v>
      </c>
      <c r="AF12" s="77"/>
      <c r="AG12" s="94">
        <f t="shared" si="2"/>
        <v>7.4999999999999911</v>
      </c>
      <c r="AH12" s="77"/>
      <c r="AI12" s="94">
        <f t="shared" si="3"/>
        <v>9.9999999999999929</v>
      </c>
      <c r="AJ12" s="77"/>
      <c r="AK12" s="94">
        <f t="shared" si="4"/>
        <v>0</v>
      </c>
      <c r="AL12" s="77"/>
      <c r="AM12" s="94">
        <f t="shared" si="5"/>
        <v>3.8333333333333464</v>
      </c>
      <c r="AN12" s="77"/>
      <c r="AO12" s="94">
        <f t="shared" si="6"/>
        <v>0.15000000000000213</v>
      </c>
      <c r="AP12" s="95">
        <f t="shared" si="23"/>
        <v>6</v>
      </c>
      <c r="AQ12" s="77"/>
      <c r="AR12" s="77"/>
      <c r="AS12" s="77"/>
      <c r="AT12" s="44">
        <f t="shared" si="24"/>
        <v>45.983333333333292</v>
      </c>
      <c r="AU12" s="78"/>
      <c r="AV12" s="5"/>
      <c r="AW12" s="5"/>
      <c r="AX12" s="5"/>
      <c r="AY12" s="5"/>
      <c r="AZ12" s="24">
        <f>VLOOKUP(C12,Employees!D:I,6,FALSE)</f>
        <v>210485</v>
      </c>
      <c r="BA12" s="5">
        <f t="shared" si="25"/>
        <v>6.999999999999984</v>
      </c>
      <c r="BB12" s="5">
        <f t="shared" si="26"/>
        <v>0.5</v>
      </c>
      <c r="BC12" s="5">
        <f t="shared" si="27"/>
        <v>6.499999999999984</v>
      </c>
      <c r="BD12" s="5">
        <f t="shared" si="58"/>
        <v>0</v>
      </c>
      <c r="BE12" s="5">
        <f t="shared" si="28"/>
        <v>0</v>
      </c>
      <c r="BF12" s="5">
        <f t="shared" si="29"/>
        <v>11.083333333333275</v>
      </c>
      <c r="BG12" s="5">
        <f t="shared" si="30"/>
        <v>1</v>
      </c>
      <c r="BH12" s="5">
        <f t="shared" si="31"/>
        <v>7.9999999999999929</v>
      </c>
      <c r="BI12" s="5">
        <f t="shared" si="32"/>
        <v>2.0000000000000009</v>
      </c>
      <c r="BJ12" s="5">
        <f t="shared" si="33"/>
        <v>8.3333333333282411E-2</v>
      </c>
      <c r="BK12" s="5">
        <f t="shared" si="34"/>
        <v>5.8333333333333446</v>
      </c>
      <c r="BL12" s="5">
        <f t="shared" si="35"/>
        <v>0.5</v>
      </c>
      <c r="BM12" s="5">
        <f t="shared" si="36"/>
        <v>3.4999999999999991</v>
      </c>
      <c r="BN12" s="5">
        <f t="shared" si="37"/>
        <v>1.8333333333333455</v>
      </c>
      <c r="BO12" s="5">
        <f t="shared" si="38"/>
        <v>0</v>
      </c>
      <c r="BP12" s="5">
        <f t="shared" si="39"/>
        <v>6.999999999999984</v>
      </c>
      <c r="BQ12" s="5">
        <f t="shared" si="40"/>
        <v>0.5</v>
      </c>
      <c r="BR12" s="5">
        <f t="shared" si="41"/>
        <v>6.499999999999984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7.9999999999999911</v>
      </c>
      <c r="CA12" s="5">
        <f t="shared" si="49"/>
        <v>0.5</v>
      </c>
      <c r="CB12" s="5">
        <f t="shared" si="50"/>
        <v>7.4999999999999911</v>
      </c>
      <c r="CC12" s="5">
        <f t="shared" si="51"/>
        <v>0</v>
      </c>
      <c r="CD12" s="5">
        <f t="shared" si="52"/>
        <v>0</v>
      </c>
      <c r="CE12" s="5">
        <f t="shared" si="53"/>
        <v>11.066666666666713</v>
      </c>
      <c r="CF12" s="5">
        <f t="shared" si="54"/>
        <v>1</v>
      </c>
      <c r="CG12" s="5">
        <f t="shared" si="55"/>
        <v>7.9999999999999929</v>
      </c>
      <c r="CH12" s="5">
        <f t="shared" si="56"/>
        <v>2.0000000000000009</v>
      </c>
      <c r="CI12" s="5">
        <f t="shared" si="57"/>
        <v>6.6666666666719721E-2</v>
      </c>
      <c r="CJ12" s="5"/>
      <c r="CK12" s="4">
        <f t="shared" si="14"/>
        <v>6</v>
      </c>
    </row>
    <row r="13" spans="1:89" ht="38" customHeight="1">
      <c r="A13" s="74">
        <f t="shared" si="0"/>
        <v>210457</v>
      </c>
      <c r="B13" s="73">
        <v>501</v>
      </c>
      <c r="C13" s="100" t="s">
        <v>1246</v>
      </c>
      <c r="D13" s="75"/>
      <c r="E13" s="75"/>
      <c r="F13" s="92">
        <f t="shared" si="15"/>
        <v>0</v>
      </c>
      <c r="G13" s="75">
        <v>0.41666666666666702</v>
      </c>
      <c r="H13" s="75">
        <v>0.91666666666666696</v>
      </c>
      <c r="I13" s="92">
        <f t="shared" si="16"/>
        <v>10.999999999999998</v>
      </c>
      <c r="J13" s="75"/>
      <c r="K13" s="75"/>
      <c r="L13" s="92">
        <f t="shared" si="17"/>
        <v>0</v>
      </c>
      <c r="M13" s="75">
        <v>0.5</v>
      </c>
      <c r="N13" s="75">
        <v>0.875</v>
      </c>
      <c r="O13" s="92">
        <f t="shared" si="18"/>
        <v>8.5</v>
      </c>
      <c r="P13" s="75">
        <v>0.5</v>
      </c>
      <c r="Q13" s="75">
        <v>0.79166666666666696</v>
      </c>
      <c r="R13" s="92">
        <f t="shared" si="19"/>
        <v>6.5000000000000071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26.000000000000007</v>
      </c>
      <c r="AC13" s="93"/>
      <c r="AD13" s="78"/>
      <c r="AE13" s="94">
        <f t="shared" si="1"/>
        <v>26.000000000000007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3</v>
      </c>
      <c r="AQ13" s="77"/>
      <c r="AR13" s="77"/>
      <c r="AS13" s="77"/>
      <c r="AT13" s="44">
        <f t="shared" si="24"/>
        <v>26.000000000000007</v>
      </c>
      <c r="AU13" s="78"/>
      <c r="AV13" s="5"/>
      <c r="AW13" s="5"/>
      <c r="AX13" s="5"/>
      <c r="AY13" s="5"/>
      <c r="AZ13" s="24">
        <f>VLOOKUP(C13,Employees!D:I,6,FALSE)</f>
        <v>210457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11.999999999999998</v>
      </c>
      <c r="BG13" s="5">
        <f t="shared" si="30"/>
        <v>1</v>
      </c>
      <c r="BH13" s="5">
        <f t="shared" si="31"/>
        <v>10.999999999999998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9</v>
      </c>
      <c r="BQ13" s="5">
        <f t="shared" si="40"/>
        <v>0.5</v>
      </c>
      <c r="BR13" s="5">
        <f t="shared" si="41"/>
        <v>8.5</v>
      </c>
      <c r="BS13" s="5">
        <f t="shared" si="42"/>
        <v>0</v>
      </c>
      <c r="BT13" s="5">
        <f t="shared" si="43"/>
        <v>0</v>
      </c>
      <c r="BU13" s="5">
        <f t="shared" si="44"/>
        <v>7.0000000000000071</v>
      </c>
      <c r="BV13" s="5">
        <f t="shared" si="45"/>
        <v>0.5</v>
      </c>
      <c r="BW13" s="5">
        <f t="shared" si="46"/>
        <v>6.5000000000000071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3</v>
      </c>
    </row>
    <row r="14" spans="1:89" ht="38" customHeight="1">
      <c r="A14" s="74">
        <f t="shared" si="0"/>
        <v>10387</v>
      </c>
      <c r="B14" s="73">
        <v>501</v>
      </c>
      <c r="C14" s="99" t="s">
        <v>1067</v>
      </c>
      <c r="D14" s="75">
        <v>0.58333333333333304</v>
      </c>
      <c r="E14" s="75">
        <v>0.91666666666666696</v>
      </c>
      <c r="F14" s="92">
        <f t="shared" si="15"/>
        <v>7.5000000000000142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>
        <v>0.41666666666666702</v>
      </c>
      <c r="Q14" s="75">
        <v>0.875</v>
      </c>
      <c r="R14" s="92">
        <f t="shared" si="19"/>
        <v>9.9999999999999911</v>
      </c>
      <c r="S14" s="75"/>
      <c r="T14" s="75"/>
      <c r="U14" s="92">
        <f t="shared" si="20"/>
        <v>0</v>
      </c>
      <c r="V14" s="75">
        <v>0.41666666666666702</v>
      </c>
      <c r="W14" s="75">
        <v>0.875</v>
      </c>
      <c r="X14" s="92">
        <f t="shared" si="21"/>
        <v>9.9999999999999911</v>
      </c>
      <c r="Y14" s="92"/>
      <c r="Z14" s="92"/>
      <c r="AA14" s="92"/>
      <c r="AB14" s="92">
        <f t="shared" si="22"/>
        <v>27.5</v>
      </c>
      <c r="AC14" s="93"/>
      <c r="AD14" s="77"/>
      <c r="AE14" s="94">
        <f t="shared" si="1"/>
        <v>17.500000000000007</v>
      </c>
      <c r="AF14" s="77"/>
      <c r="AG14" s="94">
        <f t="shared" si="2"/>
        <v>0</v>
      </c>
      <c r="AH14" s="77"/>
      <c r="AI14" s="94">
        <f t="shared" si="3"/>
        <v>9.9999999999999911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3</v>
      </c>
      <c r="AQ14" s="77"/>
      <c r="AR14" s="77"/>
      <c r="AS14" s="77"/>
      <c r="AT14" s="44">
        <f t="shared" si="24"/>
        <v>27.5</v>
      </c>
      <c r="AU14" s="77"/>
      <c r="AV14" s="5"/>
      <c r="AW14" s="5"/>
      <c r="AX14" s="5"/>
      <c r="AY14" s="5"/>
      <c r="AZ14" s="24">
        <f>VLOOKUP(C14,Employees!D:I,6,FALSE)</f>
        <v>10387</v>
      </c>
      <c r="BA14" s="5">
        <f t="shared" si="25"/>
        <v>8.0000000000000142</v>
      </c>
      <c r="BB14" s="5">
        <f t="shared" si="26"/>
        <v>0.5</v>
      </c>
      <c r="BC14" s="5">
        <f t="shared" si="27"/>
        <v>7.5000000000000142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10.999999999999991</v>
      </c>
      <c r="BV14" s="5">
        <f t="shared" si="45"/>
        <v>1</v>
      </c>
      <c r="BW14" s="5">
        <f t="shared" si="46"/>
        <v>9.9999999999999911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10.999999999999991</v>
      </c>
      <c r="CF14" s="5">
        <f t="shared" si="54"/>
        <v>1</v>
      </c>
      <c r="CG14" s="5">
        <f t="shared" si="55"/>
        <v>9.9999999999999911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3</v>
      </c>
    </row>
    <row r="15" spans="1:89" ht="38" customHeight="1">
      <c r="A15" s="74">
        <f t="shared" si="0"/>
        <v>10032</v>
      </c>
      <c r="B15" s="73">
        <v>501</v>
      </c>
      <c r="C15" s="98" t="s">
        <v>1426</v>
      </c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>
        <v>0.75</v>
      </c>
      <c r="Q15" s="75">
        <v>1.0138888888888899</v>
      </c>
      <c r="R15" s="92">
        <f t="shared" si="19"/>
        <v>5.8333333333333588</v>
      </c>
      <c r="S15" s="75">
        <v>0.75</v>
      </c>
      <c r="T15" s="75">
        <v>1.0145833333333301</v>
      </c>
      <c r="U15" s="92">
        <f t="shared" si="20"/>
        <v>5.8499999999999215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11.68333333333328</v>
      </c>
      <c r="AC15" s="93"/>
      <c r="AD15" s="77"/>
      <c r="AE15" s="94">
        <f t="shared" si="1"/>
        <v>3.4999999999999991</v>
      </c>
      <c r="AF15" s="77"/>
      <c r="AG15" s="94">
        <f t="shared" si="2"/>
        <v>5.8333333333333588</v>
      </c>
      <c r="AH15" s="77"/>
      <c r="AI15" s="94">
        <f t="shared" si="3"/>
        <v>0.34999999999992149</v>
      </c>
      <c r="AJ15" s="77"/>
      <c r="AK15" s="94">
        <f t="shared" si="4"/>
        <v>0</v>
      </c>
      <c r="AL15" s="77"/>
      <c r="AM15" s="94">
        <f t="shared" si="5"/>
        <v>2.0000000000000009</v>
      </c>
      <c r="AN15" s="77"/>
      <c r="AO15" s="94">
        <f t="shared" si="6"/>
        <v>0</v>
      </c>
      <c r="AP15" s="95">
        <f t="shared" si="23"/>
        <v>2</v>
      </c>
      <c r="AQ15" s="77"/>
      <c r="AR15" s="77"/>
      <c r="AS15" s="77"/>
      <c r="AT15" s="44">
        <f t="shared" si="24"/>
        <v>11.68333333333328</v>
      </c>
      <c r="AU15" s="77"/>
      <c r="AV15" s="5"/>
      <c r="AW15" s="5"/>
      <c r="AX15" s="5"/>
      <c r="AY15" s="5"/>
      <c r="AZ15" s="24">
        <f>VLOOKUP(C15,Employees!D:I,6,FALSE)</f>
        <v>10032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6.3333333333333588</v>
      </c>
      <c r="BV15" s="5">
        <f t="shared" si="45"/>
        <v>0.5</v>
      </c>
      <c r="BW15" s="5">
        <f t="shared" si="46"/>
        <v>3.4999999999999991</v>
      </c>
      <c r="BX15" s="5">
        <f t="shared" si="47"/>
        <v>2.0000000000000009</v>
      </c>
      <c r="BY15" s="5">
        <f t="shared" si="11"/>
        <v>0.33333333333335879</v>
      </c>
      <c r="BZ15" s="5">
        <f t="shared" si="48"/>
        <v>6.3499999999999215</v>
      </c>
      <c r="CA15" s="5">
        <f t="shared" si="49"/>
        <v>0.5</v>
      </c>
      <c r="CB15" s="5">
        <f t="shared" si="50"/>
        <v>3.4999999999999991</v>
      </c>
      <c r="CC15" s="5">
        <f t="shared" si="51"/>
        <v>2.0000000000000009</v>
      </c>
      <c r="CD15" s="5">
        <f t="shared" si="52"/>
        <v>0.34999999999992149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2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0" priority="696" operator="equal">
      <formula>"Pub"</formula>
    </cfRule>
  </conditionalFormatting>
  <conditionalFormatting sqref="F2:F100 I2:I100 L2:L100 O2:O100 R2:R100 U2:U100 X2:AB100 AT2:AT100">
    <cfRule type="cellIs" dxfId="19" priority="698" operator="lessThan">
      <formula>0</formula>
    </cfRule>
    <cfRule type="cellIs" dxfId="18" priority="699" operator="between">
      <formula>3</formula>
      <formula>0.01</formula>
    </cfRule>
    <cfRule type="cellIs" dxfId="17" priority="771" operator="lessThan">
      <formula>SUMIF($C:$C,$C2,F:F)</formula>
    </cfRule>
  </conditionalFormatting>
  <conditionalFormatting sqref="AD5:AD100">
    <cfRule type="notContainsBlanks" dxfId="16" priority="3">
      <formula>LEN(TRIM(AD5))&gt;0</formula>
    </cfRule>
  </conditionalFormatting>
  <conditionalFormatting sqref="AF2:AF100 AJ2:AJ100 AL2:AL100 AN2:AN100 AQ2:AS100">
    <cfRule type="notContainsBlanks" dxfId="15" priority="772">
      <formula>LEN(TRIM(AF2))&gt;0</formula>
    </cfRule>
  </conditionalFormatting>
  <conditionalFormatting sqref="AH2:AH100">
    <cfRule type="notContainsBlanks" dxfId="14" priority="2">
      <formula>LEN(TRIM(AH2))&gt;0</formula>
    </cfRule>
  </conditionalFormatting>
  <conditionalFormatting sqref="AT1">
    <cfRule type="cellIs" dxfId="13" priority="691" operator="equal">
      <formula>"Pub"</formula>
    </cfRule>
  </conditionalFormatting>
  <conditionalFormatting sqref="AD2:AD4">
    <cfRule type="notContainsBlanks" dxfId="0" priority="1">
      <formula>LEN(TRIM(AD2))&gt;0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D9" sqref="AD9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 t="str">
        <f t="shared" ref="A2:A33" si="0">IF(ISNA(AZ2),"",AZ2)</f>
        <v/>
      </c>
      <c r="B2" s="81"/>
      <c r="C2" s="91"/>
      <c r="D2" s="75"/>
      <c r="E2" s="75"/>
      <c r="F2" s="92">
        <f>BA2-BB2</f>
        <v>0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/>
      <c r="N2" s="76"/>
      <c r="O2" s="92">
        <f>BP2-BQ2</f>
        <v>0</v>
      </c>
      <c r="P2" s="75"/>
      <c r="Q2" s="76"/>
      <c r="R2" s="92">
        <f>BU2-BV2</f>
        <v>0</v>
      </c>
      <c r="S2" s="75"/>
      <c r="T2" s="75"/>
      <c r="U2" s="92">
        <f>BZ2-CA2</f>
        <v>0</v>
      </c>
      <c r="V2" s="75"/>
      <c r="W2" s="76"/>
      <c r="X2" s="92">
        <f>CE2-CF2</f>
        <v>0</v>
      </c>
      <c r="Y2" s="92"/>
      <c r="Z2" s="92"/>
      <c r="AA2" s="92"/>
      <c r="AB2" s="96">
        <f>SUM(F2,I2,L2,O2,R2,U2,X2)</f>
        <v>0</v>
      </c>
      <c r="AC2" s="93"/>
      <c r="AD2" s="78"/>
      <c r="AE2" s="94">
        <f>SUMIF($BC$1:$CI$1,AE$1,$BC2:$CI2)+AD2</f>
        <v>0</v>
      </c>
      <c r="AF2" s="78"/>
      <c r="AG2" s="94">
        <f>SUMIF($BC$1:$CI$1,AG$1,$BC2:$CI2)+AF2</f>
        <v>0</v>
      </c>
      <c r="AH2" s="78"/>
      <c r="AI2" s="94">
        <f>SUMIF($BC$1:$CI$1,AI$1,$BC2:$CI2)+AH2</f>
        <v>0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0</v>
      </c>
      <c r="AQ2" s="77"/>
      <c r="AR2" s="77"/>
      <c r="AS2" s="77"/>
      <c r="AT2" s="63">
        <f>AE2+AG2+AI2+AK2+AM2+AO2+SUM(AQ2:AS2)</f>
        <v>0</v>
      </c>
      <c r="AU2" s="78"/>
      <c r="AV2" s="5"/>
      <c r="AW2" s="5"/>
      <c r="AX2" s="5"/>
      <c r="AY2" s="5"/>
      <c r="AZ2" s="24" t="e">
        <f>VLOOKUP(C2,Employees!D:I,6,FALSE)</f>
        <v>#N/A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 t="str">
        <f t="shared" si="0"/>
        <v/>
      </c>
      <c r="B3" s="81"/>
      <c r="C3" s="91"/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4"/>
      <c r="Q3" s="84"/>
      <c r="R3" s="92">
        <f t="shared" ref="R3:R74" si="13">BU3-BV3</f>
        <v>0</v>
      </c>
      <c r="S3" s="84"/>
      <c r="T3" s="84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0</v>
      </c>
      <c r="AC3" s="93"/>
      <c r="AD3" s="78"/>
      <c r="AE3" s="94">
        <f t="shared" ref="AE3:AE74" si="17">SUMIF($BC$1:$CI$1,AE$1,$BC3:$CI3)+AD3</f>
        <v>0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 t="e">
        <f>VLOOKUP(C3,Employees!D:I,6,FALSE)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 t="str">
        <f t="shared" si="0"/>
        <v/>
      </c>
      <c r="B4" s="81"/>
      <c r="C4" s="85"/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0</v>
      </c>
      <c r="AC4" s="93"/>
      <c r="AD4" s="78"/>
      <c r="AE4" s="94">
        <f t="shared" si="17"/>
        <v>0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1"/>
      <c r="C5" s="85"/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0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1"/>
      <c r="C6" s="85"/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0</v>
      </c>
      <c r="AC6" s="93"/>
      <c r="AD6" s="78"/>
      <c r="AE6" s="94">
        <f t="shared" si="17"/>
        <v>0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85"/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2" priority="732" operator="equal">
      <formula>"Pub"</formula>
    </cfRule>
  </conditionalFormatting>
  <conditionalFormatting sqref="F2:F100 I2:I100 L2:L100 O2:O100 R2:R100 U2:U100 X2:AB100 AT2:AT100">
    <cfRule type="cellIs" dxfId="11" priority="733" operator="lessThan">
      <formula>0</formula>
    </cfRule>
    <cfRule type="cellIs" dxfId="10" priority="734" operator="between">
      <formula>3</formula>
      <formula>0.01</formula>
    </cfRule>
    <cfRule type="cellIs" dxfId="9" priority="735" operator="lessThan">
      <formula>SUMIF($C:$C,$C2,F:F)</formula>
    </cfRule>
  </conditionalFormatting>
  <conditionalFormatting sqref="AD2:AD100">
    <cfRule type="notContainsBlanks" dxfId="8" priority="3">
      <formula>LEN(TRIM(AD2))&gt;0</formula>
    </cfRule>
  </conditionalFormatting>
  <conditionalFormatting sqref="AF2:AF100">
    <cfRule type="notContainsBlanks" dxfId="7" priority="2">
      <formula>LEN(TRIM(AF2))&gt;0</formula>
    </cfRule>
  </conditionalFormatting>
  <conditionalFormatting sqref="AH2:AH100">
    <cfRule type="notContainsBlanks" dxfId="6" priority="1">
      <formula>LEN(TRIM(AH2))&gt;0</formula>
    </cfRule>
  </conditionalFormatting>
  <conditionalFormatting sqref="AL2:AL100">
    <cfRule type="notContainsBlanks" dxfId="5" priority="260">
      <formula>LEN(TRIM(AL2))&gt;0</formula>
    </cfRule>
  </conditionalFormatting>
  <conditionalFormatting sqref="AL21:AL29 AL61:AL63 AL75:AL100 AJ2:AJ100 AN2:AN100 AQ2:AS100">
    <cfRule type="notContainsBlanks" dxfId="4" priority="736">
      <formula>LEN(TRIM(AJ2))&gt;0</formula>
    </cfRule>
  </conditionalFormatting>
  <conditionalFormatting sqref="AT1">
    <cfRule type="cellIs" dxfId="3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K7" sqref="K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10324</v>
      </c>
      <c r="B2" s="28">
        <f ca="1">IF(A2=0,"",_xlfn.NUMBERVALUE(A2))</f>
        <v>10324</v>
      </c>
      <c r="C2" s="28" t="str">
        <f ca="1">IF($A2=0,"",VLOOKUP($B2,Employees!$A:$G,2,FALSE))</f>
        <v>Yu-Ju</v>
      </c>
      <c r="D2" s="28" t="str">
        <f ca="1">IF($A2=0,"",VLOOKUP($B2,Employees!$A:$G,3,FALSE))</f>
        <v>Wu</v>
      </c>
      <c r="E2" s="26">
        <f ca="1">IF($A2=0,"",VLOOKUP($B2,Employees!$A:$G,5,FALSE))</f>
        <v>32069</v>
      </c>
      <c r="F2" s="13">
        <f ca="1">IF($E2="","",ROUNDDOWN(YEARFRAC($E2, 'Week 1 Roster'!$D$1-1, 1), 0))</f>
        <v>38</v>
      </c>
      <c r="G2" s="13">
        <f ca="1">IF($E2="","",ROUNDDOWN(YEARFRAC($E2, 'Week 1 Roster'!$D$1+14, 1), 0))</f>
        <v>38</v>
      </c>
      <c r="H2" s="13" t="b">
        <f ca="1">IF($E2="","",IF(AND(F2&lt;21,F2&lt;&gt;G2),TRUE,FALSE))</f>
        <v>0</v>
      </c>
      <c r="I2" s="13">
        <f ca="1">IF($A2=0,"",VLOOKUP($B2,Employees!$A:$G,6,FALSE))</f>
        <v>200</v>
      </c>
      <c r="J2" s="13" t="str">
        <f ca="1">IF($A2=0,"",VLOOKUP($B2,Employees!$A:$G,7,FALSE))</f>
        <v>SS</v>
      </c>
      <c r="K2" s="13">
        <f ca="1">IF($A2=0,"",IF(ISNA(VLOOKUP(A2,'Week 1 Roster'!A:C,2,0)),VLOOKUP(A2,'Week 2 Roster'!A:C,2,0),VLOOKUP(A2,'Week 1 Roster'!A:C,2,0)))</f>
        <v>501</v>
      </c>
      <c r="L2" s="13" t="str">
        <f ca="1">IF($A2=0,"",VLOOKUP(K2,Stores!A:B,2,0))</f>
        <v>Superb</v>
      </c>
      <c r="M2" s="14">
        <f t="shared" ref="M2" ca="1" si="0">Y2+AK2</f>
        <v>48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5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48</v>
      </c>
      <c r="Y2" s="17">
        <f ca="1">IF($A2=0,0,SUMIF('Week 1 Roster'!$AZ:$AZ,$B2,'Week 1 Roster'!$AE:$AE))</f>
        <v>48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48</v>
      </c>
      <c r="AK2" s="17">
        <f ca="1">IF($A2=0,0,SUMIF('Week 2 Roster'!$AZ:$AZ,$B2,'Week 2 Roster'!$AE:$AE))</f>
        <v>0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0</v>
      </c>
      <c r="AV2" s="17"/>
      <c r="AW2" s="25">
        <f>'Week 1 Roster'!A2</f>
        <v>10324</v>
      </c>
      <c r="AX2" s="25" t="str">
        <f>'Week 2 Roster'!A2</f>
        <v/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10160</v>
      </c>
      <c r="B3" s="28">
        <f t="shared" ref="B3:B66" ca="1" si="9">IF(A3=0,"",_xlfn.NUMBERVALUE(A3))</f>
        <v>10160</v>
      </c>
      <c r="C3" s="28" t="str">
        <f ca="1">IF($A3=0,"",VLOOKUP($B3,Employees!$A:$G,2,FALSE))</f>
        <v>Pulin</v>
      </c>
      <c r="D3" s="28" t="str">
        <f ca="1">IF($A3=0,"",VLOOKUP($B3,Employees!$A:$G,3,FALSE))</f>
        <v>Pan</v>
      </c>
      <c r="E3" s="26">
        <f ca="1">IF($A3=0,"",VLOOKUP($B3,Employees!$A:$G,5,FALSE))</f>
        <v>36402</v>
      </c>
      <c r="F3" s="13">
        <f ca="1">IF($E3="","",ROUNDDOWN(YEARFRAC($E3, 'Week 1 Roster'!$D$1-1, 1), 0))</f>
        <v>26</v>
      </c>
      <c r="G3" s="13">
        <f ca="1">IF($E3="","",ROUNDDOWN(YEARFRAC($E3, 'Week 1 Roster'!$D$1+14, 1), 0))</f>
        <v>26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>
        <f ca="1">IF($A3=0,"",IF(ISNA(VLOOKUP(A3,'Week 1 Roster'!A:C,2,0)),VLOOKUP(A3,'Week 2 Roster'!A:C,2,0),VLOOKUP(A3,'Week 1 Roster'!A:C,2,0)))</f>
        <v>501</v>
      </c>
      <c r="L3" s="13" t="str">
        <f ca="1">IF($A3=0,"",VLOOKUP(K3,Stores!A:B,2,0))</f>
        <v>Superb</v>
      </c>
      <c r="M3" s="14">
        <f t="shared" ref="M3:M66" ca="1" si="11">Y3+AK3</f>
        <v>13.416666666666657</v>
      </c>
      <c r="N3" s="14">
        <f t="shared" ref="N3:N66" ca="1" si="12">Z3+AL3</f>
        <v>10.316666666666553</v>
      </c>
      <c r="O3" s="14">
        <f t="shared" ref="O3:O66" ca="1" si="13">AA3+AM3</f>
        <v>8.9333333333333602</v>
      </c>
      <c r="P3" s="14">
        <f t="shared" ref="P3:P66" ca="1" si="14">AB3+AN3</f>
        <v>0</v>
      </c>
      <c r="Q3" s="14">
        <f t="shared" ref="Q3:Q66" ca="1" si="15">AC3+AO3</f>
        <v>3.8000000000000105</v>
      </c>
      <c r="R3" s="14">
        <f t="shared" ref="R3:R66" ca="1" si="16">AD3+AP3</f>
        <v>0</v>
      </c>
      <c r="S3" s="28">
        <f t="shared" ref="S3:S66" ca="1" si="17">AE3+AQ3</f>
        <v>4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36.466666666666583</v>
      </c>
      <c r="Y3" s="17">
        <f ca="1">IF($A3=0,0,SUMIF('Week 1 Roster'!$AZ:$AZ,$B3,'Week 1 Roster'!$AE:$AE))</f>
        <v>13.416666666666657</v>
      </c>
      <c r="Z3" s="17">
        <f ca="1">IF($A3=0,0,SUMIF('Week 1 Roster'!$AZ:$AZ,$B3,'Week 1 Roster'!$AG:$AG))</f>
        <v>10.316666666666553</v>
      </c>
      <c r="AA3" s="17">
        <f ca="1">IF($A3=0,0,SUMIF('Week 1 Roster'!$AZ:$AZ,$B3,'Week 1 Roster'!$AI:$AI))</f>
        <v>8.9333333333333602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3.8000000000000105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36.466666666666583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10160</v>
      </c>
      <c r="AX3" s="25" t="str">
        <f>'Week 2 Roster'!A3</f>
        <v/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10008</v>
      </c>
      <c r="B4" s="28">
        <f t="shared" ca="1" si="9"/>
        <v>10008</v>
      </c>
      <c r="C4" s="28" t="str">
        <f ca="1">IF($A4=0,"",VLOOKUP($B4,Employees!$A:$G,2,FALSE))</f>
        <v>Elsie</v>
      </c>
      <c r="D4" s="28" t="str">
        <f ca="1">IF($A4=0,"",VLOOKUP($B4,Employees!$A:$G,3,FALSE))</f>
        <v>Chan</v>
      </c>
      <c r="E4" s="26">
        <f ca="1">IF($A4=0,"",VLOOKUP($B4,Employees!$A:$G,5,FALSE))</f>
        <v>36271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>
        <f ca="1">IF($A4=0,"",IF(ISNA(VLOOKUP(A4,'Week 1 Roster'!A:C,2,0)),VLOOKUP(A4,'Week 2 Roster'!A:C,2,0),VLOOKUP(A4,'Week 1 Roster'!A:C,2,0)))</f>
        <v>501</v>
      </c>
      <c r="L4" s="13" t="str">
        <f ca="1">IF($A4=0,"",VLOOKUP(K4,Stores!A:B,2,0))</f>
        <v>Superb</v>
      </c>
      <c r="M4" s="14">
        <f t="shared" ca="1" si="11"/>
        <v>42.500000000000014</v>
      </c>
      <c r="N4" s="14">
        <f t="shared" ca="1" si="12"/>
        <v>7.4999999999999929</v>
      </c>
      <c r="O4" s="14">
        <f t="shared" ca="1" si="13"/>
        <v>5.5</v>
      </c>
      <c r="P4" s="14">
        <f t="shared" ca="1" si="14"/>
        <v>0</v>
      </c>
      <c r="Q4" s="14">
        <f t="shared" ca="1" si="15"/>
        <v>4.0000000000000018</v>
      </c>
      <c r="R4" s="14">
        <f t="shared" ca="1" si="16"/>
        <v>0.15000000000000213</v>
      </c>
      <c r="S4" s="28">
        <f t="shared" ca="1" si="17"/>
        <v>5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59.650000000000006</v>
      </c>
      <c r="Y4" s="17">
        <f ca="1">IF($A4=0,0,SUMIF('Week 1 Roster'!$AZ:$AZ,$B4,'Week 1 Roster'!$AE:$AE))</f>
        <v>42.500000000000014</v>
      </c>
      <c r="Z4" s="17">
        <f ca="1">IF($A4=0,0,SUMIF('Week 1 Roster'!$AZ:$AZ,$B4,'Week 1 Roster'!$AG:$AG))</f>
        <v>7.4999999999999929</v>
      </c>
      <c r="AA4" s="17">
        <f ca="1">IF($A4=0,0,SUMIF('Week 1 Roster'!$AZ:$AZ,$B4,'Week 1 Roster'!$AI:$AI))</f>
        <v>5.5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4.0000000000000018</v>
      </c>
      <c r="AD4" s="17">
        <f ca="1">IF($A4=0,0,SUMIF('Week 1 Roster'!$AZ:$AZ,$B4,'Week 1 Roster'!$AO:$AO))</f>
        <v>0.15000000000000213</v>
      </c>
      <c r="AE4" s="38">
        <f ca="1">IF($A4=0,0,SUMIF('Week 1 Roster'!$AZ:$AZ,$B4,'Week 1 Roster'!$AP:$AP))</f>
        <v>5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59.650000000000006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>
        <f>'Week 1 Roster'!A4</f>
        <v>10008</v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210423</v>
      </c>
      <c r="B5" s="28">
        <f t="shared" ca="1" si="9"/>
        <v>210423</v>
      </c>
      <c r="C5" s="28" t="str">
        <f ca="1">IF($A5=0,"",VLOOKUP($B5,Employees!$A:$G,2,FALSE))</f>
        <v>Priska Nathasa</v>
      </c>
      <c r="D5" s="28" t="str">
        <f ca="1">IF($A5=0,"",VLOOKUP($B5,Employees!$A:$G,3,FALSE))</f>
        <v>Salim</v>
      </c>
      <c r="E5" s="26">
        <f ca="1">IF($A5=0,"",VLOOKUP($B5,Employees!$A:$G,5,FALSE))</f>
        <v>36905</v>
      </c>
      <c r="F5" s="13">
        <f ca="1">IF($E5="","",ROUNDDOWN(YEARFRAC($E5, 'Week 1 Roster'!$D$1-1, 1), 0))</f>
        <v>24</v>
      </c>
      <c r="G5" s="13">
        <f ca="1">IF($E5="","",ROUNDDOWN(YEARFRAC($E5, 'Week 1 Roster'!$D$1+14, 1), 0))</f>
        <v>24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>
        <f ca="1">IF($A5=0,"",IF(ISNA(VLOOKUP(A5,'Week 1 Roster'!A:C,2,0)),VLOOKUP(A5,'Week 2 Roster'!A:C,2,0),VLOOKUP(A5,'Week 1 Roster'!A:C,2,0)))</f>
        <v>501</v>
      </c>
      <c r="L5" s="13" t="str">
        <f ca="1">IF($A5=0,"",VLOOKUP(K5,Stores!A:B,2,0))</f>
        <v>Superb</v>
      </c>
      <c r="M5" s="14">
        <f t="shared" ca="1" si="11"/>
        <v>17.000000000000007</v>
      </c>
      <c r="N5" s="14">
        <f t="shared" ca="1" si="12"/>
        <v>4.0000000000000071</v>
      </c>
      <c r="O5" s="14">
        <f t="shared" ca="1" si="13"/>
        <v>0</v>
      </c>
      <c r="P5" s="14">
        <f t="shared" ca="1" si="14"/>
        <v>0</v>
      </c>
      <c r="Q5" s="14">
        <f t="shared" ca="1" si="15"/>
        <v>2.8499999999999952</v>
      </c>
      <c r="R5" s="14">
        <f t="shared" ca="1" si="16"/>
        <v>0</v>
      </c>
      <c r="S5" s="28">
        <f t="shared" ca="1" si="17"/>
        <v>4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23.850000000000009</v>
      </c>
      <c r="Y5" s="17">
        <f ca="1">IF($A5=0,0,SUMIF('Week 1 Roster'!$AZ:$AZ,$B5,'Week 1 Roster'!$AE:$AE))</f>
        <v>17.000000000000007</v>
      </c>
      <c r="Z5" s="17">
        <f ca="1">IF($A5=0,0,SUMIF('Week 1 Roster'!$AZ:$AZ,$B5,'Week 1 Roster'!$AG:$AG))</f>
        <v>4.0000000000000071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2.8499999999999952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4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23.850000000000009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210423</v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10343</v>
      </c>
      <c r="B6" s="28">
        <f t="shared" ca="1" si="9"/>
        <v>10343</v>
      </c>
      <c r="C6" s="28" t="str">
        <f ca="1">IF($A6=0,"",VLOOKUP($B6,Employees!$A:$G,2,FALSE))</f>
        <v>Theresa</v>
      </c>
      <c r="D6" s="28" t="str">
        <f ca="1">IF($A6=0,"",VLOOKUP($B6,Employees!$A:$G,3,FALSE))</f>
        <v>Chow</v>
      </c>
      <c r="E6" s="26">
        <f ca="1">IF($A6=0,"",VLOOKUP($B6,Employees!$A:$G,5,FALSE))</f>
        <v>37927</v>
      </c>
      <c r="F6" s="13">
        <f ca="1">IF($E6="","",ROUNDDOWN(YEARFRAC($E6, 'Week 1 Roster'!$D$1-1, 1), 0))</f>
        <v>21</v>
      </c>
      <c r="G6" s="13">
        <f ca="1">IF($E6="","",ROUNDDOWN(YEARFRAC($E6, 'Week 1 Roster'!$D$1+14, 1), 0))</f>
        <v>22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>
        <f ca="1">IF($A6=0,"",IF(ISNA(VLOOKUP(A6,'Week 1 Roster'!A:C,2,0)),VLOOKUP(A6,'Week 2 Roster'!A:C,2,0),VLOOKUP(A6,'Week 1 Roster'!A:C,2,0)))</f>
        <v>501</v>
      </c>
      <c r="L6" s="13" t="str">
        <f ca="1">IF($A6=0,"",VLOOKUP(K6,Stores!A:B,2,0))</f>
        <v>Superb</v>
      </c>
      <c r="M6" s="14">
        <f t="shared" ca="1" si="11"/>
        <v>12.499999999999996</v>
      </c>
      <c r="N6" s="14">
        <f t="shared" ca="1" si="12"/>
        <v>9.0000000000000071</v>
      </c>
      <c r="O6" s="14">
        <f t="shared" ca="1" si="13"/>
        <v>0</v>
      </c>
      <c r="P6" s="14">
        <f t="shared" ca="1" si="14"/>
        <v>0</v>
      </c>
      <c r="Q6" s="14">
        <f t="shared" ca="1" si="15"/>
        <v>3.7833333333333306</v>
      </c>
      <c r="R6" s="14">
        <f t="shared" ca="1" si="16"/>
        <v>0.21666666666672185</v>
      </c>
      <c r="S6" s="28">
        <f t="shared" ca="1" si="17"/>
        <v>3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25.500000000000057</v>
      </c>
      <c r="Y6" s="17">
        <f ca="1">IF($A6=0,0,SUMIF('Week 1 Roster'!$AZ:$AZ,$B6,'Week 1 Roster'!$AE:$AE))</f>
        <v>12.499999999999996</v>
      </c>
      <c r="Z6" s="17">
        <f ca="1">IF($A6=0,0,SUMIF('Week 1 Roster'!$AZ:$AZ,$B6,'Week 1 Roster'!$AG:$AG))</f>
        <v>9.0000000000000071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3.7833333333333306</v>
      </c>
      <c r="AD6" s="17">
        <f ca="1">IF($A6=0,0,SUMIF('Week 1 Roster'!$AZ:$AZ,$B6,'Week 1 Roster'!$AO:$AO))</f>
        <v>0.21666666666672185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25.500000000000057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>
        <f>'Week 1 Roster'!A6</f>
        <v>10343</v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10385</v>
      </c>
      <c r="B7" s="28">
        <f t="shared" ca="1" si="9"/>
        <v>10385</v>
      </c>
      <c r="C7" s="28" t="str">
        <f ca="1">IF($A7=0,"",VLOOKUP($B7,Employees!$A:$G,2,FALSE))</f>
        <v>Hui Qi</v>
      </c>
      <c r="D7" s="28" t="str">
        <f ca="1">IF($A7=0,"",VLOOKUP($B7,Employees!$A:$G,3,FALSE))</f>
        <v>Lau</v>
      </c>
      <c r="E7" s="26">
        <f ca="1">IF($A7=0,"",VLOOKUP($B7,Employees!$A:$G,5,FALSE))</f>
        <v>38591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20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>
        <f ca="1">IF($A7=0,"",IF(ISNA(VLOOKUP(A7,'Week 1 Roster'!A:C,2,0)),VLOOKUP(A7,'Week 2 Roster'!A:C,2,0),VLOOKUP(A7,'Week 1 Roster'!A:C,2,0)))</f>
        <v>501</v>
      </c>
      <c r="L7" s="13" t="str">
        <f ca="1">IF($A7=0,"",VLOOKUP(K7,Stores!A:B,2,0))</f>
        <v>Superb</v>
      </c>
      <c r="M7" s="14">
        <f t="shared" ca="1" si="11"/>
        <v>16.500000000000007</v>
      </c>
      <c r="N7" s="14">
        <f t="shared" ca="1" si="12"/>
        <v>0</v>
      </c>
      <c r="O7" s="14">
        <f t="shared" ca="1" si="13"/>
        <v>7.4999999999999929</v>
      </c>
      <c r="P7" s="14">
        <f t="shared" ca="1" si="14"/>
        <v>0</v>
      </c>
      <c r="Q7" s="14">
        <f t="shared" ca="1" si="15"/>
        <v>4.0000000000000018</v>
      </c>
      <c r="R7" s="14">
        <f t="shared" ca="1" si="16"/>
        <v>0.25000000000008171</v>
      </c>
      <c r="S7" s="28">
        <f t="shared" ca="1" si="17"/>
        <v>4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28.250000000000082</v>
      </c>
      <c r="Y7" s="17">
        <f ca="1">IF($A7=0,0,SUMIF('Week 1 Roster'!$AZ:$AZ,$B7,'Week 1 Roster'!$AE:$AE))</f>
        <v>16.500000000000007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7.4999999999999929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4.0000000000000018</v>
      </c>
      <c r="AD7" s="17">
        <f ca="1">IF($A7=0,0,SUMIF('Week 1 Roster'!$AZ:$AZ,$B7,'Week 1 Roster'!$AO:$AO))</f>
        <v>0.25000000000008171</v>
      </c>
      <c r="AE7" s="38">
        <f ca="1">IF($A7=0,0,SUMIF('Week 1 Roster'!$AZ:$AZ,$B7,'Week 1 Roster'!$AP:$AP))</f>
        <v>4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28.250000000000082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10385</v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10341</v>
      </c>
      <c r="B8" s="28">
        <f t="shared" ca="1" si="9"/>
        <v>10341</v>
      </c>
      <c r="C8" s="28" t="str">
        <f ca="1">IF($A8=0,"",VLOOKUP($B8,Employees!$A:$G,2,FALSE))</f>
        <v>Truc Thanh</v>
      </c>
      <c r="D8" s="28" t="str">
        <f ca="1">IF($A8=0,"",VLOOKUP($B8,Employees!$A:$G,3,FALSE))</f>
        <v>Nguyen</v>
      </c>
      <c r="E8" s="26">
        <f ca="1">IF($A8=0,"",VLOOKUP($B8,Employees!$A:$G,5,FALSE))</f>
        <v>37703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>
        <f ca="1">IF($A8=0,"",IF(ISNA(VLOOKUP(A8,'Week 1 Roster'!A:C,2,0)),VLOOKUP(A8,'Week 2 Roster'!A:C,2,0),VLOOKUP(A8,'Week 1 Roster'!A:C,2,0)))</f>
        <v>501</v>
      </c>
      <c r="L8" s="13" t="str">
        <f ca="1">IF($A8=0,"",VLOOKUP(K8,Stores!A:B,2,0))</f>
        <v>Superb</v>
      </c>
      <c r="M8" s="14">
        <f t="shared" ca="1" si="11"/>
        <v>0</v>
      </c>
      <c r="N8" s="14">
        <f t="shared" ca="1" si="12"/>
        <v>0</v>
      </c>
      <c r="O8" s="14">
        <f t="shared" ca="1" si="13"/>
        <v>9.0000000000000071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9.0000000000000071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9.0000000000000071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9.0000000000000071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10341</v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10289</v>
      </c>
      <c r="B9" s="28">
        <f t="shared" ca="1" si="9"/>
        <v>10289</v>
      </c>
      <c r="C9" s="28" t="str">
        <f ca="1">IF($A9=0,"",VLOOKUP($B9,Employees!$A:$G,2,FALSE))</f>
        <v>Jethro</v>
      </c>
      <c r="D9" s="28" t="str">
        <f ca="1">IF($A9=0,"",VLOOKUP($B9,Employees!$A:$G,3,FALSE))</f>
        <v>Soewandito</v>
      </c>
      <c r="E9" s="26">
        <f ca="1">IF($A9=0,"",VLOOKUP($B9,Employees!$A:$G,5,FALSE))</f>
        <v>38544</v>
      </c>
      <c r="F9" s="13">
        <f ca="1">IF($E9="","",ROUNDDOWN(YEARFRAC($E9, 'Week 1 Roster'!$D$1-1, 1), 0))</f>
        <v>20</v>
      </c>
      <c r="G9" s="13">
        <f ca="1">IF($E9="","",ROUNDDOWN(YEARFRAC($E9, 'Week 1 Roster'!$D$1+14, 1), 0))</f>
        <v>20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GCM</v>
      </c>
      <c r="K9" s="13">
        <f ca="1">IF($A9=0,"",IF(ISNA(VLOOKUP(A9,'Week 1 Roster'!A:C,2,0)),VLOOKUP(A9,'Week 2 Roster'!A:C,2,0),VLOOKUP(A9,'Week 1 Roster'!A:C,2,0)))</f>
        <v>501</v>
      </c>
      <c r="L9" s="13" t="str">
        <f ca="1">IF($A9=0,"",VLOOKUP(K9,Stores!A:B,2,0))</f>
        <v>Superb</v>
      </c>
      <c r="M9" s="14">
        <f t="shared" ca="1" si="11"/>
        <v>7.4999999999999911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7.4999999999999911</v>
      </c>
      <c r="Y9" s="17">
        <f ca="1">IF($A9=0,0,SUMIF('Week 1 Roster'!$AZ:$AZ,$B9,'Week 1 Roster'!$AE:$AE))</f>
        <v>7.4999999999999911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7.4999999999999911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10289</v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210434</v>
      </c>
      <c r="B10" s="28">
        <f t="shared" ca="1" si="9"/>
        <v>210434</v>
      </c>
      <c r="C10" s="28" t="str">
        <f ca="1">IF($A10=0,"",VLOOKUP($B10,Employees!$A:$G,2,FALSE))</f>
        <v>Yu</v>
      </c>
      <c r="D10" s="28" t="str">
        <f ca="1">IF($A10=0,"",VLOOKUP($B10,Employees!$A:$G,3,FALSE))</f>
        <v>Hsiao</v>
      </c>
      <c r="E10" s="26">
        <f ca="1">IF($A10=0,"",VLOOKUP($B10,Employees!$A:$G,5,FALSE))</f>
        <v>36562</v>
      </c>
      <c r="F10" s="13">
        <f ca="1">IF($E10="","",ROUNDDOWN(YEARFRAC($E10, 'Week 1 Roster'!$D$1-1, 1), 0))</f>
        <v>25</v>
      </c>
      <c r="G10" s="13">
        <f ca="1">IF($E10="","",ROUNDDOWN(YEARFRAC($E10, 'Week 1 Roster'!$D$1+14, 1), 0))</f>
        <v>25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SS</v>
      </c>
      <c r="K10" s="13">
        <f ca="1">IF($A10=0,"",IF(ISNA(VLOOKUP(A10,'Week 1 Roster'!A:C,2,0)),VLOOKUP(A10,'Week 2 Roster'!A:C,2,0),VLOOKUP(A10,'Week 1 Roster'!A:C,2,0)))</f>
        <v>501</v>
      </c>
      <c r="L10" s="13" t="str">
        <f ca="1">IF($A10=0,"",VLOOKUP(K10,Stores!A:B,2,0))</f>
        <v>Superb</v>
      </c>
      <c r="M10" s="14">
        <f t="shared" ca="1" si="11"/>
        <v>9.5</v>
      </c>
      <c r="N10" s="14">
        <f t="shared" ca="1" si="12"/>
        <v>8.5</v>
      </c>
      <c r="O10" s="14">
        <f t="shared" ca="1" si="13"/>
        <v>0</v>
      </c>
      <c r="P10" s="14">
        <f t="shared" ca="1" si="14"/>
        <v>0</v>
      </c>
      <c r="Q10" s="14">
        <f t="shared" ca="1" si="15"/>
        <v>2.0000000000000009</v>
      </c>
      <c r="R10" s="14">
        <f t="shared" ca="1" si="16"/>
        <v>0</v>
      </c>
      <c r="S10" s="28">
        <f t="shared" ca="1" si="17"/>
        <v>3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20</v>
      </c>
      <c r="Y10" s="17">
        <f ca="1">IF($A10=0,0,SUMIF('Week 1 Roster'!$AZ:$AZ,$B10,'Week 1 Roster'!$AE:$AE))</f>
        <v>9.5</v>
      </c>
      <c r="Z10" s="17">
        <f ca="1">IF($A10=0,0,SUMIF('Week 1 Roster'!$AZ:$AZ,$B10,'Week 1 Roster'!$AG:$AG))</f>
        <v>8.5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2.0000000000000009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3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20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210434</v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210413</v>
      </c>
      <c r="B11" s="28">
        <f t="shared" ca="1" si="9"/>
        <v>210413</v>
      </c>
      <c r="C11" s="28" t="str">
        <f ca="1">IF($A11=0,"",VLOOKUP($B11,Employees!$A:$G,2,FALSE))</f>
        <v>Minh Huy</v>
      </c>
      <c r="D11" s="28" t="str">
        <f ca="1">IF($A11=0,"",VLOOKUP($B11,Employees!$A:$G,3,FALSE))</f>
        <v>Loi</v>
      </c>
      <c r="E11" s="26">
        <f ca="1">IF($A11=0,"",VLOOKUP($B11,Employees!$A:$G,5,FALSE))</f>
        <v>38237</v>
      </c>
      <c r="F11" s="13">
        <f ca="1">IF($E11="","",ROUNDDOWN(YEARFRAC($E11, 'Week 1 Roster'!$D$1-1, 1), 0))</f>
        <v>21</v>
      </c>
      <c r="G11" s="13">
        <f ca="1">IF($E11="","",ROUNDDOWN(YEARFRAC($E11, 'Week 1 Roster'!$D$1+14, 1), 0))</f>
        <v>21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>
        <f ca="1">IF($A11=0,"",IF(ISNA(VLOOKUP(A11,'Week 1 Roster'!A:C,2,0)),VLOOKUP(A11,'Week 2 Roster'!A:C,2,0),VLOOKUP(A11,'Week 1 Roster'!A:C,2,0)))</f>
        <v>501</v>
      </c>
      <c r="L11" s="13" t="str">
        <f ca="1">IF($A11=0,"",VLOOKUP(K11,Stores!A:B,2,0))</f>
        <v>Superb</v>
      </c>
      <c r="M11" s="14">
        <f t="shared" ca="1" si="11"/>
        <v>13.999999999999993</v>
      </c>
      <c r="N11" s="14">
        <f t="shared" ca="1" si="12"/>
        <v>8.3166666666666647</v>
      </c>
      <c r="O11" s="14">
        <f t="shared" ca="1" si="13"/>
        <v>0</v>
      </c>
      <c r="P11" s="14">
        <f t="shared" ca="1" si="14"/>
        <v>0</v>
      </c>
      <c r="Q11" s="14">
        <f t="shared" ca="1" si="15"/>
        <v>2.0000000000000009</v>
      </c>
      <c r="R11" s="14">
        <f t="shared" ca="1" si="16"/>
        <v>0</v>
      </c>
      <c r="S11" s="28">
        <f t="shared" ca="1" si="17"/>
        <v>3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24.316666666666656</v>
      </c>
      <c r="Y11" s="17">
        <f ca="1">IF($A11=0,0,SUMIF('Week 1 Roster'!$AZ:$AZ,$B11,'Week 1 Roster'!$AE:$AE))</f>
        <v>13.999999999999993</v>
      </c>
      <c r="Z11" s="17">
        <f ca="1">IF($A11=0,0,SUMIF('Week 1 Roster'!$AZ:$AZ,$B11,'Week 1 Roster'!$AG:$AG))</f>
        <v>8.3166666666666647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2.0000000000000009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3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24.316666666666656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210413</v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210485</v>
      </c>
      <c r="B12" s="28">
        <f t="shared" ca="1" si="9"/>
        <v>210485</v>
      </c>
      <c r="C12" s="28" t="str">
        <f ca="1">IF($A12=0,"",VLOOKUP($B12,Employees!$A:$G,2,FALSE))</f>
        <v>MUTSUMI</v>
      </c>
      <c r="D12" s="28" t="str">
        <f ca="1">IF($A12=0,"",VLOOKUP($B12,Employees!$A:$G,3,FALSE))</f>
        <v>KANEDA</v>
      </c>
      <c r="E12" s="26">
        <f ca="1">IF($A12=0,"",VLOOKUP($B12,Employees!$A:$G,5,FALSE))</f>
        <v>36140</v>
      </c>
      <c r="F12" s="13">
        <f ca="1">IF($E12="","",ROUNDDOWN(YEARFRAC($E12, 'Week 1 Roster'!$D$1-1, 1), 0))</f>
        <v>26</v>
      </c>
      <c r="G12" s="13">
        <f ca="1">IF($E12="","",ROUNDDOWN(YEARFRAC($E12, 'Week 1 Roster'!$D$1+14, 1), 0))</f>
        <v>26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SS</v>
      </c>
      <c r="K12" s="13">
        <f ca="1">IF($A12=0,"",IF(ISNA(VLOOKUP(A12,'Week 1 Roster'!A:C,2,0)),VLOOKUP(A12,'Week 2 Roster'!A:C,2,0),VLOOKUP(A12,'Week 1 Roster'!A:C,2,0)))</f>
        <v>501</v>
      </c>
      <c r="L12" s="13" t="str">
        <f ca="1">IF($A12=0,"",VLOOKUP(K12,Stores!A:B,2,0))</f>
        <v>Superb</v>
      </c>
      <c r="M12" s="14">
        <f t="shared" ca="1" si="11"/>
        <v>24.499999999999957</v>
      </c>
      <c r="N12" s="14">
        <f t="shared" ca="1" si="12"/>
        <v>7.4999999999999911</v>
      </c>
      <c r="O12" s="14">
        <f t="shared" ca="1" si="13"/>
        <v>9.9999999999999929</v>
      </c>
      <c r="P12" s="14">
        <f t="shared" ca="1" si="14"/>
        <v>0</v>
      </c>
      <c r="Q12" s="14">
        <f t="shared" ca="1" si="15"/>
        <v>3.8333333333333464</v>
      </c>
      <c r="R12" s="14">
        <f t="shared" ca="1" si="16"/>
        <v>0.15000000000000213</v>
      </c>
      <c r="S12" s="28">
        <f t="shared" ca="1" si="17"/>
        <v>6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45.983333333333292</v>
      </c>
      <c r="Y12" s="17">
        <f ca="1">IF($A12=0,0,SUMIF('Week 1 Roster'!$AZ:$AZ,$B12,'Week 1 Roster'!$AE:$AE))</f>
        <v>24.499999999999957</v>
      </c>
      <c r="Z12" s="17">
        <f ca="1">IF($A12=0,0,SUMIF('Week 1 Roster'!$AZ:$AZ,$B12,'Week 1 Roster'!$AG:$AG))</f>
        <v>7.4999999999999911</v>
      </c>
      <c r="AA12" s="17">
        <f ca="1">IF($A12=0,0,SUMIF('Week 1 Roster'!$AZ:$AZ,$B12,'Week 1 Roster'!$AI:$AI))</f>
        <v>9.9999999999999929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3.8333333333333464</v>
      </c>
      <c r="AD12" s="17">
        <f ca="1">IF($A12=0,0,SUMIF('Week 1 Roster'!$AZ:$AZ,$B12,'Week 1 Roster'!$AO:$AO))</f>
        <v>0.15000000000000213</v>
      </c>
      <c r="AE12" s="38">
        <f ca="1">IF($A12=0,0,SUMIF('Week 1 Roster'!$AZ:$AZ,$B12,'Week 1 Roster'!$AP:$AP))</f>
        <v>6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45.983333333333292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210485</v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210457</v>
      </c>
      <c r="B13" s="28">
        <f t="shared" ca="1" si="9"/>
        <v>210457</v>
      </c>
      <c r="C13" s="28" t="str">
        <f ca="1">IF($A13=0,"",VLOOKUP($B13,Employees!$A:$G,2,FALSE))</f>
        <v>Ryan</v>
      </c>
      <c r="D13" s="28" t="str">
        <f ca="1">IF($A13=0,"",VLOOKUP($B13,Employees!$A:$G,3,FALSE))</f>
        <v>Tristandi</v>
      </c>
      <c r="E13" s="26">
        <f ca="1">IF($A13=0,"",VLOOKUP($B13,Employees!$A:$G,5,FALSE))</f>
        <v>37584</v>
      </c>
      <c r="F13" s="13">
        <f ca="1">IF($E13="","",ROUNDDOWN(YEARFRAC($E13, 'Week 1 Roster'!$D$1-1, 1), 0))</f>
        <v>22</v>
      </c>
      <c r="G13" s="13">
        <f ca="1">IF($E13="","",ROUNDDOWN(YEARFRAC($E13, 'Week 1 Roster'!$D$1+14, 1), 0))</f>
        <v>22</v>
      </c>
      <c r="H13" s="13" t="b">
        <f t="shared" ca="1" si="10"/>
        <v>0</v>
      </c>
      <c r="I13" s="13">
        <f ca="1">IF($A13=0,"",VLOOKUP($B13,Employees!$A:$G,6,FALSE))</f>
        <v>48</v>
      </c>
      <c r="J13" s="13" t="str">
        <f ca="1">IF($A13=0,"",VLOOKUP($B13,Employees!$A:$G,7,FALSE))</f>
        <v>SS</v>
      </c>
      <c r="K13" s="13">
        <f ca="1">IF($A13=0,"",IF(ISNA(VLOOKUP(A13,'Week 1 Roster'!A:C,2,0)),VLOOKUP(A13,'Week 2 Roster'!A:C,2,0),VLOOKUP(A13,'Week 1 Roster'!A:C,2,0)))</f>
        <v>501</v>
      </c>
      <c r="L13" s="13" t="str">
        <f ca="1">IF($A13=0,"",VLOOKUP(K13,Stores!A:B,2,0))</f>
        <v>Superb</v>
      </c>
      <c r="M13" s="14">
        <f t="shared" ca="1" si="11"/>
        <v>26.000000000000007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3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26.000000000000007</v>
      </c>
      <c r="Y13" s="17">
        <f ca="1">IF($A13=0,0,SUMIF('Week 1 Roster'!$AZ:$AZ,$B13,'Week 1 Roster'!$AE:$AE))</f>
        <v>26.000000000000007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3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26.000000000000007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210457</v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10387</v>
      </c>
      <c r="B14" s="28">
        <f t="shared" ca="1" si="9"/>
        <v>10387</v>
      </c>
      <c r="C14" s="28" t="str">
        <f ca="1">IF($A14=0,"",VLOOKUP($B14,Employees!$A:$G,2,FALSE))</f>
        <v>Tran</v>
      </c>
      <c r="D14" s="28" t="str">
        <f ca="1">IF($A14=0,"",VLOOKUP($B14,Employees!$A:$G,3,FALSE))</f>
        <v>Le</v>
      </c>
      <c r="E14" s="26">
        <f ca="1">IF($A14=0,"",VLOOKUP($B14,Employees!$A:$G,5,FALSE))</f>
        <v>37857</v>
      </c>
      <c r="F14" s="13">
        <f ca="1">IF($E14="","",ROUNDDOWN(YEARFRAC($E14, 'Week 1 Roster'!$D$1-1, 1), 0))</f>
        <v>22</v>
      </c>
      <c r="G14" s="13">
        <f ca="1">IF($E14="","",ROUNDDOWN(YEARFRAC($E14, 'Week 1 Roster'!$D$1+14, 1), 0))</f>
        <v>22</v>
      </c>
      <c r="H14" s="13" t="b">
        <f t="shared" ca="1" si="10"/>
        <v>0</v>
      </c>
      <c r="I14" s="13">
        <f ca="1">IF($A14=0,"",VLOOKUP($B14,Employees!$A:$G,6,FALSE))</f>
        <v>48</v>
      </c>
      <c r="J14" s="13" t="str">
        <f ca="1">IF($A14=0,"",VLOOKUP($B14,Employees!$A:$G,7,FALSE))</f>
        <v>SS</v>
      </c>
      <c r="K14" s="13">
        <f ca="1">IF($A14=0,"",IF(ISNA(VLOOKUP(A14,'Week 1 Roster'!A:C,2,0)),VLOOKUP(A14,'Week 2 Roster'!A:C,2,0),VLOOKUP(A14,'Week 1 Roster'!A:C,2,0)))</f>
        <v>501</v>
      </c>
      <c r="L14" s="13" t="str">
        <f ca="1">IF($A14=0,"",VLOOKUP(K14,Stores!A:B,2,0))</f>
        <v>Superb</v>
      </c>
      <c r="M14" s="14">
        <f t="shared" ca="1" si="11"/>
        <v>17.500000000000007</v>
      </c>
      <c r="N14" s="14">
        <f t="shared" ca="1" si="12"/>
        <v>0</v>
      </c>
      <c r="O14" s="14">
        <f t="shared" ca="1" si="13"/>
        <v>9.9999999999999911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3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27.5</v>
      </c>
      <c r="Y14" s="17">
        <f ca="1">IF($A14=0,0,SUMIF('Week 1 Roster'!$AZ:$AZ,$B14,'Week 1 Roster'!$AE:$AE))</f>
        <v>17.500000000000007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9.9999999999999911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3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27.5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>
        <f>'Week 1 Roster'!A14</f>
        <v>10387</v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10032</v>
      </c>
      <c r="B15" s="28">
        <f t="shared" ca="1" si="9"/>
        <v>10032</v>
      </c>
      <c r="C15" s="28" t="str">
        <f ca="1">IF($A15=0,"",VLOOKUP($B15,Employees!$A:$G,2,FALSE))</f>
        <v>Reynardo</v>
      </c>
      <c r="D15" s="28" t="str">
        <f ca="1">IF($A15=0,"",VLOOKUP($B15,Employees!$A:$G,3,FALSE))</f>
        <v>Tjhin</v>
      </c>
      <c r="E15" s="26">
        <f ca="1">IF($A15=0,"",VLOOKUP($B15,Employees!$A:$G,5,FALSE))</f>
        <v>36733</v>
      </c>
      <c r="F15" s="13">
        <f ca="1">IF($E15="","",ROUNDDOWN(YEARFRAC($E15, 'Week 1 Roster'!$D$1-1, 1), 0))</f>
        <v>25</v>
      </c>
      <c r="G15" s="13">
        <f ca="1">IF($E15="","",ROUNDDOWN(YEARFRAC($E15, 'Week 1 Roster'!$D$1+14, 1), 0))</f>
        <v>25</v>
      </c>
      <c r="H15" s="13" t="b">
        <f t="shared" ca="1" si="10"/>
        <v>0</v>
      </c>
      <c r="I15" s="13">
        <f ca="1">IF($A15=0,"",VLOOKUP($B15,Employees!$A:$G,6,FALSE))</f>
        <v>76</v>
      </c>
      <c r="J15" s="13" t="str">
        <f ca="1">IF($A15=0,"",VLOOKUP($B15,Employees!$A:$G,7,FALSE))</f>
        <v>GCM</v>
      </c>
      <c r="K15" s="13">
        <f ca="1">IF($A15=0,"",IF(ISNA(VLOOKUP(A15,'Week 1 Roster'!A:C,2,0)),VLOOKUP(A15,'Week 2 Roster'!A:C,2,0),VLOOKUP(A15,'Week 1 Roster'!A:C,2,0)))</f>
        <v>501</v>
      </c>
      <c r="L15" s="13" t="str">
        <f ca="1">IF($A15=0,"",VLOOKUP(K15,Stores!A:B,2,0))</f>
        <v>Superb</v>
      </c>
      <c r="M15" s="14">
        <f t="shared" ca="1" si="11"/>
        <v>3.4999999999999991</v>
      </c>
      <c r="N15" s="14">
        <f t="shared" ca="1" si="12"/>
        <v>5.8333333333333588</v>
      </c>
      <c r="O15" s="14">
        <f t="shared" ca="1" si="13"/>
        <v>0.34999999999992149</v>
      </c>
      <c r="P15" s="14">
        <f t="shared" ca="1" si="14"/>
        <v>0</v>
      </c>
      <c r="Q15" s="14">
        <f t="shared" ca="1" si="15"/>
        <v>2.0000000000000009</v>
      </c>
      <c r="R15" s="14">
        <f t="shared" ca="1" si="16"/>
        <v>0</v>
      </c>
      <c r="S15" s="28">
        <f t="shared" ca="1" si="17"/>
        <v>2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11.68333333333328</v>
      </c>
      <c r="Y15" s="17">
        <f ca="1">IF($A15=0,0,SUMIF('Week 1 Roster'!$AZ:$AZ,$B15,'Week 1 Roster'!$AE:$AE))</f>
        <v>3.4999999999999991</v>
      </c>
      <c r="Z15" s="17">
        <f ca="1">IF($A15=0,0,SUMIF('Week 1 Roster'!$AZ:$AZ,$B15,'Week 1 Roster'!$AG:$AG))</f>
        <v>5.8333333333333588</v>
      </c>
      <c r="AA15" s="17">
        <f ca="1">IF($A15=0,0,SUMIF('Week 1 Roster'!$AZ:$AZ,$B15,'Week 1 Roster'!$AI:$AI))</f>
        <v>0.34999999999992149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2.0000000000000009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2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11.68333333333328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>
        <f>'Week 1 Roster'!A15</f>
        <v>10032</v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2" priority="1" operator="equal">
      <formula>FALSE</formula>
    </cfRule>
  </conditionalFormatting>
  <conditionalFormatting sqref="M1:AU1048576">
    <cfRule type="cellIs" dxfId="1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3" zoomScale="186" zoomScaleNormal="186" workbookViewId="0">
      <selection activeCell="B522" sqref="B522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2025-11-03T03:24:11Z</dcterms:modified>
</cp:coreProperties>
</file>