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All Stores Final Roster 1901-0102/"/>
    </mc:Choice>
  </mc:AlternateContent>
  <xr:revisionPtr revIDLastSave="0" documentId="13_ncr:1_{C8F9B6DF-9310-2D4C-9E63-8C7E76CA5998}" xr6:coauthVersionLast="47" xr6:coauthVersionMax="47" xr10:uidLastSave="{00000000-0000-0000-0000-000000000000}"/>
  <bookViews>
    <workbookView xWindow="0" yWindow="740" windowWidth="29400" windowHeight="17200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100" i="2" l="1"/>
  <c r="AZ99" i="2"/>
  <c r="AZ98" i="2"/>
  <c r="AZ97" i="2"/>
  <c r="AZ96" i="2"/>
  <c r="A96" i="2" s="1"/>
  <c r="AW96" i="12" s="1"/>
  <c r="AZ95" i="2"/>
  <c r="A95" i="2" s="1"/>
  <c r="AW95" i="12" s="1"/>
  <c r="AZ94" i="2"/>
  <c r="A94" i="2" s="1"/>
  <c r="AW94" i="12" s="1"/>
  <c r="AZ93" i="2"/>
  <c r="A93" i="2" s="1"/>
  <c r="AW93" i="12" s="1"/>
  <c r="AZ92" i="2"/>
  <c r="AZ91" i="2"/>
  <c r="AZ90" i="2"/>
  <c r="AZ89" i="2"/>
  <c r="AZ88" i="2"/>
  <c r="A88" i="2" s="1"/>
  <c r="AW88" i="12" s="1"/>
  <c r="AZ87" i="2"/>
  <c r="AZ86" i="2"/>
  <c r="A86" i="2" s="1"/>
  <c r="AW86" i="12" s="1"/>
  <c r="AZ85" i="2"/>
  <c r="A85" i="2" s="1"/>
  <c r="AW85" i="12" s="1"/>
  <c r="AZ84" i="2"/>
  <c r="AZ83" i="2"/>
  <c r="AZ82" i="2"/>
  <c r="A82" i="2" s="1"/>
  <c r="AW82" i="12" s="1"/>
  <c r="AZ81" i="2"/>
  <c r="AZ80" i="2"/>
  <c r="A80" i="2" s="1"/>
  <c r="AW80" i="12" s="1"/>
  <c r="AZ79" i="2"/>
  <c r="AZ78" i="2"/>
  <c r="A78" i="2" s="1"/>
  <c r="AW78" i="12" s="1"/>
  <c r="AZ77" i="2"/>
  <c r="A77" i="2" s="1"/>
  <c r="AW77" i="12" s="1"/>
  <c r="AZ76" i="2"/>
  <c r="A76" i="2" s="1"/>
  <c r="AW76" i="12" s="1"/>
  <c r="AZ75" i="2"/>
  <c r="AZ74" i="2"/>
  <c r="A74" i="2" s="1"/>
  <c r="AW74" i="12" s="1"/>
  <c r="AZ73" i="2"/>
  <c r="AZ72" i="2"/>
  <c r="AZ71" i="2"/>
  <c r="A71" i="2" s="1"/>
  <c r="AW71" i="12" s="1"/>
  <c r="AZ70" i="2"/>
  <c r="A70" i="2" s="1"/>
  <c r="AW70" i="12" s="1"/>
  <c r="AZ69" i="2"/>
  <c r="A69" i="2" s="1"/>
  <c r="AW69" i="12" s="1"/>
  <c r="AZ68" i="2"/>
  <c r="AZ67" i="2"/>
  <c r="AZ66" i="2"/>
  <c r="A66" i="2" s="1"/>
  <c r="AW66" i="12" s="1"/>
  <c r="AZ65" i="2"/>
  <c r="AZ64" i="2"/>
  <c r="A64" i="2" s="1"/>
  <c r="AW64" i="12" s="1"/>
  <c r="AZ63" i="2"/>
  <c r="AZ62" i="2"/>
  <c r="A62" i="2" s="1"/>
  <c r="AW62" i="12" s="1"/>
  <c r="AZ61" i="2"/>
  <c r="A61" i="2" s="1"/>
  <c r="AW61" i="12" s="1"/>
  <c r="AZ60" i="2"/>
  <c r="AZ59" i="2"/>
  <c r="AZ58" i="2"/>
  <c r="A58" i="2" s="1"/>
  <c r="AW58" i="12" s="1"/>
  <c r="AZ57" i="2"/>
  <c r="AZ56" i="2"/>
  <c r="A56" i="2" s="1"/>
  <c r="AW56" i="12" s="1"/>
  <c r="AZ55" i="2"/>
  <c r="AZ54" i="2"/>
  <c r="A54" i="2" s="1"/>
  <c r="AW54" i="12" s="1"/>
  <c r="AZ53" i="2"/>
  <c r="A53" i="2" s="1"/>
  <c r="AW53" i="12" s="1"/>
  <c r="AZ52" i="2"/>
  <c r="AZ51" i="2"/>
  <c r="AZ50" i="2"/>
  <c r="A50" i="2" s="1"/>
  <c r="AW50" i="12" s="1"/>
  <c r="AZ49" i="2"/>
  <c r="AZ48" i="2"/>
  <c r="A48" i="2" s="1"/>
  <c r="AW48" i="12" s="1"/>
  <c r="AZ47" i="2"/>
  <c r="AZ46" i="2"/>
  <c r="A46" i="2" s="1"/>
  <c r="AW46" i="12" s="1"/>
  <c r="AZ45" i="2"/>
  <c r="A45" i="2" s="1"/>
  <c r="AW45" i="12" s="1"/>
  <c r="AZ44" i="2"/>
  <c r="AZ43" i="2"/>
  <c r="AZ42" i="2"/>
  <c r="AZ41" i="2"/>
  <c r="A41" i="2" s="1"/>
  <c r="AW41" i="12" s="1"/>
  <c r="AZ40" i="2"/>
  <c r="A40" i="2" s="1"/>
  <c r="AW40" i="12" s="1"/>
  <c r="AZ39" i="2"/>
  <c r="AZ38" i="2"/>
  <c r="A38" i="2" s="1"/>
  <c r="AW38" i="12" s="1"/>
  <c r="AZ37" i="2"/>
  <c r="A37" i="2" s="1"/>
  <c r="AW37" i="12" s="1"/>
  <c r="AZ36" i="2"/>
  <c r="A36" i="2" s="1"/>
  <c r="AW36" i="12" s="1"/>
  <c r="AZ35" i="2"/>
  <c r="AZ34" i="2"/>
  <c r="A34" i="2" s="1"/>
  <c r="AW34" i="12" s="1"/>
  <c r="AZ33" i="2"/>
  <c r="AZ32" i="2"/>
  <c r="A32" i="2" s="1"/>
  <c r="AW32" i="12" s="1"/>
  <c r="AZ31" i="2"/>
  <c r="A31" i="2" s="1"/>
  <c r="AW31" i="12" s="1"/>
  <c r="AZ30" i="2"/>
  <c r="A30" i="2" s="1"/>
  <c r="AW30" i="12" s="1"/>
  <c r="AZ29" i="2"/>
  <c r="A29" i="2" s="1"/>
  <c r="AW29" i="12" s="1"/>
  <c r="AZ28" i="2"/>
  <c r="AZ27" i="2"/>
  <c r="AZ26" i="2"/>
  <c r="A26" i="2" s="1"/>
  <c r="AW26" i="12" s="1"/>
  <c r="AZ25" i="2"/>
  <c r="AZ24" i="2"/>
  <c r="A24" i="2" s="1"/>
  <c r="AW24" i="12" s="1"/>
  <c r="AZ23" i="2"/>
  <c r="A23" i="2" s="1"/>
  <c r="AW23" i="12" s="1"/>
  <c r="AZ22" i="2"/>
  <c r="A22" i="2" s="1"/>
  <c r="AW22" i="12" s="1"/>
  <c r="AZ21" i="2"/>
  <c r="A21" i="2" s="1"/>
  <c r="AW21" i="12" s="1"/>
  <c r="AZ20" i="2"/>
  <c r="AZ19" i="2"/>
  <c r="AZ18" i="2"/>
  <c r="A18" i="2" s="1"/>
  <c r="AW18" i="12" s="1"/>
  <c r="AZ17" i="2"/>
  <c r="AZ16" i="2"/>
  <c r="A16" i="2" s="1"/>
  <c r="AW16" i="12" s="1"/>
  <c r="AZ15" i="2"/>
  <c r="A15" i="2" s="1"/>
  <c r="AW15" i="12" s="1"/>
  <c r="AZ14" i="2"/>
  <c r="A14" i="2" s="1"/>
  <c r="AW14" i="12" s="1"/>
  <c r="AZ13" i="2"/>
  <c r="A13" i="2" s="1"/>
  <c r="AW13" i="12" s="1"/>
  <c r="AZ12" i="2"/>
  <c r="A12" i="2" s="1"/>
  <c r="AW12" i="12" s="1"/>
  <c r="AZ11" i="2"/>
  <c r="AZ10" i="2"/>
  <c r="A10" i="2" s="1"/>
  <c r="AW10" i="12" s="1"/>
  <c r="AZ9" i="2"/>
  <c r="A9" i="2" s="1"/>
  <c r="AW9" i="12" s="1"/>
  <c r="AZ8" i="2"/>
  <c r="A8" i="2" s="1"/>
  <c r="AW8" i="12" s="1"/>
  <c r="AZ7" i="2"/>
  <c r="A7" i="2" s="1"/>
  <c r="AW7" i="12" s="1"/>
  <c r="AZ6" i="2"/>
  <c r="A6" i="2" s="1"/>
  <c r="AW6" i="12" s="1"/>
  <c r="AZ5" i="2"/>
  <c r="A5" i="2" s="1"/>
  <c r="AW5" i="12" s="1"/>
  <c r="AZ4" i="2"/>
  <c r="A4" i="2" s="1"/>
  <c r="AW4" i="12" s="1"/>
  <c r="AZ3" i="2"/>
  <c r="A3" i="2" s="1"/>
  <c r="AW3" i="12" s="1"/>
  <c r="AZ100" i="18"/>
  <c r="A100" i="18" s="1"/>
  <c r="AX100" i="12" s="1"/>
  <c r="AZ99" i="18"/>
  <c r="A99" i="18" s="1"/>
  <c r="AX99" i="12" s="1"/>
  <c r="AZ98" i="18"/>
  <c r="A98" i="18" s="1"/>
  <c r="AX98" i="12" s="1"/>
  <c r="AZ97" i="18"/>
  <c r="AZ96" i="18"/>
  <c r="A96" i="18" s="1"/>
  <c r="AX96" i="12" s="1"/>
  <c r="AZ95" i="18"/>
  <c r="A95" i="18" s="1"/>
  <c r="AX95" i="12" s="1"/>
  <c r="AZ94" i="18"/>
  <c r="A94" i="18" s="1"/>
  <c r="AX94" i="12" s="1"/>
  <c r="AZ93" i="18"/>
  <c r="AZ92" i="18"/>
  <c r="A92" i="18" s="1"/>
  <c r="AX92" i="12" s="1"/>
  <c r="AZ91" i="18"/>
  <c r="AZ90" i="18"/>
  <c r="A90" i="18" s="1"/>
  <c r="AX90" i="12" s="1"/>
  <c r="AZ89" i="18"/>
  <c r="A89" i="18" s="1"/>
  <c r="AX89" i="12" s="1"/>
  <c r="AZ88" i="18"/>
  <c r="A88" i="18" s="1"/>
  <c r="AX88" i="12" s="1"/>
  <c r="AZ87" i="18"/>
  <c r="A87" i="18" s="1"/>
  <c r="AX87" i="12" s="1"/>
  <c r="AZ86" i="18"/>
  <c r="A86" i="18" s="1"/>
  <c r="AX86" i="12" s="1"/>
  <c r="AZ85" i="18"/>
  <c r="AZ84" i="18"/>
  <c r="A84" i="18" s="1"/>
  <c r="AX84" i="12" s="1"/>
  <c r="AZ83" i="18"/>
  <c r="A83" i="18" s="1"/>
  <c r="AX83" i="12" s="1"/>
  <c r="AZ82" i="18"/>
  <c r="A82" i="18" s="1"/>
  <c r="AX82" i="12" s="1"/>
  <c r="AZ81" i="18"/>
  <c r="AZ80" i="18"/>
  <c r="A80" i="18" s="1"/>
  <c r="AX80" i="12" s="1"/>
  <c r="AZ79" i="18"/>
  <c r="A79" i="18" s="1"/>
  <c r="AX79" i="12" s="1"/>
  <c r="AZ78" i="18"/>
  <c r="A78" i="18" s="1"/>
  <c r="AX78" i="12" s="1"/>
  <c r="AZ77" i="18"/>
  <c r="A77" i="18" s="1"/>
  <c r="AX77" i="12" s="1"/>
  <c r="AZ76" i="18"/>
  <c r="A76" i="18" s="1"/>
  <c r="AX76" i="12" s="1"/>
  <c r="AZ75" i="18"/>
  <c r="A75" i="18" s="1"/>
  <c r="AX75" i="12" s="1"/>
  <c r="AZ74" i="18"/>
  <c r="A74" i="18" s="1"/>
  <c r="AX74" i="12" s="1"/>
  <c r="AZ73" i="18"/>
  <c r="A73" i="18" s="1"/>
  <c r="AX73" i="12" s="1"/>
  <c r="AZ72" i="18"/>
  <c r="A72" i="18" s="1"/>
  <c r="AX72" i="12" s="1"/>
  <c r="AZ71" i="18"/>
  <c r="A71" i="18" s="1"/>
  <c r="AX71" i="12" s="1"/>
  <c r="AZ70" i="18"/>
  <c r="A70" i="18" s="1"/>
  <c r="AX70" i="12" s="1"/>
  <c r="AZ69" i="18"/>
  <c r="A69" i="18" s="1"/>
  <c r="AX69" i="12" s="1"/>
  <c r="AZ68" i="18"/>
  <c r="A68" i="18" s="1"/>
  <c r="AX68" i="12" s="1"/>
  <c r="AZ67" i="18"/>
  <c r="A67" i="18" s="1"/>
  <c r="AX67" i="12" s="1"/>
  <c r="AZ66" i="18"/>
  <c r="A66" i="18" s="1"/>
  <c r="AX66" i="12" s="1"/>
  <c r="AZ65" i="18"/>
  <c r="A65" i="18" s="1"/>
  <c r="AX65" i="12" s="1"/>
  <c r="AZ64" i="18"/>
  <c r="A64" i="18" s="1"/>
  <c r="AX64" i="12" s="1"/>
  <c r="AZ63" i="18"/>
  <c r="A63" i="18" s="1"/>
  <c r="AX63" i="12" s="1"/>
  <c r="AZ62" i="18"/>
  <c r="A62" i="18" s="1"/>
  <c r="AX62" i="12" s="1"/>
  <c r="AZ61" i="18"/>
  <c r="A61" i="18" s="1"/>
  <c r="AX61" i="12" s="1"/>
  <c r="AZ60" i="18"/>
  <c r="A60" i="18" s="1"/>
  <c r="AX60" i="12" s="1"/>
  <c r="AZ59" i="18"/>
  <c r="A59" i="18" s="1"/>
  <c r="AX59" i="12" s="1"/>
  <c r="AZ58" i="18"/>
  <c r="A58" i="18" s="1"/>
  <c r="AX58" i="12" s="1"/>
  <c r="AZ57" i="18"/>
  <c r="A57" i="18" s="1"/>
  <c r="AX57" i="12" s="1"/>
  <c r="AZ56" i="18"/>
  <c r="A56" i="18" s="1"/>
  <c r="AX56" i="12" s="1"/>
  <c r="AZ55" i="18"/>
  <c r="A55" i="18" s="1"/>
  <c r="AX55" i="12" s="1"/>
  <c r="AZ54" i="18"/>
  <c r="A54" i="18" s="1"/>
  <c r="AX54" i="12" s="1"/>
  <c r="AZ53" i="18"/>
  <c r="A53" i="18" s="1"/>
  <c r="AX53" i="12" s="1"/>
  <c r="AZ52" i="18"/>
  <c r="A52" i="18" s="1"/>
  <c r="AX52" i="12" s="1"/>
  <c r="AZ51" i="18"/>
  <c r="A51" i="18" s="1"/>
  <c r="AX51" i="12" s="1"/>
  <c r="AZ50" i="18"/>
  <c r="A50" i="18" s="1"/>
  <c r="AX50" i="12" s="1"/>
  <c r="AZ49" i="18"/>
  <c r="A49" i="18" s="1"/>
  <c r="AX49" i="12" s="1"/>
  <c r="AZ48" i="18"/>
  <c r="A48" i="18" s="1"/>
  <c r="AX48" i="12" s="1"/>
  <c r="AZ47" i="18"/>
  <c r="A47" i="18" s="1"/>
  <c r="AX47" i="12" s="1"/>
  <c r="AZ46" i="18"/>
  <c r="A46" i="18" s="1"/>
  <c r="AX46" i="12" s="1"/>
  <c r="AZ45" i="18"/>
  <c r="A45" i="18" s="1"/>
  <c r="AX45" i="12" s="1"/>
  <c r="AZ44" i="18"/>
  <c r="A44" i="18" s="1"/>
  <c r="AX44" i="12" s="1"/>
  <c r="AZ43" i="18"/>
  <c r="A43" i="18" s="1"/>
  <c r="AX43" i="12" s="1"/>
  <c r="AZ42" i="18"/>
  <c r="A42" i="18" s="1"/>
  <c r="AX42" i="12" s="1"/>
  <c r="AZ41" i="18"/>
  <c r="A41" i="18" s="1"/>
  <c r="AX41" i="12" s="1"/>
  <c r="AZ40" i="18"/>
  <c r="A40" i="18" s="1"/>
  <c r="AX40" i="12" s="1"/>
  <c r="AZ39" i="18"/>
  <c r="A39" i="18" s="1"/>
  <c r="AX39" i="12" s="1"/>
  <c r="AZ38" i="18"/>
  <c r="A38" i="18" s="1"/>
  <c r="AX38" i="12" s="1"/>
  <c r="AZ37" i="18"/>
  <c r="A37" i="18" s="1"/>
  <c r="AX37" i="12" s="1"/>
  <c r="AZ36" i="18"/>
  <c r="A36" i="18" s="1"/>
  <c r="AX36" i="12" s="1"/>
  <c r="AZ35" i="18"/>
  <c r="A35" i="18" s="1"/>
  <c r="AX35" i="12" s="1"/>
  <c r="AZ34" i="18"/>
  <c r="A34" i="18" s="1"/>
  <c r="AX34" i="12" s="1"/>
  <c r="AZ33" i="18"/>
  <c r="A33" i="18" s="1"/>
  <c r="AX33" i="12" s="1"/>
  <c r="AZ32" i="18"/>
  <c r="A32" i="18" s="1"/>
  <c r="AX32" i="12" s="1"/>
  <c r="AZ31" i="18"/>
  <c r="A31" i="18" s="1"/>
  <c r="AX31" i="12" s="1"/>
  <c r="AZ30" i="18"/>
  <c r="A30" i="18" s="1"/>
  <c r="AX30" i="12" s="1"/>
  <c r="AZ29" i="18"/>
  <c r="A29" i="18" s="1"/>
  <c r="AX29" i="12" s="1"/>
  <c r="AZ28" i="18"/>
  <c r="A28" i="18" s="1"/>
  <c r="AX28" i="12" s="1"/>
  <c r="AZ27" i="18"/>
  <c r="A27" i="18" s="1"/>
  <c r="AX27" i="12" s="1"/>
  <c r="AZ26" i="18"/>
  <c r="A26" i="18" s="1"/>
  <c r="AX26" i="12" s="1"/>
  <c r="AZ25" i="18"/>
  <c r="A25" i="18" s="1"/>
  <c r="AX25" i="12" s="1"/>
  <c r="AZ24" i="18"/>
  <c r="A24" i="18" s="1"/>
  <c r="AX24" i="12" s="1"/>
  <c r="AZ23" i="18"/>
  <c r="A23" i="18" s="1"/>
  <c r="AX23" i="12" s="1"/>
  <c r="AZ22" i="18"/>
  <c r="A22" i="18" s="1"/>
  <c r="AX22" i="12" s="1"/>
  <c r="AZ21" i="18"/>
  <c r="A21" i="18" s="1"/>
  <c r="AX21" i="12" s="1"/>
  <c r="AZ20" i="18"/>
  <c r="A20" i="18" s="1"/>
  <c r="AX20" i="12" s="1"/>
  <c r="AZ19" i="18"/>
  <c r="A19" i="18" s="1"/>
  <c r="AX19" i="12" s="1"/>
  <c r="AZ18" i="18"/>
  <c r="A18" i="18" s="1"/>
  <c r="AX18" i="12" s="1"/>
  <c r="AZ17" i="18"/>
  <c r="A17" i="18" s="1"/>
  <c r="AX17" i="12" s="1"/>
  <c r="AZ16" i="18"/>
  <c r="A16" i="18" s="1"/>
  <c r="AX16" i="12" s="1"/>
  <c r="AZ15" i="18"/>
  <c r="A15" i="18" s="1"/>
  <c r="AX15" i="12" s="1"/>
  <c r="AZ14" i="18"/>
  <c r="A14" i="18" s="1"/>
  <c r="AX14" i="12" s="1"/>
  <c r="AZ13" i="18"/>
  <c r="A13" i="18" s="1"/>
  <c r="AX13" i="12" s="1"/>
  <c r="AZ12" i="18"/>
  <c r="A12" i="18" s="1"/>
  <c r="AX12" i="12" s="1"/>
  <c r="AZ11" i="18"/>
  <c r="A11" i="18" s="1"/>
  <c r="AX11" i="12" s="1"/>
  <c r="AZ10" i="18"/>
  <c r="A10" i="18" s="1"/>
  <c r="AX10" i="12" s="1"/>
  <c r="AZ9" i="18"/>
  <c r="A9" i="18" s="1"/>
  <c r="AX9" i="12" s="1"/>
  <c r="AZ8" i="18"/>
  <c r="A8" i="18" s="1"/>
  <c r="AX8" i="12" s="1"/>
  <c r="AZ7" i="18"/>
  <c r="A7" i="18" s="1"/>
  <c r="AX7" i="12" s="1"/>
  <c r="AZ6" i="18"/>
  <c r="A6" i="18" s="1"/>
  <c r="AX6" i="12" s="1"/>
  <c r="AZ5" i="18"/>
  <c r="A5" i="18" s="1"/>
  <c r="AX5" i="12" s="1"/>
  <c r="AZ4" i="18"/>
  <c r="A4" i="18" s="1"/>
  <c r="AX4" i="12" s="1"/>
  <c r="AZ3" i="18"/>
  <c r="A3" i="18" s="1"/>
  <c r="AX3" i="12" s="1"/>
  <c r="AZ2" i="18"/>
  <c r="A2" i="18" s="1"/>
  <c r="AX2" i="12" s="1"/>
  <c r="AZ2" i="2"/>
  <c r="I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BN100" i="18"/>
  <c r="BN99" i="18"/>
  <c r="BN98" i="18"/>
  <c r="BN97" i="18"/>
  <c r="BN96" i="18"/>
  <c r="BN95" i="18"/>
  <c r="BN94" i="18"/>
  <c r="BN93" i="18"/>
  <c r="BN92" i="18"/>
  <c r="BN91" i="18"/>
  <c r="BN90" i="18"/>
  <c r="BN89" i="18"/>
  <c r="BN88" i="18"/>
  <c r="BN87" i="18"/>
  <c r="BM87" i="18" s="1"/>
  <c r="BN86" i="18"/>
  <c r="BN85" i="18"/>
  <c r="BN84" i="18"/>
  <c r="BN83" i="18"/>
  <c r="BN82" i="18"/>
  <c r="BN81" i="18"/>
  <c r="BM81" i="18" s="1"/>
  <c r="BN80" i="18"/>
  <c r="BN79" i="18"/>
  <c r="BN78" i="18"/>
  <c r="BN77" i="18"/>
  <c r="BN76" i="18"/>
  <c r="BN75" i="18"/>
  <c r="BN74" i="18"/>
  <c r="BN73" i="18"/>
  <c r="BN72" i="18"/>
  <c r="BN71" i="18"/>
  <c r="BN70" i="18"/>
  <c r="BN69" i="18"/>
  <c r="BN68" i="18"/>
  <c r="BN67" i="18"/>
  <c r="BN66" i="18"/>
  <c r="BN65" i="18"/>
  <c r="BN64" i="18"/>
  <c r="BN63" i="18"/>
  <c r="BN62" i="18"/>
  <c r="BN61" i="18"/>
  <c r="BN60" i="18"/>
  <c r="BN59" i="18"/>
  <c r="BN58" i="18"/>
  <c r="BN57" i="18"/>
  <c r="BN56" i="18"/>
  <c r="BN55" i="18"/>
  <c r="BN54" i="18"/>
  <c r="BN53" i="18"/>
  <c r="BN52" i="18"/>
  <c r="BN51" i="18"/>
  <c r="BN50" i="18"/>
  <c r="BN49" i="18"/>
  <c r="BN48" i="18"/>
  <c r="BN47" i="18"/>
  <c r="BM47" i="18" s="1"/>
  <c r="BN46" i="18"/>
  <c r="BN45" i="18"/>
  <c r="BN44" i="18"/>
  <c r="BN43" i="18"/>
  <c r="BN42" i="18"/>
  <c r="BN41" i="18"/>
  <c r="BN40" i="18"/>
  <c r="BN39" i="18"/>
  <c r="BN38" i="18"/>
  <c r="BN37" i="18"/>
  <c r="BN36" i="18"/>
  <c r="BN35" i="18"/>
  <c r="BN34" i="18"/>
  <c r="BN33" i="18"/>
  <c r="BN32" i="18"/>
  <c r="BN31" i="18"/>
  <c r="BN30" i="18"/>
  <c r="BN29" i="18"/>
  <c r="BN28" i="18"/>
  <c r="BN27" i="18"/>
  <c r="BN26" i="18"/>
  <c r="BN25" i="18"/>
  <c r="BN24" i="18"/>
  <c r="BN23" i="18"/>
  <c r="BN22" i="18"/>
  <c r="BN21" i="18"/>
  <c r="BN20" i="18"/>
  <c r="BN19" i="18"/>
  <c r="BN18" i="18"/>
  <c r="BN17" i="18"/>
  <c r="BN16" i="18"/>
  <c r="BN15" i="18"/>
  <c r="BN14" i="18"/>
  <c r="BN13" i="18"/>
  <c r="BN12" i="18"/>
  <c r="BN11" i="18"/>
  <c r="BN10" i="18"/>
  <c r="BN9" i="18"/>
  <c r="BN8" i="18"/>
  <c r="BN7" i="18"/>
  <c r="BN6" i="18"/>
  <c r="BN5" i="18"/>
  <c r="BN4" i="18"/>
  <c r="BN3" i="18"/>
  <c r="BN2" i="18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N2" i="2"/>
  <c r="BD3" i="2"/>
  <c r="CI100" i="18"/>
  <c r="CH100" i="18"/>
  <c r="CE100" i="18"/>
  <c r="CD100" i="18"/>
  <c r="CC100" i="18"/>
  <c r="BZ100" i="18"/>
  <c r="CA100" i="18" s="1"/>
  <c r="CB100" i="18" s="1"/>
  <c r="BY100" i="18"/>
  <c r="BX100" i="18"/>
  <c r="BV100" i="18"/>
  <c r="BW100" i="18" s="1"/>
  <c r="BU100" i="18"/>
  <c r="BT100" i="18"/>
  <c r="BS100" i="18"/>
  <c r="BP100" i="18"/>
  <c r="BO100" i="18"/>
  <c r="BL100" i="18"/>
  <c r="BM100" i="18" s="1"/>
  <c r="BK100" i="18"/>
  <c r="BJ100" i="18"/>
  <c r="BI100" i="18"/>
  <c r="BG100" i="18"/>
  <c r="BF100" i="18"/>
  <c r="BH100" i="18" s="1"/>
  <c r="BE100" i="18"/>
  <c r="BD100" i="18"/>
  <c r="BA100" i="18"/>
  <c r="CI99" i="18"/>
  <c r="CH99" i="18"/>
  <c r="CE99" i="18"/>
  <c r="CF99" i="18" s="1"/>
  <c r="CD99" i="18"/>
  <c r="CC99" i="18"/>
  <c r="BZ99" i="18"/>
  <c r="BY99" i="18"/>
  <c r="BX99" i="18"/>
  <c r="BU99" i="18"/>
  <c r="BV99" i="18" s="1"/>
  <c r="BW99" i="18" s="1"/>
  <c r="BT99" i="18"/>
  <c r="BS99" i="18"/>
  <c r="BQ99" i="18"/>
  <c r="BR99" i="18" s="1"/>
  <c r="BP99" i="18"/>
  <c r="BO99" i="18"/>
  <c r="BK99" i="18"/>
  <c r="BJ99" i="18"/>
  <c r="BI99" i="18"/>
  <c r="BG99" i="18"/>
  <c r="BF99" i="18"/>
  <c r="BE99" i="18"/>
  <c r="BD99" i="18"/>
  <c r="BB99" i="18"/>
  <c r="BA99" i="18"/>
  <c r="BC99" i="18" s="1"/>
  <c r="CI98" i="18"/>
  <c r="CH98" i="18"/>
  <c r="CE98" i="18"/>
  <c r="CD98" i="18"/>
  <c r="CC98" i="18"/>
  <c r="BZ98" i="18"/>
  <c r="CA98" i="18" s="1"/>
  <c r="BY98" i="18"/>
  <c r="BX98" i="18"/>
  <c r="BU98" i="18"/>
  <c r="BT98" i="18"/>
  <c r="BS98" i="18"/>
  <c r="BP98" i="18"/>
  <c r="BQ98" i="18" s="1"/>
  <c r="BR98" i="18" s="1"/>
  <c r="BO98" i="18"/>
  <c r="BL98" i="18"/>
  <c r="BK98" i="18"/>
  <c r="BJ98" i="18"/>
  <c r="BI98" i="18"/>
  <c r="BF98" i="18"/>
  <c r="BE98" i="18"/>
  <c r="BD98" i="18"/>
  <c r="BB98" i="18"/>
  <c r="BA98" i="18"/>
  <c r="CI97" i="18"/>
  <c r="CH97" i="18"/>
  <c r="CF97" i="18"/>
  <c r="CE97" i="18"/>
  <c r="CG97" i="18" s="1"/>
  <c r="CD97" i="18"/>
  <c r="CC97" i="18"/>
  <c r="BZ97" i="18"/>
  <c r="BY97" i="18"/>
  <c r="BX97" i="18"/>
  <c r="BU97" i="18"/>
  <c r="BV97" i="18" s="1"/>
  <c r="BT97" i="18"/>
  <c r="BS97" i="18"/>
  <c r="BP97" i="18"/>
  <c r="BO97" i="18"/>
  <c r="BK97" i="18"/>
  <c r="BL97" i="18" s="1"/>
  <c r="BJ97" i="18"/>
  <c r="BI97" i="18"/>
  <c r="BG97" i="18"/>
  <c r="BH97" i="18" s="1"/>
  <c r="BF97" i="18"/>
  <c r="BE97" i="18"/>
  <c r="BD97" i="18"/>
  <c r="BA97" i="18"/>
  <c r="CI96" i="18"/>
  <c r="CH96" i="18"/>
  <c r="CF96" i="18"/>
  <c r="CE96" i="18"/>
  <c r="CD96" i="18"/>
  <c r="CC96" i="18"/>
  <c r="CA96" i="18"/>
  <c r="BZ96" i="18"/>
  <c r="CB96" i="18" s="1"/>
  <c r="BY96" i="18"/>
  <c r="BX96" i="18"/>
  <c r="BU96" i="18"/>
  <c r="BT96" i="18"/>
  <c r="BS96" i="18"/>
  <c r="BP96" i="18"/>
  <c r="BQ96" i="18" s="1"/>
  <c r="BO96" i="18"/>
  <c r="BK96" i="18"/>
  <c r="BJ96" i="18"/>
  <c r="BI96" i="18"/>
  <c r="BF96" i="18"/>
  <c r="BG96" i="18" s="1"/>
  <c r="BH96" i="18" s="1"/>
  <c r="BE96" i="18"/>
  <c r="BD96" i="18"/>
  <c r="BB96" i="18"/>
  <c r="BA96" i="18"/>
  <c r="CI95" i="18"/>
  <c r="CH95" i="18"/>
  <c r="CE95" i="18"/>
  <c r="CD95" i="18"/>
  <c r="CC95" i="18"/>
  <c r="CA95" i="18"/>
  <c r="BZ95" i="18"/>
  <c r="BY95" i="18"/>
  <c r="BX95" i="18"/>
  <c r="BV95" i="18"/>
  <c r="BU95" i="18"/>
  <c r="BW95" i="18" s="1"/>
  <c r="BT95" i="18"/>
  <c r="BS95" i="18"/>
  <c r="BP95" i="18"/>
  <c r="BO95" i="18"/>
  <c r="BK95" i="18"/>
  <c r="BL95" i="18" s="1"/>
  <c r="BJ95" i="18"/>
  <c r="BI95" i="18"/>
  <c r="BF95" i="18"/>
  <c r="BE95" i="18"/>
  <c r="BD95" i="18"/>
  <c r="BA95" i="18"/>
  <c r="BB95" i="18" s="1"/>
  <c r="BC95" i="18" s="1"/>
  <c r="CI94" i="18"/>
  <c r="CH94" i="18"/>
  <c r="CF94" i="18"/>
  <c r="CG94" i="18" s="1"/>
  <c r="CE94" i="18"/>
  <c r="CD94" i="18"/>
  <c r="CC94" i="18"/>
  <c r="BZ94" i="18"/>
  <c r="BY94" i="18"/>
  <c r="BX94" i="18"/>
  <c r="BV94" i="18"/>
  <c r="BU94" i="18"/>
  <c r="BT94" i="18"/>
  <c r="BS94" i="18"/>
  <c r="BQ94" i="18"/>
  <c r="BP94" i="18"/>
  <c r="BR94" i="18" s="1"/>
  <c r="BO94" i="18"/>
  <c r="BK94" i="18"/>
  <c r="BJ94" i="18"/>
  <c r="BI94" i="18"/>
  <c r="BF94" i="18"/>
  <c r="BG94" i="18" s="1"/>
  <c r="BE94" i="18"/>
  <c r="BD94" i="18"/>
  <c r="BA94" i="18"/>
  <c r="CI93" i="18"/>
  <c r="CH93" i="18"/>
  <c r="CE93" i="18"/>
  <c r="CF93" i="18" s="1"/>
  <c r="CG93" i="18" s="1"/>
  <c r="CD93" i="18"/>
  <c r="CC93" i="18"/>
  <c r="CA93" i="18"/>
  <c r="CB93" i="18" s="1"/>
  <c r="BZ93" i="18"/>
  <c r="BY93" i="18"/>
  <c r="BX93" i="18"/>
  <c r="BU93" i="18"/>
  <c r="BT93" i="18"/>
  <c r="BS93" i="18"/>
  <c r="BQ93" i="18"/>
  <c r="BP93" i="18"/>
  <c r="BO93" i="18"/>
  <c r="BL93" i="18"/>
  <c r="BK93" i="18"/>
  <c r="BM93" i="18" s="1"/>
  <c r="BJ93" i="18"/>
  <c r="BI93" i="18"/>
  <c r="BF93" i="18"/>
  <c r="BE93" i="18"/>
  <c r="BD93" i="18"/>
  <c r="BA93" i="18"/>
  <c r="BB93" i="18" s="1"/>
  <c r="CI92" i="18"/>
  <c r="CH92" i="18"/>
  <c r="CF92" i="18"/>
  <c r="CE92" i="18"/>
  <c r="CD92" i="18"/>
  <c r="CC92" i="18"/>
  <c r="BZ92" i="18"/>
  <c r="CA92" i="18" s="1"/>
  <c r="CB92" i="18" s="1"/>
  <c r="BY92" i="18"/>
  <c r="BX92" i="18"/>
  <c r="BV92" i="18"/>
  <c r="BU92" i="18"/>
  <c r="BT92" i="18"/>
  <c r="BS92" i="18"/>
  <c r="BP92" i="18"/>
  <c r="BO92" i="18"/>
  <c r="BL92" i="18"/>
  <c r="BK92" i="18"/>
  <c r="BJ92" i="18"/>
  <c r="BI92" i="18"/>
  <c r="BG92" i="18"/>
  <c r="BF92" i="18"/>
  <c r="BH92" i="18" s="1"/>
  <c r="BE92" i="18"/>
  <c r="BD92" i="18"/>
  <c r="BA92" i="18"/>
  <c r="CI91" i="18"/>
  <c r="CH91" i="18"/>
  <c r="CE91" i="18"/>
  <c r="CF91" i="18" s="1"/>
  <c r="CD91" i="18"/>
  <c r="CC91" i="18"/>
  <c r="CA91" i="18"/>
  <c r="BZ91" i="18"/>
  <c r="BY91" i="18"/>
  <c r="BX91" i="18"/>
  <c r="BU91" i="18"/>
  <c r="BV91" i="18" s="1"/>
  <c r="BW91" i="18" s="1"/>
  <c r="BT91" i="18"/>
  <c r="BS91" i="18"/>
  <c r="BQ91" i="18"/>
  <c r="BR91" i="18" s="1"/>
  <c r="BP91" i="18"/>
  <c r="BO91" i="18"/>
  <c r="BK91" i="18"/>
  <c r="BJ91" i="18"/>
  <c r="BI91" i="18"/>
  <c r="BG91" i="18"/>
  <c r="BF91" i="18"/>
  <c r="BE91" i="18"/>
  <c r="BD91" i="18"/>
  <c r="BB91" i="18"/>
  <c r="BA91" i="18"/>
  <c r="BC91" i="18" s="1"/>
  <c r="CI90" i="18"/>
  <c r="CH90" i="18"/>
  <c r="CF90" i="18"/>
  <c r="CE90" i="18"/>
  <c r="CD90" i="18"/>
  <c r="CC90" i="18"/>
  <c r="CB90" i="18"/>
  <c r="BZ90" i="18"/>
  <c r="CA90" i="18" s="1"/>
  <c r="BY90" i="18"/>
  <c r="BX90" i="18"/>
  <c r="BU90" i="18"/>
  <c r="BT90" i="18"/>
  <c r="BS90" i="18"/>
  <c r="BR90" i="18"/>
  <c r="BP90" i="18"/>
  <c r="BQ90" i="18" s="1"/>
  <c r="BO90" i="18"/>
  <c r="BL90" i="18"/>
  <c r="BM90" i="18" s="1"/>
  <c r="BK90" i="18"/>
  <c r="BJ90" i="18"/>
  <c r="BI90" i="18"/>
  <c r="BF90" i="18"/>
  <c r="BE90" i="18"/>
  <c r="BD90" i="18"/>
  <c r="BB90" i="18"/>
  <c r="BA90" i="18"/>
  <c r="CI89" i="18"/>
  <c r="CH89" i="18"/>
  <c r="CE89" i="18"/>
  <c r="CD89" i="18"/>
  <c r="CC89" i="18"/>
  <c r="CA89" i="18"/>
  <c r="BZ89" i="18"/>
  <c r="CB89" i="18" s="1"/>
  <c r="BY89" i="18"/>
  <c r="BX89" i="18"/>
  <c r="BU89" i="18"/>
  <c r="BT89" i="18"/>
  <c r="BS89" i="18"/>
  <c r="BP89" i="18"/>
  <c r="BO89" i="18"/>
  <c r="BK89" i="18"/>
  <c r="BL89" i="18" s="1"/>
  <c r="BM89" i="18" s="1"/>
  <c r="BJ89" i="18"/>
  <c r="BI89" i="18"/>
  <c r="BG89" i="18"/>
  <c r="BH89" i="18" s="1"/>
  <c r="BF89" i="18"/>
  <c r="BE89" i="18"/>
  <c r="BD89" i="18"/>
  <c r="BA89" i="18"/>
  <c r="CI88" i="18"/>
  <c r="CH88" i="18"/>
  <c r="CF88" i="18"/>
  <c r="CE88" i="18"/>
  <c r="CD88" i="18"/>
  <c r="CC88" i="18"/>
  <c r="CA88" i="18"/>
  <c r="CB88" i="18" s="1"/>
  <c r="BZ88" i="18"/>
  <c r="BY88" i="18"/>
  <c r="BX88" i="18"/>
  <c r="BV88" i="18"/>
  <c r="BU88" i="18"/>
  <c r="BW88" i="18" s="1"/>
  <c r="BT88" i="18"/>
  <c r="BS88" i="18"/>
  <c r="BR88" i="18"/>
  <c r="BP88" i="18"/>
  <c r="BQ88" i="18" s="1"/>
  <c r="BO88" i="18"/>
  <c r="BL88" i="18"/>
  <c r="BK88" i="18"/>
  <c r="BJ88" i="18"/>
  <c r="BI88" i="18"/>
  <c r="BH88" i="18"/>
  <c r="BF88" i="18"/>
  <c r="BG88" i="18" s="1"/>
  <c r="BE88" i="18"/>
  <c r="BD88" i="18"/>
  <c r="BC88" i="18"/>
  <c r="BB88" i="18"/>
  <c r="BA88" i="18"/>
  <c r="CI87" i="18"/>
  <c r="CH87" i="18"/>
  <c r="CE87" i="18"/>
  <c r="CD87" i="18"/>
  <c r="CC87" i="18"/>
  <c r="CA87" i="18"/>
  <c r="CB87" i="18" s="1"/>
  <c r="BZ87" i="18"/>
  <c r="BY87" i="18"/>
  <c r="BX87" i="18"/>
  <c r="BW87" i="18"/>
  <c r="BV87" i="18"/>
  <c r="BU87" i="18"/>
  <c r="BT87" i="18"/>
  <c r="BS87" i="18"/>
  <c r="BQ87" i="18"/>
  <c r="BP87" i="18"/>
  <c r="BR87" i="18" s="1"/>
  <c r="BO87" i="18"/>
  <c r="BK87" i="18"/>
  <c r="BL87" i="18" s="1"/>
  <c r="BJ87" i="18"/>
  <c r="BI87" i="18"/>
  <c r="BF87" i="18"/>
  <c r="BE87" i="18"/>
  <c r="BC87" i="18" s="1"/>
  <c r="BD87" i="18"/>
  <c r="BA87" i="18"/>
  <c r="BB87" i="18" s="1"/>
  <c r="CI86" i="18"/>
  <c r="CH86" i="18"/>
  <c r="CF86" i="18"/>
  <c r="CG86" i="18" s="1"/>
  <c r="CE86" i="18"/>
  <c r="CD86" i="18"/>
  <c r="CC86" i="18"/>
  <c r="BZ86" i="18"/>
  <c r="BY86" i="18"/>
  <c r="BX86" i="18"/>
  <c r="BV86" i="18"/>
  <c r="BU86" i="18"/>
  <c r="BT86" i="18"/>
  <c r="BS86" i="18"/>
  <c r="BP86" i="18"/>
  <c r="BO86" i="18"/>
  <c r="BL86" i="18"/>
  <c r="BK86" i="18"/>
  <c r="BJ86" i="18"/>
  <c r="BI86" i="18"/>
  <c r="BF86" i="18"/>
  <c r="BG86" i="18" s="1"/>
  <c r="BE86" i="18"/>
  <c r="BD86" i="18"/>
  <c r="BB86" i="18"/>
  <c r="BA86" i="18"/>
  <c r="CI85" i="18"/>
  <c r="CH85" i="18"/>
  <c r="CE85" i="18"/>
  <c r="CF85" i="18" s="1"/>
  <c r="CD85" i="18"/>
  <c r="CC85" i="18"/>
  <c r="CB85" i="18"/>
  <c r="CA85" i="18"/>
  <c r="BZ85" i="18"/>
  <c r="BY85" i="18"/>
  <c r="BX85" i="18"/>
  <c r="BU85" i="18"/>
  <c r="BT85" i="18"/>
  <c r="BS85" i="18"/>
  <c r="BQ85" i="18"/>
  <c r="BR85" i="18" s="1"/>
  <c r="BP85" i="18"/>
  <c r="BO85" i="18"/>
  <c r="BK85" i="18"/>
  <c r="BJ85" i="18"/>
  <c r="BI85" i="18"/>
  <c r="BG85" i="18"/>
  <c r="BF85" i="18"/>
  <c r="BH85" i="18" s="1"/>
  <c r="BE85" i="18"/>
  <c r="BD85" i="18"/>
  <c r="BA85" i="18"/>
  <c r="BB85" i="18" s="1"/>
  <c r="CI84" i="18"/>
  <c r="CH84" i="18"/>
  <c r="CE84" i="18"/>
  <c r="CD84" i="18"/>
  <c r="CC84" i="18"/>
  <c r="BZ84" i="18"/>
  <c r="CA84" i="18" s="1"/>
  <c r="CB84" i="18" s="1"/>
  <c r="BY84" i="18"/>
  <c r="BX84" i="18"/>
  <c r="BV84" i="18"/>
  <c r="BU84" i="18"/>
  <c r="BT84" i="18"/>
  <c r="BS84" i="18"/>
  <c r="BP84" i="18"/>
  <c r="BO84" i="18"/>
  <c r="BL84" i="18"/>
  <c r="BK84" i="18"/>
  <c r="BJ84" i="18"/>
  <c r="BI84" i="18"/>
  <c r="BG84" i="18"/>
  <c r="BF84" i="18"/>
  <c r="BH84" i="18" s="1"/>
  <c r="BE84" i="18"/>
  <c r="BD84" i="18"/>
  <c r="BB84" i="18"/>
  <c r="BA84" i="18"/>
  <c r="CI83" i="18"/>
  <c r="CH83" i="18"/>
  <c r="CG83" i="18"/>
  <c r="CE83" i="18"/>
  <c r="CF83" i="18" s="1"/>
  <c r="CD83" i="18"/>
  <c r="CC83" i="18"/>
  <c r="CA83" i="18"/>
  <c r="U83" i="18" s="1"/>
  <c r="BZ83" i="18"/>
  <c r="BY83" i="18"/>
  <c r="BX83" i="18"/>
  <c r="BW83" i="18"/>
  <c r="BU83" i="18"/>
  <c r="BV83" i="18" s="1"/>
  <c r="BT83" i="18"/>
  <c r="BS83" i="18"/>
  <c r="BR83" i="18"/>
  <c r="BQ83" i="18"/>
  <c r="BP83" i="18"/>
  <c r="BO83" i="18"/>
  <c r="BK83" i="18"/>
  <c r="BJ83" i="18"/>
  <c r="BI83" i="18"/>
  <c r="BG83" i="18"/>
  <c r="BF83" i="18"/>
  <c r="BE83" i="18"/>
  <c r="BD83" i="18"/>
  <c r="BA83" i="18"/>
  <c r="CI82" i="18"/>
  <c r="CH82" i="18"/>
  <c r="CF82" i="18"/>
  <c r="CE82" i="18"/>
  <c r="CD82" i="18"/>
  <c r="CC82" i="18"/>
  <c r="BZ82" i="18"/>
  <c r="BY82" i="18"/>
  <c r="BX82" i="18"/>
  <c r="BU82" i="18"/>
  <c r="BT82" i="18"/>
  <c r="BS82" i="18"/>
  <c r="BP82" i="18"/>
  <c r="BQ82" i="18" s="1"/>
  <c r="BR82" i="18" s="1"/>
  <c r="BO82" i="18"/>
  <c r="BL82" i="18"/>
  <c r="BM82" i="18" s="1"/>
  <c r="BK82" i="18"/>
  <c r="BJ82" i="18"/>
  <c r="BI82" i="18"/>
  <c r="BF82" i="18"/>
  <c r="BE82" i="18"/>
  <c r="BD82" i="18"/>
  <c r="BB82" i="18"/>
  <c r="BA82" i="18"/>
  <c r="CI81" i="18"/>
  <c r="CH81" i="18"/>
  <c r="CF81" i="18"/>
  <c r="CE81" i="18"/>
  <c r="CG81" i="18" s="1"/>
  <c r="CD81" i="18"/>
  <c r="CC81" i="18"/>
  <c r="CA81" i="18"/>
  <c r="BZ81" i="18"/>
  <c r="BY81" i="18"/>
  <c r="BX81" i="18"/>
  <c r="BW81" i="18"/>
  <c r="BU81" i="18"/>
  <c r="BV81" i="18" s="1"/>
  <c r="BT81" i="18"/>
  <c r="BS81" i="18"/>
  <c r="BP81" i="18"/>
  <c r="BO81" i="18"/>
  <c r="BK81" i="18"/>
  <c r="BL81" i="18" s="1"/>
  <c r="BJ81" i="18"/>
  <c r="BI81" i="18"/>
  <c r="BG81" i="18"/>
  <c r="BH81" i="18" s="1"/>
  <c r="BF81" i="18"/>
  <c r="BE81" i="18"/>
  <c r="BD81" i="18"/>
  <c r="BA81" i="18"/>
  <c r="CI80" i="18"/>
  <c r="CH80" i="18"/>
  <c r="CF80" i="18"/>
  <c r="CE80" i="18"/>
  <c r="CD80" i="18"/>
  <c r="CC80" i="18"/>
  <c r="BZ80" i="18"/>
  <c r="CA80" i="18" s="1"/>
  <c r="BY80" i="18"/>
  <c r="BX80" i="18"/>
  <c r="BV80" i="18"/>
  <c r="BU80" i="18"/>
  <c r="BW80" i="18" s="1"/>
  <c r="BT80" i="18"/>
  <c r="BS80" i="18"/>
  <c r="BP80" i="18"/>
  <c r="BO80" i="18"/>
  <c r="BK80" i="18"/>
  <c r="BJ80" i="18"/>
  <c r="BI80" i="18"/>
  <c r="BF80" i="18"/>
  <c r="BG80" i="18" s="1"/>
  <c r="BH80" i="18" s="1"/>
  <c r="BE80" i="18"/>
  <c r="BD80" i="18"/>
  <c r="BB80" i="18"/>
  <c r="BC80" i="18" s="1"/>
  <c r="BA80" i="18"/>
  <c r="CI79" i="18"/>
  <c r="CH79" i="18"/>
  <c r="CE79" i="18"/>
  <c r="CD79" i="18"/>
  <c r="CC79" i="18"/>
  <c r="CA79" i="18"/>
  <c r="BZ79" i="18"/>
  <c r="BY79" i="18"/>
  <c r="BX79" i="18"/>
  <c r="BV79" i="18"/>
  <c r="BW79" i="18" s="1"/>
  <c r="BU79" i="18"/>
  <c r="BT79" i="18"/>
  <c r="BS79" i="18"/>
  <c r="BQ79" i="18"/>
  <c r="BP79" i="18"/>
  <c r="BR79" i="18" s="1"/>
  <c r="BO79" i="18"/>
  <c r="BK79" i="18"/>
  <c r="BL79" i="18" s="1"/>
  <c r="BJ79" i="18"/>
  <c r="BI79" i="18"/>
  <c r="BG79" i="18"/>
  <c r="BF79" i="18"/>
  <c r="BE79" i="18"/>
  <c r="BC79" i="18" s="1"/>
  <c r="BD79" i="18"/>
  <c r="BA79" i="18"/>
  <c r="BB79" i="18" s="1"/>
  <c r="CI78" i="18"/>
  <c r="CH78" i="18"/>
  <c r="CG78" i="18"/>
  <c r="CF78" i="18"/>
  <c r="CE78" i="18"/>
  <c r="CD78" i="18"/>
  <c r="CC78" i="18"/>
  <c r="BZ78" i="18"/>
  <c r="BY78" i="18"/>
  <c r="BX78" i="18"/>
  <c r="BV78" i="18"/>
  <c r="BW78" i="18" s="1"/>
  <c r="BU78" i="18"/>
  <c r="BT78" i="18"/>
  <c r="BS78" i="18"/>
  <c r="BR78" i="18"/>
  <c r="BQ78" i="18"/>
  <c r="BP78" i="18"/>
  <c r="BO78" i="18"/>
  <c r="BL78" i="18"/>
  <c r="BK78" i="18"/>
  <c r="BM78" i="18" s="1"/>
  <c r="BJ78" i="18"/>
  <c r="BI78" i="18"/>
  <c r="BH78" i="18" s="1"/>
  <c r="BF78" i="18"/>
  <c r="BG78" i="18" s="1"/>
  <c r="BE78" i="18"/>
  <c r="BD78" i="18"/>
  <c r="BA78" i="18"/>
  <c r="CI77" i="18"/>
  <c r="CG77" i="18" s="1"/>
  <c r="CH77" i="18"/>
  <c r="CE77" i="18"/>
  <c r="CF77" i="18" s="1"/>
  <c r="CD77" i="18"/>
  <c r="CC77" i="18"/>
  <c r="CA77" i="18"/>
  <c r="CB77" i="18" s="1"/>
  <c r="BZ77" i="18"/>
  <c r="BY77" i="18"/>
  <c r="BX77" i="18"/>
  <c r="BU77" i="18"/>
  <c r="BT77" i="18"/>
  <c r="BS77" i="18"/>
  <c r="BQ77" i="18"/>
  <c r="BP77" i="18"/>
  <c r="BO77" i="18"/>
  <c r="BL77" i="18"/>
  <c r="BM77" i="18" s="1"/>
  <c r="BK77" i="18"/>
  <c r="BJ77" i="18"/>
  <c r="BI77" i="18"/>
  <c r="BG77" i="18"/>
  <c r="BF77" i="18"/>
  <c r="BH77" i="18" s="1"/>
  <c r="BE77" i="18"/>
  <c r="BD77" i="18"/>
  <c r="BA77" i="18"/>
  <c r="BB77" i="18" s="1"/>
  <c r="CI76" i="18"/>
  <c r="CH76" i="18"/>
  <c r="CF76" i="18"/>
  <c r="CE76" i="18"/>
  <c r="CD76" i="18"/>
  <c r="CC76" i="18"/>
  <c r="BZ76" i="18"/>
  <c r="CA76" i="18" s="1"/>
  <c r="CB76" i="18" s="1"/>
  <c r="BY76" i="18"/>
  <c r="BX76" i="18"/>
  <c r="BW76" i="18"/>
  <c r="BV76" i="18"/>
  <c r="BU76" i="18"/>
  <c r="BT76" i="18"/>
  <c r="BS76" i="18"/>
  <c r="BP76" i="18"/>
  <c r="BO76" i="18"/>
  <c r="BL76" i="18"/>
  <c r="BM76" i="18" s="1"/>
  <c r="BK76" i="18"/>
  <c r="BJ76" i="18"/>
  <c r="BI76" i="18"/>
  <c r="BF76" i="18"/>
  <c r="BE76" i="18"/>
  <c r="BD76" i="18"/>
  <c r="BB76" i="18"/>
  <c r="BA76" i="18"/>
  <c r="BC76" i="18" s="1"/>
  <c r="CI75" i="18"/>
  <c r="CH75" i="18"/>
  <c r="CE75" i="18"/>
  <c r="CF75" i="18" s="1"/>
  <c r="CD75" i="18"/>
  <c r="CC75" i="18"/>
  <c r="BZ75" i="18"/>
  <c r="BY75" i="18"/>
  <c r="BX75" i="18"/>
  <c r="BU75" i="18"/>
  <c r="BV75" i="18" s="1"/>
  <c r="BW75" i="18" s="1"/>
  <c r="BT75" i="18"/>
  <c r="BS75" i="18"/>
  <c r="BQ75" i="18"/>
  <c r="BR75" i="18" s="1"/>
  <c r="BP75" i="18"/>
  <c r="BO75" i="18"/>
  <c r="BK75" i="18"/>
  <c r="BJ75" i="18"/>
  <c r="BI75" i="18"/>
  <c r="BG75" i="18"/>
  <c r="BF75" i="18"/>
  <c r="BE75" i="18"/>
  <c r="BD75" i="18"/>
  <c r="BB75" i="18"/>
  <c r="BA75" i="18"/>
  <c r="BC75" i="18" s="1"/>
  <c r="CI74" i="18"/>
  <c r="CH74" i="18"/>
  <c r="CF74" i="18"/>
  <c r="CE74" i="18"/>
  <c r="CD74" i="18"/>
  <c r="CC74" i="18"/>
  <c r="CB74" i="18"/>
  <c r="BZ74" i="18"/>
  <c r="CA74" i="18" s="1"/>
  <c r="BY74" i="18"/>
  <c r="BX74" i="18"/>
  <c r="BV74" i="18"/>
  <c r="BU74" i="18"/>
  <c r="BT74" i="18"/>
  <c r="BS74" i="18"/>
  <c r="BR74" i="18"/>
  <c r="BP74" i="18"/>
  <c r="BQ74" i="18" s="1"/>
  <c r="BO74" i="18"/>
  <c r="BM74" i="18"/>
  <c r="BL74" i="18"/>
  <c r="BK74" i="18"/>
  <c r="BJ74" i="18"/>
  <c r="BI74" i="18"/>
  <c r="BF74" i="18"/>
  <c r="BE74" i="18"/>
  <c r="BD74" i="18"/>
  <c r="BB74" i="18"/>
  <c r="BC74" i="18" s="1"/>
  <c r="BA74" i="18"/>
  <c r="CI73" i="18"/>
  <c r="CH73" i="18"/>
  <c r="CE73" i="18"/>
  <c r="CD73" i="18"/>
  <c r="CC73" i="18"/>
  <c r="CA73" i="18"/>
  <c r="BZ73" i="18"/>
  <c r="BY73" i="18"/>
  <c r="BX73" i="18"/>
  <c r="BU73" i="18"/>
  <c r="BT73" i="18"/>
  <c r="BS73" i="18"/>
  <c r="BP73" i="18"/>
  <c r="BO73" i="18"/>
  <c r="BK73" i="18"/>
  <c r="BL73" i="18" s="1"/>
  <c r="BM73" i="18" s="1"/>
  <c r="BJ73" i="18"/>
  <c r="BI73" i="18"/>
  <c r="BG73" i="18"/>
  <c r="BH73" i="18" s="1"/>
  <c r="BF73" i="18"/>
  <c r="BE73" i="18"/>
  <c r="BD73" i="18"/>
  <c r="BA73" i="18"/>
  <c r="CI72" i="18"/>
  <c r="CH72" i="18"/>
  <c r="CF72" i="18"/>
  <c r="CE72" i="18"/>
  <c r="CD72" i="18"/>
  <c r="CC72" i="18"/>
  <c r="CA72" i="18"/>
  <c r="BZ72" i="18"/>
  <c r="CB72" i="18" s="1"/>
  <c r="BY72" i="18"/>
  <c r="BX72" i="18"/>
  <c r="BV72" i="18"/>
  <c r="BU72" i="18"/>
  <c r="BT72" i="18"/>
  <c r="BS72" i="18"/>
  <c r="BR72" i="18"/>
  <c r="BP72" i="18"/>
  <c r="BQ72" i="18" s="1"/>
  <c r="BO72" i="18"/>
  <c r="BL72" i="18"/>
  <c r="BK72" i="18"/>
  <c r="BJ72" i="18"/>
  <c r="BI72" i="18"/>
  <c r="BH72" i="18"/>
  <c r="BF72" i="18"/>
  <c r="BG72" i="18" s="1"/>
  <c r="BE72" i="18"/>
  <c r="BD72" i="18"/>
  <c r="BB72" i="18"/>
  <c r="BC72" i="18" s="1"/>
  <c r="BA72" i="18"/>
  <c r="CI71" i="18"/>
  <c r="CH71" i="18"/>
  <c r="CE71" i="18"/>
  <c r="CD71" i="18"/>
  <c r="CC71" i="18"/>
  <c r="CA71" i="18"/>
  <c r="BZ71" i="18"/>
  <c r="BY71" i="18"/>
  <c r="BX71" i="18"/>
  <c r="BU71" i="18"/>
  <c r="BT71" i="18"/>
  <c r="BS71" i="18"/>
  <c r="BQ71" i="18"/>
  <c r="BP71" i="18"/>
  <c r="BR71" i="18" s="1"/>
  <c r="BO71" i="18"/>
  <c r="BK71" i="18"/>
  <c r="BL71" i="18" s="1"/>
  <c r="BJ71" i="18"/>
  <c r="BI71" i="18"/>
  <c r="BF71" i="18"/>
  <c r="BE71" i="18"/>
  <c r="BD71" i="18"/>
  <c r="BA71" i="18"/>
  <c r="BB71" i="18" s="1"/>
  <c r="BC71" i="18" s="1"/>
  <c r="CI70" i="18"/>
  <c r="CH70" i="18"/>
  <c r="CF70" i="18"/>
  <c r="CG70" i="18" s="1"/>
  <c r="CE70" i="18"/>
  <c r="CD70" i="18"/>
  <c r="CC70" i="18"/>
  <c r="BZ70" i="18"/>
  <c r="BY70" i="18"/>
  <c r="BX70" i="18"/>
  <c r="BV70" i="18"/>
  <c r="BU70" i="18"/>
  <c r="BT70" i="18"/>
  <c r="BS70" i="18"/>
  <c r="BR70" i="18"/>
  <c r="BQ70" i="18"/>
  <c r="BP70" i="18"/>
  <c r="BO70" i="18"/>
  <c r="BL70" i="18"/>
  <c r="BK70" i="18"/>
  <c r="BJ70" i="18"/>
  <c r="BI70" i="18"/>
  <c r="BF70" i="18"/>
  <c r="BG70" i="18" s="1"/>
  <c r="BE70" i="18"/>
  <c r="BD70" i="18"/>
  <c r="BB70" i="18"/>
  <c r="BA70" i="18"/>
  <c r="CI69" i="18"/>
  <c r="CG69" i="18" s="1"/>
  <c r="CH69" i="18"/>
  <c r="CE69" i="18"/>
  <c r="CF69" i="18" s="1"/>
  <c r="CD69" i="18"/>
  <c r="CC69" i="18"/>
  <c r="CB69" i="18"/>
  <c r="CA69" i="18"/>
  <c r="BZ69" i="18"/>
  <c r="BY69" i="18"/>
  <c r="BX69" i="18"/>
  <c r="BU69" i="18"/>
  <c r="BT69" i="18"/>
  <c r="BS69" i="18"/>
  <c r="BQ69" i="18"/>
  <c r="BR69" i="18" s="1"/>
  <c r="BP69" i="18"/>
  <c r="BO69" i="18"/>
  <c r="BM69" i="18"/>
  <c r="BL69" i="18"/>
  <c r="BK69" i="18"/>
  <c r="BJ69" i="18"/>
  <c r="BI69" i="18"/>
  <c r="BG69" i="18"/>
  <c r="BF69" i="18"/>
  <c r="BH69" i="18" s="1"/>
  <c r="BE69" i="18"/>
  <c r="BD69" i="18"/>
  <c r="BA69" i="18"/>
  <c r="BB69" i="18" s="1"/>
  <c r="CI68" i="18"/>
  <c r="CH68" i="18"/>
  <c r="CE68" i="18"/>
  <c r="CD68" i="18"/>
  <c r="CB68" i="18" s="1"/>
  <c r="CC68" i="18"/>
  <c r="BZ68" i="18"/>
  <c r="CA68" i="18" s="1"/>
  <c r="BY68" i="18"/>
  <c r="BX68" i="18"/>
  <c r="BV68" i="18"/>
  <c r="BW68" i="18" s="1"/>
  <c r="BU68" i="18"/>
  <c r="BT68" i="18"/>
  <c r="BS68" i="18"/>
  <c r="BP68" i="18"/>
  <c r="BO68" i="18"/>
  <c r="BL68" i="18"/>
  <c r="BK68" i="18"/>
  <c r="BJ68" i="18"/>
  <c r="BI68" i="18"/>
  <c r="BG68" i="18"/>
  <c r="BH68" i="18" s="1"/>
  <c r="BF68" i="18"/>
  <c r="BE68" i="18"/>
  <c r="BD68" i="18"/>
  <c r="BB68" i="18"/>
  <c r="BA68" i="18"/>
  <c r="BC68" i="18" s="1"/>
  <c r="CI67" i="18"/>
  <c r="CH67" i="18"/>
  <c r="CE67" i="18"/>
  <c r="CF67" i="18" s="1"/>
  <c r="CD67" i="18"/>
  <c r="CC67" i="18"/>
  <c r="BZ67" i="18"/>
  <c r="BY67" i="18"/>
  <c r="BX67" i="18"/>
  <c r="BU67" i="18"/>
  <c r="BV67" i="18" s="1"/>
  <c r="BW67" i="18" s="1"/>
  <c r="BT67" i="18"/>
  <c r="BS67" i="18"/>
  <c r="BP67" i="18"/>
  <c r="BO67" i="18"/>
  <c r="BK67" i="18"/>
  <c r="BJ67" i="18"/>
  <c r="BH67" i="18" s="1"/>
  <c r="BI67" i="18"/>
  <c r="BG67" i="18"/>
  <c r="BF67" i="18"/>
  <c r="BE67" i="18"/>
  <c r="BD67" i="18"/>
  <c r="BB67" i="18"/>
  <c r="BA67" i="18"/>
  <c r="CI66" i="18"/>
  <c r="CH66" i="18"/>
  <c r="CF66" i="18"/>
  <c r="CE66" i="18"/>
  <c r="CD66" i="18"/>
  <c r="CC66" i="18"/>
  <c r="CB66" i="18"/>
  <c r="BZ66" i="18"/>
  <c r="CA66" i="18" s="1"/>
  <c r="BY66" i="18"/>
  <c r="BX66" i="18"/>
  <c r="BU66" i="18"/>
  <c r="BT66" i="18"/>
  <c r="BS66" i="18"/>
  <c r="BP66" i="18"/>
  <c r="BQ66" i="18" s="1"/>
  <c r="BO66" i="18"/>
  <c r="BK66" i="18"/>
  <c r="BJ66" i="18"/>
  <c r="BI66" i="18"/>
  <c r="BF66" i="18"/>
  <c r="BE66" i="18"/>
  <c r="BD66" i="18"/>
  <c r="BB66" i="18"/>
  <c r="BC66" i="18" s="1"/>
  <c r="BA66" i="18"/>
  <c r="CI65" i="18"/>
  <c r="CH65" i="18"/>
  <c r="CE65" i="18"/>
  <c r="CD65" i="18"/>
  <c r="CC65" i="18"/>
  <c r="CA65" i="18"/>
  <c r="BZ65" i="18"/>
  <c r="CB65" i="18" s="1"/>
  <c r="BY65" i="18"/>
  <c r="BX65" i="18"/>
  <c r="BV65" i="18"/>
  <c r="BW65" i="18" s="1"/>
  <c r="BU65" i="18"/>
  <c r="BT65" i="18"/>
  <c r="BS65" i="18"/>
  <c r="BQ65" i="18"/>
  <c r="BP65" i="18"/>
  <c r="BO65" i="18"/>
  <c r="BM65" i="18"/>
  <c r="BK65" i="18"/>
  <c r="BL65" i="18" s="1"/>
  <c r="BJ65" i="18"/>
  <c r="BI65" i="18"/>
  <c r="BH65" i="18"/>
  <c r="BF65" i="18"/>
  <c r="BG65" i="18" s="1"/>
  <c r="BE65" i="18"/>
  <c r="BD65" i="18"/>
  <c r="BA65" i="18"/>
  <c r="CI64" i="18"/>
  <c r="CH64" i="18"/>
  <c r="CG64" i="18"/>
  <c r="CF64" i="18"/>
  <c r="CE64" i="18"/>
  <c r="CD64" i="18"/>
  <c r="CC64" i="18"/>
  <c r="BZ64" i="18"/>
  <c r="BY64" i="18"/>
  <c r="BX64" i="18"/>
  <c r="BV64" i="18"/>
  <c r="BU64" i="18"/>
  <c r="BW64" i="18" s="1"/>
  <c r="BT64" i="18"/>
  <c r="BS64" i="18"/>
  <c r="BP64" i="18"/>
  <c r="BO64" i="18"/>
  <c r="BL64" i="18"/>
  <c r="BK64" i="18"/>
  <c r="BJ64" i="18"/>
  <c r="BI64" i="18"/>
  <c r="BF64" i="18"/>
  <c r="BE64" i="18"/>
  <c r="BD64" i="18"/>
  <c r="BB64" i="18"/>
  <c r="BC64" i="18" s="1"/>
  <c r="BA64" i="18"/>
  <c r="CI63" i="18"/>
  <c r="CH63" i="18"/>
  <c r="CG63" i="18"/>
  <c r="CE63" i="18"/>
  <c r="CF63" i="18" s="1"/>
  <c r="CD63" i="18"/>
  <c r="CC63" i="18"/>
  <c r="CB63" i="18"/>
  <c r="CA63" i="18"/>
  <c r="BZ63" i="18"/>
  <c r="BY63" i="18"/>
  <c r="BX63" i="18"/>
  <c r="BU63" i="18"/>
  <c r="BT63" i="18"/>
  <c r="BS63" i="18"/>
  <c r="BQ63" i="18"/>
  <c r="BP63" i="18"/>
  <c r="BO63" i="18"/>
  <c r="BL63" i="18"/>
  <c r="BK63" i="18"/>
  <c r="BJ63" i="18"/>
  <c r="BI63" i="18"/>
  <c r="BF63" i="18"/>
  <c r="BE63" i="18"/>
  <c r="BD63" i="18"/>
  <c r="BA63" i="18"/>
  <c r="BB63" i="18" s="1"/>
  <c r="CI62" i="18"/>
  <c r="CH62" i="18"/>
  <c r="CF62" i="18"/>
  <c r="CE62" i="18"/>
  <c r="CG62" i="18" s="1"/>
  <c r="CD62" i="18"/>
  <c r="CC62" i="18"/>
  <c r="CB62" i="18"/>
  <c r="BZ62" i="18"/>
  <c r="CA62" i="18" s="1"/>
  <c r="BY62" i="18"/>
  <c r="BX62" i="18"/>
  <c r="BW62" i="18"/>
  <c r="BV62" i="18"/>
  <c r="BU62" i="18"/>
  <c r="BT62" i="18"/>
  <c r="BS62" i="18"/>
  <c r="BP62" i="18"/>
  <c r="BO62" i="18"/>
  <c r="BL62" i="18"/>
  <c r="BK62" i="18"/>
  <c r="BM62" i="18" s="1"/>
  <c r="BJ62" i="18"/>
  <c r="BI62" i="18"/>
  <c r="BF62" i="18"/>
  <c r="BE62" i="18"/>
  <c r="BD62" i="18"/>
  <c r="BB62" i="18"/>
  <c r="BA62" i="18"/>
  <c r="CI61" i="18"/>
  <c r="CH61" i="18"/>
  <c r="CE61" i="18"/>
  <c r="CD61" i="18"/>
  <c r="CC61" i="18"/>
  <c r="CA61" i="18"/>
  <c r="CB61" i="18" s="1"/>
  <c r="BZ61" i="18"/>
  <c r="BY61" i="18"/>
  <c r="BX61" i="18"/>
  <c r="BW61" i="18"/>
  <c r="BU61" i="18"/>
  <c r="BV61" i="18" s="1"/>
  <c r="BT61" i="18"/>
  <c r="BS61" i="18"/>
  <c r="BR61" i="18"/>
  <c r="BQ61" i="18"/>
  <c r="BP61" i="18"/>
  <c r="BO61" i="18"/>
  <c r="BK61" i="18"/>
  <c r="BJ61" i="18"/>
  <c r="BI61" i="18"/>
  <c r="BG61" i="18"/>
  <c r="BF61" i="18"/>
  <c r="BE61" i="18"/>
  <c r="BD61" i="18"/>
  <c r="BB61" i="18"/>
  <c r="BA61" i="18"/>
  <c r="BC61" i="18" s="1"/>
  <c r="CI60" i="18"/>
  <c r="CH60" i="18"/>
  <c r="CE60" i="18"/>
  <c r="CD60" i="18"/>
  <c r="CC60" i="18"/>
  <c r="BZ60" i="18"/>
  <c r="CA60" i="18" s="1"/>
  <c r="BY60" i="18"/>
  <c r="BX60" i="18"/>
  <c r="BV60" i="18"/>
  <c r="BU60" i="18"/>
  <c r="BW60" i="18" s="1"/>
  <c r="BT60" i="18"/>
  <c r="BS60" i="18"/>
  <c r="BR60" i="18"/>
  <c r="BP60" i="18"/>
  <c r="BQ60" i="18" s="1"/>
  <c r="BO60" i="18"/>
  <c r="BM60" i="18"/>
  <c r="BL60" i="18"/>
  <c r="BK60" i="18"/>
  <c r="BJ60" i="18"/>
  <c r="BI60" i="18"/>
  <c r="BG60" i="18"/>
  <c r="BF60" i="18"/>
  <c r="BH60" i="18" s="1"/>
  <c r="BE60" i="18"/>
  <c r="BD60" i="18"/>
  <c r="BB60" i="18"/>
  <c r="BA60" i="18"/>
  <c r="CI59" i="18"/>
  <c r="CH59" i="18"/>
  <c r="CE59" i="18"/>
  <c r="CD59" i="18"/>
  <c r="CC59" i="18"/>
  <c r="BZ59" i="18"/>
  <c r="BY59" i="18"/>
  <c r="BX59" i="18"/>
  <c r="BU59" i="18"/>
  <c r="BT59" i="18"/>
  <c r="BS59" i="18"/>
  <c r="BR59" i="18"/>
  <c r="BQ59" i="18"/>
  <c r="BP59" i="18"/>
  <c r="BO59" i="18"/>
  <c r="BK59" i="18"/>
  <c r="BL59" i="18" s="1"/>
  <c r="BJ59" i="18"/>
  <c r="BI59" i="18"/>
  <c r="BG59" i="18"/>
  <c r="BF59" i="18"/>
  <c r="BE59" i="18"/>
  <c r="BD59" i="18"/>
  <c r="BB59" i="18"/>
  <c r="BA59" i="18"/>
  <c r="BC59" i="18" s="1"/>
  <c r="CI58" i="18"/>
  <c r="CH58" i="18"/>
  <c r="CE58" i="18"/>
  <c r="CD58" i="18"/>
  <c r="CC58" i="18"/>
  <c r="CA58" i="18"/>
  <c r="CB58" i="18" s="1"/>
  <c r="BZ58" i="18"/>
  <c r="BY58" i="18"/>
  <c r="BX58" i="18"/>
  <c r="BW58" i="18"/>
  <c r="BU58" i="18"/>
  <c r="BV58" i="18" s="1"/>
  <c r="BT58" i="18"/>
  <c r="BS58" i="18"/>
  <c r="BP58" i="18"/>
  <c r="BQ58" i="18" s="1"/>
  <c r="BO58" i="18"/>
  <c r="BK58" i="18"/>
  <c r="BJ58" i="18"/>
  <c r="BI58" i="18"/>
  <c r="BF58" i="18"/>
  <c r="BE58" i="18"/>
  <c r="BD58" i="18"/>
  <c r="BC58" i="18"/>
  <c r="BB58" i="18"/>
  <c r="BA58" i="18"/>
  <c r="CI57" i="18"/>
  <c r="CH57" i="18"/>
  <c r="CE57" i="18"/>
  <c r="CF57" i="18" s="1"/>
  <c r="CD57" i="18"/>
  <c r="CC57" i="18"/>
  <c r="BZ57" i="18"/>
  <c r="BY57" i="18"/>
  <c r="BX57" i="18"/>
  <c r="BU57" i="18"/>
  <c r="BT57" i="18"/>
  <c r="BS57" i="18"/>
  <c r="BP57" i="18"/>
  <c r="BO57" i="18"/>
  <c r="BK57" i="18"/>
  <c r="BL57" i="18" s="1"/>
  <c r="BJ57" i="18"/>
  <c r="BI57" i="18"/>
  <c r="BG57" i="18"/>
  <c r="BF57" i="18"/>
  <c r="BH57" i="18" s="1"/>
  <c r="BE57" i="18"/>
  <c r="BD57" i="18"/>
  <c r="BA57" i="18"/>
  <c r="BB57" i="18" s="1"/>
  <c r="BC57" i="18" s="1"/>
  <c r="CI56" i="18"/>
  <c r="CH56" i="18"/>
  <c r="CF56" i="18"/>
  <c r="CE56" i="18"/>
  <c r="CD56" i="18"/>
  <c r="CC56" i="18"/>
  <c r="BZ56" i="18"/>
  <c r="BY56" i="18"/>
  <c r="BX56" i="18"/>
  <c r="BV56" i="18"/>
  <c r="BU56" i="18"/>
  <c r="BT56" i="18"/>
  <c r="BS56" i="18"/>
  <c r="BQ56" i="18"/>
  <c r="BP56" i="18"/>
  <c r="BO56" i="18"/>
  <c r="BM56" i="18"/>
  <c r="BK56" i="18"/>
  <c r="BL56" i="18" s="1"/>
  <c r="BJ56" i="18"/>
  <c r="BI56" i="18"/>
  <c r="BF56" i="18"/>
  <c r="BE56" i="18"/>
  <c r="BD56" i="18"/>
  <c r="BA56" i="18"/>
  <c r="CI55" i="18"/>
  <c r="CH55" i="18"/>
  <c r="CE55" i="18"/>
  <c r="CF55" i="18" s="1"/>
  <c r="CD55" i="18"/>
  <c r="CC55" i="18"/>
  <c r="CA55" i="18"/>
  <c r="CB55" i="18" s="1"/>
  <c r="BZ55" i="18"/>
  <c r="BY55" i="18"/>
  <c r="BX55" i="18"/>
  <c r="BU55" i="18"/>
  <c r="BV55" i="18" s="1"/>
  <c r="BW55" i="18" s="1"/>
  <c r="BT55" i="18"/>
  <c r="BS55" i="18"/>
  <c r="BP55" i="18"/>
  <c r="BO55" i="18"/>
  <c r="BK55" i="18"/>
  <c r="BJ55" i="18"/>
  <c r="BI55" i="18"/>
  <c r="BF55" i="18"/>
  <c r="BE55" i="18"/>
  <c r="BD55" i="18"/>
  <c r="BA55" i="18"/>
  <c r="CI54" i="18"/>
  <c r="CH54" i="18"/>
  <c r="CF54" i="18"/>
  <c r="CG54" i="18" s="1"/>
  <c r="CE54" i="18"/>
  <c r="CD54" i="18"/>
  <c r="CC54" i="18"/>
  <c r="CB54" i="18"/>
  <c r="BZ54" i="18"/>
  <c r="CA54" i="18" s="1"/>
  <c r="BY54" i="18"/>
  <c r="BX54" i="18"/>
  <c r="BV54" i="18"/>
  <c r="BU54" i="18"/>
  <c r="BT54" i="18"/>
  <c r="BS54" i="18"/>
  <c r="BP54" i="18"/>
  <c r="BO54" i="18"/>
  <c r="BK54" i="18"/>
  <c r="BJ54" i="18"/>
  <c r="BI54" i="18"/>
  <c r="BH54" i="18"/>
  <c r="BG54" i="18"/>
  <c r="BF54" i="18"/>
  <c r="BE54" i="18"/>
  <c r="BD54" i="18"/>
  <c r="BA54" i="18"/>
  <c r="CI53" i="18"/>
  <c r="CH53" i="18"/>
  <c r="CE53" i="18"/>
  <c r="CF53" i="18" s="1"/>
  <c r="CD53" i="18"/>
  <c r="CC53" i="18"/>
  <c r="BZ53" i="18"/>
  <c r="BY53" i="18"/>
  <c r="BX53" i="18"/>
  <c r="BU53" i="18"/>
  <c r="BT53" i="18"/>
  <c r="BS53" i="18"/>
  <c r="BQ53" i="18"/>
  <c r="BR53" i="18" s="1"/>
  <c r="BP53" i="18"/>
  <c r="BO53" i="18"/>
  <c r="BM53" i="18"/>
  <c r="BK53" i="18"/>
  <c r="BL53" i="18" s="1"/>
  <c r="BJ53" i="18"/>
  <c r="BI53" i="18"/>
  <c r="BF53" i="18"/>
  <c r="BE53" i="18"/>
  <c r="BD53" i="18"/>
  <c r="BA53" i="18"/>
  <c r="CI52" i="18"/>
  <c r="CH52" i="18"/>
  <c r="CE52" i="18"/>
  <c r="CD52" i="18"/>
  <c r="CC52" i="18"/>
  <c r="CB52" i="18"/>
  <c r="BZ52" i="18"/>
  <c r="CA52" i="18" s="1"/>
  <c r="BY52" i="18"/>
  <c r="BX52" i="18"/>
  <c r="BV52" i="18"/>
  <c r="BW52" i="18" s="1"/>
  <c r="BU52" i="18"/>
  <c r="BT52" i="18"/>
  <c r="BS52" i="18"/>
  <c r="BR52" i="18"/>
  <c r="BP52" i="18"/>
  <c r="BQ52" i="18" s="1"/>
  <c r="BO52" i="18"/>
  <c r="BL52" i="18"/>
  <c r="BK52" i="18"/>
  <c r="BJ52" i="18"/>
  <c r="BI52" i="18"/>
  <c r="BF52" i="18"/>
  <c r="BE52" i="18"/>
  <c r="BD52" i="18"/>
  <c r="BB52" i="18"/>
  <c r="BC52" i="18" s="1"/>
  <c r="BA52" i="18"/>
  <c r="CI51" i="18"/>
  <c r="CH51" i="18"/>
  <c r="CG51" i="18"/>
  <c r="CE51" i="18"/>
  <c r="CF51" i="18" s="1"/>
  <c r="CD51" i="18"/>
  <c r="CC51" i="18"/>
  <c r="BZ51" i="18"/>
  <c r="BY51" i="18"/>
  <c r="BX51" i="18"/>
  <c r="BV51" i="18"/>
  <c r="BU51" i="18"/>
  <c r="BW51" i="18" s="1"/>
  <c r="BT51" i="18"/>
  <c r="BS51" i="18"/>
  <c r="BQ51" i="18"/>
  <c r="BR51" i="18" s="1"/>
  <c r="BP51" i="18"/>
  <c r="BO51" i="18"/>
  <c r="BM51" i="18"/>
  <c r="BK51" i="18"/>
  <c r="BL51" i="18" s="1"/>
  <c r="BJ51" i="18"/>
  <c r="BI51" i="18"/>
  <c r="BG51" i="18"/>
  <c r="BF51" i="18"/>
  <c r="BE51" i="18"/>
  <c r="BD51" i="18"/>
  <c r="BA51" i="18"/>
  <c r="CI50" i="18"/>
  <c r="CH50" i="18"/>
  <c r="CF50" i="18"/>
  <c r="CG50" i="18" s="1"/>
  <c r="CE50" i="18"/>
  <c r="CD50" i="18"/>
  <c r="CC50" i="18"/>
  <c r="CB50" i="18"/>
  <c r="BZ50" i="18"/>
  <c r="CA50" i="18" s="1"/>
  <c r="BY50" i="18"/>
  <c r="BX50" i="18"/>
  <c r="BU50" i="18"/>
  <c r="BT50" i="18"/>
  <c r="BS50" i="18"/>
  <c r="BQ50" i="18"/>
  <c r="BP50" i="18"/>
  <c r="BO50" i="18"/>
  <c r="BL50" i="18"/>
  <c r="BK50" i="18"/>
  <c r="BJ50" i="18"/>
  <c r="BI50" i="18"/>
  <c r="BH50" i="18"/>
  <c r="BF50" i="18"/>
  <c r="BG50" i="18" s="1"/>
  <c r="BE50" i="18"/>
  <c r="BD50" i="18"/>
  <c r="BB50" i="18"/>
  <c r="BA50" i="18"/>
  <c r="CI49" i="18"/>
  <c r="CH49" i="18"/>
  <c r="CE49" i="18"/>
  <c r="CD49" i="18"/>
  <c r="CC49" i="18"/>
  <c r="CB49" i="18"/>
  <c r="CA49" i="18"/>
  <c r="BZ49" i="18"/>
  <c r="BY49" i="18"/>
  <c r="BX49" i="18"/>
  <c r="BW49" i="18"/>
  <c r="BU49" i="18"/>
  <c r="BV49" i="18" s="1"/>
  <c r="BT49" i="18"/>
  <c r="BS49" i="18"/>
  <c r="BP49" i="18"/>
  <c r="BO49" i="18"/>
  <c r="BL49" i="18"/>
  <c r="BK49" i="18"/>
  <c r="BM49" i="18" s="1"/>
  <c r="BJ49" i="18"/>
  <c r="BI49" i="18"/>
  <c r="BG49" i="18"/>
  <c r="BH49" i="18" s="1"/>
  <c r="BF49" i="18"/>
  <c r="BE49" i="18"/>
  <c r="BD49" i="18"/>
  <c r="BC49" i="18"/>
  <c r="BA49" i="18"/>
  <c r="BB49" i="18" s="1"/>
  <c r="CI48" i="18"/>
  <c r="CH48" i="18"/>
  <c r="CF48" i="18"/>
  <c r="CE48" i="18"/>
  <c r="CD48" i="18"/>
  <c r="CC48" i="18"/>
  <c r="BZ48" i="18"/>
  <c r="BY48" i="18"/>
  <c r="BX48" i="18"/>
  <c r="BV48" i="18"/>
  <c r="BU48" i="18"/>
  <c r="BT48" i="18"/>
  <c r="BS48" i="18"/>
  <c r="BR48" i="18"/>
  <c r="BP48" i="18"/>
  <c r="BQ48" i="18" s="1"/>
  <c r="BO48" i="18"/>
  <c r="BK48" i="18"/>
  <c r="BJ48" i="18"/>
  <c r="BI48" i="18"/>
  <c r="BG48" i="18"/>
  <c r="BF48" i="18"/>
  <c r="BH48" i="18" s="1"/>
  <c r="BE48" i="18"/>
  <c r="BD48" i="18"/>
  <c r="BB48" i="18"/>
  <c r="BC48" i="18" s="1"/>
  <c r="BA48" i="18"/>
  <c r="CI47" i="18"/>
  <c r="CH47" i="18"/>
  <c r="CG47" i="18"/>
  <c r="CE47" i="18"/>
  <c r="CF47" i="18" s="1"/>
  <c r="CD47" i="18"/>
  <c r="CC47" i="18"/>
  <c r="CA47" i="18"/>
  <c r="BZ47" i="18"/>
  <c r="BY47" i="18"/>
  <c r="BX47" i="18"/>
  <c r="BU47" i="18"/>
  <c r="BT47" i="18"/>
  <c r="BS47" i="18"/>
  <c r="BQ47" i="18"/>
  <c r="BR47" i="18" s="1"/>
  <c r="BP47" i="18"/>
  <c r="BO47" i="18"/>
  <c r="BK47" i="18"/>
  <c r="BL47" i="18" s="1"/>
  <c r="BJ47" i="18"/>
  <c r="BI47" i="18"/>
  <c r="BG47" i="18"/>
  <c r="BF47" i="18"/>
  <c r="BE47" i="18"/>
  <c r="BD47" i="18"/>
  <c r="BA47" i="18"/>
  <c r="BB47" i="18" s="1"/>
  <c r="CI46" i="18"/>
  <c r="CH46" i="18"/>
  <c r="CF46" i="18"/>
  <c r="CE46" i="18"/>
  <c r="CD46" i="18"/>
  <c r="CC46" i="18"/>
  <c r="BZ46" i="18"/>
  <c r="CA46" i="18" s="1"/>
  <c r="CB46" i="18" s="1"/>
  <c r="BY46" i="18"/>
  <c r="BX46" i="18"/>
  <c r="BU46" i="18"/>
  <c r="BT46" i="18"/>
  <c r="BS46" i="18"/>
  <c r="BP46" i="18"/>
  <c r="BO46" i="18"/>
  <c r="BM46" i="18"/>
  <c r="BL46" i="18"/>
  <c r="BK46" i="18"/>
  <c r="BJ46" i="18"/>
  <c r="BI46" i="18"/>
  <c r="BF46" i="18"/>
  <c r="BE46" i="18"/>
  <c r="BD46" i="18"/>
  <c r="BB46" i="18"/>
  <c r="BA46" i="18"/>
  <c r="CI45" i="18"/>
  <c r="CH45" i="18"/>
  <c r="CF45" i="18"/>
  <c r="CE45" i="18"/>
  <c r="CD45" i="18"/>
  <c r="CC45" i="18"/>
  <c r="CA45" i="18"/>
  <c r="CB45" i="18" s="1"/>
  <c r="BZ45" i="18"/>
  <c r="BY45" i="18"/>
  <c r="BX45" i="18"/>
  <c r="BW45" i="18"/>
  <c r="BU45" i="18"/>
  <c r="BV45" i="18" s="1"/>
  <c r="BT45" i="18"/>
  <c r="BS45" i="18"/>
  <c r="BP45" i="18"/>
  <c r="BO45" i="18"/>
  <c r="BK45" i="18"/>
  <c r="BJ45" i="18"/>
  <c r="BI45" i="18"/>
  <c r="BG45" i="18"/>
  <c r="BH45" i="18" s="1"/>
  <c r="BF45" i="18"/>
  <c r="BE45" i="18"/>
  <c r="BD45" i="18"/>
  <c r="BA45" i="18"/>
  <c r="BB45" i="18" s="1"/>
  <c r="CI44" i="18"/>
  <c r="CH44" i="18"/>
  <c r="CE44" i="18"/>
  <c r="CD44" i="18"/>
  <c r="CC44" i="18"/>
  <c r="CA44" i="18"/>
  <c r="BZ44" i="18"/>
  <c r="BY44" i="18"/>
  <c r="BX44" i="18"/>
  <c r="BV44" i="18"/>
  <c r="BW44" i="18" s="1"/>
  <c r="BU44" i="18"/>
  <c r="BT44" i="18"/>
  <c r="BS44" i="18"/>
  <c r="BR44" i="18"/>
  <c r="BP44" i="18"/>
  <c r="BQ44" i="18" s="1"/>
  <c r="BO44" i="18"/>
  <c r="BK44" i="18"/>
  <c r="BJ44" i="18"/>
  <c r="BI44" i="18"/>
  <c r="BF44" i="18"/>
  <c r="BE44" i="18"/>
  <c r="BD44" i="18"/>
  <c r="BC44" i="18" s="1"/>
  <c r="BB44" i="18"/>
  <c r="BA44" i="18"/>
  <c r="CI43" i="18"/>
  <c r="CH43" i="18"/>
  <c r="CE43" i="18"/>
  <c r="CF43" i="18" s="1"/>
  <c r="CD43" i="18"/>
  <c r="CC43" i="18"/>
  <c r="BZ43" i="18"/>
  <c r="BY43" i="18"/>
  <c r="BX43" i="18"/>
  <c r="BU43" i="18"/>
  <c r="BT43" i="18"/>
  <c r="BS43" i="18"/>
  <c r="BQ43" i="18"/>
  <c r="BR43" i="18" s="1"/>
  <c r="BP43" i="18"/>
  <c r="BO43" i="18"/>
  <c r="BK43" i="18"/>
  <c r="BL43" i="18" s="1"/>
  <c r="BJ43" i="18"/>
  <c r="BI43" i="18"/>
  <c r="BF43" i="18"/>
  <c r="BE43" i="18"/>
  <c r="BD43" i="18"/>
  <c r="BA43" i="18"/>
  <c r="CI42" i="18"/>
  <c r="CH42" i="18"/>
  <c r="CG42" i="18" s="1"/>
  <c r="CF42" i="18"/>
  <c r="CE42" i="18"/>
  <c r="CD42" i="18"/>
  <c r="CC42" i="18"/>
  <c r="CB42" i="18"/>
  <c r="BZ42" i="18"/>
  <c r="CA42" i="18" s="1"/>
  <c r="BY42" i="18"/>
  <c r="BX42" i="18"/>
  <c r="BU42" i="18"/>
  <c r="BT42" i="18"/>
  <c r="BS42" i="18"/>
  <c r="BP42" i="18"/>
  <c r="BO42" i="18"/>
  <c r="BL42" i="18"/>
  <c r="BM42" i="18" s="1"/>
  <c r="BK42" i="18"/>
  <c r="BJ42" i="18"/>
  <c r="BI42" i="18"/>
  <c r="BF42" i="18"/>
  <c r="BG42" i="18" s="1"/>
  <c r="BH42" i="18" s="1"/>
  <c r="BE42" i="18"/>
  <c r="BD42" i="18"/>
  <c r="BB42" i="18"/>
  <c r="BA42" i="18"/>
  <c r="CI41" i="18"/>
  <c r="CH41" i="18"/>
  <c r="CE41" i="18"/>
  <c r="CD41" i="18"/>
  <c r="CC41" i="18"/>
  <c r="CA41" i="18"/>
  <c r="CB41" i="18" s="1"/>
  <c r="BZ41" i="18"/>
  <c r="BY41" i="18"/>
  <c r="BX41" i="18"/>
  <c r="BU41" i="18"/>
  <c r="BV41" i="18" s="1"/>
  <c r="BT41" i="18"/>
  <c r="BS41" i="18"/>
  <c r="BP41" i="18"/>
  <c r="BO41" i="18"/>
  <c r="BM41" i="18"/>
  <c r="BL41" i="18"/>
  <c r="BK41" i="18"/>
  <c r="BJ41" i="18"/>
  <c r="BI41" i="18"/>
  <c r="BF41" i="18"/>
  <c r="BG41" i="18" s="1"/>
  <c r="BE41" i="18"/>
  <c r="BD41" i="18"/>
  <c r="BA41" i="18"/>
  <c r="CI40" i="18"/>
  <c r="CH40" i="18"/>
  <c r="CE40" i="18"/>
  <c r="CD40" i="18"/>
  <c r="CC40" i="18"/>
  <c r="CA40" i="18"/>
  <c r="BZ40" i="18"/>
  <c r="CB40" i="18" s="1"/>
  <c r="BY40" i="18"/>
  <c r="BX40" i="18"/>
  <c r="BU40" i="18"/>
  <c r="BV40" i="18" s="1"/>
  <c r="BT40" i="18"/>
  <c r="BS40" i="18"/>
  <c r="BP40" i="18"/>
  <c r="BO40" i="18"/>
  <c r="BK40" i="18"/>
  <c r="BJ40" i="18"/>
  <c r="BI40" i="18"/>
  <c r="BH40" i="18"/>
  <c r="BG40" i="18"/>
  <c r="BF40" i="18"/>
  <c r="BE40" i="18"/>
  <c r="BD40" i="18"/>
  <c r="BA40" i="18"/>
  <c r="BB40" i="18" s="1"/>
  <c r="CI39" i="18"/>
  <c r="CH39" i="18"/>
  <c r="CE39" i="18"/>
  <c r="CD39" i="18"/>
  <c r="CC39" i="18"/>
  <c r="BZ39" i="18"/>
  <c r="BY39" i="18"/>
  <c r="BX39" i="18"/>
  <c r="BV39" i="18"/>
  <c r="BU39" i="18"/>
  <c r="BW39" i="18" s="1"/>
  <c r="BT39" i="18"/>
  <c r="BR39" i="18" s="1"/>
  <c r="BS39" i="18"/>
  <c r="BQ39" i="18"/>
  <c r="BP39" i="18"/>
  <c r="BO39" i="18"/>
  <c r="BK39" i="18"/>
  <c r="BJ39" i="18"/>
  <c r="BI39" i="18"/>
  <c r="BF39" i="18"/>
  <c r="BE39" i="18"/>
  <c r="BD39" i="18"/>
  <c r="BB39" i="18"/>
  <c r="BC39" i="18" s="1"/>
  <c r="BA39" i="18"/>
  <c r="CI38" i="18"/>
  <c r="CH38" i="18"/>
  <c r="CE38" i="18"/>
  <c r="CF38" i="18" s="1"/>
  <c r="CD38" i="18"/>
  <c r="CC38" i="18"/>
  <c r="BZ38" i="18"/>
  <c r="BY38" i="18"/>
  <c r="BX38" i="18"/>
  <c r="BU38" i="18"/>
  <c r="BT38" i="18"/>
  <c r="BS38" i="18"/>
  <c r="BQ38" i="18"/>
  <c r="BP38" i="18"/>
  <c r="BR38" i="18" s="1"/>
  <c r="BO38" i="18"/>
  <c r="BK38" i="18"/>
  <c r="BL38" i="18" s="1"/>
  <c r="BJ38" i="18"/>
  <c r="BI38" i="18"/>
  <c r="BF38" i="18"/>
  <c r="BE38" i="18"/>
  <c r="BD38" i="18"/>
  <c r="BA38" i="18"/>
  <c r="CI37" i="18"/>
  <c r="CH37" i="18"/>
  <c r="CF37" i="18"/>
  <c r="CG37" i="18" s="1"/>
  <c r="CE37" i="18"/>
  <c r="CD37" i="18"/>
  <c r="CC37" i="18"/>
  <c r="BZ37" i="18"/>
  <c r="CA37" i="18" s="1"/>
  <c r="BY37" i="18"/>
  <c r="BX37" i="18"/>
  <c r="BU37" i="18"/>
  <c r="BT37" i="18"/>
  <c r="BS37" i="18"/>
  <c r="BP37" i="18"/>
  <c r="BO37" i="18"/>
  <c r="BL37" i="18"/>
  <c r="BK37" i="18"/>
  <c r="BM37" i="18" s="1"/>
  <c r="BJ37" i="18"/>
  <c r="BI37" i="18"/>
  <c r="BF37" i="18"/>
  <c r="BG37" i="18" s="1"/>
  <c r="BH37" i="18" s="1"/>
  <c r="BE37" i="18"/>
  <c r="BD37" i="18"/>
  <c r="BA37" i="18"/>
  <c r="CI36" i="18"/>
  <c r="CH36" i="18"/>
  <c r="CE36" i="18"/>
  <c r="CD36" i="18"/>
  <c r="CC36" i="18"/>
  <c r="CA36" i="18"/>
  <c r="CB36" i="18" s="1"/>
  <c r="BZ36" i="18"/>
  <c r="BY36" i="18"/>
  <c r="BX36" i="18"/>
  <c r="BU36" i="18"/>
  <c r="BV36" i="18" s="1"/>
  <c r="BT36" i="18"/>
  <c r="BS36" i="18"/>
  <c r="BP36" i="18"/>
  <c r="BO36" i="18"/>
  <c r="BK36" i="18"/>
  <c r="BJ36" i="18"/>
  <c r="BI36" i="18"/>
  <c r="BG36" i="18"/>
  <c r="BF36" i="18"/>
  <c r="BH36" i="18" s="1"/>
  <c r="BE36" i="18"/>
  <c r="BD36" i="18"/>
  <c r="BC36" i="18"/>
  <c r="BB36" i="18"/>
  <c r="BA36" i="18"/>
  <c r="CI35" i="18"/>
  <c r="CH35" i="18"/>
  <c r="CF35" i="18"/>
  <c r="CE35" i="18"/>
  <c r="CD35" i="18"/>
  <c r="CC35" i="18"/>
  <c r="BZ35" i="18"/>
  <c r="BY35" i="18"/>
  <c r="BX35" i="18"/>
  <c r="BV35" i="18"/>
  <c r="BU35" i="18"/>
  <c r="BT35" i="18"/>
  <c r="BS35" i="18"/>
  <c r="BP35" i="18"/>
  <c r="BQ35" i="18" s="1"/>
  <c r="BO35" i="18"/>
  <c r="BK35" i="18"/>
  <c r="BJ35" i="18"/>
  <c r="BI35" i="18"/>
  <c r="BF35" i="18"/>
  <c r="BE35" i="18"/>
  <c r="BD35" i="18"/>
  <c r="BB35" i="18"/>
  <c r="F35" i="18" s="1"/>
  <c r="BA35" i="18"/>
  <c r="CI34" i="18"/>
  <c r="CH34" i="18"/>
  <c r="CG34" i="18"/>
  <c r="CF34" i="18"/>
  <c r="CE34" i="18"/>
  <c r="CD34" i="18"/>
  <c r="CC34" i="18"/>
  <c r="BZ34" i="18"/>
  <c r="BY34" i="18"/>
  <c r="BX34" i="18"/>
  <c r="BU34" i="18"/>
  <c r="BT34" i="18"/>
  <c r="BS34" i="18"/>
  <c r="BR34" i="18"/>
  <c r="BQ34" i="18"/>
  <c r="BP34" i="18"/>
  <c r="BO34" i="18"/>
  <c r="BM34" i="18"/>
  <c r="BK34" i="18"/>
  <c r="BL34" i="18" s="1"/>
  <c r="BJ34" i="18"/>
  <c r="BI34" i="18"/>
  <c r="BF34" i="18"/>
  <c r="BE34" i="18"/>
  <c r="BD34" i="18"/>
  <c r="BB34" i="18"/>
  <c r="BC34" i="18" s="1"/>
  <c r="BA34" i="18"/>
  <c r="CI33" i="18"/>
  <c r="CH33" i="18"/>
  <c r="CF33" i="18"/>
  <c r="CE33" i="18"/>
  <c r="CG33" i="18" s="1"/>
  <c r="CD33" i="18"/>
  <c r="CC33" i="18"/>
  <c r="CB33" i="18"/>
  <c r="BZ33" i="18"/>
  <c r="CA33" i="18" s="1"/>
  <c r="BY33" i="18"/>
  <c r="BX33" i="18"/>
  <c r="BU33" i="18"/>
  <c r="BT33" i="18"/>
  <c r="BS33" i="18"/>
  <c r="BP33" i="18"/>
  <c r="BO33" i="18"/>
  <c r="BM33" i="18"/>
  <c r="BL33" i="18"/>
  <c r="BK33" i="18"/>
  <c r="BJ33" i="18"/>
  <c r="BI33" i="18"/>
  <c r="BH33" i="18"/>
  <c r="BF33" i="18"/>
  <c r="BG33" i="18" s="1"/>
  <c r="BE33" i="18"/>
  <c r="BD33" i="18"/>
  <c r="BA33" i="18"/>
  <c r="CI32" i="18"/>
  <c r="CH32" i="18"/>
  <c r="CF32" i="18"/>
  <c r="CG32" i="18" s="1"/>
  <c r="CE32" i="18"/>
  <c r="CD32" i="18"/>
  <c r="CC32" i="18"/>
  <c r="CA32" i="18"/>
  <c r="BZ32" i="18"/>
  <c r="CB32" i="18" s="1"/>
  <c r="BY32" i="18"/>
  <c r="BX32" i="18"/>
  <c r="BW32" i="18"/>
  <c r="BV32" i="18"/>
  <c r="BU32" i="18"/>
  <c r="BT32" i="18"/>
  <c r="BS32" i="18"/>
  <c r="BP32" i="18"/>
  <c r="BO32" i="18"/>
  <c r="BK32" i="18"/>
  <c r="BJ32" i="18"/>
  <c r="BI32" i="18"/>
  <c r="BG32" i="18"/>
  <c r="BF32" i="18"/>
  <c r="BE32" i="18"/>
  <c r="BD32" i="18"/>
  <c r="BA32" i="18"/>
  <c r="BB32" i="18" s="1"/>
  <c r="CI31" i="18"/>
  <c r="CH31" i="18"/>
  <c r="CE31" i="18"/>
  <c r="CF31" i="18" s="1"/>
  <c r="CD31" i="18"/>
  <c r="CC31" i="18"/>
  <c r="BZ31" i="18"/>
  <c r="BY31" i="18"/>
  <c r="BX31" i="18"/>
  <c r="BV31" i="18"/>
  <c r="BU31" i="18"/>
  <c r="BW31" i="18" s="1"/>
  <c r="BT31" i="18"/>
  <c r="BS31" i="18"/>
  <c r="BR31" i="18" s="1"/>
  <c r="BQ31" i="18"/>
  <c r="BP31" i="18"/>
  <c r="BO31" i="18"/>
  <c r="BK31" i="18"/>
  <c r="BJ31" i="18"/>
  <c r="BI31" i="18"/>
  <c r="BF31" i="18"/>
  <c r="BE31" i="18"/>
  <c r="BD31" i="18"/>
  <c r="BB31" i="18"/>
  <c r="BC31" i="18" s="1"/>
  <c r="BA31" i="18"/>
  <c r="CI30" i="18"/>
  <c r="CH30" i="18"/>
  <c r="CE30" i="18"/>
  <c r="CD30" i="18"/>
  <c r="CC30" i="18"/>
  <c r="BZ30" i="18"/>
  <c r="BY30" i="18"/>
  <c r="BX30" i="18"/>
  <c r="BU30" i="18"/>
  <c r="BT30" i="18"/>
  <c r="BS30" i="18"/>
  <c r="BQ30" i="18"/>
  <c r="BP30" i="18"/>
  <c r="BR30" i="18" s="1"/>
  <c r="BO30" i="18"/>
  <c r="BK30" i="18"/>
  <c r="BL30" i="18" s="1"/>
  <c r="BJ30" i="18"/>
  <c r="BI30" i="18"/>
  <c r="BF30" i="18"/>
  <c r="BE30" i="18"/>
  <c r="BD30" i="18"/>
  <c r="BA30" i="18"/>
  <c r="CI29" i="18"/>
  <c r="CH29" i="18"/>
  <c r="CF29" i="18"/>
  <c r="CG29" i="18" s="1"/>
  <c r="CE29" i="18"/>
  <c r="CD29" i="18"/>
  <c r="CC29" i="18"/>
  <c r="BZ29" i="18"/>
  <c r="BY29" i="18"/>
  <c r="BX29" i="18"/>
  <c r="BU29" i="18"/>
  <c r="BT29" i="18"/>
  <c r="BS29" i="18"/>
  <c r="BP29" i="18"/>
  <c r="BO29" i="18"/>
  <c r="BL29" i="18"/>
  <c r="BK29" i="18"/>
  <c r="BM29" i="18" s="1"/>
  <c r="BJ29" i="18"/>
  <c r="BI29" i="18"/>
  <c r="BF29" i="18"/>
  <c r="BG29" i="18" s="1"/>
  <c r="BE29" i="18"/>
  <c r="BD29" i="18"/>
  <c r="BA29" i="18"/>
  <c r="CI28" i="18"/>
  <c r="CH28" i="18"/>
  <c r="CE28" i="18"/>
  <c r="CD28" i="18"/>
  <c r="CC28" i="18"/>
  <c r="CA28" i="18"/>
  <c r="CB28" i="18" s="1"/>
  <c r="BZ28" i="18"/>
  <c r="BY28" i="18"/>
  <c r="BX28" i="18"/>
  <c r="BU28" i="18"/>
  <c r="BT28" i="18"/>
  <c r="BS28" i="18"/>
  <c r="BQ28" i="18"/>
  <c r="BP28" i="18"/>
  <c r="BR28" i="18" s="1"/>
  <c r="BO28" i="18"/>
  <c r="BL28" i="18"/>
  <c r="BM28" i="18" s="1"/>
  <c r="BK28" i="18"/>
  <c r="BJ28" i="18"/>
  <c r="BI28" i="18"/>
  <c r="BG28" i="18"/>
  <c r="BF28" i="18"/>
  <c r="BH28" i="18" s="1"/>
  <c r="BE28" i="18"/>
  <c r="BD28" i="18"/>
  <c r="BC28" i="18"/>
  <c r="BA28" i="18"/>
  <c r="BB28" i="18" s="1"/>
  <c r="CI27" i="18"/>
  <c r="CH27" i="18"/>
  <c r="CE27" i="18"/>
  <c r="CD27" i="18"/>
  <c r="CC27" i="18"/>
  <c r="BZ27" i="18"/>
  <c r="BY27" i="18"/>
  <c r="BX27" i="18"/>
  <c r="BV27" i="18"/>
  <c r="BW27" i="18" s="1"/>
  <c r="BU27" i="18"/>
  <c r="BT27" i="18"/>
  <c r="BS27" i="18"/>
  <c r="BR27" i="18"/>
  <c r="BP27" i="18"/>
  <c r="BQ27" i="18" s="1"/>
  <c r="BO27" i="18"/>
  <c r="BK27" i="18"/>
  <c r="BJ27" i="18"/>
  <c r="BI27" i="18"/>
  <c r="BG27" i="18"/>
  <c r="BF27" i="18"/>
  <c r="BE27" i="18"/>
  <c r="BD27" i="18"/>
  <c r="BB27" i="18"/>
  <c r="BA27" i="18"/>
  <c r="BC27" i="18" s="1"/>
  <c r="CI26" i="18"/>
  <c r="CH26" i="18"/>
  <c r="CG26" i="18"/>
  <c r="CE26" i="18"/>
  <c r="CF26" i="18" s="1"/>
  <c r="CD26" i="18"/>
  <c r="CC26" i="18"/>
  <c r="BZ26" i="18"/>
  <c r="BY26" i="18"/>
  <c r="BX26" i="18"/>
  <c r="BU26" i="18"/>
  <c r="BT26" i="18"/>
  <c r="BS26" i="18"/>
  <c r="BQ26" i="18"/>
  <c r="BR26" i="18" s="1"/>
  <c r="BP26" i="18"/>
  <c r="BO26" i="18"/>
  <c r="BM26" i="18"/>
  <c r="BK26" i="18"/>
  <c r="BL26" i="18" s="1"/>
  <c r="BJ26" i="18"/>
  <c r="BI26" i="18"/>
  <c r="BF26" i="18"/>
  <c r="BE26" i="18"/>
  <c r="BD26" i="18"/>
  <c r="BB26" i="18"/>
  <c r="BA26" i="18"/>
  <c r="CI25" i="18"/>
  <c r="CH25" i="18"/>
  <c r="CF25" i="18"/>
  <c r="CE25" i="18"/>
  <c r="CG25" i="18" s="1"/>
  <c r="CD25" i="18"/>
  <c r="CC25" i="18"/>
  <c r="CB25" i="18"/>
  <c r="BZ25" i="18"/>
  <c r="CA25" i="18" s="1"/>
  <c r="BY25" i="18"/>
  <c r="BX25" i="18"/>
  <c r="BU25" i="18"/>
  <c r="BT25" i="18"/>
  <c r="BS25" i="18"/>
  <c r="BP25" i="18"/>
  <c r="BO25" i="18"/>
  <c r="BL25" i="18"/>
  <c r="BK25" i="18"/>
  <c r="BJ25" i="18"/>
  <c r="BI25" i="18"/>
  <c r="BH25" i="18"/>
  <c r="BF25" i="18"/>
  <c r="BG25" i="18" s="1"/>
  <c r="BE25" i="18"/>
  <c r="BD25" i="18"/>
  <c r="BA25" i="18"/>
  <c r="CI24" i="18"/>
  <c r="CH24" i="18"/>
  <c r="CF24" i="18"/>
  <c r="CG24" i="18" s="1"/>
  <c r="CE24" i="18"/>
  <c r="CD24" i="18"/>
  <c r="CC24" i="18"/>
  <c r="CA24" i="18"/>
  <c r="BZ24" i="18"/>
  <c r="CB24" i="18" s="1"/>
  <c r="BY24" i="18"/>
  <c r="BX24" i="18"/>
  <c r="BW24" i="18"/>
  <c r="BU24" i="18"/>
  <c r="BV24" i="18" s="1"/>
  <c r="BT24" i="18"/>
  <c r="BS24" i="18"/>
  <c r="BP24" i="18"/>
  <c r="BO24" i="18"/>
  <c r="BK24" i="18"/>
  <c r="BJ24" i="18"/>
  <c r="BI24" i="18"/>
  <c r="BG24" i="18"/>
  <c r="BH24" i="18" s="1"/>
  <c r="BF24" i="18"/>
  <c r="BE24" i="18"/>
  <c r="BD24" i="18"/>
  <c r="BC24" i="18"/>
  <c r="BA24" i="18"/>
  <c r="BB24" i="18" s="1"/>
  <c r="CI23" i="18"/>
  <c r="CH23" i="18"/>
  <c r="CF23" i="18"/>
  <c r="CG23" i="18" s="1"/>
  <c r="CE23" i="18"/>
  <c r="CD23" i="18"/>
  <c r="CC23" i="18"/>
  <c r="CB23" i="18"/>
  <c r="BZ23" i="18"/>
  <c r="CA23" i="18" s="1"/>
  <c r="BY23" i="18"/>
  <c r="BX23" i="18"/>
  <c r="BU23" i="18"/>
  <c r="BV23" i="18" s="1"/>
  <c r="R23" i="18" s="1"/>
  <c r="BT23" i="18"/>
  <c r="BS23" i="18"/>
  <c r="BP23" i="18"/>
  <c r="BQ23" i="18" s="1"/>
  <c r="BR23" i="18" s="1"/>
  <c r="BO23" i="18"/>
  <c r="BL23" i="18"/>
  <c r="BK23" i="18"/>
  <c r="BJ23" i="18"/>
  <c r="BI23" i="18"/>
  <c r="BF23" i="18"/>
  <c r="BE23" i="18"/>
  <c r="BD23" i="18"/>
  <c r="BB23" i="18"/>
  <c r="BC23" i="18" s="1"/>
  <c r="BA23" i="18"/>
  <c r="CI22" i="18"/>
  <c r="CH22" i="18"/>
  <c r="CE22" i="18"/>
  <c r="CF22" i="18" s="1"/>
  <c r="CD22" i="18"/>
  <c r="CC22" i="18"/>
  <c r="BZ22" i="18"/>
  <c r="BY22" i="18"/>
  <c r="BW22" i="18" s="1"/>
  <c r="BX22" i="18"/>
  <c r="BU22" i="18"/>
  <c r="BV22" i="18" s="1"/>
  <c r="BT22" i="18"/>
  <c r="BS22" i="18"/>
  <c r="BQ22" i="18"/>
  <c r="BP22" i="18"/>
  <c r="BO22" i="18"/>
  <c r="BM22" i="18"/>
  <c r="BL22" i="18"/>
  <c r="BK22" i="18"/>
  <c r="BJ22" i="18"/>
  <c r="BI22" i="18"/>
  <c r="BF22" i="18"/>
  <c r="BE22" i="18"/>
  <c r="BD22" i="18"/>
  <c r="BA22" i="18"/>
  <c r="CI21" i="18"/>
  <c r="CH21" i="18"/>
  <c r="CG21" i="18"/>
  <c r="CF21" i="18"/>
  <c r="CE21" i="18"/>
  <c r="CD21" i="18"/>
  <c r="CC21" i="18"/>
  <c r="BZ21" i="18"/>
  <c r="CA21" i="18" s="1"/>
  <c r="BY21" i="18"/>
  <c r="BX21" i="18"/>
  <c r="BU21" i="18"/>
  <c r="BT21" i="18"/>
  <c r="BS21" i="18"/>
  <c r="BP21" i="18"/>
  <c r="BO21" i="18"/>
  <c r="BL21" i="18"/>
  <c r="BK21" i="18"/>
  <c r="BM21" i="18" s="1"/>
  <c r="BJ21" i="18"/>
  <c r="BI21" i="18"/>
  <c r="BF21" i="18"/>
  <c r="BG21" i="18" s="1"/>
  <c r="BH21" i="18" s="1"/>
  <c r="BE21" i="18"/>
  <c r="BD21" i="18"/>
  <c r="BA21" i="18"/>
  <c r="CI20" i="18"/>
  <c r="CH20" i="18"/>
  <c r="CE20" i="18"/>
  <c r="CD20" i="18"/>
  <c r="CC20" i="18"/>
  <c r="CA20" i="18"/>
  <c r="CB20" i="18" s="1"/>
  <c r="BZ20" i="18"/>
  <c r="BY20" i="18"/>
  <c r="BX20" i="18"/>
  <c r="BU20" i="18"/>
  <c r="BV20" i="18" s="1"/>
  <c r="BT20" i="18"/>
  <c r="BS20" i="18"/>
  <c r="BP20" i="18"/>
  <c r="BO20" i="18"/>
  <c r="BK20" i="18"/>
  <c r="BJ20" i="18"/>
  <c r="BI20" i="18"/>
  <c r="BG20" i="18"/>
  <c r="BF20" i="18"/>
  <c r="BH20" i="18" s="1"/>
  <c r="BE20" i="18"/>
  <c r="BD20" i="18"/>
  <c r="BA20" i="18"/>
  <c r="BB20" i="18" s="1"/>
  <c r="BC20" i="18" s="1"/>
  <c r="CI19" i="18"/>
  <c r="CH19" i="18"/>
  <c r="CE19" i="18"/>
  <c r="CD19" i="18"/>
  <c r="CC19" i="18"/>
  <c r="BZ19" i="18"/>
  <c r="BY19" i="18"/>
  <c r="BX19" i="18"/>
  <c r="BU19" i="18"/>
  <c r="BV19" i="18" s="1"/>
  <c r="BT19" i="18"/>
  <c r="BS19" i="18"/>
  <c r="BP19" i="18"/>
  <c r="BQ19" i="18" s="1"/>
  <c r="BO19" i="18"/>
  <c r="BK19" i="18"/>
  <c r="BJ19" i="18"/>
  <c r="BI19" i="18"/>
  <c r="BF19" i="18"/>
  <c r="BE19" i="18"/>
  <c r="BD19" i="18"/>
  <c r="BB19" i="18"/>
  <c r="BA19" i="18"/>
  <c r="BC19" i="18" s="1"/>
  <c r="CI18" i="18"/>
  <c r="CG18" i="18" s="1"/>
  <c r="CH18" i="18"/>
  <c r="CF18" i="18"/>
  <c r="CE18" i="18"/>
  <c r="CD18" i="18"/>
  <c r="CC18" i="18"/>
  <c r="BZ18" i="18"/>
  <c r="BY18" i="18"/>
  <c r="BX18" i="18"/>
  <c r="BU18" i="18"/>
  <c r="BT18" i="18"/>
  <c r="BS18" i="18"/>
  <c r="BQ18" i="18"/>
  <c r="BR18" i="18" s="1"/>
  <c r="BP18" i="18"/>
  <c r="BO18" i="18"/>
  <c r="BK18" i="18"/>
  <c r="BL18" i="18" s="1"/>
  <c r="BJ18" i="18"/>
  <c r="BI18" i="18"/>
  <c r="BF18" i="18"/>
  <c r="BE18" i="18"/>
  <c r="BD18" i="18"/>
  <c r="BA18" i="18"/>
  <c r="CI17" i="18"/>
  <c r="CH17" i="18"/>
  <c r="CF17" i="18"/>
  <c r="CE17" i="18"/>
  <c r="CD17" i="18"/>
  <c r="CC17" i="18"/>
  <c r="BZ17" i="18"/>
  <c r="CA17" i="18" s="1"/>
  <c r="BY17" i="18"/>
  <c r="BX17" i="18"/>
  <c r="BV17" i="18"/>
  <c r="BU17" i="18"/>
  <c r="BT17" i="18"/>
  <c r="BS17" i="18"/>
  <c r="BP17" i="18"/>
  <c r="BO17" i="18"/>
  <c r="BL17" i="18"/>
  <c r="BK17" i="18"/>
  <c r="BJ17" i="18"/>
  <c r="BI17" i="18"/>
  <c r="BF17" i="18"/>
  <c r="BG17" i="18" s="1"/>
  <c r="BE17" i="18"/>
  <c r="BD17" i="18"/>
  <c r="BA17" i="18"/>
  <c r="BB17" i="18" s="1"/>
  <c r="BC17" i="18" s="1"/>
  <c r="CI16" i="18"/>
  <c r="CH16" i="18"/>
  <c r="CE16" i="18"/>
  <c r="CD16" i="18"/>
  <c r="CC16" i="18"/>
  <c r="CA16" i="18"/>
  <c r="U16" i="18" s="1"/>
  <c r="BZ16" i="18"/>
  <c r="BY16" i="18"/>
  <c r="BX16" i="18"/>
  <c r="BU16" i="18"/>
  <c r="BV16" i="18" s="1"/>
  <c r="BT16" i="18"/>
  <c r="BS16" i="18"/>
  <c r="BQ16" i="18"/>
  <c r="BP16" i="18"/>
  <c r="BO16" i="18"/>
  <c r="BK16" i="18"/>
  <c r="BJ16" i="18"/>
  <c r="BI16" i="18"/>
  <c r="BG16" i="18"/>
  <c r="BH16" i="18" s="1"/>
  <c r="BF16" i="18"/>
  <c r="BE16" i="18"/>
  <c r="BD16" i="18"/>
  <c r="BA16" i="18"/>
  <c r="BB16" i="18" s="1"/>
  <c r="CI15" i="18"/>
  <c r="CH15" i="18"/>
  <c r="CE15" i="18"/>
  <c r="CD15" i="18"/>
  <c r="CC15" i="18"/>
  <c r="BZ15" i="18"/>
  <c r="BY15" i="18"/>
  <c r="BX15" i="18"/>
  <c r="BU15" i="18"/>
  <c r="BV15" i="18" s="1"/>
  <c r="R15" i="18" s="1"/>
  <c r="BT15" i="18"/>
  <c r="BS15" i="18"/>
  <c r="BP15" i="18"/>
  <c r="BQ15" i="18" s="1"/>
  <c r="BR15" i="18" s="1"/>
  <c r="BO15" i="18"/>
  <c r="BK15" i="18"/>
  <c r="BL15" i="18" s="1"/>
  <c r="L15" i="18" s="1"/>
  <c r="BJ15" i="18"/>
  <c r="BI15" i="18"/>
  <c r="BF15" i="18"/>
  <c r="BE15" i="18"/>
  <c r="BD15" i="18"/>
  <c r="BA15" i="18"/>
  <c r="BB15" i="18" s="1"/>
  <c r="CI14" i="18"/>
  <c r="CH14" i="18"/>
  <c r="CE14" i="18"/>
  <c r="CF14" i="18" s="1"/>
  <c r="CD14" i="18"/>
  <c r="CC14" i="18"/>
  <c r="BZ14" i="18"/>
  <c r="BY14" i="18"/>
  <c r="BX14" i="18"/>
  <c r="BU14" i="18"/>
  <c r="BT14" i="18"/>
  <c r="BS14" i="18"/>
  <c r="BQ14" i="18"/>
  <c r="O14" i="18" s="1"/>
  <c r="BP14" i="18"/>
  <c r="BO14" i="18"/>
  <c r="BK14" i="18"/>
  <c r="BL14" i="18" s="1"/>
  <c r="BM14" i="18" s="1"/>
  <c r="BJ14" i="18"/>
  <c r="BI14" i="18"/>
  <c r="BG14" i="18"/>
  <c r="BF14" i="18"/>
  <c r="BE14" i="18"/>
  <c r="BD14" i="18"/>
  <c r="BA14" i="18"/>
  <c r="CI13" i="18"/>
  <c r="CH13" i="18"/>
  <c r="CE13" i="18"/>
  <c r="CF13" i="18" s="1"/>
  <c r="CD13" i="18"/>
  <c r="CC13" i="18"/>
  <c r="BZ13" i="18"/>
  <c r="CA13" i="18" s="1"/>
  <c r="BY13" i="18"/>
  <c r="BX13" i="18"/>
  <c r="BU13" i="18"/>
  <c r="BV13" i="18" s="1"/>
  <c r="R13" i="18" s="1"/>
  <c r="BT13" i="18"/>
  <c r="BS13" i="18"/>
  <c r="BQ13" i="18"/>
  <c r="BP13" i="18"/>
  <c r="BO13" i="18"/>
  <c r="BL13" i="18"/>
  <c r="BK13" i="18"/>
  <c r="BJ13" i="18"/>
  <c r="BI13" i="18"/>
  <c r="BF13" i="18"/>
  <c r="BG13" i="18" s="1"/>
  <c r="BE13" i="18"/>
  <c r="BD13" i="18"/>
  <c r="BA13" i="18"/>
  <c r="CI12" i="18"/>
  <c r="CH12" i="18"/>
  <c r="CE12" i="18"/>
  <c r="CD12" i="18"/>
  <c r="CC12" i="18"/>
  <c r="BZ12" i="18"/>
  <c r="BY12" i="18"/>
  <c r="BX12" i="18"/>
  <c r="BU12" i="18"/>
  <c r="BV12" i="18" s="1"/>
  <c r="BT12" i="18"/>
  <c r="BS12" i="18"/>
  <c r="BP12" i="18"/>
  <c r="BO12" i="18"/>
  <c r="BL12" i="18"/>
  <c r="BM12" i="18" s="1"/>
  <c r="BK12" i="18"/>
  <c r="BJ12" i="18"/>
  <c r="BI12" i="18"/>
  <c r="BF12" i="18"/>
  <c r="BE12" i="18"/>
  <c r="BD12" i="18"/>
  <c r="BC12" i="18"/>
  <c r="BA12" i="18"/>
  <c r="BB12" i="18" s="1"/>
  <c r="CI11" i="18"/>
  <c r="CH11" i="18"/>
  <c r="CE11" i="18"/>
  <c r="CD11" i="18"/>
  <c r="CC11" i="18"/>
  <c r="BZ11" i="18"/>
  <c r="BY11" i="18"/>
  <c r="BX11" i="18"/>
  <c r="BU11" i="18"/>
  <c r="BV11" i="18" s="1"/>
  <c r="BT11" i="18"/>
  <c r="BS11" i="18"/>
  <c r="BP11" i="18"/>
  <c r="BQ11" i="18" s="1"/>
  <c r="BO11" i="18"/>
  <c r="BK11" i="18"/>
  <c r="BJ11" i="18"/>
  <c r="BI11" i="18"/>
  <c r="BF11" i="18"/>
  <c r="BG11" i="18" s="1"/>
  <c r="I11" i="18" s="1"/>
  <c r="BE11" i="18"/>
  <c r="BD11" i="18"/>
  <c r="BA11" i="18"/>
  <c r="CI10" i="18"/>
  <c r="CH10" i="18"/>
  <c r="CE10" i="18"/>
  <c r="CF10" i="18" s="1"/>
  <c r="CD10" i="18"/>
  <c r="CC10" i="18"/>
  <c r="BZ10" i="18"/>
  <c r="BY10" i="18"/>
  <c r="BX10" i="18"/>
  <c r="BU10" i="18"/>
  <c r="BT10" i="18"/>
  <c r="BS10" i="18"/>
  <c r="BP10" i="18"/>
  <c r="BO10" i="18"/>
  <c r="BK10" i="18"/>
  <c r="BL10" i="18" s="1"/>
  <c r="L10" i="18" s="1"/>
  <c r="BJ10" i="18"/>
  <c r="BI10" i="18"/>
  <c r="BF10" i="18"/>
  <c r="BG10" i="18" s="1"/>
  <c r="BE10" i="18"/>
  <c r="BD10" i="18"/>
  <c r="BA10" i="18"/>
  <c r="CI9" i="18"/>
  <c r="CH9" i="18"/>
  <c r="CE9" i="18"/>
  <c r="CF9" i="18" s="1"/>
  <c r="X9" i="18" s="1"/>
  <c r="CD9" i="18"/>
  <c r="CC9" i="18"/>
  <c r="BZ9" i="18"/>
  <c r="CA9" i="18" s="1"/>
  <c r="BY9" i="18"/>
  <c r="BX9" i="18"/>
  <c r="BU9" i="18"/>
  <c r="BT9" i="18"/>
  <c r="BS9" i="18"/>
  <c r="BP9" i="18"/>
  <c r="BO9" i="18"/>
  <c r="BK9" i="18"/>
  <c r="BJ9" i="18"/>
  <c r="BI9" i="18"/>
  <c r="BF9" i="18"/>
  <c r="BG9" i="18" s="1"/>
  <c r="BE9" i="18"/>
  <c r="BD9" i="18"/>
  <c r="BA9" i="18"/>
  <c r="BB9" i="18" s="1"/>
  <c r="CI8" i="18"/>
  <c r="CH8" i="18"/>
  <c r="CE8" i="18"/>
  <c r="CD8" i="18"/>
  <c r="CC8" i="18"/>
  <c r="BZ8" i="18"/>
  <c r="CA8" i="18" s="1"/>
  <c r="BY8" i="18"/>
  <c r="BX8" i="18"/>
  <c r="BU8" i="18"/>
  <c r="BV8" i="18" s="1"/>
  <c r="BT8" i="18"/>
  <c r="BS8" i="18"/>
  <c r="BP8" i="18"/>
  <c r="BO8" i="18"/>
  <c r="BK8" i="18"/>
  <c r="BJ8" i="18"/>
  <c r="BI8" i="18"/>
  <c r="BF8" i="18"/>
  <c r="BE8" i="18"/>
  <c r="BD8" i="18"/>
  <c r="BA8" i="18"/>
  <c r="BB8" i="18" s="1"/>
  <c r="F8" i="18" s="1"/>
  <c r="CI7" i="18"/>
  <c r="CH7" i="18"/>
  <c r="CE7" i="18"/>
  <c r="CF7" i="18" s="1"/>
  <c r="CD7" i="18"/>
  <c r="CC7" i="18"/>
  <c r="BZ7" i="18"/>
  <c r="BY7" i="18"/>
  <c r="BX7" i="18"/>
  <c r="BU7" i="18"/>
  <c r="BV7" i="18" s="1"/>
  <c r="R7" i="18" s="1"/>
  <c r="BT7" i="18"/>
  <c r="BS7" i="18"/>
  <c r="BP7" i="18"/>
  <c r="BQ7" i="18" s="1"/>
  <c r="BO7" i="18"/>
  <c r="BK7" i="18"/>
  <c r="BJ7" i="18"/>
  <c r="BI7" i="18"/>
  <c r="BF7" i="18"/>
  <c r="BE7" i="18"/>
  <c r="BD7" i="18"/>
  <c r="BA7" i="18"/>
  <c r="CI6" i="18"/>
  <c r="CH6" i="18"/>
  <c r="CE6" i="18"/>
  <c r="CF6" i="18" s="1"/>
  <c r="X6" i="18" s="1"/>
  <c r="CD6" i="18"/>
  <c r="CC6" i="18"/>
  <c r="BZ6" i="18"/>
  <c r="CA6" i="18" s="1"/>
  <c r="BY6" i="18"/>
  <c r="BX6" i="18"/>
  <c r="BU6" i="18"/>
  <c r="BT6" i="18"/>
  <c r="BS6" i="18"/>
  <c r="BP6" i="18"/>
  <c r="BO6" i="18"/>
  <c r="BK6" i="18"/>
  <c r="BL6" i="18" s="1"/>
  <c r="BJ6" i="18"/>
  <c r="BI6" i="18"/>
  <c r="BF6" i="18"/>
  <c r="BE6" i="18"/>
  <c r="BD6" i="18"/>
  <c r="BA6" i="18"/>
  <c r="CI5" i="18"/>
  <c r="CH5" i="18"/>
  <c r="CE5" i="18"/>
  <c r="CD5" i="18"/>
  <c r="CC5" i="18"/>
  <c r="BZ5" i="18"/>
  <c r="CA5" i="18" s="1"/>
  <c r="U5" i="18" s="1"/>
  <c r="BY5" i="18"/>
  <c r="BX5" i="18"/>
  <c r="BU5" i="18"/>
  <c r="BV5" i="18" s="1"/>
  <c r="BT5" i="18"/>
  <c r="BS5" i="18"/>
  <c r="BP5" i="18"/>
  <c r="BO5" i="18"/>
  <c r="BK5" i="18"/>
  <c r="BL5" i="18" s="1"/>
  <c r="BJ5" i="18"/>
  <c r="BI5" i="18"/>
  <c r="BF5" i="18"/>
  <c r="BG5" i="18" s="1"/>
  <c r="BE5" i="18"/>
  <c r="BD5" i="18"/>
  <c r="BA5" i="18"/>
  <c r="CI4" i="18"/>
  <c r="CH4" i="18"/>
  <c r="CE4" i="18"/>
  <c r="CD4" i="18"/>
  <c r="CC4" i="18"/>
  <c r="BZ4" i="18"/>
  <c r="BY4" i="18"/>
  <c r="BX4" i="18"/>
  <c r="BU4" i="18"/>
  <c r="BV4" i="18" s="1"/>
  <c r="BT4" i="18"/>
  <c r="BS4" i="18"/>
  <c r="BP4" i="18"/>
  <c r="BQ4" i="18" s="1"/>
  <c r="BO4" i="18"/>
  <c r="BK4" i="18"/>
  <c r="BJ4" i="18"/>
  <c r="BI4" i="18"/>
  <c r="BF4" i="18"/>
  <c r="BG4" i="18" s="1"/>
  <c r="BE4" i="18"/>
  <c r="BD4" i="18"/>
  <c r="BA4" i="18"/>
  <c r="CI3" i="18"/>
  <c r="CH3" i="18"/>
  <c r="CE3" i="18"/>
  <c r="CD3" i="18"/>
  <c r="CC3" i="18"/>
  <c r="BZ3" i="18"/>
  <c r="BY3" i="18"/>
  <c r="BX3" i="18"/>
  <c r="BU3" i="18"/>
  <c r="BT3" i="18"/>
  <c r="BS3" i="18"/>
  <c r="BP3" i="18"/>
  <c r="BQ3" i="18" s="1"/>
  <c r="O3" i="18" s="1"/>
  <c r="BO3" i="18"/>
  <c r="BK3" i="18"/>
  <c r="BL3" i="18" s="1"/>
  <c r="BJ3" i="18"/>
  <c r="BI3" i="18"/>
  <c r="BF3" i="18"/>
  <c r="BE3" i="18"/>
  <c r="BD3" i="18"/>
  <c r="BA3" i="18"/>
  <c r="BB3" i="18" s="1"/>
  <c r="F3" i="18" s="1"/>
  <c r="CI2" i="18"/>
  <c r="CH2" i="18"/>
  <c r="CE2" i="18"/>
  <c r="CD2" i="18"/>
  <c r="CC2" i="18"/>
  <c r="BZ2" i="18"/>
  <c r="CA2" i="18" s="1"/>
  <c r="BY2" i="18"/>
  <c r="BX2" i="18"/>
  <c r="BU2" i="18"/>
  <c r="BV2" i="18" s="1"/>
  <c r="R2" i="18" s="1"/>
  <c r="BT2" i="18"/>
  <c r="BS2" i="18"/>
  <c r="BP2" i="18"/>
  <c r="BO2" i="18"/>
  <c r="BK2" i="18"/>
  <c r="BL2" i="18" s="1"/>
  <c r="BJ2" i="18"/>
  <c r="BI2" i="18"/>
  <c r="BF2" i="18"/>
  <c r="BG2" i="18" s="1"/>
  <c r="BE2" i="18"/>
  <c r="BD2" i="18"/>
  <c r="BA2" i="18"/>
  <c r="BB2" i="18" s="1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G80" i="2" s="1"/>
  <c r="CH79" i="2"/>
  <c r="CH78" i="2"/>
  <c r="CH77" i="2"/>
  <c r="CH76" i="2"/>
  <c r="CH75" i="2"/>
  <c r="CH74" i="2"/>
  <c r="CH73" i="2"/>
  <c r="CH72" i="2"/>
  <c r="CH71" i="2"/>
  <c r="CH70" i="2"/>
  <c r="CG70" i="2" s="1"/>
  <c r="CH69" i="2"/>
  <c r="CG69" i="2" s="1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G56" i="2" s="1"/>
  <c r="CH55" i="2"/>
  <c r="CH54" i="2"/>
  <c r="CH53" i="2"/>
  <c r="CH52" i="2"/>
  <c r="CH51" i="2"/>
  <c r="CH50" i="2"/>
  <c r="CH49" i="2"/>
  <c r="CH48" i="2"/>
  <c r="CH47" i="2"/>
  <c r="CH46" i="2"/>
  <c r="CG46" i="2" s="1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  <c r="CD100" i="2"/>
  <c r="CC100" i="2"/>
  <c r="CD99" i="2"/>
  <c r="CC99" i="2"/>
  <c r="CD98" i="2"/>
  <c r="CC98" i="2"/>
  <c r="CD97" i="2"/>
  <c r="CC97" i="2"/>
  <c r="CD96" i="2"/>
  <c r="CC96" i="2"/>
  <c r="CD95" i="2"/>
  <c r="CC95" i="2"/>
  <c r="CD94" i="2"/>
  <c r="CC94" i="2"/>
  <c r="CD93" i="2"/>
  <c r="CC93" i="2"/>
  <c r="CD92" i="2"/>
  <c r="CC92" i="2"/>
  <c r="CD91" i="2"/>
  <c r="CC91" i="2"/>
  <c r="CD90" i="2"/>
  <c r="CC90" i="2"/>
  <c r="CD89" i="2"/>
  <c r="CC89" i="2"/>
  <c r="CD88" i="2"/>
  <c r="CC88" i="2"/>
  <c r="CD87" i="2"/>
  <c r="CC87" i="2"/>
  <c r="CD86" i="2"/>
  <c r="CC86" i="2"/>
  <c r="CD85" i="2"/>
  <c r="CC85" i="2"/>
  <c r="CD84" i="2"/>
  <c r="CC84" i="2"/>
  <c r="CD83" i="2"/>
  <c r="CC83" i="2"/>
  <c r="CD82" i="2"/>
  <c r="CC82" i="2"/>
  <c r="CD81" i="2"/>
  <c r="CC81" i="2"/>
  <c r="CD80" i="2"/>
  <c r="CC80" i="2"/>
  <c r="CD79" i="2"/>
  <c r="CC79" i="2"/>
  <c r="CD78" i="2"/>
  <c r="CC78" i="2"/>
  <c r="CD77" i="2"/>
  <c r="CC77" i="2"/>
  <c r="CD76" i="2"/>
  <c r="CC76" i="2"/>
  <c r="CD75" i="2"/>
  <c r="CC75" i="2"/>
  <c r="CD74" i="2"/>
  <c r="CC74" i="2"/>
  <c r="CD73" i="2"/>
  <c r="CC73" i="2"/>
  <c r="CD72" i="2"/>
  <c r="CC72" i="2"/>
  <c r="CD71" i="2"/>
  <c r="CC71" i="2"/>
  <c r="CB71" i="2" s="1"/>
  <c r="CD70" i="2"/>
  <c r="CC70" i="2"/>
  <c r="CD69" i="2"/>
  <c r="CC69" i="2"/>
  <c r="CD68" i="2"/>
  <c r="CC68" i="2"/>
  <c r="CD67" i="2"/>
  <c r="CC67" i="2"/>
  <c r="CD66" i="2"/>
  <c r="CC66" i="2"/>
  <c r="CD65" i="2"/>
  <c r="CC65" i="2"/>
  <c r="CD64" i="2"/>
  <c r="CC64" i="2"/>
  <c r="CD63" i="2"/>
  <c r="CC63" i="2"/>
  <c r="CD62" i="2"/>
  <c r="CC62" i="2"/>
  <c r="CD61" i="2"/>
  <c r="CC61" i="2"/>
  <c r="CD60" i="2"/>
  <c r="CC60" i="2"/>
  <c r="CD59" i="2"/>
  <c r="CC59" i="2"/>
  <c r="CD58" i="2"/>
  <c r="CC58" i="2"/>
  <c r="CD57" i="2"/>
  <c r="CC57" i="2"/>
  <c r="CD56" i="2"/>
  <c r="CC56" i="2"/>
  <c r="CD55" i="2"/>
  <c r="CC55" i="2"/>
  <c r="CD54" i="2"/>
  <c r="CC54" i="2"/>
  <c r="CD53" i="2"/>
  <c r="CB53" i="2" s="1"/>
  <c r="CC53" i="2"/>
  <c r="CD52" i="2"/>
  <c r="CC52" i="2"/>
  <c r="CD51" i="2"/>
  <c r="CC51" i="2"/>
  <c r="CD50" i="2"/>
  <c r="CC50" i="2"/>
  <c r="CB50" i="2" s="1"/>
  <c r="CD49" i="2"/>
  <c r="CC49" i="2"/>
  <c r="CD48" i="2"/>
  <c r="CC48" i="2"/>
  <c r="CD47" i="2"/>
  <c r="CC47" i="2"/>
  <c r="CD46" i="2"/>
  <c r="CC46" i="2"/>
  <c r="CD45" i="2"/>
  <c r="CB45" i="2" s="1"/>
  <c r="CC45" i="2"/>
  <c r="CD44" i="2"/>
  <c r="CC44" i="2"/>
  <c r="CD43" i="2"/>
  <c r="CC43" i="2"/>
  <c r="CD42" i="2"/>
  <c r="CC42" i="2"/>
  <c r="CD41" i="2"/>
  <c r="CB41" i="2" s="1"/>
  <c r="CC41" i="2"/>
  <c r="CD40" i="2"/>
  <c r="CC40" i="2"/>
  <c r="CD39" i="2"/>
  <c r="CC39" i="2"/>
  <c r="CD38" i="2"/>
  <c r="CC38" i="2"/>
  <c r="CD37" i="2"/>
  <c r="CC37" i="2"/>
  <c r="CD36" i="2"/>
  <c r="CC36" i="2"/>
  <c r="CD35" i="2"/>
  <c r="CC35" i="2"/>
  <c r="CD34" i="2"/>
  <c r="CC34" i="2"/>
  <c r="CB34" i="2" s="1"/>
  <c r="CD33" i="2"/>
  <c r="CC33" i="2"/>
  <c r="CD32" i="2"/>
  <c r="CC32" i="2"/>
  <c r="CD31" i="2"/>
  <c r="CC31" i="2"/>
  <c r="CD30" i="2"/>
  <c r="CC30" i="2"/>
  <c r="CD29" i="2"/>
  <c r="CC29" i="2"/>
  <c r="CD28" i="2"/>
  <c r="CC28" i="2"/>
  <c r="CD27" i="2"/>
  <c r="CC27" i="2"/>
  <c r="CD26" i="2"/>
  <c r="CC26" i="2"/>
  <c r="CD25" i="2"/>
  <c r="CC25" i="2"/>
  <c r="CD24" i="2"/>
  <c r="CC24" i="2"/>
  <c r="CD23" i="2"/>
  <c r="CC23" i="2"/>
  <c r="CD22" i="2"/>
  <c r="CC22" i="2"/>
  <c r="CD21" i="2"/>
  <c r="CC21" i="2"/>
  <c r="CD20" i="2"/>
  <c r="CC20" i="2"/>
  <c r="CD19" i="2"/>
  <c r="CC19" i="2"/>
  <c r="CD18" i="2"/>
  <c r="CC18" i="2"/>
  <c r="CD17" i="2"/>
  <c r="CC17" i="2"/>
  <c r="CD16" i="2"/>
  <c r="CC16" i="2"/>
  <c r="CD15" i="2"/>
  <c r="CC15" i="2"/>
  <c r="CD14" i="2"/>
  <c r="CC14" i="2"/>
  <c r="CD13" i="2"/>
  <c r="CC13" i="2"/>
  <c r="CD12" i="2"/>
  <c r="CC12" i="2"/>
  <c r="CD11" i="2"/>
  <c r="CC11" i="2"/>
  <c r="CD10" i="2"/>
  <c r="CC10" i="2"/>
  <c r="CD9" i="2"/>
  <c r="CC9" i="2"/>
  <c r="CD8" i="2"/>
  <c r="CC8" i="2"/>
  <c r="CD7" i="2"/>
  <c r="CC7" i="2"/>
  <c r="CD6" i="2"/>
  <c r="CC6" i="2"/>
  <c r="CD5" i="2"/>
  <c r="CC5" i="2"/>
  <c r="CD4" i="2"/>
  <c r="CC4" i="2"/>
  <c r="CD3" i="2"/>
  <c r="CC3" i="2"/>
  <c r="CD2" i="2"/>
  <c r="CC2" i="2"/>
  <c r="BY100" i="2"/>
  <c r="BY99" i="2"/>
  <c r="BY98" i="2"/>
  <c r="BY97" i="2"/>
  <c r="BY96" i="2"/>
  <c r="BY95" i="2"/>
  <c r="BY94" i="2"/>
  <c r="BY93" i="2"/>
  <c r="BY92" i="2"/>
  <c r="BY91" i="2"/>
  <c r="BY90" i="2"/>
  <c r="BY89" i="2"/>
  <c r="BY88" i="2"/>
  <c r="BY87" i="2"/>
  <c r="BY86" i="2"/>
  <c r="BW86" i="2" s="1"/>
  <c r="BY85" i="2"/>
  <c r="BY84" i="2"/>
  <c r="BY83" i="2"/>
  <c r="BY82" i="2"/>
  <c r="BY81" i="2"/>
  <c r="BY80" i="2"/>
  <c r="BY79" i="2"/>
  <c r="BY78" i="2"/>
  <c r="BY77" i="2"/>
  <c r="BY76" i="2"/>
  <c r="BY75" i="2"/>
  <c r="BY74" i="2"/>
  <c r="BY73" i="2"/>
  <c r="BY72" i="2"/>
  <c r="BY71" i="2"/>
  <c r="BY70" i="2"/>
  <c r="BW70" i="2" s="1"/>
  <c r="BY69" i="2"/>
  <c r="BY68" i="2"/>
  <c r="BY67" i="2"/>
  <c r="BY66" i="2"/>
  <c r="BY65" i="2"/>
  <c r="BY64" i="2"/>
  <c r="BY63" i="2"/>
  <c r="BY62" i="2"/>
  <c r="BY61" i="2"/>
  <c r="BY60" i="2"/>
  <c r="BY59" i="2"/>
  <c r="BY58" i="2"/>
  <c r="BY57" i="2"/>
  <c r="BY56" i="2"/>
  <c r="BY55" i="2"/>
  <c r="BY54" i="2"/>
  <c r="BY53" i="2"/>
  <c r="BW53" i="2" s="1"/>
  <c r="BY52" i="2"/>
  <c r="BY51" i="2"/>
  <c r="BY50" i="2"/>
  <c r="BY49" i="2"/>
  <c r="BY48" i="2"/>
  <c r="BY47" i="2"/>
  <c r="BY46" i="2"/>
  <c r="BY45" i="2"/>
  <c r="BY44" i="2"/>
  <c r="BY43" i="2"/>
  <c r="BY42" i="2"/>
  <c r="BY41" i="2"/>
  <c r="BY40" i="2"/>
  <c r="BY39" i="2"/>
  <c r="BY38" i="2"/>
  <c r="BY37" i="2"/>
  <c r="BY36" i="2"/>
  <c r="BY35" i="2"/>
  <c r="BY34" i="2"/>
  <c r="BY33" i="2"/>
  <c r="BY32" i="2"/>
  <c r="BY31" i="2"/>
  <c r="BY30" i="2"/>
  <c r="BY29" i="2"/>
  <c r="BY28" i="2"/>
  <c r="BY27" i="2"/>
  <c r="BY26" i="2"/>
  <c r="BY25" i="2"/>
  <c r="BY24" i="2"/>
  <c r="BY23" i="2"/>
  <c r="BY22" i="2"/>
  <c r="BY21" i="2"/>
  <c r="BY20" i="2"/>
  <c r="BY19" i="2"/>
  <c r="BY18" i="2"/>
  <c r="BY17" i="2"/>
  <c r="BY16" i="2"/>
  <c r="BY15" i="2"/>
  <c r="BY14" i="2"/>
  <c r="BY13" i="2"/>
  <c r="BY12" i="2"/>
  <c r="BY11" i="2"/>
  <c r="BY10" i="2"/>
  <c r="BY9" i="2"/>
  <c r="BY8" i="2"/>
  <c r="BY7" i="2"/>
  <c r="BY6" i="2"/>
  <c r="BY5" i="2"/>
  <c r="BY4" i="2"/>
  <c r="BY3" i="2"/>
  <c r="BY2" i="2"/>
  <c r="BW48" i="2"/>
  <c r="BW23" i="2"/>
  <c r="CI100" i="2"/>
  <c r="CE100" i="2"/>
  <c r="BZ100" i="2"/>
  <c r="CA100" i="2" s="1"/>
  <c r="BX100" i="2"/>
  <c r="BU100" i="2"/>
  <c r="BT100" i="2"/>
  <c r="BS100" i="2"/>
  <c r="BP100" i="2"/>
  <c r="BO100" i="2"/>
  <c r="BM100" i="2" s="1"/>
  <c r="BL100" i="2"/>
  <c r="BK100" i="2"/>
  <c r="BJ100" i="2"/>
  <c r="BI100" i="2"/>
  <c r="BH100" i="2"/>
  <c r="BG100" i="2"/>
  <c r="BF100" i="2"/>
  <c r="BE100" i="2"/>
  <c r="BD100" i="2"/>
  <c r="BB100" i="2"/>
  <c r="BC100" i="2" s="1"/>
  <c r="BA100" i="2"/>
  <c r="CI99" i="2"/>
  <c r="CG99" i="2"/>
  <c r="CF99" i="2"/>
  <c r="CE99" i="2"/>
  <c r="CA99" i="2"/>
  <c r="BZ99" i="2"/>
  <c r="BX99" i="2"/>
  <c r="BU99" i="2"/>
  <c r="BV99" i="2" s="1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BD99" i="2"/>
  <c r="BA99" i="2"/>
  <c r="CI98" i="2"/>
  <c r="CF98" i="2"/>
  <c r="CG98" i="2" s="1"/>
  <c r="CE98" i="2"/>
  <c r="CA98" i="2"/>
  <c r="CB98" i="2" s="1"/>
  <c r="BZ98" i="2"/>
  <c r="BX98" i="2"/>
  <c r="BV98" i="2"/>
  <c r="BU98" i="2"/>
  <c r="BT98" i="2"/>
  <c r="BS98" i="2"/>
  <c r="BP98" i="2"/>
  <c r="BQ98" i="2" s="1"/>
  <c r="BR98" i="2" s="1"/>
  <c r="BO98" i="2"/>
  <c r="BL98" i="2"/>
  <c r="BM98" i="2" s="1"/>
  <c r="BK98" i="2"/>
  <c r="BJ98" i="2"/>
  <c r="BI98" i="2"/>
  <c r="BF98" i="2"/>
  <c r="BE98" i="2"/>
  <c r="BD98" i="2"/>
  <c r="BC98" i="2" s="1"/>
  <c r="BB98" i="2"/>
  <c r="BA98" i="2"/>
  <c r="CI97" i="2"/>
  <c r="CE97" i="2"/>
  <c r="CA97" i="2"/>
  <c r="BZ97" i="2"/>
  <c r="BX97" i="2"/>
  <c r="BV97" i="2"/>
  <c r="BU97" i="2"/>
  <c r="BT97" i="2"/>
  <c r="BS97" i="2"/>
  <c r="BP97" i="2"/>
  <c r="BO97" i="2"/>
  <c r="BK97" i="2"/>
  <c r="BL97" i="2" s="1"/>
  <c r="BM97" i="2" s="1"/>
  <c r="BJ97" i="2"/>
  <c r="BI97" i="2"/>
  <c r="BF97" i="2"/>
  <c r="BG97" i="2" s="1"/>
  <c r="BH97" i="2" s="1"/>
  <c r="BE97" i="2"/>
  <c r="BD97" i="2"/>
  <c r="BA97" i="2"/>
  <c r="CI96" i="2"/>
  <c r="CG96" i="2"/>
  <c r="CF96" i="2"/>
  <c r="CE96" i="2"/>
  <c r="BZ96" i="2"/>
  <c r="CA96" i="2" s="1"/>
  <c r="CB96" i="2" s="1"/>
  <c r="BX96" i="2"/>
  <c r="BV96" i="2"/>
  <c r="BU96" i="2"/>
  <c r="BT96" i="2"/>
  <c r="BS96" i="2"/>
  <c r="BQ96" i="2"/>
  <c r="BR96" i="2" s="1"/>
  <c r="BP96" i="2"/>
  <c r="BO96" i="2"/>
  <c r="BK96" i="2"/>
  <c r="BJ96" i="2"/>
  <c r="BI96" i="2"/>
  <c r="BF96" i="2"/>
  <c r="BG96" i="2" s="1"/>
  <c r="BE96" i="2"/>
  <c r="BD96" i="2"/>
  <c r="BA96" i="2"/>
  <c r="CI95" i="2"/>
  <c r="CE95" i="2"/>
  <c r="CB95" i="2"/>
  <c r="CA95" i="2"/>
  <c r="BZ95" i="2"/>
  <c r="BX95" i="2"/>
  <c r="BW95" i="2"/>
  <c r="BV95" i="2"/>
  <c r="BU95" i="2"/>
  <c r="BT95" i="2"/>
  <c r="BS95" i="2"/>
  <c r="BQ95" i="2"/>
  <c r="BR95" i="2" s="1"/>
  <c r="BP95" i="2"/>
  <c r="BO95" i="2"/>
  <c r="BL95" i="2"/>
  <c r="BK95" i="2"/>
  <c r="BJ95" i="2"/>
  <c r="BI95" i="2"/>
  <c r="BF95" i="2"/>
  <c r="BE95" i="2"/>
  <c r="BD95" i="2"/>
  <c r="BA95" i="2"/>
  <c r="BB95" i="2" s="1"/>
  <c r="CI94" i="2"/>
  <c r="CE94" i="2"/>
  <c r="BZ94" i="2"/>
  <c r="BX94" i="2"/>
  <c r="BW94" i="2"/>
  <c r="BV94" i="2"/>
  <c r="BU94" i="2"/>
  <c r="BT94" i="2"/>
  <c r="BS94" i="2"/>
  <c r="BP94" i="2"/>
  <c r="BO94" i="2"/>
  <c r="BL94" i="2"/>
  <c r="BK94" i="2"/>
  <c r="BJ94" i="2"/>
  <c r="BI94" i="2"/>
  <c r="BG94" i="2"/>
  <c r="BH94" i="2" s="1"/>
  <c r="BF94" i="2"/>
  <c r="BE94" i="2"/>
  <c r="BD94" i="2"/>
  <c r="BB94" i="2"/>
  <c r="BA94" i="2"/>
  <c r="CI93" i="2"/>
  <c r="CE93" i="2"/>
  <c r="CF93" i="2" s="1"/>
  <c r="CA93" i="2"/>
  <c r="CB93" i="2" s="1"/>
  <c r="BZ93" i="2"/>
  <c r="BX93" i="2"/>
  <c r="BU93" i="2"/>
  <c r="BT93" i="2"/>
  <c r="BS93" i="2"/>
  <c r="BR93" i="2" s="1"/>
  <c r="BQ93" i="2"/>
  <c r="BP93" i="2"/>
  <c r="BO93" i="2"/>
  <c r="BK93" i="2"/>
  <c r="BJ93" i="2"/>
  <c r="BI93" i="2"/>
  <c r="BG93" i="2"/>
  <c r="BF93" i="2"/>
  <c r="BE93" i="2"/>
  <c r="BD93" i="2"/>
  <c r="BB93" i="2"/>
  <c r="BC93" i="2" s="1"/>
  <c r="BA93" i="2"/>
  <c r="CI92" i="2"/>
  <c r="CE92" i="2"/>
  <c r="BZ92" i="2"/>
  <c r="CA92" i="2" s="1"/>
  <c r="CB92" i="2" s="1"/>
  <c r="BX92" i="2"/>
  <c r="BU92" i="2"/>
  <c r="BV92" i="2" s="1"/>
  <c r="BT92" i="2"/>
  <c r="BS92" i="2"/>
  <c r="BP92" i="2"/>
  <c r="BO92" i="2"/>
  <c r="BM92" i="2"/>
  <c r="BL92" i="2"/>
  <c r="BK92" i="2"/>
  <c r="BJ92" i="2"/>
  <c r="BI92" i="2"/>
  <c r="BF92" i="2"/>
  <c r="BE92" i="2"/>
  <c r="BD92" i="2"/>
  <c r="BB92" i="2"/>
  <c r="BA92" i="2"/>
  <c r="CI91" i="2"/>
  <c r="CF91" i="2"/>
  <c r="CG91" i="2" s="1"/>
  <c r="CE91" i="2"/>
  <c r="BZ91" i="2"/>
  <c r="BX91" i="2"/>
  <c r="BU91" i="2"/>
  <c r="BV91" i="2" s="1"/>
  <c r="BW91" i="2" s="1"/>
  <c r="BT91" i="2"/>
  <c r="BS91" i="2"/>
  <c r="BP91" i="2"/>
  <c r="BO91" i="2"/>
  <c r="BK91" i="2"/>
  <c r="BJ91" i="2"/>
  <c r="BH91" i="2" s="1"/>
  <c r="BI91" i="2"/>
  <c r="BG91" i="2"/>
  <c r="BF91" i="2"/>
  <c r="BE91" i="2"/>
  <c r="BD91" i="2"/>
  <c r="BC91" i="2"/>
  <c r="BB91" i="2"/>
  <c r="BA91" i="2"/>
  <c r="CI90" i="2"/>
  <c r="CF90" i="2"/>
  <c r="CG90" i="2" s="1"/>
  <c r="CE90" i="2"/>
  <c r="CA90" i="2"/>
  <c r="BZ90" i="2"/>
  <c r="BX90" i="2"/>
  <c r="BU90" i="2"/>
  <c r="BT90" i="2"/>
  <c r="BS90" i="2"/>
  <c r="BP90" i="2"/>
  <c r="BQ90" i="2" s="1"/>
  <c r="BO90" i="2"/>
  <c r="BK90" i="2"/>
  <c r="BJ90" i="2"/>
  <c r="BI90" i="2"/>
  <c r="BF90" i="2"/>
  <c r="BE90" i="2"/>
  <c r="BD90" i="2"/>
  <c r="BC90" i="2"/>
  <c r="BB90" i="2"/>
  <c r="BA90" i="2"/>
  <c r="CI89" i="2"/>
  <c r="CE89" i="2"/>
  <c r="CA89" i="2"/>
  <c r="BZ89" i="2"/>
  <c r="BX89" i="2"/>
  <c r="BV89" i="2"/>
  <c r="BW89" i="2" s="1"/>
  <c r="BU89" i="2"/>
  <c r="BT89" i="2"/>
  <c r="BS89" i="2"/>
  <c r="BQ89" i="2"/>
  <c r="BP89" i="2"/>
  <c r="BO89" i="2"/>
  <c r="BK89" i="2"/>
  <c r="BL89" i="2" s="1"/>
  <c r="BM89" i="2" s="1"/>
  <c r="BJ89" i="2"/>
  <c r="BI89" i="2"/>
  <c r="BG89" i="2"/>
  <c r="BH89" i="2" s="1"/>
  <c r="BF89" i="2"/>
  <c r="BE89" i="2"/>
  <c r="BD89" i="2"/>
  <c r="BA89" i="2"/>
  <c r="CI88" i="2"/>
  <c r="CG88" i="2"/>
  <c r="CF88" i="2"/>
  <c r="CE88" i="2"/>
  <c r="BZ88" i="2"/>
  <c r="BX88" i="2"/>
  <c r="BV88" i="2"/>
  <c r="BU88" i="2"/>
  <c r="BT88" i="2"/>
  <c r="BS88" i="2"/>
  <c r="BQ88" i="2"/>
  <c r="BR88" i="2" s="1"/>
  <c r="BP88" i="2"/>
  <c r="BO88" i="2"/>
  <c r="BK88" i="2"/>
  <c r="BJ88" i="2"/>
  <c r="BI88" i="2"/>
  <c r="BF88" i="2"/>
  <c r="BG88" i="2" s="1"/>
  <c r="BE88" i="2"/>
  <c r="BD88" i="2"/>
  <c r="BA88" i="2"/>
  <c r="BB88" i="2" s="1"/>
  <c r="BC88" i="2" s="1"/>
  <c r="CI87" i="2"/>
  <c r="CE87" i="2"/>
  <c r="CA87" i="2"/>
  <c r="BZ87" i="2"/>
  <c r="BX87" i="2"/>
  <c r="BV87" i="2"/>
  <c r="BW87" i="2" s="1"/>
  <c r="BU87" i="2"/>
  <c r="BT87" i="2"/>
  <c r="BS87" i="2"/>
  <c r="BQ87" i="2"/>
  <c r="BP87" i="2"/>
  <c r="BO87" i="2"/>
  <c r="BM87" i="2" s="1"/>
  <c r="BL87" i="2"/>
  <c r="BK87" i="2"/>
  <c r="BJ87" i="2"/>
  <c r="BI87" i="2"/>
  <c r="BF87" i="2"/>
  <c r="BE87" i="2"/>
  <c r="BD87" i="2"/>
  <c r="BA87" i="2"/>
  <c r="BB87" i="2" s="1"/>
  <c r="CI86" i="2"/>
  <c r="CE86" i="2"/>
  <c r="BZ86" i="2"/>
  <c r="BX86" i="2"/>
  <c r="BV86" i="2"/>
  <c r="BU86" i="2"/>
  <c r="BT86" i="2"/>
  <c r="BS86" i="2"/>
  <c r="BR86" i="2"/>
  <c r="BQ86" i="2"/>
  <c r="BP86" i="2"/>
  <c r="BO86" i="2"/>
  <c r="BL86" i="2"/>
  <c r="BM86" i="2" s="1"/>
  <c r="BK86" i="2"/>
  <c r="BJ86" i="2"/>
  <c r="BI86" i="2"/>
  <c r="BH86" i="2" s="1"/>
  <c r="BG86" i="2"/>
  <c r="BF86" i="2"/>
  <c r="BE86" i="2"/>
  <c r="BD86" i="2"/>
  <c r="BA86" i="2"/>
  <c r="CI85" i="2"/>
  <c r="CE85" i="2"/>
  <c r="CF85" i="2" s="1"/>
  <c r="BZ85" i="2"/>
  <c r="CA85" i="2" s="1"/>
  <c r="BX85" i="2"/>
  <c r="BU85" i="2"/>
  <c r="BT85" i="2"/>
  <c r="BS85" i="2"/>
  <c r="BR85" i="2"/>
  <c r="BQ85" i="2"/>
  <c r="BP85" i="2"/>
  <c r="BO85" i="2"/>
  <c r="BK85" i="2"/>
  <c r="BJ85" i="2"/>
  <c r="BI85" i="2"/>
  <c r="BG85" i="2"/>
  <c r="BF85" i="2"/>
  <c r="BE85" i="2"/>
  <c r="BD85" i="2"/>
  <c r="BB85" i="2"/>
  <c r="BC85" i="2" s="1"/>
  <c r="BA85" i="2"/>
  <c r="CI84" i="2"/>
  <c r="CF84" i="2"/>
  <c r="CE84" i="2"/>
  <c r="BZ84" i="2"/>
  <c r="CA84" i="2" s="1"/>
  <c r="CB84" i="2" s="1"/>
  <c r="BX84" i="2"/>
  <c r="BW84" i="2"/>
  <c r="BV84" i="2"/>
  <c r="BU84" i="2"/>
  <c r="BT84" i="2"/>
  <c r="BS84" i="2"/>
  <c r="BP84" i="2"/>
  <c r="BO84" i="2"/>
  <c r="BM84" i="2"/>
  <c r="BL84" i="2"/>
  <c r="BK84" i="2"/>
  <c r="BJ84" i="2"/>
  <c r="BI84" i="2"/>
  <c r="BF84" i="2"/>
  <c r="BE84" i="2"/>
  <c r="BD84" i="2"/>
  <c r="BB84" i="2"/>
  <c r="BA84" i="2"/>
  <c r="CI83" i="2"/>
  <c r="CF83" i="2"/>
  <c r="CG83" i="2" s="1"/>
  <c r="CE83" i="2"/>
  <c r="CA83" i="2"/>
  <c r="BZ83" i="2"/>
  <c r="BX83" i="2"/>
  <c r="BU83" i="2"/>
  <c r="BV83" i="2" s="1"/>
  <c r="BW83" i="2" s="1"/>
  <c r="BT83" i="2"/>
  <c r="BS83" i="2"/>
  <c r="BR83" i="2" s="1"/>
  <c r="BQ83" i="2"/>
  <c r="BP83" i="2"/>
  <c r="BO83" i="2"/>
  <c r="BK83" i="2"/>
  <c r="BJ83" i="2"/>
  <c r="BI83" i="2"/>
  <c r="BG83" i="2"/>
  <c r="BF83" i="2"/>
  <c r="BE83" i="2"/>
  <c r="BD83" i="2"/>
  <c r="BA83" i="2"/>
  <c r="CI82" i="2"/>
  <c r="CF82" i="2"/>
  <c r="CE82" i="2"/>
  <c r="CA82" i="2"/>
  <c r="BZ82" i="2"/>
  <c r="BX82" i="2"/>
  <c r="BU82" i="2"/>
  <c r="BT82" i="2"/>
  <c r="BS82" i="2"/>
  <c r="BP82" i="2"/>
  <c r="BQ82" i="2" s="1"/>
  <c r="BR82" i="2" s="1"/>
  <c r="BO82" i="2"/>
  <c r="BK82" i="2"/>
  <c r="BJ82" i="2"/>
  <c r="BI82" i="2"/>
  <c r="BF82" i="2"/>
  <c r="BE82" i="2"/>
  <c r="BD82" i="2"/>
  <c r="BC82" i="2" s="1"/>
  <c r="BB82" i="2"/>
  <c r="BA82" i="2"/>
  <c r="CI81" i="2"/>
  <c r="CG81" i="2"/>
  <c r="CF81" i="2"/>
  <c r="CE81" i="2"/>
  <c r="CA81" i="2"/>
  <c r="CB81" i="2" s="1"/>
  <c r="BZ81" i="2"/>
  <c r="BX81" i="2"/>
  <c r="BV81" i="2"/>
  <c r="BU81" i="2"/>
  <c r="BT81" i="2"/>
  <c r="BS81" i="2"/>
  <c r="BQ81" i="2"/>
  <c r="BP81" i="2"/>
  <c r="BO81" i="2"/>
  <c r="BK81" i="2"/>
  <c r="BL81" i="2" s="1"/>
  <c r="BJ81" i="2"/>
  <c r="BI81" i="2"/>
  <c r="BG81" i="2"/>
  <c r="BF81" i="2"/>
  <c r="BH81" i="2" s="1"/>
  <c r="BE81" i="2"/>
  <c r="BD81" i="2"/>
  <c r="BA81" i="2"/>
  <c r="CI80" i="2"/>
  <c r="CF80" i="2"/>
  <c r="CE80" i="2"/>
  <c r="BZ80" i="2"/>
  <c r="BX80" i="2"/>
  <c r="BV80" i="2"/>
  <c r="BU80" i="2"/>
  <c r="BT80" i="2"/>
  <c r="BS80" i="2"/>
  <c r="BQ80" i="2"/>
  <c r="BR80" i="2" s="1"/>
  <c r="BP80" i="2"/>
  <c r="BO80" i="2"/>
  <c r="BL80" i="2"/>
  <c r="BK80" i="2"/>
  <c r="BJ80" i="2"/>
  <c r="BI80" i="2"/>
  <c r="BF80" i="2"/>
  <c r="BG80" i="2" s="1"/>
  <c r="BH80" i="2" s="1"/>
  <c r="BE80" i="2"/>
  <c r="BD80" i="2"/>
  <c r="BB80" i="2"/>
  <c r="BC80" i="2" s="1"/>
  <c r="BA80" i="2"/>
  <c r="CI79" i="2"/>
  <c r="CE79" i="2"/>
  <c r="CB79" i="2"/>
  <c r="CA79" i="2"/>
  <c r="BZ79" i="2"/>
  <c r="BX79" i="2"/>
  <c r="BU79" i="2"/>
  <c r="BT79" i="2"/>
  <c r="BS79" i="2"/>
  <c r="BQ79" i="2"/>
  <c r="BP79" i="2"/>
  <c r="BO79" i="2"/>
  <c r="BL79" i="2"/>
  <c r="BM79" i="2" s="1"/>
  <c r="BK79" i="2"/>
  <c r="BJ79" i="2"/>
  <c r="BI79" i="2"/>
  <c r="BG79" i="2"/>
  <c r="BF79" i="2"/>
  <c r="BE79" i="2"/>
  <c r="BD79" i="2"/>
  <c r="BA79" i="2"/>
  <c r="BB79" i="2" s="1"/>
  <c r="BC79" i="2" s="1"/>
  <c r="CI78" i="2"/>
  <c r="CG78" i="2"/>
  <c r="CF78" i="2"/>
  <c r="CE78" i="2"/>
  <c r="BZ78" i="2"/>
  <c r="BX78" i="2"/>
  <c r="BV78" i="2"/>
  <c r="BU78" i="2"/>
  <c r="BT78" i="2"/>
  <c r="BS78" i="2"/>
  <c r="BP78" i="2"/>
  <c r="BQ78" i="2" s="1"/>
  <c r="BR78" i="2" s="1"/>
  <c r="BO78" i="2"/>
  <c r="BL78" i="2"/>
  <c r="BK78" i="2"/>
  <c r="BJ78" i="2"/>
  <c r="BI78" i="2"/>
  <c r="BG78" i="2"/>
  <c r="BH78" i="2" s="1"/>
  <c r="BF78" i="2"/>
  <c r="BE78" i="2"/>
  <c r="BD78" i="2"/>
  <c r="BA78" i="2"/>
  <c r="CI77" i="2"/>
  <c r="CE77" i="2"/>
  <c r="CF77" i="2" s="1"/>
  <c r="BZ77" i="2"/>
  <c r="BX77" i="2"/>
  <c r="BU77" i="2"/>
  <c r="BT77" i="2"/>
  <c r="BS77" i="2"/>
  <c r="BR77" i="2" s="1"/>
  <c r="BQ77" i="2"/>
  <c r="BP77" i="2"/>
  <c r="BO77" i="2"/>
  <c r="BM77" i="2"/>
  <c r="BL77" i="2"/>
  <c r="BK77" i="2"/>
  <c r="BJ77" i="2"/>
  <c r="BI77" i="2"/>
  <c r="BG77" i="2"/>
  <c r="BH77" i="2" s="1"/>
  <c r="BF77" i="2"/>
  <c r="BE77" i="2"/>
  <c r="BD77" i="2"/>
  <c r="BB77" i="2"/>
  <c r="BA77" i="2"/>
  <c r="CI76" i="2"/>
  <c r="CE76" i="2"/>
  <c r="BZ76" i="2"/>
  <c r="CA76" i="2" s="1"/>
  <c r="BX76" i="2"/>
  <c r="BU76" i="2"/>
  <c r="BT76" i="2"/>
  <c r="BS76" i="2"/>
  <c r="BP76" i="2"/>
  <c r="BO76" i="2"/>
  <c r="BM76" i="2"/>
  <c r="BL76" i="2"/>
  <c r="BK76" i="2"/>
  <c r="BJ76" i="2"/>
  <c r="BI76" i="2"/>
  <c r="BF76" i="2"/>
  <c r="BE76" i="2"/>
  <c r="BD76" i="2"/>
  <c r="BB76" i="2"/>
  <c r="BA76" i="2"/>
  <c r="CI75" i="2"/>
  <c r="CF75" i="2"/>
  <c r="CG75" i="2" s="1"/>
  <c r="CE75" i="2"/>
  <c r="CA75" i="2"/>
  <c r="BZ75" i="2"/>
  <c r="BX75" i="2"/>
  <c r="BU75" i="2"/>
  <c r="BV75" i="2" s="1"/>
  <c r="BW75" i="2" s="1"/>
  <c r="BT75" i="2"/>
  <c r="BS75" i="2"/>
  <c r="BQ75" i="2"/>
  <c r="BR75" i="2" s="1"/>
  <c r="BP75" i="2"/>
  <c r="BO75" i="2"/>
  <c r="BK75" i="2"/>
  <c r="BJ75" i="2"/>
  <c r="BI75" i="2"/>
  <c r="BG75" i="2"/>
  <c r="BF75" i="2"/>
  <c r="BE75" i="2"/>
  <c r="BD75" i="2"/>
  <c r="BA75" i="2"/>
  <c r="CI74" i="2"/>
  <c r="CF74" i="2"/>
  <c r="CE74" i="2"/>
  <c r="CA74" i="2"/>
  <c r="CB74" i="2" s="1"/>
  <c r="BZ74" i="2"/>
  <c r="BX74" i="2"/>
  <c r="BV74" i="2"/>
  <c r="BU74" i="2"/>
  <c r="BT74" i="2"/>
  <c r="BS74" i="2"/>
  <c r="BP74" i="2"/>
  <c r="BQ74" i="2" s="1"/>
  <c r="BR74" i="2" s="1"/>
  <c r="BO74" i="2"/>
  <c r="BM74" i="2"/>
  <c r="BL74" i="2"/>
  <c r="BK74" i="2"/>
  <c r="BJ74" i="2"/>
  <c r="BI74" i="2"/>
  <c r="BF74" i="2"/>
  <c r="BE74" i="2"/>
  <c r="BD74" i="2"/>
  <c r="BB74" i="2"/>
  <c r="BA74" i="2"/>
  <c r="CI73" i="2"/>
  <c r="CE73" i="2"/>
  <c r="CA73" i="2"/>
  <c r="BZ73" i="2"/>
  <c r="BX73" i="2"/>
  <c r="BV73" i="2"/>
  <c r="BW73" i="2" s="1"/>
  <c r="BU73" i="2"/>
  <c r="BT73" i="2"/>
  <c r="BS73" i="2"/>
  <c r="BP73" i="2"/>
  <c r="BO73" i="2"/>
  <c r="BK73" i="2"/>
  <c r="BL73" i="2" s="1"/>
  <c r="BM73" i="2" s="1"/>
  <c r="BJ73" i="2"/>
  <c r="BI73" i="2"/>
  <c r="BF73" i="2"/>
  <c r="BE73" i="2"/>
  <c r="BD73" i="2"/>
  <c r="BA73" i="2"/>
  <c r="CI72" i="2"/>
  <c r="CG72" i="2"/>
  <c r="CF72" i="2"/>
  <c r="CE72" i="2"/>
  <c r="CB72" i="2"/>
  <c r="CA72" i="2"/>
  <c r="BZ72" i="2"/>
  <c r="BX72" i="2"/>
  <c r="BV72" i="2"/>
  <c r="BW72" i="2" s="1"/>
  <c r="BU72" i="2"/>
  <c r="BT72" i="2"/>
  <c r="BS72" i="2"/>
  <c r="BR72" i="2" s="1"/>
  <c r="BQ72" i="2"/>
  <c r="BP72" i="2"/>
  <c r="BO72" i="2"/>
  <c r="BL72" i="2"/>
  <c r="BK72" i="2"/>
  <c r="BJ72" i="2"/>
  <c r="BI72" i="2"/>
  <c r="BF72" i="2"/>
  <c r="BG72" i="2" s="1"/>
  <c r="BE72" i="2"/>
  <c r="BD72" i="2"/>
  <c r="BC72" i="2"/>
  <c r="BB72" i="2"/>
  <c r="BA72" i="2"/>
  <c r="CI71" i="2"/>
  <c r="CE71" i="2"/>
  <c r="CA71" i="2"/>
  <c r="BZ71" i="2"/>
  <c r="BX71" i="2"/>
  <c r="BU71" i="2"/>
  <c r="BT71" i="2"/>
  <c r="BS71" i="2"/>
  <c r="BQ71" i="2"/>
  <c r="BR71" i="2" s="1"/>
  <c r="BP71" i="2"/>
  <c r="BO71" i="2"/>
  <c r="BL71" i="2"/>
  <c r="BM71" i="2" s="1"/>
  <c r="BK71" i="2"/>
  <c r="BJ71" i="2"/>
  <c r="BI71" i="2"/>
  <c r="BG71" i="2"/>
  <c r="BF71" i="2"/>
  <c r="BE71" i="2"/>
  <c r="BD71" i="2"/>
  <c r="BB71" i="2"/>
  <c r="BA71" i="2"/>
  <c r="CI70" i="2"/>
  <c r="CF70" i="2"/>
  <c r="CE70" i="2"/>
  <c r="BZ70" i="2"/>
  <c r="BX70" i="2"/>
  <c r="BV70" i="2"/>
  <c r="BU70" i="2"/>
  <c r="BT70" i="2"/>
  <c r="BS70" i="2"/>
  <c r="BP70" i="2"/>
  <c r="BO70" i="2"/>
  <c r="BL70" i="2"/>
  <c r="BK70" i="2"/>
  <c r="BJ70" i="2"/>
  <c r="BI70" i="2"/>
  <c r="BG70" i="2"/>
  <c r="BH70" i="2" s="1"/>
  <c r="BF70" i="2"/>
  <c r="BE70" i="2"/>
  <c r="BD70" i="2"/>
  <c r="BA70" i="2"/>
  <c r="CI69" i="2"/>
  <c r="CF69" i="2"/>
  <c r="CE69" i="2"/>
  <c r="BZ69" i="2"/>
  <c r="BX69" i="2"/>
  <c r="BU69" i="2"/>
  <c r="BT69" i="2"/>
  <c r="BS69" i="2"/>
  <c r="BR69" i="2" s="1"/>
  <c r="BQ69" i="2"/>
  <c r="BP69" i="2"/>
  <c r="BO69" i="2"/>
  <c r="BM69" i="2"/>
  <c r="BL69" i="2"/>
  <c r="BK69" i="2"/>
  <c r="BJ69" i="2"/>
  <c r="BI69" i="2"/>
  <c r="BH69" i="2" s="1"/>
  <c r="BG69" i="2"/>
  <c r="BF69" i="2"/>
  <c r="BE69" i="2"/>
  <c r="BD69" i="2"/>
  <c r="BC69" i="2" s="1"/>
  <c r="BB69" i="2"/>
  <c r="BA69" i="2"/>
  <c r="CI68" i="2"/>
  <c r="CF68" i="2"/>
  <c r="CE68" i="2"/>
  <c r="CA68" i="2"/>
  <c r="BZ68" i="2"/>
  <c r="BX68" i="2"/>
  <c r="BU68" i="2"/>
  <c r="BV68" i="2" s="1"/>
  <c r="BW68" i="2" s="1"/>
  <c r="BT68" i="2"/>
  <c r="BS68" i="2"/>
  <c r="BP68" i="2"/>
  <c r="BO68" i="2"/>
  <c r="BM68" i="2"/>
  <c r="BL68" i="2"/>
  <c r="BK68" i="2"/>
  <c r="BJ68" i="2"/>
  <c r="BI68" i="2"/>
  <c r="BF68" i="2"/>
  <c r="BE68" i="2"/>
  <c r="BD68" i="2"/>
  <c r="BB68" i="2"/>
  <c r="BA68" i="2"/>
  <c r="CI67" i="2"/>
  <c r="CF67" i="2"/>
  <c r="CG67" i="2" s="1"/>
  <c r="CE67" i="2"/>
  <c r="CA67" i="2"/>
  <c r="BZ67" i="2"/>
  <c r="BX67" i="2"/>
  <c r="BW67" i="2" s="1"/>
  <c r="BV67" i="2"/>
  <c r="BU67" i="2"/>
  <c r="BT67" i="2"/>
  <c r="BS67" i="2"/>
  <c r="BR67" i="2" s="1"/>
  <c r="BQ67" i="2"/>
  <c r="BP67" i="2"/>
  <c r="BO67" i="2"/>
  <c r="BK67" i="2"/>
  <c r="BJ67" i="2"/>
  <c r="BI67" i="2"/>
  <c r="BG67" i="2"/>
  <c r="BF67" i="2"/>
  <c r="BE67" i="2"/>
  <c r="BD67" i="2"/>
  <c r="BB67" i="2"/>
  <c r="BA67" i="2"/>
  <c r="CI66" i="2"/>
  <c r="CF66" i="2"/>
  <c r="CE66" i="2"/>
  <c r="CB66" i="2"/>
  <c r="CA66" i="2"/>
  <c r="BZ66" i="2"/>
  <c r="BX66" i="2"/>
  <c r="BU66" i="2"/>
  <c r="BT66" i="2"/>
  <c r="BS66" i="2"/>
  <c r="BR66" i="2"/>
  <c r="BQ66" i="2"/>
  <c r="BP66" i="2"/>
  <c r="BO66" i="2"/>
  <c r="BK66" i="2"/>
  <c r="BJ66" i="2"/>
  <c r="BI66" i="2"/>
  <c r="BF66" i="2"/>
  <c r="BE66" i="2"/>
  <c r="BD66" i="2"/>
  <c r="BB66" i="2"/>
  <c r="BC66" i="2" s="1"/>
  <c r="BA66" i="2"/>
  <c r="CI65" i="2"/>
  <c r="CE65" i="2"/>
  <c r="CA65" i="2"/>
  <c r="BZ65" i="2"/>
  <c r="BX65" i="2"/>
  <c r="BU65" i="2"/>
  <c r="BT65" i="2"/>
  <c r="BS65" i="2"/>
  <c r="BQ65" i="2"/>
  <c r="BP65" i="2"/>
  <c r="BO65" i="2"/>
  <c r="BM65" i="2"/>
  <c r="BL65" i="2"/>
  <c r="BK65" i="2"/>
  <c r="BJ65" i="2"/>
  <c r="BI65" i="2"/>
  <c r="BH65" i="2" s="1"/>
  <c r="BG65" i="2"/>
  <c r="BF65" i="2"/>
  <c r="BE65" i="2"/>
  <c r="BD65" i="2"/>
  <c r="BA65" i="2"/>
  <c r="CI64" i="2"/>
  <c r="CG64" i="2"/>
  <c r="CF64" i="2"/>
  <c r="CE64" i="2"/>
  <c r="BZ64" i="2"/>
  <c r="BX64" i="2"/>
  <c r="BV64" i="2"/>
  <c r="BU64" i="2"/>
  <c r="BT64" i="2"/>
  <c r="BS64" i="2"/>
  <c r="BQ64" i="2"/>
  <c r="BR64" i="2" s="1"/>
  <c r="BP64" i="2"/>
  <c r="BO64" i="2"/>
  <c r="BK64" i="2"/>
  <c r="BJ64" i="2"/>
  <c r="BI64" i="2"/>
  <c r="BH64" i="2"/>
  <c r="BG64" i="2"/>
  <c r="BF64" i="2"/>
  <c r="BE64" i="2"/>
  <c r="BD64" i="2"/>
  <c r="BA64" i="2"/>
  <c r="CI63" i="2"/>
  <c r="CE63" i="2"/>
  <c r="BZ63" i="2"/>
  <c r="BX63" i="2"/>
  <c r="BU63" i="2"/>
  <c r="BT63" i="2"/>
  <c r="BR63" i="2" s="1"/>
  <c r="BS63" i="2"/>
  <c r="BQ63" i="2"/>
  <c r="BP63" i="2"/>
  <c r="BO63" i="2"/>
  <c r="BL63" i="2"/>
  <c r="BK63" i="2"/>
  <c r="BJ63" i="2"/>
  <c r="BI63" i="2"/>
  <c r="BG63" i="2"/>
  <c r="BF63" i="2"/>
  <c r="BE63" i="2"/>
  <c r="BD63" i="2"/>
  <c r="BC63" i="2"/>
  <c r="BB63" i="2"/>
  <c r="BA63" i="2"/>
  <c r="CI62" i="2"/>
  <c r="CE62" i="2"/>
  <c r="BZ62" i="2"/>
  <c r="BX62" i="2"/>
  <c r="BU62" i="2"/>
  <c r="BT62" i="2"/>
  <c r="BS62" i="2"/>
  <c r="BQ62" i="2"/>
  <c r="BR62" i="2" s="1"/>
  <c r="BP62" i="2"/>
  <c r="BO62" i="2"/>
  <c r="BM62" i="2"/>
  <c r="BL62" i="2"/>
  <c r="BK62" i="2"/>
  <c r="BJ62" i="2"/>
  <c r="BI62" i="2"/>
  <c r="BH62" i="2" s="1"/>
  <c r="BG62" i="2"/>
  <c r="BF62" i="2"/>
  <c r="BE62" i="2"/>
  <c r="BD62" i="2"/>
  <c r="BA62" i="2"/>
  <c r="CI61" i="2"/>
  <c r="CF61" i="2"/>
  <c r="CE61" i="2"/>
  <c r="CA61" i="2"/>
  <c r="BZ61" i="2"/>
  <c r="BX61" i="2"/>
  <c r="BU61" i="2"/>
  <c r="BT61" i="2"/>
  <c r="BS61" i="2"/>
  <c r="BQ61" i="2"/>
  <c r="BR61" i="2" s="1"/>
  <c r="BP61" i="2"/>
  <c r="BO61" i="2"/>
  <c r="BL61" i="2"/>
  <c r="BK61" i="2"/>
  <c r="BJ61" i="2"/>
  <c r="BI61" i="2"/>
  <c r="BH61" i="2" s="1"/>
  <c r="BG61" i="2"/>
  <c r="BF61" i="2"/>
  <c r="BE61" i="2"/>
  <c r="BD61" i="2"/>
  <c r="BA61" i="2"/>
  <c r="BB61" i="2" s="1"/>
  <c r="CI60" i="2"/>
  <c r="CE60" i="2"/>
  <c r="CB60" i="2"/>
  <c r="CA60" i="2"/>
  <c r="BZ60" i="2"/>
  <c r="BX60" i="2"/>
  <c r="BV60" i="2"/>
  <c r="BU60" i="2"/>
  <c r="BT60" i="2"/>
  <c r="BS60" i="2"/>
  <c r="BP60" i="2"/>
  <c r="BQ60" i="2" s="1"/>
  <c r="BO60" i="2"/>
  <c r="BM60" i="2"/>
  <c r="BL60" i="2"/>
  <c r="BK60" i="2"/>
  <c r="BJ60" i="2"/>
  <c r="BI60" i="2"/>
  <c r="BF60" i="2"/>
  <c r="BE60" i="2"/>
  <c r="BD60" i="2"/>
  <c r="BC60" i="2"/>
  <c r="BB60" i="2"/>
  <c r="BA60" i="2"/>
  <c r="CI59" i="2"/>
  <c r="CE59" i="2"/>
  <c r="CA59" i="2"/>
  <c r="BZ59" i="2"/>
  <c r="BX59" i="2"/>
  <c r="BU59" i="2"/>
  <c r="BT59" i="2"/>
  <c r="BS59" i="2"/>
  <c r="BP59" i="2"/>
  <c r="BO59" i="2"/>
  <c r="BK59" i="2"/>
  <c r="BL59" i="2" s="1"/>
  <c r="BJ59" i="2"/>
  <c r="BI59" i="2"/>
  <c r="BF59" i="2"/>
  <c r="BE59" i="2"/>
  <c r="BC59" i="2" s="1"/>
  <c r="BD59" i="2"/>
  <c r="BB59" i="2"/>
  <c r="BA59" i="2"/>
  <c r="CI58" i="2"/>
  <c r="CF58" i="2"/>
  <c r="CG58" i="2" s="1"/>
  <c r="CE58" i="2"/>
  <c r="BZ58" i="2"/>
  <c r="BX58" i="2"/>
  <c r="BU58" i="2"/>
  <c r="BT58" i="2"/>
  <c r="BS58" i="2"/>
  <c r="BP58" i="2"/>
  <c r="BO58" i="2"/>
  <c r="BM58" i="2"/>
  <c r="BL58" i="2"/>
  <c r="BK58" i="2"/>
  <c r="BJ58" i="2"/>
  <c r="BI58" i="2"/>
  <c r="BF58" i="2"/>
  <c r="BG58" i="2" s="1"/>
  <c r="BE58" i="2"/>
  <c r="BD58" i="2"/>
  <c r="BC58" i="2" s="1"/>
  <c r="BB58" i="2"/>
  <c r="BA58" i="2"/>
  <c r="CI57" i="2"/>
  <c r="CE57" i="2"/>
  <c r="CA57" i="2"/>
  <c r="BZ57" i="2"/>
  <c r="BW57" i="2"/>
  <c r="BX57" i="2"/>
  <c r="BV57" i="2"/>
  <c r="BU57" i="2"/>
  <c r="BT57" i="2"/>
  <c r="BS57" i="2"/>
  <c r="BQ57" i="2"/>
  <c r="BP57" i="2"/>
  <c r="BO57" i="2"/>
  <c r="BM57" i="2"/>
  <c r="BL57" i="2"/>
  <c r="BK57" i="2"/>
  <c r="BJ57" i="2"/>
  <c r="BI57" i="2"/>
  <c r="BH57" i="2" s="1"/>
  <c r="BG57" i="2"/>
  <c r="BF57" i="2"/>
  <c r="BE57" i="2"/>
  <c r="BD57" i="2"/>
  <c r="BA57" i="2"/>
  <c r="BB57" i="2" s="1"/>
  <c r="CI56" i="2"/>
  <c r="CF56" i="2"/>
  <c r="CE56" i="2"/>
  <c r="BZ56" i="2"/>
  <c r="BX56" i="2"/>
  <c r="BV56" i="2"/>
  <c r="BU56" i="2"/>
  <c r="BT56" i="2"/>
  <c r="BS56" i="2"/>
  <c r="BQ56" i="2"/>
  <c r="BR56" i="2" s="1"/>
  <c r="BP56" i="2"/>
  <c r="BO56" i="2"/>
  <c r="BK56" i="2"/>
  <c r="BJ56" i="2"/>
  <c r="BI56" i="2"/>
  <c r="BG56" i="2"/>
  <c r="BH56" i="2" s="1"/>
  <c r="BF56" i="2"/>
  <c r="BE56" i="2"/>
  <c r="BD56" i="2"/>
  <c r="BA56" i="2"/>
  <c r="CI55" i="2"/>
  <c r="CE55" i="2"/>
  <c r="CF55" i="2" s="1"/>
  <c r="BZ55" i="2"/>
  <c r="CA55" i="2" s="1"/>
  <c r="BX55" i="2"/>
  <c r="BU55" i="2"/>
  <c r="BT55" i="2"/>
  <c r="BS55" i="2"/>
  <c r="BQ55" i="2"/>
  <c r="BP55" i="2"/>
  <c r="BO55" i="2"/>
  <c r="BK55" i="2"/>
  <c r="BJ55" i="2"/>
  <c r="BI55" i="2"/>
  <c r="BF55" i="2"/>
  <c r="BG55" i="2" s="1"/>
  <c r="BE55" i="2"/>
  <c r="BD55" i="2"/>
  <c r="BA55" i="2"/>
  <c r="CI54" i="2"/>
  <c r="CE54" i="2"/>
  <c r="BZ54" i="2"/>
  <c r="CA54" i="2" s="1"/>
  <c r="BX54" i="2"/>
  <c r="BU54" i="2"/>
  <c r="BT54" i="2"/>
  <c r="BS54" i="2"/>
  <c r="BP54" i="2"/>
  <c r="BQ54" i="2" s="1"/>
  <c r="BR54" i="2" s="1"/>
  <c r="BO54" i="2"/>
  <c r="BM54" i="2"/>
  <c r="BL54" i="2"/>
  <c r="BK54" i="2"/>
  <c r="BJ54" i="2"/>
  <c r="BI54" i="2"/>
  <c r="BF54" i="2"/>
  <c r="BE54" i="2"/>
  <c r="BD54" i="2"/>
  <c r="BB54" i="2"/>
  <c r="BA54" i="2"/>
  <c r="CI53" i="2"/>
  <c r="CE53" i="2"/>
  <c r="CA53" i="2"/>
  <c r="BZ53" i="2"/>
  <c r="BX53" i="2"/>
  <c r="BU53" i="2"/>
  <c r="BV53" i="2" s="1"/>
  <c r="BT53" i="2"/>
  <c r="BS53" i="2"/>
  <c r="BR53" i="2" s="1"/>
  <c r="BQ53" i="2"/>
  <c r="BP53" i="2"/>
  <c r="BO53" i="2"/>
  <c r="BK53" i="2"/>
  <c r="BL53" i="2" s="1"/>
  <c r="BM53" i="2" s="1"/>
  <c r="BJ53" i="2"/>
  <c r="BI53" i="2"/>
  <c r="BG53" i="2"/>
  <c r="BH53" i="2" s="1"/>
  <c r="BF53" i="2"/>
  <c r="BE53" i="2"/>
  <c r="BD53" i="2"/>
  <c r="BC53" i="2" s="1"/>
  <c r="BB53" i="2"/>
  <c r="BA53" i="2"/>
  <c r="CI52" i="2"/>
  <c r="CE52" i="2"/>
  <c r="CA52" i="2"/>
  <c r="BZ52" i="2"/>
  <c r="BX52" i="2"/>
  <c r="BU52" i="2"/>
  <c r="BT52" i="2"/>
  <c r="BS52" i="2"/>
  <c r="BQ52" i="2"/>
  <c r="BP52" i="2"/>
  <c r="BO52" i="2"/>
  <c r="BK52" i="2"/>
  <c r="BJ52" i="2"/>
  <c r="BI52" i="2"/>
  <c r="BF52" i="2"/>
  <c r="BG52" i="2" s="1"/>
  <c r="BE52" i="2"/>
  <c r="BD52" i="2"/>
  <c r="BA52" i="2"/>
  <c r="BB52" i="2" s="1"/>
  <c r="CI51" i="2"/>
  <c r="CE51" i="2"/>
  <c r="CA51" i="2"/>
  <c r="BZ51" i="2"/>
  <c r="BX51" i="2"/>
  <c r="BV51" i="2"/>
  <c r="BW51" i="2" s="1"/>
  <c r="BU51" i="2"/>
  <c r="BT51" i="2"/>
  <c r="BS51" i="2"/>
  <c r="BP51" i="2"/>
  <c r="BQ51" i="2" s="1"/>
  <c r="BR51" i="2" s="1"/>
  <c r="BO51" i="2"/>
  <c r="BK51" i="2"/>
  <c r="BJ51" i="2"/>
  <c r="BI51" i="2"/>
  <c r="BF51" i="2"/>
  <c r="BE51" i="2"/>
  <c r="BD51" i="2"/>
  <c r="BC51" i="2"/>
  <c r="BB51" i="2"/>
  <c r="BA51" i="2"/>
  <c r="CI50" i="2"/>
  <c r="CE50" i="2"/>
  <c r="CA50" i="2"/>
  <c r="BZ50" i="2"/>
  <c r="BX50" i="2"/>
  <c r="BU50" i="2"/>
  <c r="BT50" i="2"/>
  <c r="BS50" i="2"/>
  <c r="BQ50" i="2"/>
  <c r="BR50" i="2" s="1"/>
  <c r="BP50" i="2"/>
  <c r="BO50" i="2"/>
  <c r="BL50" i="2"/>
  <c r="BM50" i="2" s="1"/>
  <c r="BK50" i="2"/>
  <c r="BJ50" i="2"/>
  <c r="BI50" i="2"/>
  <c r="BF50" i="2"/>
  <c r="BE50" i="2"/>
  <c r="BD50" i="2"/>
  <c r="BC50" i="2"/>
  <c r="BB50" i="2"/>
  <c r="BA50" i="2"/>
  <c r="CI49" i="2"/>
  <c r="CE49" i="2"/>
  <c r="CF49" i="2" s="1"/>
  <c r="CG49" i="2" s="1"/>
  <c r="BZ49" i="2"/>
  <c r="CA49" i="2" s="1"/>
  <c r="BX49" i="2"/>
  <c r="BU49" i="2"/>
  <c r="BV49" i="2" s="1"/>
  <c r="BT49" i="2"/>
  <c r="BS49" i="2"/>
  <c r="BP49" i="2"/>
  <c r="BO49" i="2"/>
  <c r="BM49" i="2"/>
  <c r="BL49" i="2"/>
  <c r="BK49" i="2"/>
  <c r="BJ49" i="2"/>
  <c r="BI49" i="2"/>
  <c r="BH49" i="2"/>
  <c r="BF49" i="2"/>
  <c r="BG49" i="2" s="1"/>
  <c r="BE49" i="2"/>
  <c r="BD49" i="2"/>
  <c r="BA49" i="2"/>
  <c r="CI48" i="2"/>
  <c r="CE48" i="2"/>
  <c r="CF48" i="2" s="1"/>
  <c r="BZ48" i="2"/>
  <c r="BX48" i="2"/>
  <c r="BU48" i="2"/>
  <c r="BV48" i="2" s="1"/>
  <c r="BT48" i="2"/>
  <c r="BS48" i="2"/>
  <c r="BP48" i="2"/>
  <c r="BO48" i="2"/>
  <c r="BK48" i="2"/>
  <c r="BL48" i="2" s="1"/>
  <c r="BM48" i="2" s="1"/>
  <c r="BJ48" i="2"/>
  <c r="BI48" i="2"/>
  <c r="BH48" i="2" s="1"/>
  <c r="BG48" i="2"/>
  <c r="BF48" i="2"/>
  <c r="BE48" i="2"/>
  <c r="BD48" i="2"/>
  <c r="BA48" i="2"/>
  <c r="CI47" i="2"/>
  <c r="CF47" i="2"/>
  <c r="CE47" i="2"/>
  <c r="BZ47" i="2"/>
  <c r="BX47" i="2"/>
  <c r="BU47" i="2"/>
  <c r="BV47" i="2" s="1"/>
  <c r="BT47" i="2"/>
  <c r="BS47" i="2"/>
  <c r="BP47" i="2"/>
  <c r="BO47" i="2"/>
  <c r="BK47" i="2"/>
  <c r="BJ47" i="2"/>
  <c r="BI47" i="2"/>
  <c r="BF47" i="2"/>
  <c r="BE47" i="2"/>
  <c r="BD47" i="2"/>
  <c r="BC47" i="2"/>
  <c r="BB47" i="2"/>
  <c r="BA47" i="2"/>
  <c r="CI46" i="2"/>
  <c r="CE46" i="2"/>
  <c r="CF46" i="2" s="1"/>
  <c r="BZ46" i="2"/>
  <c r="BX46" i="2"/>
  <c r="BU46" i="2"/>
  <c r="BT46" i="2"/>
  <c r="BS46" i="2"/>
  <c r="BP46" i="2"/>
  <c r="BQ46" i="2" s="1"/>
  <c r="BO46" i="2"/>
  <c r="BK46" i="2"/>
  <c r="BL46" i="2" s="1"/>
  <c r="BJ46" i="2"/>
  <c r="BI46" i="2"/>
  <c r="BG46" i="2"/>
  <c r="BH46" i="2" s="1"/>
  <c r="BF46" i="2"/>
  <c r="BE46" i="2"/>
  <c r="BD46" i="2"/>
  <c r="BB46" i="2"/>
  <c r="BC46" i="2" s="1"/>
  <c r="BA46" i="2"/>
  <c r="CI45" i="2"/>
  <c r="CF45" i="2"/>
  <c r="CG45" i="2" s="1"/>
  <c r="CE45" i="2"/>
  <c r="CA45" i="2"/>
  <c r="BZ45" i="2"/>
  <c r="BX45" i="2"/>
  <c r="BU45" i="2"/>
  <c r="BT45" i="2"/>
  <c r="BS45" i="2"/>
  <c r="BQ45" i="2"/>
  <c r="BP45" i="2"/>
  <c r="BO45" i="2"/>
  <c r="BL45" i="2"/>
  <c r="BM45" i="2" s="1"/>
  <c r="BK45" i="2"/>
  <c r="BJ45" i="2"/>
  <c r="BI45" i="2"/>
  <c r="BF45" i="2"/>
  <c r="BG45" i="2" s="1"/>
  <c r="BE45" i="2"/>
  <c r="BD45" i="2"/>
  <c r="BB45" i="2"/>
  <c r="BC45" i="2" s="1"/>
  <c r="BA45" i="2"/>
  <c r="CI44" i="2"/>
  <c r="CE44" i="2"/>
  <c r="CA44" i="2"/>
  <c r="CB44" i="2" s="1"/>
  <c r="BZ44" i="2"/>
  <c r="BX44" i="2"/>
  <c r="BU44" i="2"/>
  <c r="BT44" i="2"/>
  <c r="BS44" i="2"/>
  <c r="BP44" i="2"/>
  <c r="BO44" i="2"/>
  <c r="BK44" i="2"/>
  <c r="BJ44" i="2"/>
  <c r="BI44" i="2"/>
  <c r="BG44" i="2"/>
  <c r="BF44" i="2"/>
  <c r="BE44" i="2"/>
  <c r="BD44" i="2"/>
  <c r="BA44" i="2"/>
  <c r="CI43" i="2"/>
  <c r="CE43" i="2"/>
  <c r="CF43" i="2" s="1"/>
  <c r="CG43" i="2" s="1"/>
  <c r="BZ43" i="2"/>
  <c r="CA43" i="2" s="1"/>
  <c r="CB43" i="2" s="1"/>
  <c r="BX43" i="2"/>
  <c r="BV43" i="2"/>
  <c r="BU43" i="2"/>
  <c r="BT43" i="2"/>
  <c r="BS43" i="2"/>
  <c r="BP43" i="2"/>
  <c r="BO43" i="2"/>
  <c r="BK43" i="2"/>
  <c r="BJ43" i="2"/>
  <c r="BI43" i="2"/>
  <c r="BH43" i="2"/>
  <c r="BG43" i="2"/>
  <c r="BF43" i="2"/>
  <c r="BE43" i="2"/>
  <c r="BD43" i="2"/>
  <c r="BA43" i="2"/>
  <c r="BB43" i="2" s="1"/>
  <c r="BC43" i="2" s="1"/>
  <c r="CI42" i="2"/>
  <c r="CG42" i="2"/>
  <c r="CE42" i="2"/>
  <c r="CF42" i="2" s="1"/>
  <c r="BZ42" i="2"/>
  <c r="BX42" i="2"/>
  <c r="BV42" i="2"/>
  <c r="BW42" i="2" s="1"/>
  <c r="BU42" i="2"/>
  <c r="BT42" i="2"/>
  <c r="BS42" i="2"/>
  <c r="BQ42" i="2"/>
  <c r="BR42" i="2" s="1"/>
  <c r="BP42" i="2"/>
  <c r="BO42" i="2"/>
  <c r="BM42" i="2"/>
  <c r="BK42" i="2"/>
  <c r="BL42" i="2" s="1"/>
  <c r="BJ42" i="2"/>
  <c r="BI42" i="2"/>
  <c r="BF42" i="2"/>
  <c r="BE42" i="2"/>
  <c r="BD42" i="2"/>
  <c r="BA42" i="2"/>
  <c r="CI41" i="2"/>
  <c r="CE41" i="2"/>
  <c r="BZ41" i="2"/>
  <c r="CA41" i="2" s="1"/>
  <c r="BX41" i="2"/>
  <c r="BV41" i="2"/>
  <c r="BU41" i="2"/>
  <c r="BT41" i="2"/>
  <c r="BS41" i="2"/>
  <c r="BP41" i="2"/>
  <c r="BO41" i="2"/>
  <c r="BK41" i="2"/>
  <c r="BJ41" i="2"/>
  <c r="BI41" i="2"/>
  <c r="BF41" i="2"/>
  <c r="BE41" i="2"/>
  <c r="BD41" i="2"/>
  <c r="BB41" i="2"/>
  <c r="BC41" i="2" s="1"/>
  <c r="BA41" i="2"/>
  <c r="CI40" i="2"/>
  <c r="CE40" i="2"/>
  <c r="CF40" i="2" s="1"/>
  <c r="CB40" i="2"/>
  <c r="CA40" i="2"/>
  <c r="BZ40" i="2"/>
  <c r="BX40" i="2"/>
  <c r="BU40" i="2"/>
  <c r="BT40" i="2"/>
  <c r="BS40" i="2"/>
  <c r="BQ40" i="2"/>
  <c r="BP40" i="2"/>
  <c r="BO40" i="2"/>
  <c r="BL40" i="2"/>
  <c r="BM40" i="2" s="1"/>
  <c r="BK40" i="2"/>
  <c r="BJ40" i="2"/>
  <c r="BI40" i="2"/>
  <c r="BF40" i="2"/>
  <c r="BE40" i="2"/>
  <c r="BD40" i="2"/>
  <c r="BB40" i="2"/>
  <c r="BC40" i="2" s="1"/>
  <c r="BA40" i="2"/>
  <c r="CI39" i="2"/>
  <c r="CE39" i="2"/>
  <c r="CB39" i="2"/>
  <c r="BZ39" i="2"/>
  <c r="CA39" i="2" s="1"/>
  <c r="BX39" i="2"/>
  <c r="BU39" i="2"/>
  <c r="BT39" i="2"/>
  <c r="BS39" i="2"/>
  <c r="BQ39" i="2"/>
  <c r="BP39" i="2"/>
  <c r="BO39" i="2"/>
  <c r="BL39" i="2"/>
  <c r="BM39" i="2" s="1"/>
  <c r="BK39" i="2"/>
  <c r="BJ39" i="2"/>
  <c r="BI39" i="2"/>
  <c r="BF39" i="2"/>
  <c r="BE39" i="2"/>
  <c r="BD39" i="2"/>
  <c r="BA39" i="2"/>
  <c r="CI38" i="2"/>
  <c r="CE38" i="2"/>
  <c r="CA38" i="2"/>
  <c r="BZ38" i="2"/>
  <c r="BX38" i="2"/>
  <c r="BU38" i="2"/>
  <c r="BV38" i="2" s="1"/>
  <c r="BT38" i="2"/>
  <c r="BS38" i="2"/>
  <c r="BR38" i="2" s="1"/>
  <c r="BQ38" i="2"/>
  <c r="BP38" i="2"/>
  <c r="BO38" i="2"/>
  <c r="BK38" i="2"/>
  <c r="BJ38" i="2"/>
  <c r="BI38" i="2"/>
  <c r="BH38" i="2" s="1"/>
  <c r="BG38" i="2"/>
  <c r="BF38" i="2"/>
  <c r="BE38" i="2"/>
  <c r="BD38" i="2"/>
  <c r="BA38" i="2"/>
  <c r="CI37" i="2"/>
  <c r="CE37" i="2"/>
  <c r="BZ37" i="2"/>
  <c r="BX37" i="2"/>
  <c r="BU37" i="2"/>
  <c r="BT37" i="2"/>
  <c r="BR37" i="2" s="1"/>
  <c r="BS37" i="2"/>
  <c r="BP37" i="2"/>
  <c r="BQ37" i="2" s="1"/>
  <c r="BO37" i="2"/>
  <c r="BK37" i="2"/>
  <c r="BJ37" i="2"/>
  <c r="BI37" i="2"/>
  <c r="BG37" i="2"/>
  <c r="BF37" i="2"/>
  <c r="BE37" i="2"/>
  <c r="BD37" i="2"/>
  <c r="BB37" i="2"/>
  <c r="BC37" i="2" s="1"/>
  <c r="BA37" i="2"/>
  <c r="CI36" i="2"/>
  <c r="CE36" i="2"/>
  <c r="BZ36" i="2"/>
  <c r="BX36" i="2"/>
  <c r="BU36" i="2"/>
  <c r="BT36" i="2"/>
  <c r="BS36" i="2"/>
  <c r="BQ36" i="2"/>
  <c r="BR36" i="2" s="1"/>
  <c r="BP36" i="2"/>
  <c r="BO36" i="2"/>
  <c r="BK36" i="2"/>
  <c r="BL36" i="2" s="1"/>
  <c r="BM36" i="2" s="1"/>
  <c r="BJ36" i="2"/>
  <c r="BH36" i="2" s="1"/>
  <c r="BI36" i="2"/>
  <c r="BG36" i="2"/>
  <c r="BF36" i="2"/>
  <c r="BE36" i="2"/>
  <c r="BD36" i="2"/>
  <c r="BA36" i="2"/>
  <c r="CI35" i="2"/>
  <c r="CF35" i="2"/>
  <c r="CE35" i="2"/>
  <c r="CA35" i="2"/>
  <c r="CB35" i="2" s="1"/>
  <c r="BZ35" i="2"/>
  <c r="BX35" i="2"/>
  <c r="BU35" i="2"/>
  <c r="BT35" i="2"/>
  <c r="BS35" i="2"/>
  <c r="BQ35" i="2"/>
  <c r="BR35" i="2" s="1"/>
  <c r="BP35" i="2"/>
  <c r="BO35" i="2"/>
  <c r="BK35" i="2"/>
  <c r="BJ35" i="2"/>
  <c r="BI35" i="2"/>
  <c r="BH35" i="2" s="1"/>
  <c r="BF35" i="2"/>
  <c r="BG35" i="2" s="1"/>
  <c r="BE35" i="2"/>
  <c r="BD35" i="2"/>
  <c r="BA35" i="2"/>
  <c r="CI34" i="2"/>
  <c r="CE34" i="2"/>
  <c r="CF34" i="2" s="1"/>
  <c r="CG34" i="2" s="1"/>
  <c r="CA34" i="2"/>
  <c r="BZ34" i="2"/>
  <c r="BX34" i="2"/>
  <c r="BU34" i="2"/>
  <c r="BT34" i="2"/>
  <c r="BS34" i="2"/>
  <c r="BQ34" i="2"/>
  <c r="BP34" i="2"/>
  <c r="BO34" i="2"/>
  <c r="BK34" i="2"/>
  <c r="BJ34" i="2"/>
  <c r="BI34" i="2"/>
  <c r="BF34" i="2"/>
  <c r="BG34" i="2" s="1"/>
  <c r="BH34" i="2" s="1"/>
  <c r="BE34" i="2"/>
  <c r="BD34" i="2"/>
  <c r="BA34" i="2"/>
  <c r="BB34" i="2" s="1"/>
  <c r="CI33" i="2"/>
  <c r="CE33" i="2"/>
  <c r="CA33" i="2"/>
  <c r="BZ33" i="2"/>
  <c r="BX33" i="2"/>
  <c r="BV33" i="2"/>
  <c r="BU33" i="2"/>
  <c r="BT33" i="2"/>
  <c r="BS33" i="2"/>
  <c r="BP33" i="2"/>
  <c r="BQ33" i="2" s="1"/>
  <c r="BO33" i="2"/>
  <c r="BL33" i="2"/>
  <c r="BK33" i="2"/>
  <c r="BJ33" i="2"/>
  <c r="BI33" i="2"/>
  <c r="BF33" i="2"/>
  <c r="BE33" i="2"/>
  <c r="BD33" i="2"/>
  <c r="BB33" i="2"/>
  <c r="BC33" i="2" s="1"/>
  <c r="BA33" i="2"/>
  <c r="CI32" i="2"/>
  <c r="CE32" i="2"/>
  <c r="CF32" i="2" s="1"/>
  <c r="CB32" i="2"/>
  <c r="CA32" i="2"/>
  <c r="BZ32" i="2"/>
  <c r="BX32" i="2"/>
  <c r="BU32" i="2"/>
  <c r="BT32" i="2"/>
  <c r="BS32" i="2"/>
  <c r="BQ32" i="2"/>
  <c r="BR32" i="2" s="1"/>
  <c r="BP32" i="2"/>
  <c r="BO32" i="2"/>
  <c r="BL32" i="2"/>
  <c r="BM32" i="2" s="1"/>
  <c r="BK32" i="2"/>
  <c r="BJ32" i="2"/>
  <c r="BI32" i="2"/>
  <c r="BF32" i="2"/>
  <c r="BE32" i="2"/>
  <c r="BD32" i="2"/>
  <c r="BC32" i="2" s="1"/>
  <c r="BB32" i="2"/>
  <c r="BA32" i="2"/>
  <c r="CI31" i="2"/>
  <c r="CE31" i="2"/>
  <c r="BZ31" i="2"/>
  <c r="CA31" i="2" s="1"/>
  <c r="BX31" i="2"/>
  <c r="BU31" i="2"/>
  <c r="BT31" i="2"/>
  <c r="BS31" i="2"/>
  <c r="BP31" i="2"/>
  <c r="BO31" i="2"/>
  <c r="BM31" i="2"/>
  <c r="BL31" i="2"/>
  <c r="BK31" i="2"/>
  <c r="BJ31" i="2"/>
  <c r="BI31" i="2"/>
  <c r="BF31" i="2"/>
  <c r="BE31" i="2"/>
  <c r="BD31" i="2"/>
  <c r="BA31" i="2"/>
  <c r="CI30" i="2"/>
  <c r="CE30" i="2"/>
  <c r="BZ30" i="2"/>
  <c r="BX30" i="2"/>
  <c r="BW30" i="2" s="1"/>
  <c r="BU30" i="2"/>
  <c r="BV30" i="2" s="1"/>
  <c r="BT30" i="2"/>
  <c r="BS30" i="2"/>
  <c r="BP30" i="2"/>
  <c r="BO30" i="2"/>
  <c r="BK30" i="2"/>
  <c r="BL30" i="2" s="1"/>
  <c r="BJ30" i="2"/>
  <c r="BI30" i="2"/>
  <c r="BG30" i="2"/>
  <c r="BH30" i="2" s="1"/>
  <c r="BF30" i="2"/>
  <c r="BE30" i="2"/>
  <c r="BD30" i="2"/>
  <c r="BA30" i="2"/>
  <c r="CI29" i="2"/>
  <c r="CF29" i="2"/>
  <c r="CE29" i="2"/>
  <c r="BZ29" i="2"/>
  <c r="BX29" i="2"/>
  <c r="BU29" i="2"/>
  <c r="BV29" i="2" s="1"/>
  <c r="BT29" i="2"/>
  <c r="BS29" i="2"/>
  <c r="BR29" i="2"/>
  <c r="BP29" i="2"/>
  <c r="BQ29" i="2" s="1"/>
  <c r="BO29" i="2"/>
  <c r="BK29" i="2"/>
  <c r="BJ29" i="2"/>
  <c r="BI29" i="2"/>
  <c r="BG29" i="2"/>
  <c r="BH29" i="2" s="1"/>
  <c r="BF29" i="2"/>
  <c r="BE29" i="2"/>
  <c r="BD29" i="2"/>
  <c r="BB29" i="2"/>
  <c r="BC29" i="2" s="1"/>
  <c r="BA29" i="2"/>
  <c r="CI28" i="2"/>
  <c r="CE28" i="2"/>
  <c r="CF28" i="2" s="1"/>
  <c r="CG28" i="2" s="1"/>
  <c r="CA28" i="2"/>
  <c r="BZ28" i="2"/>
  <c r="BX28" i="2"/>
  <c r="BU28" i="2"/>
  <c r="BT28" i="2"/>
  <c r="BS28" i="2"/>
  <c r="BR28" i="2"/>
  <c r="BQ28" i="2"/>
  <c r="BP28" i="2"/>
  <c r="BO28" i="2"/>
  <c r="BK28" i="2"/>
  <c r="BL28" i="2" s="1"/>
  <c r="BJ28" i="2"/>
  <c r="BI28" i="2"/>
  <c r="BH28" i="2"/>
  <c r="BG28" i="2"/>
  <c r="BF28" i="2"/>
  <c r="BE28" i="2"/>
  <c r="BD28" i="2"/>
  <c r="BA28" i="2"/>
  <c r="CI27" i="2"/>
  <c r="CE27" i="2"/>
  <c r="CA27" i="2"/>
  <c r="BZ27" i="2"/>
  <c r="BX27" i="2"/>
  <c r="BU27" i="2"/>
  <c r="BT27" i="2"/>
  <c r="BS27" i="2"/>
  <c r="BP27" i="2"/>
  <c r="BQ27" i="2" s="1"/>
  <c r="BR27" i="2" s="1"/>
  <c r="BO27" i="2"/>
  <c r="BL27" i="2"/>
  <c r="BM27" i="2" s="1"/>
  <c r="BK27" i="2"/>
  <c r="BJ27" i="2"/>
  <c r="BI27" i="2"/>
  <c r="BF27" i="2"/>
  <c r="BE27" i="2"/>
  <c r="BD27" i="2"/>
  <c r="BC27" i="2" s="1"/>
  <c r="BB27" i="2"/>
  <c r="BA27" i="2"/>
  <c r="CI26" i="2"/>
  <c r="CE26" i="2"/>
  <c r="BZ26" i="2"/>
  <c r="BX26" i="2"/>
  <c r="BV26" i="2"/>
  <c r="BW26" i="2" s="1"/>
  <c r="BU26" i="2"/>
  <c r="BT26" i="2"/>
  <c r="BS26" i="2"/>
  <c r="BP26" i="2"/>
  <c r="BO26" i="2"/>
  <c r="BK26" i="2"/>
  <c r="BL26" i="2" s="1"/>
  <c r="BJ26" i="2"/>
  <c r="BI26" i="2"/>
  <c r="BF26" i="2"/>
  <c r="BE26" i="2"/>
  <c r="BD26" i="2"/>
  <c r="BA26" i="2"/>
  <c r="CI25" i="2"/>
  <c r="CG25" i="2"/>
  <c r="CF25" i="2"/>
  <c r="CE25" i="2"/>
  <c r="BZ25" i="2"/>
  <c r="BX25" i="2"/>
  <c r="BU25" i="2"/>
  <c r="BT25" i="2"/>
  <c r="BS25" i="2"/>
  <c r="BQ25" i="2"/>
  <c r="BR25" i="2" s="1"/>
  <c r="BP25" i="2"/>
  <c r="BO25" i="2"/>
  <c r="BK25" i="2"/>
  <c r="BJ25" i="2"/>
  <c r="BI25" i="2"/>
  <c r="BF25" i="2"/>
  <c r="BG25" i="2" s="1"/>
  <c r="BE25" i="2"/>
  <c r="BD25" i="2"/>
  <c r="BB25" i="2"/>
  <c r="BC25" i="2" s="1"/>
  <c r="BA25" i="2"/>
  <c r="CI24" i="2"/>
  <c r="CE24" i="2"/>
  <c r="BZ24" i="2"/>
  <c r="BX24" i="2"/>
  <c r="BU24" i="2"/>
  <c r="BT24" i="2"/>
  <c r="BS24" i="2"/>
  <c r="BP24" i="2"/>
  <c r="BO24" i="2"/>
  <c r="BM24" i="2"/>
  <c r="BL24" i="2"/>
  <c r="BK24" i="2"/>
  <c r="BJ24" i="2"/>
  <c r="BI24" i="2"/>
  <c r="BF24" i="2"/>
  <c r="BE24" i="2"/>
  <c r="BD24" i="2"/>
  <c r="BA24" i="2"/>
  <c r="BB24" i="2" s="1"/>
  <c r="CI23" i="2"/>
  <c r="CE23" i="2"/>
  <c r="BZ23" i="2"/>
  <c r="BX23" i="2"/>
  <c r="BV23" i="2"/>
  <c r="BU23" i="2"/>
  <c r="BT23" i="2"/>
  <c r="BS23" i="2"/>
  <c r="BQ23" i="2"/>
  <c r="BP23" i="2"/>
  <c r="BO23" i="2"/>
  <c r="BK23" i="2"/>
  <c r="BJ23" i="2"/>
  <c r="BI23" i="2"/>
  <c r="BH23" i="2"/>
  <c r="BG23" i="2"/>
  <c r="BF23" i="2"/>
  <c r="BE23" i="2"/>
  <c r="BD23" i="2"/>
  <c r="BA23" i="2"/>
  <c r="CI22" i="2"/>
  <c r="CE22" i="2"/>
  <c r="CF22" i="2" s="1"/>
  <c r="BZ22" i="2"/>
  <c r="BX22" i="2"/>
  <c r="BU22" i="2"/>
  <c r="BT22" i="2"/>
  <c r="BS22" i="2"/>
  <c r="BP22" i="2"/>
  <c r="BQ22" i="2" s="1"/>
  <c r="O22" i="2" s="1"/>
  <c r="BO22" i="2"/>
  <c r="BL22" i="2"/>
  <c r="BK22" i="2"/>
  <c r="BJ22" i="2"/>
  <c r="BI22" i="2"/>
  <c r="BF22" i="2"/>
  <c r="BE22" i="2"/>
  <c r="BD22" i="2"/>
  <c r="BA22" i="2"/>
  <c r="BB22" i="2" s="1"/>
  <c r="CI21" i="2"/>
  <c r="CE21" i="2"/>
  <c r="BZ21" i="2"/>
  <c r="CA21" i="2" s="1"/>
  <c r="BX21" i="2"/>
  <c r="BU21" i="2"/>
  <c r="BT21" i="2"/>
  <c r="BS21" i="2"/>
  <c r="BP21" i="2"/>
  <c r="BO21" i="2"/>
  <c r="BK21" i="2"/>
  <c r="BL21" i="2" s="1"/>
  <c r="BJ21" i="2"/>
  <c r="BI21" i="2"/>
  <c r="BF21" i="2"/>
  <c r="BE21" i="2"/>
  <c r="BD21" i="2"/>
  <c r="BA21" i="2"/>
  <c r="CI20" i="2"/>
  <c r="CE20" i="2"/>
  <c r="CF20" i="2" s="1"/>
  <c r="X20" i="2" s="1"/>
  <c r="BZ20" i="2"/>
  <c r="BX20" i="2"/>
  <c r="BU20" i="2"/>
  <c r="BV20" i="2" s="1"/>
  <c r="BW20" i="2" s="1"/>
  <c r="BT20" i="2"/>
  <c r="BS20" i="2"/>
  <c r="BP20" i="2"/>
  <c r="BO20" i="2"/>
  <c r="BK20" i="2"/>
  <c r="BJ20" i="2"/>
  <c r="BI20" i="2"/>
  <c r="BF20" i="2"/>
  <c r="BE20" i="2"/>
  <c r="BD20" i="2"/>
  <c r="BA20" i="2"/>
  <c r="BB20" i="2" s="1"/>
  <c r="CI19" i="2"/>
  <c r="CE19" i="2"/>
  <c r="BZ19" i="2"/>
  <c r="CA19" i="2" s="1"/>
  <c r="U19" i="2" s="1"/>
  <c r="BX19" i="2"/>
  <c r="BU19" i="2"/>
  <c r="BT19" i="2"/>
  <c r="BS19" i="2"/>
  <c r="BP19" i="2"/>
  <c r="BQ19" i="2" s="1"/>
  <c r="BR19" i="2" s="1"/>
  <c r="BO19" i="2"/>
  <c r="BK19" i="2"/>
  <c r="BJ19" i="2"/>
  <c r="BI19" i="2"/>
  <c r="BF19" i="2"/>
  <c r="BE19" i="2"/>
  <c r="BD19" i="2"/>
  <c r="BA19" i="2"/>
  <c r="BB19" i="2" s="1"/>
  <c r="F19" i="2" s="1"/>
  <c r="CI18" i="2"/>
  <c r="CE18" i="2"/>
  <c r="BZ18" i="2"/>
  <c r="BX18" i="2"/>
  <c r="BU18" i="2"/>
  <c r="BV18" i="2" s="1"/>
  <c r="R18" i="2" s="1"/>
  <c r="BT18" i="2"/>
  <c r="BS18" i="2"/>
  <c r="BP18" i="2"/>
  <c r="BO18" i="2"/>
  <c r="BK18" i="2"/>
  <c r="BL18" i="2" s="1"/>
  <c r="BJ18" i="2"/>
  <c r="BI18" i="2"/>
  <c r="BF18" i="2"/>
  <c r="BG18" i="2" s="1"/>
  <c r="BE18" i="2"/>
  <c r="BD18" i="2"/>
  <c r="BA18" i="2"/>
  <c r="CI17" i="2"/>
  <c r="CE17" i="2"/>
  <c r="CF17" i="2" s="1"/>
  <c r="BZ17" i="2"/>
  <c r="BX17" i="2"/>
  <c r="BU17" i="2"/>
  <c r="BT17" i="2"/>
  <c r="BS17" i="2"/>
  <c r="BP17" i="2"/>
  <c r="BQ17" i="2" s="1"/>
  <c r="BO17" i="2"/>
  <c r="BK17" i="2"/>
  <c r="BJ17" i="2"/>
  <c r="BI17" i="2"/>
  <c r="BF17" i="2"/>
  <c r="BG17" i="2" s="1"/>
  <c r="BE17" i="2"/>
  <c r="BD17" i="2"/>
  <c r="BA17" i="2"/>
  <c r="CI16" i="2"/>
  <c r="CE16" i="2"/>
  <c r="BZ16" i="2"/>
  <c r="BX16" i="2"/>
  <c r="BU16" i="2"/>
  <c r="BT16" i="2"/>
  <c r="BS16" i="2"/>
  <c r="BP16" i="2"/>
  <c r="BO16" i="2"/>
  <c r="BL16" i="2"/>
  <c r="BK16" i="2"/>
  <c r="BJ16" i="2"/>
  <c r="BI16" i="2"/>
  <c r="BF16" i="2"/>
  <c r="BE16" i="2"/>
  <c r="BD16" i="2"/>
  <c r="BA16" i="2"/>
  <c r="BB16" i="2" s="1"/>
  <c r="CI15" i="2"/>
  <c r="CE15" i="2"/>
  <c r="CF15" i="2" s="1"/>
  <c r="BZ15" i="2"/>
  <c r="BX15" i="2"/>
  <c r="BU15" i="2"/>
  <c r="BV15" i="2" s="1"/>
  <c r="R15" i="2" s="1"/>
  <c r="BT15" i="2"/>
  <c r="BS15" i="2"/>
  <c r="BP15" i="2"/>
  <c r="BO15" i="2"/>
  <c r="BK15" i="2"/>
  <c r="BJ15" i="2"/>
  <c r="BI15" i="2"/>
  <c r="BF15" i="2"/>
  <c r="BG15" i="2" s="1"/>
  <c r="I15" i="2" s="1"/>
  <c r="BE15" i="2"/>
  <c r="BD15" i="2"/>
  <c r="BA15" i="2"/>
  <c r="CI14" i="2"/>
  <c r="CE14" i="2"/>
  <c r="CF14" i="2" s="1"/>
  <c r="BZ14" i="2"/>
  <c r="BX14" i="2"/>
  <c r="BU14" i="2"/>
  <c r="BT14" i="2"/>
  <c r="BS14" i="2"/>
  <c r="BP14" i="2"/>
  <c r="BO14" i="2"/>
  <c r="BK14" i="2"/>
  <c r="BL14" i="2" s="1"/>
  <c r="L14" i="2" s="1"/>
  <c r="BJ14" i="2"/>
  <c r="BI14" i="2"/>
  <c r="BF14" i="2"/>
  <c r="BE14" i="2"/>
  <c r="BD14" i="2"/>
  <c r="BA14" i="2"/>
  <c r="CI13" i="2"/>
  <c r="CE13" i="2"/>
  <c r="BZ13" i="2"/>
  <c r="CA13" i="2" s="1"/>
  <c r="BX13" i="2"/>
  <c r="BU13" i="2"/>
  <c r="BT13" i="2"/>
  <c r="BS13" i="2"/>
  <c r="BP13" i="2"/>
  <c r="BO13" i="2"/>
  <c r="BK13" i="2"/>
  <c r="BL13" i="2" s="1"/>
  <c r="L13" i="2" s="1"/>
  <c r="BJ13" i="2"/>
  <c r="BI13" i="2"/>
  <c r="BF13" i="2"/>
  <c r="BG13" i="2" s="1"/>
  <c r="I13" i="2" s="1"/>
  <c r="BE13" i="2"/>
  <c r="BD13" i="2"/>
  <c r="BA13" i="2"/>
  <c r="CI12" i="2"/>
  <c r="CE12" i="2"/>
  <c r="CF12" i="2" s="1"/>
  <c r="BZ12" i="2"/>
  <c r="BX12" i="2"/>
  <c r="BU12" i="2"/>
  <c r="BV12" i="2" s="1"/>
  <c r="BT12" i="2"/>
  <c r="BS12" i="2"/>
  <c r="BP12" i="2"/>
  <c r="BO12" i="2"/>
  <c r="BK12" i="2"/>
  <c r="BJ12" i="2"/>
  <c r="BI12" i="2"/>
  <c r="BF12" i="2"/>
  <c r="BG12" i="2" s="1"/>
  <c r="I12" i="2" s="1"/>
  <c r="BE12" i="2"/>
  <c r="BD12" i="2"/>
  <c r="BA12" i="2"/>
  <c r="CI11" i="2"/>
  <c r="CE11" i="2"/>
  <c r="BZ11" i="2"/>
  <c r="CA11" i="2" s="1"/>
  <c r="U11" i="2" s="1"/>
  <c r="BX11" i="2"/>
  <c r="BU11" i="2"/>
  <c r="BT11" i="2"/>
  <c r="BS11" i="2"/>
  <c r="BP11" i="2"/>
  <c r="BQ11" i="2" s="1"/>
  <c r="BO11" i="2"/>
  <c r="BK11" i="2"/>
  <c r="BL11" i="2" s="1"/>
  <c r="BJ11" i="2"/>
  <c r="BI11" i="2"/>
  <c r="BF11" i="2"/>
  <c r="BE11" i="2"/>
  <c r="BD11" i="2"/>
  <c r="BA11" i="2"/>
  <c r="BB11" i="2" s="1"/>
  <c r="CI10" i="2"/>
  <c r="CE10" i="2"/>
  <c r="CF10" i="2" s="1"/>
  <c r="X10" i="2" s="1"/>
  <c r="BZ10" i="2"/>
  <c r="BX10" i="2"/>
  <c r="BU10" i="2"/>
  <c r="BV10" i="2" s="1"/>
  <c r="R10" i="2" s="1"/>
  <c r="BT10" i="2"/>
  <c r="BS10" i="2"/>
  <c r="BP10" i="2"/>
  <c r="BO10" i="2"/>
  <c r="BK10" i="2"/>
  <c r="BL10" i="2" s="1"/>
  <c r="BJ10" i="2"/>
  <c r="BI10" i="2"/>
  <c r="BF10" i="2"/>
  <c r="BG10" i="2" s="1"/>
  <c r="BE10" i="2"/>
  <c r="BD10" i="2"/>
  <c r="BA10" i="2"/>
  <c r="CI9" i="2"/>
  <c r="CE9" i="2"/>
  <c r="BZ9" i="2"/>
  <c r="BX9" i="2"/>
  <c r="BU9" i="2"/>
  <c r="BT9" i="2"/>
  <c r="BS9" i="2"/>
  <c r="BP9" i="2"/>
  <c r="BQ9" i="2" s="1"/>
  <c r="BO9" i="2"/>
  <c r="BK9" i="2"/>
  <c r="BJ9" i="2"/>
  <c r="BI9" i="2"/>
  <c r="BF9" i="2"/>
  <c r="BG9" i="2" s="1"/>
  <c r="BE9" i="2"/>
  <c r="BD9" i="2"/>
  <c r="BA9" i="2"/>
  <c r="BB9" i="2" s="1"/>
  <c r="F9" i="2" s="1"/>
  <c r="CI8" i="2"/>
  <c r="CE8" i="2"/>
  <c r="BZ8" i="2"/>
  <c r="BX8" i="2"/>
  <c r="BU8" i="2"/>
  <c r="BT8" i="2"/>
  <c r="BS8" i="2"/>
  <c r="BP8" i="2"/>
  <c r="BO8" i="2"/>
  <c r="BK8" i="2"/>
  <c r="BL8" i="2" s="1"/>
  <c r="BJ8" i="2"/>
  <c r="BI8" i="2"/>
  <c r="BF8" i="2"/>
  <c r="BE8" i="2"/>
  <c r="BD8" i="2"/>
  <c r="BA8" i="2"/>
  <c r="BB8" i="2" s="1"/>
  <c r="CI7" i="2"/>
  <c r="CE7" i="2"/>
  <c r="BZ7" i="2"/>
  <c r="BX7" i="2"/>
  <c r="BU7" i="2"/>
  <c r="BV7" i="2" s="1"/>
  <c r="R7" i="2" s="1"/>
  <c r="BT7" i="2"/>
  <c r="BS7" i="2"/>
  <c r="BP7" i="2"/>
  <c r="BO7" i="2"/>
  <c r="BK7" i="2"/>
  <c r="BJ7" i="2"/>
  <c r="BI7" i="2"/>
  <c r="BF7" i="2"/>
  <c r="BG7" i="2" s="1"/>
  <c r="BE7" i="2"/>
  <c r="BD7" i="2"/>
  <c r="BA7" i="2"/>
  <c r="CI6" i="2"/>
  <c r="CE6" i="2"/>
  <c r="CF6" i="2" s="1"/>
  <c r="BZ6" i="2"/>
  <c r="CA6" i="2" s="1"/>
  <c r="BX6" i="2"/>
  <c r="BU6" i="2"/>
  <c r="BT6" i="2"/>
  <c r="BS6" i="2"/>
  <c r="BP6" i="2"/>
  <c r="BO6" i="2"/>
  <c r="BK6" i="2"/>
  <c r="BJ6" i="2"/>
  <c r="BI6" i="2"/>
  <c r="BF6" i="2"/>
  <c r="BE6" i="2"/>
  <c r="BD6" i="2"/>
  <c r="BA6" i="2"/>
  <c r="BB6" i="2" s="1"/>
  <c r="F6" i="2" s="1"/>
  <c r="CI5" i="2"/>
  <c r="CE5" i="2"/>
  <c r="BZ5" i="2"/>
  <c r="CA5" i="2" s="1"/>
  <c r="BX5" i="2"/>
  <c r="BU5" i="2"/>
  <c r="BT5" i="2"/>
  <c r="BS5" i="2"/>
  <c r="BP5" i="2"/>
  <c r="BO5" i="2"/>
  <c r="BK5" i="2"/>
  <c r="BL5" i="2" s="1"/>
  <c r="BJ5" i="2"/>
  <c r="BI5" i="2"/>
  <c r="BF5" i="2"/>
  <c r="BG5" i="2" s="1"/>
  <c r="I5" i="2" s="1"/>
  <c r="BE5" i="2"/>
  <c r="BD5" i="2"/>
  <c r="BA5" i="2"/>
  <c r="CI4" i="2"/>
  <c r="CE4" i="2"/>
  <c r="BZ4" i="2"/>
  <c r="BX4" i="2"/>
  <c r="BU4" i="2"/>
  <c r="BV4" i="2" s="1"/>
  <c r="BT4" i="2"/>
  <c r="BS4" i="2"/>
  <c r="BP4" i="2"/>
  <c r="BO4" i="2"/>
  <c r="BK4" i="2"/>
  <c r="BJ4" i="2"/>
  <c r="BI4" i="2"/>
  <c r="BF4" i="2"/>
  <c r="BE4" i="2"/>
  <c r="BD4" i="2"/>
  <c r="BA4" i="2"/>
  <c r="BB4" i="2" s="1"/>
  <c r="F4" i="2" s="1"/>
  <c r="CI3" i="2"/>
  <c r="CE3" i="2"/>
  <c r="BZ3" i="2"/>
  <c r="CA3" i="2" s="1"/>
  <c r="U3" i="2" s="1"/>
  <c r="BX3" i="2"/>
  <c r="BU3" i="2"/>
  <c r="BT3" i="2"/>
  <c r="BS3" i="2"/>
  <c r="BP3" i="2"/>
  <c r="BQ3" i="2" s="1"/>
  <c r="BO3" i="2"/>
  <c r="BK3" i="2"/>
  <c r="BJ3" i="2"/>
  <c r="BI3" i="2"/>
  <c r="BF3" i="2"/>
  <c r="BE3" i="2"/>
  <c r="BA3" i="2"/>
  <c r="BB3" i="2" s="1"/>
  <c r="F94" i="2"/>
  <c r="O62" i="2"/>
  <c r="L28" i="2"/>
  <c r="CI2" i="2"/>
  <c r="BT2" i="2"/>
  <c r="BO2" i="2"/>
  <c r="BJ2" i="2"/>
  <c r="BE2" i="2"/>
  <c r="BX2" i="2"/>
  <c r="BS2" i="2"/>
  <c r="BI2" i="2"/>
  <c r="BA2" i="2"/>
  <c r="BB2" i="2" s="1"/>
  <c r="F2" i="2" s="1"/>
  <c r="BD2" i="2"/>
  <c r="CE2" i="2"/>
  <c r="CF2" i="2" s="1"/>
  <c r="BZ2" i="2"/>
  <c r="CA2" i="2" s="1"/>
  <c r="BU2" i="2"/>
  <c r="BV2" i="2" s="1"/>
  <c r="BP2" i="2"/>
  <c r="BQ2" i="2" s="1"/>
  <c r="BK2" i="2"/>
  <c r="BF2" i="2"/>
  <c r="BG2" i="2" s="1"/>
  <c r="A97" i="18"/>
  <c r="AX97" i="12" s="1"/>
  <c r="A93" i="18"/>
  <c r="AX93" i="12" s="1"/>
  <c r="A91" i="18"/>
  <c r="AX91" i="12" s="1"/>
  <c r="A85" i="18"/>
  <c r="AX85" i="12" s="1"/>
  <c r="A81" i="18"/>
  <c r="AX81" i="12" s="1"/>
  <c r="A100" i="2"/>
  <c r="AW100" i="12" s="1"/>
  <c r="A99" i="2"/>
  <c r="AW99" i="12" s="1"/>
  <c r="A98" i="2"/>
  <c r="AW98" i="12" s="1"/>
  <c r="A97" i="2"/>
  <c r="AW97" i="12" s="1"/>
  <c r="A92" i="2"/>
  <c r="AW92" i="12" s="1"/>
  <c r="A91" i="2"/>
  <c r="AW91" i="12" s="1"/>
  <c r="A90" i="2"/>
  <c r="AW90" i="12" s="1"/>
  <c r="A89" i="2"/>
  <c r="AW89" i="12" s="1"/>
  <c r="A87" i="2"/>
  <c r="AW87" i="12" s="1"/>
  <c r="A84" i="2"/>
  <c r="AW84" i="12" s="1"/>
  <c r="A83" i="2"/>
  <c r="AW83" i="12" s="1"/>
  <c r="A81" i="2"/>
  <c r="AW81" i="12" s="1"/>
  <c r="A79" i="2"/>
  <c r="AW79" i="12" s="1"/>
  <c r="A75" i="2"/>
  <c r="AW75" i="12" s="1"/>
  <c r="A73" i="2"/>
  <c r="AW73" i="12" s="1"/>
  <c r="A72" i="2"/>
  <c r="AW72" i="12" s="1"/>
  <c r="A68" i="2"/>
  <c r="AW68" i="12" s="1"/>
  <c r="A67" i="2"/>
  <c r="AW67" i="12" s="1"/>
  <c r="A65" i="2"/>
  <c r="AW65" i="12" s="1"/>
  <c r="A63" i="2"/>
  <c r="AW63" i="12" s="1"/>
  <c r="A60" i="2"/>
  <c r="AW60" i="12" s="1"/>
  <c r="A59" i="2"/>
  <c r="AW59" i="12" s="1"/>
  <c r="A57" i="2"/>
  <c r="AW57" i="12" s="1"/>
  <c r="A55" i="2"/>
  <c r="AW55" i="12" s="1"/>
  <c r="A52" i="2"/>
  <c r="AW52" i="12" s="1"/>
  <c r="A51" i="2"/>
  <c r="AW51" i="12" s="1"/>
  <c r="A49" i="2"/>
  <c r="AW49" i="12" s="1"/>
  <c r="A47" i="2"/>
  <c r="AW47" i="12" s="1"/>
  <c r="A44" i="2"/>
  <c r="AW44" i="12" s="1"/>
  <c r="A43" i="2"/>
  <c r="AW43" i="12" s="1"/>
  <c r="A42" i="2"/>
  <c r="AW42" i="12" s="1"/>
  <c r="A39" i="2"/>
  <c r="AW39" i="12" s="1"/>
  <c r="A35" i="2"/>
  <c r="AW35" i="12" s="1"/>
  <c r="A33" i="2"/>
  <c r="AW33" i="12" s="1"/>
  <c r="A28" i="2"/>
  <c r="AW28" i="12" s="1"/>
  <c r="A27" i="2"/>
  <c r="AW27" i="12" s="1"/>
  <c r="A25" i="2"/>
  <c r="AW25" i="12" s="1"/>
  <c r="A20" i="2"/>
  <c r="AW20" i="12" s="1"/>
  <c r="A19" i="2"/>
  <c r="AW19" i="12" s="1"/>
  <c r="A17" i="2"/>
  <c r="AW17" i="12" s="1"/>
  <c r="A11" i="2"/>
  <c r="AW11" i="12" s="1"/>
  <c r="U90" i="18"/>
  <c r="X75" i="18"/>
  <c r="F71" i="18"/>
  <c r="U66" i="18"/>
  <c r="I97" i="2"/>
  <c r="U93" i="2"/>
  <c r="X91" i="2"/>
  <c r="O88" i="2"/>
  <c r="U82" i="2"/>
  <c r="I62" i="2"/>
  <c r="R57" i="2"/>
  <c r="O54" i="2"/>
  <c r="O52" i="2"/>
  <c r="I41" i="18"/>
  <c r="O43" i="18"/>
  <c r="X42" i="18"/>
  <c r="E1" i="2"/>
  <c r="U41" i="18"/>
  <c r="F32" i="18"/>
  <c r="R32" i="18"/>
  <c r="L42" i="18"/>
  <c r="L64" i="18"/>
  <c r="F64" i="18"/>
  <c r="O51" i="18"/>
  <c r="X50" i="18"/>
  <c r="U49" i="18"/>
  <c r="L50" i="18"/>
  <c r="X46" i="18"/>
  <c r="U45" i="18"/>
  <c r="L46" i="18"/>
  <c r="I45" i="18"/>
  <c r="F48" i="18"/>
  <c r="I46" i="2"/>
  <c r="I49" i="18"/>
  <c r="O47" i="18"/>
  <c r="R48" i="2"/>
  <c r="AX1" i="12"/>
  <c r="O27" i="18"/>
  <c r="U69" i="18"/>
  <c r="O66" i="18"/>
  <c r="O35" i="18"/>
  <c r="L26" i="2"/>
  <c r="G1" i="2"/>
  <c r="J1" i="2" s="1"/>
  <c r="I96" i="2"/>
  <c r="L27" i="2"/>
  <c r="F37" i="2"/>
  <c r="L97" i="2"/>
  <c r="L31" i="2"/>
  <c r="O36" i="2"/>
  <c r="L39" i="2"/>
  <c r="O39" i="2"/>
  <c r="O32" i="2"/>
  <c r="F33" i="2"/>
  <c r="I38" i="2"/>
  <c r="O98" i="2"/>
  <c r="F40" i="2"/>
  <c r="O40" i="2"/>
  <c r="F95" i="2"/>
  <c r="F32" i="2"/>
  <c r="U79" i="18"/>
  <c r="R24" i="18"/>
  <c r="O15" i="18"/>
  <c r="R78" i="18"/>
  <c r="L81" i="18"/>
  <c r="U34" i="2"/>
  <c r="U25" i="18"/>
  <c r="X10" i="18"/>
  <c r="L14" i="18"/>
  <c r="O39" i="18"/>
  <c r="I65" i="18"/>
  <c r="U68" i="18"/>
  <c r="I70" i="18"/>
  <c r="O72" i="18"/>
  <c r="I68" i="18"/>
  <c r="I61" i="18"/>
  <c r="X18" i="18"/>
  <c r="O31" i="18"/>
  <c r="I33" i="18"/>
  <c r="U33" i="18"/>
  <c r="L34" i="18"/>
  <c r="X34" i="18"/>
  <c r="I37" i="18"/>
  <c r="U37" i="18"/>
  <c r="L38" i="18"/>
  <c r="X38" i="18"/>
  <c r="F44" i="18"/>
  <c r="R44" i="18"/>
  <c r="I100" i="18"/>
  <c r="L65" i="18"/>
  <c r="F68" i="18"/>
  <c r="L69" i="18"/>
  <c r="F70" i="18"/>
  <c r="L71" i="18"/>
  <c r="R72" i="18"/>
  <c r="I72" i="18"/>
  <c r="U72" i="18"/>
  <c r="CK72" i="18" s="1"/>
  <c r="AP72" i="18" s="1"/>
  <c r="L73" i="18"/>
  <c r="R74" i="18"/>
  <c r="U74" i="18"/>
  <c r="I57" i="18"/>
  <c r="U61" i="18"/>
  <c r="O75" i="18"/>
  <c r="F12" i="18"/>
  <c r="R12" i="18"/>
  <c r="R16" i="18"/>
  <c r="F20" i="18"/>
  <c r="F36" i="18"/>
  <c r="R36" i="18"/>
  <c r="F40" i="18"/>
  <c r="R40" i="18"/>
  <c r="F99" i="18"/>
  <c r="R65" i="18"/>
  <c r="X66" i="18"/>
  <c r="R67" i="18"/>
  <c r="X70" i="18"/>
  <c r="O59" i="18"/>
  <c r="X54" i="18"/>
  <c r="L62" i="18"/>
  <c r="I77" i="18"/>
  <c r="F80" i="18"/>
  <c r="I91" i="18"/>
  <c r="F52" i="18"/>
  <c r="R52" i="18"/>
  <c r="R56" i="18"/>
  <c r="F60" i="18"/>
  <c r="R60" i="18"/>
  <c r="F75" i="18"/>
  <c r="R75" i="18"/>
  <c r="L76" i="18"/>
  <c r="X80" i="18"/>
  <c r="I84" i="18"/>
  <c r="O94" i="18"/>
  <c r="O98" i="18"/>
  <c r="R86" i="18"/>
  <c r="L89" i="18"/>
  <c r="F90" i="18"/>
  <c r="L95" i="18"/>
  <c r="X82" i="18"/>
  <c r="R83" i="18"/>
  <c r="L84" i="18"/>
  <c r="F87" i="18"/>
  <c r="L88" i="18"/>
  <c r="CK88" i="18" s="1"/>
  <c r="AP88" i="18" s="1"/>
  <c r="L92" i="18"/>
  <c r="F93" i="18"/>
  <c r="R95" i="18"/>
  <c r="I25" i="18"/>
  <c r="U23" i="18"/>
  <c r="O23" i="18"/>
  <c r="X24" i="18"/>
  <c r="F28" i="18"/>
  <c r="R96" i="2"/>
  <c r="X35" i="2"/>
  <c r="R33" i="2"/>
  <c r="X98" i="2"/>
  <c r="R99" i="2"/>
  <c r="O69" i="2"/>
  <c r="L53" i="2"/>
  <c r="R49" i="2"/>
  <c r="X55" i="2"/>
  <c r="X72" i="2"/>
  <c r="L76" i="2"/>
  <c r="R89" i="2"/>
  <c r="I67" i="2"/>
  <c r="F50" i="2"/>
  <c r="U50" i="2"/>
  <c r="L84" i="2"/>
  <c r="X93" i="2"/>
  <c r="R53" i="2"/>
  <c r="R70" i="2"/>
  <c r="R78" i="2"/>
  <c r="L87" i="2"/>
  <c r="F57" i="2"/>
  <c r="U92" i="2"/>
  <c r="L94" i="2"/>
  <c r="I93" i="2"/>
  <c r="O27" i="2"/>
  <c r="U98" i="18"/>
  <c r="X26" i="18"/>
  <c r="X96" i="18"/>
  <c r="O85" i="18"/>
  <c r="L22" i="18"/>
  <c r="F69" i="18"/>
  <c r="I92" i="18"/>
  <c r="I21" i="18"/>
  <c r="F74" i="2"/>
  <c r="X83" i="2"/>
  <c r="F53" i="2"/>
  <c r="R29" i="2"/>
  <c r="U100" i="2"/>
  <c r="X67" i="2"/>
  <c r="U71" i="2"/>
  <c r="U38" i="2"/>
  <c r="U92" i="18"/>
  <c r="I88" i="18"/>
  <c r="L26" i="18"/>
  <c r="U76" i="18"/>
  <c r="I63" i="2"/>
  <c r="I75" i="2"/>
  <c r="I71" i="2"/>
  <c r="L68" i="2"/>
  <c r="X64" i="2"/>
  <c r="U33" i="2"/>
  <c r="G1" i="12"/>
  <c r="F1" i="12"/>
  <c r="AW1" i="12"/>
  <c r="F1" i="2"/>
  <c r="BC1" i="2" s="1"/>
  <c r="BD1" i="2" s="1"/>
  <c r="U5" i="2"/>
  <c r="L10" i="2"/>
  <c r="I9" i="18"/>
  <c r="I55" i="2"/>
  <c r="R56" i="2"/>
  <c r="F52" i="2"/>
  <c r="U57" i="2"/>
  <c r="O35" i="2"/>
  <c r="U49" i="2"/>
  <c r="I53" i="2"/>
  <c r="X84" i="2"/>
  <c r="F82" i="2"/>
  <c r="L54" i="2"/>
  <c r="F54" i="2"/>
  <c r="O55" i="2"/>
  <c r="U87" i="2"/>
  <c r="I91" i="2"/>
  <c r="O80" i="2"/>
  <c r="O64" i="2"/>
  <c r="I70" i="2"/>
  <c r="O74" i="2"/>
  <c r="X75" i="2"/>
  <c r="U79" i="2"/>
  <c r="O85" i="2"/>
  <c r="F77" i="2"/>
  <c r="L71" i="2"/>
  <c r="O72" i="2"/>
  <c r="R92" i="2"/>
  <c r="L98" i="2"/>
  <c r="L79" i="2"/>
  <c r="X80" i="2"/>
  <c r="F85" i="2"/>
  <c r="R86" i="2"/>
  <c r="O89" i="2"/>
  <c r="U97" i="2"/>
  <c r="O77" i="2"/>
  <c r="L80" i="2"/>
  <c r="I83" i="2"/>
  <c r="X88" i="2"/>
  <c r="R55" i="18"/>
  <c r="O38" i="18"/>
  <c r="R31" i="18"/>
  <c r="O4" i="18"/>
  <c r="R5" i="18"/>
  <c r="U36" i="18"/>
  <c r="U28" i="18"/>
  <c r="U52" i="18"/>
  <c r="O63" i="18"/>
  <c r="O18" i="18"/>
  <c r="F19" i="18"/>
  <c r="U20" i="18"/>
  <c r="O22" i="18"/>
  <c r="I24" i="18"/>
  <c r="U24" i="18"/>
  <c r="L25" i="18"/>
  <c r="O26" i="18"/>
  <c r="F27" i="18"/>
  <c r="R27" i="18"/>
  <c r="F31" i="18"/>
  <c r="L57" i="18"/>
  <c r="L72" i="18"/>
  <c r="F72" i="18"/>
  <c r="AB72" i="18" s="1"/>
  <c r="X74" i="18"/>
  <c r="F39" i="18"/>
  <c r="U60" i="18"/>
  <c r="I69" i="18"/>
  <c r="X67" i="18"/>
  <c r="I86" i="18"/>
  <c r="U87" i="18"/>
  <c r="X62" i="18"/>
  <c r="U65" i="18"/>
  <c r="R68" i="18"/>
  <c r="O71" i="18"/>
  <c r="L74" i="18"/>
  <c r="L78" i="18"/>
  <c r="O79" i="18"/>
  <c r="X91" i="18"/>
  <c r="O93" i="18"/>
  <c r="F95" i="18"/>
  <c r="X97" i="18"/>
  <c r="O65" i="18"/>
  <c r="X76" i="18"/>
  <c r="U80" i="18"/>
  <c r="U73" i="18"/>
  <c r="R76" i="18"/>
  <c r="I79" i="18"/>
  <c r="L82" i="18"/>
  <c r="U77" i="18"/>
  <c r="R97" i="18"/>
  <c r="I99" i="18"/>
  <c r="R64" i="18"/>
  <c r="L70" i="18"/>
  <c r="I73" i="18"/>
  <c r="F76" i="18"/>
  <c r="F82" i="18"/>
  <c r="I85" i="18"/>
  <c r="U100" i="18"/>
  <c r="X78" i="18"/>
  <c r="U81" i="18"/>
  <c r="R84" i="18"/>
  <c r="X85" i="18"/>
  <c r="U88" i="18"/>
  <c r="R91" i="18"/>
  <c r="O88" i="18"/>
  <c r="X92" i="18"/>
  <c r="U95" i="18"/>
  <c r="X99" i="18"/>
  <c r="R79" i="18"/>
  <c r="I81" i="18"/>
  <c r="O82" i="18"/>
  <c r="F84" i="18"/>
  <c r="F91" i="18"/>
  <c r="X93" i="18"/>
  <c r="U96" i="18"/>
  <c r="O96" i="18"/>
  <c r="F98" i="18"/>
  <c r="F79" i="18"/>
  <c r="R80" i="18"/>
  <c r="O83" i="18"/>
  <c r="U84" i="18"/>
  <c r="R87" i="18"/>
  <c r="L93" i="18"/>
  <c r="I96" i="18"/>
  <c r="O77" i="18"/>
  <c r="F86" i="18"/>
  <c r="X88" i="18"/>
  <c r="U91" i="18"/>
  <c r="R94" i="18"/>
  <c r="L100" i="18"/>
  <c r="I48" i="18"/>
  <c r="I25" i="2"/>
  <c r="F41" i="2"/>
  <c r="X43" i="2"/>
  <c r="L63" i="2"/>
  <c r="X81" i="18"/>
  <c r="L97" i="18"/>
  <c r="O90" i="18"/>
  <c r="O13" i="18"/>
  <c r="U32" i="18"/>
  <c r="O34" i="18"/>
  <c r="L37" i="18"/>
  <c r="L77" i="18"/>
  <c r="O78" i="18"/>
  <c r="R22" i="18"/>
  <c r="O99" i="2"/>
  <c r="F61" i="2"/>
  <c r="X14" i="2"/>
  <c r="L42" i="2"/>
  <c r="X42" i="2"/>
  <c r="O53" i="2"/>
  <c r="U74" i="2"/>
  <c r="F69" i="2"/>
  <c r="F24" i="2"/>
  <c r="L30" i="2"/>
  <c r="I45" i="2"/>
  <c r="F90" i="2"/>
  <c r="R73" i="2"/>
  <c r="F66" i="2"/>
  <c r="X22" i="2"/>
  <c r="O28" i="2"/>
  <c r="I17" i="2"/>
  <c r="O95" i="2"/>
  <c r="X68" i="2"/>
  <c r="X48" i="2"/>
  <c r="I37" i="2"/>
  <c r="U41" i="2"/>
  <c r="L46" i="2"/>
  <c r="X56" i="2"/>
  <c r="U67" i="2"/>
  <c r="F58" i="2"/>
  <c r="L60" i="2"/>
  <c r="L72" i="2"/>
  <c r="O61" i="2"/>
  <c r="L13" i="18"/>
  <c r="X17" i="18"/>
  <c r="X21" i="18"/>
  <c r="X37" i="18"/>
  <c r="U44" i="18"/>
  <c r="X45" i="18"/>
  <c r="F63" i="18"/>
  <c r="F67" i="18"/>
  <c r="X69" i="18"/>
  <c r="O70" i="18"/>
  <c r="X77" i="18"/>
  <c r="R99" i="18"/>
  <c r="R4" i="18"/>
  <c r="O11" i="18"/>
  <c r="F23" i="18"/>
  <c r="I28" i="18"/>
  <c r="L33" i="18"/>
  <c r="X33" i="18"/>
  <c r="R39" i="18"/>
  <c r="I40" i="18"/>
  <c r="U40" i="18"/>
  <c r="L41" i="18"/>
  <c r="R51" i="18"/>
  <c r="X57" i="18"/>
  <c r="O58" i="18"/>
  <c r="F59" i="18"/>
  <c r="O74" i="18"/>
  <c r="I20" i="18"/>
  <c r="L29" i="18"/>
  <c r="X29" i="18"/>
  <c r="O30" i="18"/>
  <c r="I36" i="18"/>
  <c r="F47" i="18"/>
  <c r="L53" i="18"/>
  <c r="X53" i="18"/>
  <c r="I80" i="18"/>
  <c r="L21" i="18"/>
  <c r="X25" i="18"/>
  <c r="I32" i="18"/>
  <c r="L49" i="18"/>
  <c r="O50" i="18"/>
  <c r="F77" i="18"/>
  <c r="I78" i="18"/>
  <c r="L79" i="18"/>
  <c r="R81" i="18"/>
  <c r="X83" i="18"/>
  <c r="F85" i="18"/>
  <c r="L87" i="18"/>
  <c r="I94" i="18"/>
  <c r="U13" i="18"/>
  <c r="X14" i="18"/>
  <c r="F16" i="18"/>
  <c r="I17" i="18"/>
  <c r="L18" i="18"/>
  <c r="O19" i="18"/>
  <c r="R20" i="18"/>
  <c r="U21" i="18"/>
  <c r="X22" i="18"/>
  <c r="F24" i="18"/>
  <c r="F17" i="18"/>
  <c r="X23" i="18"/>
  <c r="F46" i="18"/>
  <c r="I47" i="18"/>
  <c r="L56" i="18"/>
  <c r="R58" i="18"/>
  <c r="F62" i="18"/>
  <c r="F66" i="18"/>
  <c r="R70" i="18"/>
  <c r="L12" i="18"/>
  <c r="O28" i="18"/>
  <c r="X31" i="18"/>
  <c r="I67" i="18"/>
  <c r="U71" i="18"/>
  <c r="I14" i="18"/>
  <c r="O16" i="18"/>
  <c r="R17" i="18"/>
  <c r="L23" i="18"/>
  <c r="L28" i="18"/>
  <c r="X32" i="18"/>
  <c r="F34" i="18"/>
  <c r="F42" i="18"/>
  <c r="U47" i="18"/>
  <c r="X48" i="18"/>
  <c r="F50" i="18"/>
  <c r="I51" i="18"/>
  <c r="L52" i="18"/>
  <c r="O53" i="18"/>
  <c r="R54" i="18"/>
  <c r="U55" i="18"/>
  <c r="X56" i="18"/>
  <c r="F58" i="18"/>
  <c r="I59" i="18"/>
  <c r="L60" i="18"/>
  <c r="O61" i="18"/>
  <c r="R62" i="18"/>
  <c r="U63" i="18"/>
  <c r="L68" i="18"/>
  <c r="X72" i="18"/>
  <c r="X64" i="18"/>
  <c r="O69" i="18"/>
  <c r="U85" i="18"/>
  <c r="F88" i="18"/>
  <c r="AB88" i="18" s="1"/>
  <c r="L90" i="18"/>
  <c r="R92" i="18"/>
  <c r="X94" i="18"/>
  <c r="I97" i="18"/>
  <c r="O99" i="18"/>
  <c r="F74" i="18"/>
  <c r="I75" i="18"/>
  <c r="O87" i="18"/>
  <c r="U89" i="18"/>
  <c r="X35" i="18"/>
  <c r="R41" i="18"/>
  <c r="I42" i="18"/>
  <c r="U42" i="18"/>
  <c r="L43" i="18"/>
  <c r="X43" i="18"/>
  <c r="O44" i="18"/>
  <c r="F45" i="18"/>
  <c r="R45" i="18"/>
  <c r="U46" i="18"/>
  <c r="L47" i="18"/>
  <c r="X47" i="18"/>
  <c r="O48" i="18"/>
  <c r="F49" i="18"/>
  <c r="R49" i="18"/>
  <c r="I50" i="18"/>
  <c r="U50" i="18"/>
  <c r="L51" i="18"/>
  <c r="X51" i="18"/>
  <c r="O52" i="18"/>
  <c r="I54" i="18"/>
  <c r="U54" i="18"/>
  <c r="X55" i="18"/>
  <c r="O56" i="18"/>
  <c r="F57" i="18"/>
  <c r="U58" i="18"/>
  <c r="L59" i="18"/>
  <c r="O60" i="18"/>
  <c r="F61" i="18"/>
  <c r="R61" i="18"/>
  <c r="U62" i="18"/>
  <c r="L63" i="18"/>
  <c r="X63" i="18"/>
  <c r="X86" i="18"/>
  <c r="I89" i="18"/>
  <c r="O91" i="18"/>
  <c r="U93" i="18"/>
  <c r="F96" i="18"/>
  <c r="L98" i="18"/>
  <c r="R100" i="18"/>
  <c r="L86" i="18"/>
  <c r="R88" i="18"/>
  <c r="X90" i="18"/>
  <c r="U28" i="2"/>
  <c r="R23" i="2"/>
  <c r="X25" i="2"/>
  <c r="F27" i="2"/>
  <c r="I28" i="2"/>
  <c r="U60" i="2"/>
  <c r="L61" i="2"/>
  <c r="X61" i="2"/>
  <c r="F63" i="2"/>
  <c r="I64" i="2"/>
  <c r="U32" i="2"/>
  <c r="L33" i="2"/>
  <c r="O34" i="2"/>
  <c r="I36" i="2"/>
  <c r="O42" i="2"/>
  <c r="R43" i="2"/>
  <c r="U44" i="2"/>
  <c r="X45" i="2"/>
  <c r="F47" i="2"/>
  <c r="U53" i="2"/>
  <c r="I57" i="2"/>
  <c r="L58" i="2"/>
  <c r="X58" i="2"/>
  <c r="F60" i="2"/>
  <c r="R60" i="2"/>
  <c r="I61" i="2"/>
  <c r="U61" i="2"/>
  <c r="L62" i="2"/>
  <c r="O63" i="2"/>
  <c r="I65" i="2"/>
  <c r="O67" i="2"/>
  <c r="R68" i="2"/>
  <c r="X70" i="2"/>
  <c r="F72" i="2"/>
  <c r="L74" i="2"/>
  <c r="O75" i="2"/>
  <c r="X78" i="2"/>
  <c r="F80" i="2"/>
  <c r="I81" i="2"/>
  <c r="O83" i="2"/>
  <c r="R84" i="2"/>
  <c r="U85" i="2"/>
  <c r="F88" i="2"/>
  <c r="I89" i="2"/>
  <c r="I23" i="2"/>
  <c r="L24" i="2"/>
  <c r="O25" i="2"/>
  <c r="R26" i="2"/>
  <c r="U27" i="2"/>
  <c r="X28" i="2"/>
  <c r="R30" i="2"/>
  <c r="X32" i="2"/>
  <c r="F34" i="2"/>
  <c r="I35" i="2"/>
  <c r="L36" i="2"/>
  <c r="O37" i="2"/>
  <c r="X40" i="2"/>
  <c r="O45" i="2"/>
  <c r="I48" i="2"/>
  <c r="L49" i="2"/>
  <c r="O50" i="2"/>
  <c r="R51" i="2"/>
  <c r="U52" i="2"/>
  <c r="I56" i="2"/>
  <c r="L57" i="2"/>
  <c r="R64" i="2"/>
  <c r="U65" i="2"/>
  <c r="X66" i="2"/>
  <c r="F68" i="2"/>
  <c r="I69" i="2"/>
  <c r="L70" i="2"/>
  <c r="O71" i="2"/>
  <c r="R72" i="2"/>
  <c r="U73" i="2"/>
  <c r="X74" i="2"/>
  <c r="F76" i="2"/>
  <c r="I77" i="2"/>
  <c r="L78" i="2"/>
  <c r="O79" i="2"/>
  <c r="R80" i="2"/>
  <c r="U81" i="2"/>
  <c r="X82" i="2"/>
  <c r="F84" i="2"/>
  <c r="I85" i="2"/>
  <c r="L86" i="2"/>
  <c r="O87" i="2"/>
  <c r="R88" i="2"/>
  <c r="U89" i="2"/>
  <c r="X90" i="2"/>
  <c r="F92" i="2"/>
  <c r="F93" i="2"/>
  <c r="I94" i="2"/>
  <c r="O96" i="2"/>
  <c r="R97" i="2"/>
  <c r="U98" i="2"/>
  <c r="L65" i="2"/>
  <c r="O66" i="2"/>
  <c r="R67" i="2"/>
  <c r="U68" i="2"/>
  <c r="L69" i="2"/>
  <c r="X69" i="2"/>
  <c r="F71" i="2"/>
  <c r="I72" i="2"/>
  <c r="L73" i="2"/>
  <c r="R75" i="2"/>
  <c r="U76" i="2"/>
  <c r="L77" i="2"/>
  <c r="X77" i="2"/>
  <c r="F79" i="2"/>
  <c r="I80" i="2"/>
  <c r="L81" i="2"/>
  <c r="X81" i="2"/>
  <c r="O82" i="2"/>
  <c r="R83" i="2"/>
  <c r="U84" i="2"/>
  <c r="X85" i="2"/>
  <c r="F87" i="2"/>
  <c r="I88" i="2"/>
  <c r="L89" i="2"/>
  <c r="O90" i="2"/>
  <c r="R91" i="2"/>
  <c r="I100" i="2"/>
  <c r="L92" i="2"/>
  <c r="O93" i="2"/>
  <c r="R94" i="2"/>
  <c r="U95" i="2"/>
  <c r="X96" i="2"/>
  <c r="F98" i="2"/>
  <c r="I99" i="2"/>
  <c r="L100" i="2"/>
  <c r="R20" i="2"/>
  <c r="O19" i="2"/>
  <c r="I60" i="18"/>
  <c r="F45" i="2"/>
  <c r="X47" i="2"/>
  <c r="L22" i="2" l="1"/>
  <c r="BG20" i="2"/>
  <c r="I20" i="2" s="1"/>
  <c r="BM16" i="2"/>
  <c r="BM18" i="2"/>
  <c r="CG20" i="2"/>
  <c r="BR22" i="2"/>
  <c r="L21" i="2"/>
  <c r="BM21" i="2"/>
  <c r="L16" i="2"/>
  <c r="BL19" i="2"/>
  <c r="BM19" i="2" s="1"/>
  <c r="L18" i="2"/>
  <c r="BH20" i="2"/>
  <c r="BH18" i="2"/>
  <c r="F8" i="2"/>
  <c r="F16" i="2"/>
  <c r="BC19" i="2"/>
  <c r="BC22" i="2"/>
  <c r="F22" i="2"/>
  <c r="X6" i="2"/>
  <c r="U13" i="2"/>
  <c r="O11" i="2"/>
  <c r="I9" i="2"/>
  <c r="R12" i="2"/>
  <c r="CG10" i="18"/>
  <c r="BH11" i="18"/>
  <c r="BH9" i="2"/>
  <c r="CG2" i="2"/>
  <c r="CB17" i="18"/>
  <c r="U17" i="18"/>
  <c r="BW19" i="18"/>
  <c r="R19" i="18"/>
  <c r="BW16" i="18"/>
  <c r="CA24" i="2"/>
  <c r="U24" i="2" s="1"/>
  <c r="CG9" i="18"/>
  <c r="CG17" i="18"/>
  <c r="BW11" i="18"/>
  <c r="R11" i="18"/>
  <c r="CG17" i="2"/>
  <c r="X17" i="2"/>
  <c r="I1" i="2"/>
  <c r="BH1" i="2" s="1"/>
  <c r="BE1" i="2" s="1"/>
  <c r="BR17" i="2"/>
  <c r="O17" i="2"/>
  <c r="BW4" i="2"/>
  <c r="BB14" i="2"/>
  <c r="F14" i="2" s="1"/>
  <c r="BH12" i="2"/>
  <c r="BH15" i="2"/>
  <c r="BQ14" i="2"/>
  <c r="O14" i="2" s="1"/>
  <c r="BC11" i="2"/>
  <c r="CF9" i="2"/>
  <c r="X9" i="2" s="1"/>
  <c r="CA16" i="2"/>
  <c r="U16" i="2" s="1"/>
  <c r="CB11" i="2"/>
  <c r="BC9" i="2"/>
  <c r="BM13" i="2"/>
  <c r="CB9" i="18"/>
  <c r="U9" i="18"/>
  <c r="BW13" i="18"/>
  <c r="BR13" i="18"/>
  <c r="BR11" i="18"/>
  <c r="BM13" i="18"/>
  <c r="BG12" i="18"/>
  <c r="I12" i="18" s="1"/>
  <c r="BH13" i="18"/>
  <c r="I13" i="18"/>
  <c r="CA12" i="18"/>
  <c r="U12" i="18" s="1"/>
  <c r="BW12" i="18"/>
  <c r="BW7" i="18"/>
  <c r="BW15" i="2"/>
  <c r="CG12" i="2"/>
  <c r="X12" i="2"/>
  <c r="BM8" i="2"/>
  <c r="L8" i="2"/>
  <c r="BM5" i="2"/>
  <c r="L5" i="2"/>
  <c r="BW8" i="18"/>
  <c r="R8" i="18"/>
  <c r="BR4" i="18"/>
  <c r="BM2" i="18"/>
  <c r="L2" i="18"/>
  <c r="BQ6" i="2"/>
  <c r="BR6" i="2" s="1"/>
  <c r="BM10" i="2"/>
  <c r="CA8" i="2"/>
  <c r="U8" i="2" s="1"/>
  <c r="BW7" i="2"/>
  <c r="BG4" i="2"/>
  <c r="I4" i="2" s="1"/>
  <c r="BC6" i="2"/>
  <c r="BR7" i="18"/>
  <c r="O7" i="18"/>
  <c r="BW4" i="18"/>
  <c r="BM6" i="18"/>
  <c r="L6" i="18"/>
  <c r="BH10" i="18"/>
  <c r="BH9" i="18"/>
  <c r="BB4" i="18"/>
  <c r="BC4" i="18" s="1"/>
  <c r="BC3" i="18"/>
  <c r="BC9" i="18"/>
  <c r="I10" i="18"/>
  <c r="BQ6" i="18"/>
  <c r="BR6" i="18" s="1"/>
  <c r="BW5" i="18"/>
  <c r="BH5" i="18"/>
  <c r="I5" i="18"/>
  <c r="BR11" i="2"/>
  <c r="CF4" i="2"/>
  <c r="X4" i="2" s="1"/>
  <c r="BR9" i="2"/>
  <c r="O9" i="2"/>
  <c r="BH10" i="2"/>
  <c r="I10" i="2"/>
  <c r="BH7" i="2"/>
  <c r="I7" i="2"/>
  <c r="BW2" i="2"/>
  <c r="R2" i="2"/>
  <c r="BM70" i="18"/>
  <c r="BM25" i="18"/>
  <c r="BM63" i="18"/>
  <c r="BM97" i="18"/>
  <c r="BM38" i="18"/>
  <c r="BM79" i="18"/>
  <c r="BM86" i="18"/>
  <c r="BC3" i="2"/>
  <c r="BR2" i="2"/>
  <c r="O2" i="2"/>
  <c r="BH2" i="2"/>
  <c r="M1" i="2"/>
  <c r="O1" i="2" s="1"/>
  <c r="BR1" i="2" s="1"/>
  <c r="K1" i="2"/>
  <c r="L1" i="2"/>
  <c r="BM1" i="2" s="1"/>
  <c r="BJ1" i="2" s="1"/>
  <c r="H1" i="2"/>
  <c r="A2" i="2"/>
  <c r="AW2" i="12" s="1"/>
  <c r="BC2" i="18"/>
  <c r="F2" i="18"/>
  <c r="CK77" i="18"/>
  <c r="AP77" i="18" s="1"/>
  <c r="CK68" i="18"/>
  <c r="AP68" i="18" s="1"/>
  <c r="I27" i="18"/>
  <c r="BH27" i="18"/>
  <c r="BQ29" i="18"/>
  <c r="BR29" i="18" s="1"/>
  <c r="CF30" i="18"/>
  <c r="CG30" i="18"/>
  <c r="R35" i="18"/>
  <c r="BW35" i="18"/>
  <c r="CG60" i="18"/>
  <c r="CF60" i="18"/>
  <c r="X60" i="18" s="1"/>
  <c r="BG82" i="18"/>
  <c r="BH82" i="18" s="1"/>
  <c r="I82" i="18"/>
  <c r="BH83" i="18"/>
  <c r="I83" i="18"/>
  <c r="BB89" i="18"/>
  <c r="BC89" i="18" s="1"/>
  <c r="L3" i="18"/>
  <c r="BM3" i="18"/>
  <c r="L5" i="18"/>
  <c r="BM5" i="18"/>
  <c r="BB6" i="18"/>
  <c r="F6" i="18" s="1"/>
  <c r="BC8" i="18"/>
  <c r="BV26" i="18"/>
  <c r="R26" i="18" s="1"/>
  <c r="I29" i="18"/>
  <c r="BH29" i="18"/>
  <c r="BB55" i="18"/>
  <c r="BC55" i="18"/>
  <c r="F55" i="18"/>
  <c r="U6" i="18"/>
  <c r="CB6" i="18"/>
  <c r="U8" i="18"/>
  <c r="CB8" i="18"/>
  <c r="BQ9" i="18"/>
  <c r="O9" i="18" s="1"/>
  <c r="X13" i="18"/>
  <c r="CG13" i="18"/>
  <c r="BV30" i="18"/>
  <c r="R30" i="18" s="1"/>
  <c r="CB39" i="18"/>
  <c r="BG52" i="18"/>
  <c r="BH52" i="18" s="1"/>
  <c r="I52" i="18"/>
  <c r="BQ54" i="18"/>
  <c r="O54" i="18" s="1"/>
  <c r="CK24" i="18"/>
  <c r="AP24" i="18" s="1"/>
  <c r="AB68" i="18"/>
  <c r="O29" i="18"/>
  <c r="X30" i="18"/>
  <c r="CA3" i="18"/>
  <c r="U3" i="18" s="1"/>
  <c r="CB5" i="18"/>
  <c r="L17" i="18"/>
  <c r="BM17" i="18"/>
  <c r="BC26" i="18"/>
  <c r="F26" i="18"/>
  <c r="L30" i="18"/>
  <c r="BM30" i="18"/>
  <c r="BM36" i="18"/>
  <c r="BC37" i="18"/>
  <c r="BB37" i="18"/>
  <c r="F37" i="18" s="1"/>
  <c r="BQ42" i="18"/>
  <c r="O42" i="18" s="1"/>
  <c r="BG7" i="18"/>
  <c r="I7" i="18" s="1"/>
  <c r="BQ25" i="18"/>
  <c r="O25" i="18" s="1"/>
  <c r="BV28" i="18"/>
  <c r="R28" i="18"/>
  <c r="AB28" i="18" s="1"/>
  <c r="BW28" i="18"/>
  <c r="BM48" i="18"/>
  <c r="R48" i="18"/>
  <c r="BW48" i="18"/>
  <c r="I16" i="18"/>
  <c r="F9" i="18"/>
  <c r="BR3" i="18"/>
  <c r="X7" i="18"/>
  <c r="CG7" i="18"/>
  <c r="BV10" i="18"/>
  <c r="R10" i="18" s="1"/>
  <c r="F15" i="18"/>
  <c r="BC15" i="18"/>
  <c r="BG38" i="18"/>
  <c r="I38" i="18" s="1"/>
  <c r="I4" i="18"/>
  <c r="BH4" i="18"/>
  <c r="CF4" i="18"/>
  <c r="X4" i="18" s="1"/>
  <c r="CG6" i="18"/>
  <c r="CA18" i="18"/>
  <c r="U18" i="18" s="1"/>
  <c r="CA27" i="18"/>
  <c r="U27" i="18" s="1"/>
  <c r="CA29" i="18"/>
  <c r="U29" i="18"/>
  <c r="CB29" i="18"/>
  <c r="BW40" i="18"/>
  <c r="BL8" i="18"/>
  <c r="L8" i="18" s="1"/>
  <c r="BM10" i="18"/>
  <c r="BR21" i="18"/>
  <c r="BM24" i="18"/>
  <c r="BL24" i="18"/>
  <c r="L24" i="18" s="1"/>
  <c r="BH32" i="18"/>
  <c r="BM39" i="18"/>
  <c r="BL39" i="18"/>
  <c r="L39" i="18" s="1"/>
  <c r="BM43" i="18"/>
  <c r="BH18" i="18"/>
  <c r="CG19" i="18"/>
  <c r="BH22" i="18"/>
  <c r="CF28" i="18"/>
  <c r="X28" i="18" s="1"/>
  <c r="BB30" i="18"/>
  <c r="F30" i="18" s="1"/>
  <c r="BH31" i="18"/>
  <c r="BG31" i="18"/>
  <c r="I31" i="18" s="1"/>
  <c r="BR40" i="18"/>
  <c r="CF41" i="18"/>
  <c r="X41" i="18" s="1"/>
  <c r="BM45" i="18"/>
  <c r="BL45" i="18"/>
  <c r="L45" i="18" s="1"/>
  <c r="CK45" i="18" s="1"/>
  <c r="AP45" i="18" s="1"/>
  <c r="CF19" i="18"/>
  <c r="X19" i="18" s="1"/>
  <c r="BB21" i="18"/>
  <c r="F21" i="18" s="1"/>
  <c r="BG22" i="18"/>
  <c r="I22" i="18" s="1"/>
  <c r="BR22" i="18"/>
  <c r="BM23" i="18"/>
  <c r="BW23" i="18"/>
  <c r="CA31" i="18"/>
  <c r="U31" i="18" s="1"/>
  <c r="BC32" i="18"/>
  <c r="BM32" i="18"/>
  <c r="BL32" i="18"/>
  <c r="L32" i="18" s="1"/>
  <c r="BQ40" i="18"/>
  <c r="O40" i="18" s="1"/>
  <c r="BW41" i="18"/>
  <c r="CB44" i="18"/>
  <c r="BC45" i="18"/>
  <c r="BR50" i="18"/>
  <c r="BC51" i="18"/>
  <c r="BB51" i="18"/>
  <c r="F51" i="18" s="1"/>
  <c r="BG56" i="18"/>
  <c r="I56" i="18" s="1"/>
  <c r="BR57" i="18"/>
  <c r="BQ57" i="18"/>
  <c r="O57" i="18" s="1"/>
  <c r="CA59" i="18"/>
  <c r="U59" i="18" s="1"/>
  <c r="CA11" i="18"/>
  <c r="U11" i="18" s="1"/>
  <c r="CF12" i="18"/>
  <c r="X12" i="18" s="1"/>
  <c r="CB22" i="18"/>
  <c r="BR24" i="18"/>
  <c r="CG27" i="18"/>
  <c r="BQ33" i="18"/>
  <c r="O33" i="18" s="1"/>
  <c r="BV34" i="18"/>
  <c r="R34" i="18" s="1"/>
  <c r="CG49" i="18"/>
  <c r="CF49" i="18"/>
  <c r="X49" i="18" s="1"/>
  <c r="BM75" i="18"/>
  <c r="BL75" i="18"/>
  <c r="L75" i="18" s="1"/>
  <c r="BV3" i="18"/>
  <c r="R3" i="18" s="1"/>
  <c r="CA4" i="18"/>
  <c r="U4" i="18" s="1"/>
  <c r="CF5" i="18"/>
  <c r="X5" i="18" s="1"/>
  <c r="BB7" i="18"/>
  <c r="F7" i="18" s="1"/>
  <c r="BG8" i="18"/>
  <c r="I8" i="18" s="1"/>
  <c r="BL9" i="18"/>
  <c r="L9" i="18" s="1"/>
  <c r="BQ10" i="18"/>
  <c r="O10" i="18" s="1"/>
  <c r="CB13" i="18"/>
  <c r="BC14" i="18"/>
  <c r="BB14" i="18"/>
  <c r="F14" i="18" s="1"/>
  <c r="BV14" i="18"/>
  <c r="R14" i="18" s="1"/>
  <c r="CG14" i="18"/>
  <c r="BG15" i="18"/>
  <c r="I15" i="18" s="1"/>
  <c r="CA15" i="18"/>
  <c r="U15" i="18" s="1"/>
  <c r="BC16" i="18"/>
  <c r="BM16" i="18"/>
  <c r="BL16" i="18"/>
  <c r="L16" i="18" s="1"/>
  <c r="CF16" i="18"/>
  <c r="X16" i="18" s="1"/>
  <c r="BH17" i="18"/>
  <c r="BR17" i="18"/>
  <c r="BQ17" i="18"/>
  <c r="O17" i="18" s="1"/>
  <c r="BQ24" i="18"/>
  <c r="O24" i="18" s="1"/>
  <c r="AB24" i="18" s="1"/>
  <c r="BV25" i="18"/>
  <c r="R25" i="18" s="1"/>
  <c r="CA26" i="18"/>
  <c r="U26" i="18" s="1"/>
  <c r="BM27" i="18"/>
  <c r="CF27" i="18"/>
  <c r="X27" i="18" s="1"/>
  <c r="BH30" i="18"/>
  <c r="BG35" i="18"/>
  <c r="I35" i="18" s="1"/>
  <c r="BR35" i="18"/>
  <c r="CA35" i="18"/>
  <c r="U35" i="18" s="1"/>
  <c r="BH44" i="18"/>
  <c r="BG44" i="18"/>
  <c r="I44" i="18" s="1"/>
  <c r="CB48" i="18"/>
  <c r="CA48" i="18"/>
  <c r="U48" i="18" s="1"/>
  <c r="BW53" i="18"/>
  <c r="BV53" i="18"/>
  <c r="R53" i="18" s="1"/>
  <c r="CG55" i="18"/>
  <c r="CG58" i="18"/>
  <c r="CF58" i="18"/>
  <c r="X58" i="18" s="1"/>
  <c r="BG63" i="18"/>
  <c r="I63" i="18" s="1"/>
  <c r="CG65" i="18"/>
  <c r="CF73" i="18"/>
  <c r="X73" i="18" s="1"/>
  <c r="BG3" i="18"/>
  <c r="I3" i="18" s="1"/>
  <c r="BL4" i="18"/>
  <c r="L4" i="18" s="1"/>
  <c r="BQ5" i="18"/>
  <c r="O5" i="18" s="1"/>
  <c r="BV6" i="18"/>
  <c r="R6" i="18" s="1"/>
  <c r="CA7" i="18"/>
  <c r="U7" i="18" s="1"/>
  <c r="CF8" i="18"/>
  <c r="X8" i="18" s="1"/>
  <c r="BB10" i="18"/>
  <c r="F10" i="18" s="1"/>
  <c r="BB18" i="18"/>
  <c r="F18" i="18" s="1"/>
  <c r="BM18" i="18"/>
  <c r="BV18" i="18"/>
  <c r="R18" i="18" s="1"/>
  <c r="BB29" i="18"/>
  <c r="F29" i="18" s="1"/>
  <c r="BW29" i="18"/>
  <c r="BG30" i="18"/>
  <c r="I30" i="18" s="1"/>
  <c r="BL31" i="18"/>
  <c r="L31" i="18" s="1"/>
  <c r="BL36" i="18"/>
  <c r="L36" i="18" s="1"/>
  <c r="CK36" i="18" s="1"/>
  <c r="AP36" i="18" s="1"/>
  <c r="BW36" i="18"/>
  <c r="CF36" i="18"/>
  <c r="X36" i="18" s="1"/>
  <c r="BQ37" i="18"/>
  <c r="O37" i="18" s="1"/>
  <c r="CB37" i="18"/>
  <c r="BC38" i="18"/>
  <c r="BB38" i="18"/>
  <c r="F38" i="18" s="1"/>
  <c r="BV38" i="18"/>
  <c r="R38" i="18" s="1"/>
  <c r="CG38" i="18"/>
  <c r="BG39" i="18"/>
  <c r="I39" i="18" s="1"/>
  <c r="CK39" i="18" s="1"/>
  <c r="AP39" i="18" s="1"/>
  <c r="BW43" i="18"/>
  <c r="CG43" i="18"/>
  <c r="BC47" i="18"/>
  <c r="BW47" i="18"/>
  <c r="BV47" i="18"/>
  <c r="R47" i="18" s="1"/>
  <c r="CK47" i="18" s="1"/>
  <c r="AP47" i="18" s="1"/>
  <c r="BB54" i="18"/>
  <c r="F54" i="18" s="1"/>
  <c r="BC54" i="18"/>
  <c r="CF3" i="18"/>
  <c r="X3" i="18" s="1"/>
  <c r="BB5" i="18"/>
  <c r="F5" i="18" s="1"/>
  <c r="BG6" i="18"/>
  <c r="I6" i="18" s="1"/>
  <c r="BL7" i="18"/>
  <c r="L7" i="18" s="1"/>
  <c r="BQ8" i="18"/>
  <c r="O8" i="18" s="1"/>
  <c r="BV9" i="18"/>
  <c r="R9" i="18" s="1"/>
  <c r="CA10" i="18"/>
  <c r="U10" i="18" s="1"/>
  <c r="BG19" i="18"/>
  <c r="I19" i="18" s="1"/>
  <c r="AB19" i="18" s="1"/>
  <c r="BR19" i="18"/>
  <c r="CA19" i="18"/>
  <c r="U19" i="18" s="1"/>
  <c r="BL20" i="18"/>
  <c r="L20" i="18" s="1"/>
  <c r="BW20" i="18"/>
  <c r="CF20" i="18"/>
  <c r="X20" i="18" s="1"/>
  <c r="BQ21" i="18"/>
  <c r="O21" i="18" s="1"/>
  <c r="CB21" i="18"/>
  <c r="BB22" i="18"/>
  <c r="F22" i="18" s="1"/>
  <c r="CG31" i="18"/>
  <c r="BQ32" i="18"/>
  <c r="O32" i="18" s="1"/>
  <c r="CA39" i="18"/>
  <c r="U39" i="18" s="1"/>
  <c r="BC40" i="18"/>
  <c r="BL40" i="18"/>
  <c r="L40" i="18" s="1"/>
  <c r="CK40" i="18" s="1"/>
  <c r="AP40" i="18" s="1"/>
  <c r="CF40" i="18"/>
  <c r="X40" i="18" s="1"/>
  <c r="BH41" i="18"/>
  <c r="BQ41" i="18"/>
  <c r="O41" i="18" s="1"/>
  <c r="BV43" i="18"/>
  <c r="R43" i="18" s="1"/>
  <c r="BB53" i="18"/>
  <c r="F53" i="18" s="1"/>
  <c r="BM55" i="18"/>
  <c r="BM58" i="18"/>
  <c r="BL58" i="18"/>
  <c r="L58" i="18" s="1"/>
  <c r="BW2" i="18"/>
  <c r="BB11" i="18"/>
  <c r="F11" i="18" s="1"/>
  <c r="CF11" i="18"/>
  <c r="X11" i="18" s="1"/>
  <c r="BB13" i="18"/>
  <c r="F13" i="18" s="1"/>
  <c r="BH14" i="18"/>
  <c r="BR14" i="18"/>
  <c r="BM15" i="18"/>
  <c r="BW15" i="18"/>
  <c r="BR16" i="18"/>
  <c r="CB16" i="18"/>
  <c r="BW17" i="18"/>
  <c r="CG22" i="18"/>
  <c r="BG23" i="18"/>
  <c r="I23" i="18" s="1"/>
  <c r="BV33" i="18"/>
  <c r="R33" i="18" s="1"/>
  <c r="CA34" i="18"/>
  <c r="U34" i="18" s="1"/>
  <c r="BC35" i="18"/>
  <c r="CG35" i="18"/>
  <c r="BB43" i="18"/>
  <c r="F43" i="18" s="1"/>
  <c r="CG45" i="18"/>
  <c r="BG46" i="18"/>
  <c r="I46" i="18" s="1"/>
  <c r="CK46" i="18" s="1"/>
  <c r="AP46" i="18" s="1"/>
  <c r="BH70" i="18"/>
  <c r="BH59" i="18"/>
  <c r="BC62" i="18"/>
  <c r="BM64" i="18"/>
  <c r="BC67" i="18"/>
  <c r="BH71" i="18"/>
  <c r="BG71" i="18"/>
  <c r="I71" i="18" s="1"/>
  <c r="BV73" i="18"/>
  <c r="R73" i="18" s="1"/>
  <c r="BW73" i="18"/>
  <c r="BW92" i="18"/>
  <c r="BM98" i="18"/>
  <c r="CG68" i="18"/>
  <c r="CF68" i="18"/>
  <c r="X68" i="18" s="1"/>
  <c r="CB75" i="18"/>
  <c r="CA75" i="18"/>
  <c r="U75" i="18" s="1"/>
  <c r="BQ46" i="18"/>
  <c r="O46" i="18" s="1"/>
  <c r="BW56" i="18"/>
  <c r="CG56" i="18"/>
  <c r="BR66" i="18"/>
  <c r="BC77" i="18"/>
  <c r="BC78" i="18"/>
  <c r="BB78" i="18"/>
  <c r="F78" i="18" s="1"/>
  <c r="BQ80" i="18"/>
  <c r="O80" i="18" s="1"/>
  <c r="BR80" i="18"/>
  <c r="CB80" i="18"/>
  <c r="BC96" i="18"/>
  <c r="CG59" i="18"/>
  <c r="CF59" i="18"/>
  <c r="X59" i="18" s="1"/>
  <c r="BM61" i="18"/>
  <c r="CB64" i="18"/>
  <c r="BC73" i="18"/>
  <c r="BB73" i="18"/>
  <c r="F73" i="18" s="1"/>
  <c r="BB83" i="18"/>
  <c r="F83" i="18" s="1"/>
  <c r="CF89" i="18"/>
  <c r="X89" i="18" s="1"/>
  <c r="BC42" i="18"/>
  <c r="CB53" i="18"/>
  <c r="BL54" i="18"/>
  <c r="L54" i="18" s="1"/>
  <c r="BR55" i="18"/>
  <c r="BQ55" i="18"/>
  <c r="O55" i="18" s="1"/>
  <c r="BW57" i="18"/>
  <c r="CG57" i="18"/>
  <c r="BH58" i="18"/>
  <c r="BG58" i="18"/>
  <c r="I58" i="18" s="1"/>
  <c r="AB58" i="18" s="1"/>
  <c r="BM59" i="18"/>
  <c r="BV59" i="18"/>
  <c r="R59" i="18" s="1"/>
  <c r="CK59" i="18" s="1"/>
  <c r="AP59" i="18" s="1"/>
  <c r="CB60" i="18"/>
  <c r="BL61" i="18"/>
  <c r="L61" i="18" s="1"/>
  <c r="AB61" i="18" s="1"/>
  <c r="BG62" i="18"/>
  <c r="I62" i="18" s="1"/>
  <c r="CK62" i="18" s="1"/>
  <c r="AP62" i="18" s="1"/>
  <c r="BC63" i="18"/>
  <c r="BV63" i="18"/>
  <c r="R63" i="18" s="1"/>
  <c r="BR64" i="18"/>
  <c r="BQ64" i="18"/>
  <c r="O64" i="18" s="1"/>
  <c r="CF65" i="18"/>
  <c r="X65" i="18" s="1"/>
  <c r="BH66" i="18"/>
  <c r="BG66" i="18"/>
  <c r="I66" i="18" s="1"/>
  <c r="CB67" i="18"/>
  <c r="BM71" i="18"/>
  <c r="BV71" i="18"/>
  <c r="R71" i="18" s="1"/>
  <c r="CG71" i="18"/>
  <c r="CF71" i="18"/>
  <c r="X71" i="18" s="1"/>
  <c r="CA82" i="18"/>
  <c r="U82" i="18" s="1"/>
  <c r="CB82" i="18"/>
  <c r="CF84" i="18"/>
  <c r="X84" i="18" s="1"/>
  <c r="BG87" i="18"/>
  <c r="I87" i="18" s="1"/>
  <c r="BV89" i="18"/>
  <c r="R89" i="18" s="1"/>
  <c r="BL11" i="18"/>
  <c r="L11" i="18" s="1"/>
  <c r="BQ12" i="18"/>
  <c r="O12" i="18" s="1"/>
  <c r="CA14" i="18"/>
  <c r="U14" i="18" s="1"/>
  <c r="CF15" i="18"/>
  <c r="X15" i="18" s="1"/>
  <c r="BG18" i="18"/>
  <c r="I18" i="18" s="1"/>
  <c r="BL19" i="18"/>
  <c r="L19" i="18" s="1"/>
  <c r="BQ20" i="18"/>
  <c r="O20" i="18" s="1"/>
  <c r="BV21" i="18"/>
  <c r="R21" i="18" s="1"/>
  <c r="CA22" i="18"/>
  <c r="U22" i="18" s="1"/>
  <c r="BB25" i="18"/>
  <c r="F25" i="18" s="1"/>
  <c r="BG26" i="18"/>
  <c r="I26" i="18" s="1"/>
  <c r="BL27" i="18"/>
  <c r="L27" i="18" s="1"/>
  <c r="BV29" i="18"/>
  <c r="R29" i="18" s="1"/>
  <c r="CA30" i="18"/>
  <c r="U30" i="18" s="1"/>
  <c r="BB33" i="18"/>
  <c r="F33" i="18" s="1"/>
  <c r="BG34" i="18"/>
  <c r="I34" i="18" s="1"/>
  <c r="BL35" i="18"/>
  <c r="L35" i="18" s="1"/>
  <c r="BQ36" i="18"/>
  <c r="O36" i="18" s="1"/>
  <c r="BV37" i="18"/>
  <c r="R37" i="18" s="1"/>
  <c r="CA38" i="18"/>
  <c r="U38" i="18" s="1"/>
  <c r="CF39" i="18"/>
  <c r="X39" i="18" s="1"/>
  <c r="BB41" i="18"/>
  <c r="F41" i="18" s="1"/>
  <c r="BW42" i="18"/>
  <c r="BG43" i="18"/>
  <c r="I43" i="18" s="1"/>
  <c r="BL44" i="18"/>
  <c r="L44" i="18" s="1"/>
  <c r="BQ45" i="18"/>
  <c r="O45" i="18" s="1"/>
  <c r="AB45" i="18" s="1"/>
  <c r="BC46" i="18"/>
  <c r="BW46" i="18"/>
  <c r="CG46" i="18"/>
  <c r="CA53" i="18"/>
  <c r="U53" i="18" s="1"/>
  <c r="BW54" i="18"/>
  <c r="BG55" i="18"/>
  <c r="I55" i="18" s="1"/>
  <c r="BV57" i="18"/>
  <c r="R57" i="18" s="1"/>
  <c r="AB57" i="18" s="1"/>
  <c r="CF61" i="18"/>
  <c r="X61" i="18" s="1"/>
  <c r="BG64" i="18"/>
  <c r="I64" i="18" s="1"/>
  <c r="BH64" i="18"/>
  <c r="BQ67" i="18"/>
  <c r="O67" i="18" s="1"/>
  <c r="CA67" i="18"/>
  <c r="U67" i="18" s="1"/>
  <c r="BC69" i="18"/>
  <c r="CA70" i="18"/>
  <c r="U70" i="18" s="1"/>
  <c r="CK70" i="18" s="1"/>
  <c r="AP70" i="18" s="1"/>
  <c r="CF79" i="18"/>
  <c r="X79" i="18" s="1"/>
  <c r="CG85" i="18"/>
  <c r="BV46" i="18"/>
  <c r="R46" i="18" s="1"/>
  <c r="BH47" i="18"/>
  <c r="CB47" i="18"/>
  <c r="CG48" i="18"/>
  <c r="BC50" i="18"/>
  <c r="BM50" i="18"/>
  <c r="BH51" i="18"/>
  <c r="BM52" i="18"/>
  <c r="CG52" i="18"/>
  <c r="CF52" i="18"/>
  <c r="X52" i="18" s="1"/>
  <c r="BR56" i="18"/>
  <c r="CA56" i="18"/>
  <c r="U56" i="18" s="1"/>
  <c r="BM57" i="18"/>
  <c r="BC60" i="18"/>
  <c r="BW84" i="18"/>
  <c r="BH75" i="18"/>
  <c r="CG76" i="18"/>
  <c r="BB81" i="18"/>
  <c r="F81" i="18" s="1"/>
  <c r="BM84" i="18"/>
  <c r="BC86" i="18"/>
  <c r="BH90" i="18"/>
  <c r="BG90" i="18"/>
  <c r="I90" i="18" s="1"/>
  <c r="BL91" i="18"/>
  <c r="L91" i="18" s="1"/>
  <c r="AB91" i="18" s="1"/>
  <c r="BQ92" i="18"/>
  <c r="O92" i="18" s="1"/>
  <c r="BV93" i="18"/>
  <c r="R93" i="18" s="1"/>
  <c r="CB94" i="18"/>
  <c r="CA94" i="18"/>
  <c r="U94" i="18" s="1"/>
  <c r="CF95" i="18"/>
  <c r="X95" i="18" s="1"/>
  <c r="BB97" i="18"/>
  <c r="F97" i="18" s="1"/>
  <c r="BG98" i="18"/>
  <c r="I98" i="18" s="1"/>
  <c r="BM99" i="18"/>
  <c r="BL99" i="18"/>
  <c r="L99" i="18" s="1"/>
  <c r="BQ100" i="18"/>
  <c r="O100" i="18" s="1"/>
  <c r="BR65" i="18"/>
  <c r="BM68" i="18"/>
  <c r="BC70" i="18"/>
  <c r="BG74" i="18"/>
  <c r="I74" i="18" s="1"/>
  <c r="BR77" i="18"/>
  <c r="BH79" i="18"/>
  <c r="BM83" i="18"/>
  <c r="BL83" i="18"/>
  <c r="L83" i="18" s="1"/>
  <c r="BW86" i="18"/>
  <c r="BM88" i="18"/>
  <c r="CG91" i="18"/>
  <c r="BC93" i="18"/>
  <c r="BH94" i="18"/>
  <c r="BM95" i="18"/>
  <c r="BR96" i="18"/>
  <c r="BW97" i="18"/>
  <c r="CB98" i="18"/>
  <c r="CG99" i="18"/>
  <c r="BR84" i="18"/>
  <c r="BQ84" i="18"/>
  <c r="O84" i="18" s="1"/>
  <c r="CK84" i="18" s="1"/>
  <c r="AP84" i="18" s="1"/>
  <c r="BH61" i="18"/>
  <c r="BR63" i="18"/>
  <c r="BM67" i="18"/>
  <c r="BL67" i="18"/>
  <c r="L67" i="18" s="1"/>
  <c r="BW70" i="18"/>
  <c r="BM72" i="18"/>
  <c r="BW72" i="18"/>
  <c r="CG75" i="18"/>
  <c r="BG76" i="18"/>
  <c r="I76" i="18" s="1"/>
  <c r="BQ76" i="18"/>
  <c r="O76" i="18" s="1"/>
  <c r="CB79" i="18"/>
  <c r="BL80" i="18"/>
  <c r="L80" i="18" s="1"/>
  <c r="BR81" i="18"/>
  <c r="CB81" i="18"/>
  <c r="BC85" i="18"/>
  <c r="BL85" i="18"/>
  <c r="L85" i="18" s="1"/>
  <c r="BV85" i="18"/>
  <c r="R85" i="18" s="1"/>
  <c r="CG88" i="18"/>
  <c r="BQ89" i="18"/>
  <c r="O89" i="18" s="1"/>
  <c r="BW90" i="18"/>
  <c r="CG90" i="18"/>
  <c r="BV42" i="18"/>
  <c r="R42" i="18" s="1"/>
  <c r="CK42" i="18" s="1"/>
  <c r="AP42" i="18" s="1"/>
  <c r="CA43" i="18"/>
  <c r="U43" i="18" s="1"/>
  <c r="CF44" i="18"/>
  <c r="X44" i="18" s="1"/>
  <c r="BL48" i="18"/>
  <c r="L48" i="18" s="1"/>
  <c r="BQ49" i="18"/>
  <c r="O49" i="18" s="1"/>
  <c r="CK49" i="18" s="1"/>
  <c r="AP49" i="18" s="1"/>
  <c r="BV50" i="18"/>
  <c r="R50" i="18" s="1"/>
  <c r="AB50" i="18" s="1"/>
  <c r="CA51" i="18"/>
  <c r="U51" i="18" s="1"/>
  <c r="BL55" i="18"/>
  <c r="L55" i="18" s="1"/>
  <c r="BB56" i="18"/>
  <c r="F56" i="18" s="1"/>
  <c r="CB57" i="18"/>
  <c r="BQ62" i="18"/>
  <c r="O62" i="18" s="1"/>
  <c r="CA64" i="18"/>
  <c r="U64" i="18" s="1"/>
  <c r="BL66" i="18"/>
  <c r="L66" i="18" s="1"/>
  <c r="BW66" i="18"/>
  <c r="CG67" i="18"/>
  <c r="BR68" i="18"/>
  <c r="BQ68" i="18"/>
  <c r="O68" i="18" s="1"/>
  <c r="CB71" i="18"/>
  <c r="CB73" i="18"/>
  <c r="BW77" i="18"/>
  <c r="BV77" i="18"/>
  <c r="R77" i="18" s="1"/>
  <c r="AB77" i="18" s="1"/>
  <c r="CG80" i="18"/>
  <c r="BQ81" i="18"/>
  <c r="O81" i="18" s="1"/>
  <c r="CG82" i="18"/>
  <c r="BH86" i="18"/>
  <c r="BQ86" i="18"/>
  <c r="O86" i="18" s="1"/>
  <c r="CB86" i="18"/>
  <c r="CA86" i="18"/>
  <c r="U86" i="18" s="1"/>
  <c r="BC90" i="18"/>
  <c r="BV90" i="18"/>
  <c r="R90" i="18" s="1"/>
  <c r="CB91" i="18"/>
  <c r="BC92" i="18"/>
  <c r="CG92" i="18"/>
  <c r="BH93" i="18"/>
  <c r="BC94" i="18"/>
  <c r="BR95" i="18"/>
  <c r="CB97" i="18"/>
  <c r="BW98" i="18"/>
  <c r="BG53" i="18"/>
  <c r="I53" i="18" s="1"/>
  <c r="CG53" i="18"/>
  <c r="CA57" i="18"/>
  <c r="U57" i="18" s="1"/>
  <c r="BR58" i="18"/>
  <c r="BC65" i="18"/>
  <c r="BB65" i="18"/>
  <c r="F65" i="18" s="1"/>
  <c r="BV66" i="18"/>
  <c r="R66" i="18" s="1"/>
  <c r="CG66" i="18"/>
  <c r="BV69" i="18"/>
  <c r="R69" i="18" s="1"/>
  <c r="CK69" i="18" s="1"/>
  <c r="AP69" i="18" s="1"/>
  <c r="CG72" i="18"/>
  <c r="BQ73" i="18"/>
  <c r="O73" i="18" s="1"/>
  <c r="BW74" i="18"/>
  <c r="CG74" i="18"/>
  <c r="CA78" i="18"/>
  <c r="U78" i="18" s="1"/>
  <c r="BC82" i="18"/>
  <c r="BV82" i="18"/>
  <c r="R82" i="18" s="1"/>
  <c r="CB83" i="18"/>
  <c r="BC84" i="18"/>
  <c r="CG87" i="18"/>
  <c r="CF87" i="18"/>
  <c r="X87" i="18" s="1"/>
  <c r="BH91" i="18"/>
  <c r="BM92" i="18"/>
  <c r="BR93" i="18"/>
  <c r="BB94" i="18"/>
  <c r="F94" i="18" s="1"/>
  <c r="BW94" i="18"/>
  <c r="BG95" i="18"/>
  <c r="I95" i="18" s="1"/>
  <c r="CB95" i="18"/>
  <c r="BL96" i="18"/>
  <c r="L96" i="18" s="1"/>
  <c r="CG96" i="18"/>
  <c r="BQ97" i="18"/>
  <c r="O97" i="18" s="1"/>
  <c r="BC98" i="18"/>
  <c r="BV98" i="18"/>
  <c r="R98" i="18" s="1"/>
  <c r="BH99" i="18"/>
  <c r="CA99" i="18"/>
  <c r="U99" i="18" s="1"/>
  <c r="CF100" i="18"/>
  <c r="X100" i="18" s="1"/>
  <c r="BB92" i="18"/>
  <c r="F92" i="18" s="1"/>
  <c r="BG93" i="18"/>
  <c r="I93" i="18" s="1"/>
  <c r="BL94" i="18"/>
  <c r="L94" i="18" s="1"/>
  <c r="BQ95" i="18"/>
  <c r="O95" i="18" s="1"/>
  <c r="BV96" i="18"/>
  <c r="R96" i="18" s="1"/>
  <c r="CA97" i="18"/>
  <c r="U97" i="18" s="1"/>
  <c r="CF98" i="18"/>
  <c r="X98" i="18" s="1"/>
  <c r="BB100" i="18"/>
  <c r="F100" i="18" s="1"/>
  <c r="U2" i="18"/>
  <c r="CB2" i="18"/>
  <c r="BH2" i="18"/>
  <c r="I2" i="18"/>
  <c r="CF2" i="18"/>
  <c r="X2" i="18" s="1"/>
  <c r="BQ2" i="18"/>
  <c r="O2" i="18" s="1"/>
  <c r="CG22" i="2"/>
  <c r="CG93" i="2"/>
  <c r="CG40" i="2"/>
  <c r="CG15" i="2"/>
  <c r="CB13" i="2"/>
  <c r="CB19" i="2"/>
  <c r="CB33" i="2"/>
  <c r="CB55" i="2"/>
  <c r="CB82" i="2"/>
  <c r="CB3" i="2"/>
  <c r="CB51" i="2"/>
  <c r="CB85" i="2"/>
  <c r="CB6" i="2"/>
  <c r="CB57" i="2"/>
  <c r="CB89" i="2"/>
  <c r="CB27" i="2"/>
  <c r="CB38" i="2"/>
  <c r="CB61" i="2"/>
  <c r="BW78" i="2"/>
  <c r="BW41" i="2"/>
  <c r="BW38" i="2"/>
  <c r="BW47" i="2"/>
  <c r="BW10" i="2"/>
  <c r="BW18" i="2"/>
  <c r="BW97" i="2"/>
  <c r="BW29" i="2"/>
  <c r="BW33" i="2"/>
  <c r="BW80" i="2"/>
  <c r="I26" i="2"/>
  <c r="L11" i="2"/>
  <c r="BM11" i="2"/>
  <c r="BW31" i="2"/>
  <c r="AB53" i="2"/>
  <c r="I29" i="2"/>
  <c r="BC4" i="2"/>
  <c r="CB5" i="2"/>
  <c r="BL9" i="2"/>
  <c r="BM9" i="2" s="1"/>
  <c r="BH13" i="2"/>
  <c r="CG14" i="2"/>
  <c r="BQ18" i="2"/>
  <c r="O18" i="2" s="1"/>
  <c r="BM22" i="2"/>
  <c r="BC24" i="2"/>
  <c r="BV27" i="2"/>
  <c r="BW27" i="2" s="1"/>
  <c r="CG27" i="2"/>
  <c r="BM30" i="2"/>
  <c r="BB39" i="2"/>
  <c r="F39" i="2" s="1"/>
  <c r="BG42" i="2"/>
  <c r="I42" i="2" s="1"/>
  <c r="BB44" i="2"/>
  <c r="F44" i="2" s="1"/>
  <c r="BC44" i="2"/>
  <c r="CB47" i="2"/>
  <c r="CA47" i="2"/>
  <c r="U47" i="2" s="1"/>
  <c r="BL52" i="2"/>
  <c r="L52" i="2" s="1"/>
  <c r="BG8" i="2"/>
  <c r="I8" i="2" s="1"/>
  <c r="BL17" i="2"/>
  <c r="L17" i="2" s="1"/>
  <c r="BR26" i="2"/>
  <c r="BQ26" i="2"/>
  <c r="O26" i="2" s="1"/>
  <c r="CA29" i="2"/>
  <c r="U29" i="2" s="1"/>
  <c r="CG31" i="2"/>
  <c r="BB36" i="2"/>
  <c r="F36" i="2" s="1"/>
  <c r="BV40" i="2"/>
  <c r="R40" i="2" s="1"/>
  <c r="BH41" i="2"/>
  <c r="BR43" i="2"/>
  <c r="BV45" i="2"/>
  <c r="BW45" i="2" s="1"/>
  <c r="BL51" i="2"/>
  <c r="BM51" i="2" s="1"/>
  <c r="BG3" i="2"/>
  <c r="BH3" i="2" s="1"/>
  <c r="BR3" i="2"/>
  <c r="BB7" i="2"/>
  <c r="BC7" i="2" s="1"/>
  <c r="CF7" i="2"/>
  <c r="X7" i="2" s="1"/>
  <c r="CG10" i="2"/>
  <c r="BB12" i="2"/>
  <c r="F12" i="2" s="1"/>
  <c r="BW12" i="2"/>
  <c r="BG16" i="2"/>
  <c r="I16" i="2" s="1"/>
  <c r="BB17" i="2"/>
  <c r="F17" i="2" s="1"/>
  <c r="BC20" i="2"/>
  <c r="BG21" i="2"/>
  <c r="I21" i="2" s="1"/>
  <c r="CB21" i="2"/>
  <c r="BL25" i="2"/>
  <c r="L25" i="2" s="1"/>
  <c r="BG26" i="2"/>
  <c r="BV31" i="2"/>
  <c r="CF31" i="2"/>
  <c r="X31" i="2" s="1"/>
  <c r="BM33" i="2"/>
  <c r="CG33" i="2"/>
  <c r="BM37" i="2"/>
  <c r="BL37" i="2"/>
  <c r="CF41" i="2"/>
  <c r="CG41" i="2" s="1"/>
  <c r="BQ43" i="2"/>
  <c r="O43" i="2" s="1"/>
  <c r="BR46" i="2"/>
  <c r="BQ47" i="2"/>
  <c r="O47" i="2" s="1"/>
  <c r="BR47" i="2"/>
  <c r="BR49" i="2"/>
  <c r="BQ49" i="2"/>
  <c r="CF5" i="2"/>
  <c r="X5" i="2" s="1"/>
  <c r="BB15" i="2"/>
  <c r="BC15" i="2" s="1"/>
  <c r="BG24" i="2"/>
  <c r="I24" i="2" s="1"/>
  <c r="BR24" i="2"/>
  <c r="BH26" i="2"/>
  <c r="BQ30" i="2"/>
  <c r="O30" i="2" s="1"/>
  <c r="BG68" i="2"/>
  <c r="I68" i="2" s="1"/>
  <c r="CA4" i="2"/>
  <c r="U4" i="2" s="1"/>
  <c r="BV5" i="2"/>
  <c r="BW5" i="2" s="1"/>
  <c r="CA9" i="2"/>
  <c r="U9" i="2" s="1"/>
  <c r="CF13" i="2"/>
  <c r="X13" i="2" s="1"/>
  <c r="CA14" i="2"/>
  <c r="U14" i="2" s="1"/>
  <c r="CF18" i="2"/>
  <c r="X18" i="2" s="1"/>
  <c r="BC23" i="2"/>
  <c r="BB23" i="2"/>
  <c r="F23" i="2" s="1"/>
  <c r="CF23" i="2"/>
  <c r="X23" i="2" s="1"/>
  <c r="CG26" i="2"/>
  <c r="BB28" i="2"/>
  <c r="F28" i="2" s="1"/>
  <c r="AB28" i="2" s="1"/>
  <c r="BW28" i="2"/>
  <c r="BL34" i="2"/>
  <c r="L34" i="2" s="1"/>
  <c r="CB36" i="2"/>
  <c r="CA36" i="2"/>
  <c r="U36" i="2" s="1"/>
  <c r="BL41" i="2"/>
  <c r="L41" i="2" s="1"/>
  <c r="BG47" i="2"/>
  <c r="I47" i="2" s="1"/>
  <c r="CG48" i="2"/>
  <c r="BC55" i="2"/>
  <c r="CB56" i="2"/>
  <c r="CA56" i="2"/>
  <c r="U21" i="2"/>
  <c r="I34" i="2"/>
  <c r="BV3" i="2"/>
  <c r="BW3" i="2" s="1"/>
  <c r="BQ4" i="2"/>
  <c r="BR4" i="2" s="1"/>
  <c r="BV8" i="2"/>
  <c r="R8" i="2" s="1"/>
  <c r="CA12" i="2"/>
  <c r="U12" i="2" s="1"/>
  <c r="BV13" i="2"/>
  <c r="BW13" i="2" s="1"/>
  <c r="CA17" i="2"/>
  <c r="U17" i="2" s="1"/>
  <c r="CF21" i="2"/>
  <c r="CG21" i="2" s="1"/>
  <c r="CA22" i="2"/>
  <c r="U22" i="2" s="1"/>
  <c r="CF26" i="2"/>
  <c r="X26" i="2" s="1"/>
  <c r="CA37" i="2"/>
  <c r="U37" i="2" s="1"/>
  <c r="BB38" i="2"/>
  <c r="BC38" i="2" s="1"/>
  <c r="BM38" i="2"/>
  <c r="BL38" i="2"/>
  <c r="L38" i="2" s="1"/>
  <c r="BV44" i="2"/>
  <c r="BW44" i="2" s="1"/>
  <c r="BV46" i="2"/>
  <c r="R46" i="2" s="1"/>
  <c r="BW49" i="2"/>
  <c r="BL3" i="2"/>
  <c r="BM3" i="2" s="1"/>
  <c r="BQ7" i="2"/>
  <c r="O7" i="2" s="1"/>
  <c r="BC8" i="2"/>
  <c r="BV11" i="2"/>
  <c r="BW11" i="2" s="1"/>
  <c r="BQ12" i="2"/>
  <c r="O12" i="2" s="1"/>
  <c r="BV16" i="2"/>
  <c r="R16" i="2" s="1"/>
  <c r="BH17" i="2"/>
  <c r="CA20" i="2"/>
  <c r="CB20" i="2" s="1"/>
  <c r="BV21" i="2"/>
  <c r="R21" i="2" s="1"/>
  <c r="BW24" i="2"/>
  <c r="CA25" i="2"/>
  <c r="U25" i="2" s="1"/>
  <c r="BM26" i="2"/>
  <c r="CF30" i="2"/>
  <c r="CG30" i="2" s="1"/>
  <c r="BG31" i="2"/>
  <c r="BH31" i="2" s="1"/>
  <c r="BR31" i="2"/>
  <c r="BR33" i="2"/>
  <c r="BC34" i="2"/>
  <c r="BB35" i="2"/>
  <c r="F35" i="2" s="1"/>
  <c r="BV39" i="2"/>
  <c r="BW39" i="2" s="1"/>
  <c r="BW43" i="2"/>
  <c r="BW50" i="2"/>
  <c r="BR70" i="2"/>
  <c r="X34" i="2"/>
  <c r="R41" i="2"/>
  <c r="BH5" i="2"/>
  <c r="BL6" i="2"/>
  <c r="L6" i="2" s="1"/>
  <c r="CG6" i="2"/>
  <c r="BQ10" i="2"/>
  <c r="O10" i="2" s="1"/>
  <c r="BM14" i="2"/>
  <c r="BQ15" i="2"/>
  <c r="O15" i="2" s="1"/>
  <c r="BC16" i="2"/>
  <c r="BV19" i="2"/>
  <c r="R19" i="2" s="1"/>
  <c r="BQ20" i="2"/>
  <c r="BR20" i="2" s="1"/>
  <c r="BR23" i="2"/>
  <c r="BV24" i="2"/>
  <c r="R24" i="2" s="1"/>
  <c r="BH25" i="2"/>
  <c r="CB28" i="2"/>
  <c r="BM29" i="2"/>
  <c r="BV32" i="2"/>
  <c r="R32" i="2" s="1"/>
  <c r="CG35" i="2"/>
  <c r="BR40" i="2"/>
  <c r="BR41" i="2"/>
  <c r="BL44" i="2"/>
  <c r="L44" i="2" s="1"/>
  <c r="BR45" i="2"/>
  <c r="BM46" i="2"/>
  <c r="BB48" i="2"/>
  <c r="BC48" i="2" s="1"/>
  <c r="BV52" i="2"/>
  <c r="BW52" i="2" s="1"/>
  <c r="CG29" i="2"/>
  <c r="BR34" i="2"/>
  <c r="BB42" i="2"/>
  <c r="F42" i="2" s="1"/>
  <c r="BG50" i="2"/>
  <c r="I50" i="2" s="1"/>
  <c r="BH52" i="2"/>
  <c r="CG53" i="2"/>
  <c r="CF53" i="2"/>
  <c r="X53" i="2" s="1"/>
  <c r="CK53" i="2" s="1"/>
  <c r="AP53" i="2" s="1"/>
  <c r="CA62" i="2"/>
  <c r="CB62" i="2" s="1"/>
  <c r="BB64" i="2"/>
  <c r="F64" i="2" s="1"/>
  <c r="BH67" i="2"/>
  <c r="BC77" i="2"/>
  <c r="BC78" i="2"/>
  <c r="BB78" i="2"/>
  <c r="CA86" i="2"/>
  <c r="CB86" i="2" s="1"/>
  <c r="BG87" i="2"/>
  <c r="I87" i="2" s="1"/>
  <c r="AB87" i="2" s="1"/>
  <c r="BR94" i="2"/>
  <c r="BB96" i="2"/>
  <c r="F96" i="2" s="1"/>
  <c r="CK96" i="2" s="1"/>
  <c r="AP96" i="2" s="1"/>
  <c r="BR55" i="2"/>
  <c r="BC61" i="2"/>
  <c r="CG61" i="2"/>
  <c r="CA63" i="2"/>
  <c r="U63" i="2" s="1"/>
  <c r="BC67" i="2"/>
  <c r="BM67" i="2"/>
  <c r="BL67" i="2"/>
  <c r="BH75" i="2"/>
  <c r="CA77" i="2"/>
  <c r="U77" i="2" s="1"/>
  <c r="BR81" i="2"/>
  <c r="BM82" i="2"/>
  <c r="BL82" i="2"/>
  <c r="L82" i="2" s="1"/>
  <c r="BH83" i="2"/>
  <c r="BG95" i="2"/>
  <c r="BH95" i="2" s="1"/>
  <c r="CG62" i="2"/>
  <c r="CF76" i="2"/>
  <c r="X76" i="2" s="1"/>
  <c r="BW55" i="2"/>
  <c r="BW58" i="2"/>
  <c r="BG59" i="2"/>
  <c r="I59" i="2" s="1"/>
  <c r="BC62" i="2"/>
  <c r="BB62" i="2"/>
  <c r="F62" i="2" s="1"/>
  <c r="BC75" i="2"/>
  <c r="BL83" i="2"/>
  <c r="BM83" i="2" s="1"/>
  <c r="BG84" i="2"/>
  <c r="I84" i="2" s="1"/>
  <c r="AB84" i="2" s="1"/>
  <c r="BQ91" i="2"/>
  <c r="O91" i="2" s="1"/>
  <c r="BL93" i="2"/>
  <c r="L93" i="2" s="1"/>
  <c r="CF94" i="2"/>
  <c r="X94" i="2" s="1"/>
  <c r="CK94" i="2" s="1"/>
  <c r="AP94" i="2" s="1"/>
  <c r="BC99" i="2"/>
  <c r="BR100" i="2"/>
  <c r="BQ100" i="2"/>
  <c r="BL4" i="2"/>
  <c r="BM4" i="2" s="1"/>
  <c r="BQ5" i="2"/>
  <c r="BR5" i="2" s="1"/>
  <c r="BV6" i="2"/>
  <c r="R6" i="2" s="1"/>
  <c r="CA7" i="2"/>
  <c r="CB7" i="2" s="1"/>
  <c r="CF8" i="2"/>
  <c r="X8" i="2" s="1"/>
  <c r="BB10" i="2"/>
  <c r="F10" i="2" s="1"/>
  <c r="BG11" i="2"/>
  <c r="I11" i="2" s="1"/>
  <c r="BL12" i="2"/>
  <c r="L12" i="2" s="1"/>
  <c r="BQ13" i="2"/>
  <c r="BR13" i="2" s="1"/>
  <c r="BV14" i="2"/>
  <c r="R14" i="2" s="1"/>
  <c r="CA15" i="2"/>
  <c r="CB15" i="2" s="1"/>
  <c r="CF16" i="2"/>
  <c r="CG16" i="2" s="1"/>
  <c r="BB18" i="2"/>
  <c r="F18" i="2" s="1"/>
  <c r="BG19" i="2"/>
  <c r="BH19" i="2" s="1"/>
  <c r="BL20" i="2"/>
  <c r="L20" i="2" s="1"/>
  <c r="BQ21" i="2"/>
  <c r="O21" i="2" s="1"/>
  <c r="BV22" i="2"/>
  <c r="BW22" i="2" s="1"/>
  <c r="CA23" i="2"/>
  <c r="U23" i="2" s="1"/>
  <c r="CF24" i="2"/>
  <c r="CG24" i="2" s="1"/>
  <c r="BB26" i="2"/>
  <c r="BC26" i="2" s="1"/>
  <c r="BG27" i="2"/>
  <c r="I27" i="2" s="1"/>
  <c r="CK27" i="2" s="1"/>
  <c r="AP27" i="2" s="1"/>
  <c r="BM28" i="2"/>
  <c r="BB30" i="2"/>
  <c r="F30" i="2" s="1"/>
  <c r="CA30" i="2"/>
  <c r="CB30" i="2" s="1"/>
  <c r="BQ31" i="2"/>
  <c r="O31" i="2" s="1"/>
  <c r="BG32" i="2"/>
  <c r="I32" i="2" s="1"/>
  <c r="CG32" i="2"/>
  <c r="BV34" i="2"/>
  <c r="BW34" i="2" s="1"/>
  <c r="BL35" i="2"/>
  <c r="L35" i="2" s="1"/>
  <c r="BV37" i="2"/>
  <c r="R37" i="2" s="1"/>
  <c r="CF39" i="2"/>
  <c r="X39" i="2" s="1"/>
  <c r="CB42" i="2"/>
  <c r="CA42" i="2"/>
  <c r="U42" i="2" s="1"/>
  <c r="BV50" i="2"/>
  <c r="BC52" i="2"/>
  <c r="BB55" i="2"/>
  <c r="F55" i="2" s="1"/>
  <c r="BL55" i="2"/>
  <c r="BM55" i="2" s="1"/>
  <c r="BV58" i="2"/>
  <c r="CA64" i="2"/>
  <c r="U64" i="2" s="1"/>
  <c r="BB65" i="2"/>
  <c r="BC65" i="2" s="1"/>
  <c r="BV65" i="2"/>
  <c r="R65" i="2" s="1"/>
  <c r="CF73" i="2"/>
  <c r="X73" i="2" s="1"/>
  <c r="BH74" i="2"/>
  <c r="BG74" i="2"/>
  <c r="BB75" i="2"/>
  <c r="BV76" i="2"/>
  <c r="R76" i="2" s="1"/>
  <c r="BB83" i="2"/>
  <c r="F83" i="2" s="1"/>
  <c r="BL90" i="2"/>
  <c r="L90" i="2" s="1"/>
  <c r="BV90" i="2"/>
  <c r="R90" i="2" s="1"/>
  <c r="CG97" i="2"/>
  <c r="CF97" i="2"/>
  <c r="CF3" i="2"/>
  <c r="CG3" i="2" s="1"/>
  <c r="BB5" i="2"/>
  <c r="F5" i="2" s="1"/>
  <c r="BG6" i="2"/>
  <c r="BH6" i="2" s="1"/>
  <c r="BL7" i="2"/>
  <c r="L7" i="2" s="1"/>
  <c r="BQ8" i="2"/>
  <c r="O8" i="2" s="1"/>
  <c r="BV9" i="2"/>
  <c r="BW9" i="2" s="1"/>
  <c r="CA10" i="2"/>
  <c r="U10" i="2" s="1"/>
  <c r="CF11" i="2"/>
  <c r="CG11" i="2" s="1"/>
  <c r="BB13" i="2"/>
  <c r="F13" i="2" s="1"/>
  <c r="BG14" i="2"/>
  <c r="BH14" i="2" s="1"/>
  <c r="BL15" i="2"/>
  <c r="BM15" i="2" s="1"/>
  <c r="BQ16" i="2"/>
  <c r="O16" i="2" s="1"/>
  <c r="BV17" i="2"/>
  <c r="R17" i="2" s="1"/>
  <c r="CA18" i="2"/>
  <c r="CB18" i="2" s="1"/>
  <c r="CF19" i="2"/>
  <c r="CG19" i="2" s="1"/>
  <c r="BB21" i="2"/>
  <c r="BC21" i="2" s="1"/>
  <c r="BG22" i="2"/>
  <c r="BH22" i="2" s="1"/>
  <c r="BL23" i="2"/>
  <c r="BM23" i="2" s="1"/>
  <c r="BQ24" i="2"/>
  <c r="O24" i="2" s="1"/>
  <c r="BV25" i="2"/>
  <c r="R25" i="2" s="1"/>
  <c r="CA26" i="2"/>
  <c r="CB26" i="2" s="1"/>
  <c r="CF27" i="2"/>
  <c r="BV28" i="2"/>
  <c r="R28" i="2" s="1"/>
  <c r="BL29" i="2"/>
  <c r="L29" i="2" s="1"/>
  <c r="BG33" i="2"/>
  <c r="I33" i="2" s="1"/>
  <c r="CF33" i="2"/>
  <c r="X33" i="2" s="1"/>
  <c r="BV35" i="2"/>
  <c r="R35" i="2" s="1"/>
  <c r="BV36" i="2"/>
  <c r="BW36" i="2" s="1"/>
  <c r="CF36" i="2"/>
  <c r="CG36" i="2" s="1"/>
  <c r="CF37" i="2"/>
  <c r="X37" i="2" s="1"/>
  <c r="CF38" i="2"/>
  <c r="CG38" i="2" s="1"/>
  <c r="BG39" i="2"/>
  <c r="I39" i="2" s="1"/>
  <c r="BG40" i="2"/>
  <c r="I40" i="2" s="1"/>
  <c r="BG41" i="2"/>
  <c r="I41" i="2" s="1"/>
  <c r="BQ41" i="2"/>
  <c r="BL43" i="2"/>
  <c r="L43" i="2" s="1"/>
  <c r="CF44" i="2"/>
  <c r="CG44" i="2" s="1"/>
  <c r="CB46" i="2"/>
  <c r="BR48" i="2"/>
  <c r="CA48" i="2"/>
  <c r="U48" i="2" s="1"/>
  <c r="CF50" i="2"/>
  <c r="X50" i="2" s="1"/>
  <c r="CB54" i="2"/>
  <c r="BQ70" i="2"/>
  <c r="O70" i="2" s="1"/>
  <c r="BC87" i="2"/>
  <c r="CG87" i="2"/>
  <c r="CF87" i="2"/>
  <c r="BQ92" i="2"/>
  <c r="BR92" i="2" s="1"/>
  <c r="CF95" i="2"/>
  <c r="CG95" i="2" s="1"/>
  <c r="BB31" i="2"/>
  <c r="F31" i="2" s="1"/>
  <c r="CB31" i="2"/>
  <c r="BH37" i="2"/>
  <c r="BR39" i="2"/>
  <c r="BH44" i="2"/>
  <c r="CA46" i="2"/>
  <c r="U46" i="2" s="1"/>
  <c r="BQ48" i="2"/>
  <c r="O48" i="2" s="1"/>
  <c r="CB52" i="2"/>
  <c r="BG54" i="2"/>
  <c r="I54" i="2" s="1"/>
  <c r="BW60" i="2"/>
  <c r="BC68" i="2"/>
  <c r="BV69" i="2"/>
  <c r="R69" i="2" s="1"/>
  <c r="CA70" i="2"/>
  <c r="U70" i="2" s="1"/>
  <c r="BW71" i="2"/>
  <c r="BC73" i="2"/>
  <c r="BB73" i="2"/>
  <c r="BV77" i="2"/>
  <c r="BW77" i="2" s="1"/>
  <c r="BG92" i="2"/>
  <c r="BH92" i="2" s="1"/>
  <c r="BM95" i="2"/>
  <c r="BL96" i="2"/>
  <c r="L96" i="2" s="1"/>
  <c r="CG47" i="2"/>
  <c r="BR52" i="2"/>
  <c r="BC54" i="2"/>
  <c r="BV54" i="2"/>
  <c r="R54" i="2" s="1"/>
  <c r="BW56" i="2"/>
  <c r="BR57" i="2"/>
  <c r="BR60" i="2"/>
  <c r="BM63" i="2"/>
  <c r="CB65" i="2"/>
  <c r="BC74" i="2"/>
  <c r="BH85" i="2"/>
  <c r="BQ73" i="2"/>
  <c r="O73" i="2" s="1"/>
  <c r="CG100" i="2"/>
  <c r="CF100" i="2"/>
  <c r="BL47" i="2"/>
  <c r="L47" i="2" s="1"/>
  <c r="BG51" i="2"/>
  <c r="I51" i="2" s="1"/>
  <c r="CF51" i="2"/>
  <c r="X51" i="2" s="1"/>
  <c r="CF52" i="2"/>
  <c r="CG52" i="2" s="1"/>
  <c r="BC56" i="2"/>
  <c r="CF57" i="2"/>
  <c r="X57" i="2" s="1"/>
  <c r="BV59" i="2"/>
  <c r="R59" i="2" s="1"/>
  <c r="BW62" i="2"/>
  <c r="BL64" i="2"/>
  <c r="BM64" i="2" s="1"/>
  <c r="BL66" i="2"/>
  <c r="L66" i="2" s="1"/>
  <c r="BC76" i="2"/>
  <c r="BG82" i="2"/>
  <c r="I82" i="2" s="1"/>
  <c r="BC86" i="2"/>
  <c r="CF86" i="2"/>
  <c r="X86" i="2" s="1"/>
  <c r="BL91" i="2"/>
  <c r="BM91" i="2" s="1"/>
  <c r="BM94" i="2"/>
  <c r="BQ44" i="2"/>
  <c r="O44" i="2" s="1"/>
  <c r="BH45" i="2"/>
  <c r="BB49" i="2"/>
  <c r="F49" i="2" s="1"/>
  <c r="CB49" i="2"/>
  <c r="BB56" i="2"/>
  <c r="BH58" i="2"/>
  <c r="BQ58" i="2"/>
  <c r="O58" i="2" s="1"/>
  <c r="BM59" i="2"/>
  <c r="CF59" i="2"/>
  <c r="X59" i="2" s="1"/>
  <c r="BM61" i="2"/>
  <c r="BV66" i="2"/>
  <c r="R66" i="2" s="1"/>
  <c r="CG68" i="2"/>
  <c r="CA69" i="2"/>
  <c r="U69" i="2" s="1"/>
  <c r="BM72" i="2"/>
  <c r="BH73" i="2"/>
  <c r="BG73" i="2"/>
  <c r="I73" i="2" s="1"/>
  <c r="CG77" i="2"/>
  <c r="CA78" i="2"/>
  <c r="CB78" i="2" s="1"/>
  <c r="BV79" i="2"/>
  <c r="BW79" i="2" s="1"/>
  <c r="BW81" i="2"/>
  <c r="BW82" i="2"/>
  <c r="BV82" i="2"/>
  <c r="BB86" i="2"/>
  <c r="CB87" i="2"/>
  <c r="BH88" i="2"/>
  <c r="CA88" i="2"/>
  <c r="U88" i="2" s="1"/>
  <c r="CB90" i="2"/>
  <c r="CA91" i="2"/>
  <c r="U91" i="2" s="1"/>
  <c r="BW92" i="2"/>
  <c r="BH96" i="2"/>
  <c r="BB97" i="2"/>
  <c r="BC97" i="2" s="1"/>
  <c r="CB99" i="2"/>
  <c r="BV100" i="2"/>
  <c r="R100" i="2" s="1"/>
  <c r="CG55" i="2"/>
  <c r="BR65" i="2"/>
  <c r="CB68" i="2"/>
  <c r="BM70" i="2"/>
  <c r="BH71" i="2"/>
  <c r="CG74" i="2"/>
  <c r="CB75" i="2"/>
  <c r="BR79" i="2"/>
  <c r="BM80" i="2"/>
  <c r="BC84" i="2"/>
  <c r="CG84" i="2"/>
  <c r="BW88" i="2"/>
  <c r="BR89" i="2"/>
  <c r="BH93" i="2"/>
  <c r="BC94" i="2"/>
  <c r="CB97" i="2"/>
  <c r="BW98" i="2"/>
  <c r="BV61" i="2"/>
  <c r="BW61" i="2" s="1"/>
  <c r="BL75" i="2"/>
  <c r="BM75" i="2" s="1"/>
  <c r="CG79" i="2"/>
  <c r="CF79" i="2"/>
  <c r="BQ84" i="2"/>
  <c r="BR84" i="2" s="1"/>
  <c r="BB89" i="2"/>
  <c r="BC89" i="2" s="1"/>
  <c r="BV93" i="2"/>
  <c r="R93" i="2" s="1"/>
  <c r="BH98" i="2"/>
  <c r="BG98" i="2"/>
  <c r="CF54" i="2"/>
  <c r="X54" i="2" s="1"/>
  <c r="BV55" i="2"/>
  <c r="R55" i="2" s="1"/>
  <c r="BL56" i="2"/>
  <c r="L56" i="2" s="1"/>
  <c r="BC57" i="2"/>
  <c r="CA58" i="2"/>
  <c r="CB58" i="2" s="1"/>
  <c r="BQ59" i="2"/>
  <c r="O59" i="2" s="1"/>
  <c r="BG60" i="2"/>
  <c r="I60" i="2" s="1"/>
  <c r="CK60" i="2" s="1"/>
  <c r="AP60" i="2" s="1"/>
  <c r="CF60" i="2"/>
  <c r="CG60" i="2" s="1"/>
  <c r="BV62" i="2"/>
  <c r="R62" i="2" s="1"/>
  <c r="CF62" i="2"/>
  <c r="X62" i="2" s="1"/>
  <c r="BV63" i="2"/>
  <c r="BW63" i="2" s="1"/>
  <c r="CF65" i="2"/>
  <c r="X65" i="2" s="1"/>
  <c r="BQ68" i="2"/>
  <c r="BR68" i="2" s="1"/>
  <c r="BB70" i="2"/>
  <c r="BC70" i="2" s="1"/>
  <c r="BC71" i="2"/>
  <c r="BV71" i="2"/>
  <c r="CB73" i="2"/>
  <c r="BW74" i="2"/>
  <c r="BG76" i="2"/>
  <c r="I76" i="2" s="1"/>
  <c r="BM78" i="2"/>
  <c r="BH79" i="2"/>
  <c r="CA80" i="2"/>
  <c r="U80" i="2" s="1"/>
  <c r="CK80" i="2" s="1"/>
  <c r="AP80" i="2" s="1"/>
  <c r="CG82" i="2"/>
  <c r="CB83" i="2"/>
  <c r="BL85" i="2"/>
  <c r="BM85" i="2" s="1"/>
  <c r="BR87" i="2"/>
  <c r="BM88" i="2"/>
  <c r="CF89" i="2"/>
  <c r="X89" i="2" s="1"/>
  <c r="BC92" i="2"/>
  <c r="CG92" i="2"/>
  <c r="BQ94" i="2"/>
  <c r="O94" i="2" s="1"/>
  <c r="BW96" i="2"/>
  <c r="BR97" i="2"/>
  <c r="BB99" i="2"/>
  <c r="F99" i="2" s="1"/>
  <c r="BH55" i="2"/>
  <c r="CB59" i="2"/>
  <c r="BH63" i="2"/>
  <c r="CG63" i="2"/>
  <c r="CF63" i="2"/>
  <c r="BW64" i="2"/>
  <c r="BG66" i="2"/>
  <c r="BH66" i="2" s="1"/>
  <c r="CG66" i="2"/>
  <c r="CB67" i="2"/>
  <c r="CF71" i="2"/>
  <c r="X71" i="2" s="1"/>
  <c r="BH72" i="2"/>
  <c r="BQ76" i="2"/>
  <c r="BR76" i="2" s="1"/>
  <c r="CB76" i="2"/>
  <c r="BB81" i="2"/>
  <c r="F81" i="2" s="1"/>
  <c r="BM81" i="2"/>
  <c r="BW85" i="2"/>
  <c r="BV85" i="2"/>
  <c r="CG85" i="2"/>
  <c r="BL88" i="2"/>
  <c r="BG90" i="2"/>
  <c r="BH90" i="2" s="1"/>
  <c r="BR90" i="2"/>
  <c r="CF92" i="2"/>
  <c r="X92" i="2" s="1"/>
  <c r="CB94" i="2"/>
  <c r="CA94" i="2"/>
  <c r="BQ97" i="2"/>
  <c r="BL99" i="2"/>
  <c r="BM99" i="2" s="1"/>
  <c r="BW99" i="2"/>
  <c r="BC95" i="2"/>
  <c r="CB100" i="2"/>
  <c r="I2" i="2"/>
  <c r="L32" i="2"/>
  <c r="AB32" i="2" s="1"/>
  <c r="F100" i="2"/>
  <c r="F20" i="2"/>
  <c r="O29" i="2"/>
  <c r="L51" i="2"/>
  <c r="U31" i="2"/>
  <c r="U6" i="2"/>
  <c r="I43" i="2"/>
  <c r="X30" i="2"/>
  <c r="U40" i="2"/>
  <c r="O81" i="2"/>
  <c r="F91" i="2"/>
  <c r="X15" i="2"/>
  <c r="CK28" i="2"/>
  <c r="AP28" i="2" s="1"/>
  <c r="F3" i="2"/>
  <c r="AB42" i="2"/>
  <c r="F25" i="2"/>
  <c r="I66" i="2"/>
  <c r="U66" i="2"/>
  <c r="F75" i="2"/>
  <c r="O46" i="2"/>
  <c r="F51" i="2"/>
  <c r="U58" i="2"/>
  <c r="U90" i="2"/>
  <c r="R4" i="2"/>
  <c r="I58" i="2"/>
  <c r="F65" i="2"/>
  <c r="I74" i="2"/>
  <c r="U99" i="2"/>
  <c r="F11" i="2"/>
  <c r="R22" i="2"/>
  <c r="R27" i="2"/>
  <c r="AB27" i="2" s="1"/>
  <c r="X27" i="2"/>
  <c r="L37" i="2"/>
  <c r="U39" i="2"/>
  <c r="L45" i="2"/>
  <c r="X49" i="2"/>
  <c r="O56" i="2"/>
  <c r="R81" i="2"/>
  <c r="O100" i="2"/>
  <c r="X19" i="2"/>
  <c r="F29" i="2"/>
  <c r="R31" i="2"/>
  <c r="U96" i="2"/>
  <c r="I18" i="2"/>
  <c r="X24" i="2"/>
  <c r="X29" i="2"/>
  <c r="I30" i="2"/>
  <c r="U30" i="2"/>
  <c r="R36" i="2"/>
  <c r="R38" i="2"/>
  <c r="U54" i="2"/>
  <c r="O78" i="2"/>
  <c r="F86" i="2"/>
  <c r="U86" i="2"/>
  <c r="L88" i="2"/>
  <c r="R98" i="2"/>
  <c r="X16" i="2"/>
  <c r="U35" i="2"/>
  <c r="X38" i="2"/>
  <c r="L67" i="2"/>
  <c r="O86" i="2"/>
  <c r="O33" i="2"/>
  <c r="R47" i="2"/>
  <c r="I52" i="2"/>
  <c r="O60" i="2"/>
  <c r="R61" i="2"/>
  <c r="U62" i="2"/>
  <c r="AB62" i="2" s="1"/>
  <c r="F67" i="2"/>
  <c r="L91" i="2"/>
  <c r="I95" i="2"/>
  <c r="R39" i="2"/>
  <c r="I44" i="2"/>
  <c r="O76" i="2"/>
  <c r="CK76" i="2" s="1"/>
  <c r="AP76" i="2" s="1"/>
  <c r="R77" i="2"/>
  <c r="AB77" i="2" s="1"/>
  <c r="I78" i="2"/>
  <c r="R87" i="2"/>
  <c r="X41" i="2"/>
  <c r="X95" i="2"/>
  <c r="X99" i="2"/>
  <c r="X100" i="2"/>
  <c r="X36" i="2"/>
  <c r="F78" i="2"/>
  <c r="O84" i="2"/>
  <c r="L85" i="2"/>
  <c r="AB85" i="2" s="1"/>
  <c r="R85" i="2"/>
  <c r="I86" i="2"/>
  <c r="R95" i="2"/>
  <c r="O97" i="2"/>
  <c r="I31" i="2"/>
  <c r="O38" i="2"/>
  <c r="F43" i="2"/>
  <c r="U45" i="2"/>
  <c r="X46" i="2"/>
  <c r="F48" i="2"/>
  <c r="I49" i="2"/>
  <c r="L50" i="2"/>
  <c r="O51" i="2"/>
  <c r="R52" i="2"/>
  <c r="U55" i="2"/>
  <c r="R58" i="2"/>
  <c r="U59" i="2"/>
  <c r="R71" i="2"/>
  <c r="U94" i="2"/>
  <c r="AB94" i="2" s="1"/>
  <c r="L95" i="2"/>
  <c r="L83" i="2"/>
  <c r="O92" i="2"/>
  <c r="X87" i="2"/>
  <c r="F97" i="2"/>
  <c r="L40" i="2"/>
  <c r="O41" i="2"/>
  <c r="R42" i="2"/>
  <c r="CK42" i="2" s="1"/>
  <c r="AP42" i="2" s="1"/>
  <c r="U43" i="2"/>
  <c r="X44" i="2"/>
  <c r="F46" i="2"/>
  <c r="L48" i="2"/>
  <c r="O49" i="2"/>
  <c r="R50" i="2"/>
  <c r="U51" i="2"/>
  <c r="X52" i="2"/>
  <c r="F56" i="2"/>
  <c r="U56" i="2"/>
  <c r="O57" i="2"/>
  <c r="CK57" i="2" s="1"/>
  <c r="AP57" i="2" s="1"/>
  <c r="F59" i="2"/>
  <c r="L59" i="2"/>
  <c r="X60" i="2"/>
  <c r="R63" i="2"/>
  <c r="CK63" i="2" s="1"/>
  <c r="AP63" i="2" s="1"/>
  <c r="X63" i="2"/>
  <c r="O65" i="2"/>
  <c r="U72" i="2"/>
  <c r="AB72" i="2" s="1"/>
  <c r="F73" i="2"/>
  <c r="R74" i="2"/>
  <c r="X79" i="2"/>
  <c r="R82" i="2"/>
  <c r="F89" i="2"/>
  <c r="X97" i="2"/>
  <c r="I98" i="2"/>
  <c r="U75" i="2"/>
  <c r="U83" i="2"/>
  <c r="L99" i="2"/>
  <c r="BC2" i="2"/>
  <c r="O23" i="2"/>
  <c r="X2" i="2"/>
  <c r="CB2" i="2"/>
  <c r="U2" i="2"/>
  <c r="O3" i="2"/>
  <c r="BL2" i="2"/>
  <c r="L2" i="2" s="1"/>
  <c r="A2" i="12" a="1"/>
  <c r="L9" i="2" l="1"/>
  <c r="BH21" i="2"/>
  <c r="I22" i="2"/>
  <c r="O6" i="2"/>
  <c r="BR21" i="2"/>
  <c r="L19" i="2"/>
  <c r="L15" i="2"/>
  <c r="F15" i="2"/>
  <c r="BC17" i="2"/>
  <c r="CK17" i="2"/>
  <c r="AP17" i="2" s="1"/>
  <c r="F21" i="2"/>
  <c r="U20" i="2"/>
  <c r="X11" i="2"/>
  <c r="BR12" i="2"/>
  <c r="BR12" i="18"/>
  <c r="BM9" i="18"/>
  <c r="I14" i="2"/>
  <c r="CK14" i="2" s="1"/>
  <c r="AP14" i="2" s="1"/>
  <c r="BC13" i="2"/>
  <c r="BI1" i="2"/>
  <c r="CB18" i="18"/>
  <c r="U15" i="2"/>
  <c r="CB24" i="2"/>
  <c r="CB14" i="18"/>
  <c r="BW14" i="18"/>
  <c r="CG13" i="2"/>
  <c r="P1" i="2"/>
  <c r="R1" i="2" s="1"/>
  <c r="BW1" i="2" s="1"/>
  <c r="N1" i="2"/>
  <c r="CG9" i="2"/>
  <c r="BW14" i="2"/>
  <c r="R13" i="2"/>
  <c r="R11" i="2"/>
  <c r="AB11" i="2" s="1"/>
  <c r="BR15" i="2"/>
  <c r="BW8" i="2"/>
  <c r="BR14" i="2"/>
  <c r="O4" i="2"/>
  <c r="U18" i="2"/>
  <c r="AB18" i="2" s="1"/>
  <c r="BM12" i="2"/>
  <c r="BH4" i="2"/>
  <c r="BC14" i="2"/>
  <c r="O13" i="2"/>
  <c r="CB16" i="2"/>
  <c r="CG12" i="18"/>
  <c r="CB11" i="18"/>
  <c r="BR10" i="18"/>
  <c r="BM11" i="18"/>
  <c r="BH12" i="18"/>
  <c r="BH15" i="18"/>
  <c r="BC13" i="18"/>
  <c r="CB12" i="18"/>
  <c r="CG4" i="18"/>
  <c r="CB17" i="2"/>
  <c r="BM6" i="2"/>
  <c r="X3" i="2"/>
  <c r="U7" i="2"/>
  <c r="CB8" i="2"/>
  <c r="R5" i="2"/>
  <c r="O5" i="2"/>
  <c r="BH8" i="18"/>
  <c r="BH6" i="18"/>
  <c r="BC6" i="18"/>
  <c r="BC5" i="18"/>
  <c r="F4" i="18"/>
  <c r="AB4" i="18" s="1"/>
  <c r="O6" i="18"/>
  <c r="AB6" i="18" s="1"/>
  <c r="CG3" i="18"/>
  <c r="CG4" i="2"/>
  <c r="CB10" i="2"/>
  <c r="AB10" i="2"/>
  <c r="CB4" i="2"/>
  <c r="R9" i="2"/>
  <c r="CK9" i="2" s="1"/>
  <c r="AP9" i="2" s="1"/>
  <c r="BN1" i="2"/>
  <c r="L3" i="2"/>
  <c r="A2" i="12"/>
  <c r="AB8" i="2"/>
  <c r="BW6" i="2"/>
  <c r="L4" i="2"/>
  <c r="AB4" i="2" s="1"/>
  <c r="BH3" i="18"/>
  <c r="AB60" i="18"/>
  <c r="CK60" i="18"/>
  <c r="AP60" i="18" s="1"/>
  <c r="AB92" i="18"/>
  <c r="CK92" i="18"/>
  <c r="AP92" i="18" s="1"/>
  <c r="AB96" i="18"/>
  <c r="AB65" i="18"/>
  <c r="CK65" i="18"/>
  <c r="AP65" i="18" s="1"/>
  <c r="CG98" i="18"/>
  <c r="BM94" i="18"/>
  <c r="CK99" i="18"/>
  <c r="AP99" i="18" s="1"/>
  <c r="AB99" i="18"/>
  <c r="CK90" i="18"/>
  <c r="AP90" i="18" s="1"/>
  <c r="AB90" i="18"/>
  <c r="BM85" i="18"/>
  <c r="CK34" i="18"/>
  <c r="AP34" i="18" s="1"/>
  <c r="BW89" i="18"/>
  <c r="BW59" i="18"/>
  <c r="AB13" i="18"/>
  <c r="CK13" i="18"/>
  <c r="AP13" i="18" s="1"/>
  <c r="BC11" i="18"/>
  <c r="CK38" i="18"/>
  <c r="AP38" i="18" s="1"/>
  <c r="AB38" i="18"/>
  <c r="BR32" i="18"/>
  <c r="CK3" i="18"/>
  <c r="AP3" i="18" s="1"/>
  <c r="AB3" i="18"/>
  <c r="CK8" i="18"/>
  <c r="AP8" i="18" s="1"/>
  <c r="BW25" i="18"/>
  <c r="BR67" i="18"/>
  <c r="AB32" i="18"/>
  <c r="CK32" i="18"/>
  <c r="AP32" i="18" s="1"/>
  <c r="BW21" i="18"/>
  <c r="CK31" i="18"/>
  <c r="AP31" i="18" s="1"/>
  <c r="AB31" i="18"/>
  <c r="BM20" i="18"/>
  <c r="CK37" i="18"/>
  <c r="AP37" i="18" s="1"/>
  <c r="AB37" i="18"/>
  <c r="CK17" i="18"/>
  <c r="AP17" i="18" s="1"/>
  <c r="AB17" i="18"/>
  <c r="F89" i="18"/>
  <c r="CK91" i="18"/>
  <c r="AP91" i="18" s="1"/>
  <c r="AB52" i="18"/>
  <c r="CK52" i="18"/>
  <c r="AP52" i="18" s="1"/>
  <c r="CK27" i="18"/>
  <c r="AP27" i="18" s="1"/>
  <c r="AB27" i="18"/>
  <c r="AB69" i="18"/>
  <c r="BH74" i="18"/>
  <c r="CK100" i="18"/>
  <c r="AP100" i="18" s="1"/>
  <c r="AB100" i="18"/>
  <c r="CK7" i="18"/>
  <c r="AP7" i="18" s="1"/>
  <c r="AB7" i="18"/>
  <c r="CK21" i="18"/>
  <c r="AP21" i="18" s="1"/>
  <c r="AB21" i="18"/>
  <c r="AB95" i="18"/>
  <c r="CK95" i="18"/>
  <c r="AP95" i="18" s="1"/>
  <c r="AB86" i="18"/>
  <c r="CK86" i="18"/>
  <c r="AP86" i="18" s="1"/>
  <c r="CK80" i="18"/>
  <c r="AP80" i="18" s="1"/>
  <c r="AB80" i="18"/>
  <c r="BM80" i="18"/>
  <c r="AB98" i="18"/>
  <c r="AB79" i="18"/>
  <c r="CK79" i="18"/>
  <c r="AP79" i="18" s="1"/>
  <c r="CK64" i="18"/>
  <c r="AP64" i="18" s="1"/>
  <c r="AB64" i="18"/>
  <c r="CK41" i="18"/>
  <c r="AP41" i="18" s="1"/>
  <c r="AB41" i="18"/>
  <c r="CK87" i="18"/>
  <c r="AP87" i="18" s="1"/>
  <c r="AB87" i="18"/>
  <c r="CG89" i="18"/>
  <c r="BW63" i="18"/>
  <c r="BR46" i="18"/>
  <c r="BR49" i="18"/>
  <c r="CK53" i="18"/>
  <c r="AP53" i="18" s="1"/>
  <c r="AB53" i="18"/>
  <c r="CK22" i="18"/>
  <c r="AP22" i="18" s="1"/>
  <c r="AB22" i="18"/>
  <c r="CB30" i="18"/>
  <c r="AB10" i="18"/>
  <c r="CK10" i="18"/>
  <c r="AP10" i="18" s="1"/>
  <c r="CB35" i="18"/>
  <c r="CB59" i="18"/>
  <c r="BR20" i="18"/>
  <c r="CK30" i="18"/>
  <c r="AP30" i="18" s="1"/>
  <c r="AB30" i="18"/>
  <c r="BH35" i="18"/>
  <c r="BC18" i="18"/>
  <c r="BW26" i="18"/>
  <c r="AB40" i="18"/>
  <c r="CK50" i="18"/>
  <c r="AP50" i="18" s="1"/>
  <c r="AB62" i="18"/>
  <c r="BR97" i="18"/>
  <c r="BR73" i="18"/>
  <c r="AB48" i="18"/>
  <c r="CK48" i="18"/>
  <c r="AP48" i="18" s="1"/>
  <c r="CK67" i="18"/>
  <c r="AP67" i="18" s="1"/>
  <c r="AB67" i="18"/>
  <c r="BH98" i="18"/>
  <c r="BW93" i="18"/>
  <c r="CG79" i="18"/>
  <c r="CG61" i="18"/>
  <c r="BH87" i="18"/>
  <c r="BM54" i="18"/>
  <c r="BR86" i="18"/>
  <c r="BR62" i="18"/>
  <c r="AB78" i="18"/>
  <c r="CK78" i="18"/>
  <c r="AP78" i="18" s="1"/>
  <c r="AB71" i="18"/>
  <c r="CK71" i="18"/>
  <c r="AP71" i="18" s="1"/>
  <c r="BH46" i="18"/>
  <c r="BH34" i="18"/>
  <c r="BC53" i="18"/>
  <c r="BM40" i="18"/>
  <c r="BC22" i="18"/>
  <c r="CB19" i="18"/>
  <c r="CG73" i="18"/>
  <c r="BH26" i="18"/>
  <c r="CK14" i="18"/>
  <c r="AP14" i="18" s="1"/>
  <c r="AB14" i="18"/>
  <c r="BW34" i="18"/>
  <c r="CK57" i="18"/>
  <c r="AP57" i="18" s="1"/>
  <c r="CG41" i="18"/>
  <c r="BC30" i="18"/>
  <c r="AB84" i="18"/>
  <c r="CB15" i="18"/>
  <c r="CG40" i="18"/>
  <c r="BW10" i="18"/>
  <c r="BH7" i="18"/>
  <c r="CB4" i="18"/>
  <c r="BR9" i="18"/>
  <c r="CK55" i="18"/>
  <c r="AP55" i="18" s="1"/>
  <c r="AB55" i="18"/>
  <c r="BH19" i="18"/>
  <c r="CK58" i="18"/>
  <c r="AP58" i="18" s="1"/>
  <c r="AB34" i="18"/>
  <c r="AB59" i="18"/>
  <c r="AB18" i="18"/>
  <c r="CK18" i="18"/>
  <c r="AP18" i="18" s="1"/>
  <c r="AB94" i="18"/>
  <c r="CK94" i="18"/>
  <c r="AP94" i="18" s="1"/>
  <c r="AB97" i="18"/>
  <c r="CK97" i="18"/>
  <c r="AP97" i="18" s="1"/>
  <c r="CK83" i="18"/>
  <c r="AP83" i="18" s="1"/>
  <c r="AB83" i="18"/>
  <c r="BW9" i="18"/>
  <c r="CB10" i="18"/>
  <c r="CG16" i="18"/>
  <c r="AB74" i="18"/>
  <c r="CK74" i="18"/>
  <c r="AP74" i="18" s="1"/>
  <c r="AB33" i="18"/>
  <c r="CK33" i="18"/>
  <c r="AP33" i="18" s="1"/>
  <c r="AB20" i="18"/>
  <c r="CK20" i="18"/>
  <c r="AP20" i="18" s="1"/>
  <c r="AB15" i="18"/>
  <c r="CK15" i="18"/>
  <c r="AP15" i="18" s="1"/>
  <c r="CK28" i="18"/>
  <c r="AP28" i="18" s="1"/>
  <c r="BW69" i="18"/>
  <c r="BM96" i="18"/>
  <c r="BW82" i="18"/>
  <c r="CK56" i="18"/>
  <c r="AP56" i="18" s="1"/>
  <c r="AB56" i="18"/>
  <c r="BW85" i="18"/>
  <c r="BR76" i="18"/>
  <c r="BC97" i="18"/>
  <c r="BR92" i="18"/>
  <c r="BC81" i="18"/>
  <c r="CB56" i="18"/>
  <c r="CB70" i="18"/>
  <c r="CG44" i="18"/>
  <c r="CG84" i="18"/>
  <c r="CK66" i="18"/>
  <c r="AP66" i="18" s="1"/>
  <c r="BH62" i="18"/>
  <c r="BR45" i="18"/>
  <c r="BC83" i="18"/>
  <c r="BC33" i="18"/>
  <c r="CK19" i="18"/>
  <c r="AP19" i="18" s="1"/>
  <c r="AB54" i="18"/>
  <c r="CK54" i="18"/>
  <c r="AP54" i="18" s="1"/>
  <c r="BH39" i="18"/>
  <c r="CG36" i="18"/>
  <c r="AB29" i="18"/>
  <c r="CK29" i="18"/>
  <c r="AP29" i="18" s="1"/>
  <c r="BM31" i="18"/>
  <c r="BC25" i="18"/>
  <c r="CK75" i="18"/>
  <c r="AP75" i="18" s="1"/>
  <c r="BR33" i="18"/>
  <c r="BH56" i="18"/>
  <c r="BC41" i="18"/>
  <c r="CB38" i="18"/>
  <c r="CG28" i="18"/>
  <c r="BW38" i="18"/>
  <c r="BM8" i="18"/>
  <c r="BH38" i="18"/>
  <c r="CG8" i="18"/>
  <c r="CK9" i="18"/>
  <c r="AP9" i="18" s="1"/>
  <c r="AB9" i="18"/>
  <c r="BR5" i="18"/>
  <c r="AB26" i="18"/>
  <c r="CK26" i="18"/>
  <c r="AP26" i="18" s="1"/>
  <c r="CB3" i="18"/>
  <c r="BC10" i="18"/>
  <c r="CG15" i="18"/>
  <c r="BM4" i="18"/>
  <c r="CK82" i="18"/>
  <c r="AP82" i="18" s="1"/>
  <c r="AB82" i="18"/>
  <c r="AB47" i="18"/>
  <c r="AB75" i="18"/>
  <c r="AB8" i="18"/>
  <c r="AB23" i="18"/>
  <c r="CK23" i="18"/>
  <c r="AP23" i="18" s="1"/>
  <c r="BW37" i="18"/>
  <c r="BM7" i="18"/>
  <c r="CG5" i="18"/>
  <c r="BR37" i="18"/>
  <c r="AB42" i="18"/>
  <c r="BW3" i="18"/>
  <c r="BW30" i="18"/>
  <c r="BR8" i="18"/>
  <c r="BM35" i="18"/>
  <c r="AB49" i="18"/>
  <c r="AB70" i="18"/>
  <c r="BW96" i="18"/>
  <c r="CK81" i="18"/>
  <c r="AP81" i="18" s="1"/>
  <c r="AB81" i="18"/>
  <c r="AB46" i="18"/>
  <c r="AB11" i="18"/>
  <c r="CK11" i="18"/>
  <c r="AP11" i="18" s="1"/>
  <c r="BW50" i="18"/>
  <c r="CK35" i="18"/>
  <c r="AP35" i="18" s="1"/>
  <c r="AB35" i="18"/>
  <c r="BM19" i="18"/>
  <c r="BC100" i="18"/>
  <c r="CK85" i="18"/>
  <c r="AP85" i="18" s="1"/>
  <c r="AB85" i="18"/>
  <c r="AB76" i="18"/>
  <c r="CK76" i="18"/>
  <c r="AP76" i="18" s="1"/>
  <c r="AB25" i="18"/>
  <c r="CK25" i="18"/>
  <c r="AP25" i="18" s="1"/>
  <c r="CK12" i="18"/>
  <c r="AP12" i="18" s="1"/>
  <c r="AB12" i="18"/>
  <c r="CK61" i="18"/>
  <c r="AP61" i="18" s="1"/>
  <c r="BM44" i="18"/>
  <c r="BH76" i="18"/>
  <c r="AB43" i="18"/>
  <c r="CK43" i="18"/>
  <c r="AP43" i="18" s="1"/>
  <c r="BM66" i="18"/>
  <c r="CB34" i="18"/>
  <c r="AB5" i="18"/>
  <c r="CK5" i="18"/>
  <c r="AP5" i="18" s="1"/>
  <c r="CB51" i="18"/>
  <c r="CK63" i="18"/>
  <c r="AP63" i="18" s="1"/>
  <c r="AB63" i="18"/>
  <c r="CK93" i="18"/>
  <c r="AP93" i="18" s="1"/>
  <c r="AB93" i="18"/>
  <c r="CB78" i="18"/>
  <c r="CB99" i="18"/>
  <c r="BH95" i="18"/>
  <c r="BH53" i="18"/>
  <c r="CG100" i="18"/>
  <c r="BR89" i="18"/>
  <c r="BR100" i="18"/>
  <c r="CG95" i="18"/>
  <c r="BM91" i="18"/>
  <c r="CB43" i="18"/>
  <c r="BC56" i="18"/>
  <c r="BH43" i="18"/>
  <c r="CK73" i="18"/>
  <c r="AP73" i="18" s="1"/>
  <c r="AB73" i="18"/>
  <c r="BC43" i="18"/>
  <c r="BH23" i="18"/>
  <c r="BR41" i="18"/>
  <c r="BW33" i="18"/>
  <c r="CG20" i="18"/>
  <c r="CG11" i="18"/>
  <c r="AB36" i="18"/>
  <c r="BW18" i="18"/>
  <c r="BH63" i="18"/>
  <c r="CK44" i="18"/>
  <c r="AP44" i="18" s="1"/>
  <c r="AB44" i="18"/>
  <c r="BC29" i="18"/>
  <c r="BH55" i="18"/>
  <c r="CB26" i="18"/>
  <c r="BW71" i="18"/>
  <c r="CK51" i="18"/>
  <c r="AP51" i="18" s="1"/>
  <c r="AB51" i="18"/>
  <c r="CG39" i="18"/>
  <c r="BR36" i="18"/>
  <c r="BC21" i="18"/>
  <c r="BW6" i="18"/>
  <c r="CB27" i="18"/>
  <c r="CB31" i="18"/>
  <c r="CK16" i="18"/>
  <c r="AP16" i="18" s="1"/>
  <c r="AB16" i="18"/>
  <c r="BR25" i="18"/>
  <c r="BR42" i="18"/>
  <c r="BR54" i="18"/>
  <c r="CB7" i="18"/>
  <c r="BC7" i="18"/>
  <c r="CK96" i="18"/>
  <c r="AP96" i="18" s="1"/>
  <c r="CK98" i="18"/>
  <c r="AP98" i="18" s="1"/>
  <c r="AB66" i="18"/>
  <c r="AB39" i="18"/>
  <c r="CG2" i="18"/>
  <c r="AB2" i="18"/>
  <c r="CK2" i="18"/>
  <c r="AP2" i="18" s="1"/>
  <c r="BR2" i="18"/>
  <c r="CK8" i="2"/>
  <c r="AP8" i="2" s="1"/>
  <c r="CK69" i="2"/>
  <c r="AP69" i="2" s="1"/>
  <c r="AB69" i="2"/>
  <c r="AB64" i="2"/>
  <c r="CK93" i="2"/>
  <c r="AP93" i="2" s="1"/>
  <c r="AB93" i="2"/>
  <c r="AB96" i="2"/>
  <c r="CB48" i="2"/>
  <c r="L64" i="2"/>
  <c r="CK64" i="2" s="1"/>
  <c r="AP64" i="2" s="1"/>
  <c r="BW93" i="2"/>
  <c r="BW100" i="2"/>
  <c r="BW65" i="2"/>
  <c r="R3" i="2"/>
  <c r="R79" i="2"/>
  <c r="L55" i="2"/>
  <c r="CK55" i="2" s="1"/>
  <c r="AP55" i="2" s="1"/>
  <c r="U78" i="2"/>
  <c r="CK78" i="2" s="1"/>
  <c r="AP78" i="2" s="1"/>
  <c r="R34" i="2"/>
  <c r="L23" i="2"/>
  <c r="CK10" i="2"/>
  <c r="AP10" i="2" s="1"/>
  <c r="F7" i="2"/>
  <c r="BM56" i="2"/>
  <c r="BH60" i="2"/>
  <c r="CB88" i="2"/>
  <c r="BW90" i="2"/>
  <c r="BH33" i="2"/>
  <c r="CB25" i="2"/>
  <c r="BW25" i="2"/>
  <c r="BR16" i="2"/>
  <c r="BM7" i="2"/>
  <c r="R45" i="2"/>
  <c r="BC12" i="2"/>
  <c r="CB14" i="2"/>
  <c r="BW21" i="2"/>
  <c r="BR8" i="2"/>
  <c r="BC30" i="2"/>
  <c r="BH11" i="2"/>
  <c r="BR73" i="2"/>
  <c r="CB70" i="2"/>
  <c r="CG76" i="2"/>
  <c r="CB63" i="2"/>
  <c r="BM44" i="2"/>
  <c r="BW19" i="2"/>
  <c r="CB12" i="2"/>
  <c r="BH39" i="2"/>
  <c r="BH24" i="2"/>
  <c r="CB9" i="2"/>
  <c r="BW17" i="2"/>
  <c r="BH8" i="2"/>
  <c r="AB80" i="2"/>
  <c r="BH84" i="2"/>
  <c r="CG71" i="2"/>
  <c r="BM96" i="2"/>
  <c r="BW35" i="2"/>
  <c r="BH59" i="2"/>
  <c r="I19" i="2"/>
  <c r="BR10" i="2"/>
  <c r="BW32" i="2"/>
  <c r="BM34" i="2"/>
  <c r="BC10" i="2"/>
  <c r="BH68" i="2"/>
  <c r="BM25" i="2"/>
  <c r="BR58" i="2"/>
  <c r="R44" i="2"/>
  <c r="AB44" i="2" s="1"/>
  <c r="BM20" i="2"/>
  <c r="I90" i="2"/>
  <c r="O68" i="2"/>
  <c r="CK35" i="2"/>
  <c r="AP35" i="2" s="1"/>
  <c r="I92" i="2"/>
  <c r="AB92" i="2" s="1"/>
  <c r="F38" i="2"/>
  <c r="U26" i="2"/>
  <c r="CK26" i="2" s="1"/>
  <c r="AP26" i="2" s="1"/>
  <c r="CK72" i="2"/>
  <c r="AP72" i="2" s="1"/>
  <c r="BH82" i="2"/>
  <c r="CG59" i="2"/>
  <c r="BC49" i="2"/>
  <c r="BW54" i="2"/>
  <c r="BW69" i="2"/>
  <c r="BC31" i="2"/>
  <c r="BW76" i="2"/>
  <c r="BH76" i="2"/>
  <c r="BH87" i="2"/>
  <c r="BC64" i="2"/>
  <c r="BM47" i="2"/>
  <c r="CG51" i="2"/>
  <c r="BC18" i="2"/>
  <c r="CG18" i="2"/>
  <c r="CK12" i="2"/>
  <c r="AP12" i="2" s="1"/>
  <c r="AB12" i="2"/>
  <c r="CB29" i="2"/>
  <c r="BM17" i="2"/>
  <c r="CB64" i="2"/>
  <c r="BH42" i="2"/>
  <c r="CB91" i="2"/>
  <c r="CG86" i="2"/>
  <c r="BH40" i="2"/>
  <c r="BC96" i="2"/>
  <c r="BW46" i="2"/>
  <c r="BH16" i="2"/>
  <c r="BC36" i="2"/>
  <c r="BR18" i="2"/>
  <c r="L75" i="2"/>
  <c r="CK75" i="2" s="1"/>
  <c r="AP75" i="2" s="1"/>
  <c r="CB69" i="2"/>
  <c r="F70" i="2"/>
  <c r="AB70" i="2" s="1"/>
  <c r="CK31" i="2"/>
  <c r="AP31" i="2" s="1"/>
  <c r="CK58" i="2"/>
  <c r="AP58" i="2" s="1"/>
  <c r="BM66" i="2"/>
  <c r="CG94" i="2"/>
  <c r="BH50" i="2"/>
  <c r="BM35" i="2"/>
  <c r="CG8" i="2"/>
  <c r="BH47" i="2"/>
  <c r="CK49" i="2"/>
  <c r="AP49" i="2" s="1"/>
  <c r="CK87" i="2"/>
  <c r="AP87" i="2" s="1"/>
  <c r="AB88" i="2"/>
  <c r="AB58" i="2"/>
  <c r="AB14" i="2"/>
  <c r="AB63" i="2"/>
  <c r="BW66" i="2"/>
  <c r="CB80" i="2"/>
  <c r="BH51" i="2"/>
  <c r="CG37" i="2"/>
  <c r="BM43" i="2"/>
  <c r="CG65" i="2"/>
  <c r="BH32" i="2"/>
  <c r="BR59" i="2"/>
  <c r="O20" i="2"/>
  <c r="CG39" i="2"/>
  <c r="BH27" i="2"/>
  <c r="BR7" i="2"/>
  <c r="BM41" i="2"/>
  <c r="BC5" i="2"/>
  <c r="BR30" i="2"/>
  <c r="CG5" i="2"/>
  <c r="BW40" i="2"/>
  <c r="CB23" i="2"/>
  <c r="CB37" i="2"/>
  <c r="CK84" i="2"/>
  <c r="AP84" i="2" s="1"/>
  <c r="BH54" i="2"/>
  <c r="CK40" i="2"/>
  <c r="AP40" i="2" s="1"/>
  <c r="X21" i="2"/>
  <c r="CK21" i="2" s="1"/>
  <c r="AP21" i="2" s="1"/>
  <c r="BC81" i="2"/>
  <c r="BC83" i="2"/>
  <c r="CB77" i="2"/>
  <c r="AB33" i="2"/>
  <c r="F26" i="2"/>
  <c r="CK37" i="2"/>
  <c r="AP37" i="2" s="1"/>
  <c r="CK32" i="2"/>
  <c r="AP32" i="2" s="1"/>
  <c r="CG54" i="2"/>
  <c r="CG89" i="2"/>
  <c r="BR44" i="2"/>
  <c r="CG50" i="2"/>
  <c r="BW59" i="2"/>
  <c r="BR91" i="2"/>
  <c r="BM93" i="2"/>
  <c r="CG57" i="2"/>
  <c r="BC42" i="2"/>
  <c r="BC35" i="2"/>
  <c r="BM90" i="2"/>
  <c r="BW16" i="2"/>
  <c r="BC28" i="2"/>
  <c r="CG73" i="2"/>
  <c r="BW37" i="2"/>
  <c r="BM52" i="2"/>
  <c r="BC39" i="2"/>
  <c r="CB22" i="2"/>
  <c r="CG23" i="2"/>
  <c r="CG7" i="2"/>
  <c r="AB16" i="2"/>
  <c r="CK16" i="2"/>
  <c r="AP16" i="2" s="1"/>
  <c r="I3" i="2"/>
  <c r="AB98" i="2"/>
  <c r="CK98" i="2"/>
  <c r="AP98" i="2" s="1"/>
  <c r="AB59" i="2"/>
  <c r="CK59" i="2"/>
  <c r="AP59" i="2" s="1"/>
  <c r="CK41" i="2"/>
  <c r="AP41" i="2" s="1"/>
  <c r="AB41" i="2"/>
  <c r="AB60" i="2"/>
  <c r="AB57" i="2"/>
  <c r="AB49" i="2"/>
  <c r="CK92" i="2"/>
  <c r="AP92" i="2" s="1"/>
  <c r="AB31" i="2"/>
  <c r="CK70" i="2"/>
  <c r="AP70" i="2" s="1"/>
  <c r="AB50" i="2"/>
  <c r="CK50" i="2"/>
  <c r="AP50" i="2" s="1"/>
  <c r="AB22" i="2"/>
  <c r="CK22" i="2"/>
  <c r="AP22" i="2" s="1"/>
  <c r="CK24" i="2"/>
  <c r="AP24" i="2" s="1"/>
  <c r="AB24" i="2"/>
  <c r="CK25" i="2"/>
  <c r="AP25" i="2" s="1"/>
  <c r="AB25" i="2"/>
  <c r="I79" i="2"/>
  <c r="CK67" i="2"/>
  <c r="AP67" i="2" s="1"/>
  <c r="AB67" i="2"/>
  <c r="AB39" i="2"/>
  <c r="CK39" i="2"/>
  <c r="AP39" i="2" s="1"/>
  <c r="AB83" i="2"/>
  <c r="CK83" i="2"/>
  <c r="AP83" i="2" s="1"/>
  <c r="CK52" i="2"/>
  <c r="AP52" i="2" s="1"/>
  <c r="AB52" i="2"/>
  <c r="AB40" i="2"/>
  <c r="AB47" i="2"/>
  <c r="CK47" i="2"/>
  <c r="AP47" i="2" s="1"/>
  <c r="AB43" i="2"/>
  <c r="CK43" i="2"/>
  <c r="AP43" i="2" s="1"/>
  <c r="AB35" i="2"/>
  <c r="CK30" i="2"/>
  <c r="AP30" i="2" s="1"/>
  <c r="CK91" i="2"/>
  <c r="AP91" i="2" s="1"/>
  <c r="AB91" i="2"/>
  <c r="AB97" i="2"/>
  <c r="CK97" i="2"/>
  <c r="AP97" i="2" s="1"/>
  <c r="AB15" i="2"/>
  <c r="CK15" i="2"/>
  <c r="AP15" i="2" s="1"/>
  <c r="AB68" i="2"/>
  <c r="CK68" i="2"/>
  <c r="AP68" i="2" s="1"/>
  <c r="CK82" i="2"/>
  <c r="AP82" i="2" s="1"/>
  <c r="AB82" i="2"/>
  <c r="CK74" i="2"/>
  <c r="AP74" i="2" s="1"/>
  <c r="AB74" i="2"/>
  <c r="CK88" i="2"/>
  <c r="AP88" i="2" s="1"/>
  <c r="CK62" i="2"/>
  <c r="AP62" i="2" s="1"/>
  <c r="AB71" i="2"/>
  <c r="CK71" i="2"/>
  <c r="AP71" i="2" s="1"/>
  <c r="CK48" i="2"/>
  <c r="AP48" i="2" s="1"/>
  <c r="AB48" i="2"/>
  <c r="AB54" i="2"/>
  <c r="CK54" i="2"/>
  <c r="AP54" i="2" s="1"/>
  <c r="AB36" i="2"/>
  <c r="CK36" i="2"/>
  <c r="AP36" i="2" s="1"/>
  <c r="AB29" i="2"/>
  <c r="CK29" i="2"/>
  <c r="AP29" i="2" s="1"/>
  <c r="I6" i="2"/>
  <c r="CK33" i="2"/>
  <c r="AP33" i="2" s="1"/>
  <c r="AB76" i="2"/>
  <c r="CK77" i="2"/>
  <c r="AP77" i="2" s="1"/>
  <c r="AB56" i="2"/>
  <c r="CK56" i="2"/>
  <c r="AP56" i="2" s="1"/>
  <c r="AB34" i="2"/>
  <c r="CK34" i="2"/>
  <c r="AP34" i="2" s="1"/>
  <c r="CK38" i="2"/>
  <c r="AP38" i="2" s="1"/>
  <c r="AB38" i="2"/>
  <c r="AB66" i="2"/>
  <c r="CK66" i="2"/>
  <c r="AP66" i="2" s="1"/>
  <c r="CK73" i="2"/>
  <c r="AP73" i="2" s="1"/>
  <c r="AB73" i="2"/>
  <c r="AB99" i="2"/>
  <c r="CK99" i="2"/>
  <c r="AP99" i="2" s="1"/>
  <c r="CK95" i="2"/>
  <c r="AP95" i="2" s="1"/>
  <c r="AB95" i="2"/>
  <c r="CK61" i="2"/>
  <c r="AP61" i="2" s="1"/>
  <c r="AB61" i="2"/>
  <c r="CK65" i="2"/>
  <c r="AP65" i="2" s="1"/>
  <c r="AB65" i="2"/>
  <c r="AB51" i="2"/>
  <c r="CK51" i="2"/>
  <c r="AP51" i="2" s="1"/>
  <c r="AB37" i="2"/>
  <c r="CK100" i="2"/>
  <c r="AP100" i="2" s="1"/>
  <c r="AB100" i="2"/>
  <c r="AB81" i="2"/>
  <c r="CK81" i="2"/>
  <c r="AP81" i="2" s="1"/>
  <c r="AB46" i="2"/>
  <c r="CK46" i="2"/>
  <c r="AP46" i="2" s="1"/>
  <c r="CK85" i="2"/>
  <c r="AP85" i="2" s="1"/>
  <c r="CK89" i="2"/>
  <c r="AP89" i="2" s="1"/>
  <c r="AB89" i="2"/>
  <c r="CK86" i="2"/>
  <c r="AP86" i="2" s="1"/>
  <c r="AB86" i="2"/>
  <c r="AB45" i="2"/>
  <c r="CK45" i="2"/>
  <c r="AP45" i="2" s="1"/>
  <c r="AB17" i="2"/>
  <c r="AB30" i="2"/>
  <c r="AB23" i="2"/>
  <c r="CK23" i="2"/>
  <c r="AP23" i="2" s="1"/>
  <c r="BS1" i="2"/>
  <c r="BO1" i="2"/>
  <c r="AB2" i="2"/>
  <c r="CK2" i="2"/>
  <c r="AP2" i="2" s="1"/>
  <c r="BM2" i="2"/>
  <c r="CK19" i="2" l="1"/>
  <c r="AP19" i="2" s="1"/>
  <c r="AB9" i="2"/>
  <c r="AB21" i="2"/>
  <c r="CK20" i="2"/>
  <c r="AP20" i="2" s="1"/>
  <c r="CK18" i="2"/>
  <c r="AP18" i="2" s="1"/>
  <c r="CK11" i="2"/>
  <c r="AP11" i="2" s="1"/>
  <c r="AB20" i="2"/>
  <c r="K2" i="12"/>
  <c r="L2" i="12" s="1"/>
  <c r="B2" i="12"/>
  <c r="D2" i="12" s="1"/>
  <c r="AB5" i="2"/>
  <c r="CK4" i="18"/>
  <c r="AP4" i="18" s="1"/>
  <c r="S1" i="2"/>
  <c r="T1" i="2" s="1"/>
  <c r="Q1" i="2"/>
  <c r="CK13" i="2"/>
  <c r="AP13" i="2" s="1"/>
  <c r="AB7" i="2"/>
  <c r="CK5" i="2"/>
  <c r="AP5" i="2" s="1"/>
  <c r="AB13" i="2"/>
  <c r="CK4" i="2"/>
  <c r="AP4" i="2" s="1"/>
  <c r="AB3" i="2"/>
  <c r="CK6" i="18"/>
  <c r="AP6" i="18" s="1"/>
  <c r="CK7" i="2"/>
  <c r="AP7" i="2" s="1"/>
  <c r="CK89" i="18"/>
  <c r="AP89" i="18" s="1"/>
  <c r="AB89" i="18"/>
  <c r="AB78" i="2"/>
  <c r="AB75" i="2"/>
  <c r="CK44" i="2"/>
  <c r="AP44" i="2" s="1"/>
  <c r="AB26" i="2"/>
  <c r="AB55" i="2"/>
  <c r="AB19" i="2"/>
  <c r="AB90" i="2"/>
  <c r="CK90" i="2"/>
  <c r="AP90" i="2" s="1"/>
  <c r="CK3" i="2"/>
  <c r="AP3" i="2" s="1"/>
  <c r="CK79" i="2"/>
  <c r="AP79" i="2" s="1"/>
  <c r="AB79" i="2"/>
  <c r="CK6" i="2"/>
  <c r="AP6" i="2" s="1"/>
  <c r="AB6" i="2"/>
  <c r="BX1" i="2"/>
  <c r="BT1" i="2"/>
  <c r="AF2" i="12" l="1"/>
  <c r="AG2" i="12"/>
  <c r="AQ2" i="12"/>
  <c r="AT2" i="12"/>
  <c r="AH2" i="12"/>
  <c r="E2" i="12"/>
  <c r="F2" i="12" s="1"/>
  <c r="AR2" i="12"/>
  <c r="I2" i="12"/>
  <c r="J2" i="12"/>
  <c r="C2" i="12"/>
  <c r="AS2" i="12"/>
  <c r="U1" i="2"/>
  <c r="CB1" i="2" s="1"/>
  <c r="CC1" i="2" s="1"/>
  <c r="V1" i="2"/>
  <c r="D1" i="18" s="1"/>
  <c r="AE2" i="12"/>
  <c r="A3" i="12" a="1"/>
  <c r="W1" i="2" l="1"/>
  <c r="Y1" i="2"/>
  <c r="X1" i="2"/>
  <c r="CG1" i="2" s="1"/>
  <c r="CH1" i="2" s="1"/>
  <c r="A3" i="12"/>
  <c r="K3" i="12" s="1"/>
  <c r="L3" i="12" s="1"/>
  <c r="T2" i="12"/>
  <c r="U2" i="12"/>
  <c r="S2" i="12"/>
  <c r="BY1" i="2"/>
  <c r="V2" i="12"/>
  <c r="G2" i="12"/>
  <c r="H2" i="12" s="1"/>
  <c r="E1" i="18"/>
  <c r="G1" i="18"/>
  <c r="F1" i="18"/>
  <c r="BC1" i="18" s="1"/>
  <c r="AA1" i="2"/>
  <c r="CJ1" i="2" s="1"/>
  <c r="CI1" i="2" s="1"/>
  <c r="Z1" i="2"/>
  <c r="CD1" i="2" l="1"/>
  <c r="B3" i="12"/>
  <c r="AT3" i="12" s="1"/>
  <c r="AE90" i="2"/>
  <c r="AI75" i="2"/>
  <c r="AK38" i="2"/>
  <c r="AI3" i="2"/>
  <c r="AO94" i="2"/>
  <c r="AI72" i="2"/>
  <c r="AK32" i="2"/>
  <c r="AI56" i="2"/>
  <c r="AE100" i="2"/>
  <c r="AO48" i="2"/>
  <c r="AK14" i="2"/>
  <c r="AO89" i="2"/>
  <c r="AE56" i="2"/>
  <c r="AI20" i="2"/>
  <c r="AO13" i="2"/>
  <c r="AG85" i="2"/>
  <c r="AK8" i="2"/>
  <c r="AM79" i="2"/>
  <c r="AO44" i="2"/>
  <c r="AO65" i="2"/>
  <c r="AM11" i="2"/>
  <c r="AO73" i="2"/>
  <c r="AK31" i="2"/>
  <c r="AI29" i="2"/>
  <c r="AM46" i="2"/>
  <c r="AI81" i="2"/>
  <c r="AI83" i="2"/>
  <c r="AM55" i="2"/>
  <c r="AE20" i="2"/>
  <c r="AO21" i="2"/>
  <c r="AK2" i="2"/>
  <c r="AM65" i="2"/>
  <c r="AM24" i="2"/>
  <c r="AM15" i="2"/>
  <c r="AG57" i="2"/>
  <c r="AM2" i="2"/>
  <c r="AG9" i="2"/>
  <c r="Z3" i="12" s="1"/>
  <c r="AM12" i="2"/>
  <c r="AE16" i="2"/>
  <c r="AI59" i="2"/>
  <c r="AG2" i="2"/>
  <c r="AE50" i="2"/>
  <c r="AK37" i="2"/>
  <c r="AE75" i="2"/>
  <c r="AK47" i="2"/>
  <c r="AK33" i="2"/>
  <c r="AM81" i="2"/>
  <c r="AO67" i="2"/>
  <c r="AK52" i="2"/>
  <c r="AE96" i="2"/>
  <c r="AK77" i="2"/>
  <c r="AM64" i="2"/>
  <c r="AI38" i="2"/>
  <c r="AE69" i="2"/>
  <c r="AK44" i="2"/>
  <c r="AG35" i="2"/>
  <c r="AI93" i="2"/>
  <c r="AK89" i="2"/>
  <c r="AG98" i="2"/>
  <c r="AI44" i="2"/>
  <c r="AI61" i="2"/>
  <c r="AM82" i="2"/>
  <c r="AO38" i="2"/>
  <c r="AK22" i="2"/>
  <c r="AG78" i="2"/>
  <c r="AO83" i="2"/>
  <c r="AE88" i="2"/>
  <c r="AO2" i="2"/>
  <c r="AE2" i="2"/>
  <c r="AI84" i="2"/>
  <c r="AM4" i="2"/>
  <c r="AI4" i="2"/>
  <c r="AO91" i="2"/>
  <c r="AG64" i="2"/>
  <c r="AI32" i="2"/>
  <c r="AI8" i="2"/>
  <c r="AE76" i="2"/>
  <c r="AM32" i="2"/>
  <c r="AI66" i="2"/>
  <c r="AI95" i="2"/>
  <c r="AE73" i="2"/>
  <c r="AM94" i="2"/>
  <c r="AE60" i="2"/>
  <c r="AO49" i="2"/>
  <c r="AI86" i="2"/>
  <c r="AI6" i="2"/>
  <c r="AO95" i="2"/>
  <c r="AI55" i="2"/>
  <c r="AE59" i="2"/>
  <c r="AG43" i="2"/>
  <c r="AE91" i="2"/>
  <c r="AI37" i="2"/>
  <c r="AE32" i="2"/>
  <c r="AG14" i="2"/>
  <c r="AI46" i="2"/>
  <c r="AK50" i="2"/>
  <c r="AE8" i="2"/>
  <c r="AG25" i="2"/>
  <c r="AE97" i="2"/>
  <c r="AE64" i="2"/>
  <c r="AO85" i="2"/>
  <c r="AK27" i="2"/>
  <c r="AM87" i="2"/>
  <c r="AI21" i="2"/>
  <c r="AO14" i="2"/>
  <c r="AK5" i="2"/>
  <c r="AG67" i="2"/>
  <c r="AE39" i="2"/>
  <c r="AE27" i="2"/>
  <c r="AG46" i="2"/>
  <c r="AI91" i="2"/>
  <c r="AI73" i="2"/>
  <c r="AE62" i="2"/>
  <c r="AM100" i="2"/>
  <c r="AK72" i="2"/>
  <c r="AG24" i="2"/>
  <c r="AO35" i="2"/>
  <c r="AK90" i="2"/>
  <c r="AG53" i="2"/>
  <c r="AK48" i="2"/>
  <c r="AK97" i="2"/>
  <c r="AO59" i="2"/>
  <c r="AI30" i="2"/>
  <c r="AI18" i="2"/>
  <c r="AM41" i="2"/>
  <c r="AO37" i="2"/>
  <c r="AK29" i="2"/>
  <c r="AO66" i="2"/>
  <c r="AE4" i="2"/>
  <c r="AG75" i="2"/>
  <c r="AG34" i="2"/>
  <c r="AO5" i="2"/>
  <c r="AK54" i="2"/>
  <c r="AM3" i="2"/>
  <c r="AM86" i="2"/>
  <c r="AM33" i="2"/>
  <c r="AE48" i="2"/>
  <c r="AG38" i="2"/>
  <c r="AE78" i="2"/>
  <c r="AM70" i="2"/>
  <c r="AI98" i="2"/>
  <c r="AG17" i="2"/>
  <c r="AE77" i="2"/>
  <c r="AM63" i="2"/>
  <c r="AI41" i="2"/>
  <c r="AG3" i="2"/>
  <c r="AI51" i="2"/>
  <c r="AK76" i="2"/>
  <c r="AI94" i="2"/>
  <c r="AE28" i="2"/>
  <c r="AK16" i="2"/>
  <c r="AE68" i="2"/>
  <c r="AK19" i="2"/>
  <c r="AK41" i="2"/>
  <c r="AO72" i="2"/>
  <c r="AM26" i="2"/>
  <c r="AE94" i="2"/>
  <c r="AI69" i="2"/>
  <c r="AI43" i="2"/>
  <c r="AK84" i="2"/>
  <c r="AG74" i="2"/>
  <c r="AK95" i="2"/>
  <c r="AM71" i="2"/>
  <c r="AG18" i="2"/>
  <c r="AI77" i="2"/>
  <c r="AI58" i="2"/>
  <c r="AO60" i="2"/>
  <c r="AG94" i="2"/>
  <c r="AK23" i="2"/>
  <c r="AI74" i="2"/>
  <c r="AI22" i="2"/>
  <c r="AM17" i="2"/>
  <c r="AG52" i="2"/>
  <c r="AO84" i="2"/>
  <c r="AK61" i="2"/>
  <c r="AI7" i="2"/>
  <c r="AI65" i="2"/>
  <c r="AK24" i="2"/>
  <c r="AO4" i="2"/>
  <c r="AK59" i="2"/>
  <c r="AO99" i="2"/>
  <c r="AI39" i="2"/>
  <c r="AE34" i="2"/>
  <c r="AG39" i="2"/>
  <c r="AE21" i="2"/>
  <c r="AK15" i="2"/>
  <c r="AE6" i="2"/>
  <c r="AM7" i="2"/>
  <c r="AI79" i="2"/>
  <c r="AE52" i="2"/>
  <c r="AI97" i="2"/>
  <c r="AI10" i="2"/>
  <c r="AE98" i="2"/>
  <c r="AO24" i="2"/>
  <c r="AO56" i="2"/>
  <c r="AM43" i="2"/>
  <c r="AG22" i="2"/>
  <c r="AG31" i="2"/>
  <c r="AI42" i="2"/>
  <c r="AE17" i="2"/>
  <c r="AK88" i="2"/>
  <c r="AK20" i="2"/>
  <c r="AE89" i="2"/>
  <c r="AM68" i="2"/>
  <c r="AI28" i="2"/>
  <c r="AO97" i="2"/>
  <c r="AK40" i="2"/>
  <c r="AG33" i="2"/>
  <c r="AK21" i="2"/>
  <c r="AO12" i="2"/>
  <c r="AK73" i="2"/>
  <c r="AO93" i="2"/>
  <c r="AI63" i="2"/>
  <c r="AG50" i="2"/>
  <c r="AE99" i="2"/>
  <c r="AG83" i="2"/>
  <c r="AE11" i="2"/>
  <c r="AG69" i="2"/>
  <c r="AK63" i="2"/>
  <c r="AE57" i="2"/>
  <c r="AK66" i="2"/>
  <c r="AG47" i="2"/>
  <c r="AG37" i="2"/>
  <c r="AO19" i="2"/>
  <c r="AI19" i="2"/>
  <c r="AO63" i="2"/>
  <c r="AK68" i="2"/>
  <c r="AI26" i="2"/>
  <c r="AK34" i="2"/>
  <c r="AO27" i="2"/>
  <c r="AK78" i="2"/>
  <c r="AI68" i="2"/>
  <c r="AG56" i="2"/>
  <c r="AG41" i="2"/>
  <c r="AG54" i="2"/>
  <c r="AO57" i="2"/>
  <c r="AM45" i="2"/>
  <c r="AO41" i="2"/>
  <c r="AG28" i="2"/>
  <c r="AM97" i="2"/>
  <c r="AE13" i="2"/>
  <c r="AI47" i="2"/>
  <c r="AI53" i="2"/>
  <c r="AE82" i="2"/>
  <c r="AI45" i="2"/>
  <c r="AO75" i="2"/>
  <c r="AM72" i="2"/>
  <c r="AO98" i="2"/>
  <c r="AI76" i="2"/>
  <c r="AI62" i="2"/>
  <c r="AK94" i="2"/>
  <c r="AE37" i="2"/>
  <c r="AK70" i="2"/>
  <c r="AG32" i="2"/>
  <c r="AE63" i="2"/>
  <c r="AG59" i="2"/>
  <c r="AG61" i="2"/>
  <c r="AG40" i="2"/>
  <c r="AG97" i="2"/>
  <c r="AM28" i="2"/>
  <c r="AO29" i="2"/>
  <c r="AG99" i="2"/>
  <c r="AM69" i="2"/>
  <c r="AI92" i="2"/>
  <c r="AM9" i="2"/>
  <c r="AG27" i="2"/>
  <c r="AK71" i="2"/>
  <c r="AM35" i="2"/>
  <c r="AG77" i="2"/>
  <c r="AO50" i="2"/>
  <c r="AE5" i="2"/>
  <c r="AO81" i="2"/>
  <c r="AE53" i="2"/>
  <c r="AM88" i="2"/>
  <c r="AM80" i="2"/>
  <c r="AK69" i="2"/>
  <c r="AE79" i="2"/>
  <c r="AM56" i="2"/>
  <c r="AK100" i="2"/>
  <c r="AG86" i="2"/>
  <c r="AO52" i="2"/>
  <c r="AE83" i="2"/>
  <c r="AM58" i="2"/>
  <c r="AO17" i="2"/>
  <c r="AE26" i="2"/>
  <c r="AM66" i="2"/>
  <c r="AO23" i="2"/>
  <c r="AO40" i="2"/>
  <c r="AM44" i="2"/>
  <c r="AI99" i="2"/>
  <c r="AE86" i="2"/>
  <c r="AG81" i="2"/>
  <c r="AI48" i="2"/>
  <c r="AM50" i="2"/>
  <c r="AK81" i="2"/>
  <c r="AG6" i="2"/>
  <c r="AI34" i="2"/>
  <c r="AE66" i="2"/>
  <c r="AK65" i="2"/>
  <c r="AO34" i="2"/>
  <c r="AE87" i="2"/>
  <c r="AI27" i="2"/>
  <c r="AM61" i="2"/>
  <c r="AG100" i="2"/>
  <c r="AM77" i="2"/>
  <c r="AK10" i="2"/>
  <c r="AO32" i="2"/>
  <c r="AI14" i="2"/>
  <c r="AE70" i="2"/>
  <c r="AK99" i="2"/>
  <c r="AO30" i="2"/>
  <c r="AK80" i="2"/>
  <c r="AK93" i="2"/>
  <c r="AM98" i="2"/>
  <c r="AO54" i="2"/>
  <c r="AG84" i="2"/>
  <c r="AO42" i="2"/>
  <c r="AI24" i="2"/>
  <c r="AO8" i="2"/>
  <c r="AO92" i="2"/>
  <c r="AG49" i="2"/>
  <c r="AG7" i="2"/>
  <c r="AE36" i="2"/>
  <c r="AM78" i="2"/>
  <c r="AO39" i="2"/>
  <c r="AG4" i="2"/>
  <c r="AM18" i="2"/>
  <c r="AI2" i="2"/>
  <c r="AI35" i="2"/>
  <c r="AG48" i="2"/>
  <c r="AO78" i="2"/>
  <c r="AO88" i="2"/>
  <c r="AI100" i="2"/>
  <c r="AI33" i="2"/>
  <c r="AI71" i="2"/>
  <c r="AK87" i="2"/>
  <c r="AO33" i="2"/>
  <c r="AO53" i="2"/>
  <c r="AM90" i="2"/>
  <c r="AE18" i="2"/>
  <c r="AM48" i="2"/>
  <c r="AK56" i="2"/>
  <c r="AI70" i="2"/>
  <c r="AM76" i="2"/>
  <c r="AI5" i="2"/>
  <c r="AE61" i="2"/>
  <c r="AO80" i="2"/>
  <c r="AI15" i="2"/>
  <c r="AG36" i="2"/>
  <c r="AM20" i="2"/>
  <c r="AG63" i="2"/>
  <c r="AE41" i="2"/>
  <c r="AO76" i="2"/>
  <c r="AE58" i="2"/>
  <c r="AO62" i="2"/>
  <c r="AO18" i="2"/>
  <c r="AK64" i="2"/>
  <c r="AK30" i="2"/>
  <c r="AI60" i="2"/>
  <c r="AE46" i="2"/>
  <c r="AG29" i="2"/>
  <c r="AK11" i="2"/>
  <c r="AG82" i="2"/>
  <c r="AO10" i="2"/>
  <c r="AK96" i="2"/>
  <c r="AO20" i="2"/>
  <c r="AI25" i="2"/>
  <c r="AO87" i="2"/>
  <c r="BD1" i="18"/>
  <c r="AO100" i="2"/>
  <c r="AG92" i="2"/>
  <c r="AK74" i="2"/>
  <c r="AK62" i="2"/>
  <c r="AG95" i="2"/>
  <c r="AI12" i="2"/>
  <c r="AK39" i="2"/>
  <c r="AM99" i="2"/>
  <c r="AG26" i="2"/>
  <c r="AO31" i="2"/>
  <c r="AE33" i="2"/>
  <c r="AI16" i="2"/>
  <c r="AM37" i="2"/>
  <c r="AM96" i="2"/>
  <c r="AG68" i="2"/>
  <c r="AO68" i="2"/>
  <c r="AO43" i="2"/>
  <c r="AO7" i="2"/>
  <c r="AE84" i="2"/>
  <c r="AM74" i="2"/>
  <c r="AM25" i="2"/>
  <c r="AK18" i="2"/>
  <c r="AI9" i="2"/>
  <c r="AE30" i="2"/>
  <c r="AE47" i="2"/>
  <c r="AE40" i="2"/>
  <c r="AI89" i="2"/>
  <c r="AM73" i="2"/>
  <c r="AK26" i="2"/>
  <c r="AE43" i="2"/>
  <c r="AM47" i="2"/>
  <c r="AE51" i="2"/>
  <c r="AM16" i="2"/>
  <c r="AM52" i="2"/>
  <c r="AE22" i="2"/>
  <c r="AK45" i="2"/>
  <c r="AO96" i="2"/>
  <c r="AI40" i="2"/>
  <c r="AE25" i="2"/>
  <c r="AO58" i="2"/>
  <c r="AO69" i="2"/>
  <c r="AI88" i="2"/>
  <c r="AG45" i="2"/>
  <c r="AG76" i="2"/>
  <c r="AE12" i="2"/>
  <c r="AI78" i="2"/>
  <c r="AG91" i="2"/>
  <c r="AG65" i="2"/>
  <c r="AK67" i="2"/>
  <c r="AO82" i="2"/>
  <c r="AK51" i="2"/>
  <c r="AG73" i="2"/>
  <c r="AM8" i="2"/>
  <c r="AE42" i="2"/>
  <c r="AE72" i="2"/>
  <c r="AG23" i="2"/>
  <c r="AO86" i="2"/>
  <c r="AO6" i="2"/>
  <c r="AM5" i="2"/>
  <c r="AI96" i="2"/>
  <c r="AG71" i="2"/>
  <c r="AI80" i="2"/>
  <c r="AI67" i="2"/>
  <c r="AG89" i="2"/>
  <c r="AM27" i="2"/>
  <c r="AI82" i="2"/>
  <c r="AM21" i="2"/>
  <c r="AG96" i="2"/>
  <c r="AO36" i="2"/>
  <c r="AK9" i="2"/>
  <c r="AG16" i="2"/>
  <c r="AI54" i="2"/>
  <c r="AK83" i="2"/>
  <c r="AO47" i="2"/>
  <c r="AM85" i="2"/>
  <c r="AO11" i="2"/>
  <c r="AG15" i="2"/>
  <c r="AO26" i="2"/>
  <c r="AG19" i="2"/>
  <c r="AG51" i="2"/>
  <c r="AK13" i="2"/>
  <c r="AK91" i="2"/>
  <c r="AO9" i="2"/>
  <c r="AM53" i="2"/>
  <c r="AE44" i="2"/>
  <c r="AE19" i="2"/>
  <c r="AK98" i="2"/>
  <c r="AG44" i="2"/>
  <c r="AI36" i="2"/>
  <c r="AI64" i="2"/>
  <c r="AG90" i="2"/>
  <c r="AE29" i="2"/>
  <c r="AM93" i="2"/>
  <c r="AG93" i="2"/>
  <c r="AG10" i="2"/>
  <c r="AK6" i="2"/>
  <c r="AM67" i="2"/>
  <c r="AK55" i="2"/>
  <c r="AM6" i="2"/>
  <c r="AE80" i="2"/>
  <c r="J1" i="18"/>
  <c r="H1" i="18"/>
  <c r="I1" i="18"/>
  <c r="BH1" i="18" s="1"/>
  <c r="AE81" i="2"/>
  <c r="AO70" i="2"/>
  <c r="AO61" i="2"/>
  <c r="AE45" i="2"/>
  <c r="AE49" i="2"/>
  <c r="AK92" i="2"/>
  <c r="AE24" i="2"/>
  <c r="AM36" i="2"/>
  <c r="AG58" i="2"/>
  <c r="AO25" i="2"/>
  <c r="AG12" i="2"/>
  <c r="AI52" i="2"/>
  <c r="AG66" i="2"/>
  <c r="AM10" i="2"/>
  <c r="AK79" i="2"/>
  <c r="AE93" i="2"/>
  <c r="AO45" i="2"/>
  <c r="AG70" i="2"/>
  <c r="AE14" i="2"/>
  <c r="AI49" i="2"/>
  <c r="AM22" i="2"/>
  <c r="AM49" i="2"/>
  <c r="AM19" i="2"/>
  <c r="AO28" i="2"/>
  <c r="AG21" i="2"/>
  <c r="AE67" i="2"/>
  <c r="AE10" i="2"/>
  <c r="AM31" i="2"/>
  <c r="AO71" i="2"/>
  <c r="AM14" i="2"/>
  <c r="AG11" i="2"/>
  <c r="AK3" i="2"/>
  <c r="AM51" i="2"/>
  <c r="AG79" i="2"/>
  <c r="AG88" i="2"/>
  <c r="AG60" i="2"/>
  <c r="AK85" i="2"/>
  <c r="AI57" i="2"/>
  <c r="AK36" i="2"/>
  <c r="AG13" i="2"/>
  <c r="AE71" i="2"/>
  <c r="AM40" i="2"/>
  <c r="AO77" i="2"/>
  <c r="AM84" i="2"/>
  <c r="AG72" i="2"/>
  <c r="AK7" i="2"/>
  <c r="AO64" i="2"/>
  <c r="AO55" i="2"/>
  <c r="AM60" i="2"/>
  <c r="AO90" i="2"/>
  <c r="AK42" i="2"/>
  <c r="AM89" i="2"/>
  <c r="AG42" i="2"/>
  <c r="AM29" i="2"/>
  <c r="AK46" i="2"/>
  <c r="AE3" i="2"/>
  <c r="AI11" i="2"/>
  <c r="AO3" i="2"/>
  <c r="AI23" i="2"/>
  <c r="AO51" i="2"/>
  <c r="AK82" i="2"/>
  <c r="AM91" i="2"/>
  <c r="AE7" i="2"/>
  <c r="AG20" i="2"/>
  <c r="AE31" i="2"/>
  <c r="AM38" i="2"/>
  <c r="AG80" i="2"/>
  <c r="AE38" i="2"/>
  <c r="AE35" i="2"/>
  <c r="AK49" i="2"/>
  <c r="AE65" i="2"/>
  <c r="AO15" i="2"/>
  <c r="AI31" i="2"/>
  <c r="AG55" i="2"/>
  <c r="AG87" i="2"/>
  <c r="AE95" i="2"/>
  <c r="AK86" i="2"/>
  <c r="AK57" i="2"/>
  <c r="AO79" i="2"/>
  <c r="AK60" i="2"/>
  <c r="AK17" i="2"/>
  <c r="AG8" i="2"/>
  <c r="AG30" i="2"/>
  <c r="AE9" i="2"/>
  <c r="AK28" i="2"/>
  <c r="AK4" i="2"/>
  <c r="AM95" i="2"/>
  <c r="AK35" i="2"/>
  <c r="AM57" i="2"/>
  <c r="AI50" i="2"/>
  <c r="AK25" i="2"/>
  <c r="AM59" i="2"/>
  <c r="AM30" i="2"/>
  <c r="AK12" i="2"/>
  <c r="AM75" i="2"/>
  <c r="AE74" i="2"/>
  <c r="AK58" i="2"/>
  <c r="AM42" i="2"/>
  <c r="AM39" i="2"/>
  <c r="AI90" i="2"/>
  <c r="AE54" i="2"/>
  <c r="AM13" i="2"/>
  <c r="AM62" i="2"/>
  <c r="AI87" i="2"/>
  <c r="AM54" i="2"/>
  <c r="AG5" i="2"/>
  <c r="AE92" i="2"/>
  <c r="AM83" i="2"/>
  <c r="AK53" i="2"/>
  <c r="AE23" i="2"/>
  <c r="AE55" i="2"/>
  <c r="AI85" i="2"/>
  <c r="AG62" i="2"/>
  <c r="AO74" i="2"/>
  <c r="AK75" i="2"/>
  <c r="AO16" i="2"/>
  <c r="AO22" i="2"/>
  <c r="AI17" i="2"/>
  <c r="AM23" i="2"/>
  <c r="AE15" i="2"/>
  <c r="AM34" i="2"/>
  <c r="AM92" i="2"/>
  <c r="AK43" i="2"/>
  <c r="AO46" i="2"/>
  <c r="AI13" i="2"/>
  <c r="AE85" i="2"/>
  <c r="D3" i="12"/>
  <c r="AQ3" i="12"/>
  <c r="AF3" i="12"/>
  <c r="C3" i="12"/>
  <c r="I3" i="12"/>
  <c r="E3" i="12"/>
  <c r="G3" i="12" s="1"/>
  <c r="AR3" i="12"/>
  <c r="J3" i="12"/>
  <c r="AG3" i="12"/>
  <c r="AH3" i="12"/>
  <c r="AS3" i="12"/>
  <c r="A4" i="12" a="1"/>
  <c r="AE3" i="12" l="1"/>
  <c r="AA3" i="12"/>
  <c r="AC3" i="12"/>
  <c r="AD3" i="12"/>
  <c r="Y3" i="12"/>
  <c r="AB3" i="12"/>
  <c r="AA2" i="12"/>
  <c r="AB2" i="12"/>
  <c r="Y2" i="12"/>
  <c r="AD2" i="12"/>
  <c r="AC2" i="12"/>
  <c r="Z2" i="12"/>
  <c r="AT2" i="2"/>
  <c r="AT75" i="2"/>
  <c r="AT50" i="2"/>
  <c r="AT44" i="2"/>
  <c r="AT80" i="2"/>
  <c r="AT76" i="2"/>
  <c r="AT100" i="2"/>
  <c r="AT70" i="2"/>
  <c r="AT40" i="2"/>
  <c r="AT56" i="2"/>
  <c r="AT20" i="2"/>
  <c r="AT26" i="2"/>
  <c r="AT79" i="2"/>
  <c r="AT96" i="2"/>
  <c r="AT15" i="2"/>
  <c r="AT81" i="2"/>
  <c r="AT51" i="2"/>
  <c r="AT30" i="2"/>
  <c r="AT41" i="2"/>
  <c r="AT45" i="2"/>
  <c r="AT24" i="2"/>
  <c r="AT43" i="2"/>
  <c r="S3" i="12"/>
  <c r="V3" i="12"/>
  <c r="AT54" i="2"/>
  <c r="AT35" i="2"/>
  <c r="AT71" i="2"/>
  <c r="AT92" i="2"/>
  <c r="AT19" i="2"/>
  <c r="M1" i="18"/>
  <c r="K1" i="18"/>
  <c r="L1" i="18"/>
  <c r="BM1" i="18" s="1"/>
  <c r="AT31" i="2"/>
  <c r="AT49" i="2"/>
  <c r="AT29" i="2"/>
  <c r="AT47" i="2"/>
  <c r="AT74" i="2"/>
  <c r="AT90" i="2"/>
  <c r="AT87" i="2"/>
  <c r="AT94" i="2"/>
  <c r="AT55" i="2"/>
  <c r="AT65" i="2"/>
  <c r="AT7" i="2"/>
  <c r="AT88" i="2"/>
  <c r="AT10" i="2"/>
  <c r="AT14" i="2"/>
  <c r="AT16" i="2"/>
  <c r="AT72" i="2"/>
  <c r="AT25" i="2"/>
  <c r="AT18" i="2"/>
  <c r="AT69" i="2"/>
  <c r="AT37" i="2"/>
  <c r="AT82" i="2"/>
  <c r="AT57" i="2"/>
  <c r="AT85" i="2"/>
  <c r="AT12" i="2"/>
  <c r="AT58" i="2"/>
  <c r="AT3" i="2"/>
  <c r="AT23" i="2"/>
  <c r="AT67" i="2"/>
  <c r="AT42" i="2"/>
  <c r="AT9" i="2"/>
  <c r="AT95" i="2"/>
  <c r="AT38" i="2"/>
  <c r="AT93" i="2"/>
  <c r="BE1" i="18"/>
  <c r="BI1" i="18"/>
  <c r="AT52" i="2"/>
  <c r="AT28" i="2"/>
  <c r="AT4" i="2"/>
  <c r="AT62" i="2"/>
  <c r="AT8" i="2"/>
  <c r="AT59" i="2"/>
  <c r="AT73" i="2"/>
  <c r="AT36" i="2"/>
  <c r="AT86" i="2"/>
  <c r="AT89" i="2"/>
  <c r="AT6" i="2"/>
  <c r="AT78" i="2"/>
  <c r="AT46" i="2"/>
  <c r="AT61" i="2"/>
  <c r="AT66" i="2"/>
  <c r="AT83" i="2"/>
  <c r="AT27" i="2"/>
  <c r="AT32" i="2"/>
  <c r="AT53" i="2"/>
  <c r="AT13" i="2"/>
  <c r="AT11" i="2"/>
  <c r="AT98" i="2"/>
  <c r="AT21" i="2"/>
  <c r="AT48" i="2"/>
  <c r="AT39" i="2"/>
  <c r="AT64" i="2"/>
  <c r="AT17" i="2"/>
  <c r="AT68" i="2"/>
  <c r="AT97" i="2"/>
  <c r="AT91" i="2"/>
  <c r="AT60" i="2"/>
  <c r="AT22" i="2"/>
  <c r="AT84" i="2"/>
  <c r="AT33" i="2"/>
  <c r="AT5" i="2"/>
  <c r="AT63" i="2"/>
  <c r="AT99" i="2"/>
  <c r="AT34" i="2"/>
  <c r="AT77" i="2"/>
  <c r="T3" i="12"/>
  <c r="U3" i="12"/>
  <c r="F3" i="12"/>
  <c r="H3" i="12" s="1"/>
  <c r="A4" i="12"/>
  <c r="AI3" i="12" l="1"/>
  <c r="K4" i="12"/>
  <c r="L4" i="12" s="1"/>
  <c r="AI2" i="12"/>
  <c r="BJ1" i="18"/>
  <c r="BN1" i="18"/>
  <c r="N1" i="18"/>
  <c r="P1" i="18"/>
  <c r="O1" i="18"/>
  <c r="BR1" i="18" s="1"/>
  <c r="B4" i="12"/>
  <c r="D4" i="12" s="1"/>
  <c r="AQ4" i="12" l="1"/>
  <c r="AC4" i="12"/>
  <c r="AG4" i="12"/>
  <c r="E4" i="12"/>
  <c r="F4" i="12" s="1"/>
  <c r="Z4" i="12"/>
  <c r="AR4" i="12"/>
  <c r="AA4" i="12"/>
  <c r="AS4" i="12"/>
  <c r="AE4" i="12"/>
  <c r="C4" i="12"/>
  <c r="AB4" i="12"/>
  <c r="Y4" i="12"/>
  <c r="I4" i="12"/>
  <c r="AF4" i="12"/>
  <c r="AD4" i="12"/>
  <c r="AT4" i="12"/>
  <c r="AH4" i="12"/>
  <c r="J4" i="12"/>
  <c r="BO1" i="18"/>
  <c r="BS1" i="18"/>
  <c r="S1" i="18"/>
  <c r="R1" i="18"/>
  <c r="BW1" i="18" s="1"/>
  <c r="Q1" i="18"/>
  <c r="A5" i="12" a="1"/>
  <c r="U4" i="12" l="1"/>
  <c r="S4" i="12"/>
  <c r="V4" i="12"/>
  <c r="G4" i="12"/>
  <c r="H4" i="12" s="1"/>
  <c r="T4" i="12"/>
  <c r="AI4" i="12"/>
  <c r="BT1" i="18"/>
  <c r="BX1" i="18"/>
  <c r="V1" i="18"/>
  <c r="U1" i="18"/>
  <c r="CB1" i="18" s="1"/>
  <c r="T1" i="18"/>
  <c r="A5" i="12"/>
  <c r="K5" i="12" l="1"/>
  <c r="L5" i="12" s="1"/>
  <c r="W1" i="18"/>
  <c r="Y1" i="18"/>
  <c r="X1" i="18"/>
  <c r="CG1" i="18" s="1"/>
  <c r="BY1" i="18"/>
  <c r="CC1" i="18"/>
  <c r="B5" i="12"/>
  <c r="Z5" i="12" s="1"/>
  <c r="AG5" i="12" l="1"/>
  <c r="AA5" i="12"/>
  <c r="Y5" i="12"/>
  <c r="AF5" i="12"/>
  <c r="E5" i="12"/>
  <c r="G5" i="12" s="1"/>
  <c r="C5" i="12"/>
  <c r="AT5" i="12"/>
  <c r="AB5" i="12"/>
  <c r="AE5" i="12"/>
  <c r="AR5" i="12"/>
  <c r="AQ5" i="12"/>
  <c r="D5" i="12"/>
  <c r="I5" i="12"/>
  <c r="AC5" i="12"/>
  <c r="AD5" i="12"/>
  <c r="AH5" i="12"/>
  <c r="J5" i="12"/>
  <c r="AS5" i="12"/>
  <c r="CH1" i="18"/>
  <c r="CD1" i="18"/>
  <c r="Z1" i="18"/>
  <c r="AA1" i="18"/>
  <c r="CJ1" i="18" s="1"/>
  <c r="CI1" i="18" s="1"/>
  <c r="A6" i="12" a="1"/>
  <c r="AE30" i="18" l="1"/>
  <c r="AK32" i="18"/>
  <c r="AM31" i="18"/>
  <c r="U5" i="12"/>
  <c r="V5" i="12"/>
  <c r="S5" i="12"/>
  <c r="T5" i="12"/>
  <c r="AK55" i="18"/>
  <c r="F5" i="12"/>
  <c r="H5" i="12" s="1"/>
  <c r="AI5" i="12"/>
  <c r="AE85" i="18"/>
  <c r="AO54" i="18"/>
  <c r="AM82" i="18"/>
  <c r="AK91" i="18"/>
  <c r="AI83" i="18"/>
  <c r="AE22" i="18"/>
  <c r="AK12" i="18"/>
  <c r="AI69" i="18"/>
  <c r="AG27" i="18"/>
  <c r="AK38" i="18"/>
  <c r="AI15" i="18"/>
  <c r="AM97" i="18"/>
  <c r="AK19" i="18"/>
  <c r="AK52" i="18"/>
  <c r="AO69" i="18"/>
  <c r="AK97" i="18"/>
  <c r="AI99" i="18"/>
  <c r="AE73" i="18"/>
  <c r="AK46" i="18"/>
  <c r="AE2" i="18"/>
  <c r="AG59" i="18"/>
  <c r="AE61" i="18"/>
  <c r="AE7" i="18"/>
  <c r="AK23" i="18"/>
  <c r="AM70" i="18"/>
  <c r="AO38" i="18"/>
  <c r="AM15" i="18"/>
  <c r="AI80" i="18"/>
  <c r="AO15" i="18"/>
  <c r="AM80" i="18"/>
  <c r="AK93" i="18"/>
  <c r="AI75" i="18"/>
  <c r="AK24" i="18"/>
  <c r="AO45" i="18"/>
  <c r="AK74" i="18"/>
  <c r="AO70" i="18"/>
  <c r="AG43" i="18"/>
  <c r="AO16" i="18"/>
  <c r="AO77" i="18"/>
  <c r="AE15" i="18"/>
  <c r="AG18" i="18"/>
  <c r="AO68" i="18"/>
  <c r="AG72" i="18"/>
  <c r="AE47" i="18"/>
  <c r="AI53" i="18"/>
  <c r="AO81" i="18"/>
  <c r="AG80" i="18"/>
  <c r="AE28" i="18"/>
  <c r="AM99" i="18"/>
  <c r="AE36" i="18"/>
  <c r="AG29" i="18"/>
  <c r="AK10" i="18"/>
  <c r="AE82" i="18"/>
  <c r="AI72" i="18"/>
  <c r="AO4" i="18"/>
  <c r="AE79" i="18"/>
  <c r="AG13" i="18"/>
  <c r="AG55" i="18"/>
  <c r="AO94" i="18"/>
  <c r="AG73" i="18"/>
  <c r="AG32" i="18"/>
  <c r="AK63" i="18"/>
  <c r="AI60" i="18"/>
  <c r="AE83" i="18"/>
  <c r="AO47" i="18"/>
  <c r="AM55" i="18"/>
  <c r="AE32" i="18"/>
  <c r="AG41" i="18"/>
  <c r="AG94" i="18"/>
  <c r="AI54" i="18"/>
  <c r="AM42" i="18"/>
  <c r="AG5" i="18"/>
  <c r="AI38" i="18"/>
  <c r="AI82" i="18"/>
  <c r="AE41" i="18"/>
  <c r="AI81" i="18"/>
  <c r="AO67" i="18"/>
  <c r="AG75" i="18"/>
  <c r="AE72" i="18"/>
  <c r="AE21" i="18"/>
  <c r="AO87" i="18"/>
  <c r="AI67" i="18"/>
  <c r="AI23" i="18"/>
  <c r="AM14" i="18"/>
  <c r="AG85" i="18"/>
  <c r="AO56" i="18"/>
  <c r="AK18" i="18"/>
  <c r="AI42" i="18"/>
  <c r="AO97" i="18"/>
  <c r="AO26" i="18"/>
  <c r="AG7" i="18"/>
  <c r="AM92" i="18"/>
  <c r="AG97" i="18"/>
  <c r="AO96" i="18"/>
  <c r="AE46" i="18"/>
  <c r="AO57" i="18"/>
  <c r="AE76" i="18"/>
  <c r="AI78" i="18"/>
  <c r="AG87" i="18"/>
  <c r="AG90" i="18"/>
  <c r="AI34" i="18"/>
  <c r="AO48" i="18"/>
  <c r="AM46" i="18"/>
  <c r="AO49" i="18"/>
  <c r="AK43" i="18"/>
  <c r="AI20" i="18"/>
  <c r="AG20" i="18"/>
  <c r="AO36" i="18"/>
  <c r="AO5" i="18"/>
  <c r="AI94" i="18"/>
  <c r="AM22" i="18"/>
  <c r="AK100" i="18"/>
  <c r="AG38" i="18"/>
  <c r="AG96" i="18"/>
  <c r="AE70" i="18"/>
  <c r="AG64" i="18"/>
  <c r="AG100" i="18"/>
  <c r="AE3" i="18"/>
  <c r="AK47" i="18"/>
  <c r="AE89" i="18"/>
  <c r="AE86" i="18"/>
  <c r="AI56" i="18"/>
  <c r="AM33" i="18"/>
  <c r="AG47" i="18"/>
  <c r="AM13" i="18"/>
  <c r="AE8" i="18"/>
  <c r="AK53" i="18"/>
  <c r="AI57" i="18"/>
  <c r="AG36" i="18"/>
  <c r="AI29" i="18"/>
  <c r="AE69" i="18"/>
  <c r="AO7" i="18"/>
  <c r="AK94" i="18"/>
  <c r="AO55" i="18"/>
  <c r="AO32" i="18"/>
  <c r="AK28" i="18"/>
  <c r="AE49" i="18"/>
  <c r="AE37" i="18"/>
  <c r="AO42" i="18"/>
  <c r="AI30" i="18"/>
  <c r="AI62" i="18"/>
  <c r="AK65" i="18"/>
  <c r="AE95" i="18"/>
  <c r="AK20" i="18"/>
  <c r="AG58" i="18"/>
  <c r="AG54" i="18"/>
  <c r="AG70" i="18"/>
  <c r="AK59" i="18"/>
  <c r="AE25" i="18"/>
  <c r="AO6" i="18"/>
  <c r="AO100" i="18"/>
  <c r="AK54" i="18"/>
  <c r="AK72" i="18"/>
  <c r="AK61" i="18"/>
  <c r="AK7" i="18"/>
  <c r="AG33" i="18"/>
  <c r="AI7" i="18"/>
  <c r="AG9" i="18"/>
  <c r="AK82" i="18"/>
  <c r="AG56" i="18"/>
  <c r="AE93" i="18"/>
  <c r="AK75" i="18"/>
  <c r="AE44" i="18"/>
  <c r="AO50" i="18"/>
  <c r="AE99" i="18"/>
  <c r="AO89" i="18"/>
  <c r="AI18" i="18"/>
  <c r="AI64" i="18"/>
  <c r="AE59" i="18"/>
  <c r="AI6" i="18"/>
  <c r="AO51" i="18"/>
  <c r="AE66" i="18"/>
  <c r="AM100" i="18"/>
  <c r="AK56" i="18"/>
  <c r="AE88" i="18"/>
  <c r="AO84" i="18"/>
  <c r="AO59" i="18"/>
  <c r="AE45" i="18"/>
  <c r="AE35" i="18"/>
  <c r="AI2" i="18"/>
  <c r="AE38" i="18"/>
  <c r="AI33" i="18"/>
  <c r="AM81" i="18"/>
  <c r="AE57" i="18"/>
  <c r="AG14" i="18"/>
  <c r="AO91" i="18"/>
  <c r="AI50" i="18"/>
  <c r="AG71" i="18"/>
  <c r="AO12" i="18"/>
  <c r="AK70" i="18"/>
  <c r="AK21" i="18"/>
  <c r="AE18" i="18"/>
  <c r="AK89" i="18"/>
  <c r="AM62" i="18"/>
  <c r="AO31" i="18"/>
  <c r="AO75" i="18"/>
  <c r="AI85" i="18"/>
  <c r="AE68" i="18"/>
  <c r="AK44" i="18"/>
  <c r="AG69" i="18"/>
  <c r="AE4" i="18"/>
  <c r="AM37" i="18"/>
  <c r="AK45" i="18"/>
  <c r="AK85" i="18"/>
  <c r="AM48" i="18"/>
  <c r="AG15" i="18"/>
  <c r="AE42" i="18"/>
  <c r="AK83" i="18"/>
  <c r="AK17" i="18"/>
  <c r="AM40" i="18"/>
  <c r="AM25" i="18"/>
  <c r="AM17" i="18"/>
  <c r="AM84" i="18"/>
  <c r="AG25" i="18"/>
  <c r="AI59" i="18"/>
  <c r="AK90" i="18"/>
  <c r="AK11" i="18"/>
  <c r="AK4" i="18"/>
  <c r="AG31" i="18"/>
  <c r="AO53" i="18"/>
  <c r="AK76" i="18"/>
  <c r="AO64" i="18"/>
  <c r="AI93" i="18"/>
  <c r="AO24" i="18"/>
  <c r="AG95" i="18"/>
  <c r="AE16" i="18"/>
  <c r="AK49" i="18"/>
  <c r="AM29" i="18"/>
  <c r="AK48" i="18"/>
  <c r="AK50" i="18"/>
  <c r="AK40" i="18"/>
  <c r="AM44" i="18"/>
  <c r="AO2" i="18"/>
  <c r="AG89" i="18"/>
  <c r="AK77" i="18"/>
  <c r="AE20" i="18"/>
  <c r="AM63" i="18"/>
  <c r="AE92" i="18"/>
  <c r="AK95" i="18"/>
  <c r="AE55" i="18"/>
  <c r="AI90" i="18"/>
  <c r="AK36" i="18"/>
  <c r="AI27" i="18"/>
  <c r="AK30" i="18"/>
  <c r="AE23" i="18"/>
  <c r="AG40" i="18"/>
  <c r="AM65" i="18"/>
  <c r="AK6" i="18"/>
  <c r="AI14" i="18"/>
  <c r="AI63" i="18"/>
  <c r="AI22" i="18"/>
  <c r="AE33" i="18"/>
  <c r="AG23" i="18"/>
  <c r="AO73" i="18"/>
  <c r="AO33" i="18"/>
  <c r="AI36" i="18"/>
  <c r="AG17" i="18"/>
  <c r="AK88" i="18"/>
  <c r="AK34" i="18"/>
  <c r="AM54" i="18"/>
  <c r="AO11" i="18"/>
  <c r="AI66" i="18"/>
  <c r="AK67" i="18"/>
  <c r="AO8" i="18"/>
  <c r="AI13" i="18"/>
  <c r="AG3" i="18"/>
  <c r="AI45" i="18"/>
  <c r="AM4" i="18"/>
  <c r="AO74" i="18"/>
  <c r="AM64" i="18"/>
  <c r="AK13" i="18"/>
  <c r="AK25" i="18"/>
  <c r="AM51" i="18"/>
  <c r="AI28" i="18"/>
  <c r="AM23" i="18"/>
  <c r="AK98" i="18"/>
  <c r="AM85" i="18"/>
  <c r="AO98" i="18"/>
  <c r="AK35" i="18"/>
  <c r="AE78" i="18"/>
  <c r="AM53" i="18"/>
  <c r="AI74" i="18"/>
  <c r="AM73" i="18"/>
  <c r="AM94" i="18"/>
  <c r="AK57" i="18"/>
  <c r="AE91" i="18"/>
  <c r="AG19" i="18"/>
  <c r="AG60" i="18"/>
  <c r="AE94" i="18"/>
  <c r="AM41" i="18"/>
  <c r="AK41" i="18"/>
  <c r="AG76" i="18"/>
  <c r="AE77" i="18"/>
  <c r="AI97" i="18"/>
  <c r="AK5" i="18"/>
  <c r="AG82" i="18"/>
  <c r="AM93" i="18"/>
  <c r="AM6" i="18"/>
  <c r="AI12" i="18"/>
  <c r="AK9" i="18"/>
  <c r="AM88" i="18"/>
  <c r="AM24" i="18"/>
  <c r="AO14" i="18"/>
  <c r="AM58" i="18"/>
  <c r="AE74" i="18"/>
  <c r="AM20" i="18"/>
  <c r="AG93" i="18"/>
  <c r="AE12" i="18"/>
  <c r="AO27" i="18"/>
  <c r="AM98" i="18"/>
  <c r="AE11" i="18"/>
  <c r="AO23" i="18"/>
  <c r="AM77" i="18"/>
  <c r="AM2" i="18"/>
  <c r="AM3" i="18"/>
  <c r="AI65" i="18"/>
  <c r="AI39" i="18"/>
  <c r="AE67" i="18"/>
  <c r="AE71" i="18"/>
  <c r="AO93" i="18"/>
  <c r="AE64" i="18"/>
  <c r="AE48" i="18"/>
  <c r="AO29" i="18"/>
  <c r="AG66" i="18"/>
  <c r="AO62" i="18"/>
  <c r="AI58" i="18"/>
  <c r="AM83" i="18"/>
  <c r="AM28" i="18"/>
  <c r="AE17" i="18"/>
  <c r="AM61" i="18"/>
  <c r="AG81" i="18"/>
  <c r="AG79" i="18"/>
  <c r="AG57" i="18"/>
  <c r="AI87" i="18"/>
  <c r="AI52" i="18"/>
  <c r="AO20" i="18"/>
  <c r="AO71" i="18"/>
  <c r="AE31" i="18"/>
  <c r="AG44" i="18"/>
  <c r="AE63" i="18"/>
  <c r="AI26" i="18"/>
  <c r="AI51" i="18"/>
  <c r="AE53" i="18"/>
  <c r="AO61" i="18"/>
  <c r="AO65" i="18"/>
  <c r="AO82" i="18"/>
  <c r="AG12" i="18"/>
  <c r="AI24" i="18"/>
  <c r="AO40" i="18"/>
  <c r="AE29" i="18"/>
  <c r="AM26" i="18"/>
  <c r="AM49" i="18"/>
  <c r="AK87" i="18"/>
  <c r="AI71" i="18"/>
  <c r="AO99" i="18"/>
  <c r="AI48" i="18"/>
  <c r="AO19" i="18"/>
  <c r="AI31" i="18"/>
  <c r="AI76" i="18"/>
  <c r="AE27" i="18"/>
  <c r="AM38" i="18"/>
  <c r="AG88" i="18"/>
  <c r="AK92" i="18"/>
  <c r="AI98" i="18"/>
  <c r="AG30" i="18"/>
  <c r="AK27" i="18"/>
  <c r="AI21" i="18"/>
  <c r="AM30" i="18"/>
  <c r="AI73" i="18"/>
  <c r="AK71" i="18"/>
  <c r="AK80" i="18"/>
  <c r="AG53" i="18"/>
  <c r="AM19" i="18"/>
  <c r="AO10" i="18"/>
  <c r="AG51" i="18"/>
  <c r="AM36" i="18"/>
  <c r="AG74" i="18"/>
  <c r="AI77" i="18"/>
  <c r="AO35" i="18"/>
  <c r="AO58" i="18"/>
  <c r="AE98" i="18"/>
  <c r="AI68" i="18"/>
  <c r="AG52" i="18"/>
  <c r="AI61" i="18"/>
  <c r="AO80" i="18"/>
  <c r="AG2" i="18"/>
  <c r="AO44" i="18"/>
  <c r="AG77" i="18"/>
  <c r="AM74" i="18"/>
  <c r="AM71" i="18"/>
  <c r="AG21" i="18"/>
  <c r="AK99" i="18"/>
  <c r="AM47" i="18"/>
  <c r="AG50" i="18"/>
  <c r="AK33" i="18"/>
  <c r="AM75" i="18"/>
  <c r="AG24" i="18"/>
  <c r="AE87" i="18"/>
  <c r="AK16" i="18"/>
  <c r="AE5" i="18"/>
  <c r="AI100" i="18"/>
  <c r="AG6" i="18"/>
  <c r="AI70" i="18"/>
  <c r="AG28" i="18"/>
  <c r="AO30" i="18"/>
  <c r="AO52" i="18"/>
  <c r="AM86" i="18"/>
  <c r="AO60" i="18"/>
  <c r="AI17" i="18"/>
  <c r="AO79" i="18"/>
  <c r="AG4" i="18"/>
  <c r="AK62" i="18"/>
  <c r="AI3" i="18"/>
  <c r="AK81" i="18"/>
  <c r="AE90" i="18"/>
  <c r="AG49" i="18"/>
  <c r="AK22" i="18"/>
  <c r="AO25" i="18"/>
  <c r="AM32" i="18"/>
  <c r="AM52" i="18"/>
  <c r="AO13" i="18"/>
  <c r="AG34" i="18"/>
  <c r="AI19" i="18"/>
  <c r="AO17" i="18"/>
  <c r="AK73" i="18"/>
  <c r="AE96" i="18"/>
  <c r="AE60" i="18"/>
  <c r="AK8" i="18"/>
  <c r="AE51" i="18"/>
  <c r="AE43" i="18"/>
  <c r="AK3" i="18"/>
  <c r="AG35" i="18"/>
  <c r="AI86" i="18"/>
  <c r="AK29" i="18"/>
  <c r="AO37" i="18"/>
  <c r="AK68" i="18"/>
  <c r="AM79" i="18"/>
  <c r="AK58" i="18"/>
  <c r="AG78" i="18"/>
  <c r="AM12" i="18"/>
  <c r="AI10" i="18"/>
  <c r="AG39" i="18"/>
  <c r="AE19" i="18"/>
  <c r="AE65" i="18"/>
  <c r="AK60" i="18"/>
  <c r="AM96" i="18"/>
  <c r="AK31" i="18"/>
  <c r="AE26" i="18"/>
  <c r="AK39" i="18"/>
  <c r="AM78" i="18"/>
  <c r="AO9" i="18"/>
  <c r="AG68" i="18"/>
  <c r="AG99" i="18"/>
  <c r="AI95" i="18"/>
  <c r="AM34" i="18"/>
  <c r="AG61" i="18"/>
  <c r="AI25" i="18"/>
  <c r="AO41" i="18"/>
  <c r="AI96" i="18"/>
  <c r="AM76" i="18"/>
  <c r="AO43" i="18"/>
  <c r="AI37" i="18"/>
  <c r="AM7" i="18"/>
  <c r="AM27" i="18"/>
  <c r="AM5" i="18"/>
  <c r="AO39" i="18"/>
  <c r="AK84" i="18"/>
  <c r="AE58" i="18"/>
  <c r="AI16" i="18"/>
  <c r="AE52" i="18"/>
  <c r="AM66" i="18"/>
  <c r="AM39" i="18"/>
  <c r="AE40" i="18"/>
  <c r="AE9" i="18"/>
  <c r="AM72" i="18"/>
  <c r="AM87" i="18"/>
  <c r="AG86" i="18"/>
  <c r="AG46" i="18"/>
  <c r="AK96" i="18"/>
  <c r="AM18" i="18"/>
  <c r="AM59" i="18"/>
  <c r="AM95" i="18"/>
  <c r="AI88" i="18"/>
  <c r="AE80" i="18"/>
  <c r="AG65" i="18"/>
  <c r="AI32" i="18"/>
  <c r="AG48" i="18"/>
  <c r="AO72" i="18"/>
  <c r="AG22" i="18"/>
  <c r="AG37" i="18"/>
  <c r="AK37" i="18"/>
  <c r="AE100" i="18"/>
  <c r="AE50" i="18"/>
  <c r="AI91" i="18"/>
  <c r="AI92" i="18"/>
  <c r="AE84" i="18"/>
  <c r="AG8" i="18"/>
  <c r="AO22" i="18"/>
  <c r="AM43" i="18"/>
  <c r="AG62" i="18"/>
  <c r="AE97" i="18"/>
  <c r="AE10" i="18"/>
  <c r="AI4" i="18"/>
  <c r="AM5" i="12" s="1"/>
  <c r="O5" i="12" s="1"/>
  <c r="AI8" i="18"/>
  <c r="AI35" i="18"/>
  <c r="AI5" i="18"/>
  <c r="AM35" i="18"/>
  <c r="AK64" i="18"/>
  <c r="AE81" i="18"/>
  <c r="AG26" i="18"/>
  <c r="AO34" i="18"/>
  <c r="AO90" i="18"/>
  <c r="AM21" i="18"/>
  <c r="AE54" i="18"/>
  <c r="AG11" i="18"/>
  <c r="AK26" i="18"/>
  <c r="AK78" i="18"/>
  <c r="AG63" i="18"/>
  <c r="AM8" i="18"/>
  <c r="AM67" i="18"/>
  <c r="AO66" i="18"/>
  <c r="AI79" i="18"/>
  <c r="AK14" i="18"/>
  <c r="AO21" i="18"/>
  <c r="AM68" i="18"/>
  <c r="AO78" i="18"/>
  <c r="AO95" i="18"/>
  <c r="AM50" i="18"/>
  <c r="AE56" i="18"/>
  <c r="AI11" i="18"/>
  <c r="AE14" i="18"/>
  <c r="AG67" i="18"/>
  <c r="AE62" i="18"/>
  <c r="AO86" i="18"/>
  <c r="AG10" i="18"/>
  <c r="AE75" i="18"/>
  <c r="AK42" i="18"/>
  <c r="AI41" i="18"/>
  <c r="AI89" i="18"/>
  <c r="AG45" i="18"/>
  <c r="AK2" i="18"/>
  <c r="AE13" i="18"/>
  <c r="AI46" i="18"/>
  <c r="AK69" i="18"/>
  <c r="AO76" i="18"/>
  <c r="AI40" i="18"/>
  <c r="AO63" i="18"/>
  <c r="AI9" i="18"/>
  <c r="AI84" i="18"/>
  <c r="AK66" i="18"/>
  <c r="AI47" i="18"/>
  <c r="AM69" i="18"/>
  <c r="AM57" i="18"/>
  <c r="AG83" i="18"/>
  <c r="AO83" i="18"/>
  <c r="AK86" i="18"/>
  <c r="AM11" i="18"/>
  <c r="AM91" i="18"/>
  <c r="AG42" i="18"/>
  <c r="AK15" i="18"/>
  <c r="AM16" i="18"/>
  <c r="AO85" i="18"/>
  <c r="AI49" i="18"/>
  <c r="AM90" i="18"/>
  <c r="AO18" i="18"/>
  <c r="AI44" i="18"/>
  <c r="AM89" i="18"/>
  <c r="AK79" i="18"/>
  <c r="AE24" i="18"/>
  <c r="AM60" i="18"/>
  <c r="AG91" i="18"/>
  <c r="AM45" i="18"/>
  <c r="AG98" i="18"/>
  <c r="AK51" i="18"/>
  <c r="AO88" i="18"/>
  <c r="AE39" i="18"/>
  <c r="AO28" i="18"/>
  <c r="AI43" i="18"/>
  <c r="AG16" i="18"/>
  <c r="AE34" i="18"/>
  <c r="AM9" i="18"/>
  <c r="AG84" i="18"/>
  <c r="AE6" i="18"/>
  <c r="AI55" i="18"/>
  <c r="AO92" i="18"/>
  <c r="AG92" i="18"/>
  <c r="AO46" i="18"/>
  <c r="AO3" i="18"/>
  <c r="AM10" i="18"/>
  <c r="AM56" i="18"/>
  <c r="A6" i="12"/>
  <c r="K6" i="12" l="1"/>
  <c r="L6" i="12" s="1"/>
  <c r="AK4" i="12"/>
  <c r="M4" i="12" s="1"/>
  <c r="AO3" i="12"/>
  <c r="Q3" i="12" s="1"/>
  <c r="AN4" i="12"/>
  <c r="P4" i="12" s="1"/>
  <c r="AT62" i="18"/>
  <c r="AP5" i="12"/>
  <c r="R5" i="12" s="1"/>
  <c r="AO5" i="12"/>
  <c r="Q5" i="12" s="1"/>
  <c r="AP4" i="12"/>
  <c r="R4" i="12" s="1"/>
  <c r="AL5" i="12"/>
  <c r="N5" i="12" s="1"/>
  <c r="AO4" i="12"/>
  <c r="Q4" i="12" s="1"/>
  <c r="AM4" i="12"/>
  <c r="O4" i="12" s="1"/>
  <c r="AL4" i="12"/>
  <c r="N4" i="12" s="1"/>
  <c r="AN5" i="12"/>
  <c r="P5" i="12" s="1"/>
  <c r="AK5" i="12"/>
  <c r="M5" i="12" s="1"/>
  <c r="AK3" i="12"/>
  <c r="M3" i="12" s="1"/>
  <c r="AM3" i="12"/>
  <c r="O3" i="12" s="1"/>
  <c r="AP3" i="12"/>
  <c r="R3" i="12" s="1"/>
  <c r="AN3" i="12"/>
  <c r="P3" i="12" s="1"/>
  <c r="AL3" i="12"/>
  <c r="N3" i="12" s="1"/>
  <c r="AK2" i="12"/>
  <c r="AM2" i="12"/>
  <c r="O2" i="12" s="1"/>
  <c r="AO2" i="12"/>
  <c r="Q2" i="12" s="1"/>
  <c r="AN2" i="12"/>
  <c r="P2" i="12" s="1"/>
  <c r="AP2" i="12"/>
  <c r="R2" i="12" s="1"/>
  <c r="AL2" i="12"/>
  <c r="N2" i="12" s="1"/>
  <c r="AT54" i="18"/>
  <c r="AT15" i="18"/>
  <c r="AT61" i="18"/>
  <c r="AT82" i="18"/>
  <c r="AT7" i="18"/>
  <c r="AT13" i="18"/>
  <c r="AT32" i="18"/>
  <c r="AT43" i="18"/>
  <c r="AT53" i="18"/>
  <c r="AT22" i="18"/>
  <c r="AT64" i="18"/>
  <c r="AT94" i="18"/>
  <c r="AT6" i="18"/>
  <c r="AT17" i="18"/>
  <c r="AT74" i="18"/>
  <c r="AT36" i="18"/>
  <c r="AT47" i="18"/>
  <c r="AT73" i="18"/>
  <c r="AT39" i="18"/>
  <c r="AT50" i="18"/>
  <c r="AT30" i="18"/>
  <c r="AT85" i="18"/>
  <c r="AT38" i="18"/>
  <c r="AT100" i="18"/>
  <c r="AT80" i="18"/>
  <c r="AT28" i="18"/>
  <c r="AT79" i="18"/>
  <c r="AT90" i="18"/>
  <c r="AT35" i="18"/>
  <c r="AT97" i="18"/>
  <c r="AT83" i="18"/>
  <c r="AT2" i="18"/>
  <c r="AT92" i="18"/>
  <c r="AT99" i="18"/>
  <c r="AT25" i="18"/>
  <c r="AT46" i="18"/>
  <c r="AT72" i="18"/>
  <c r="AT66" i="18"/>
  <c r="AT8" i="18"/>
  <c r="AT3" i="18"/>
  <c r="AT44" i="18"/>
  <c r="AT69" i="18"/>
  <c r="AT87" i="18"/>
  <c r="AT16" i="18"/>
  <c r="AT45" i="18"/>
  <c r="AT37" i="18"/>
  <c r="AT98" i="18"/>
  <c r="AT71" i="18"/>
  <c r="AT20" i="18"/>
  <c r="AT65" i="18"/>
  <c r="AT14" i="18"/>
  <c r="AT19" i="18"/>
  <c r="AT60" i="18"/>
  <c r="AT4" i="18"/>
  <c r="AT59" i="18"/>
  <c r="AT93" i="18"/>
  <c r="AT49" i="18"/>
  <c r="AT70" i="18"/>
  <c r="AT41" i="18"/>
  <c r="AT11" i="18"/>
  <c r="AT9" i="18"/>
  <c r="AT96" i="18"/>
  <c r="AT63" i="18"/>
  <c r="AT12" i="18"/>
  <c r="AT91" i="18"/>
  <c r="AT18" i="18"/>
  <c r="AT57" i="18"/>
  <c r="AT51" i="18"/>
  <c r="AT34" i="18"/>
  <c r="AT58" i="18"/>
  <c r="AT78" i="18"/>
  <c r="AT24" i="18"/>
  <c r="AT56" i="18"/>
  <c r="AT40" i="18"/>
  <c r="AT77" i="18"/>
  <c r="AT23" i="18"/>
  <c r="AT55" i="18"/>
  <c r="AT42" i="18"/>
  <c r="AT88" i="18"/>
  <c r="AT95" i="18"/>
  <c r="AT86" i="18"/>
  <c r="AT76" i="18"/>
  <c r="AT10" i="18"/>
  <c r="AT52" i="18"/>
  <c r="AT81" i="18"/>
  <c r="AT29" i="18"/>
  <c r="AT67" i="18"/>
  <c r="AT75" i="18"/>
  <c r="AT84" i="18"/>
  <c r="AT26" i="18"/>
  <c r="AT5" i="18"/>
  <c r="AT27" i="18"/>
  <c r="AT31" i="18"/>
  <c r="AT48" i="18"/>
  <c r="AT33" i="18"/>
  <c r="AT68" i="18"/>
  <c r="AT89" i="18"/>
  <c r="AT21" i="18"/>
  <c r="B6" i="12"/>
  <c r="AP6" i="12" s="1"/>
  <c r="AU4" i="12" l="1"/>
  <c r="W5" i="12"/>
  <c r="W4" i="12"/>
  <c r="AU5" i="12"/>
  <c r="W3" i="12"/>
  <c r="AU3" i="12"/>
  <c r="AU2" i="12"/>
  <c r="M2" i="12"/>
  <c r="W2" i="12" s="1"/>
  <c r="AF6" i="12"/>
  <c r="AS6" i="12"/>
  <c r="D6" i="12"/>
  <c r="AL6" i="12"/>
  <c r="AG6" i="12"/>
  <c r="Z6" i="12"/>
  <c r="Y6" i="12"/>
  <c r="AN6" i="12"/>
  <c r="AD6" i="12"/>
  <c r="R6" i="12" s="1"/>
  <c r="I6" i="12"/>
  <c r="E6" i="12"/>
  <c r="G6" i="12" s="1"/>
  <c r="AB6" i="12"/>
  <c r="AO6" i="12"/>
  <c r="AE6" i="12"/>
  <c r="C6" i="12"/>
  <c r="AT6" i="12"/>
  <c r="J6" i="12"/>
  <c r="AM6" i="12"/>
  <c r="AK6" i="12"/>
  <c r="AQ6" i="12"/>
  <c r="AR6" i="12"/>
  <c r="AH6" i="12"/>
  <c r="AA6" i="12"/>
  <c r="AC6" i="12"/>
  <c r="A7" i="12" a="1"/>
  <c r="U6" i="12" l="1"/>
  <c r="T6" i="12"/>
  <c r="F6" i="12"/>
  <c r="H6" i="12" s="1"/>
  <c r="Q6" i="12"/>
  <c r="P6" i="12"/>
  <c r="N6" i="12"/>
  <c r="S6" i="12"/>
  <c r="V6" i="12"/>
  <c r="AI6" i="12"/>
  <c r="M6" i="12"/>
  <c r="O6" i="12"/>
  <c r="AU6" i="12"/>
  <c r="A7" i="12"/>
  <c r="K7" i="12" l="1"/>
  <c r="L7" i="12" s="1"/>
  <c r="W6" i="12"/>
  <c r="B7" i="12"/>
  <c r="AE7" i="12" s="1"/>
  <c r="D7" i="12" l="1"/>
  <c r="AM7" i="12"/>
  <c r="AQ7" i="12"/>
  <c r="S7" i="12" s="1"/>
  <c r="AC7" i="12"/>
  <c r="AR7" i="12"/>
  <c r="AG7" i="12"/>
  <c r="AP7" i="12"/>
  <c r="AT7" i="12"/>
  <c r="J7" i="12"/>
  <c r="AN7" i="12"/>
  <c r="AK7" i="12"/>
  <c r="AB7" i="12"/>
  <c r="AA7" i="12"/>
  <c r="AL7" i="12"/>
  <c r="AH7" i="12"/>
  <c r="I7" i="12"/>
  <c r="C7" i="12"/>
  <c r="Z7" i="12"/>
  <c r="AO7" i="12"/>
  <c r="Y7" i="12"/>
  <c r="AF7" i="12"/>
  <c r="E7" i="12"/>
  <c r="G7" i="12" s="1"/>
  <c r="AS7" i="12"/>
  <c r="AD7" i="12"/>
  <c r="A8" i="12" a="1"/>
  <c r="A8" i="12" l="1"/>
  <c r="O7" i="12"/>
  <c r="M7" i="12"/>
  <c r="P7" i="12"/>
  <c r="Q7" i="12"/>
  <c r="T7" i="12"/>
  <c r="R7" i="12"/>
  <c r="V7" i="12"/>
  <c r="AU7" i="12"/>
  <c r="AI7" i="12"/>
  <c r="N7" i="12"/>
  <c r="F7" i="12"/>
  <c r="H7" i="12" s="1"/>
  <c r="U7" i="12"/>
  <c r="K8" i="12" l="1"/>
  <c r="L8" i="12" s="1"/>
  <c r="B8" i="12"/>
  <c r="AB8" i="12" s="1"/>
  <c r="W7" i="12"/>
  <c r="A9" i="12" a="1"/>
  <c r="AQ8" i="12" l="1"/>
  <c r="AC8" i="12"/>
  <c r="J8" i="12"/>
  <c r="AH8" i="12"/>
  <c r="AE8" i="12"/>
  <c r="AA8" i="12"/>
  <c r="AL8" i="12"/>
  <c r="AR8" i="12"/>
  <c r="D8" i="12"/>
  <c r="AS8" i="12"/>
  <c r="AD8" i="12"/>
  <c r="AF8" i="12"/>
  <c r="AM8" i="12"/>
  <c r="AG8" i="12"/>
  <c r="I8" i="12"/>
  <c r="AK8" i="12"/>
  <c r="E8" i="12"/>
  <c r="G8" i="12" s="1"/>
  <c r="AN8" i="12"/>
  <c r="P8" i="12" s="1"/>
  <c r="AP8" i="12"/>
  <c r="AO8" i="12"/>
  <c r="Q8" i="12" s="1"/>
  <c r="C8" i="12"/>
  <c r="Y8" i="12"/>
  <c r="AT8" i="12"/>
  <c r="Z8" i="12"/>
  <c r="A9" i="12"/>
  <c r="B9" i="12" s="1"/>
  <c r="S8" i="12" l="1"/>
  <c r="V8" i="12"/>
  <c r="N8" i="12"/>
  <c r="T8" i="12"/>
  <c r="O8" i="12"/>
  <c r="R8" i="12"/>
  <c r="U8" i="12"/>
  <c r="E9" i="12"/>
  <c r="F9" i="12" s="1"/>
  <c r="AU8" i="12"/>
  <c r="K9" i="12"/>
  <c r="L9" i="12" s="1"/>
  <c r="F8" i="12"/>
  <c r="H8" i="12" s="1"/>
  <c r="AI8" i="12"/>
  <c r="M8" i="12"/>
  <c r="AO9" i="12"/>
  <c r="Z9" i="12"/>
  <c r="AL9" i="12"/>
  <c r="AG9" i="12"/>
  <c r="AH9" i="12"/>
  <c r="C9" i="12"/>
  <c r="D9" i="12"/>
  <c r="J9" i="12"/>
  <c r="AM9" i="12"/>
  <c r="AE9" i="12"/>
  <c r="I9" i="12"/>
  <c r="AF9" i="12"/>
  <c r="AD9" i="12"/>
  <c r="AQ9" i="12"/>
  <c r="Y9" i="12"/>
  <c r="AK9" i="12"/>
  <c r="AR9" i="12"/>
  <c r="AP9" i="12"/>
  <c r="AS9" i="12"/>
  <c r="AC9" i="12"/>
  <c r="AT9" i="12"/>
  <c r="AA9" i="12"/>
  <c r="AN9" i="12"/>
  <c r="AB9" i="12"/>
  <c r="A10" i="12" a="1"/>
  <c r="W8" i="12" l="1"/>
  <c r="G9" i="12"/>
  <c r="H9" i="12" s="1"/>
  <c r="A10" i="12"/>
  <c r="K10" i="12" s="1"/>
  <c r="L10" i="12" s="1"/>
  <c r="Q9" i="12"/>
  <c r="N9" i="12"/>
  <c r="S9" i="12"/>
  <c r="U9" i="12"/>
  <c r="V9" i="12"/>
  <c r="P9" i="12"/>
  <c r="AU9" i="12"/>
  <c r="AI9" i="12"/>
  <c r="T9" i="12"/>
  <c r="O9" i="12"/>
  <c r="M9" i="12"/>
  <c r="R9" i="12"/>
  <c r="B10" i="12" l="1"/>
  <c r="AP10" i="12" s="1"/>
  <c r="W9" i="12"/>
  <c r="AB10" i="12" l="1"/>
  <c r="AT10" i="12"/>
  <c r="I10" i="12"/>
  <c r="C10" i="12"/>
  <c r="AD10" i="12"/>
  <c r="R10" i="12" s="1"/>
  <c r="AG10" i="12"/>
  <c r="AR10" i="12"/>
  <c r="AM10" i="12"/>
  <c r="AL10" i="12"/>
  <c r="Z10" i="12"/>
  <c r="Y10" i="12"/>
  <c r="J10" i="12"/>
  <c r="AH10" i="12"/>
  <c r="AC10" i="12"/>
  <c r="AA10" i="12"/>
  <c r="D10" i="12"/>
  <c r="E10" i="12"/>
  <c r="F10" i="12" s="1"/>
  <c r="AE10" i="12"/>
  <c r="AF10" i="12"/>
  <c r="AO10" i="12"/>
  <c r="AQ10" i="12"/>
  <c r="AS10" i="12"/>
  <c r="AK10" i="12"/>
  <c r="AN10" i="12"/>
  <c r="V10" i="12" l="1"/>
  <c r="P10" i="12"/>
  <c r="T10" i="12"/>
  <c r="U10" i="12"/>
  <c r="N10" i="12"/>
  <c r="O10" i="12"/>
  <c r="Q10" i="12"/>
  <c r="AI10" i="12"/>
  <c r="S10" i="12"/>
  <c r="AU10" i="12"/>
  <c r="G10" i="12"/>
  <c r="H10" i="12" s="1"/>
  <c r="M10" i="12"/>
  <c r="A11" i="12" a="1"/>
  <c r="W10" i="12" l="1"/>
  <c r="A11" i="12"/>
  <c r="K11" i="12" l="1"/>
  <c r="L11" i="12" s="1"/>
  <c r="B11" i="12"/>
  <c r="AM11" i="12" s="1"/>
  <c r="AA11" i="12" l="1"/>
  <c r="AG11" i="12"/>
  <c r="J11" i="12"/>
  <c r="AC11" i="12"/>
  <c r="AO11" i="12"/>
  <c r="AF11" i="12"/>
  <c r="AB11" i="12"/>
  <c r="E11" i="12"/>
  <c r="F11" i="12" s="1"/>
  <c r="AP11" i="12"/>
  <c r="AR11" i="12"/>
  <c r="I11" i="12"/>
  <c r="AL11" i="12"/>
  <c r="AS11" i="12"/>
  <c r="U11" i="12" s="1"/>
  <c r="Z11" i="12"/>
  <c r="AD11" i="12"/>
  <c r="D11" i="12"/>
  <c r="AK11" i="12"/>
  <c r="Y11" i="12"/>
  <c r="AH11" i="12"/>
  <c r="AE11" i="12"/>
  <c r="AT11" i="12"/>
  <c r="AQ11" i="12"/>
  <c r="C11" i="12"/>
  <c r="AN11" i="12"/>
  <c r="O11" i="12"/>
  <c r="A12" i="12" a="1"/>
  <c r="N11" i="12" l="1"/>
  <c r="T11" i="12"/>
  <c r="Q11" i="12"/>
  <c r="S11" i="12"/>
  <c r="V11" i="12"/>
  <c r="M11" i="12"/>
  <c r="AI11" i="12"/>
  <c r="P11" i="12"/>
  <c r="R11" i="12"/>
  <c r="AU11" i="12"/>
  <c r="G11" i="12"/>
  <c r="H11" i="12" s="1"/>
  <c r="A12" i="12"/>
  <c r="W11" i="12" l="1"/>
  <c r="B12" i="12"/>
  <c r="AA12" i="12" s="1"/>
  <c r="K12" i="12"/>
  <c r="L12" i="12" s="1"/>
  <c r="Z12" i="12" l="1"/>
  <c r="AE12" i="12"/>
  <c r="AT12" i="12"/>
  <c r="AC12" i="12"/>
  <c r="AF12" i="12"/>
  <c r="AK12" i="12"/>
  <c r="J12" i="12"/>
  <c r="AO12" i="12"/>
  <c r="Y12" i="12"/>
  <c r="AP12" i="12"/>
  <c r="AQ12" i="12"/>
  <c r="AS12" i="12"/>
  <c r="AR12" i="12"/>
  <c r="E12" i="12"/>
  <c r="AD12" i="12"/>
  <c r="AL12" i="12"/>
  <c r="AB12" i="12"/>
  <c r="D12" i="12"/>
  <c r="I12" i="12"/>
  <c r="AG12" i="12"/>
  <c r="AH12" i="12"/>
  <c r="C12" i="12"/>
  <c r="AM12" i="12"/>
  <c r="O12" i="12" s="1"/>
  <c r="AN12" i="12"/>
  <c r="A13" i="12" a="1"/>
  <c r="N12" i="12" l="1"/>
  <c r="R12" i="12"/>
  <c r="M12" i="12"/>
  <c r="V12" i="12"/>
  <c r="P12" i="12"/>
  <c r="S12" i="12"/>
  <c r="U12" i="12"/>
  <c r="T12" i="12"/>
  <c r="AI12" i="12"/>
  <c r="Q12" i="12"/>
  <c r="AU12" i="12"/>
  <c r="G12" i="12"/>
  <c r="F12" i="12"/>
  <c r="A13" i="12"/>
  <c r="W12" i="12" l="1"/>
  <c r="H12" i="12"/>
  <c r="K13" i="12"/>
  <c r="L13" i="12" s="1"/>
  <c r="B13" i="12"/>
  <c r="AN13" i="12" s="1"/>
  <c r="AE13" i="12" l="1"/>
  <c r="AM13" i="12"/>
  <c r="AL13" i="12"/>
  <c r="AO13" i="12"/>
  <c r="AH13" i="12"/>
  <c r="AA13" i="12"/>
  <c r="Y13" i="12"/>
  <c r="AP13" i="12"/>
  <c r="AF13" i="12"/>
  <c r="J13" i="12"/>
  <c r="C13" i="12"/>
  <c r="AC13" i="12"/>
  <c r="AK13" i="12"/>
  <c r="AS13" i="12"/>
  <c r="Z13" i="12"/>
  <c r="AT13" i="12"/>
  <c r="AD13" i="12"/>
  <c r="AG13" i="12"/>
  <c r="D13" i="12"/>
  <c r="E13" i="12"/>
  <c r="F13" i="12" s="1"/>
  <c r="AB13" i="12"/>
  <c r="P13" i="12" s="1"/>
  <c r="AQ13" i="12"/>
  <c r="AR13" i="12"/>
  <c r="I13" i="12"/>
  <c r="A14" i="12" a="1"/>
  <c r="T13" i="12" l="1"/>
  <c r="S13" i="12"/>
  <c r="O13" i="12"/>
  <c r="N13" i="12"/>
  <c r="V13" i="12"/>
  <c r="R13" i="12"/>
  <c r="Q13" i="12"/>
  <c r="AI13" i="12"/>
  <c r="M13" i="12"/>
  <c r="U13" i="12"/>
  <c r="G13" i="12"/>
  <c r="H13" i="12" s="1"/>
  <c r="AU13" i="12"/>
  <c r="A14" i="12"/>
  <c r="W13" i="12" l="1"/>
  <c r="B14" i="12"/>
  <c r="AR14" i="12" s="1"/>
  <c r="K14" i="12"/>
  <c r="L14" i="12" s="1"/>
  <c r="AM14" i="12" l="1"/>
  <c r="AS14" i="12"/>
  <c r="AB14" i="12"/>
  <c r="AT14" i="12"/>
  <c r="AQ14" i="12"/>
  <c r="AP14" i="12"/>
  <c r="AA14" i="12"/>
  <c r="AN14" i="12"/>
  <c r="I14" i="12"/>
  <c r="AH14" i="12"/>
  <c r="AO14" i="12"/>
  <c r="AL14" i="12"/>
  <c r="D14" i="12"/>
  <c r="Z14" i="12"/>
  <c r="AE14" i="12"/>
  <c r="J14" i="12"/>
  <c r="AG14" i="12"/>
  <c r="AF14" i="12"/>
  <c r="T14" i="12" s="1"/>
  <c r="AK14" i="12"/>
  <c r="AC14" i="12"/>
  <c r="AD14" i="12"/>
  <c r="Y14" i="12"/>
  <c r="C14" i="12"/>
  <c r="E14" i="12"/>
  <c r="G14" i="12" s="1"/>
  <c r="A15" i="12" a="1"/>
  <c r="O14" i="12" l="1"/>
  <c r="U14" i="12"/>
  <c r="P14" i="12"/>
  <c r="V14" i="12"/>
  <c r="S14" i="12"/>
  <c r="R14" i="12"/>
  <c r="Q14" i="12"/>
  <c r="N14" i="12"/>
  <c r="AU14" i="12"/>
  <c r="AI14" i="12"/>
  <c r="M14" i="12"/>
  <c r="F14" i="12"/>
  <c r="H14" i="12" s="1"/>
  <c r="A15" i="12"/>
  <c r="W14" i="12" l="1"/>
  <c r="K15" i="12"/>
  <c r="L15" i="12" s="1"/>
  <c r="B15" i="12"/>
  <c r="AT15" i="12" s="1"/>
  <c r="AG15" i="12" l="1"/>
  <c r="AE15" i="12"/>
  <c r="AC15" i="12"/>
  <c r="I15" i="12"/>
  <c r="AH15" i="12"/>
  <c r="V15" i="12" s="1"/>
  <c r="AO15" i="12"/>
  <c r="AB15" i="12"/>
  <c r="C15" i="12"/>
  <c r="AR15" i="12"/>
  <c r="AK15" i="12"/>
  <c r="Z15" i="12"/>
  <c r="Y15" i="12"/>
  <c r="AS15" i="12"/>
  <c r="AP15" i="12"/>
  <c r="AN15" i="12"/>
  <c r="D15" i="12"/>
  <c r="J15" i="12"/>
  <c r="AA15" i="12"/>
  <c r="AD15" i="12"/>
  <c r="E15" i="12"/>
  <c r="F15" i="12" s="1"/>
  <c r="AL15" i="12"/>
  <c r="AF15" i="12"/>
  <c r="AQ15" i="12"/>
  <c r="AM15" i="12"/>
  <c r="A16" i="12" a="1"/>
  <c r="T15" i="12" l="1"/>
  <c r="U15" i="12"/>
  <c r="S15" i="12"/>
  <c r="M15" i="12"/>
  <c r="Q15" i="12"/>
  <c r="AU15" i="12"/>
  <c r="O15" i="12"/>
  <c r="R15" i="12"/>
  <c r="N15" i="12"/>
  <c r="P15" i="12"/>
  <c r="AI15" i="12"/>
  <c r="G15" i="12"/>
  <c r="H15" i="12" s="1"/>
  <c r="A16" i="12"/>
  <c r="W15" i="12" l="1"/>
  <c r="B16" i="12"/>
  <c r="AM16" i="12" s="1"/>
  <c r="K16" i="12"/>
  <c r="L16" i="12" s="1"/>
  <c r="A17" i="12" a="1"/>
  <c r="AQ16" i="12" l="1"/>
  <c r="C16" i="12"/>
  <c r="AA16" i="12"/>
  <c r="O16" i="12" s="1"/>
  <c r="E16" i="12"/>
  <c r="F16" i="12" s="1"/>
  <c r="AF16" i="12"/>
  <c r="AH16" i="12"/>
  <c r="J16" i="12"/>
  <c r="AB16" i="12"/>
  <c r="AN16" i="12"/>
  <c r="AR16" i="12"/>
  <c r="AL16" i="12"/>
  <c r="AG16" i="12"/>
  <c r="AE16" i="12"/>
  <c r="AS16" i="12"/>
  <c r="I16" i="12"/>
  <c r="AP16" i="12"/>
  <c r="Z16" i="12"/>
  <c r="Y16" i="12"/>
  <c r="AC16" i="12"/>
  <c r="AT16" i="12"/>
  <c r="AK16" i="12"/>
  <c r="AO16" i="12"/>
  <c r="AD16" i="12"/>
  <c r="D16" i="12"/>
  <c r="A17" i="12"/>
  <c r="S16" i="12" l="1"/>
  <c r="U16" i="12"/>
  <c r="V16" i="12"/>
  <c r="N16" i="12"/>
  <c r="G16" i="12"/>
  <c r="H16" i="12" s="1"/>
  <c r="AU16" i="12"/>
  <c r="Q16" i="12"/>
  <c r="M16" i="12"/>
  <c r="T16" i="12"/>
  <c r="AI16" i="12"/>
  <c r="R16" i="12"/>
  <c r="P16" i="12"/>
  <c r="B17" i="12"/>
  <c r="AK17" i="12" s="1"/>
  <c r="K17" i="12"/>
  <c r="L17" i="12" s="1"/>
  <c r="A18" i="12" a="1"/>
  <c r="W16" i="12" l="1"/>
  <c r="AC17" i="12"/>
  <c r="AR17" i="12"/>
  <c r="AQ17" i="12"/>
  <c r="D17" i="12"/>
  <c r="AM17" i="12"/>
  <c r="Y17" i="12"/>
  <c r="M17" i="12" s="1"/>
  <c r="AP17" i="12"/>
  <c r="AB17" i="12"/>
  <c r="AF17" i="12"/>
  <c r="J17" i="12"/>
  <c r="AA17" i="12"/>
  <c r="AN17" i="12"/>
  <c r="AS17" i="12"/>
  <c r="E17" i="12"/>
  <c r="F17" i="12" s="1"/>
  <c r="AH17" i="12"/>
  <c r="AO17" i="12"/>
  <c r="AD17" i="12"/>
  <c r="AL17" i="12"/>
  <c r="AT17" i="12"/>
  <c r="Z17" i="12"/>
  <c r="AG17" i="12"/>
  <c r="AE17" i="12"/>
  <c r="I17" i="12"/>
  <c r="C17" i="12"/>
  <c r="A18" i="12"/>
  <c r="N17" i="12" l="1"/>
  <c r="U17" i="12"/>
  <c r="Q17" i="12"/>
  <c r="T17" i="12"/>
  <c r="S17" i="12"/>
  <c r="V17" i="12"/>
  <c r="R17" i="12"/>
  <c r="AI17" i="12"/>
  <c r="O17" i="12"/>
  <c r="P17" i="12"/>
  <c r="AU17" i="12"/>
  <c r="G17" i="12"/>
  <c r="H17" i="12" s="1"/>
  <c r="B18" i="12"/>
  <c r="Y18" i="12" s="1"/>
  <c r="K18" i="12"/>
  <c r="L18" i="12" s="1"/>
  <c r="A19" i="12" a="1"/>
  <c r="W17" i="12" l="1"/>
  <c r="E18" i="12"/>
  <c r="F18" i="12" s="1"/>
  <c r="AA18" i="12"/>
  <c r="Z18" i="12"/>
  <c r="AT18" i="12"/>
  <c r="AE18" i="12"/>
  <c r="AB18" i="12"/>
  <c r="AL18" i="12"/>
  <c r="J18" i="12"/>
  <c r="AD18" i="12"/>
  <c r="I18" i="12"/>
  <c r="AS18" i="12"/>
  <c r="AF18" i="12"/>
  <c r="AK18" i="12"/>
  <c r="M18" i="12" s="1"/>
  <c r="AC18" i="12"/>
  <c r="AH18" i="12"/>
  <c r="AR18" i="12"/>
  <c r="AG18" i="12"/>
  <c r="AM18" i="12"/>
  <c r="AN18" i="12"/>
  <c r="AP18" i="12"/>
  <c r="C18" i="12"/>
  <c r="AO18" i="12"/>
  <c r="D18" i="12"/>
  <c r="AQ18" i="12"/>
  <c r="A19" i="12"/>
  <c r="G18" i="12" l="1"/>
  <c r="R18" i="12"/>
  <c r="U18" i="12"/>
  <c r="O18" i="12"/>
  <c r="P18" i="12"/>
  <c r="N18" i="12"/>
  <c r="V18" i="12"/>
  <c r="S18" i="12"/>
  <c r="T18" i="12"/>
  <c r="H18" i="12"/>
  <c r="AI18" i="12"/>
  <c r="AU18" i="12"/>
  <c r="Q18" i="12"/>
  <c r="K19" i="12"/>
  <c r="L19" i="12" s="1"/>
  <c r="B19" i="12"/>
  <c r="AQ19" i="12" s="1"/>
  <c r="A20" i="12" a="1"/>
  <c r="W18" i="12" l="1"/>
  <c r="Z19" i="12"/>
  <c r="C19" i="12"/>
  <c r="AB19" i="12"/>
  <c r="AE19" i="12"/>
  <c r="S19" i="12" s="1"/>
  <c r="AS19" i="12"/>
  <c r="AN19" i="12"/>
  <c r="AT19" i="12"/>
  <c r="AP19" i="12"/>
  <c r="AD19" i="12"/>
  <c r="AM19" i="12"/>
  <c r="AO19" i="12"/>
  <c r="AG19" i="12"/>
  <c r="AK19" i="12"/>
  <c r="AC19" i="12"/>
  <c r="J19" i="12"/>
  <c r="AF19" i="12"/>
  <c r="AL19" i="12"/>
  <c r="AR19" i="12"/>
  <c r="AH19" i="12"/>
  <c r="E19" i="12"/>
  <c r="G19" i="12" s="1"/>
  <c r="AA19" i="12"/>
  <c r="I19" i="12"/>
  <c r="Y19" i="12"/>
  <c r="D19" i="12"/>
  <c r="A20" i="12"/>
  <c r="N19" i="12" l="1"/>
  <c r="O19" i="12"/>
  <c r="U19" i="12"/>
  <c r="Q19" i="12"/>
  <c r="M19" i="12"/>
  <c r="V19" i="12"/>
  <c r="R19" i="12"/>
  <c r="AU19" i="12"/>
  <c r="T19" i="12"/>
  <c r="P19" i="12"/>
  <c r="AI19" i="12"/>
  <c r="F19" i="12"/>
  <c r="H19" i="12" s="1"/>
  <c r="B20" i="12"/>
  <c r="J20" i="12" s="1"/>
  <c r="K20" i="12"/>
  <c r="L20" i="12" s="1"/>
  <c r="A21" i="12" a="1"/>
  <c r="AC20" i="12" l="1"/>
  <c r="AL20" i="12"/>
  <c r="AK20" i="12"/>
  <c r="AG20" i="12"/>
  <c r="D20" i="12"/>
  <c r="Z20" i="12"/>
  <c r="C20" i="12"/>
  <c r="AQ20" i="12"/>
  <c r="W19" i="12"/>
  <c r="Y20" i="12"/>
  <c r="I20" i="12"/>
  <c r="AE20" i="12"/>
  <c r="AD20" i="12"/>
  <c r="AB20" i="12"/>
  <c r="AS20" i="12"/>
  <c r="AO20" i="12"/>
  <c r="AN20" i="12"/>
  <c r="AF20" i="12"/>
  <c r="AM20" i="12"/>
  <c r="E20" i="12"/>
  <c r="G20" i="12" s="1"/>
  <c r="AP20" i="12"/>
  <c r="AA20" i="12"/>
  <c r="AH20" i="12"/>
  <c r="AT20" i="12"/>
  <c r="AR20" i="12"/>
  <c r="A21" i="12"/>
  <c r="Q20" i="12" l="1"/>
  <c r="N20" i="12"/>
  <c r="M20" i="12"/>
  <c r="U20" i="12"/>
  <c r="V20" i="12"/>
  <c r="S20" i="12"/>
  <c r="P20" i="12"/>
  <c r="R20" i="12"/>
  <c r="T20" i="12"/>
  <c r="AU20" i="12"/>
  <c r="AI20" i="12"/>
  <c r="O20" i="12"/>
  <c r="F20" i="12"/>
  <c r="H20" i="12" s="1"/>
  <c r="B21" i="12"/>
  <c r="AB21" i="12" s="1"/>
  <c r="K21" i="12"/>
  <c r="L21" i="12" s="1"/>
  <c r="A22" i="12" a="1"/>
  <c r="W20" i="12" l="1"/>
  <c r="I21" i="12"/>
  <c r="AE21" i="12"/>
  <c r="AH21" i="12"/>
  <c r="AD21" i="12"/>
  <c r="AM21" i="12"/>
  <c r="AC21" i="12"/>
  <c r="AP21" i="12"/>
  <c r="Y21" i="12"/>
  <c r="AK21" i="12"/>
  <c r="C21" i="12"/>
  <c r="D21" i="12"/>
  <c r="AF21" i="12"/>
  <c r="J21" i="12"/>
  <c r="AL21" i="12"/>
  <c r="AA21" i="12"/>
  <c r="Z21" i="12"/>
  <c r="AR21" i="12"/>
  <c r="AG21" i="12"/>
  <c r="AT21" i="12"/>
  <c r="AS21" i="12"/>
  <c r="E21" i="12"/>
  <c r="F21" i="12" s="1"/>
  <c r="AN21" i="12"/>
  <c r="P21" i="12" s="1"/>
  <c r="AO21" i="12"/>
  <c r="AQ21" i="12"/>
  <c r="A22" i="12"/>
  <c r="S21" i="12" l="1"/>
  <c r="V21" i="12"/>
  <c r="R21" i="12"/>
  <c r="U21" i="12"/>
  <c r="T21" i="12"/>
  <c r="M21" i="12"/>
  <c r="N21" i="12"/>
  <c r="O21" i="12"/>
  <c r="Q21" i="12"/>
  <c r="AI21" i="12"/>
  <c r="G21" i="12"/>
  <c r="H21" i="12" s="1"/>
  <c r="AU21" i="12"/>
  <c r="B22" i="12"/>
  <c r="Y22" i="12" s="1"/>
  <c r="K22" i="12"/>
  <c r="L22" i="12" s="1"/>
  <c r="A23" i="12" a="1"/>
  <c r="W21" i="12" l="1"/>
  <c r="D22" i="12"/>
  <c r="AR22" i="12"/>
  <c r="Z22" i="12"/>
  <c r="AL22" i="12"/>
  <c r="AD22" i="12"/>
  <c r="AN22" i="12"/>
  <c r="AH22" i="12"/>
  <c r="AP22" i="12"/>
  <c r="I22" i="12"/>
  <c r="AQ22" i="12"/>
  <c r="AM22" i="12"/>
  <c r="C22" i="12"/>
  <c r="AA22" i="12"/>
  <c r="E22" i="12"/>
  <c r="G22" i="12" s="1"/>
  <c r="AK22" i="12"/>
  <c r="AG22" i="12"/>
  <c r="AC22" i="12"/>
  <c r="AF22" i="12"/>
  <c r="J22" i="12"/>
  <c r="AO22" i="12"/>
  <c r="AB22" i="12"/>
  <c r="AE22" i="12"/>
  <c r="AS22" i="12"/>
  <c r="AT22" i="12"/>
  <c r="A23" i="12"/>
  <c r="T22" i="12" l="1"/>
  <c r="S22" i="12"/>
  <c r="O22" i="12"/>
  <c r="P22" i="12"/>
  <c r="R22" i="12"/>
  <c r="U22" i="12"/>
  <c r="V22" i="12"/>
  <c r="Q22" i="12"/>
  <c r="AU22" i="12"/>
  <c r="F22" i="12"/>
  <c r="H22" i="12" s="1"/>
  <c r="N22" i="12"/>
  <c r="M22" i="12"/>
  <c r="AI22" i="12"/>
  <c r="E23" i="12"/>
  <c r="AH23" i="12"/>
  <c r="D23" i="12"/>
  <c r="AO23" i="12"/>
  <c r="AE23" i="12"/>
  <c r="I23" i="12"/>
  <c r="B23" i="12"/>
  <c r="AG23" i="12"/>
  <c r="AD23" i="12"/>
  <c r="J23" i="12"/>
  <c r="AM23" i="12"/>
  <c r="AQ23" i="12"/>
  <c r="AB23" i="12"/>
  <c r="K23" i="12"/>
  <c r="AN23" i="12"/>
  <c r="C23" i="12"/>
  <c r="AP23" i="12"/>
  <c r="Y23" i="12"/>
  <c r="AL23" i="12"/>
  <c r="AF23" i="12"/>
  <c r="AS23" i="12"/>
  <c r="AK23" i="12"/>
  <c r="Z23" i="12"/>
  <c r="AT23" i="12"/>
  <c r="AR23" i="12"/>
  <c r="AC23" i="12"/>
  <c r="AA23" i="12"/>
  <c r="L23" i="12"/>
  <c r="A24" i="12" a="1"/>
  <c r="O23" i="12" l="1"/>
  <c r="W22" i="12"/>
  <c r="S23" i="12"/>
  <c r="U23" i="12"/>
  <c r="T23" i="12"/>
  <c r="N23" i="12"/>
  <c r="R23" i="12"/>
  <c r="V23" i="12"/>
  <c r="A24" i="12"/>
  <c r="AU23" i="12"/>
  <c r="P23" i="12"/>
  <c r="G23" i="12"/>
  <c r="F23" i="12"/>
  <c r="H23" i="12"/>
  <c r="Q23" i="12"/>
  <c r="M23" i="12"/>
  <c r="AI23" i="12"/>
  <c r="W23" i="12" l="1"/>
  <c r="B24" i="12"/>
  <c r="Y24" i="12"/>
  <c r="AF24" i="12"/>
  <c r="AA24" i="12"/>
  <c r="AL24" i="12"/>
  <c r="AC24" i="12"/>
  <c r="AQ24" i="12"/>
  <c r="AR24" i="12"/>
  <c r="E24" i="12"/>
  <c r="AH24" i="12"/>
  <c r="J24" i="12"/>
  <c r="AM24" i="12"/>
  <c r="AO24" i="12"/>
  <c r="D24" i="12"/>
  <c r="AT24" i="12"/>
  <c r="Z24" i="12"/>
  <c r="L24" i="12"/>
  <c r="AB24" i="12"/>
  <c r="AN24" i="12"/>
  <c r="K24" i="12"/>
  <c r="AS24" i="12"/>
  <c r="AD24" i="12"/>
  <c r="I24" i="12"/>
  <c r="C24" i="12"/>
  <c r="AP24" i="12"/>
  <c r="AG24" i="12"/>
  <c r="AE24" i="12"/>
  <c r="AK24" i="12"/>
  <c r="A25" i="12" a="1"/>
  <c r="Q24" i="12" l="1"/>
  <c r="N24" i="12"/>
  <c r="A25" i="12"/>
  <c r="H24" i="12"/>
  <c r="G24" i="12"/>
  <c r="F24" i="12"/>
  <c r="R24" i="12"/>
  <c r="AU24" i="12"/>
  <c r="S24" i="12"/>
  <c r="O24" i="12"/>
  <c r="T24" i="12"/>
  <c r="U24" i="12"/>
  <c r="P24" i="12"/>
  <c r="V24" i="12"/>
  <c r="M24" i="12"/>
  <c r="AI24" i="12"/>
  <c r="W24" i="12" l="1"/>
  <c r="B25" i="12"/>
  <c r="AM25" i="12"/>
  <c r="AL25" i="12"/>
  <c r="AH25" i="12"/>
  <c r="Z25" i="12"/>
  <c r="J25" i="12"/>
  <c r="AG25" i="12"/>
  <c r="AN25" i="12"/>
  <c r="AK25" i="12"/>
  <c r="C25" i="12"/>
  <c r="E25" i="12"/>
  <c r="AT25" i="12"/>
  <c r="D25" i="12"/>
  <c r="AS25" i="12"/>
  <c r="AP25" i="12"/>
  <c r="K25" i="12"/>
  <c r="AE25" i="12"/>
  <c r="AD25" i="12"/>
  <c r="AB25" i="12"/>
  <c r="AR25" i="12"/>
  <c r="AQ25" i="12"/>
  <c r="AF25" i="12"/>
  <c r="L25" i="12"/>
  <c r="AA25" i="12"/>
  <c r="AC25" i="12"/>
  <c r="AO25" i="12"/>
  <c r="Y25" i="12"/>
  <c r="I25" i="12"/>
  <c r="A26" i="12" a="1"/>
  <c r="T25" i="12" l="1"/>
  <c r="N25" i="12"/>
  <c r="P25" i="12"/>
  <c r="A26" i="12"/>
  <c r="U25" i="12"/>
  <c r="V25" i="12"/>
  <c r="R25" i="12"/>
  <c r="AI25" i="12"/>
  <c r="M25" i="12"/>
  <c r="F25" i="12"/>
  <c r="H25" i="12"/>
  <c r="G25" i="12"/>
  <c r="Q25" i="12"/>
  <c r="S25" i="12"/>
  <c r="AU25" i="12"/>
  <c r="O25" i="12"/>
  <c r="W25" i="12" l="1"/>
  <c r="AD26" i="12"/>
  <c r="AH26" i="12"/>
  <c r="AL26" i="12"/>
  <c r="B26" i="12"/>
  <c r="J26" i="12"/>
  <c r="Y26" i="12"/>
  <c r="AR26" i="12"/>
  <c r="AQ26" i="12"/>
  <c r="AE26" i="12"/>
  <c r="AB26" i="12"/>
  <c r="AG26" i="12"/>
  <c r="AP26" i="12"/>
  <c r="AF26" i="12"/>
  <c r="C26" i="12"/>
  <c r="AM26" i="12"/>
  <c r="D26" i="12"/>
  <c r="AC26" i="12"/>
  <c r="AS26" i="12"/>
  <c r="AN26" i="12"/>
  <c r="AT26" i="12"/>
  <c r="I26" i="12"/>
  <c r="AK26" i="12"/>
  <c r="AA26" i="12"/>
  <c r="AO26" i="12"/>
  <c r="E26" i="12"/>
  <c r="L26" i="12"/>
  <c r="Z26" i="12"/>
  <c r="K26" i="12"/>
  <c r="A27" i="12" a="1"/>
  <c r="U26" i="12" l="1"/>
  <c r="O26" i="12"/>
  <c r="A27" i="12"/>
  <c r="M26" i="12"/>
  <c r="AU26" i="12"/>
  <c r="T26" i="12"/>
  <c r="AI26" i="12"/>
  <c r="N26" i="12"/>
  <c r="P26" i="12"/>
  <c r="V26" i="12"/>
  <c r="H26" i="12"/>
  <c r="G26" i="12"/>
  <c r="F26" i="12"/>
  <c r="Q26" i="12"/>
  <c r="S26" i="12"/>
  <c r="R26" i="12"/>
  <c r="W26" i="12" l="1"/>
  <c r="AD27" i="12"/>
  <c r="K27" i="12"/>
  <c r="D27" i="12"/>
  <c r="C27" i="12"/>
  <c r="AL27" i="12"/>
  <c r="AM27" i="12"/>
  <c r="AE27" i="12"/>
  <c r="AF27" i="12"/>
  <c r="J27" i="12"/>
  <c r="B27" i="12"/>
  <c r="AN27" i="12"/>
  <c r="Z27" i="12"/>
  <c r="I27" i="12"/>
  <c r="L27" i="12"/>
  <c r="AK27" i="12"/>
  <c r="AR27" i="12"/>
  <c r="T27" i="12" s="1"/>
  <c r="AA27" i="12"/>
  <c r="AQ27" i="12"/>
  <c r="AT27" i="12"/>
  <c r="Y27" i="12"/>
  <c r="AC27" i="12"/>
  <c r="AP27" i="12"/>
  <c r="AG27" i="12"/>
  <c r="AS27" i="12"/>
  <c r="AH27" i="12"/>
  <c r="E27" i="12"/>
  <c r="AB27" i="12"/>
  <c r="AO27" i="12"/>
  <c r="A28" i="12" a="1"/>
  <c r="Q27" i="12" l="1"/>
  <c r="U27" i="12"/>
  <c r="R27" i="12"/>
  <c r="S27" i="12"/>
  <c r="P27" i="12"/>
  <c r="AU27" i="12"/>
  <c r="A28" i="12"/>
  <c r="M27" i="12"/>
  <c r="AI27" i="12"/>
  <c r="F27" i="12"/>
  <c r="H27" i="12"/>
  <c r="G27" i="12"/>
  <c r="V27" i="12"/>
  <c r="O27" i="12"/>
  <c r="N27" i="12"/>
  <c r="W27" i="12" l="1"/>
  <c r="AQ28" i="12"/>
  <c r="Z28" i="12"/>
  <c r="AF28" i="12"/>
  <c r="AT28" i="12"/>
  <c r="B28" i="12"/>
  <c r="AP28" i="12"/>
  <c r="AR28" i="12"/>
  <c r="L28" i="12"/>
  <c r="E28" i="12"/>
  <c r="AE28" i="12"/>
  <c r="C28" i="12"/>
  <c r="AG28" i="12"/>
  <c r="AD28" i="12"/>
  <c r="I28" i="12"/>
  <c r="AK28" i="12"/>
  <c r="AL28" i="12"/>
  <c r="AM28" i="12"/>
  <c r="AA28" i="12"/>
  <c r="J28" i="12"/>
  <c r="AB28" i="12"/>
  <c r="AN28" i="12"/>
  <c r="AO28" i="12"/>
  <c r="D28" i="12"/>
  <c r="AC28" i="12"/>
  <c r="Y28" i="12"/>
  <c r="AS28" i="12"/>
  <c r="K28" i="12"/>
  <c r="AH28" i="12"/>
  <c r="A29" i="12" a="1"/>
  <c r="V28" i="12" l="1"/>
  <c r="U28" i="12"/>
  <c r="AU28" i="12"/>
  <c r="O28" i="12"/>
  <c r="S28" i="12"/>
  <c r="A29" i="12"/>
  <c r="N28" i="12"/>
  <c r="R28" i="12"/>
  <c r="P28" i="12"/>
  <c r="AI28" i="12"/>
  <c r="M28" i="12"/>
  <c r="F28" i="12"/>
  <c r="G28" i="12"/>
  <c r="H28" i="12"/>
  <c r="T28" i="12"/>
  <c r="Q28" i="12"/>
  <c r="W28" i="12" l="1"/>
  <c r="E29" i="12"/>
  <c r="AM29" i="12"/>
  <c r="AQ29" i="12"/>
  <c r="AC29" i="12"/>
  <c r="AK29" i="12"/>
  <c r="AF29" i="12"/>
  <c r="Y29" i="12"/>
  <c r="AG29" i="12"/>
  <c r="AP29" i="12"/>
  <c r="Z29" i="12"/>
  <c r="J29" i="12"/>
  <c r="D29" i="12"/>
  <c r="AA29" i="12"/>
  <c r="AH29" i="12"/>
  <c r="AS29" i="12"/>
  <c r="AO29" i="12"/>
  <c r="AN29" i="12"/>
  <c r="I29" i="12"/>
  <c r="AL29" i="12"/>
  <c r="AE29" i="12"/>
  <c r="AD29" i="12"/>
  <c r="C29" i="12"/>
  <c r="B29" i="12"/>
  <c r="K29" i="12"/>
  <c r="L29" i="12"/>
  <c r="AB29" i="12"/>
  <c r="AR29" i="12"/>
  <c r="AT29" i="12"/>
  <c r="A30" i="12" a="1"/>
  <c r="O29" i="12" l="1"/>
  <c r="Q29" i="12"/>
  <c r="R29" i="12"/>
  <c r="P29" i="12"/>
  <c r="S29" i="12"/>
  <c r="V29" i="12"/>
  <c r="T29" i="12"/>
  <c r="A30" i="12"/>
  <c r="M29" i="12"/>
  <c r="AI29" i="12"/>
  <c r="N29" i="12"/>
  <c r="AU29" i="12"/>
  <c r="G29" i="12"/>
  <c r="F29" i="12"/>
  <c r="H29" i="12"/>
  <c r="U29" i="12"/>
  <c r="W29" i="12" l="1"/>
  <c r="B30" i="12"/>
  <c r="AL30" i="12"/>
  <c r="AO30" i="12"/>
  <c r="AN30" i="12"/>
  <c r="L30" i="12"/>
  <c r="C30" i="12"/>
  <c r="AF30" i="12"/>
  <c r="AB30" i="12"/>
  <c r="AK30" i="12"/>
  <c r="Y30" i="12"/>
  <c r="AH30" i="12"/>
  <c r="AM30" i="12"/>
  <c r="AS30" i="12"/>
  <c r="I30" i="12"/>
  <c r="AD30" i="12"/>
  <c r="AC30" i="12"/>
  <c r="AT30" i="12"/>
  <c r="E30" i="12"/>
  <c r="AE30" i="12"/>
  <c r="K30" i="12"/>
  <c r="AP30" i="12"/>
  <c r="AA30" i="12"/>
  <c r="Z30" i="12"/>
  <c r="AG30" i="12"/>
  <c r="D30" i="12"/>
  <c r="AQ30" i="12"/>
  <c r="AR30" i="12"/>
  <c r="J30" i="12"/>
  <c r="A31" i="12" a="1"/>
  <c r="O30" i="12" l="1"/>
  <c r="N30" i="12"/>
  <c r="T30" i="12"/>
  <c r="R30" i="12"/>
  <c r="AU30" i="12"/>
  <c r="S30" i="12"/>
  <c r="U30" i="12"/>
  <c r="A31" i="12"/>
  <c r="V30" i="12"/>
  <c r="Q30" i="12"/>
  <c r="P30" i="12"/>
  <c r="F30" i="12"/>
  <c r="G30" i="12"/>
  <c r="H30" i="12"/>
  <c r="M30" i="12"/>
  <c r="AI30" i="12"/>
  <c r="W30" i="12" l="1"/>
  <c r="AO31" i="12"/>
  <c r="AB31" i="12"/>
  <c r="Y31" i="12"/>
  <c r="D31" i="12"/>
  <c r="AH31" i="12"/>
  <c r="AD31" i="12"/>
  <c r="E31" i="12"/>
  <c r="Z31" i="12"/>
  <c r="AL31" i="12"/>
  <c r="AS31" i="12"/>
  <c r="AG31" i="12"/>
  <c r="AA31" i="12"/>
  <c r="AN31" i="12"/>
  <c r="AP31" i="12"/>
  <c r="AF31" i="12"/>
  <c r="AE31" i="12"/>
  <c r="AM31" i="12"/>
  <c r="I31" i="12"/>
  <c r="AR31" i="12"/>
  <c r="AK31" i="12"/>
  <c r="C31" i="12"/>
  <c r="B31" i="12"/>
  <c r="K31" i="12"/>
  <c r="L31" i="12"/>
  <c r="AC31" i="12"/>
  <c r="J31" i="12"/>
  <c r="AT31" i="12"/>
  <c r="AQ31" i="12"/>
  <c r="A32" i="12" a="1"/>
  <c r="Q31" i="12" l="1"/>
  <c r="V31" i="12"/>
  <c r="S31" i="12"/>
  <c r="O31" i="12"/>
  <c r="U31" i="12"/>
  <c r="R31" i="12"/>
  <c r="T31" i="12"/>
  <c r="A32" i="12"/>
  <c r="AU31" i="12"/>
  <c r="G31" i="12"/>
  <c r="F31" i="12"/>
  <c r="H31" i="12"/>
  <c r="M31" i="12"/>
  <c r="AI31" i="12"/>
  <c r="P31" i="12"/>
  <c r="N31" i="12"/>
  <c r="W31" i="12" l="1"/>
  <c r="E32" i="12"/>
  <c r="AL32" i="12"/>
  <c r="AK32" i="12"/>
  <c r="C32" i="12"/>
  <c r="AN32" i="12"/>
  <c r="I32" i="12"/>
  <c r="AH32" i="12"/>
  <c r="AF32" i="12"/>
  <c r="K32" i="12"/>
  <c r="AR32" i="12"/>
  <c r="AQ32" i="12"/>
  <c r="D32" i="12"/>
  <c r="AC32" i="12"/>
  <c r="B32" i="12"/>
  <c r="AA32" i="12"/>
  <c r="Y32" i="12"/>
  <c r="AT32" i="12"/>
  <c r="AE32" i="12"/>
  <c r="AS32" i="12"/>
  <c r="AD32" i="12"/>
  <c r="AB32" i="12"/>
  <c r="J32" i="12"/>
  <c r="AG32" i="12"/>
  <c r="Z32" i="12"/>
  <c r="AM32" i="12"/>
  <c r="L32" i="12"/>
  <c r="AO32" i="12"/>
  <c r="AP32" i="12"/>
  <c r="A33" i="12" a="1"/>
  <c r="P32" i="12" l="1"/>
  <c r="T32" i="12"/>
  <c r="N32" i="12"/>
  <c r="U32" i="12"/>
  <c r="O32" i="12"/>
  <c r="A33" i="12"/>
  <c r="M32" i="12"/>
  <c r="AI32" i="12"/>
  <c r="AU32" i="12"/>
  <c r="R32" i="12"/>
  <c r="S32" i="12"/>
  <c r="Q32" i="12"/>
  <c r="V32" i="12"/>
  <c r="F32" i="12"/>
  <c r="G32" i="12"/>
  <c r="H32" i="12"/>
  <c r="W32" i="12" l="1"/>
  <c r="AE33" i="12"/>
  <c r="AT33" i="12"/>
  <c r="AM33" i="12"/>
  <c r="Z33" i="12"/>
  <c r="AB33" i="12"/>
  <c r="AA33" i="12"/>
  <c r="AF33" i="12"/>
  <c r="AP33" i="12"/>
  <c r="B33" i="12"/>
  <c r="AH33" i="12"/>
  <c r="AK33" i="12"/>
  <c r="AQ33" i="12"/>
  <c r="E33" i="12"/>
  <c r="D33" i="12"/>
  <c r="J33" i="12"/>
  <c r="AG33" i="12"/>
  <c r="AL33" i="12"/>
  <c r="AD33" i="12"/>
  <c r="I33" i="12"/>
  <c r="Y33" i="12"/>
  <c r="AS33" i="12"/>
  <c r="AC33" i="12"/>
  <c r="AO33" i="12"/>
  <c r="AN33" i="12"/>
  <c r="AR33" i="12"/>
  <c r="C33" i="12"/>
  <c r="L33" i="12"/>
  <c r="K33" i="12"/>
  <c r="A34" i="12" a="1"/>
  <c r="V33" i="12" l="1"/>
  <c r="P33" i="12"/>
  <c r="N33" i="12"/>
  <c r="R33" i="12"/>
  <c r="T33" i="12"/>
  <c r="O33" i="12"/>
  <c r="A34" i="12"/>
  <c r="AI33" i="12"/>
  <c r="M33" i="12"/>
  <c r="S33" i="12"/>
  <c r="Q33" i="12"/>
  <c r="F33" i="12"/>
  <c r="G33" i="12"/>
  <c r="H33" i="12"/>
  <c r="AU33" i="12"/>
  <c r="U33" i="12"/>
  <c r="W33" i="12" l="1"/>
  <c r="Z34" i="12"/>
  <c r="AO34" i="12"/>
  <c r="D34" i="12"/>
  <c r="Y34" i="12"/>
  <c r="AK34" i="12"/>
  <c r="AB34" i="12"/>
  <c r="AE34" i="12"/>
  <c r="AS34" i="12"/>
  <c r="AH34" i="12"/>
  <c r="AN34" i="12"/>
  <c r="AR34" i="12"/>
  <c r="AG34" i="12"/>
  <c r="AT34" i="12"/>
  <c r="J34" i="12"/>
  <c r="AC34" i="12"/>
  <c r="AL34" i="12"/>
  <c r="AD34" i="12"/>
  <c r="AQ34" i="12"/>
  <c r="AM34" i="12"/>
  <c r="L34" i="12"/>
  <c r="AP34" i="12"/>
  <c r="AF34" i="12"/>
  <c r="AA34" i="12"/>
  <c r="K34" i="12"/>
  <c r="E34" i="12"/>
  <c r="C34" i="12"/>
  <c r="I34" i="12"/>
  <c r="B34" i="12"/>
  <c r="A35" i="12" a="1"/>
  <c r="Q34" i="12" l="1"/>
  <c r="O34" i="12"/>
  <c r="S34" i="12"/>
  <c r="T34" i="12"/>
  <c r="P34" i="12"/>
  <c r="A35" i="12"/>
  <c r="AU34" i="12"/>
  <c r="U34" i="12"/>
  <c r="M34" i="12"/>
  <c r="AI34" i="12"/>
  <c r="G34" i="12"/>
  <c r="H34" i="12"/>
  <c r="F34" i="12"/>
  <c r="R34" i="12"/>
  <c r="V34" i="12"/>
  <c r="N34" i="12"/>
  <c r="W34" i="12" l="1"/>
  <c r="J35" i="12"/>
  <c r="AN35" i="12"/>
  <c r="C35" i="12"/>
  <c r="AM35" i="12"/>
  <c r="AH35" i="12"/>
  <c r="AS35" i="12"/>
  <c r="AB35" i="12"/>
  <c r="L35" i="12"/>
  <c r="AO35" i="12"/>
  <c r="AC35" i="12"/>
  <c r="AK35" i="12"/>
  <c r="AL35" i="12"/>
  <c r="AG35" i="12"/>
  <c r="D35" i="12"/>
  <c r="AD35" i="12"/>
  <c r="AE35" i="12"/>
  <c r="E35" i="12"/>
  <c r="AR35" i="12"/>
  <c r="AQ35" i="12"/>
  <c r="B35" i="12"/>
  <c r="K35" i="12"/>
  <c r="AP35" i="12"/>
  <c r="Y35" i="12"/>
  <c r="Z35" i="12"/>
  <c r="AF35" i="12"/>
  <c r="I35" i="12"/>
  <c r="AT35" i="12"/>
  <c r="AA35" i="12"/>
  <c r="A36" i="12" a="1"/>
  <c r="O35" i="12" l="1"/>
  <c r="V35" i="12"/>
  <c r="P35" i="12"/>
  <c r="N35" i="12"/>
  <c r="S35" i="12"/>
  <c r="R35" i="12"/>
  <c r="T35" i="12"/>
  <c r="A36" i="12"/>
  <c r="M35" i="12"/>
  <c r="AI35" i="12"/>
  <c r="U35" i="12"/>
  <c r="AU35" i="12"/>
  <c r="Q35" i="12"/>
  <c r="G35" i="12"/>
  <c r="F35" i="12"/>
  <c r="H35" i="12"/>
  <c r="W35" i="12" l="1"/>
  <c r="AR36" i="12"/>
  <c r="AT36" i="12"/>
  <c r="AG36" i="12"/>
  <c r="AD36" i="12"/>
  <c r="AC36" i="12"/>
  <c r="AN36" i="12"/>
  <c r="J36" i="12"/>
  <c r="AA36" i="12"/>
  <c r="AB36" i="12"/>
  <c r="Y36" i="12"/>
  <c r="AH36" i="12"/>
  <c r="AS36" i="12"/>
  <c r="AL36" i="12"/>
  <c r="AF36" i="12"/>
  <c r="D36" i="12"/>
  <c r="C36" i="12"/>
  <c r="AE36" i="12"/>
  <c r="AO36" i="12"/>
  <c r="Z36" i="12"/>
  <c r="K36" i="12"/>
  <c r="AQ36" i="12"/>
  <c r="AK36" i="12"/>
  <c r="L36" i="12"/>
  <c r="I36" i="12"/>
  <c r="AP36" i="12"/>
  <c r="E36" i="12"/>
  <c r="AM36" i="12"/>
  <c r="B36" i="12"/>
  <c r="A37" i="12" a="1"/>
  <c r="T36" i="12" l="1"/>
  <c r="R36" i="12"/>
  <c r="Q36" i="12"/>
  <c r="V36" i="12"/>
  <c r="AU36" i="12"/>
  <c r="A37" i="12"/>
  <c r="N36" i="12"/>
  <c r="F36" i="12"/>
  <c r="H36" i="12"/>
  <c r="G36" i="12"/>
  <c r="AI36" i="12"/>
  <c r="M36" i="12"/>
  <c r="P36" i="12"/>
  <c r="U36" i="12"/>
  <c r="S36" i="12"/>
  <c r="O36" i="12"/>
  <c r="W36" i="12" l="1"/>
  <c r="AT37" i="12"/>
  <c r="AA37" i="12"/>
  <c r="Y37" i="12"/>
  <c r="D37" i="12"/>
  <c r="AE37" i="12"/>
  <c r="AB37" i="12"/>
  <c r="AF37" i="12"/>
  <c r="C37" i="12"/>
  <c r="Z37" i="12"/>
  <c r="B37" i="12"/>
  <c r="L37" i="12"/>
  <c r="AD37" i="12"/>
  <c r="AN37" i="12"/>
  <c r="AK37" i="12"/>
  <c r="AL37" i="12"/>
  <c r="AS37" i="12"/>
  <c r="AM37" i="12"/>
  <c r="AC37" i="12"/>
  <c r="AQ37" i="12"/>
  <c r="AP37" i="12"/>
  <c r="E37" i="12"/>
  <c r="AG37" i="12"/>
  <c r="I37" i="12"/>
  <c r="K37" i="12"/>
  <c r="AR37" i="12"/>
  <c r="J37" i="12"/>
  <c r="AO37" i="12"/>
  <c r="AH37" i="12"/>
  <c r="A38" i="12" a="1"/>
  <c r="S37" i="12" l="1"/>
  <c r="T37" i="12"/>
  <c r="V37" i="12"/>
  <c r="O37" i="12"/>
  <c r="P37" i="12"/>
  <c r="A38" i="12"/>
  <c r="AU37" i="12"/>
  <c r="R37" i="12"/>
  <c r="M37" i="12"/>
  <c r="AI37" i="12"/>
  <c r="U37" i="12"/>
  <c r="G37" i="12"/>
  <c r="F37" i="12"/>
  <c r="H37" i="12"/>
  <c r="Q37" i="12"/>
  <c r="N37" i="12"/>
  <c r="W37" i="12" l="1"/>
  <c r="AF38" i="12"/>
  <c r="AS38" i="12"/>
  <c r="I38" i="12"/>
  <c r="K38" i="12"/>
  <c r="AT38" i="12"/>
  <c r="Y38" i="12"/>
  <c r="B38" i="12"/>
  <c r="AN38" i="12"/>
  <c r="AL38" i="12"/>
  <c r="L38" i="12"/>
  <c r="AB38" i="12"/>
  <c r="J38" i="12"/>
  <c r="AM38" i="12"/>
  <c r="AO38" i="12"/>
  <c r="AK38" i="12"/>
  <c r="AD38" i="12"/>
  <c r="D38" i="12"/>
  <c r="AA38" i="12"/>
  <c r="E38" i="12"/>
  <c r="AE38" i="12"/>
  <c r="AR38" i="12"/>
  <c r="C38" i="12"/>
  <c r="AH38" i="12"/>
  <c r="AG38" i="12"/>
  <c r="Z38" i="12"/>
  <c r="N38" i="12" s="1"/>
  <c r="AP38" i="12"/>
  <c r="AQ38" i="12"/>
  <c r="AC38" i="12"/>
  <c r="A39" i="12" a="1"/>
  <c r="S38" i="12" l="1"/>
  <c r="P38" i="12"/>
  <c r="V38" i="12"/>
  <c r="AU38" i="12"/>
  <c r="A39" i="12"/>
  <c r="F38" i="12"/>
  <c r="H38" i="12"/>
  <c r="G38" i="12"/>
  <c r="AI38" i="12"/>
  <c r="M38" i="12"/>
  <c r="Q38" i="12"/>
  <c r="O38" i="12"/>
  <c r="T38" i="12"/>
  <c r="U38" i="12"/>
  <c r="R38" i="12"/>
  <c r="W38" i="12" l="1"/>
  <c r="AF39" i="12"/>
  <c r="Y39" i="12"/>
  <c r="AD39" i="12"/>
  <c r="AM39" i="12"/>
  <c r="AA39" i="12"/>
  <c r="AT39" i="12"/>
  <c r="AR39" i="12"/>
  <c r="AP39" i="12"/>
  <c r="AB39" i="12"/>
  <c r="C39" i="12"/>
  <c r="J39" i="12"/>
  <c r="K39" i="12"/>
  <c r="AQ39" i="12"/>
  <c r="AL39" i="12"/>
  <c r="AC39" i="12"/>
  <c r="AH39" i="12"/>
  <c r="E39" i="12"/>
  <c r="AN39" i="12"/>
  <c r="L39" i="12"/>
  <c r="Z39" i="12"/>
  <c r="AO39" i="12"/>
  <c r="AS39" i="12"/>
  <c r="AK39" i="12"/>
  <c r="B39" i="12"/>
  <c r="I39" i="12"/>
  <c r="AG39" i="12"/>
  <c r="AE39" i="12"/>
  <c r="D39" i="12"/>
  <c r="A40" i="12" a="1"/>
  <c r="O39" i="12" l="1"/>
  <c r="AU39" i="12"/>
  <c r="Q39" i="12"/>
  <c r="V39" i="12"/>
  <c r="A40" i="12"/>
  <c r="R39" i="12"/>
  <c r="N39" i="12"/>
  <c r="S39" i="12"/>
  <c r="M39" i="12"/>
  <c r="AI39" i="12"/>
  <c r="U39" i="12"/>
  <c r="F39" i="12"/>
  <c r="H39" i="12"/>
  <c r="G39" i="12"/>
  <c r="P39" i="12"/>
  <c r="T39" i="12"/>
  <c r="W39" i="12" l="1"/>
  <c r="AE40" i="12"/>
  <c r="J40" i="12"/>
  <c r="AL40" i="12"/>
  <c r="AG40" i="12"/>
  <c r="Z40" i="12"/>
  <c r="AF40" i="12"/>
  <c r="AN40" i="12"/>
  <c r="AO40" i="12"/>
  <c r="I40" i="12"/>
  <c r="C40" i="12"/>
  <c r="AR40" i="12"/>
  <c r="AP40" i="12"/>
  <c r="D40" i="12"/>
  <c r="K40" i="12"/>
  <c r="AQ40" i="12"/>
  <c r="B40" i="12"/>
  <c r="AS40" i="12"/>
  <c r="AD40" i="12"/>
  <c r="E40" i="12"/>
  <c r="AA40" i="12"/>
  <c r="AH40" i="12"/>
  <c r="L40" i="12"/>
  <c r="AB40" i="12"/>
  <c r="AC40" i="12"/>
  <c r="AM40" i="12"/>
  <c r="AK40" i="12"/>
  <c r="AT40" i="12"/>
  <c r="Y40" i="12"/>
  <c r="A41" i="12" a="1"/>
  <c r="P40" i="12" l="1"/>
  <c r="V40" i="12"/>
  <c r="N40" i="12"/>
  <c r="Q40" i="12"/>
  <c r="O40" i="12"/>
  <c r="U40" i="12"/>
  <c r="T40" i="12"/>
  <c r="A41" i="12"/>
  <c r="G40" i="12"/>
  <c r="F40" i="12"/>
  <c r="H40" i="12"/>
  <c r="R40" i="12"/>
  <c r="M40" i="12"/>
  <c r="AI40" i="12"/>
  <c r="AU40" i="12"/>
  <c r="S40" i="12"/>
  <c r="W40" i="12" l="1"/>
  <c r="AB41" i="12"/>
  <c r="AD41" i="12"/>
  <c r="AN41" i="12"/>
  <c r="AE41" i="12"/>
  <c r="L41" i="12"/>
  <c r="Y41" i="12"/>
  <c r="J41" i="12"/>
  <c r="AF41" i="12"/>
  <c r="AL41" i="12"/>
  <c r="K41" i="12"/>
  <c r="AG41" i="12"/>
  <c r="B41" i="12"/>
  <c r="AH41" i="12"/>
  <c r="AM41" i="12"/>
  <c r="AS41" i="12"/>
  <c r="E41" i="12"/>
  <c r="AR41" i="12"/>
  <c r="AA41" i="12"/>
  <c r="AC41" i="12"/>
  <c r="AQ41" i="12"/>
  <c r="AO41" i="12"/>
  <c r="AP41" i="12"/>
  <c r="AK41" i="12"/>
  <c r="C41" i="12"/>
  <c r="AT41" i="12"/>
  <c r="Z41" i="12"/>
  <c r="I41" i="12"/>
  <c r="D41" i="12"/>
  <c r="A42" i="12" a="1"/>
  <c r="V41" i="12" l="1"/>
  <c r="N41" i="12"/>
  <c r="T41" i="12"/>
  <c r="AU41" i="12"/>
  <c r="A42" i="12"/>
  <c r="H41" i="12"/>
  <c r="G41" i="12"/>
  <c r="F41" i="12"/>
  <c r="AI41" i="12"/>
  <c r="M41" i="12"/>
  <c r="S41" i="12"/>
  <c r="Q41" i="12"/>
  <c r="U41" i="12"/>
  <c r="O41" i="12"/>
  <c r="R41" i="12"/>
  <c r="P41" i="12"/>
  <c r="W41" i="12" l="1"/>
  <c r="D42" i="12"/>
  <c r="Z42" i="12"/>
  <c r="E42" i="12"/>
  <c r="I42" i="12"/>
  <c r="AG42" i="12"/>
  <c r="AK42" i="12"/>
  <c r="B42" i="12"/>
  <c r="C42" i="12"/>
  <c r="AA42" i="12"/>
  <c r="AB42" i="12"/>
  <c r="J42" i="12"/>
  <c r="AR42" i="12"/>
  <c r="AL42" i="12"/>
  <c r="AN42" i="12"/>
  <c r="AF42" i="12"/>
  <c r="AO42" i="12"/>
  <c r="AE42" i="12"/>
  <c r="AM42" i="12"/>
  <c r="AC42" i="12"/>
  <c r="AT42" i="12"/>
  <c r="AQ42" i="12"/>
  <c r="AD42" i="12"/>
  <c r="AP42" i="12"/>
  <c r="L42" i="12"/>
  <c r="AS42" i="12"/>
  <c r="Y42" i="12"/>
  <c r="K42" i="12"/>
  <c r="AH42" i="12"/>
  <c r="A43" i="12" a="1"/>
  <c r="U42" i="12" l="1"/>
  <c r="Q42" i="12"/>
  <c r="V42" i="12"/>
  <c r="T42" i="12"/>
  <c r="A43" i="12"/>
  <c r="R42" i="12"/>
  <c r="G42" i="12"/>
  <c r="F42" i="12"/>
  <c r="H42" i="12"/>
  <c r="P42" i="12"/>
  <c r="O42" i="12"/>
  <c r="AU42" i="12"/>
  <c r="M42" i="12"/>
  <c r="AI42" i="12"/>
  <c r="N42" i="12"/>
  <c r="S42" i="12"/>
  <c r="W42" i="12" l="1"/>
  <c r="AH43" i="12"/>
  <c r="AR43" i="12"/>
  <c r="J43" i="12"/>
  <c r="Z43" i="12"/>
  <c r="AL43" i="12"/>
  <c r="AB43" i="12"/>
  <c r="E43" i="12"/>
  <c r="B43" i="12"/>
  <c r="Y43" i="12"/>
  <c r="AQ43" i="12"/>
  <c r="I43" i="12"/>
  <c r="AF43" i="12"/>
  <c r="AG43" i="12"/>
  <c r="AN43" i="12"/>
  <c r="AC43" i="12"/>
  <c r="AO43" i="12"/>
  <c r="AS43" i="12"/>
  <c r="AA43" i="12"/>
  <c r="C43" i="12"/>
  <c r="AM43" i="12"/>
  <c r="D43" i="12"/>
  <c r="AK43" i="12"/>
  <c r="L43" i="12"/>
  <c r="AP43" i="12"/>
  <c r="K43" i="12"/>
  <c r="AD43" i="12"/>
  <c r="AT43" i="12"/>
  <c r="AE43" i="12"/>
  <c r="A44" i="12" a="1"/>
  <c r="U43" i="12" l="1"/>
  <c r="S43" i="12"/>
  <c r="T43" i="12"/>
  <c r="P43" i="12"/>
  <c r="A44" i="12"/>
  <c r="AU43" i="12"/>
  <c r="N43" i="12"/>
  <c r="O43" i="12"/>
  <c r="Q43" i="12"/>
  <c r="G43" i="12"/>
  <c r="F43" i="12"/>
  <c r="H43" i="12"/>
  <c r="R43" i="12"/>
  <c r="M43" i="12"/>
  <c r="AI43" i="12"/>
  <c r="V43" i="12"/>
  <c r="W43" i="12" l="1"/>
  <c r="AB44" i="12"/>
  <c r="AA44" i="12"/>
  <c r="L44" i="12"/>
  <c r="E44" i="12"/>
  <c r="I44" i="12"/>
  <c r="D44" i="12"/>
  <c r="AH44" i="12"/>
  <c r="AF44" i="12"/>
  <c r="AE44" i="12"/>
  <c r="AL44" i="12"/>
  <c r="Y44" i="12"/>
  <c r="C44" i="12"/>
  <c r="AS44" i="12"/>
  <c r="AD44" i="12"/>
  <c r="AR44" i="12"/>
  <c r="AN44" i="12"/>
  <c r="Z44" i="12"/>
  <c r="AO44" i="12"/>
  <c r="AQ44" i="12"/>
  <c r="J44" i="12"/>
  <c r="AK44" i="12"/>
  <c r="K44" i="12"/>
  <c r="AC44" i="12"/>
  <c r="AP44" i="12"/>
  <c r="AM44" i="12"/>
  <c r="AG44" i="12"/>
  <c r="AT44" i="12"/>
  <c r="B44" i="12"/>
  <c r="A45" i="12" a="1"/>
  <c r="R44" i="12" l="1"/>
  <c r="Q44" i="12"/>
  <c r="O44" i="12"/>
  <c r="AU44" i="12"/>
  <c r="V44" i="12"/>
  <c r="P44" i="12"/>
  <c r="A45" i="12"/>
  <c r="G44" i="12"/>
  <c r="F44" i="12"/>
  <c r="H44" i="12"/>
  <c r="M44" i="12"/>
  <c r="AI44" i="12"/>
  <c r="U44" i="12"/>
  <c r="N44" i="12"/>
  <c r="S44" i="12"/>
  <c r="T44" i="12"/>
  <c r="W44" i="12" l="1"/>
  <c r="AN45" i="12"/>
  <c r="L45" i="12"/>
  <c r="AC45" i="12"/>
  <c r="AL45" i="12"/>
  <c r="B45" i="12"/>
  <c r="C45" i="12"/>
  <c r="D45" i="12"/>
  <c r="AD45" i="12"/>
  <c r="I45" i="12"/>
  <c r="AA45" i="12"/>
  <c r="AH45" i="12"/>
  <c r="AS45" i="12"/>
  <c r="AF45" i="12"/>
  <c r="AO45" i="12"/>
  <c r="AQ45" i="12"/>
  <c r="E45" i="12"/>
  <c r="Y45" i="12"/>
  <c r="AT45" i="12"/>
  <c r="K45" i="12"/>
  <c r="AE45" i="12"/>
  <c r="AB45" i="12"/>
  <c r="J45" i="12"/>
  <c r="AK45" i="12"/>
  <c r="Z45" i="12"/>
  <c r="AR45" i="12"/>
  <c r="AM45" i="12"/>
  <c r="AP45" i="12"/>
  <c r="AG45" i="12"/>
  <c r="A46" i="12" a="1"/>
  <c r="U45" i="12" l="1"/>
  <c r="V45" i="12"/>
  <c r="P45" i="12"/>
  <c r="T45" i="12"/>
  <c r="AU45" i="12"/>
  <c r="A46" i="12"/>
  <c r="S45" i="12"/>
  <c r="Q45" i="12"/>
  <c r="O45" i="12"/>
  <c r="M45" i="12"/>
  <c r="AI45" i="12"/>
  <c r="N45" i="12"/>
  <c r="G45" i="12"/>
  <c r="H45" i="12"/>
  <c r="F45" i="12"/>
  <c r="R45" i="12"/>
  <c r="W45" i="12" l="1"/>
  <c r="AS46" i="12"/>
  <c r="AN46" i="12"/>
  <c r="AB46" i="12"/>
  <c r="Y46" i="12"/>
  <c r="AT46" i="12"/>
  <c r="AP46" i="12"/>
  <c r="AG46" i="12"/>
  <c r="L46" i="12"/>
  <c r="AE46" i="12"/>
  <c r="AR46" i="12"/>
  <c r="AC46" i="12"/>
  <c r="B46" i="12"/>
  <c r="AM46" i="12"/>
  <c r="AK46" i="12"/>
  <c r="C46" i="12"/>
  <c r="D46" i="12"/>
  <c r="Z46" i="12"/>
  <c r="E46" i="12"/>
  <c r="I46" i="12"/>
  <c r="AO46" i="12"/>
  <c r="J46" i="12"/>
  <c r="AF46" i="12"/>
  <c r="K46" i="12"/>
  <c r="AA46" i="12"/>
  <c r="AQ46" i="12"/>
  <c r="AD46" i="12"/>
  <c r="AL46" i="12"/>
  <c r="AH46" i="12"/>
  <c r="A47" i="12" a="1"/>
  <c r="U46" i="12" l="1"/>
  <c r="T46" i="12"/>
  <c r="P46" i="12"/>
  <c r="AU46" i="12"/>
  <c r="A47" i="12"/>
  <c r="V46" i="12"/>
  <c r="AI46" i="12"/>
  <c r="M46" i="12"/>
  <c r="Q46" i="12"/>
  <c r="R46" i="12"/>
  <c r="G46" i="12"/>
  <c r="F46" i="12"/>
  <c r="H46" i="12"/>
  <c r="N46" i="12"/>
  <c r="S46" i="12"/>
  <c r="O46" i="12"/>
  <c r="W46" i="12" l="1"/>
  <c r="C47" i="12"/>
  <c r="D47" i="12"/>
  <c r="L47" i="12"/>
  <c r="AN47" i="12"/>
  <c r="AG47" i="12"/>
  <c r="AH47" i="12"/>
  <c r="AO47" i="12"/>
  <c r="AS47" i="12"/>
  <c r="AR47" i="12"/>
  <c r="B47" i="12"/>
  <c r="I47" i="12"/>
  <c r="Z47" i="12"/>
  <c r="AQ47" i="12"/>
  <c r="AT47" i="12"/>
  <c r="AE47" i="12"/>
  <c r="AK47" i="12"/>
  <c r="AL47" i="12"/>
  <c r="E47" i="12"/>
  <c r="AD47" i="12"/>
  <c r="AF47" i="12"/>
  <c r="AM47" i="12"/>
  <c r="Y47" i="12"/>
  <c r="AC47" i="12"/>
  <c r="AA47" i="12"/>
  <c r="K47" i="12"/>
  <c r="AB47" i="12"/>
  <c r="J47" i="12"/>
  <c r="AP47" i="12"/>
  <c r="A48" i="12" a="1"/>
  <c r="T47" i="12" l="1"/>
  <c r="N47" i="12"/>
  <c r="Q47" i="12"/>
  <c r="U47" i="12"/>
  <c r="S47" i="12"/>
  <c r="A48" i="12"/>
  <c r="AI47" i="12"/>
  <c r="M47" i="12"/>
  <c r="V47" i="12"/>
  <c r="R47" i="12"/>
  <c r="P47" i="12"/>
  <c r="F47" i="12"/>
  <c r="H47" i="12"/>
  <c r="G47" i="12"/>
  <c r="O47" i="12"/>
  <c r="AU47" i="12"/>
  <c r="W47" i="12" l="1"/>
  <c r="AK48" i="12"/>
  <c r="Y48" i="12"/>
  <c r="AD48" i="12"/>
  <c r="AB48" i="12"/>
  <c r="D48" i="12"/>
  <c r="AL48" i="12"/>
  <c r="AE48" i="12"/>
  <c r="C48" i="12"/>
  <c r="AO48" i="12"/>
  <c r="AR48" i="12"/>
  <c r="J48" i="12"/>
  <c r="K48" i="12"/>
  <c r="AP48" i="12"/>
  <c r="AN48" i="12"/>
  <c r="AG48" i="12"/>
  <c r="I48" i="12"/>
  <c r="AS48" i="12"/>
  <c r="AF48" i="12"/>
  <c r="L48" i="12"/>
  <c r="AH48" i="12"/>
  <c r="AT48" i="12"/>
  <c r="B48" i="12"/>
  <c r="AM48" i="12"/>
  <c r="Z48" i="12"/>
  <c r="E48" i="12"/>
  <c r="AA48" i="12"/>
  <c r="AQ48" i="12"/>
  <c r="AC48" i="12"/>
  <c r="A49" i="12" a="1"/>
  <c r="T48" i="12" l="1"/>
  <c r="U48" i="12"/>
  <c r="Q48" i="12"/>
  <c r="S48" i="12"/>
  <c r="A49" i="12"/>
  <c r="AI48" i="12"/>
  <c r="M48" i="12"/>
  <c r="G48" i="12"/>
  <c r="F48" i="12"/>
  <c r="H48" i="12"/>
  <c r="AU48" i="12"/>
  <c r="V48" i="12"/>
  <c r="P48" i="12"/>
  <c r="R48" i="12"/>
  <c r="O48" i="12"/>
  <c r="N48" i="12"/>
  <c r="W48" i="12" l="1"/>
  <c r="AA49" i="12"/>
  <c r="AE49" i="12"/>
  <c r="AN49" i="12"/>
  <c r="AC49" i="12"/>
  <c r="AF49" i="12"/>
  <c r="AD49" i="12"/>
  <c r="AP49" i="12"/>
  <c r="D49" i="12"/>
  <c r="C49" i="12"/>
  <c r="AL49" i="12"/>
  <c r="AQ49" i="12"/>
  <c r="AR49" i="12"/>
  <c r="Z49" i="12"/>
  <c r="Y49" i="12"/>
  <c r="AG49" i="12"/>
  <c r="AT49" i="12"/>
  <c r="AS49" i="12"/>
  <c r="AK49" i="12"/>
  <c r="AH49" i="12"/>
  <c r="E49" i="12"/>
  <c r="L49" i="12"/>
  <c r="B49" i="12"/>
  <c r="AB49" i="12"/>
  <c r="AO49" i="12"/>
  <c r="I49" i="12"/>
  <c r="J49" i="12"/>
  <c r="K49" i="12"/>
  <c r="AM49" i="12"/>
  <c r="A50" i="12" a="1"/>
  <c r="V49" i="12" l="1"/>
  <c r="U49" i="12"/>
  <c r="N49" i="12"/>
  <c r="Q49" i="12"/>
  <c r="P49" i="12"/>
  <c r="T49" i="12"/>
  <c r="A50" i="12"/>
  <c r="R49" i="12"/>
  <c r="F49" i="12"/>
  <c r="G49" i="12"/>
  <c r="H49" i="12"/>
  <c r="M49" i="12"/>
  <c r="AI49" i="12"/>
  <c r="AU49" i="12"/>
  <c r="S49" i="12"/>
  <c r="O49" i="12"/>
  <c r="W49" i="12" l="1"/>
  <c r="AA50" i="12"/>
  <c r="AF50" i="12"/>
  <c r="AM50" i="12"/>
  <c r="J50" i="12"/>
  <c r="AT50" i="12"/>
  <c r="AD50" i="12"/>
  <c r="AR50" i="12"/>
  <c r="AN50" i="12"/>
  <c r="AQ50" i="12"/>
  <c r="Y50" i="12"/>
  <c r="AL50" i="12"/>
  <c r="L50" i="12"/>
  <c r="AG50" i="12"/>
  <c r="AP50" i="12"/>
  <c r="C50" i="12"/>
  <c r="AK50" i="12"/>
  <c r="AC50" i="12"/>
  <c r="B50" i="12"/>
  <c r="AH50" i="12"/>
  <c r="K50" i="12"/>
  <c r="E50" i="12"/>
  <c r="AS50" i="12"/>
  <c r="AO50" i="12"/>
  <c r="AE50" i="12"/>
  <c r="Z50" i="12"/>
  <c r="AB50" i="12"/>
  <c r="D50" i="12"/>
  <c r="I50" i="12"/>
  <c r="A51" i="12" a="1"/>
  <c r="S50" i="12" l="1"/>
  <c r="AU50" i="12"/>
  <c r="R50" i="12"/>
  <c r="A51" i="12"/>
  <c r="U50" i="12"/>
  <c r="V50" i="12"/>
  <c r="H50" i="12"/>
  <c r="G50" i="12"/>
  <c r="F50" i="12"/>
  <c r="P50" i="12"/>
  <c r="M50" i="12"/>
  <c r="AI50" i="12"/>
  <c r="T50" i="12"/>
  <c r="N50" i="12"/>
  <c r="Q50" i="12"/>
  <c r="O50" i="12"/>
  <c r="W50" i="12" l="1"/>
  <c r="AN51" i="12"/>
  <c r="AH51" i="12"/>
  <c r="AA51" i="12"/>
  <c r="J51" i="12"/>
  <c r="L51" i="12"/>
  <c r="AO51" i="12"/>
  <c r="AL51" i="12"/>
  <c r="Y51" i="12"/>
  <c r="E51" i="12"/>
  <c r="AB51" i="12"/>
  <c r="AE51" i="12"/>
  <c r="Z51" i="12"/>
  <c r="AC51" i="12"/>
  <c r="AS51" i="12"/>
  <c r="AM51" i="12"/>
  <c r="I51" i="12"/>
  <c r="B51" i="12"/>
  <c r="AF51" i="12"/>
  <c r="AQ51" i="12"/>
  <c r="D51" i="12"/>
  <c r="AK51" i="12"/>
  <c r="C51" i="12"/>
  <c r="AG51" i="12"/>
  <c r="AP51" i="12"/>
  <c r="AR51" i="12"/>
  <c r="K51" i="12"/>
  <c r="AT51" i="12"/>
  <c r="AD51" i="12"/>
  <c r="A52" i="12" a="1"/>
  <c r="P51" i="12" l="1"/>
  <c r="U51" i="12"/>
  <c r="S51" i="12"/>
  <c r="A52" i="12"/>
  <c r="M51" i="12"/>
  <c r="AI51" i="12"/>
  <c r="Q51" i="12"/>
  <c r="R51" i="12"/>
  <c r="AU51" i="12"/>
  <c r="N51" i="12"/>
  <c r="O51" i="12"/>
  <c r="T51" i="12"/>
  <c r="V51" i="12"/>
  <c r="F51" i="12"/>
  <c r="H51" i="12"/>
  <c r="G51" i="12"/>
  <c r="W51" i="12" l="1"/>
  <c r="J52" i="12"/>
  <c r="C52" i="12"/>
  <c r="AT52" i="12"/>
  <c r="Z52" i="12"/>
  <c r="E52" i="12"/>
  <c r="Y52" i="12"/>
  <c r="AA52" i="12"/>
  <c r="AH52" i="12"/>
  <c r="AG52" i="12"/>
  <c r="AQ52" i="12"/>
  <c r="AL52" i="12"/>
  <c r="D52" i="12"/>
  <c r="AE52" i="12"/>
  <c r="AM52" i="12"/>
  <c r="AD52" i="12"/>
  <c r="AN52" i="12"/>
  <c r="AP52" i="12"/>
  <c r="AK52" i="12"/>
  <c r="AC52" i="12"/>
  <c r="AB52" i="12"/>
  <c r="AF52" i="12"/>
  <c r="I52" i="12"/>
  <c r="B52" i="12"/>
  <c r="AS52" i="12"/>
  <c r="K52" i="12"/>
  <c r="AO52" i="12"/>
  <c r="AR52" i="12"/>
  <c r="L52" i="12"/>
  <c r="A53" i="12" a="1"/>
  <c r="N52" i="12" l="1"/>
  <c r="T52" i="12"/>
  <c r="S52" i="12"/>
  <c r="P52" i="12"/>
  <c r="Q52" i="12"/>
  <c r="U52" i="12"/>
  <c r="R52" i="12"/>
  <c r="O52" i="12"/>
  <c r="A53" i="12"/>
  <c r="AI52" i="12"/>
  <c r="M52" i="12"/>
  <c r="AU52" i="12"/>
  <c r="H52" i="12"/>
  <c r="G52" i="12"/>
  <c r="F52" i="12"/>
  <c r="V52" i="12"/>
  <c r="W52" i="12" l="1"/>
  <c r="I53" i="12"/>
  <c r="AT53" i="12"/>
  <c r="AE53" i="12"/>
  <c r="E53" i="12"/>
  <c r="AR53" i="12"/>
  <c r="AG53" i="12"/>
  <c r="AB53" i="12"/>
  <c r="Z53" i="12"/>
  <c r="AD53" i="12"/>
  <c r="AO53" i="12"/>
  <c r="AH53" i="12"/>
  <c r="AC53" i="12"/>
  <c r="Y53" i="12"/>
  <c r="AQ53" i="12"/>
  <c r="AF53" i="12"/>
  <c r="AM53" i="12"/>
  <c r="AP53" i="12"/>
  <c r="L53" i="12"/>
  <c r="AK53" i="12"/>
  <c r="B53" i="12"/>
  <c r="AL53" i="12"/>
  <c r="AS53" i="12"/>
  <c r="C53" i="12"/>
  <c r="AN53" i="12"/>
  <c r="K53" i="12"/>
  <c r="AA53" i="12"/>
  <c r="J53" i="12"/>
  <c r="D53" i="12"/>
  <c r="A54" i="12" a="1"/>
  <c r="Q53" i="12" l="1"/>
  <c r="V53" i="12"/>
  <c r="O53" i="12"/>
  <c r="P53" i="12"/>
  <c r="T53" i="12"/>
  <c r="A54" i="12"/>
  <c r="H53" i="12"/>
  <c r="F53" i="12"/>
  <c r="G53" i="12"/>
  <c r="AU53" i="12"/>
  <c r="S53" i="12"/>
  <c r="U53" i="12"/>
  <c r="AI53" i="12"/>
  <c r="M53" i="12"/>
  <c r="R53" i="12"/>
  <c r="N53" i="12"/>
  <c r="W53" i="12" l="1"/>
  <c r="AG54" i="12"/>
  <c r="AA54" i="12"/>
  <c r="AD54" i="12"/>
  <c r="AT54" i="12"/>
  <c r="AQ54" i="12"/>
  <c r="B54" i="12"/>
  <c r="AE54" i="12"/>
  <c r="AS54" i="12"/>
  <c r="AN54" i="12"/>
  <c r="E54" i="12"/>
  <c r="I54" i="12"/>
  <c r="AL54" i="12"/>
  <c r="D54" i="12"/>
  <c r="L54" i="12"/>
  <c r="Y54" i="12"/>
  <c r="AC54" i="12"/>
  <c r="AK54" i="12"/>
  <c r="Z54" i="12"/>
  <c r="AB54" i="12"/>
  <c r="AR54" i="12"/>
  <c r="AO54" i="12"/>
  <c r="AP54" i="12"/>
  <c r="K54" i="12"/>
  <c r="AM54" i="12"/>
  <c r="AF54" i="12"/>
  <c r="J54" i="12"/>
  <c r="C54" i="12"/>
  <c r="AH54" i="12"/>
  <c r="A55" i="12" a="1"/>
  <c r="V54" i="12" l="1"/>
  <c r="P54" i="12"/>
  <c r="O54" i="12"/>
  <c r="U54" i="12"/>
  <c r="S54" i="12"/>
  <c r="A55" i="12"/>
  <c r="M54" i="12"/>
  <c r="AI54" i="12"/>
  <c r="R54" i="12"/>
  <c r="N54" i="12"/>
  <c r="H54" i="12"/>
  <c r="G54" i="12"/>
  <c r="F54" i="12"/>
  <c r="T54" i="12"/>
  <c r="AU54" i="12"/>
  <c r="Q54" i="12"/>
  <c r="W54" i="12" l="1"/>
  <c r="D55" i="12"/>
  <c r="AL55" i="12"/>
  <c r="AP55" i="12"/>
  <c r="J55" i="12"/>
  <c r="L55" i="12"/>
  <c r="B55" i="12"/>
  <c r="AA55" i="12"/>
  <c r="E55" i="12"/>
  <c r="AG55" i="12"/>
  <c r="AE55" i="12"/>
  <c r="AF55" i="12"/>
  <c r="AH55" i="12"/>
  <c r="AQ55" i="12"/>
  <c r="AT55" i="12"/>
  <c r="AB55" i="12"/>
  <c r="AK55" i="12"/>
  <c r="AC55" i="12"/>
  <c r="AS55" i="12"/>
  <c r="AO55" i="12"/>
  <c r="C55" i="12"/>
  <c r="AN55" i="12"/>
  <c r="Z55" i="12"/>
  <c r="K55" i="12"/>
  <c r="AD55" i="12"/>
  <c r="AR55" i="12"/>
  <c r="I55" i="12"/>
  <c r="Y55" i="12"/>
  <c r="AM55" i="12"/>
  <c r="A56" i="12" a="1"/>
  <c r="N55" i="12" l="1"/>
  <c r="T55" i="12"/>
  <c r="P55" i="12"/>
  <c r="O55" i="12"/>
  <c r="A56" i="12"/>
  <c r="M55" i="12"/>
  <c r="AI55" i="12"/>
  <c r="V55" i="12"/>
  <c r="S55" i="12"/>
  <c r="Q55" i="12"/>
  <c r="U55" i="12"/>
  <c r="R55" i="12"/>
  <c r="AU55" i="12"/>
  <c r="F55" i="12"/>
  <c r="H55" i="12"/>
  <c r="G55" i="12"/>
  <c r="W55" i="12" l="1"/>
  <c r="D56" i="12"/>
  <c r="J56" i="12"/>
  <c r="AD56" i="12"/>
  <c r="AQ56" i="12"/>
  <c r="C56" i="12"/>
  <c r="I56" i="12"/>
  <c r="AE56" i="12"/>
  <c r="L56" i="12"/>
  <c r="AA56" i="12"/>
  <c r="AH56" i="12"/>
  <c r="AN56" i="12"/>
  <c r="AM56" i="12"/>
  <c r="AR56" i="12"/>
  <c r="AG56" i="12"/>
  <c r="K56" i="12"/>
  <c r="AT56" i="12"/>
  <c r="AK56" i="12"/>
  <c r="AB56" i="12"/>
  <c r="AF56" i="12"/>
  <c r="AL56" i="12"/>
  <c r="Z56" i="12"/>
  <c r="Y56" i="12"/>
  <c r="B56" i="12"/>
  <c r="AS56" i="12"/>
  <c r="AC56" i="12"/>
  <c r="AP56" i="12"/>
  <c r="AO56" i="12"/>
  <c r="E56" i="12"/>
  <c r="A57" i="12" a="1"/>
  <c r="R56" i="12" l="1"/>
  <c r="N56" i="12"/>
  <c r="U56" i="12"/>
  <c r="V56" i="12"/>
  <c r="S56" i="12"/>
  <c r="P56" i="12"/>
  <c r="A57" i="12"/>
  <c r="AI56" i="12"/>
  <c r="M56" i="12"/>
  <c r="H56" i="12"/>
  <c r="G56" i="12"/>
  <c r="F56" i="12"/>
  <c r="AU56" i="12"/>
  <c r="T56" i="12"/>
  <c r="Q56" i="12"/>
  <c r="O56" i="12"/>
  <c r="W56" i="12" l="1"/>
  <c r="J57" i="12"/>
  <c r="Z57" i="12"/>
  <c r="AL57" i="12"/>
  <c r="AC57" i="12"/>
  <c r="AM57" i="12"/>
  <c r="AE57" i="12"/>
  <c r="AS57" i="12"/>
  <c r="AH57" i="12"/>
  <c r="I57" i="12"/>
  <c r="AO57" i="12"/>
  <c r="AT57" i="12"/>
  <c r="AG57" i="12"/>
  <c r="AR57" i="12"/>
  <c r="AQ57" i="12"/>
  <c r="AF57" i="12"/>
  <c r="AB57" i="12"/>
  <c r="K57" i="12"/>
  <c r="D57" i="12"/>
  <c r="Y57" i="12"/>
  <c r="L57" i="12"/>
  <c r="AA57" i="12"/>
  <c r="E57" i="12"/>
  <c r="AK57" i="12"/>
  <c r="AP57" i="12"/>
  <c r="C57" i="12"/>
  <c r="AN57" i="12"/>
  <c r="B57" i="12"/>
  <c r="AD57" i="12"/>
  <c r="A58" i="12" a="1"/>
  <c r="Q57" i="12" l="1"/>
  <c r="O57" i="12"/>
  <c r="R57" i="12"/>
  <c r="AU57" i="12"/>
  <c r="S57" i="12"/>
  <c r="T57" i="12"/>
  <c r="N57" i="12"/>
  <c r="A58" i="12"/>
  <c r="M57" i="12"/>
  <c r="AI57" i="12"/>
  <c r="H57" i="12"/>
  <c r="G57" i="12"/>
  <c r="F57" i="12"/>
  <c r="U57" i="12"/>
  <c r="P57" i="12"/>
  <c r="V57" i="12"/>
  <c r="W57" i="12" l="1"/>
  <c r="AD58" i="12"/>
  <c r="J58" i="12"/>
  <c r="C58" i="12"/>
  <c r="I58" i="12"/>
  <c r="AF58" i="12"/>
  <c r="AE58" i="12"/>
  <c r="AL58" i="12"/>
  <c r="D58" i="12"/>
  <c r="AQ58" i="12"/>
  <c r="AT58" i="12"/>
  <c r="Y58" i="12"/>
  <c r="K58" i="12"/>
  <c r="AR58" i="12"/>
  <c r="B58" i="12"/>
  <c r="AM58" i="12"/>
  <c r="AK58" i="12"/>
  <c r="AS58" i="12"/>
  <c r="AA58" i="12"/>
  <c r="AN58" i="12"/>
  <c r="AC58" i="12"/>
  <c r="AB58" i="12"/>
  <c r="AG58" i="12"/>
  <c r="L58" i="12"/>
  <c r="AP58" i="12"/>
  <c r="E58" i="12"/>
  <c r="Z58" i="12"/>
  <c r="AO58" i="12"/>
  <c r="AH58" i="12"/>
  <c r="A59" i="12" a="1"/>
  <c r="Q58" i="12" l="1"/>
  <c r="U58" i="12"/>
  <c r="P58" i="12"/>
  <c r="V58" i="12"/>
  <c r="S58" i="12"/>
  <c r="R58" i="12"/>
  <c r="A59" i="12"/>
  <c r="O58" i="12"/>
  <c r="T58" i="12"/>
  <c r="M58" i="12"/>
  <c r="AI58" i="12"/>
  <c r="N58" i="12"/>
  <c r="F58" i="12"/>
  <c r="H58" i="12"/>
  <c r="G58" i="12"/>
  <c r="AU58" i="12"/>
  <c r="W58" i="12" l="1"/>
  <c r="AL59" i="12"/>
  <c r="Z59" i="12"/>
  <c r="I59" i="12"/>
  <c r="E59" i="12"/>
  <c r="J59" i="12"/>
  <c r="AK59" i="12"/>
  <c r="AR59" i="12"/>
  <c r="Y59" i="12"/>
  <c r="AC59" i="12"/>
  <c r="AT59" i="12"/>
  <c r="AE59" i="12"/>
  <c r="AS59" i="12"/>
  <c r="B59" i="12"/>
  <c r="AG59" i="12"/>
  <c r="AB59" i="12"/>
  <c r="AM59" i="12"/>
  <c r="AH59" i="12"/>
  <c r="AQ59" i="12"/>
  <c r="AA59" i="12"/>
  <c r="C59" i="12"/>
  <c r="AP59" i="12"/>
  <c r="AO59" i="12"/>
  <c r="AN59" i="12"/>
  <c r="AF59" i="12"/>
  <c r="L59" i="12"/>
  <c r="D59" i="12"/>
  <c r="K59" i="12"/>
  <c r="AD59" i="12"/>
  <c r="A60" i="12" a="1"/>
  <c r="O59" i="12" l="1"/>
  <c r="S59" i="12"/>
  <c r="N59" i="12"/>
  <c r="U59" i="12"/>
  <c r="A60" i="12"/>
  <c r="P59" i="12"/>
  <c r="R59" i="12"/>
  <c r="V59" i="12"/>
  <c r="Q59" i="12"/>
  <c r="AU59" i="12"/>
  <c r="F59" i="12"/>
  <c r="G59" i="12"/>
  <c r="H59" i="12"/>
  <c r="T59" i="12"/>
  <c r="AI59" i="12"/>
  <c r="M59" i="12"/>
  <c r="W59" i="12" l="1"/>
  <c r="AF60" i="12"/>
  <c r="C60" i="12"/>
  <c r="AA60" i="12"/>
  <c r="AN60" i="12"/>
  <c r="D60" i="12"/>
  <c r="AK60" i="12"/>
  <c r="L60" i="12"/>
  <c r="AM60" i="12"/>
  <c r="AP60" i="12"/>
  <c r="AG60" i="12"/>
  <c r="Z60" i="12"/>
  <c r="AD60" i="12"/>
  <c r="AQ60" i="12"/>
  <c r="AH60" i="12"/>
  <c r="AS60" i="12"/>
  <c r="AB60" i="12"/>
  <c r="AC60" i="12"/>
  <c r="AE60" i="12"/>
  <c r="B60" i="12"/>
  <c r="AR60" i="12"/>
  <c r="AO60" i="12"/>
  <c r="Y60" i="12"/>
  <c r="J60" i="12"/>
  <c r="I60" i="12"/>
  <c r="E60" i="12"/>
  <c r="AT60" i="12"/>
  <c r="AL60" i="12"/>
  <c r="K60" i="12"/>
  <c r="A61" i="12" a="1"/>
  <c r="V60" i="12" l="1"/>
  <c r="R60" i="12"/>
  <c r="P60" i="12"/>
  <c r="A61" i="12"/>
  <c r="AU60" i="12"/>
  <c r="N60" i="12"/>
  <c r="O60" i="12"/>
  <c r="AI60" i="12"/>
  <c r="M60" i="12"/>
  <c r="S60" i="12"/>
  <c r="U60" i="12"/>
  <c r="G60" i="12"/>
  <c r="H60" i="12"/>
  <c r="F60" i="12"/>
  <c r="Q60" i="12"/>
  <c r="T60" i="12"/>
  <c r="W60" i="12" l="1"/>
  <c r="AS61" i="12"/>
  <c r="C61" i="12"/>
  <c r="I61" i="12"/>
  <c r="AN61" i="12"/>
  <c r="AK61" i="12"/>
  <c r="AB61" i="12"/>
  <c r="AL61" i="12"/>
  <c r="AD61" i="12"/>
  <c r="L61" i="12"/>
  <c r="AC61" i="12"/>
  <c r="AT61" i="12"/>
  <c r="AO61" i="12"/>
  <c r="AG61" i="12"/>
  <c r="AE61" i="12"/>
  <c r="AQ61" i="12"/>
  <c r="B61" i="12"/>
  <c r="K61" i="12"/>
  <c r="AA61" i="12"/>
  <c r="Z61" i="12"/>
  <c r="AR61" i="12"/>
  <c r="AF61" i="12"/>
  <c r="Y61" i="12"/>
  <c r="AP61" i="12"/>
  <c r="AM61" i="12"/>
  <c r="AH61" i="12"/>
  <c r="E61" i="12"/>
  <c r="D61" i="12"/>
  <c r="J61" i="12"/>
  <c r="A62" i="12" a="1"/>
  <c r="P61" i="12" l="1"/>
  <c r="T61" i="12"/>
  <c r="U61" i="12"/>
  <c r="R61" i="12"/>
  <c r="A62" i="12"/>
  <c r="AU61" i="12"/>
  <c r="M61" i="12"/>
  <c r="AI61" i="12"/>
  <c r="S61" i="12"/>
  <c r="H61" i="12"/>
  <c r="G61" i="12"/>
  <c r="F61" i="12"/>
  <c r="N61" i="12"/>
  <c r="O61" i="12"/>
  <c r="Q61" i="12"/>
  <c r="V61" i="12"/>
  <c r="W61" i="12" l="1"/>
  <c r="AE62" i="12"/>
  <c r="AA62" i="12"/>
  <c r="AQ62" i="12"/>
  <c r="AF62" i="12"/>
  <c r="AR62" i="12"/>
  <c r="I62" i="12"/>
  <c r="AH62" i="12"/>
  <c r="B62" i="12"/>
  <c r="AS62" i="12"/>
  <c r="AK62" i="12"/>
  <c r="E62" i="12"/>
  <c r="AB62" i="12"/>
  <c r="AP62" i="12"/>
  <c r="AD62" i="12"/>
  <c r="AL62" i="12"/>
  <c r="AM62" i="12"/>
  <c r="AN62" i="12"/>
  <c r="J62" i="12"/>
  <c r="AO62" i="12"/>
  <c r="AG62" i="12"/>
  <c r="AT62" i="12"/>
  <c r="D62" i="12"/>
  <c r="Y62" i="12"/>
  <c r="AC62" i="12"/>
  <c r="C62" i="12"/>
  <c r="Z62" i="12"/>
  <c r="L62" i="12"/>
  <c r="K62" i="12"/>
  <c r="A63" i="12" a="1"/>
  <c r="U62" i="12" l="1"/>
  <c r="P62" i="12"/>
  <c r="R62" i="12"/>
  <c r="V62" i="12"/>
  <c r="Q62" i="12"/>
  <c r="A63" i="12"/>
  <c r="T62" i="12"/>
  <c r="AI62" i="12"/>
  <c r="M62" i="12"/>
  <c r="G62" i="12"/>
  <c r="H62" i="12"/>
  <c r="F62" i="12"/>
  <c r="N62" i="12"/>
  <c r="AU62" i="12"/>
  <c r="O62" i="12"/>
  <c r="S62" i="12"/>
  <c r="W62" i="12" l="1"/>
  <c r="AL63" i="12"/>
  <c r="AM63" i="12"/>
  <c r="AS63" i="12"/>
  <c r="AN63" i="12"/>
  <c r="L63" i="12"/>
  <c r="AO63" i="12"/>
  <c r="Z63" i="12"/>
  <c r="AD63" i="12"/>
  <c r="E63" i="12"/>
  <c r="AP63" i="12"/>
  <c r="AF63" i="12"/>
  <c r="C63" i="12"/>
  <c r="J63" i="12"/>
  <c r="AG63" i="12"/>
  <c r="AA63" i="12"/>
  <c r="AK63" i="12"/>
  <c r="AQ63" i="12"/>
  <c r="AT63" i="12"/>
  <c r="AB63" i="12"/>
  <c r="K63" i="12"/>
  <c r="Y63" i="12"/>
  <c r="AC63" i="12"/>
  <c r="D63" i="12"/>
  <c r="B63" i="12"/>
  <c r="AE63" i="12"/>
  <c r="I63" i="12"/>
  <c r="AR63" i="12"/>
  <c r="AH63" i="12"/>
  <c r="A64" i="12" a="1"/>
  <c r="Q63" i="12" l="1"/>
  <c r="S63" i="12"/>
  <c r="O63" i="12"/>
  <c r="U63" i="12"/>
  <c r="N63" i="12"/>
  <c r="V63" i="12"/>
  <c r="A64" i="12"/>
  <c r="AI63" i="12"/>
  <c r="M63" i="12"/>
  <c r="P63" i="12"/>
  <c r="T63" i="12"/>
  <c r="F63" i="12"/>
  <c r="H63" i="12"/>
  <c r="G63" i="12"/>
  <c r="AU63" i="12"/>
  <c r="R63" i="12"/>
  <c r="W63" i="12" l="1"/>
  <c r="AR64" i="12"/>
  <c r="AO64" i="12"/>
  <c r="AC64" i="12"/>
  <c r="AT64" i="12"/>
  <c r="AG64" i="12"/>
  <c r="Y64" i="12"/>
  <c r="K64" i="12"/>
  <c r="J64" i="12"/>
  <c r="D64" i="12"/>
  <c r="AL64" i="12"/>
  <c r="AS64" i="12"/>
  <c r="AA64" i="12"/>
  <c r="AK64" i="12"/>
  <c r="AD64" i="12"/>
  <c r="AE64" i="12"/>
  <c r="I64" i="12"/>
  <c r="AN64" i="12"/>
  <c r="AB64" i="12"/>
  <c r="AH64" i="12"/>
  <c r="AM64" i="12"/>
  <c r="L64" i="12"/>
  <c r="B64" i="12"/>
  <c r="AQ64" i="12"/>
  <c r="Z64" i="12"/>
  <c r="C64" i="12"/>
  <c r="AF64" i="12"/>
  <c r="AP64" i="12"/>
  <c r="E64" i="12"/>
  <c r="A65" i="12" a="1"/>
  <c r="AU64" i="12" l="1"/>
  <c r="Q64" i="12"/>
  <c r="P64" i="12"/>
  <c r="U64" i="12"/>
  <c r="T64" i="12"/>
  <c r="R64" i="12"/>
  <c r="O64" i="12"/>
  <c r="A65" i="12"/>
  <c r="M64" i="12"/>
  <c r="AI64" i="12"/>
  <c r="S64" i="12"/>
  <c r="F64" i="12"/>
  <c r="G64" i="12"/>
  <c r="H64" i="12"/>
  <c r="V64" i="12"/>
  <c r="N64" i="12"/>
  <c r="W64" i="12" l="1"/>
  <c r="AH65" i="12"/>
  <c r="I65" i="12"/>
  <c r="AR65" i="12"/>
  <c r="AE65" i="12"/>
  <c r="AO65" i="12"/>
  <c r="AQ65" i="12"/>
  <c r="AC65" i="12"/>
  <c r="K65" i="12"/>
  <c r="AN65" i="12"/>
  <c r="Z65" i="12"/>
  <c r="AK65" i="12"/>
  <c r="AA65" i="12"/>
  <c r="AB65" i="12"/>
  <c r="B65" i="12"/>
  <c r="D65" i="12"/>
  <c r="Y65" i="12"/>
  <c r="E65" i="12"/>
  <c r="AS65" i="12"/>
  <c r="AP65" i="12"/>
  <c r="AT65" i="12"/>
  <c r="J65" i="12"/>
  <c r="AF65" i="12"/>
  <c r="AM65" i="12"/>
  <c r="AL65" i="12"/>
  <c r="AG65" i="12"/>
  <c r="L65" i="12"/>
  <c r="C65" i="12"/>
  <c r="AD65" i="12"/>
  <c r="A66" i="12" a="1"/>
  <c r="P65" i="12" l="1"/>
  <c r="R65" i="12"/>
  <c r="Q65" i="12"/>
  <c r="T65" i="12"/>
  <c r="N65" i="12"/>
  <c r="A66" i="12"/>
  <c r="O65" i="12"/>
  <c r="S65" i="12"/>
  <c r="AU65" i="12"/>
  <c r="U65" i="12"/>
  <c r="G65" i="12"/>
  <c r="F65" i="12"/>
  <c r="H65" i="12"/>
  <c r="V65" i="12"/>
  <c r="M65" i="12"/>
  <c r="AI65" i="12"/>
  <c r="W65" i="12" l="1"/>
  <c r="AE66" i="12"/>
  <c r="AA66" i="12"/>
  <c r="E66" i="12"/>
  <c r="J66" i="12"/>
  <c r="AH66" i="12"/>
  <c r="AR66" i="12"/>
  <c r="I66" i="12"/>
  <c r="D66" i="12"/>
  <c r="AS66" i="12"/>
  <c r="AL66" i="12"/>
  <c r="B66" i="12"/>
  <c r="Z66" i="12"/>
  <c r="AK66" i="12"/>
  <c r="AD66" i="12"/>
  <c r="AB66" i="12"/>
  <c r="AF66" i="12"/>
  <c r="AC66" i="12"/>
  <c r="AG66" i="12"/>
  <c r="C66" i="12"/>
  <c r="AQ66" i="12"/>
  <c r="AN66" i="12"/>
  <c r="L66" i="12"/>
  <c r="AM66" i="12"/>
  <c r="Y66" i="12"/>
  <c r="AP66" i="12"/>
  <c r="AO66" i="12"/>
  <c r="K66" i="12"/>
  <c r="AT66" i="12"/>
  <c r="A67" i="12" a="1"/>
  <c r="N66" i="12" l="1"/>
  <c r="R66" i="12"/>
  <c r="V66" i="12"/>
  <c r="U66" i="12"/>
  <c r="P66" i="12"/>
  <c r="A67" i="12"/>
  <c r="AU66" i="12"/>
  <c r="F66" i="12"/>
  <c r="H66" i="12"/>
  <c r="G66" i="12"/>
  <c r="S66" i="12"/>
  <c r="O66" i="12"/>
  <c r="Q66" i="12"/>
  <c r="M66" i="12"/>
  <c r="AI66" i="12"/>
  <c r="T66" i="12"/>
  <c r="W66" i="12" l="1"/>
  <c r="J67" i="12"/>
  <c r="E67" i="12"/>
  <c r="K67" i="12"/>
  <c r="L67" i="12"/>
  <c r="AL67" i="12"/>
  <c r="B67" i="12"/>
  <c r="AP67" i="12"/>
  <c r="AS67" i="12"/>
  <c r="AF67" i="12"/>
  <c r="AA67" i="12"/>
  <c r="AH67" i="12"/>
  <c r="Z67" i="12"/>
  <c r="AG67" i="12"/>
  <c r="AN67" i="12"/>
  <c r="Y67" i="12"/>
  <c r="C67" i="12"/>
  <c r="D67" i="12"/>
  <c r="AB67" i="12"/>
  <c r="AM67" i="12"/>
  <c r="AD67" i="12"/>
  <c r="AR67" i="12"/>
  <c r="AO67" i="12"/>
  <c r="AC67" i="12"/>
  <c r="I67" i="12"/>
  <c r="AQ67" i="12"/>
  <c r="AT67" i="12"/>
  <c r="AK67" i="12"/>
  <c r="AE67" i="12"/>
  <c r="A68" i="12" a="1"/>
  <c r="V67" i="12" l="1"/>
  <c r="U67" i="12"/>
  <c r="S67" i="12"/>
  <c r="Q67" i="12"/>
  <c r="A68" i="12"/>
  <c r="AI67" i="12"/>
  <c r="M67" i="12"/>
  <c r="R67" i="12"/>
  <c r="P67" i="12"/>
  <c r="O67" i="12"/>
  <c r="F67" i="12"/>
  <c r="H67" i="12"/>
  <c r="G67" i="12"/>
  <c r="AU67" i="12"/>
  <c r="T67" i="12"/>
  <c r="N67" i="12"/>
  <c r="W67" i="12" l="1"/>
  <c r="Z68" i="12"/>
  <c r="AK68" i="12"/>
  <c r="D68" i="12"/>
  <c r="C68" i="12"/>
  <c r="AQ68" i="12"/>
  <c r="K68" i="12"/>
  <c r="AN68" i="12"/>
  <c r="I68" i="12"/>
  <c r="Y68" i="12"/>
  <c r="AB68" i="12"/>
  <c r="AF68" i="12"/>
  <c r="AM68" i="12"/>
  <c r="E68" i="12"/>
  <c r="AL68" i="12"/>
  <c r="AP68" i="12"/>
  <c r="AT68" i="12"/>
  <c r="AH68" i="12"/>
  <c r="AA68" i="12"/>
  <c r="AC68" i="12"/>
  <c r="AR68" i="12"/>
  <c r="AD68" i="12"/>
  <c r="AO68" i="12"/>
  <c r="J68" i="12"/>
  <c r="AE68" i="12"/>
  <c r="B68" i="12"/>
  <c r="AS68" i="12"/>
  <c r="AG68" i="12"/>
  <c r="L68" i="12"/>
  <c r="A69" i="12" a="1"/>
  <c r="U68" i="12" l="1"/>
  <c r="A69" i="12"/>
  <c r="R68" i="12"/>
  <c r="V68" i="12"/>
  <c r="M68" i="12"/>
  <c r="AI68" i="12"/>
  <c r="N68" i="12"/>
  <c r="F68" i="12"/>
  <c r="G68" i="12"/>
  <c r="H68" i="12"/>
  <c r="Q68" i="12"/>
  <c r="T68" i="12"/>
  <c r="O68" i="12"/>
  <c r="P68" i="12"/>
  <c r="AU68" i="12"/>
  <c r="S68" i="12"/>
  <c r="W68" i="12" l="1"/>
  <c r="Y69" i="12"/>
  <c r="D69" i="12"/>
  <c r="AR69" i="12"/>
  <c r="AE69" i="12"/>
  <c r="AG69" i="12"/>
  <c r="J69" i="12"/>
  <c r="AB69" i="12"/>
  <c r="AN69" i="12"/>
  <c r="AD69" i="12"/>
  <c r="AK69" i="12"/>
  <c r="AH69" i="12"/>
  <c r="AM69" i="12"/>
  <c r="AT69" i="12"/>
  <c r="AS69" i="12"/>
  <c r="AL69" i="12"/>
  <c r="E69" i="12"/>
  <c r="L69" i="12"/>
  <c r="B69" i="12"/>
  <c r="AC69" i="12"/>
  <c r="K69" i="12"/>
  <c r="AA69" i="12"/>
  <c r="AO69" i="12"/>
  <c r="AQ69" i="12"/>
  <c r="C69" i="12"/>
  <c r="Z69" i="12"/>
  <c r="I69" i="12"/>
  <c r="AF69" i="12"/>
  <c r="AP69" i="12"/>
  <c r="A70" i="12" a="1"/>
  <c r="O69" i="12" l="1"/>
  <c r="P69" i="12"/>
  <c r="T69" i="12"/>
  <c r="A70" i="12"/>
  <c r="AI69" i="12"/>
  <c r="M69" i="12"/>
  <c r="U69" i="12"/>
  <c r="S69" i="12"/>
  <c r="Q69" i="12"/>
  <c r="V69" i="12"/>
  <c r="AU69" i="12"/>
  <c r="N69" i="12"/>
  <c r="R69" i="12"/>
  <c r="G69" i="12"/>
  <c r="F69" i="12"/>
  <c r="H69" i="12"/>
  <c r="W69" i="12" l="1"/>
  <c r="L70" i="12"/>
  <c r="AH70" i="12"/>
  <c r="AF70" i="12"/>
  <c r="K70" i="12"/>
  <c r="Y70" i="12"/>
  <c r="AO70" i="12"/>
  <c r="AS70" i="12"/>
  <c r="AC70" i="12"/>
  <c r="AB70" i="12"/>
  <c r="AD70" i="12"/>
  <c r="C70" i="12"/>
  <c r="AG70" i="12"/>
  <c r="E70" i="12"/>
  <c r="AQ70" i="12"/>
  <c r="D70" i="12"/>
  <c r="AL70" i="12"/>
  <c r="AK70" i="12"/>
  <c r="AE70" i="12"/>
  <c r="AA70" i="12"/>
  <c r="AP70" i="12"/>
  <c r="J70" i="12"/>
  <c r="AT70" i="12"/>
  <c r="Z70" i="12"/>
  <c r="AR70" i="12"/>
  <c r="I70" i="12"/>
  <c r="AN70" i="12"/>
  <c r="B70" i="12"/>
  <c r="AM70" i="12"/>
  <c r="A71" i="12" a="1"/>
  <c r="N70" i="12" l="1"/>
  <c r="T70" i="12"/>
  <c r="A71" i="12"/>
  <c r="M70" i="12"/>
  <c r="AI70" i="12"/>
  <c r="U70" i="12"/>
  <c r="F70" i="12"/>
  <c r="G70" i="12"/>
  <c r="H70" i="12"/>
  <c r="O70" i="12"/>
  <c r="R70" i="12"/>
  <c r="AU70" i="12"/>
  <c r="P70" i="12"/>
  <c r="S70" i="12"/>
  <c r="V70" i="12"/>
  <c r="Q70" i="12"/>
  <c r="W70" i="12" l="1"/>
  <c r="AG71" i="12"/>
  <c r="AS71" i="12"/>
  <c r="AC71" i="12"/>
  <c r="AR71" i="12"/>
  <c r="B71" i="12"/>
  <c r="AT71" i="12"/>
  <c r="AN71" i="12"/>
  <c r="C71" i="12"/>
  <c r="AD71" i="12"/>
  <c r="AA71" i="12"/>
  <c r="L71" i="12"/>
  <c r="AP71" i="12"/>
  <c r="J71" i="12"/>
  <c r="AO71" i="12"/>
  <c r="AM71" i="12"/>
  <c r="AF71" i="12"/>
  <c r="K71" i="12"/>
  <c r="E71" i="12"/>
  <c r="AH71" i="12"/>
  <c r="D71" i="12"/>
  <c r="AE71" i="12"/>
  <c r="AL71" i="12"/>
  <c r="Y71" i="12"/>
  <c r="AK71" i="12"/>
  <c r="Z71" i="12"/>
  <c r="AB71" i="12"/>
  <c r="AQ71" i="12"/>
  <c r="I71" i="12"/>
  <c r="A72" i="12" a="1"/>
  <c r="S71" i="12" l="1"/>
  <c r="A72" i="12"/>
  <c r="AI71" i="12"/>
  <c r="M71" i="12"/>
  <c r="V71" i="12"/>
  <c r="G71" i="12"/>
  <c r="F71" i="12"/>
  <c r="H71" i="12"/>
  <c r="R71" i="12"/>
  <c r="U71" i="12"/>
  <c r="Q71" i="12"/>
  <c r="P71" i="12"/>
  <c r="O71" i="12"/>
  <c r="N71" i="12"/>
  <c r="AU71" i="12"/>
  <c r="T71" i="12"/>
  <c r="W71" i="12" l="1"/>
  <c r="AB72" i="12"/>
  <c r="C72" i="12"/>
  <c r="Z72" i="12"/>
  <c r="AP72" i="12"/>
  <c r="AK72" i="12"/>
  <c r="L72" i="12"/>
  <c r="AO72" i="12"/>
  <c r="J72" i="12"/>
  <c r="D72" i="12"/>
  <c r="AN72" i="12"/>
  <c r="AR72" i="12"/>
  <c r="AC72" i="12"/>
  <c r="AT72" i="12"/>
  <c r="AG72" i="12"/>
  <c r="Y72" i="12"/>
  <c r="AQ72" i="12"/>
  <c r="AA72" i="12"/>
  <c r="B72" i="12"/>
  <c r="AD72" i="12"/>
  <c r="AM72" i="12"/>
  <c r="AH72" i="12"/>
  <c r="E72" i="12"/>
  <c r="AL72" i="12"/>
  <c r="AF72" i="12"/>
  <c r="AE72" i="12"/>
  <c r="I72" i="12"/>
  <c r="K72" i="12"/>
  <c r="AS72" i="12"/>
  <c r="A73" i="12" a="1"/>
  <c r="U72" i="12" l="1"/>
  <c r="S72" i="12"/>
  <c r="V72" i="12"/>
  <c r="A73" i="12"/>
  <c r="AI72" i="12"/>
  <c r="M72" i="12"/>
  <c r="AU72" i="12"/>
  <c r="N72" i="12"/>
  <c r="F72" i="12"/>
  <c r="H72" i="12"/>
  <c r="G72" i="12"/>
  <c r="Q72" i="12"/>
  <c r="R72" i="12"/>
  <c r="O72" i="12"/>
  <c r="P72" i="12"/>
  <c r="T72" i="12"/>
  <c r="W72" i="12" l="1"/>
  <c r="AF73" i="12"/>
  <c r="L73" i="12"/>
  <c r="AP73" i="12"/>
  <c r="AT73" i="12"/>
  <c r="J73" i="12"/>
  <c r="K73" i="12"/>
  <c r="B73" i="12"/>
  <c r="E73" i="12"/>
  <c r="AD73" i="12"/>
  <c r="D73" i="12"/>
  <c r="AB73" i="12"/>
  <c r="AR73" i="12"/>
  <c r="C73" i="12"/>
  <c r="Z73" i="12"/>
  <c r="I73" i="12"/>
  <c r="AO73" i="12"/>
  <c r="AK73" i="12"/>
  <c r="Y73" i="12"/>
  <c r="AQ73" i="12"/>
  <c r="AA73" i="12"/>
  <c r="AN73" i="12"/>
  <c r="AH73" i="12"/>
  <c r="AE73" i="12"/>
  <c r="AG73" i="12"/>
  <c r="AS73" i="12"/>
  <c r="AC73" i="12"/>
  <c r="AM73" i="12"/>
  <c r="AL73" i="12"/>
  <c r="A74" i="12" a="1"/>
  <c r="O73" i="12" l="1"/>
  <c r="V73" i="12"/>
  <c r="S73" i="12"/>
  <c r="N73" i="12"/>
  <c r="Q73" i="12"/>
  <c r="A74" i="12"/>
  <c r="M73" i="12"/>
  <c r="AI73" i="12"/>
  <c r="AU73" i="12"/>
  <c r="R73" i="12"/>
  <c r="T73" i="12"/>
  <c r="P73" i="12"/>
  <c r="U73" i="12"/>
  <c r="G73" i="12"/>
  <c r="H73" i="12"/>
  <c r="F73" i="12"/>
  <c r="W73" i="12" l="1"/>
  <c r="AF74" i="12"/>
  <c r="C74" i="12"/>
  <c r="I74" i="12"/>
  <c r="AM74" i="12"/>
  <c r="AK74" i="12"/>
  <c r="B74" i="12"/>
  <c r="AG74" i="12"/>
  <c r="Y74" i="12"/>
  <c r="AA74" i="12"/>
  <c r="AR74" i="12"/>
  <c r="AQ74" i="12"/>
  <c r="AO74" i="12"/>
  <c r="AS74" i="12"/>
  <c r="AB74" i="12"/>
  <c r="AC74" i="12"/>
  <c r="J74" i="12"/>
  <c r="Z74" i="12"/>
  <c r="AN74" i="12"/>
  <c r="AD74" i="12"/>
  <c r="AE74" i="12"/>
  <c r="AL74" i="12"/>
  <c r="K74" i="12"/>
  <c r="L74" i="12"/>
  <c r="AP74" i="12"/>
  <c r="E74" i="12"/>
  <c r="AH74" i="12"/>
  <c r="D74" i="12"/>
  <c r="AT74" i="12"/>
  <c r="A75" i="12" a="1"/>
  <c r="S74" i="12" l="1"/>
  <c r="P74" i="12"/>
  <c r="R74" i="12"/>
  <c r="Q74" i="12"/>
  <c r="U74" i="12"/>
  <c r="A75" i="12"/>
  <c r="N74" i="12"/>
  <c r="AU74" i="12"/>
  <c r="V74" i="12"/>
  <c r="H74" i="12"/>
  <c r="G74" i="12"/>
  <c r="F74" i="12"/>
  <c r="O74" i="12"/>
  <c r="T74" i="12"/>
  <c r="M74" i="12"/>
  <c r="AI74" i="12"/>
  <c r="AS75" i="12" l="1"/>
  <c r="AT75" i="12"/>
  <c r="AL75" i="12"/>
  <c r="AR75" i="12"/>
  <c r="AB75" i="12"/>
  <c r="AC75" i="12"/>
  <c r="AF75" i="12"/>
  <c r="AD75" i="12"/>
  <c r="C75" i="12"/>
  <c r="AO75" i="12"/>
  <c r="AP75" i="12"/>
  <c r="Z75" i="12"/>
  <c r="B75" i="12"/>
  <c r="AK75" i="12"/>
  <c r="E75" i="12"/>
  <c r="AM75" i="12"/>
  <c r="K75" i="12"/>
  <c r="D75" i="12"/>
  <c r="AG75" i="12"/>
  <c r="J75" i="12"/>
  <c r="AE75" i="12"/>
  <c r="AN75" i="12"/>
  <c r="AH75" i="12"/>
  <c r="AQ75" i="12"/>
  <c r="Y75" i="12"/>
  <c r="I75" i="12"/>
  <c r="L75" i="12"/>
  <c r="AA75" i="12"/>
  <c r="W74" i="12"/>
  <c r="A76" i="12" a="1"/>
  <c r="V75" i="12" l="1"/>
  <c r="Q75" i="12"/>
  <c r="N75" i="12"/>
  <c r="R75" i="12"/>
  <c r="U75" i="12"/>
  <c r="T75" i="12"/>
  <c r="A76" i="12"/>
  <c r="F75" i="12"/>
  <c r="G75" i="12"/>
  <c r="H75" i="12"/>
  <c r="S75" i="12"/>
  <c r="O75" i="12"/>
  <c r="AU75" i="12"/>
  <c r="P75" i="12"/>
  <c r="AI75" i="12"/>
  <c r="M75" i="12"/>
  <c r="W75" i="12" l="1"/>
  <c r="J76" i="12"/>
  <c r="AT76" i="12"/>
  <c r="D76" i="12"/>
  <c r="AM76" i="12"/>
  <c r="AA76" i="12"/>
  <c r="AK76" i="12"/>
  <c r="AD76" i="12"/>
  <c r="AL76" i="12"/>
  <c r="AB76" i="12"/>
  <c r="AC76" i="12"/>
  <c r="B76" i="12"/>
  <c r="AN76" i="12"/>
  <c r="E76" i="12"/>
  <c r="I76" i="12"/>
  <c r="AS76" i="12"/>
  <c r="AG76" i="12"/>
  <c r="C76" i="12"/>
  <c r="AO76" i="12"/>
  <c r="AQ76" i="12"/>
  <c r="AP76" i="12"/>
  <c r="L76" i="12"/>
  <c r="AH76" i="12"/>
  <c r="AE76" i="12"/>
  <c r="Y76" i="12"/>
  <c r="K76" i="12"/>
  <c r="AR76" i="12"/>
  <c r="AF76" i="12"/>
  <c r="Z76" i="12"/>
  <c r="A77" i="12" a="1"/>
  <c r="T76" i="12" l="1"/>
  <c r="V76" i="12"/>
  <c r="N76" i="12"/>
  <c r="O76" i="12"/>
  <c r="S76" i="12"/>
  <c r="R76" i="12"/>
  <c r="A77" i="12"/>
  <c r="Q76" i="12"/>
  <c r="F76" i="12"/>
  <c r="H76" i="12"/>
  <c r="G76" i="12"/>
  <c r="AU76" i="12"/>
  <c r="P76" i="12"/>
  <c r="M76" i="12"/>
  <c r="AI76" i="12"/>
  <c r="U76" i="12"/>
  <c r="W76" i="12" l="1"/>
  <c r="AS77" i="12"/>
  <c r="Y77" i="12"/>
  <c r="J77" i="12"/>
  <c r="AB77" i="12"/>
  <c r="AM77" i="12"/>
  <c r="AT77" i="12"/>
  <c r="AA77" i="12"/>
  <c r="AH77" i="12"/>
  <c r="Z77" i="12"/>
  <c r="AE77" i="12"/>
  <c r="AQ77" i="12"/>
  <c r="I77" i="12"/>
  <c r="AD77" i="12"/>
  <c r="AR77" i="12"/>
  <c r="AC77" i="12"/>
  <c r="AK77" i="12"/>
  <c r="L77" i="12"/>
  <c r="K77" i="12"/>
  <c r="AP77" i="12"/>
  <c r="C77" i="12"/>
  <c r="AN77" i="12"/>
  <c r="AL77" i="12"/>
  <c r="AG77" i="12"/>
  <c r="E77" i="12"/>
  <c r="D77" i="12"/>
  <c r="AF77" i="12"/>
  <c r="AO77" i="12"/>
  <c r="B77" i="12"/>
  <c r="A78" i="12" a="1"/>
  <c r="U77" i="12" l="1"/>
  <c r="R77" i="12"/>
  <c r="Q77" i="12"/>
  <c r="O77" i="12"/>
  <c r="AU77" i="12"/>
  <c r="V77" i="12"/>
  <c r="A78" i="12"/>
  <c r="G77" i="12"/>
  <c r="F77" i="12"/>
  <c r="H77" i="12"/>
  <c r="S77" i="12"/>
  <c r="M77" i="12"/>
  <c r="AI77" i="12"/>
  <c r="P77" i="12"/>
  <c r="T77" i="12"/>
  <c r="N77" i="12"/>
  <c r="W77" i="12" l="1"/>
  <c r="AL78" i="12"/>
  <c r="K78" i="12"/>
  <c r="AF78" i="12"/>
  <c r="I78" i="12"/>
  <c r="AE78" i="12"/>
  <c r="Z78" i="12"/>
  <c r="AR78" i="12"/>
  <c r="AM78" i="12"/>
  <c r="AG78" i="12"/>
  <c r="C78" i="12"/>
  <c r="L78" i="12"/>
  <c r="AO78" i="12"/>
  <c r="AN78" i="12"/>
  <c r="AA78" i="12"/>
  <c r="AQ78" i="12"/>
  <c r="AH78" i="12"/>
  <c r="AK78" i="12"/>
  <c r="B78" i="12"/>
  <c r="AT78" i="12"/>
  <c r="AB78" i="12"/>
  <c r="D78" i="12"/>
  <c r="Y78" i="12"/>
  <c r="AC78" i="12"/>
  <c r="AD78" i="12"/>
  <c r="J78" i="12"/>
  <c r="E78" i="12"/>
  <c r="AP78" i="12"/>
  <c r="AS78" i="12"/>
  <c r="A79" i="12" a="1"/>
  <c r="N78" i="12" l="1"/>
  <c r="Q78" i="12"/>
  <c r="O78" i="12"/>
  <c r="A79" i="12"/>
  <c r="M78" i="12"/>
  <c r="AI78" i="12"/>
  <c r="AU78" i="12"/>
  <c r="S78" i="12"/>
  <c r="P78" i="12"/>
  <c r="T78" i="12"/>
  <c r="H78" i="12"/>
  <c r="F78" i="12"/>
  <c r="G78" i="12"/>
  <c r="U78" i="12"/>
  <c r="R78" i="12"/>
  <c r="V78" i="12"/>
  <c r="W78" i="12" l="1"/>
  <c r="AN79" i="12"/>
  <c r="AK79" i="12"/>
  <c r="AC79" i="12"/>
  <c r="AS79" i="12"/>
  <c r="AF79" i="12"/>
  <c r="B79" i="12"/>
  <c r="AB79" i="12"/>
  <c r="AD79" i="12"/>
  <c r="D79" i="12"/>
  <c r="AP79" i="12"/>
  <c r="AG79" i="12"/>
  <c r="AQ79" i="12"/>
  <c r="AA79" i="12"/>
  <c r="E79" i="12"/>
  <c r="AH79" i="12"/>
  <c r="L79" i="12"/>
  <c r="AT79" i="12"/>
  <c r="AO79" i="12"/>
  <c r="AE79" i="12"/>
  <c r="AR79" i="12"/>
  <c r="K79" i="12"/>
  <c r="C79" i="12"/>
  <c r="AM79" i="12"/>
  <c r="I79" i="12"/>
  <c r="Z79" i="12"/>
  <c r="J79" i="12"/>
  <c r="Y79" i="12"/>
  <c r="AL79" i="12"/>
  <c r="A80" i="12" a="1"/>
  <c r="T79" i="12" l="1"/>
  <c r="Q79" i="12"/>
  <c r="V79" i="12"/>
  <c r="P79" i="12"/>
  <c r="A80" i="12"/>
  <c r="H79" i="12"/>
  <c r="G79" i="12"/>
  <c r="F79" i="12"/>
  <c r="AI79" i="12"/>
  <c r="M79" i="12"/>
  <c r="AU79" i="12"/>
  <c r="O79" i="12"/>
  <c r="S79" i="12"/>
  <c r="U79" i="12"/>
  <c r="N79" i="12"/>
  <c r="R79" i="12"/>
  <c r="W79" i="12" l="1"/>
  <c r="AN80" i="12"/>
  <c r="AG80" i="12"/>
  <c r="J80" i="12"/>
  <c r="C80" i="12"/>
  <c r="I80" i="12"/>
  <c r="Y80" i="12"/>
  <c r="AB80" i="12"/>
  <c r="E80" i="12"/>
  <c r="AD80" i="12"/>
  <c r="AC80" i="12"/>
  <c r="AR80" i="12"/>
  <c r="Z80" i="12"/>
  <c r="AS80" i="12"/>
  <c r="AF80" i="12"/>
  <c r="AH80" i="12"/>
  <c r="AM80" i="12"/>
  <c r="AE80" i="12"/>
  <c r="AL80" i="12"/>
  <c r="AQ80" i="12"/>
  <c r="K80" i="12"/>
  <c r="D80" i="12"/>
  <c r="AP80" i="12"/>
  <c r="AT80" i="12"/>
  <c r="AK80" i="12"/>
  <c r="L80" i="12"/>
  <c r="B80" i="12"/>
  <c r="AO80" i="12"/>
  <c r="AA80" i="12"/>
  <c r="A81" i="12" a="1"/>
  <c r="N80" i="12" l="1"/>
  <c r="P80" i="12"/>
  <c r="O80" i="12"/>
  <c r="T80" i="12"/>
  <c r="A81" i="12"/>
  <c r="V80" i="12"/>
  <c r="AI80" i="12"/>
  <c r="M80" i="12"/>
  <c r="Q80" i="12"/>
  <c r="S80" i="12"/>
  <c r="R80" i="12"/>
  <c r="U80" i="12"/>
  <c r="AU80" i="12"/>
  <c r="F80" i="12"/>
  <c r="G80" i="12"/>
  <c r="H80" i="12"/>
  <c r="W80" i="12" l="1"/>
  <c r="AA81" i="12"/>
  <c r="AG81" i="12"/>
  <c r="AL81" i="12"/>
  <c r="C81" i="12"/>
  <c r="AB81" i="12"/>
  <c r="J81" i="12"/>
  <c r="AC81" i="12"/>
  <c r="AD81" i="12"/>
  <c r="I81" i="12"/>
  <c r="AS81" i="12"/>
  <c r="AT81" i="12"/>
  <c r="AF81" i="12"/>
  <c r="D81" i="12"/>
  <c r="AO81" i="12"/>
  <c r="AN81" i="12"/>
  <c r="B81" i="12"/>
  <c r="AK81" i="12"/>
  <c r="Z81" i="12"/>
  <c r="L81" i="12"/>
  <c r="Y81" i="12"/>
  <c r="AP81" i="12"/>
  <c r="E81" i="12"/>
  <c r="AM81" i="12"/>
  <c r="AR81" i="12"/>
  <c r="AQ81" i="12"/>
  <c r="AH81" i="12"/>
  <c r="K81" i="12"/>
  <c r="AE81" i="12"/>
  <c r="A82" i="12" a="1"/>
  <c r="S81" i="12" l="1"/>
  <c r="Q81" i="12"/>
  <c r="A82" i="12"/>
  <c r="G81" i="12"/>
  <c r="H81" i="12"/>
  <c r="F81" i="12"/>
  <c r="T81" i="12"/>
  <c r="N81" i="12"/>
  <c r="U81" i="12"/>
  <c r="P81" i="12"/>
  <c r="M81" i="12"/>
  <c r="AI81" i="12"/>
  <c r="V81" i="12"/>
  <c r="AU81" i="12"/>
  <c r="O81" i="12"/>
  <c r="R81" i="12"/>
  <c r="W81" i="12" l="1"/>
  <c r="AE82" i="12"/>
  <c r="Y82" i="12"/>
  <c r="L82" i="12"/>
  <c r="AK82" i="12"/>
  <c r="AA82" i="12"/>
  <c r="AB82" i="12"/>
  <c r="Z82" i="12"/>
  <c r="AD82" i="12"/>
  <c r="C82" i="12"/>
  <c r="D82" i="12"/>
  <c r="I82" i="12"/>
  <c r="AN82" i="12"/>
  <c r="AH82" i="12"/>
  <c r="K82" i="12"/>
  <c r="AG82" i="12"/>
  <c r="AL82" i="12"/>
  <c r="AQ82" i="12"/>
  <c r="J82" i="12"/>
  <c r="B82" i="12"/>
  <c r="AT82" i="12"/>
  <c r="AC82" i="12"/>
  <c r="AO82" i="12"/>
  <c r="AS82" i="12"/>
  <c r="E82" i="12"/>
  <c r="AR82" i="12"/>
  <c r="AP82" i="12"/>
  <c r="AF82" i="12"/>
  <c r="AM82" i="12"/>
  <c r="A83" i="12" a="1"/>
  <c r="O82" i="12" l="1"/>
  <c r="T82" i="12"/>
  <c r="V82" i="12"/>
  <c r="N82" i="12"/>
  <c r="P82" i="12"/>
  <c r="A83" i="12"/>
  <c r="U82" i="12"/>
  <c r="M82" i="12"/>
  <c r="AI82" i="12"/>
  <c r="S82" i="12"/>
  <c r="Q82" i="12"/>
  <c r="AU82" i="12"/>
  <c r="G82" i="12"/>
  <c r="H82" i="12"/>
  <c r="F82" i="12"/>
  <c r="R82" i="12"/>
  <c r="W82" i="12" l="1"/>
  <c r="AK83" i="12"/>
  <c r="Z83" i="12"/>
  <c r="AS83" i="12"/>
  <c r="J83" i="12"/>
  <c r="AP83" i="12"/>
  <c r="L83" i="12"/>
  <c r="AQ83" i="12"/>
  <c r="AO83" i="12"/>
  <c r="K83" i="12"/>
  <c r="AC83" i="12"/>
  <c r="AD83" i="12"/>
  <c r="AM83" i="12"/>
  <c r="AN83" i="12"/>
  <c r="B83" i="12"/>
  <c r="E83" i="12"/>
  <c r="AE83" i="12"/>
  <c r="AG83" i="12"/>
  <c r="AT83" i="12"/>
  <c r="AA83" i="12"/>
  <c r="C83" i="12"/>
  <c r="AH83" i="12"/>
  <c r="AF83" i="12"/>
  <c r="AL83" i="12"/>
  <c r="D83" i="12"/>
  <c r="AB83" i="12"/>
  <c r="I83" i="12"/>
  <c r="Y83" i="12"/>
  <c r="AR83" i="12"/>
  <c r="A84" i="12" a="1"/>
  <c r="Q83" i="12" l="1"/>
  <c r="T83" i="12"/>
  <c r="V83" i="12"/>
  <c r="A84" i="12"/>
  <c r="O83" i="12"/>
  <c r="F83" i="12"/>
  <c r="G83" i="12"/>
  <c r="H83" i="12"/>
  <c r="AI83" i="12"/>
  <c r="M83" i="12"/>
  <c r="R83" i="12"/>
  <c r="N83" i="12"/>
  <c r="P83" i="12"/>
  <c r="U83" i="12"/>
  <c r="AU83" i="12"/>
  <c r="S83" i="12"/>
  <c r="W83" i="12" l="1"/>
  <c r="AM84" i="12"/>
  <c r="AE84" i="12"/>
  <c r="AN84" i="12"/>
  <c r="AF84" i="12"/>
  <c r="Y84" i="12"/>
  <c r="B84" i="12"/>
  <c r="AT84" i="12"/>
  <c r="K84" i="12"/>
  <c r="AO84" i="12"/>
  <c r="AH84" i="12"/>
  <c r="AL84" i="12"/>
  <c r="I84" i="12"/>
  <c r="AS84" i="12"/>
  <c r="AP84" i="12"/>
  <c r="AQ84" i="12"/>
  <c r="AA84" i="12"/>
  <c r="Z84" i="12"/>
  <c r="AR84" i="12"/>
  <c r="AB84" i="12"/>
  <c r="D84" i="12"/>
  <c r="AD84" i="12"/>
  <c r="J84" i="12"/>
  <c r="AG84" i="12"/>
  <c r="AK84" i="12"/>
  <c r="L84" i="12"/>
  <c r="AC84" i="12"/>
  <c r="C84" i="12"/>
  <c r="E84" i="12"/>
  <c r="A85" i="12" a="1"/>
  <c r="Q84" i="12" l="1"/>
  <c r="P84" i="12"/>
  <c r="T84" i="12"/>
  <c r="U84" i="12"/>
  <c r="O84" i="12"/>
  <c r="AU84" i="12"/>
  <c r="A85" i="12"/>
  <c r="M84" i="12"/>
  <c r="AI84" i="12"/>
  <c r="R84" i="12"/>
  <c r="F84" i="12"/>
  <c r="H84" i="12"/>
  <c r="G84" i="12"/>
  <c r="V84" i="12"/>
  <c r="S84" i="12"/>
  <c r="N84" i="12"/>
  <c r="W84" i="12" l="1"/>
  <c r="K85" i="12"/>
  <c r="AH85" i="12"/>
  <c r="Y85" i="12"/>
  <c r="AP85" i="12"/>
  <c r="AA85" i="12"/>
  <c r="AM85" i="12"/>
  <c r="AK85" i="12"/>
  <c r="AD85" i="12"/>
  <c r="L85" i="12"/>
  <c r="AS85" i="12"/>
  <c r="Z85" i="12"/>
  <c r="AR85" i="12"/>
  <c r="AN85" i="12"/>
  <c r="AC85" i="12"/>
  <c r="J85" i="12"/>
  <c r="AL85" i="12"/>
  <c r="E85" i="12"/>
  <c r="AE85" i="12"/>
  <c r="I85" i="12"/>
  <c r="B85" i="12"/>
  <c r="AQ85" i="12"/>
  <c r="AO85" i="12"/>
  <c r="AT85" i="12"/>
  <c r="AG85" i="12"/>
  <c r="D85" i="12"/>
  <c r="AF85" i="12"/>
  <c r="AB85" i="12"/>
  <c r="C85" i="12"/>
  <c r="A86" i="12" a="1"/>
  <c r="N85" i="12" l="1"/>
  <c r="AU85" i="12"/>
  <c r="A86" i="12"/>
  <c r="O85" i="12"/>
  <c r="Q85" i="12"/>
  <c r="P85" i="12"/>
  <c r="AI85" i="12"/>
  <c r="M85" i="12"/>
  <c r="T85" i="12"/>
  <c r="S85" i="12"/>
  <c r="V85" i="12"/>
  <c r="H85" i="12"/>
  <c r="F85" i="12"/>
  <c r="G85" i="12"/>
  <c r="U85" i="12"/>
  <c r="R85" i="12"/>
  <c r="W85" i="12" l="1"/>
  <c r="AN86" i="12"/>
  <c r="AC86" i="12"/>
  <c r="AB86" i="12"/>
  <c r="J86" i="12"/>
  <c r="AO86" i="12"/>
  <c r="Z86" i="12"/>
  <c r="E86" i="12"/>
  <c r="D86" i="12"/>
  <c r="AT86" i="12"/>
  <c r="AD86" i="12"/>
  <c r="AE86" i="12"/>
  <c r="AM86" i="12"/>
  <c r="Y86" i="12"/>
  <c r="AK86" i="12"/>
  <c r="C86" i="12"/>
  <c r="AS86" i="12"/>
  <c r="AR86" i="12"/>
  <c r="AG86" i="12"/>
  <c r="AL86" i="12"/>
  <c r="AF86" i="12"/>
  <c r="AP86" i="12"/>
  <c r="K86" i="12"/>
  <c r="AQ86" i="12"/>
  <c r="B86" i="12"/>
  <c r="L86" i="12"/>
  <c r="AH86" i="12"/>
  <c r="I86" i="12"/>
  <c r="AA86" i="12"/>
  <c r="A87" i="12" a="1"/>
  <c r="AU86" i="12" l="1"/>
  <c r="T86" i="12"/>
  <c r="P86" i="12"/>
  <c r="N86" i="12"/>
  <c r="V86" i="12"/>
  <c r="O86" i="12"/>
  <c r="U86" i="12"/>
  <c r="A87" i="12"/>
  <c r="F86" i="12"/>
  <c r="G86" i="12"/>
  <c r="H86" i="12"/>
  <c r="R86" i="12"/>
  <c r="Q86" i="12"/>
  <c r="M86" i="12"/>
  <c r="AI86" i="12"/>
  <c r="S86" i="12"/>
  <c r="W86" i="12" l="1"/>
  <c r="I87" i="12"/>
  <c r="E87" i="12"/>
  <c r="AG87" i="12"/>
  <c r="AH87" i="12"/>
  <c r="AA87" i="12"/>
  <c r="AP87" i="12"/>
  <c r="AR87" i="12"/>
  <c r="B87" i="12"/>
  <c r="K87" i="12"/>
  <c r="AQ87" i="12"/>
  <c r="AB87" i="12"/>
  <c r="AN87" i="12"/>
  <c r="D87" i="12"/>
  <c r="L87" i="12"/>
  <c r="AT87" i="12"/>
  <c r="AE87" i="12"/>
  <c r="AL87" i="12"/>
  <c r="AK87" i="12"/>
  <c r="J87" i="12"/>
  <c r="Z87" i="12"/>
  <c r="AC87" i="12"/>
  <c r="Y87" i="12"/>
  <c r="AS87" i="12"/>
  <c r="AM87" i="12"/>
  <c r="AF87" i="12"/>
  <c r="AO87" i="12"/>
  <c r="AD87" i="12"/>
  <c r="C87" i="12"/>
  <c r="A88" i="12" a="1"/>
  <c r="N87" i="12" l="1"/>
  <c r="Q87" i="12"/>
  <c r="S87" i="12"/>
  <c r="A88" i="12"/>
  <c r="AI87" i="12"/>
  <c r="M87" i="12"/>
  <c r="O87" i="12"/>
  <c r="P87" i="12"/>
  <c r="U87" i="12"/>
  <c r="V87" i="12"/>
  <c r="AU87" i="12"/>
  <c r="G87" i="12"/>
  <c r="H87" i="12"/>
  <c r="F87" i="12"/>
  <c r="R87" i="12"/>
  <c r="T87" i="12"/>
  <c r="W87" i="12" l="1"/>
  <c r="AL88" i="12"/>
  <c r="AG88" i="12"/>
  <c r="B88" i="12"/>
  <c r="E88" i="12"/>
  <c r="AO88" i="12"/>
  <c r="K88" i="12"/>
  <c r="AH88" i="12"/>
  <c r="AC88" i="12"/>
  <c r="AM88" i="12"/>
  <c r="I88" i="12"/>
  <c r="AP88" i="12"/>
  <c r="AQ88" i="12"/>
  <c r="J88" i="12"/>
  <c r="C88" i="12"/>
  <c r="AD88" i="12"/>
  <c r="Y88" i="12"/>
  <c r="AN88" i="12"/>
  <c r="AT88" i="12"/>
  <c r="AS88" i="12"/>
  <c r="AK88" i="12"/>
  <c r="L88" i="12"/>
  <c r="AF88" i="12"/>
  <c r="AB88" i="12"/>
  <c r="D88" i="12"/>
  <c r="Z88" i="12"/>
  <c r="AA88" i="12"/>
  <c r="AE88" i="12"/>
  <c r="AR88" i="12"/>
  <c r="A89" i="12" a="1"/>
  <c r="N88" i="12" l="1"/>
  <c r="O88" i="12"/>
  <c r="P88" i="12"/>
  <c r="R88" i="12"/>
  <c r="V88" i="12"/>
  <c r="T88" i="12"/>
  <c r="AU88" i="12"/>
  <c r="A89" i="12"/>
  <c r="U88" i="12"/>
  <c r="F88" i="12"/>
  <c r="G88" i="12"/>
  <c r="H88" i="12"/>
  <c r="S88" i="12"/>
  <c r="AI88" i="12"/>
  <c r="M88" i="12"/>
  <c r="Q88" i="12"/>
  <c r="W88" i="12" l="1"/>
  <c r="AQ89" i="12"/>
  <c r="AG89" i="12"/>
  <c r="I89" i="12"/>
  <c r="AB89" i="12"/>
  <c r="AF89" i="12"/>
  <c r="C89" i="12"/>
  <c r="AL89" i="12"/>
  <c r="AK89" i="12"/>
  <c r="AR89" i="12"/>
  <c r="AP89" i="12"/>
  <c r="AH89" i="12"/>
  <c r="AT89" i="12"/>
  <c r="D89" i="12"/>
  <c r="AD89" i="12"/>
  <c r="Y89" i="12"/>
  <c r="AO89" i="12"/>
  <c r="E89" i="12"/>
  <c r="J89" i="12"/>
  <c r="AN89" i="12"/>
  <c r="L89" i="12"/>
  <c r="Z89" i="12"/>
  <c r="B89" i="12"/>
  <c r="AA89" i="12"/>
  <c r="AS89" i="12"/>
  <c r="AE89" i="12"/>
  <c r="K89" i="12"/>
  <c r="AC89" i="12"/>
  <c r="AM89" i="12"/>
  <c r="A90" i="12" a="1"/>
  <c r="S89" i="12" l="1"/>
  <c r="P89" i="12"/>
  <c r="R89" i="12"/>
  <c r="T89" i="12"/>
  <c r="O89" i="12"/>
  <c r="A90" i="12"/>
  <c r="AU89" i="12"/>
  <c r="M89" i="12"/>
  <c r="AI89" i="12"/>
  <c r="N89" i="12"/>
  <c r="Q89" i="12"/>
  <c r="U89" i="12"/>
  <c r="V89" i="12"/>
  <c r="F89" i="12"/>
  <c r="G89" i="12"/>
  <c r="H89" i="12"/>
  <c r="W89" i="12" l="1"/>
  <c r="C90" i="12"/>
  <c r="K90" i="12"/>
  <c r="AC90" i="12"/>
  <c r="AE90" i="12"/>
  <c r="D90" i="12"/>
  <c r="AG90" i="12"/>
  <c r="AT90" i="12"/>
  <c r="AL90" i="12"/>
  <c r="I90" i="12"/>
  <c r="Z90" i="12"/>
  <c r="AB90" i="12"/>
  <c r="AN90" i="12"/>
  <c r="AR90" i="12"/>
  <c r="B90" i="12"/>
  <c r="AQ90" i="12"/>
  <c r="AA90" i="12"/>
  <c r="Y90" i="12"/>
  <c r="AF90" i="12"/>
  <c r="AM90" i="12"/>
  <c r="AO90" i="12"/>
  <c r="AH90" i="12"/>
  <c r="AP90" i="12"/>
  <c r="J90" i="12"/>
  <c r="AS90" i="12"/>
  <c r="E90" i="12"/>
  <c r="L90" i="12"/>
  <c r="AD90" i="12"/>
  <c r="AK90" i="12"/>
  <c r="A91" i="12" a="1"/>
  <c r="N90" i="12" l="1"/>
  <c r="U90" i="12"/>
  <c r="A91" i="12"/>
  <c r="AU90" i="12"/>
  <c r="S90" i="12"/>
  <c r="Q90" i="12"/>
  <c r="T90" i="12"/>
  <c r="AI90" i="12"/>
  <c r="M90" i="12"/>
  <c r="V90" i="12"/>
  <c r="R90" i="12"/>
  <c r="P90" i="12"/>
  <c r="F90" i="12"/>
  <c r="H90" i="12"/>
  <c r="G90" i="12"/>
  <c r="O90" i="12"/>
  <c r="W90" i="12" l="1"/>
  <c r="C91" i="12"/>
  <c r="L91" i="12"/>
  <c r="AB91" i="12"/>
  <c r="AR91" i="12"/>
  <c r="B91" i="12"/>
  <c r="K91" i="12"/>
  <c r="D91" i="12"/>
  <c r="AM91" i="12"/>
  <c r="Y91" i="12"/>
  <c r="AQ91" i="12"/>
  <c r="AO91" i="12"/>
  <c r="AT91" i="12"/>
  <c r="I91" i="12"/>
  <c r="Z91" i="12"/>
  <c r="AC91" i="12"/>
  <c r="AD91" i="12"/>
  <c r="E91" i="12"/>
  <c r="AE91" i="12"/>
  <c r="AP91" i="12"/>
  <c r="AK91" i="12"/>
  <c r="AL91" i="12"/>
  <c r="AS91" i="12"/>
  <c r="AN91" i="12"/>
  <c r="AG91" i="12"/>
  <c r="J91" i="12"/>
  <c r="AH91" i="12"/>
  <c r="AA91" i="12"/>
  <c r="AF91" i="12"/>
  <c r="A92" i="12" a="1"/>
  <c r="Q91" i="12" l="1"/>
  <c r="T91" i="12"/>
  <c r="N91" i="12"/>
  <c r="U91" i="12"/>
  <c r="R91" i="12"/>
  <c r="S91" i="12"/>
  <c r="A92" i="12"/>
  <c r="O91" i="12"/>
  <c r="V91" i="12"/>
  <c r="AU91" i="12"/>
  <c r="P91" i="12"/>
  <c r="F91" i="12"/>
  <c r="G91" i="12"/>
  <c r="H91" i="12"/>
  <c r="AI91" i="12"/>
  <c r="M91" i="12"/>
  <c r="W91" i="12" l="1"/>
  <c r="AN92" i="12"/>
  <c r="AA92" i="12"/>
  <c r="Z92" i="12"/>
  <c r="D92" i="12"/>
  <c r="E92" i="12"/>
  <c r="AM92" i="12"/>
  <c r="B92" i="12"/>
  <c r="C92" i="12"/>
  <c r="AE92" i="12"/>
  <c r="Y92" i="12"/>
  <c r="AO92" i="12"/>
  <c r="AQ92" i="12"/>
  <c r="K92" i="12"/>
  <c r="AP92" i="12"/>
  <c r="I92" i="12"/>
  <c r="AB92" i="12"/>
  <c r="AC92" i="12"/>
  <c r="AD92" i="12"/>
  <c r="L92" i="12"/>
  <c r="AG92" i="12"/>
  <c r="AS92" i="12"/>
  <c r="AH92" i="12"/>
  <c r="AK92" i="12"/>
  <c r="AT92" i="12"/>
  <c r="AF92" i="12"/>
  <c r="AR92" i="12"/>
  <c r="J92" i="12"/>
  <c r="AL92" i="12"/>
  <c r="A93" i="12" a="1"/>
  <c r="AU92" i="12" l="1"/>
  <c r="V92" i="12"/>
  <c r="A93" i="12"/>
  <c r="F92" i="12"/>
  <c r="G92" i="12"/>
  <c r="H92" i="12"/>
  <c r="R92" i="12"/>
  <c r="Q92" i="12"/>
  <c r="U92" i="12"/>
  <c r="N92" i="12"/>
  <c r="AI92" i="12"/>
  <c r="M92" i="12"/>
  <c r="O92" i="12"/>
  <c r="T92" i="12"/>
  <c r="S92" i="12"/>
  <c r="P92" i="12"/>
  <c r="W92" i="12" l="1"/>
  <c r="B93" i="12"/>
  <c r="AB93" i="12"/>
  <c r="C93" i="12"/>
  <c r="AE93" i="12"/>
  <c r="AN93" i="12"/>
  <c r="E93" i="12"/>
  <c r="J93" i="12"/>
  <c r="AF93" i="12"/>
  <c r="AO93" i="12"/>
  <c r="AL93" i="12"/>
  <c r="AA93" i="12"/>
  <c r="AS93" i="12"/>
  <c r="AD93" i="12"/>
  <c r="D93" i="12"/>
  <c r="K93" i="12"/>
  <c r="Z93" i="12"/>
  <c r="AK93" i="12"/>
  <c r="AC93" i="12"/>
  <c r="AH93" i="12"/>
  <c r="Y93" i="12"/>
  <c r="AT93" i="12"/>
  <c r="AP93" i="12"/>
  <c r="L93" i="12"/>
  <c r="AM93" i="12"/>
  <c r="I93" i="12"/>
  <c r="AG93" i="12"/>
  <c r="AR93" i="12"/>
  <c r="AQ93" i="12"/>
  <c r="A94" i="12" a="1"/>
  <c r="O93" i="12" l="1"/>
  <c r="Q93" i="12"/>
  <c r="A94" i="12"/>
  <c r="R93" i="12"/>
  <c r="G93" i="12"/>
  <c r="H93" i="12"/>
  <c r="F93" i="12"/>
  <c r="AI93" i="12"/>
  <c r="M93" i="12"/>
  <c r="S93" i="12"/>
  <c r="V93" i="12"/>
  <c r="U93" i="12"/>
  <c r="P93" i="12"/>
  <c r="AU93" i="12"/>
  <c r="N93" i="12"/>
  <c r="T93" i="12"/>
  <c r="W93" i="12" l="1"/>
  <c r="AT94" i="12"/>
  <c r="AM94" i="12"/>
  <c r="B94" i="12"/>
  <c r="AS94" i="12"/>
  <c r="AG94" i="12"/>
  <c r="AR94" i="12"/>
  <c r="AC94" i="12"/>
  <c r="AK94" i="12"/>
  <c r="C94" i="12"/>
  <c r="Z94" i="12"/>
  <c r="E94" i="12"/>
  <c r="AL94" i="12"/>
  <c r="AB94" i="12"/>
  <c r="AQ94" i="12"/>
  <c r="AP94" i="12"/>
  <c r="AA94" i="12"/>
  <c r="L94" i="12"/>
  <c r="Y94" i="12"/>
  <c r="D94" i="12"/>
  <c r="AE94" i="12"/>
  <c r="AO94" i="12"/>
  <c r="AN94" i="12"/>
  <c r="K94" i="12"/>
  <c r="J94" i="12"/>
  <c r="AF94" i="12"/>
  <c r="I94" i="12"/>
  <c r="AH94" i="12"/>
  <c r="AD94" i="12"/>
  <c r="A95" i="12" a="1"/>
  <c r="V94" i="12" l="1"/>
  <c r="U94" i="12"/>
  <c r="O94" i="12"/>
  <c r="AU94" i="12"/>
  <c r="Q94" i="12"/>
  <c r="A95" i="12"/>
  <c r="P94" i="12"/>
  <c r="R94" i="12"/>
  <c r="S94" i="12"/>
  <c r="F94" i="12"/>
  <c r="H94" i="12"/>
  <c r="G94" i="12"/>
  <c r="AI94" i="12"/>
  <c r="M94" i="12"/>
  <c r="N94" i="12"/>
  <c r="T94" i="12"/>
  <c r="W94" i="12" l="1"/>
  <c r="AS95" i="12"/>
  <c r="AH95" i="12"/>
  <c r="Y95" i="12"/>
  <c r="AC95" i="12"/>
  <c r="AD95" i="12"/>
  <c r="K95" i="12"/>
  <c r="AQ95" i="12"/>
  <c r="B95" i="12"/>
  <c r="E95" i="12"/>
  <c r="L95" i="12"/>
  <c r="AM95" i="12"/>
  <c r="Z95" i="12"/>
  <c r="AR95" i="12"/>
  <c r="J95" i="12"/>
  <c r="C95" i="12"/>
  <c r="AO95" i="12"/>
  <c r="AN95" i="12"/>
  <c r="AT95" i="12"/>
  <c r="AK95" i="12"/>
  <c r="AL95" i="12"/>
  <c r="AB95" i="12"/>
  <c r="I95" i="12"/>
  <c r="AE95" i="12"/>
  <c r="AG95" i="12"/>
  <c r="AF95" i="12"/>
  <c r="D95" i="12"/>
  <c r="AA95" i="12"/>
  <c r="AP95" i="12"/>
  <c r="A96" i="12" a="1"/>
  <c r="O95" i="12" l="1"/>
  <c r="P95" i="12"/>
  <c r="R95" i="12"/>
  <c r="S95" i="12"/>
  <c r="N95" i="12"/>
  <c r="U95" i="12"/>
  <c r="A96" i="12"/>
  <c r="AU95" i="12"/>
  <c r="M95" i="12"/>
  <c r="AI95" i="12"/>
  <c r="V95" i="12"/>
  <c r="Q95" i="12"/>
  <c r="T95" i="12"/>
  <c r="F95" i="12"/>
  <c r="H95" i="12"/>
  <c r="G95" i="12"/>
  <c r="W95" i="12" l="1"/>
  <c r="AE96" i="12"/>
  <c r="E96" i="12"/>
  <c r="AF96" i="12"/>
  <c r="AC96" i="12"/>
  <c r="AH96" i="12"/>
  <c r="I96" i="12"/>
  <c r="AA96" i="12"/>
  <c r="AG96" i="12"/>
  <c r="D96" i="12"/>
  <c r="AD96" i="12"/>
  <c r="B96" i="12"/>
  <c r="AL96" i="12"/>
  <c r="C96" i="12"/>
  <c r="AK96" i="12"/>
  <c r="L96" i="12"/>
  <c r="AO96" i="12"/>
  <c r="AP96" i="12"/>
  <c r="AN96" i="12"/>
  <c r="AB96" i="12"/>
  <c r="AS96" i="12"/>
  <c r="Y96" i="12"/>
  <c r="AT96" i="12"/>
  <c r="AM96" i="12"/>
  <c r="Z96" i="12"/>
  <c r="J96" i="12"/>
  <c r="AQ96" i="12"/>
  <c r="AR96" i="12"/>
  <c r="K96" i="12"/>
  <c r="A97" i="12" a="1"/>
  <c r="Q96" i="12" l="1"/>
  <c r="P96" i="12"/>
  <c r="R96" i="12"/>
  <c r="A97" i="12"/>
  <c r="O96" i="12"/>
  <c r="AU96" i="12"/>
  <c r="AI96" i="12"/>
  <c r="M96" i="12"/>
  <c r="V96" i="12"/>
  <c r="T96" i="12"/>
  <c r="G96" i="12"/>
  <c r="H96" i="12"/>
  <c r="F96" i="12"/>
  <c r="S96" i="12"/>
  <c r="N96" i="12"/>
  <c r="U96" i="12"/>
  <c r="W96" i="12" l="1"/>
  <c r="AA97" i="12"/>
  <c r="AF97" i="12"/>
  <c r="E97" i="12"/>
  <c r="K97" i="12"/>
  <c r="AG97" i="12"/>
  <c r="C97" i="12"/>
  <c r="L97" i="12"/>
  <c r="AM97" i="12"/>
  <c r="AN97" i="12"/>
  <c r="I97" i="12"/>
  <c r="D97" i="12"/>
  <c r="AK97" i="12"/>
  <c r="AQ97" i="12"/>
  <c r="AL97" i="12"/>
  <c r="AP97" i="12"/>
  <c r="AB97" i="12"/>
  <c r="AR97" i="12"/>
  <c r="AE97" i="12"/>
  <c r="AO97" i="12"/>
  <c r="Y97" i="12"/>
  <c r="B97" i="12"/>
  <c r="Z97" i="12"/>
  <c r="AH97" i="12"/>
  <c r="AC97" i="12"/>
  <c r="AT97" i="12"/>
  <c r="AS97" i="12"/>
  <c r="AD97" i="12"/>
  <c r="J97" i="12"/>
  <c r="A98" i="12" a="1"/>
  <c r="N97" i="12" l="1"/>
  <c r="U97" i="12"/>
  <c r="V97" i="12"/>
  <c r="O97" i="12"/>
  <c r="T97" i="12"/>
  <c r="A98" i="12"/>
  <c r="AU97" i="12"/>
  <c r="AI97" i="12"/>
  <c r="M97" i="12"/>
  <c r="R97" i="12"/>
  <c r="H97" i="12"/>
  <c r="F97" i="12"/>
  <c r="G97" i="12"/>
  <c r="S97" i="12"/>
  <c r="Q97" i="12"/>
  <c r="P97" i="12"/>
  <c r="W97" i="12" l="1"/>
  <c r="AM98" i="12"/>
  <c r="Z98" i="12"/>
  <c r="K98" i="12"/>
  <c r="AR98" i="12"/>
  <c r="AT98" i="12"/>
  <c r="AN98" i="12"/>
  <c r="AE98" i="12"/>
  <c r="AQ98" i="12"/>
  <c r="AB98" i="12"/>
  <c r="L98" i="12"/>
  <c r="AA98" i="12"/>
  <c r="D98" i="12"/>
  <c r="AP98" i="12"/>
  <c r="AH98" i="12"/>
  <c r="C98" i="12"/>
  <c r="AL98" i="12"/>
  <c r="Y98" i="12"/>
  <c r="AO98" i="12"/>
  <c r="E98" i="12"/>
  <c r="I98" i="12"/>
  <c r="AS98" i="12"/>
  <c r="AF98" i="12"/>
  <c r="J98" i="12"/>
  <c r="B98" i="12"/>
  <c r="AK98" i="12"/>
  <c r="AC98" i="12"/>
  <c r="AD98" i="12"/>
  <c r="AG98" i="12"/>
  <c r="A99" i="12" a="1"/>
  <c r="O98" i="12" l="1"/>
  <c r="Q98" i="12"/>
  <c r="T98" i="12"/>
  <c r="V98" i="12"/>
  <c r="A99" i="12"/>
  <c r="U98" i="12"/>
  <c r="R98" i="12"/>
  <c r="N98" i="12"/>
  <c r="S98" i="12"/>
  <c r="H98" i="12"/>
  <c r="G98" i="12"/>
  <c r="F98" i="12"/>
  <c r="AU98" i="12"/>
  <c r="M98" i="12"/>
  <c r="AI98" i="12"/>
  <c r="P98" i="12"/>
  <c r="W98" i="12" l="1"/>
  <c r="AC99" i="12"/>
  <c r="AK99" i="12"/>
  <c r="AM99" i="12"/>
  <c r="AQ99" i="12"/>
  <c r="AH99" i="12"/>
  <c r="AR99" i="12"/>
  <c r="I99" i="12"/>
  <c r="AT99" i="12"/>
  <c r="AF99" i="12"/>
  <c r="AS99" i="12"/>
  <c r="L99" i="12"/>
  <c r="AG99" i="12"/>
  <c r="AO99" i="12"/>
  <c r="D99" i="12"/>
  <c r="C99" i="12"/>
  <c r="K99" i="12"/>
  <c r="AD99" i="12"/>
  <c r="J99" i="12"/>
  <c r="Z99" i="12"/>
  <c r="Y99" i="12"/>
  <c r="AE99" i="12"/>
  <c r="E99" i="12"/>
  <c r="B99" i="12"/>
  <c r="AB99" i="12"/>
  <c r="AA99" i="12"/>
  <c r="AP99" i="12"/>
  <c r="AL99" i="12"/>
  <c r="AN99" i="12"/>
  <c r="A100" i="12" a="1"/>
  <c r="U99" i="12" l="1"/>
  <c r="S99" i="12"/>
  <c r="V99" i="12"/>
  <c r="A100" i="12"/>
  <c r="M99" i="12"/>
  <c r="AI99" i="12"/>
  <c r="R99" i="12"/>
  <c r="T99" i="12"/>
  <c r="Q99" i="12"/>
  <c r="H99" i="12"/>
  <c r="G99" i="12"/>
  <c r="F99" i="12"/>
  <c r="N99" i="12"/>
  <c r="AU99" i="12"/>
  <c r="O99" i="12"/>
  <c r="P99" i="12"/>
  <c r="W99" i="12" l="1"/>
  <c r="I100" i="12"/>
  <c r="AM100" i="12"/>
  <c r="AG100" i="12"/>
  <c r="C100" i="12"/>
  <c r="AR100" i="12"/>
  <c r="AF100" i="12"/>
  <c r="AN100" i="12"/>
  <c r="AE100" i="12"/>
  <c r="AH100" i="12"/>
  <c r="AD100" i="12"/>
  <c r="Y100" i="12"/>
  <c r="L100" i="12"/>
  <c r="AA100" i="12"/>
  <c r="E100" i="12"/>
  <c r="AP100" i="12"/>
  <c r="B100" i="12"/>
  <c r="AL100" i="12"/>
  <c r="AK100" i="12"/>
  <c r="AQ100" i="12"/>
  <c r="AO100" i="12"/>
  <c r="AC100" i="12"/>
  <c r="AS100" i="12"/>
  <c r="J100" i="12"/>
  <c r="Z100" i="12"/>
  <c r="AT100" i="12"/>
  <c r="AB100" i="12"/>
  <c r="D100" i="12"/>
  <c r="K100" i="12"/>
  <c r="A101" i="12" a="1"/>
  <c r="O100" i="12" l="1"/>
  <c r="Q100" i="12"/>
  <c r="N100" i="12"/>
  <c r="T100" i="12"/>
  <c r="A101" i="12"/>
  <c r="G100" i="12"/>
  <c r="H100" i="12"/>
  <c r="F100" i="12"/>
  <c r="M100" i="12"/>
  <c r="AI100" i="12"/>
  <c r="U100" i="12"/>
  <c r="P100" i="12"/>
  <c r="AU100" i="12"/>
  <c r="R100" i="12"/>
  <c r="V100" i="12"/>
  <c r="S100" i="12"/>
  <c r="W100" i="12" l="1"/>
  <c r="AK101" i="12"/>
  <c r="L101" i="12"/>
  <c r="AM101" i="12"/>
  <c r="AC101" i="12"/>
  <c r="I101" i="12"/>
  <c r="AE101" i="12"/>
  <c r="AO101" i="12"/>
  <c r="AP101" i="12"/>
  <c r="AS101" i="12"/>
  <c r="AT101" i="12"/>
  <c r="AQ101" i="12"/>
  <c r="B101" i="12"/>
  <c r="AG101" i="12"/>
  <c r="D101" i="12"/>
  <c r="C101" i="12"/>
  <c r="E101" i="12"/>
  <c r="AR101" i="12"/>
  <c r="AF101" i="12"/>
  <c r="AB101" i="12"/>
  <c r="K101" i="12"/>
  <c r="Y101" i="12"/>
  <c r="AL101" i="12"/>
  <c r="AH101" i="12"/>
  <c r="AD101" i="12"/>
  <c r="AA101" i="12"/>
  <c r="Z101" i="12"/>
  <c r="J101" i="12"/>
  <c r="AN101" i="12"/>
  <c r="A102" i="12" a="1"/>
  <c r="V101" i="12" l="1"/>
  <c r="R101" i="12"/>
  <c r="T101" i="12"/>
  <c r="U101" i="12"/>
  <c r="S101" i="12"/>
  <c r="A102" i="12"/>
  <c r="N101" i="12"/>
  <c r="M101" i="12"/>
  <c r="AI101" i="12"/>
  <c r="Q101" i="12"/>
  <c r="P101" i="12"/>
  <c r="O101" i="12"/>
  <c r="AU101" i="12"/>
  <c r="G101" i="12"/>
  <c r="H101" i="12"/>
  <c r="F101" i="12"/>
  <c r="W101" i="12" l="1"/>
  <c r="AE102" i="12"/>
  <c r="AL102" i="12"/>
  <c r="AC102" i="12"/>
  <c r="AG102" i="12"/>
  <c r="AT102" i="12"/>
  <c r="E102" i="12"/>
  <c r="B102" i="12"/>
  <c r="AF102" i="12"/>
  <c r="AH102" i="12"/>
  <c r="Y102" i="12"/>
  <c r="AB102" i="12"/>
  <c r="AM102" i="12"/>
  <c r="Z102" i="12"/>
  <c r="AN102" i="12"/>
  <c r="AR102" i="12"/>
  <c r="AS102" i="12"/>
  <c r="AQ102" i="12"/>
  <c r="AA102" i="12"/>
  <c r="AK102" i="12"/>
  <c r="D102" i="12"/>
  <c r="I102" i="12"/>
  <c r="L102" i="12"/>
  <c r="AD102" i="12"/>
  <c r="AP102" i="12"/>
  <c r="J102" i="12"/>
  <c r="C102" i="12"/>
  <c r="AO102" i="12"/>
  <c r="K102" i="12"/>
  <c r="A103" i="12" a="1"/>
  <c r="R102" i="12" l="1"/>
  <c r="N102" i="12"/>
  <c r="U102" i="12"/>
  <c r="A103" i="12"/>
  <c r="AU102" i="12"/>
  <c r="Q102" i="12"/>
  <c r="O102" i="12"/>
  <c r="V102" i="12"/>
  <c r="S102" i="12"/>
  <c r="G102" i="12"/>
  <c r="F102" i="12"/>
  <c r="H102" i="12"/>
  <c r="P102" i="12"/>
  <c r="AI102" i="12"/>
  <c r="M102" i="12"/>
  <c r="T102" i="12"/>
  <c r="W102" i="12" l="1"/>
  <c r="AG103" i="12"/>
  <c r="AL103" i="12"/>
  <c r="AH103" i="12"/>
  <c r="Y103" i="12"/>
  <c r="J103" i="12"/>
  <c r="C103" i="12"/>
  <c r="AF103" i="12"/>
  <c r="E103" i="12"/>
  <c r="I103" i="12"/>
  <c r="AK103" i="12"/>
  <c r="AA103" i="12"/>
  <c r="Z103" i="12"/>
  <c r="AB103" i="12"/>
  <c r="AP103" i="12"/>
  <c r="D103" i="12"/>
  <c r="K103" i="12"/>
  <c r="AN103" i="12"/>
  <c r="AS103" i="12"/>
  <c r="AR103" i="12"/>
  <c r="AD103" i="12"/>
  <c r="AO103" i="12"/>
  <c r="L103" i="12"/>
  <c r="AM103" i="12"/>
  <c r="AE103" i="12"/>
  <c r="AC103" i="12"/>
  <c r="B103" i="12"/>
  <c r="AQ103" i="12"/>
  <c r="AT103" i="12"/>
  <c r="A104" i="12" a="1"/>
  <c r="N103" i="12" l="1"/>
  <c r="P103" i="12"/>
  <c r="T103" i="12"/>
  <c r="A104" i="12"/>
  <c r="R103" i="12"/>
  <c r="M103" i="12"/>
  <c r="AI103" i="12"/>
  <c r="O103" i="12"/>
  <c r="V103" i="12"/>
  <c r="AU103" i="12"/>
  <c r="U103" i="12"/>
  <c r="Q103" i="12"/>
  <c r="S103" i="12"/>
  <c r="F103" i="12"/>
  <c r="G103" i="12"/>
  <c r="H103" i="12"/>
  <c r="W103" i="12" l="1"/>
  <c r="E104" i="12"/>
  <c r="L104" i="12"/>
  <c r="AE104" i="12"/>
  <c r="AG104" i="12"/>
  <c r="AC104" i="12"/>
  <c r="AT104" i="12"/>
  <c r="AO104" i="12"/>
  <c r="AK104" i="12"/>
  <c r="AD104" i="12"/>
  <c r="AP104" i="12"/>
  <c r="Z104" i="12"/>
  <c r="J104" i="12"/>
  <c r="AF104" i="12"/>
  <c r="AM104" i="12"/>
  <c r="AQ104" i="12"/>
  <c r="AH104" i="12"/>
  <c r="B104" i="12"/>
  <c r="AA104" i="12"/>
  <c r="Y104" i="12"/>
  <c r="AR104" i="12"/>
  <c r="AS104" i="12"/>
  <c r="C104" i="12"/>
  <c r="K104" i="12"/>
  <c r="AN104" i="12"/>
  <c r="D104" i="12"/>
  <c r="AL104" i="12"/>
  <c r="AB104" i="12"/>
  <c r="I104" i="12"/>
  <c r="A105" i="12" a="1"/>
  <c r="N104" i="12" l="1"/>
  <c r="P104" i="12"/>
  <c r="T104" i="12"/>
  <c r="A105" i="12"/>
  <c r="Q104" i="12"/>
  <c r="M104" i="12"/>
  <c r="AI104" i="12"/>
  <c r="U104" i="12"/>
  <c r="S104" i="12"/>
  <c r="O104" i="12"/>
  <c r="H104" i="12"/>
  <c r="G104" i="12"/>
  <c r="F104" i="12"/>
  <c r="R104" i="12"/>
  <c r="V104" i="12"/>
  <c r="AU104" i="12"/>
  <c r="W104" i="12" l="1"/>
  <c r="AO105" i="12"/>
  <c r="J105" i="12"/>
  <c r="I105" i="12"/>
  <c r="AC105" i="12"/>
  <c r="AK105" i="12"/>
  <c r="AB105" i="12"/>
  <c r="AH105" i="12"/>
  <c r="AA105" i="12"/>
  <c r="AQ105" i="12"/>
  <c r="AD105" i="12"/>
  <c r="K105" i="12"/>
  <c r="AP105" i="12"/>
  <c r="AE105" i="12"/>
  <c r="L105" i="12"/>
  <c r="AR105" i="12"/>
  <c r="AL105" i="12"/>
  <c r="AS105" i="12"/>
  <c r="AN105" i="12"/>
  <c r="AT105" i="12"/>
  <c r="AF105" i="12"/>
  <c r="Z105" i="12"/>
  <c r="Y105" i="12"/>
  <c r="D105" i="12"/>
  <c r="C105" i="12"/>
  <c r="AM105" i="12"/>
  <c r="B105" i="12"/>
  <c r="E105" i="12"/>
  <c r="AG105" i="12"/>
  <c r="A106" i="12" a="1"/>
  <c r="S105" i="12" l="1"/>
  <c r="P105" i="12"/>
  <c r="N105" i="12"/>
  <c r="Q105" i="12"/>
  <c r="U105" i="12"/>
  <c r="V105" i="12"/>
  <c r="A106" i="12"/>
  <c r="AU105" i="12"/>
  <c r="M105" i="12"/>
  <c r="AI105" i="12"/>
  <c r="T105" i="12"/>
  <c r="F105" i="12"/>
  <c r="H105" i="12"/>
  <c r="G105" i="12"/>
  <c r="R105" i="12"/>
  <c r="O105" i="12"/>
  <c r="W105" i="12" l="1"/>
  <c r="B106" i="12"/>
  <c r="AA106" i="12"/>
  <c r="AE106" i="12"/>
  <c r="C106" i="12"/>
  <c r="D106" i="12"/>
  <c r="AO106" i="12"/>
  <c r="AS106" i="12"/>
  <c r="AL106" i="12"/>
  <c r="Z106" i="12"/>
  <c r="AN106" i="12"/>
  <c r="AT106" i="12"/>
  <c r="AD106" i="12"/>
  <c r="AF106" i="12"/>
  <c r="AB106" i="12"/>
  <c r="E106" i="12"/>
  <c r="AH106" i="12"/>
  <c r="AP106" i="12"/>
  <c r="AC106" i="12"/>
  <c r="I106" i="12"/>
  <c r="AQ106" i="12"/>
  <c r="AG106" i="12"/>
  <c r="AK106" i="12"/>
  <c r="AM106" i="12"/>
  <c r="L106" i="12"/>
  <c r="AR106" i="12"/>
  <c r="K106" i="12"/>
  <c r="J106" i="12"/>
  <c r="Y106" i="12"/>
  <c r="A107" i="12" a="1"/>
  <c r="P106" i="12" l="1"/>
  <c r="T106" i="12"/>
  <c r="R106" i="12"/>
  <c r="N106" i="12"/>
  <c r="A107" i="12"/>
  <c r="AU106" i="12"/>
  <c r="M106" i="12"/>
  <c r="AI106" i="12"/>
  <c r="Q106" i="12"/>
  <c r="O106" i="12"/>
  <c r="H106" i="12"/>
  <c r="F106" i="12"/>
  <c r="G106" i="12"/>
  <c r="U106" i="12"/>
  <c r="S106" i="12"/>
  <c r="V106" i="12"/>
  <c r="W106" i="12" l="1"/>
  <c r="AH107" i="12"/>
  <c r="AQ107" i="12"/>
  <c r="AF107" i="12"/>
  <c r="AS107" i="12"/>
  <c r="AE107" i="12"/>
  <c r="K107" i="12"/>
  <c r="AT107" i="12"/>
  <c r="AL107" i="12"/>
  <c r="AB107" i="12"/>
  <c r="E107" i="12"/>
  <c r="AK107" i="12"/>
  <c r="AN107" i="12"/>
  <c r="AO107" i="12"/>
  <c r="AM107" i="12"/>
  <c r="AP107" i="12"/>
  <c r="B107" i="12"/>
  <c r="AG107" i="12"/>
  <c r="J107" i="12"/>
  <c r="Y107" i="12"/>
  <c r="AD107" i="12"/>
  <c r="AR107" i="12"/>
  <c r="AA107" i="12"/>
  <c r="AC107" i="12"/>
  <c r="C107" i="12"/>
  <c r="L107" i="12"/>
  <c r="D107" i="12"/>
  <c r="Z107" i="12"/>
  <c r="I107" i="12"/>
  <c r="A108" i="12" a="1"/>
  <c r="S107" i="12" l="1"/>
  <c r="N107" i="12"/>
  <c r="O107" i="12"/>
  <c r="Q107" i="12"/>
  <c r="A108" i="12"/>
  <c r="R107" i="12"/>
  <c r="M107" i="12"/>
  <c r="AI107" i="12"/>
  <c r="AU107" i="12"/>
  <c r="T107" i="12"/>
  <c r="F107" i="12"/>
  <c r="H107" i="12"/>
  <c r="G107" i="12"/>
  <c r="U107" i="12"/>
  <c r="P107" i="12"/>
  <c r="V107" i="12"/>
  <c r="W107" i="12" l="1"/>
  <c r="AM108" i="12"/>
  <c r="AS108" i="12"/>
  <c r="AD108" i="12"/>
  <c r="AL108" i="12"/>
  <c r="C108" i="12"/>
  <c r="L108" i="12"/>
  <c r="E108" i="12"/>
  <c r="Y108" i="12"/>
  <c r="K108" i="12"/>
  <c r="AO108" i="12"/>
  <c r="AG108" i="12"/>
  <c r="AB108" i="12"/>
  <c r="AP108" i="12"/>
  <c r="AC108" i="12"/>
  <c r="AR108" i="12"/>
  <c r="AH108" i="12"/>
  <c r="AE108" i="12"/>
  <c r="AK108" i="12"/>
  <c r="AN108" i="12"/>
  <c r="Z108" i="12"/>
  <c r="J108" i="12"/>
  <c r="I108" i="12"/>
  <c r="D108" i="12"/>
  <c r="AT108" i="12"/>
  <c r="AF108" i="12"/>
  <c r="AQ108" i="12"/>
  <c r="B108" i="12"/>
  <c r="AA108" i="12"/>
  <c r="A109" i="12" a="1"/>
  <c r="Q108" i="12" l="1"/>
  <c r="U108" i="12"/>
  <c r="O108" i="12"/>
  <c r="P108" i="12"/>
  <c r="N108" i="12"/>
  <c r="A109" i="12"/>
  <c r="AU108" i="12"/>
  <c r="S108" i="12"/>
  <c r="H108" i="12"/>
  <c r="G108" i="12"/>
  <c r="F108" i="12"/>
  <c r="R108" i="12"/>
  <c r="T108" i="12"/>
  <c r="V108" i="12"/>
  <c r="AI108" i="12"/>
  <c r="M108" i="12"/>
  <c r="W108" i="12" l="1"/>
  <c r="D109" i="12"/>
  <c r="Y109" i="12"/>
  <c r="B109" i="12"/>
  <c r="AQ109" i="12"/>
  <c r="AT109" i="12"/>
  <c r="AC109" i="12"/>
  <c r="AN109" i="12"/>
  <c r="AO109" i="12"/>
  <c r="AB109" i="12"/>
  <c r="AL109" i="12"/>
  <c r="AM109" i="12"/>
  <c r="I109" i="12"/>
  <c r="AD109" i="12"/>
  <c r="K109" i="12"/>
  <c r="J109" i="12"/>
  <c r="AS109" i="12"/>
  <c r="L109" i="12"/>
  <c r="C109" i="12"/>
  <c r="AG109" i="12"/>
  <c r="AR109" i="12"/>
  <c r="AP109" i="12"/>
  <c r="E109" i="12"/>
  <c r="AK109" i="12"/>
  <c r="AE109" i="12"/>
  <c r="AA109" i="12"/>
  <c r="AH109" i="12"/>
  <c r="Z109" i="12"/>
  <c r="AF109" i="12"/>
  <c r="A110" i="12" a="1"/>
  <c r="N109" i="12" l="1"/>
  <c r="T109" i="12"/>
  <c r="Q109" i="12"/>
  <c r="U109" i="12"/>
  <c r="AU109" i="12"/>
  <c r="R109" i="12"/>
  <c r="A110" i="12"/>
  <c r="H109" i="12"/>
  <c r="F109" i="12"/>
  <c r="G109" i="12"/>
  <c r="O109" i="12"/>
  <c r="P109" i="12"/>
  <c r="V109" i="12"/>
  <c r="AI109" i="12"/>
  <c r="M109" i="12"/>
  <c r="S109" i="12"/>
  <c r="W109" i="12" l="1"/>
  <c r="AG110" i="12"/>
  <c r="AL110" i="12"/>
  <c r="AM110" i="12"/>
  <c r="K110" i="12"/>
  <c r="AO110" i="12"/>
  <c r="Z110" i="12"/>
  <c r="AE110" i="12"/>
  <c r="E110" i="12"/>
  <c r="AP110" i="12"/>
  <c r="B110" i="12"/>
  <c r="AS110" i="12"/>
  <c r="C110" i="12"/>
  <c r="AA110" i="12"/>
  <c r="AB110" i="12"/>
  <c r="AQ110" i="12"/>
  <c r="AN110" i="12"/>
  <c r="D110" i="12"/>
  <c r="AF110" i="12"/>
  <c r="AH110" i="12"/>
  <c r="I110" i="12"/>
  <c r="AK110" i="12"/>
  <c r="AT110" i="12"/>
  <c r="AD110" i="12"/>
  <c r="Y110" i="12"/>
  <c r="J110" i="12"/>
  <c r="AC110" i="12"/>
  <c r="L110" i="12"/>
  <c r="AR110" i="12"/>
  <c r="A111" i="12" a="1"/>
  <c r="P110" i="12" l="1"/>
  <c r="O110" i="12"/>
  <c r="R110" i="12"/>
  <c r="N110" i="12"/>
  <c r="A111" i="12"/>
  <c r="U110" i="12"/>
  <c r="S110" i="12"/>
  <c r="AU110" i="12"/>
  <c r="V110" i="12"/>
  <c r="Q110" i="12"/>
  <c r="T110" i="12"/>
  <c r="M110" i="12"/>
  <c r="AI110" i="12"/>
  <c r="F110" i="12"/>
  <c r="G110" i="12"/>
  <c r="H110" i="12"/>
  <c r="W110" i="12" l="1"/>
  <c r="D111" i="12"/>
  <c r="AS111" i="12"/>
  <c r="AN111" i="12"/>
  <c r="AR111" i="12"/>
  <c r="AH111" i="12"/>
  <c r="K111" i="12"/>
  <c r="Z111" i="12"/>
  <c r="AD111" i="12"/>
  <c r="AQ111" i="12"/>
  <c r="AB111" i="12"/>
  <c r="AF111" i="12"/>
  <c r="AM111" i="12"/>
  <c r="AK111" i="12"/>
  <c r="Y111" i="12"/>
  <c r="AP111" i="12"/>
  <c r="AO111" i="12"/>
  <c r="B111" i="12"/>
  <c r="J111" i="12"/>
  <c r="AC111" i="12"/>
  <c r="AA111" i="12"/>
  <c r="I111" i="12"/>
  <c r="AL111" i="12"/>
  <c r="AG111" i="12"/>
  <c r="E111" i="12"/>
  <c r="L111" i="12"/>
  <c r="AT111" i="12"/>
  <c r="C111" i="12"/>
  <c r="AE111" i="12"/>
  <c r="A112" i="12" a="1"/>
  <c r="U111" i="12" l="1"/>
  <c r="V111" i="12"/>
  <c r="S111" i="12"/>
  <c r="R111" i="12"/>
  <c r="N111" i="12"/>
  <c r="O111" i="12"/>
  <c r="A112" i="12"/>
  <c r="M111" i="12"/>
  <c r="AI111" i="12"/>
  <c r="AU111" i="12"/>
  <c r="F111" i="12"/>
  <c r="H111" i="12"/>
  <c r="G111" i="12"/>
  <c r="Q111" i="12"/>
  <c r="T111" i="12"/>
  <c r="P111" i="12"/>
  <c r="W111" i="12" l="1"/>
  <c r="D112" i="12"/>
  <c r="AL112" i="12"/>
  <c r="I112" i="12"/>
  <c r="AC112" i="12"/>
  <c r="AH112" i="12"/>
  <c r="C112" i="12"/>
  <c r="AQ112" i="12"/>
  <c r="AE112" i="12"/>
  <c r="L112" i="12"/>
  <c r="AB112" i="12"/>
  <c r="AG112" i="12"/>
  <c r="E112" i="12"/>
  <c r="AM112" i="12"/>
  <c r="AR112" i="12"/>
  <c r="AO112" i="12"/>
  <c r="AK112" i="12"/>
  <c r="Y112" i="12"/>
  <c r="Z112" i="12"/>
  <c r="B112" i="12"/>
  <c r="AA112" i="12"/>
  <c r="J112" i="12"/>
  <c r="AP112" i="12"/>
  <c r="AD112" i="12"/>
  <c r="AS112" i="12"/>
  <c r="K112" i="12"/>
  <c r="AF112" i="12"/>
  <c r="AN112" i="12"/>
  <c r="AT112" i="12"/>
  <c r="A113" i="12" a="1"/>
  <c r="R112" i="12" l="1"/>
  <c r="V112" i="12"/>
  <c r="U112" i="12"/>
  <c r="N112" i="12"/>
  <c r="A113" i="12"/>
  <c r="H112" i="12"/>
  <c r="G112" i="12"/>
  <c r="F112" i="12"/>
  <c r="AI112" i="12"/>
  <c r="M112" i="12"/>
  <c r="O112" i="12"/>
  <c r="Q112" i="12"/>
  <c r="T112" i="12"/>
  <c r="P112" i="12"/>
  <c r="AU112" i="12"/>
  <c r="S112" i="12"/>
  <c r="W112" i="12" l="1"/>
  <c r="AE113" i="12"/>
  <c r="Z113" i="12"/>
  <c r="AC113" i="12"/>
  <c r="J113" i="12"/>
  <c r="B113" i="12"/>
  <c r="AP113" i="12"/>
  <c r="AL113" i="12"/>
  <c r="AG113" i="12"/>
  <c r="AQ113" i="12"/>
  <c r="AM113" i="12"/>
  <c r="AD113" i="12"/>
  <c r="AK113" i="12"/>
  <c r="AR113" i="12"/>
  <c r="AS113" i="12"/>
  <c r="L113" i="12"/>
  <c r="I113" i="12"/>
  <c r="AN113" i="12"/>
  <c r="Y113" i="12"/>
  <c r="AH113" i="12"/>
  <c r="AB113" i="12"/>
  <c r="K113" i="12"/>
  <c r="E113" i="12"/>
  <c r="AF113" i="12"/>
  <c r="D113" i="12"/>
  <c r="C113" i="12"/>
  <c r="AA113" i="12"/>
  <c r="AT113" i="12"/>
  <c r="AO113" i="12"/>
  <c r="A114" i="12" a="1"/>
  <c r="P113" i="12" l="1"/>
  <c r="T113" i="12"/>
  <c r="O113" i="12"/>
  <c r="U113" i="12"/>
  <c r="A114" i="12"/>
  <c r="AU113" i="12"/>
  <c r="R113" i="12"/>
  <c r="AI113" i="12"/>
  <c r="M113" i="12"/>
  <c r="N113" i="12"/>
  <c r="G113" i="12"/>
  <c r="H113" i="12"/>
  <c r="F113" i="12"/>
  <c r="V113" i="12"/>
  <c r="Q113" i="12"/>
  <c r="S113" i="12"/>
  <c r="W113" i="12" l="1"/>
  <c r="I114" i="12"/>
  <c r="AK114" i="12"/>
  <c r="AN114" i="12"/>
  <c r="AE114" i="12"/>
  <c r="AA114" i="12"/>
  <c r="AB114" i="12"/>
  <c r="AR114" i="12"/>
  <c r="AS114" i="12"/>
  <c r="AD114" i="12"/>
  <c r="AM114" i="12"/>
  <c r="Z114" i="12"/>
  <c r="B114" i="12"/>
  <c r="D114" i="12"/>
  <c r="E114" i="12"/>
  <c r="Y114" i="12"/>
  <c r="C114" i="12"/>
  <c r="AF114" i="12"/>
  <c r="AC114" i="12"/>
  <c r="AG114" i="12"/>
  <c r="AH114" i="12"/>
  <c r="AQ114" i="12"/>
  <c r="L114" i="12"/>
  <c r="AO114" i="12"/>
  <c r="J114" i="12"/>
  <c r="K114" i="12"/>
  <c r="AP114" i="12"/>
  <c r="AL114" i="12"/>
  <c r="AT114" i="12"/>
  <c r="A115" i="12" a="1"/>
  <c r="O114" i="12" l="1"/>
  <c r="P114" i="12"/>
  <c r="A115" i="12"/>
  <c r="AI114" i="12"/>
  <c r="M114" i="12"/>
  <c r="H114" i="12"/>
  <c r="G114" i="12"/>
  <c r="F114" i="12"/>
  <c r="U114" i="12"/>
  <c r="Q114" i="12"/>
  <c r="V114" i="12"/>
  <c r="S114" i="12"/>
  <c r="N114" i="12"/>
  <c r="AU114" i="12"/>
  <c r="T114" i="12"/>
  <c r="R114" i="12"/>
  <c r="W114" i="12" l="1"/>
  <c r="AA115" i="12"/>
  <c r="AN115" i="12"/>
  <c r="AE115" i="12"/>
  <c r="Y115" i="12"/>
  <c r="AC115" i="12"/>
  <c r="B115" i="12"/>
  <c r="AR115" i="12"/>
  <c r="D115" i="12"/>
  <c r="AK115" i="12"/>
  <c r="I115" i="12"/>
  <c r="Z115" i="12"/>
  <c r="E115" i="12"/>
  <c r="L115" i="12"/>
  <c r="AS115" i="12"/>
  <c r="AF115" i="12"/>
  <c r="AB115" i="12"/>
  <c r="AO115" i="12"/>
  <c r="AM115" i="12"/>
  <c r="AT115" i="12"/>
  <c r="AL115" i="12"/>
  <c r="C115" i="12"/>
  <c r="K115" i="12"/>
  <c r="AH115" i="12"/>
  <c r="AP115" i="12"/>
  <c r="AQ115" i="12"/>
  <c r="J115" i="12"/>
  <c r="AD115" i="12"/>
  <c r="AG115" i="12"/>
  <c r="A116" i="12" a="1"/>
  <c r="Q115" i="12" l="1"/>
  <c r="R115" i="12"/>
  <c r="S115" i="12"/>
  <c r="T115" i="12"/>
  <c r="V115" i="12"/>
  <c r="A116" i="12"/>
  <c r="U115" i="12"/>
  <c r="AI115" i="12"/>
  <c r="M115" i="12"/>
  <c r="F115" i="12"/>
  <c r="G115" i="12"/>
  <c r="H115" i="12"/>
  <c r="N115" i="12"/>
  <c r="AU115" i="12"/>
  <c r="O115" i="12"/>
  <c r="P115" i="12"/>
  <c r="W115" i="12" l="1"/>
  <c r="AL116" i="12"/>
  <c r="AR116" i="12"/>
  <c r="K116" i="12"/>
  <c r="AM116" i="12"/>
  <c r="AO116" i="12"/>
  <c r="AQ116" i="12"/>
  <c r="L116" i="12"/>
  <c r="AK116" i="12"/>
  <c r="AT116" i="12"/>
  <c r="AF116" i="12"/>
  <c r="AD116" i="12"/>
  <c r="AG116" i="12"/>
  <c r="AP116" i="12"/>
  <c r="AA116" i="12"/>
  <c r="AN116" i="12"/>
  <c r="AB116" i="12"/>
  <c r="Y116" i="12"/>
  <c r="C116" i="12"/>
  <c r="I116" i="12"/>
  <c r="Z116" i="12"/>
  <c r="D116" i="12"/>
  <c r="B116" i="12"/>
  <c r="AE116" i="12"/>
  <c r="AH116" i="12"/>
  <c r="J116" i="12"/>
  <c r="E116" i="12"/>
  <c r="AS116" i="12"/>
  <c r="AC116" i="12"/>
  <c r="A117" i="12" a="1"/>
  <c r="N116" i="12" l="1"/>
  <c r="T116" i="12"/>
  <c r="O116" i="12"/>
  <c r="U116" i="12"/>
  <c r="S116" i="12"/>
  <c r="Q116" i="12"/>
  <c r="V116" i="12"/>
  <c r="A117" i="12"/>
  <c r="R116" i="12"/>
  <c r="F116" i="12"/>
  <c r="H116" i="12"/>
  <c r="G116" i="12"/>
  <c r="AI116" i="12"/>
  <c r="M116" i="12"/>
  <c r="P116" i="12"/>
  <c r="AU116" i="12"/>
  <c r="W116" i="12" l="1"/>
  <c r="AD117" i="12"/>
  <c r="AL117" i="12"/>
  <c r="K117" i="12"/>
  <c r="AC117" i="12"/>
  <c r="AG117" i="12"/>
  <c r="AR117" i="12"/>
  <c r="E117" i="12"/>
  <c r="B117" i="12"/>
  <c r="AF117" i="12"/>
  <c r="AM117" i="12"/>
  <c r="Y117" i="12"/>
  <c r="AQ117" i="12"/>
  <c r="L117" i="12"/>
  <c r="AK117" i="12"/>
  <c r="Z117" i="12"/>
  <c r="AT117" i="12"/>
  <c r="AA117" i="12"/>
  <c r="C117" i="12"/>
  <c r="J117" i="12"/>
  <c r="AS117" i="12"/>
  <c r="D117" i="12"/>
  <c r="AP117" i="12"/>
  <c r="AN117" i="12"/>
  <c r="AH117" i="12"/>
  <c r="AO117" i="12"/>
  <c r="I117" i="12"/>
  <c r="AB117" i="12"/>
  <c r="AE117" i="12"/>
  <c r="A118" i="12" a="1"/>
  <c r="Q117" i="12" l="1"/>
  <c r="V117" i="12"/>
  <c r="N117" i="12"/>
  <c r="S117" i="12"/>
  <c r="U117" i="12"/>
  <c r="A118" i="12"/>
  <c r="AU117" i="12"/>
  <c r="P117" i="12"/>
  <c r="G117" i="12"/>
  <c r="F117" i="12"/>
  <c r="H117" i="12"/>
  <c r="M117" i="12"/>
  <c r="AI117" i="12"/>
  <c r="O117" i="12"/>
  <c r="T117" i="12"/>
  <c r="R117" i="12"/>
  <c r="W117" i="12" l="1"/>
  <c r="AA118" i="12"/>
  <c r="AH118" i="12"/>
  <c r="E118" i="12"/>
  <c r="D118" i="12"/>
  <c r="AK118" i="12"/>
  <c r="AS118" i="12"/>
  <c r="AO118" i="12"/>
  <c r="Z118" i="12"/>
  <c r="AN118" i="12"/>
  <c r="J118" i="12"/>
  <c r="AQ118" i="12"/>
  <c r="K118" i="12"/>
  <c r="AE118" i="12"/>
  <c r="L118" i="12"/>
  <c r="AF118" i="12"/>
  <c r="AC118" i="12"/>
  <c r="AL118" i="12"/>
  <c r="B118" i="12"/>
  <c r="AD118" i="12"/>
  <c r="AT118" i="12"/>
  <c r="Y118" i="12"/>
  <c r="AM118" i="12"/>
  <c r="I118" i="12"/>
  <c r="AB118" i="12"/>
  <c r="AP118" i="12"/>
  <c r="AG118" i="12"/>
  <c r="C118" i="12"/>
  <c r="AR118" i="12"/>
  <c r="A119" i="12" a="1"/>
  <c r="S118" i="12" l="1"/>
  <c r="R118" i="12"/>
  <c r="P118" i="12"/>
  <c r="T118" i="12"/>
  <c r="N118" i="12"/>
  <c r="Q118" i="12"/>
  <c r="A119" i="12"/>
  <c r="AI118" i="12"/>
  <c r="M118" i="12"/>
  <c r="AU118" i="12"/>
  <c r="G118" i="12"/>
  <c r="H118" i="12"/>
  <c r="F118" i="12"/>
  <c r="U118" i="12"/>
  <c r="V118" i="12"/>
  <c r="O118" i="12"/>
  <c r="W118" i="12" l="1"/>
  <c r="J119" i="12"/>
  <c r="I119" i="12"/>
  <c r="E119" i="12"/>
  <c r="Z119" i="12"/>
  <c r="AH119" i="12"/>
  <c r="AR119" i="12"/>
  <c r="AM119" i="12"/>
  <c r="AT119" i="12"/>
  <c r="AQ119" i="12"/>
  <c r="Y119" i="12"/>
  <c r="AE119" i="12"/>
  <c r="AN119" i="12"/>
  <c r="D119" i="12"/>
  <c r="B119" i="12"/>
  <c r="AF119" i="12"/>
  <c r="AG119" i="12"/>
  <c r="AD119" i="12"/>
  <c r="AL119" i="12"/>
  <c r="AO119" i="12"/>
  <c r="AS119" i="12"/>
  <c r="AA119" i="12"/>
  <c r="C119" i="12"/>
  <c r="AP119" i="12"/>
  <c r="AC119" i="12"/>
  <c r="K119" i="12"/>
  <c r="L119" i="12"/>
  <c r="AB119" i="12"/>
  <c r="AK119" i="12"/>
  <c r="A120" i="12" a="1"/>
  <c r="N119" i="12" l="1"/>
  <c r="S119" i="12"/>
  <c r="V119" i="12"/>
  <c r="T119" i="12"/>
  <c r="A120" i="12"/>
  <c r="O119" i="12"/>
  <c r="AU119" i="12"/>
  <c r="M119" i="12"/>
  <c r="AI119" i="12"/>
  <c r="P119" i="12"/>
  <c r="F119" i="12"/>
  <c r="H119" i="12"/>
  <c r="G119" i="12"/>
  <c r="R119" i="12"/>
  <c r="Q119" i="12"/>
  <c r="U119" i="12"/>
  <c r="AA120" i="12" l="1"/>
  <c r="B120" i="12"/>
  <c r="AB120" i="12"/>
  <c r="AG120" i="12"/>
  <c r="AE120" i="12"/>
  <c r="J120" i="12"/>
  <c r="AL120" i="12"/>
  <c r="AC120" i="12"/>
  <c r="AS120" i="12"/>
  <c r="K120" i="12"/>
  <c r="Z120" i="12"/>
  <c r="AH120" i="12"/>
  <c r="AQ120" i="12"/>
  <c r="D120" i="12"/>
  <c r="AN120" i="12"/>
  <c r="I120" i="12"/>
  <c r="AT120" i="12"/>
  <c r="AP120" i="12"/>
  <c r="AR120" i="12"/>
  <c r="AO120" i="12"/>
  <c r="AK120" i="12"/>
  <c r="AD120" i="12"/>
  <c r="Y120" i="12"/>
  <c r="AF120" i="12"/>
  <c r="C120" i="12"/>
  <c r="AM120" i="12"/>
  <c r="E120" i="12"/>
  <c r="L120" i="12"/>
  <c r="W119" i="12"/>
  <c r="A121" i="12" a="1"/>
  <c r="V120" i="12" l="1"/>
  <c r="U120" i="12"/>
  <c r="T120" i="12"/>
  <c r="Q120" i="12"/>
  <c r="R120" i="12"/>
  <c r="A121" i="12"/>
  <c r="AI120" i="12"/>
  <c r="M120" i="12"/>
  <c r="S120" i="12"/>
  <c r="AU120" i="12"/>
  <c r="H120" i="12"/>
  <c r="F120" i="12"/>
  <c r="G120" i="12"/>
  <c r="N120" i="12"/>
  <c r="P120" i="12"/>
  <c r="O120" i="12"/>
  <c r="W120" i="12" l="1"/>
  <c r="AE121" i="12"/>
  <c r="AF121" i="12"/>
  <c r="AP121" i="12"/>
  <c r="AK121" i="12"/>
  <c r="AC121" i="12"/>
  <c r="K121" i="12"/>
  <c r="C121" i="12"/>
  <c r="E121" i="12"/>
  <c r="Y121" i="12"/>
  <c r="D121" i="12"/>
  <c r="I121" i="12"/>
  <c r="AS121" i="12"/>
  <c r="Z121" i="12"/>
  <c r="AD121" i="12"/>
  <c r="AQ121" i="12"/>
  <c r="AO121" i="12"/>
  <c r="AB121" i="12"/>
  <c r="AG121" i="12"/>
  <c r="AH121" i="12"/>
  <c r="L121" i="12"/>
  <c r="AM121" i="12"/>
  <c r="B121" i="12"/>
  <c r="AN121" i="12"/>
  <c r="AL121" i="12"/>
  <c r="J121" i="12"/>
  <c r="AR121" i="12"/>
  <c r="AT121" i="12"/>
  <c r="AA121" i="12"/>
  <c r="A122" i="12" a="1"/>
  <c r="N121" i="12" l="1"/>
  <c r="Q121" i="12"/>
  <c r="R121" i="12"/>
  <c r="A122" i="12"/>
  <c r="AU121" i="12"/>
  <c r="T121" i="12"/>
  <c r="V121" i="12"/>
  <c r="U121" i="12"/>
  <c r="P121" i="12"/>
  <c r="AI121" i="12"/>
  <c r="M121" i="12"/>
  <c r="S121" i="12"/>
  <c r="O121" i="12"/>
  <c r="G121" i="12"/>
  <c r="H121" i="12"/>
  <c r="F121" i="12"/>
  <c r="W121" i="12" l="1"/>
  <c r="D122" i="12"/>
  <c r="AM122" i="12"/>
  <c r="K122" i="12"/>
  <c r="AB122" i="12"/>
  <c r="L122" i="12"/>
  <c r="AK122" i="12"/>
  <c r="AD122" i="12"/>
  <c r="Y122" i="12"/>
  <c r="AO122" i="12"/>
  <c r="E122" i="12"/>
  <c r="AF122" i="12"/>
  <c r="AN122" i="12"/>
  <c r="AL122" i="12"/>
  <c r="I122" i="12"/>
  <c r="C122" i="12"/>
  <c r="AQ122" i="12"/>
  <c r="B122" i="12"/>
  <c r="AE122" i="12"/>
  <c r="Z122" i="12"/>
  <c r="AP122" i="12"/>
  <c r="AA122" i="12"/>
  <c r="AR122" i="12"/>
  <c r="AC122" i="12"/>
  <c r="AG122" i="12"/>
  <c r="AT122" i="12"/>
  <c r="AH122" i="12"/>
  <c r="J122" i="12"/>
  <c r="AS122" i="12"/>
  <c r="A123" i="12" a="1"/>
  <c r="O122" i="12" l="1"/>
  <c r="Q122" i="12"/>
  <c r="U122" i="12"/>
  <c r="R122" i="12"/>
  <c r="A123" i="12"/>
  <c r="M122" i="12"/>
  <c r="AI122" i="12"/>
  <c r="AU122" i="12"/>
  <c r="N122" i="12"/>
  <c r="P122" i="12"/>
  <c r="T122" i="12"/>
  <c r="V122" i="12"/>
  <c r="S122" i="12"/>
  <c r="H122" i="12"/>
  <c r="G122" i="12"/>
  <c r="F122" i="12"/>
  <c r="W122" i="12" l="1"/>
  <c r="K123" i="12"/>
  <c r="AT123" i="12"/>
  <c r="AH123" i="12"/>
  <c r="AA123" i="12"/>
  <c r="AL123" i="12"/>
  <c r="AP123" i="12"/>
  <c r="AE123" i="12"/>
  <c r="AG123" i="12"/>
  <c r="Y123" i="12"/>
  <c r="AF123" i="12"/>
  <c r="I123" i="12"/>
  <c r="J123" i="12"/>
  <c r="L123" i="12"/>
  <c r="AB123" i="12"/>
  <c r="AO123" i="12"/>
  <c r="AD123" i="12"/>
  <c r="AS123" i="12"/>
  <c r="AQ123" i="12"/>
  <c r="AN123" i="12"/>
  <c r="Z123" i="12"/>
  <c r="AM123" i="12"/>
  <c r="B123" i="12"/>
  <c r="E123" i="12"/>
  <c r="C123" i="12"/>
  <c r="AC123" i="12"/>
  <c r="AR123" i="12"/>
  <c r="AK123" i="12"/>
  <c r="D123" i="12"/>
  <c r="A124" i="12" a="1"/>
  <c r="V123" i="12" l="1"/>
  <c r="P123" i="12"/>
  <c r="S123" i="12"/>
  <c r="A124" i="12"/>
  <c r="O123" i="12"/>
  <c r="T123" i="12"/>
  <c r="Q123" i="12"/>
  <c r="M123" i="12"/>
  <c r="AI123" i="12"/>
  <c r="G123" i="12"/>
  <c r="F123" i="12"/>
  <c r="H123" i="12"/>
  <c r="N123" i="12"/>
  <c r="AU123" i="12"/>
  <c r="R123" i="12"/>
  <c r="U123" i="12"/>
  <c r="W123" i="12" l="1"/>
  <c r="AR124" i="12"/>
  <c r="Z124" i="12"/>
  <c r="Y124" i="12"/>
  <c r="AQ124" i="12"/>
  <c r="AK124" i="12"/>
  <c r="AM124" i="12"/>
  <c r="J124" i="12"/>
  <c r="AF124" i="12"/>
  <c r="D124" i="12"/>
  <c r="C124" i="12"/>
  <c r="AO124" i="12"/>
  <c r="E124" i="12"/>
  <c r="B124" i="12"/>
  <c r="AH124" i="12"/>
  <c r="K124" i="12"/>
  <c r="AC124" i="12"/>
  <c r="AS124" i="12"/>
  <c r="AP124" i="12"/>
  <c r="AB124" i="12"/>
  <c r="I124" i="12"/>
  <c r="AA124" i="12"/>
  <c r="AT124" i="12"/>
  <c r="AD124" i="12"/>
  <c r="AE124" i="12"/>
  <c r="L124" i="12"/>
  <c r="AL124" i="12"/>
  <c r="AG124" i="12"/>
  <c r="AN124" i="12"/>
  <c r="A125" i="12" a="1"/>
  <c r="R124" i="12" l="1"/>
  <c r="S124" i="12"/>
  <c r="Q124" i="12"/>
  <c r="T124" i="12"/>
  <c r="U124" i="12"/>
  <c r="O124" i="12"/>
  <c r="A125" i="12"/>
  <c r="V124" i="12"/>
  <c r="AU124" i="12"/>
  <c r="P124" i="12"/>
  <c r="AI124" i="12"/>
  <c r="M124" i="12"/>
  <c r="N124" i="12"/>
  <c r="G124" i="12"/>
  <c r="F124" i="12"/>
  <c r="H124" i="12"/>
  <c r="W124" i="12" l="1"/>
  <c r="Y125" i="12"/>
  <c r="AK125" i="12"/>
  <c r="AF125" i="12"/>
  <c r="AD125" i="12"/>
  <c r="AO125" i="12"/>
  <c r="AS125" i="12"/>
  <c r="AH125" i="12"/>
  <c r="AA125" i="12"/>
  <c r="AG125" i="12"/>
  <c r="Z125" i="12"/>
  <c r="AE125" i="12"/>
  <c r="E125" i="12"/>
  <c r="AQ125" i="12"/>
  <c r="AM125" i="12"/>
  <c r="AP125" i="12"/>
  <c r="C125" i="12"/>
  <c r="AC125" i="12"/>
  <c r="I125" i="12"/>
  <c r="J125" i="12"/>
  <c r="K125" i="12"/>
  <c r="AN125" i="12"/>
  <c r="L125" i="12"/>
  <c r="AR125" i="12"/>
  <c r="B125" i="12"/>
  <c r="AT125" i="12"/>
  <c r="D125" i="12"/>
  <c r="AL125" i="12"/>
  <c r="AB125" i="12"/>
  <c r="A126" i="12" a="1"/>
  <c r="V125" i="12" l="1"/>
  <c r="O125" i="12"/>
  <c r="A126" i="12"/>
  <c r="G125" i="12"/>
  <c r="H125" i="12"/>
  <c r="F125" i="12"/>
  <c r="R125" i="12"/>
  <c r="S125" i="12"/>
  <c r="T125" i="12"/>
  <c r="N125" i="12"/>
  <c r="AU125" i="12"/>
  <c r="P125" i="12"/>
  <c r="Q125" i="12"/>
  <c r="U125" i="12"/>
  <c r="AI125" i="12"/>
  <c r="M125" i="12"/>
  <c r="W125" i="12" l="1"/>
  <c r="AB126" i="12"/>
  <c r="AR126" i="12"/>
  <c r="AL126" i="12"/>
  <c r="AA126" i="12"/>
  <c r="AD126" i="12"/>
  <c r="AG126" i="12"/>
  <c r="AF126" i="12"/>
  <c r="AH126" i="12"/>
  <c r="AS126" i="12"/>
  <c r="AQ126" i="12"/>
  <c r="AN126" i="12"/>
  <c r="B126" i="12"/>
  <c r="C126" i="12"/>
  <c r="E126" i="12"/>
  <c r="AK126" i="12"/>
  <c r="AC126" i="12"/>
  <c r="AO126" i="12"/>
  <c r="J126" i="12"/>
  <c r="Y126" i="12"/>
  <c r="AP126" i="12"/>
  <c r="AT126" i="12"/>
  <c r="I126" i="12"/>
  <c r="AM126" i="12"/>
  <c r="K126" i="12"/>
  <c r="AE126" i="12"/>
  <c r="L126" i="12"/>
  <c r="Z126" i="12"/>
  <c r="D126" i="12"/>
  <c r="A127" i="12" a="1"/>
  <c r="T126" i="12" l="1"/>
  <c r="N126" i="12"/>
  <c r="U126" i="12"/>
  <c r="R126" i="12"/>
  <c r="AU126" i="12"/>
  <c r="A127" i="12"/>
  <c r="AI126" i="12"/>
  <c r="M126" i="12"/>
  <c r="O126" i="12"/>
  <c r="S126" i="12"/>
  <c r="P126" i="12"/>
  <c r="H126" i="12"/>
  <c r="G126" i="12"/>
  <c r="F126" i="12"/>
  <c r="Q126" i="12"/>
  <c r="V126" i="12"/>
  <c r="W126" i="12" l="1"/>
  <c r="J127" i="12"/>
  <c r="AP127" i="12"/>
  <c r="AB127" i="12"/>
  <c r="AS127" i="12"/>
  <c r="D127" i="12"/>
  <c r="K127" i="12"/>
  <c r="Z127" i="12"/>
  <c r="AH127" i="12"/>
  <c r="AK127" i="12"/>
  <c r="AC127" i="12"/>
  <c r="AM127" i="12"/>
  <c r="C127" i="12"/>
  <c r="AT127" i="12"/>
  <c r="AN127" i="12"/>
  <c r="E127" i="12"/>
  <c r="Y127" i="12"/>
  <c r="AA127" i="12"/>
  <c r="I127" i="12"/>
  <c r="L127" i="12"/>
  <c r="AG127" i="12"/>
  <c r="AO127" i="12"/>
  <c r="AD127" i="12"/>
  <c r="AL127" i="12"/>
  <c r="AF127" i="12"/>
  <c r="AQ127" i="12"/>
  <c r="AE127" i="12"/>
  <c r="AR127" i="12"/>
  <c r="B127" i="12"/>
  <c r="A128" i="12" a="1"/>
  <c r="U127" i="12" l="1"/>
  <c r="R127" i="12"/>
  <c r="S127" i="12"/>
  <c r="A128" i="12"/>
  <c r="Q127" i="12"/>
  <c r="G127" i="12"/>
  <c r="H127" i="12"/>
  <c r="F127" i="12"/>
  <c r="N127" i="12"/>
  <c r="AU127" i="12"/>
  <c r="P127" i="12"/>
  <c r="O127" i="12"/>
  <c r="T127" i="12"/>
  <c r="M127" i="12"/>
  <c r="AI127" i="12"/>
  <c r="V127" i="12"/>
  <c r="W127" i="12" l="1"/>
  <c r="AO128" i="12"/>
  <c r="B128" i="12"/>
  <c r="L128" i="12"/>
  <c r="AB128" i="12"/>
  <c r="AA128" i="12"/>
  <c r="AP128" i="12"/>
  <c r="AE128" i="12"/>
  <c r="AN128" i="12"/>
  <c r="AD128" i="12"/>
  <c r="K128" i="12"/>
  <c r="AM128" i="12"/>
  <c r="D128" i="12"/>
  <c r="AT128" i="12"/>
  <c r="AH128" i="12"/>
  <c r="Z128" i="12"/>
  <c r="AK128" i="12"/>
  <c r="I128" i="12"/>
  <c r="AC128" i="12"/>
  <c r="AL128" i="12"/>
  <c r="AQ128" i="12"/>
  <c r="AS128" i="12"/>
  <c r="C128" i="12"/>
  <c r="AG128" i="12"/>
  <c r="E128" i="12"/>
  <c r="AR128" i="12"/>
  <c r="AF128" i="12"/>
  <c r="Y128" i="12"/>
  <c r="J128" i="12"/>
  <c r="A129" i="12" a="1"/>
  <c r="O128" i="12" l="1"/>
  <c r="P128" i="12"/>
  <c r="V128" i="12"/>
  <c r="U128" i="12"/>
  <c r="N128" i="12"/>
  <c r="S128" i="12"/>
  <c r="T128" i="12"/>
  <c r="Q128" i="12"/>
  <c r="A129" i="12"/>
  <c r="R128" i="12"/>
  <c r="M128" i="12"/>
  <c r="AI128" i="12"/>
  <c r="H128" i="12"/>
  <c r="G128" i="12"/>
  <c r="F128" i="12"/>
  <c r="AU128" i="12"/>
  <c r="W128" i="12" l="1"/>
  <c r="AQ129" i="12"/>
  <c r="I129" i="12"/>
  <c r="AR129" i="12"/>
  <c r="D129" i="12"/>
  <c r="AO129" i="12"/>
  <c r="C129" i="12"/>
  <c r="Z129" i="12"/>
  <c r="AD129" i="12"/>
  <c r="E129" i="12"/>
  <c r="AM129" i="12"/>
  <c r="J129" i="12"/>
  <c r="AP129" i="12"/>
  <c r="AT129" i="12"/>
  <c r="AK129" i="12"/>
  <c r="AG129" i="12"/>
  <c r="K129" i="12"/>
  <c r="AC129" i="12"/>
  <c r="AE129" i="12"/>
  <c r="AH129" i="12"/>
  <c r="AB129" i="12"/>
  <c r="AF129" i="12"/>
  <c r="AL129" i="12"/>
  <c r="AA129" i="12"/>
  <c r="B129" i="12"/>
  <c r="AN129" i="12"/>
  <c r="L129" i="12"/>
  <c r="AS129" i="12"/>
  <c r="Y129" i="12"/>
  <c r="A130" i="12" a="1"/>
  <c r="T129" i="12" l="1"/>
  <c r="P129" i="12"/>
  <c r="S129" i="12"/>
  <c r="O129" i="12"/>
  <c r="U129" i="12"/>
  <c r="R129" i="12"/>
  <c r="N129" i="12"/>
  <c r="AU129" i="12"/>
  <c r="A130" i="12"/>
  <c r="M129" i="12"/>
  <c r="AI129" i="12"/>
  <c r="V129" i="12"/>
  <c r="Q129" i="12"/>
  <c r="G129" i="12"/>
  <c r="F129" i="12"/>
  <c r="H129" i="12"/>
  <c r="W129" i="12" l="1"/>
  <c r="B130" i="12"/>
  <c r="AP130" i="12"/>
  <c r="I130" i="12"/>
  <c r="AO130" i="12"/>
  <c r="AF130" i="12"/>
  <c r="D130" i="12"/>
  <c r="AH130" i="12"/>
  <c r="AG130" i="12"/>
  <c r="AA130" i="12"/>
  <c r="AB130" i="12"/>
  <c r="AM130" i="12"/>
  <c r="K130" i="12"/>
  <c r="AQ130" i="12"/>
  <c r="C130" i="12"/>
  <c r="E130" i="12"/>
  <c r="AL130" i="12"/>
  <c r="AD130" i="12"/>
  <c r="AC130" i="12"/>
  <c r="AR130" i="12"/>
  <c r="Y130" i="12"/>
  <c r="AS130" i="12"/>
  <c r="AE130" i="12"/>
  <c r="AT130" i="12"/>
  <c r="L130" i="12"/>
  <c r="Z130" i="12"/>
  <c r="AK130" i="12"/>
  <c r="J130" i="12"/>
  <c r="AN130" i="12"/>
  <c r="A131" i="12" a="1"/>
  <c r="T130" i="12" l="1"/>
  <c r="N130" i="12"/>
  <c r="R130" i="12"/>
  <c r="S130" i="12"/>
  <c r="A131" i="12"/>
  <c r="H130" i="12"/>
  <c r="G130" i="12"/>
  <c r="F130" i="12"/>
  <c r="AI130" i="12"/>
  <c r="M130" i="12"/>
  <c r="AU130" i="12"/>
  <c r="Q130" i="12"/>
  <c r="P130" i="12"/>
  <c r="V130" i="12"/>
  <c r="O130" i="12"/>
  <c r="U130" i="12"/>
  <c r="W130" i="12" l="1"/>
  <c r="Z131" i="12"/>
  <c r="AD131" i="12"/>
  <c r="AL131" i="12"/>
  <c r="J131" i="12"/>
  <c r="AG131" i="12"/>
  <c r="AA131" i="12"/>
  <c r="AP131" i="12"/>
  <c r="AN131" i="12"/>
  <c r="AT131" i="12"/>
  <c r="AS131" i="12"/>
  <c r="AK131" i="12"/>
  <c r="L131" i="12"/>
  <c r="AR131" i="12"/>
  <c r="K131" i="12"/>
  <c r="AH131" i="12"/>
  <c r="B131" i="12"/>
  <c r="AC131" i="12"/>
  <c r="AM131" i="12"/>
  <c r="AO131" i="12"/>
  <c r="AB131" i="12"/>
  <c r="D131" i="12"/>
  <c r="AQ131" i="12"/>
  <c r="Y131" i="12"/>
  <c r="E131" i="12"/>
  <c r="I131" i="12"/>
  <c r="C131" i="12"/>
  <c r="AF131" i="12"/>
  <c r="AE131" i="12"/>
  <c r="A132" i="12" a="1"/>
  <c r="U131" i="12" l="1"/>
  <c r="P131" i="12"/>
  <c r="V131" i="12"/>
  <c r="O131" i="12"/>
  <c r="A132" i="12"/>
  <c r="G131" i="12"/>
  <c r="H131" i="12"/>
  <c r="F131" i="12"/>
  <c r="AI131" i="12"/>
  <c r="M131" i="12"/>
  <c r="S131" i="12"/>
  <c r="AU131" i="12"/>
  <c r="R131" i="12"/>
  <c r="T131" i="12"/>
  <c r="Q131" i="12"/>
  <c r="N131" i="12"/>
  <c r="W131" i="12" l="1"/>
  <c r="AH132" i="12"/>
  <c r="AR132" i="12"/>
  <c r="AE132" i="12"/>
  <c r="E132" i="12"/>
  <c r="C132" i="12"/>
  <c r="AC132" i="12"/>
  <c r="AF132" i="12"/>
  <c r="AS132" i="12"/>
  <c r="AA132" i="12"/>
  <c r="AP132" i="12"/>
  <c r="AL132" i="12"/>
  <c r="K132" i="12"/>
  <c r="AO132" i="12"/>
  <c r="AB132" i="12"/>
  <c r="AD132" i="12"/>
  <c r="AN132" i="12"/>
  <c r="B132" i="12"/>
  <c r="AM132" i="12"/>
  <c r="Y132" i="12"/>
  <c r="AQ132" i="12"/>
  <c r="AG132" i="12"/>
  <c r="Z132" i="12"/>
  <c r="D132" i="12"/>
  <c r="J132" i="12"/>
  <c r="I132" i="12"/>
  <c r="AK132" i="12"/>
  <c r="L132" i="12"/>
  <c r="AT132" i="12"/>
  <c r="A133" i="12" a="1"/>
  <c r="N132" i="12" l="1"/>
  <c r="Q132" i="12"/>
  <c r="T132" i="12"/>
  <c r="R132" i="12"/>
  <c r="O132" i="12"/>
  <c r="A133" i="12"/>
  <c r="G132" i="12"/>
  <c r="H132" i="12"/>
  <c r="F132" i="12"/>
  <c r="P132" i="12"/>
  <c r="U132" i="12"/>
  <c r="AI132" i="12"/>
  <c r="M132" i="12"/>
  <c r="S132" i="12"/>
  <c r="AU132" i="12"/>
  <c r="V132" i="12"/>
  <c r="W132" i="12" l="1"/>
  <c r="C133" i="12"/>
  <c r="B133" i="12"/>
  <c r="Z133" i="12"/>
  <c r="AD133" i="12"/>
  <c r="AR133" i="12"/>
  <c r="J133" i="12"/>
  <c r="AE133" i="12"/>
  <c r="K133" i="12"/>
  <c r="Y133" i="12"/>
  <c r="E133" i="12"/>
  <c r="AC133" i="12"/>
  <c r="AQ133" i="12"/>
  <c r="AA133" i="12"/>
  <c r="I133" i="12"/>
  <c r="AO133" i="12"/>
  <c r="D133" i="12"/>
  <c r="AL133" i="12"/>
  <c r="AT133" i="12"/>
  <c r="AK133" i="12"/>
  <c r="AB133" i="12"/>
  <c r="AG133" i="12"/>
  <c r="AM133" i="12"/>
  <c r="AH133" i="12"/>
  <c r="L133" i="12"/>
  <c r="AP133" i="12"/>
  <c r="AN133" i="12"/>
  <c r="AF133" i="12"/>
  <c r="AS133" i="12"/>
  <c r="A134" i="12" a="1"/>
  <c r="N133" i="12" l="1"/>
  <c r="P133" i="12"/>
  <c r="R133" i="12"/>
  <c r="V133" i="12"/>
  <c r="U133" i="12"/>
  <c r="S133" i="12"/>
  <c r="A134" i="12"/>
  <c r="Q133" i="12"/>
  <c r="O133" i="12"/>
  <c r="T133" i="12"/>
  <c r="AU133" i="12"/>
  <c r="G133" i="12"/>
  <c r="F133" i="12"/>
  <c r="H133" i="12"/>
  <c r="AI133" i="12"/>
  <c r="M133" i="12"/>
  <c r="W133" i="12" l="1"/>
  <c r="AQ134" i="12"/>
  <c r="Y134" i="12"/>
  <c r="AA134" i="12"/>
  <c r="K134" i="12"/>
  <c r="AR134" i="12"/>
  <c r="AD134" i="12"/>
  <c r="AF134" i="12"/>
  <c r="C134" i="12"/>
  <c r="AC134" i="12"/>
  <c r="AT134" i="12"/>
  <c r="AE134" i="12"/>
  <c r="AB134" i="12"/>
  <c r="AL134" i="12"/>
  <c r="AS134" i="12"/>
  <c r="L134" i="12"/>
  <c r="E134" i="12"/>
  <c r="AK134" i="12"/>
  <c r="AN134" i="12"/>
  <c r="I134" i="12"/>
  <c r="Z134" i="12"/>
  <c r="D134" i="12"/>
  <c r="AH134" i="12"/>
  <c r="J134" i="12"/>
  <c r="B134" i="12"/>
  <c r="AO134" i="12"/>
  <c r="AP134" i="12"/>
  <c r="AM134" i="12"/>
  <c r="AG134" i="12"/>
  <c r="A135" i="12" a="1"/>
  <c r="P134" i="12" l="1"/>
  <c r="V134" i="12"/>
  <c r="S134" i="12"/>
  <c r="R134" i="12"/>
  <c r="T134" i="12"/>
  <c r="A135" i="12"/>
  <c r="U134" i="12"/>
  <c r="O134" i="12"/>
  <c r="AI134" i="12"/>
  <c r="M134" i="12"/>
  <c r="G134" i="12"/>
  <c r="H134" i="12"/>
  <c r="F134" i="12"/>
  <c r="N134" i="12"/>
  <c r="AU134" i="12"/>
  <c r="Q134" i="12"/>
  <c r="W134" i="12" l="1"/>
  <c r="AQ135" i="12"/>
  <c r="AD135" i="12"/>
  <c r="B135" i="12"/>
  <c r="AS135" i="12"/>
  <c r="AP135" i="12"/>
  <c r="AB135" i="12"/>
  <c r="AK135" i="12"/>
  <c r="AA135" i="12"/>
  <c r="K135" i="12"/>
  <c r="AH135" i="12"/>
  <c r="AN135" i="12"/>
  <c r="AT135" i="12"/>
  <c r="I135" i="12"/>
  <c r="AO135" i="12"/>
  <c r="D135" i="12"/>
  <c r="AL135" i="12"/>
  <c r="AR135" i="12"/>
  <c r="J135" i="12"/>
  <c r="AE135" i="12"/>
  <c r="C135" i="12"/>
  <c r="AC135" i="12"/>
  <c r="Y135" i="12"/>
  <c r="AF135" i="12"/>
  <c r="Z135" i="12"/>
  <c r="L135" i="12"/>
  <c r="AM135" i="12"/>
  <c r="E135" i="12"/>
  <c r="AG135" i="12"/>
  <c r="A136" i="12" a="1"/>
  <c r="U135" i="12" l="1"/>
  <c r="P135" i="12"/>
  <c r="O135" i="12"/>
  <c r="T135" i="12"/>
  <c r="S135" i="12"/>
  <c r="N135" i="12"/>
  <c r="A136" i="12"/>
  <c r="AU135" i="12"/>
  <c r="Q135" i="12"/>
  <c r="AI135" i="12"/>
  <c r="M135" i="12"/>
  <c r="H135" i="12"/>
  <c r="F135" i="12"/>
  <c r="G135" i="12"/>
  <c r="V135" i="12"/>
  <c r="R135" i="12"/>
  <c r="W135" i="12" l="1"/>
  <c r="AD136" i="12"/>
  <c r="AF136" i="12"/>
  <c r="E136" i="12"/>
  <c r="AB136" i="12"/>
  <c r="C136" i="12"/>
  <c r="AK136" i="12"/>
  <c r="D136" i="12"/>
  <c r="AT136" i="12"/>
  <c r="AR136" i="12"/>
  <c r="AN136" i="12"/>
  <c r="AA136" i="12"/>
  <c r="L136" i="12"/>
  <c r="AQ136" i="12"/>
  <c r="B136" i="12"/>
  <c r="Z136" i="12"/>
  <c r="AC136" i="12"/>
  <c r="AG136" i="12"/>
  <c r="AP136" i="12"/>
  <c r="J136" i="12"/>
  <c r="AM136" i="12"/>
  <c r="AH136" i="12"/>
  <c r="Y136" i="12"/>
  <c r="AL136" i="12"/>
  <c r="K136" i="12"/>
  <c r="I136" i="12"/>
  <c r="AS136" i="12"/>
  <c r="AE136" i="12"/>
  <c r="AO136" i="12"/>
  <c r="A137" i="12" a="1"/>
  <c r="P136" i="12" l="1"/>
  <c r="T136" i="12"/>
  <c r="Q136" i="12"/>
  <c r="A137" i="12"/>
  <c r="V136" i="12"/>
  <c r="N136" i="12"/>
  <c r="AU136" i="12"/>
  <c r="S136" i="12"/>
  <c r="O136" i="12"/>
  <c r="AI136" i="12"/>
  <c r="M136" i="12"/>
  <c r="H136" i="12"/>
  <c r="F136" i="12"/>
  <c r="G136" i="12"/>
  <c r="U136" i="12"/>
  <c r="R136" i="12"/>
  <c r="W136" i="12" l="1"/>
  <c r="AM137" i="12"/>
  <c r="AC137" i="12"/>
  <c r="Z137" i="12"/>
  <c r="L137" i="12"/>
  <c r="E137" i="12"/>
  <c r="AE137" i="12"/>
  <c r="J137" i="12"/>
  <c r="AO137" i="12"/>
  <c r="AP137" i="12"/>
  <c r="AG137" i="12"/>
  <c r="K137" i="12"/>
  <c r="AQ137" i="12"/>
  <c r="AD137" i="12"/>
  <c r="D137" i="12"/>
  <c r="AS137" i="12"/>
  <c r="AK137" i="12"/>
  <c r="AH137" i="12"/>
  <c r="Y137" i="12"/>
  <c r="AR137" i="12"/>
  <c r="B137" i="12"/>
  <c r="AN137" i="12"/>
  <c r="AL137" i="12"/>
  <c r="AB137" i="12"/>
  <c r="AF137" i="12"/>
  <c r="AA137" i="12"/>
  <c r="I137" i="12"/>
  <c r="C137" i="12"/>
  <c r="AT137" i="12"/>
  <c r="A138" i="12" a="1"/>
  <c r="O137" i="12" l="1"/>
  <c r="R137" i="12"/>
  <c r="P137" i="12"/>
  <c r="S137" i="12"/>
  <c r="T137" i="12"/>
  <c r="AU137" i="12"/>
  <c r="A138" i="12"/>
  <c r="N137" i="12"/>
  <c r="AI137" i="12"/>
  <c r="M137" i="12"/>
  <c r="F137" i="12"/>
  <c r="G137" i="12"/>
  <c r="H137" i="12"/>
  <c r="U137" i="12"/>
  <c r="Q137" i="12"/>
  <c r="V137" i="12"/>
  <c r="W137" i="12" l="1"/>
  <c r="AQ138" i="12"/>
  <c r="AB138" i="12"/>
  <c r="AD138" i="12"/>
  <c r="AR138" i="12"/>
  <c r="C138" i="12"/>
  <c r="AP138" i="12"/>
  <c r="AH138" i="12"/>
  <c r="I138" i="12"/>
  <c r="D138" i="12"/>
  <c r="AC138" i="12"/>
  <c r="AE138" i="12"/>
  <c r="AF138" i="12"/>
  <c r="AO138" i="12"/>
  <c r="AG138" i="12"/>
  <c r="AA138" i="12"/>
  <c r="E138" i="12"/>
  <c r="K138" i="12"/>
  <c r="AM138" i="12"/>
  <c r="B138" i="12"/>
  <c r="AT138" i="12"/>
  <c r="Z138" i="12"/>
  <c r="AL138" i="12"/>
  <c r="AK138" i="12"/>
  <c r="J138" i="12"/>
  <c r="AN138" i="12"/>
  <c r="L138" i="12"/>
  <c r="Y138" i="12"/>
  <c r="AS138" i="12"/>
  <c r="A139" i="12" a="1"/>
  <c r="O138" i="12" l="1"/>
  <c r="S138" i="12"/>
  <c r="AU138" i="12"/>
  <c r="T138" i="12"/>
  <c r="P138" i="12"/>
  <c r="V138" i="12"/>
  <c r="U138" i="12"/>
  <c r="A139" i="12"/>
  <c r="Q138" i="12"/>
  <c r="N138" i="12"/>
  <c r="M138" i="12"/>
  <c r="AI138" i="12"/>
  <c r="R138" i="12"/>
  <c r="H138" i="12"/>
  <c r="G138" i="12"/>
  <c r="F138" i="12"/>
  <c r="W138" i="12" l="1"/>
  <c r="L139" i="12"/>
  <c r="J139" i="12"/>
  <c r="AM139" i="12"/>
  <c r="AS139" i="12"/>
  <c r="AA139" i="12"/>
  <c r="C139" i="12"/>
  <c r="Z139" i="12"/>
  <c r="E139" i="12"/>
  <c r="AE139" i="12"/>
  <c r="AO139" i="12"/>
  <c r="AR139" i="12"/>
  <c r="AQ139" i="12"/>
  <c r="AT139" i="12"/>
  <c r="AH139" i="12"/>
  <c r="D139" i="12"/>
  <c r="AL139" i="12"/>
  <c r="AF139" i="12"/>
  <c r="AK139" i="12"/>
  <c r="AP139" i="12"/>
  <c r="AN139" i="12"/>
  <c r="B139" i="12"/>
  <c r="AG139" i="12"/>
  <c r="AC139" i="12"/>
  <c r="K139" i="12"/>
  <c r="AD139" i="12"/>
  <c r="Y139" i="12"/>
  <c r="AB139" i="12"/>
  <c r="I139" i="12"/>
  <c r="A140" i="12" a="1"/>
  <c r="O139" i="12" l="1"/>
  <c r="Q139" i="12"/>
  <c r="U139" i="12"/>
  <c r="N139" i="12"/>
  <c r="V139" i="12"/>
  <c r="A140" i="12"/>
  <c r="AI139" i="12"/>
  <c r="M139" i="12"/>
  <c r="R139" i="12"/>
  <c r="P139" i="12"/>
  <c r="AU139" i="12"/>
  <c r="T139" i="12"/>
  <c r="S139" i="12"/>
  <c r="H139" i="12"/>
  <c r="G139" i="12"/>
  <c r="F139" i="12"/>
  <c r="W139" i="12" l="1"/>
  <c r="AE140" i="12"/>
  <c r="I140" i="12"/>
  <c r="AA140" i="12"/>
  <c r="C140" i="12"/>
  <c r="AH140" i="12"/>
  <c r="Y140" i="12"/>
  <c r="AQ140" i="12"/>
  <c r="B140" i="12"/>
  <c r="AS140" i="12"/>
  <c r="AP140" i="12"/>
  <c r="AM140" i="12"/>
  <c r="L140" i="12"/>
  <c r="J140" i="12"/>
  <c r="AR140" i="12"/>
  <c r="AL140" i="12"/>
  <c r="AG140" i="12"/>
  <c r="AO140" i="12"/>
  <c r="AD140" i="12"/>
  <c r="AN140" i="12"/>
  <c r="AT140" i="12"/>
  <c r="E140" i="12"/>
  <c r="AC140" i="12"/>
  <c r="K140" i="12"/>
  <c r="AB140" i="12"/>
  <c r="D140" i="12"/>
  <c r="Z140" i="12"/>
  <c r="AF140" i="12"/>
  <c r="AK140" i="12"/>
  <c r="A141" i="12" a="1"/>
  <c r="Q140" i="12" l="1"/>
  <c r="V140" i="12"/>
  <c r="R140" i="12"/>
  <c r="U140" i="12"/>
  <c r="P140" i="12"/>
  <c r="A141" i="12"/>
  <c r="G140" i="12"/>
  <c r="H140" i="12"/>
  <c r="F140" i="12"/>
  <c r="AU140" i="12"/>
  <c r="T140" i="12"/>
  <c r="N140" i="12"/>
  <c r="M140" i="12"/>
  <c r="AI140" i="12"/>
  <c r="O140" i="12"/>
  <c r="S140" i="12"/>
  <c r="W140" i="12" l="1"/>
  <c r="I141" i="12"/>
  <c r="B141" i="12"/>
  <c r="Z141" i="12"/>
  <c r="AC141" i="12"/>
  <c r="K141" i="12"/>
  <c r="L141" i="12"/>
  <c r="AR141" i="12"/>
  <c r="AH141" i="12"/>
  <c r="J141" i="12"/>
  <c r="AO141" i="12"/>
  <c r="AT141" i="12"/>
  <c r="AE141" i="12"/>
  <c r="AS141" i="12"/>
  <c r="D141" i="12"/>
  <c r="E141" i="12"/>
  <c r="AF141" i="12"/>
  <c r="AD141" i="12"/>
  <c r="AQ141" i="12"/>
  <c r="Y141" i="12"/>
  <c r="AK141" i="12"/>
  <c r="AN141" i="12"/>
  <c r="AL141" i="12"/>
  <c r="AB141" i="12"/>
  <c r="AG141" i="12"/>
  <c r="AA141" i="12"/>
  <c r="AP141" i="12"/>
  <c r="C141" i="12"/>
  <c r="AM141" i="12"/>
  <c r="A142" i="12" a="1"/>
  <c r="S141" i="12" l="1"/>
  <c r="Q141" i="12"/>
  <c r="P141" i="12"/>
  <c r="U141" i="12"/>
  <c r="T141" i="12"/>
  <c r="V141" i="12"/>
  <c r="A142" i="12"/>
  <c r="G141" i="12"/>
  <c r="H141" i="12"/>
  <c r="F141" i="12"/>
  <c r="M141" i="12"/>
  <c r="AI141" i="12"/>
  <c r="N141" i="12"/>
  <c r="AU141" i="12"/>
  <c r="O141" i="12"/>
  <c r="R141" i="12"/>
  <c r="W141" i="12" l="1"/>
  <c r="C142" i="12"/>
  <c r="AC142" i="12"/>
  <c r="D142" i="12"/>
  <c r="B142" i="12"/>
  <c r="AS142" i="12"/>
  <c r="AD142" i="12"/>
  <c r="AP142" i="12"/>
  <c r="L142" i="12"/>
  <c r="AL142" i="12"/>
  <c r="AA142" i="12"/>
  <c r="AT142" i="12"/>
  <c r="AH142" i="12"/>
  <c r="AO142" i="12"/>
  <c r="AE142" i="12"/>
  <c r="AB142" i="12"/>
  <c r="K142" i="12"/>
  <c r="J142" i="12"/>
  <c r="AR142" i="12"/>
  <c r="Z142" i="12"/>
  <c r="AK142" i="12"/>
  <c r="AQ142" i="12"/>
  <c r="AM142" i="12"/>
  <c r="E142" i="12"/>
  <c r="AF142" i="12"/>
  <c r="I142" i="12"/>
  <c r="AN142" i="12"/>
  <c r="Y142" i="12"/>
  <c r="AG142" i="12"/>
  <c r="A143" i="12" a="1"/>
  <c r="N142" i="12" l="1"/>
  <c r="V142" i="12"/>
  <c r="S142" i="12"/>
  <c r="P142" i="12"/>
  <c r="A143" i="12"/>
  <c r="F142" i="12"/>
  <c r="H142" i="12"/>
  <c r="G142" i="12"/>
  <c r="R142" i="12"/>
  <c r="AU142" i="12"/>
  <c r="M142" i="12"/>
  <c r="AI142" i="12"/>
  <c r="O142" i="12"/>
  <c r="U142" i="12"/>
  <c r="Q142" i="12"/>
  <c r="T142" i="12"/>
  <c r="W142" i="12" l="1"/>
  <c r="AG143" i="12"/>
  <c r="AA143" i="12"/>
  <c r="AM143" i="12"/>
  <c r="E143" i="12"/>
  <c r="AF143" i="12"/>
  <c r="Y143" i="12"/>
  <c r="I143" i="12"/>
  <c r="AR143" i="12"/>
  <c r="AN143" i="12"/>
  <c r="AL143" i="12"/>
  <c r="L143" i="12"/>
  <c r="AP143" i="12"/>
  <c r="AH143" i="12"/>
  <c r="AB143" i="12"/>
  <c r="B143" i="12"/>
  <c r="Z143" i="12"/>
  <c r="AE143" i="12"/>
  <c r="AC143" i="12"/>
  <c r="D143" i="12"/>
  <c r="AD143" i="12"/>
  <c r="AT143" i="12"/>
  <c r="AS143" i="12"/>
  <c r="AQ143" i="12"/>
  <c r="K143" i="12"/>
  <c r="J143" i="12"/>
  <c r="AK143" i="12"/>
  <c r="C143" i="12"/>
  <c r="AO143" i="12"/>
  <c r="A144" i="12" a="1"/>
  <c r="R143" i="12" l="1"/>
  <c r="P143" i="12"/>
  <c r="N143" i="12"/>
  <c r="A144" i="12"/>
  <c r="AI143" i="12"/>
  <c r="M143" i="12"/>
  <c r="T143" i="12"/>
  <c r="F143" i="12"/>
  <c r="H143" i="12"/>
  <c r="G143" i="12"/>
  <c r="O143" i="12"/>
  <c r="V143" i="12"/>
  <c r="AU143" i="12"/>
  <c r="Q143" i="12"/>
  <c r="S143" i="12"/>
  <c r="U143" i="12"/>
  <c r="W143" i="12" l="1"/>
  <c r="B144" i="12"/>
  <c r="AC144" i="12"/>
  <c r="AA144" i="12"/>
  <c r="E144" i="12"/>
  <c r="L144" i="12"/>
  <c r="AG144" i="12"/>
  <c r="Y144" i="12"/>
  <c r="AM144" i="12"/>
  <c r="C144" i="12"/>
  <c r="K144" i="12"/>
  <c r="D144" i="12"/>
  <c r="AL144" i="12"/>
  <c r="AE144" i="12"/>
  <c r="Z144" i="12"/>
  <c r="J144" i="12"/>
  <c r="AB144" i="12"/>
  <c r="AP144" i="12"/>
  <c r="AN144" i="12"/>
  <c r="AF144" i="12"/>
  <c r="AD144" i="12"/>
  <c r="AO144" i="12"/>
  <c r="AR144" i="12"/>
  <c r="AS144" i="12"/>
  <c r="AK144" i="12"/>
  <c r="AH144" i="12"/>
  <c r="AT144" i="12"/>
  <c r="I144" i="12"/>
  <c r="AQ144" i="12"/>
  <c r="A145" i="12" a="1"/>
  <c r="O144" i="12" l="1"/>
  <c r="N144" i="12"/>
  <c r="R144" i="12"/>
  <c r="S144" i="12"/>
  <c r="A145" i="12"/>
  <c r="AI144" i="12"/>
  <c r="M144" i="12"/>
  <c r="U144" i="12"/>
  <c r="G144" i="12"/>
  <c r="H144" i="12"/>
  <c r="F144" i="12"/>
  <c r="T144" i="12"/>
  <c r="Q144" i="12"/>
  <c r="V144" i="12"/>
  <c r="AU144" i="12"/>
  <c r="P144" i="12"/>
  <c r="W144" i="12" l="1"/>
  <c r="AN145" i="12"/>
  <c r="Z145" i="12"/>
  <c r="D145" i="12"/>
  <c r="AE145" i="12"/>
  <c r="AB145" i="12"/>
  <c r="AQ145" i="12"/>
  <c r="AG145" i="12"/>
  <c r="L145" i="12"/>
  <c r="K145" i="12"/>
  <c r="AK145" i="12"/>
  <c r="I145" i="12"/>
  <c r="AF145" i="12"/>
  <c r="Y145" i="12"/>
  <c r="AA145" i="12"/>
  <c r="AH145" i="12"/>
  <c r="AM145" i="12"/>
  <c r="J145" i="12"/>
  <c r="C145" i="12"/>
  <c r="AO145" i="12"/>
  <c r="AL145" i="12"/>
  <c r="AT145" i="12"/>
  <c r="B145" i="12"/>
  <c r="AP145" i="12"/>
  <c r="E145" i="12"/>
  <c r="AR145" i="12"/>
  <c r="AS145" i="12"/>
  <c r="AC145" i="12"/>
  <c r="AD145" i="12"/>
  <c r="A146" i="12" a="1"/>
  <c r="Q145" i="12" l="1"/>
  <c r="T145" i="12"/>
  <c r="O145" i="12"/>
  <c r="P145" i="12"/>
  <c r="V145" i="12"/>
  <c r="U145" i="12"/>
  <c r="A146" i="12"/>
  <c r="R145" i="12"/>
  <c r="AU145" i="12"/>
  <c r="M145" i="12"/>
  <c r="AI145" i="12"/>
  <c r="S145" i="12"/>
  <c r="N145" i="12"/>
  <c r="G145" i="12"/>
  <c r="H145" i="12"/>
  <c r="F145" i="12"/>
  <c r="W145" i="12" l="1"/>
  <c r="D146" i="12"/>
  <c r="AP146" i="12"/>
  <c r="E146" i="12"/>
  <c r="I146" i="12"/>
  <c r="K146" i="12"/>
  <c r="AF146" i="12"/>
  <c r="Y146" i="12"/>
  <c r="AS146" i="12"/>
  <c r="AM146" i="12"/>
  <c r="AO146" i="12"/>
  <c r="C146" i="12"/>
  <c r="AK146" i="12"/>
  <c r="Z146" i="12"/>
  <c r="AG146" i="12"/>
  <c r="AB146" i="12"/>
  <c r="J146" i="12"/>
  <c r="AE146" i="12"/>
  <c r="AA146" i="12"/>
  <c r="AN146" i="12"/>
  <c r="AL146" i="12"/>
  <c r="AC146" i="12"/>
  <c r="L146" i="12"/>
  <c r="AD146" i="12"/>
  <c r="AH146" i="12"/>
  <c r="AT146" i="12"/>
  <c r="AQ146" i="12"/>
  <c r="AR146" i="12"/>
  <c r="B146" i="12"/>
  <c r="A147" i="12" a="1"/>
  <c r="R146" i="12" l="1"/>
  <c r="Q146" i="12"/>
  <c r="N146" i="12"/>
  <c r="U146" i="12"/>
  <c r="O146" i="12"/>
  <c r="T146" i="12"/>
  <c r="P146" i="12"/>
  <c r="V146" i="12"/>
  <c r="A147" i="12"/>
  <c r="AI146" i="12"/>
  <c r="M146" i="12"/>
  <c r="F146" i="12"/>
  <c r="G146" i="12"/>
  <c r="H146" i="12"/>
  <c r="S146" i="12"/>
  <c r="AU146" i="12"/>
  <c r="W146" i="12" l="1"/>
  <c r="AK147" i="12"/>
  <c r="AQ147" i="12"/>
  <c r="AF147" i="12"/>
  <c r="AC147" i="12"/>
  <c r="J147" i="12"/>
  <c r="AB147" i="12"/>
  <c r="Y147" i="12"/>
  <c r="I147" i="12"/>
  <c r="AS147" i="12"/>
  <c r="AE147" i="12"/>
  <c r="AH147" i="12"/>
  <c r="AN147" i="12"/>
  <c r="K147" i="12"/>
  <c r="AM147" i="12"/>
  <c r="AO147" i="12"/>
  <c r="AP147" i="12"/>
  <c r="E147" i="12"/>
  <c r="L147" i="12"/>
  <c r="AA147" i="12"/>
  <c r="AD147" i="12"/>
  <c r="D147" i="12"/>
  <c r="AR147" i="12"/>
  <c r="AT147" i="12"/>
  <c r="AG147" i="12"/>
  <c r="C147" i="12"/>
  <c r="AL147" i="12"/>
  <c r="B147" i="12"/>
  <c r="Z147" i="12"/>
  <c r="A148" i="12" a="1"/>
  <c r="N147" i="12" l="1"/>
  <c r="P147" i="12"/>
  <c r="S147" i="12"/>
  <c r="U147" i="12"/>
  <c r="A148" i="12"/>
  <c r="O147" i="12"/>
  <c r="AI147" i="12"/>
  <c r="M147" i="12"/>
  <c r="R147" i="12"/>
  <c r="Q147" i="12"/>
  <c r="V147" i="12"/>
  <c r="T147" i="12"/>
  <c r="H147" i="12"/>
  <c r="G147" i="12"/>
  <c r="F147" i="12"/>
  <c r="AU147" i="12"/>
  <c r="W147" i="12" l="1"/>
  <c r="I148" i="12"/>
  <c r="AP148" i="12"/>
  <c r="Y148" i="12"/>
  <c r="D148" i="12"/>
  <c r="C148" i="12"/>
  <c r="AF148" i="12"/>
  <c r="AS148" i="12"/>
  <c r="AH148" i="12"/>
  <c r="AR148" i="12"/>
  <c r="B148" i="12"/>
  <c r="AB148" i="12"/>
  <c r="AN148" i="12"/>
  <c r="K148" i="12"/>
  <c r="AE148" i="12"/>
  <c r="AD148" i="12"/>
  <c r="AM148" i="12"/>
  <c r="L148" i="12"/>
  <c r="AC148" i="12"/>
  <c r="AL148" i="12"/>
  <c r="AT148" i="12"/>
  <c r="AG148" i="12"/>
  <c r="AQ148" i="12"/>
  <c r="AA148" i="12"/>
  <c r="E148" i="12"/>
  <c r="Z148" i="12"/>
  <c r="AO148" i="12"/>
  <c r="J148" i="12"/>
  <c r="AK148" i="12"/>
  <c r="A149" i="12" a="1"/>
  <c r="R148" i="12" l="1"/>
  <c r="T148" i="12"/>
  <c r="S148" i="12"/>
  <c r="V148" i="12"/>
  <c r="A149" i="12"/>
  <c r="O148" i="12"/>
  <c r="F148" i="12"/>
  <c r="H148" i="12"/>
  <c r="G148" i="12"/>
  <c r="U148" i="12"/>
  <c r="AU148" i="12"/>
  <c r="P148" i="12"/>
  <c r="AI148" i="12"/>
  <c r="M148" i="12"/>
  <c r="Q148" i="12"/>
  <c r="N148" i="12"/>
  <c r="W148" i="12" l="1"/>
  <c r="AM149" i="12"/>
  <c r="AF149" i="12"/>
  <c r="AD149" i="12"/>
  <c r="AA149" i="12"/>
  <c r="AG149" i="12"/>
  <c r="AB149" i="12"/>
  <c r="J149" i="12"/>
  <c r="K149" i="12"/>
  <c r="AR149" i="12"/>
  <c r="AK149" i="12"/>
  <c r="AS149" i="12"/>
  <c r="D149" i="12"/>
  <c r="AC149" i="12"/>
  <c r="AP149" i="12"/>
  <c r="AT149" i="12"/>
  <c r="Y149" i="12"/>
  <c r="Z149" i="12"/>
  <c r="E149" i="12"/>
  <c r="AH149" i="12"/>
  <c r="AQ149" i="12"/>
  <c r="AE149" i="12"/>
  <c r="AN149" i="12"/>
  <c r="L149" i="12"/>
  <c r="AO149" i="12"/>
  <c r="AL149" i="12"/>
  <c r="C149" i="12"/>
  <c r="I149" i="12"/>
  <c r="B149" i="12"/>
  <c r="A150" i="12" a="1"/>
  <c r="O149" i="12" l="1"/>
  <c r="Q149" i="12"/>
  <c r="U149" i="12"/>
  <c r="S149" i="12"/>
  <c r="T149" i="12"/>
  <c r="A150" i="12"/>
  <c r="R149" i="12"/>
  <c r="P149" i="12"/>
  <c r="V149" i="12"/>
  <c r="AU149" i="12"/>
  <c r="N149" i="12"/>
  <c r="H149" i="12"/>
  <c r="F149" i="12"/>
  <c r="G149" i="12"/>
  <c r="M149" i="12"/>
  <c r="AI149" i="12"/>
  <c r="W149" i="12" l="1"/>
  <c r="L150" i="12"/>
  <c r="AL150" i="12"/>
  <c r="AD150" i="12"/>
  <c r="AN150" i="12"/>
  <c r="AC150" i="12"/>
  <c r="AH150" i="12"/>
  <c r="D150" i="12"/>
  <c r="AF150" i="12"/>
  <c r="AP150" i="12"/>
  <c r="E150" i="12"/>
  <c r="AB150" i="12"/>
  <c r="AS150" i="12"/>
  <c r="AK150" i="12"/>
  <c r="C150" i="12"/>
  <c r="AA150" i="12"/>
  <c r="Z150" i="12"/>
  <c r="AM150" i="12"/>
  <c r="AT150" i="12"/>
  <c r="J150" i="12"/>
  <c r="K150" i="12"/>
  <c r="B150" i="12"/>
  <c r="AE150" i="12"/>
  <c r="AR150" i="12"/>
  <c r="I150" i="12"/>
  <c r="AG150" i="12"/>
  <c r="Y150" i="12"/>
  <c r="AO150" i="12"/>
  <c r="AQ150" i="12"/>
  <c r="A151" i="12" a="1"/>
  <c r="O150" i="12" l="1"/>
  <c r="R150" i="12"/>
  <c r="V150" i="12"/>
  <c r="S150" i="12"/>
  <c r="Q150" i="12"/>
  <c r="A151" i="12"/>
  <c r="AU150" i="12"/>
  <c r="P150" i="12"/>
  <c r="AI150" i="12"/>
  <c r="M150" i="12"/>
  <c r="G150" i="12"/>
  <c r="H150" i="12"/>
  <c r="F150" i="12"/>
  <c r="U150" i="12"/>
  <c r="N150" i="12"/>
  <c r="T150" i="12"/>
  <c r="W150" i="12" l="1"/>
  <c r="AP151" i="12"/>
  <c r="Y151" i="12"/>
  <c r="AF151" i="12"/>
  <c r="C151" i="12"/>
  <c r="AQ151" i="12"/>
  <c r="E151" i="12"/>
  <c r="AD151" i="12"/>
  <c r="AB151" i="12"/>
  <c r="AR151" i="12"/>
  <c r="K151" i="12"/>
  <c r="AC151" i="12"/>
  <c r="AS151" i="12"/>
  <c r="AO151" i="12"/>
  <c r="Z151" i="12"/>
  <c r="B151" i="12"/>
  <c r="AH151" i="12"/>
  <c r="AM151" i="12"/>
  <c r="AN151" i="12"/>
  <c r="AE151" i="12"/>
  <c r="AL151" i="12"/>
  <c r="J151" i="12"/>
  <c r="AA151" i="12"/>
  <c r="AK151" i="12"/>
  <c r="AG151" i="12"/>
  <c r="I151" i="12"/>
  <c r="L151" i="12"/>
  <c r="AT151" i="12"/>
  <c r="D151" i="12"/>
  <c r="A152" i="12" a="1"/>
  <c r="R151" i="12" l="1"/>
  <c r="O151" i="12"/>
  <c r="U151" i="12"/>
  <c r="P151" i="12"/>
  <c r="AU151" i="12"/>
  <c r="N151" i="12"/>
  <c r="T151" i="12"/>
  <c r="V151" i="12"/>
  <c r="A152" i="12"/>
  <c r="H151" i="12"/>
  <c r="G151" i="12"/>
  <c r="F151" i="12"/>
  <c r="Q151" i="12"/>
  <c r="M151" i="12"/>
  <c r="AI151" i="12"/>
  <c r="S151" i="12"/>
  <c r="W151" i="12" l="1"/>
  <c r="AK152" i="12"/>
  <c r="E152" i="12"/>
  <c r="AA152" i="12"/>
  <c r="AN152" i="12"/>
  <c r="AD152" i="12"/>
  <c r="C152" i="12"/>
  <c r="AP152" i="12"/>
  <c r="AF152" i="12"/>
  <c r="AB152" i="12"/>
  <c r="J152" i="12"/>
  <c r="I152" i="12"/>
  <c r="AH152" i="12"/>
  <c r="AC152" i="12"/>
  <c r="AE152" i="12"/>
  <c r="D152" i="12"/>
  <c r="AT152" i="12"/>
  <c r="AQ152" i="12"/>
  <c r="K152" i="12"/>
  <c r="B152" i="12"/>
  <c r="Z152" i="12"/>
  <c r="AM152" i="12"/>
  <c r="AG152" i="12"/>
  <c r="L152" i="12"/>
  <c r="AR152" i="12"/>
  <c r="AL152" i="12"/>
  <c r="AS152" i="12"/>
  <c r="AO152" i="12"/>
  <c r="Y152" i="12"/>
  <c r="A153" i="12" a="1"/>
  <c r="S152" i="12" l="1"/>
  <c r="U152" i="12"/>
  <c r="Q152" i="12"/>
  <c r="N152" i="12"/>
  <c r="A153" i="12"/>
  <c r="T152" i="12"/>
  <c r="R152" i="12"/>
  <c r="AI152" i="12"/>
  <c r="M152" i="12"/>
  <c r="V152" i="12"/>
  <c r="O152" i="12"/>
  <c r="G152" i="12"/>
  <c r="F152" i="12"/>
  <c r="H152" i="12"/>
  <c r="P152" i="12"/>
  <c r="AU152" i="12"/>
  <c r="W152" i="12" l="1"/>
  <c r="AC153" i="12"/>
  <c r="AL153" i="12"/>
  <c r="AG153" i="12"/>
  <c r="I153" i="12"/>
  <c r="J153" i="12"/>
  <c r="AF153" i="12"/>
  <c r="AE153" i="12"/>
  <c r="K153" i="12"/>
  <c r="B153" i="12"/>
  <c r="AR153" i="12"/>
  <c r="AT153" i="12"/>
  <c r="AN153" i="12"/>
  <c r="AA153" i="12"/>
  <c r="Z153" i="12"/>
  <c r="AK153" i="12"/>
  <c r="AH153" i="12"/>
  <c r="Y153" i="12"/>
  <c r="AD153" i="12"/>
  <c r="E153" i="12"/>
  <c r="AQ153" i="12"/>
  <c r="AS153" i="12"/>
  <c r="AO153" i="12"/>
  <c r="AB153" i="12"/>
  <c r="C153" i="12"/>
  <c r="L153" i="12"/>
  <c r="AP153" i="12"/>
  <c r="AM153" i="12"/>
  <c r="D153" i="12"/>
  <c r="A154" i="12" a="1"/>
  <c r="N153" i="12" l="1"/>
  <c r="P153" i="12"/>
  <c r="T153" i="12"/>
  <c r="O153" i="12"/>
  <c r="S153" i="12"/>
  <c r="AU153" i="12"/>
  <c r="A154" i="12"/>
  <c r="F153" i="12"/>
  <c r="H153" i="12"/>
  <c r="G153" i="12"/>
  <c r="R153" i="12"/>
  <c r="U153" i="12"/>
  <c r="AI153" i="12"/>
  <c r="M153" i="12"/>
  <c r="Q153" i="12"/>
  <c r="V153" i="12"/>
  <c r="W153" i="12" l="1"/>
  <c r="E154" i="12"/>
  <c r="AN154" i="12"/>
  <c r="AK154" i="12"/>
  <c r="C154" i="12"/>
  <c r="AD154" i="12"/>
  <c r="AC154" i="12"/>
  <c r="AA154" i="12"/>
  <c r="AP154" i="12"/>
  <c r="L154" i="12"/>
  <c r="AE154" i="12"/>
  <c r="AB154" i="12"/>
  <c r="AH154" i="12"/>
  <c r="AO154" i="12"/>
  <c r="I154" i="12"/>
  <c r="K154" i="12"/>
  <c r="Z154" i="12"/>
  <c r="AM154" i="12"/>
  <c r="AF154" i="12"/>
  <c r="J154" i="12"/>
  <c r="Y154" i="12"/>
  <c r="AL154" i="12"/>
  <c r="AT154" i="12"/>
  <c r="AR154" i="12"/>
  <c r="B154" i="12"/>
  <c r="AG154" i="12"/>
  <c r="AS154" i="12"/>
  <c r="D154" i="12"/>
  <c r="AQ154" i="12"/>
  <c r="A155" i="12" a="1"/>
  <c r="P154" i="12" l="1"/>
  <c r="O154" i="12"/>
  <c r="Q154" i="12"/>
  <c r="N154" i="12"/>
  <c r="A155" i="12"/>
  <c r="R154" i="12"/>
  <c r="M154" i="12"/>
  <c r="AI154" i="12"/>
  <c r="AU154" i="12"/>
  <c r="S154" i="12"/>
  <c r="V154" i="12"/>
  <c r="T154" i="12"/>
  <c r="U154" i="12"/>
  <c r="H154" i="12"/>
  <c r="F154" i="12"/>
  <c r="G154" i="12"/>
  <c r="W154" i="12" l="1"/>
  <c r="AN155" i="12"/>
  <c r="AH155" i="12"/>
  <c r="AP155" i="12"/>
  <c r="AE155" i="12"/>
  <c r="AT155" i="12"/>
  <c r="AL155" i="12"/>
  <c r="Z155" i="12"/>
  <c r="AS155" i="12"/>
  <c r="E155" i="12"/>
  <c r="AA155" i="12"/>
  <c r="AR155" i="12"/>
  <c r="AQ155" i="12"/>
  <c r="D155" i="12"/>
  <c r="L155" i="12"/>
  <c r="AF155" i="12"/>
  <c r="AB155" i="12"/>
  <c r="C155" i="12"/>
  <c r="AM155" i="12"/>
  <c r="AD155" i="12"/>
  <c r="Y155" i="12"/>
  <c r="AG155" i="12"/>
  <c r="J155" i="12"/>
  <c r="K155" i="12"/>
  <c r="I155" i="12"/>
  <c r="AO155" i="12"/>
  <c r="AC155" i="12"/>
  <c r="AK155" i="12"/>
  <c r="B155" i="12"/>
  <c r="A156" i="12" a="1"/>
  <c r="U155" i="12" l="1"/>
  <c r="R155" i="12"/>
  <c r="Q155" i="12"/>
  <c r="T155" i="12"/>
  <c r="N155" i="12"/>
  <c r="A156" i="12"/>
  <c r="AI155" i="12"/>
  <c r="M155" i="12"/>
  <c r="S155" i="12"/>
  <c r="O155" i="12"/>
  <c r="G155" i="12"/>
  <c r="H155" i="12"/>
  <c r="F155" i="12"/>
  <c r="AU155" i="12"/>
  <c r="V155" i="12"/>
  <c r="P155" i="12"/>
  <c r="W155" i="12" l="1"/>
  <c r="J156" i="12"/>
  <c r="AK156" i="12"/>
  <c r="AD156" i="12"/>
  <c r="AR156" i="12"/>
  <c r="Y156" i="12"/>
  <c r="AS156" i="12"/>
  <c r="L156" i="12"/>
  <c r="AE156" i="12"/>
  <c r="AB156" i="12"/>
  <c r="AF156" i="12"/>
  <c r="AP156" i="12"/>
  <c r="E156" i="12"/>
  <c r="B156" i="12"/>
  <c r="AL156" i="12"/>
  <c r="AT156" i="12"/>
  <c r="Z156" i="12"/>
  <c r="AA156" i="12"/>
  <c r="AC156" i="12"/>
  <c r="AN156" i="12"/>
  <c r="AO156" i="12"/>
  <c r="AQ156" i="12"/>
  <c r="AM156" i="12"/>
  <c r="I156" i="12"/>
  <c r="K156" i="12"/>
  <c r="AH156" i="12"/>
  <c r="AG156" i="12"/>
  <c r="D156" i="12"/>
  <c r="C156" i="12"/>
  <c r="A157" i="12" a="1"/>
  <c r="N156" i="12" l="1"/>
  <c r="S156" i="12"/>
  <c r="A157" i="12"/>
  <c r="R156" i="12"/>
  <c r="Q156" i="12"/>
  <c r="T156" i="12"/>
  <c r="AU156" i="12"/>
  <c r="M156" i="12"/>
  <c r="AI156" i="12"/>
  <c r="H156" i="12"/>
  <c r="G156" i="12"/>
  <c r="F156" i="12"/>
  <c r="U156" i="12"/>
  <c r="V156" i="12"/>
  <c r="O156" i="12"/>
  <c r="P156" i="12"/>
  <c r="W156" i="12" l="1"/>
  <c r="AE157" i="12"/>
  <c r="I157" i="12"/>
  <c r="E157" i="12"/>
  <c r="AL157" i="12"/>
  <c r="AH157" i="12"/>
  <c r="AB157" i="12"/>
  <c r="AG157" i="12"/>
  <c r="AD157" i="12"/>
  <c r="AT157" i="12"/>
  <c r="L157" i="12"/>
  <c r="AF157" i="12"/>
  <c r="AP157" i="12"/>
  <c r="AO157" i="12"/>
  <c r="AC157" i="12"/>
  <c r="AK157" i="12"/>
  <c r="B157" i="12"/>
  <c r="AN157" i="12"/>
  <c r="K157" i="12"/>
  <c r="Z157" i="12"/>
  <c r="D157" i="12"/>
  <c r="J157" i="12"/>
  <c r="AM157" i="12"/>
  <c r="AA157" i="12"/>
  <c r="AR157" i="12"/>
  <c r="AS157" i="12"/>
  <c r="C157" i="12"/>
  <c r="AQ157" i="12"/>
  <c r="Y157" i="12"/>
  <c r="A158" i="12" a="1"/>
  <c r="P157" i="12" l="1"/>
  <c r="V157" i="12"/>
  <c r="U157" i="12"/>
  <c r="O157" i="12"/>
  <c r="Q157" i="12"/>
  <c r="R157" i="12"/>
  <c r="A158" i="12"/>
  <c r="AU157" i="12"/>
  <c r="M157" i="12"/>
  <c r="AI157" i="12"/>
  <c r="N157" i="12"/>
  <c r="T157" i="12"/>
  <c r="H157" i="12"/>
  <c r="G157" i="12"/>
  <c r="F157" i="12"/>
  <c r="S157" i="12"/>
  <c r="W157" i="12" l="1"/>
  <c r="AC158" i="12"/>
  <c r="E158" i="12"/>
  <c r="AA158" i="12"/>
  <c r="L158" i="12"/>
  <c r="Y158" i="12"/>
  <c r="AR158" i="12"/>
  <c r="B158" i="12"/>
  <c r="AF158" i="12"/>
  <c r="I158" i="12"/>
  <c r="AT158" i="12"/>
  <c r="AO158" i="12"/>
  <c r="AS158" i="12"/>
  <c r="AL158" i="12"/>
  <c r="AE158" i="12"/>
  <c r="K158" i="12"/>
  <c r="AB158" i="12"/>
  <c r="AP158" i="12"/>
  <c r="AQ158" i="12"/>
  <c r="AK158" i="12"/>
  <c r="Z158" i="12"/>
  <c r="AN158" i="12"/>
  <c r="AD158" i="12"/>
  <c r="D158" i="12"/>
  <c r="AG158" i="12"/>
  <c r="AH158" i="12"/>
  <c r="J158" i="12"/>
  <c r="AM158" i="12"/>
  <c r="C158" i="12"/>
  <c r="A159" i="12" a="1"/>
  <c r="R158" i="12" l="1"/>
  <c r="S158" i="12"/>
  <c r="A159" i="12"/>
  <c r="M158" i="12"/>
  <c r="AI158" i="12"/>
  <c r="N158" i="12"/>
  <c r="O158" i="12"/>
  <c r="V158" i="12"/>
  <c r="Q158" i="12"/>
  <c r="AU158" i="12"/>
  <c r="F158" i="12"/>
  <c r="G158" i="12"/>
  <c r="H158" i="12"/>
  <c r="U158" i="12"/>
  <c r="P158" i="12"/>
  <c r="T158" i="12"/>
  <c r="W158" i="12" l="1"/>
  <c r="J159" i="12"/>
  <c r="Z159" i="12"/>
  <c r="AS159" i="12"/>
  <c r="C159" i="12"/>
  <c r="AN159" i="12"/>
  <c r="AC159" i="12"/>
  <c r="AH159" i="12"/>
  <c r="AO159" i="12"/>
  <c r="AM159" i="12"/>
  <c r="AD159" i="12"/>
  <c r="AF159" i="12"/>
  <c r="AE159" i="12"/>
  <c r="AB159" i="12"/>
  <c r="AG159" i="12"/>
  <c r="D159" i="12"/>
  <c r="AT159" i="12"/>
  <c r="Y159" i="12"/>
  <c r="K159" i="12"/>
  <c r="L159" i="12"/>
  <c r="AR159" i="12"/>
  <c r="AL159" i="12"/>
  <c r="B159" i="12"/>
  <c r="AK159" i="12"/>
  <c r="E159" i="12"/>
  <c r="AA159" i="12"/>
  <c r="AP159" i="12"/>
  <c r="I159" i="12"/>
  <c r="AQ159" i="12"/>
  <c r="A160" i="12" a="1"/>
  <c r="U159" i="12" l="1"/>
  <c r="O159" i="12"/>
  <c r="P159" i="12"/>
  <c r="AU159" i="12"/>
  <c r="V159" i="12"/>
  <c r="Q159" i="12"/>
  <c r="A160" i="12"/>
  <c r="S159" i="12"/>
  <c r="T159" i="12"/>
  <c r="R159" i="12"/>
  <c r="N159" i="12"/>
  <c r="AI159" i="12"/>
  <c r="M159" i="12"/>
  <c r="F159" i="12"/>
  <c r="H159" i="12"/>
  <c r="G159" i="12"/>
  <c r="W159" i="12" l="1"/>
  <c r="AD160" i="12"/>
  <c r="AR160" i="12"/>
  <c r="AP160" i="12"/>
  <c r="AH160" i="12"/>
  <c r="J160" i="12"/>
  <c r="D160" i="12"/>
  <c r="Z160" i="12"/>
  <c r="AL160" i="12"/>
  <c r="AA160" i="12"/>
  <c r="AE160" i="12"/>
  <c r="C160" i="12"/>
  <c r="AN160" i="12"/>
  <c r="AF160" i="12"/>
  <c r="AQ160" i="12"/>
  <c r="AT160" i="12"/>
  <c r="AS160" i="12"/>
  <c r="AB160" i="12"/>
  <c r="AC160" i="12"/>
  <c r="I160" i="12"/>
  <c r="AO160" i="12"/>
  <c r="K160" i="12"/>
  <c r="B160" i="12"/>
  <c r="AK160" i="12"/>
  <c r="Y160" i="12"/>
  <c r="AM160" i="12"/>
  <c r="E160" i="12"/>
  <c r="L160" i="12"/>
  <c r="AG160" i="12"/>
  <c r="A161" i="12" a="1"/>
  <c r="T160" i="12" l="1"/>
  <c r="A161" i="12"/>
  <c r="M160" i="12"/>
  <c r="AI160" i="12"/>
  <c r="G160" i="12"/>
  <c r="F160" i="12"/>
  <c r="H160" i="12"/>
  <c r="AU160" i="12"/>
  <c r="N160" i="12"/>
  <c r="U160" i="12"/>
  <c r="V160" i="12"/>
  <c r="Q160" i="12"/>
  <c r="S160" i="12"/>
  <c r="P160" i="12"/>
  <c r="O160" i="12"/>
  <c r="R160" i="12"/>
  <c r="W160" i="12" l="1"/>
  <c r="K161" i="12"/>
  <c r="AN161" i="12"/>
  <c r="I161" i="12"/>
  <c r="J161" i="12"/>
  <c r="E161" i="12"/>
  <c r="AM161" i="12"/>
  <c r="L161" i="12"/>
  <c r="Z161" i="12"/>
  <c r="AP161" i="12"/>
  <c r="AO161" i="12"/>
  <c r="AE161" i="12"/>
  <c r="AQ161" i="12"/>
  <c r="Y161" i="12"/>
  <c r="AB161" i="12"/>
  <c r="AA161" i="12"/>
  <c r="AF161" i="12"/>
  <c r="AC161" i="12"/>
  <c r="D161" i="12"/>
  <c r="AD161" i="12"/>
  <c r="C161" i="12"/>
  <c r="AH161" i="12"/>
  <c r="AG161" i="12"/>
  <c r="AT161" i="12"/>
  <c r="AL161" i="12"/>
  <c r="AS161" i="12"/>
  <c r="B161" i="12"/>
  <c r="AK161" i="12"/>
  <c r="AR161" i="12"/>
  <c r="A162" i="12" a="1"/>
  <c r="R161" i="12" l="1"/>
  <c r="U161" i="12"/>
  <c r="P161" i="12"/>
  <c r="O161" i="12"/>
  <c r="A162" i="12"/>
  <c r="V161" i="12"/>
  <c r="H161" i="12"/>
  <c r="G161" i="12"/>
  <c r="F161" i="12"/>
  <c r="AI161" i="12"/>
  <c r="M161" i="12"/>
  <c r="AU161" i="12"/>
  <c r="S161" i="12"/>
  <c r="Q161" i="12"/>
  <c r="T161" i="12"/>
  <c r="N161" i="12"/>
  <c r="W161" i="12" l="1"/>
  <c r="AR162" i="12"/>
  <c r="AH162" i="12"/>
  <c r="Y162" i="12"/>
  <c r="AB162" i="12"/>
  <c r="AP162" i="12"/>
  <c r="AD162" i="12"/>
  <c r="K162" i="12"/>
  <c r="C162" i="12"/>
  <c r="AN162" i="12"/>
  <c r="AS162" i="12"/>
  <c r="E162" i="12"/>
  <c r="AL162" i="12"/>
  <c r="B162" i="12"/>
  <c r="AE162" i="12"/>
  <c r="AF162" i="12"/>
  <c r="AK162" i="12"/>
  <c r="I162" i="12"/>
  <c r="AT162" i="12"/>
  <c r="J162" i="12"/>
  <c r="Z162" i="12"/>
  <c r="AM162" i="12"/>
  <c r="L162" i="12"/>
  <c r="AG162" i="12"/>
  <c r="AC162" i="12"/>
  <c r="AO162" i="12"/>
  <c r="AA162" i="12"/>
  <c r="D162" i="12"/>
  <c r="AQ162" i="12"/>
  <c r="A163" i="12" a="1"/>
  <c r="U162" i="12" l="1"/>
  <c r="P162" i="12"/>
  <c r="T162" i="12"/>
  <c r="Q162" i="12"/>
  <c r="S162" i="12"/>
  <c r="N162" i="12"/>
  <c r="R162" i="12"/>
  <c r="AU162" i="12"/>
  <c r="A163" i="12"/>
  <c r="AI162" i="12"/>
  <c r="M162" i="12"/>
  <c r="V162" i="12"/>
  <c r="F162" i="12"/>
  <c r="H162" i="12"/>
  <c r="G162" i="12"/>
  <c r="O162" i="12"/>
  <c r="W162" i="12" l="1"/>
  <c r="AE163" i="12"/>
  <c r="AA163" i="12"/>
  <c r="AB163" i="12"/>
  <c r="AS163" i="12"/>
  <c r="Z163" i="12"/>
  <c r="AR163" i="12"/>
  <c r="I163" i="12"/>
  <c r="Y163" i="12"/>
  <c r="AN163" i="12"/>
  <c r="K163" i="12"/>
  <c r="AC163" i="12"/>
  <c r="AK163" i="12"/>
  <c r="AQ163" i="12"/>
  <c r="AF163" i="12"/>
  <c r="E163" i="12"/>
  <c r="AP163" i="12"/>
  <c r="AG163" i="12"/>
  <c r="AL163" i="12"/>
  <c r="AO163" i="12"/>
  <c r="J163" i="12"/>
  <c r="D163" i="12"/>
  <c r="AH163" i="12"/>
  <c r="B163" i="12"/>
  <c r="AT163" i="12"/>
  <c r="AD163" i="12"/>
  <c r="AM163" i="12"/>
  <c r="L163" i="12"/>
  <c r="C163" i="12"/>
  <c r="A164" i="12" a="1"/>
  <c r="N163" i="12" l="1"/>
  <c r="V163" i="12"/>
  <c r="P163" i="12"/>
  <c r="T163" i="12"/>
  <c r="R163" i="12"/>
  <c r="A164" i="12"/>
  <c r="H163" i="12"/>
  <c r="F163" i="12"/>
  <c r="G163" i="12"/>
  <c r="Q163" i="12"/>
  <c r="U163" i="12"/>
  <c r="S163" i="12"/>
  <c r="AU163" i="12"/>
  <c r="O163" i="12"/>
  <c r="M163" i="12"/>
  <c r="AI163" i="12"/>
  <c r="W163" i="12" l="1"/>
  <c r="AH164" i="12"/>
  <c r="I164" i="12"/>
  <c r="AP164" i="12"/>
  <c r="D164" i="12"/>
  <c r="AB164" i="12"/>
  <c r="AT164" i="12"/>
  <c r="AG164" i="12"/>
  <c r="AR164" i="12"/>
  <c r="E164" i="12"/>
  <c r="AM164" i="12"/>
  <c r="B164" i="12"/>
  <c r="AD164" i="12"/>
  <c r="AQ164" i="12"/>
  <c r="K164" i="12"/>
  <c r="AE164" i="12"/>
  <c r="Y164" i="12"/>
  <c r="AF164" i="12"/>
  <c r="J164" i="12"/>
  <c r="AA164" i="12"/>
  <c r="L164" i="12"/>
  <c r="AN164" i="12"/>
  <c r="AL164" i="12"/>
  <c r="AS164" i="12"/>
  <c r="Z164" i="12"/>
  <c r="C164" i="12"/>
  <c r="AK164" i="12"/>
  <c r="AO164" i="12"/>
  <c r="AC164" i="12"/>
  <c r="A165" i="12" a="1"/>
  <c r="Q164" i="12" l="1"/>
  <c r="O164" i="12"/>
  <c r="R164" i="12"/>
  <c r="T164" i="12"/>
  <c r="S164" i="12"/>
  <c r="A165" i="12"/>
  <c r="P164" i="12"/>
  <c r="AU164" i="12"/>
  <c r="H164" i="12"/>
  <c r="G164" i="12"/>
  <c r="F164" i="12"/>
  <c r="V164" i="12"/>
  <c r="U164" i="12"/>
  <c r="N164" i="12"/>
  <c r="M164" i="12"/>
  <c r="AI164" i="12"/>
  <c r="W164" i="12" l="1"/>
  <c r="AA165" i="12"/>
  <c r="AF165" i="12"/>
  <c r="AS165" i="12"/>
  <c r="B165" i="12"/>
  <c r="Y165" i="12"/>
  <c r="K165" i="12"/>
  <c r="AB165" i="12"/>
  <c r="AK165" i="12"/>
  <c r="AC165" i="12"/>
  <c r="D165" i="12"/>
  <c r="AT165" i="12"/>
  <c r="AG165" i="12"/>
  <c r="AD165" i="12"/>
  <c r="AR165" i="12"/>
  <c r="L165" i="12"/>
  <c r="AP165" i="12"/>
  <c r="AQ165" i="12"/>
  <c r="I165" i="12"/>
  <c r="J165" i="12"/>
  <c r="E165" i="12"/>
  <c r="AN165" i="12"/>
  <c r="AL165" i="12"/>
  <c r="AE165" i="12"/>
  <c r="AH165" i="12"/>
  <c r="Z165" i="12"/>
  <c r="AM165" i="12"/>
  <c r="AO165" i="12"/>
  <c r="C165" i="12"/>
  <c r="A166" i="12" a="1"/>
  <c r="U165" i="12" l="1"/>
  <c r="R165" i="12"/>
  <c r="S165" i="12"/>
  <c r="P165" i="12"/>
  <c r="A166" i="12"/>
  <c r="M165" i="12"/>
  <c r="AI165" i="12"/>
  <c r="H165" i="12"/>
  <c r="F165" i="12"/>
  <c r="G165" i="12"/>
  <c r="T165" i="12"/>
  <c r="N165" i="12"/>
  <c r="Q165" i="12"/>
  <c r="O165" i="12"/>
  <c r="V165" i="12"/>
  <c r="AU165" i="12"/>
  <c r="W165" i="12" l="1"/>
  <c r="AN166" i="12"/>
  <c r="E166" i="12"/>
  <c r="AG166" i="12"/>
  <c r="AT166" i="12"/>
  <c r="AA166" i="12"/>
  <c r="AB166" i="12"/>
  <c r="AL166" i="12"/>
  <c r="AP166" i="12"/>
  <c r="J166" i="12"/>
  <c r="AK166" i="12"/>
  <c r="B166" i="12"/>
  <c r="AM166" i="12"/>
  <c r="K166" i="12"/>
  <c r="L166" i="12"/>
  <c r="AH166" i="12"/>
  <c r="AR166" i="12"/>
  <c r="Y166" i="12"/>
  <c r="C166" i="12"/>
  <c r="AO166" i="12"/>
  <c r="AF166" i="12"/>
  <c r="I166" i="12"/>
  <c r="D166" i="12"/>
  <c r="AQ166" i="12"/>
  <c r="AS166" i="12"/>
  <c r="AC166" i="12"/>
  <c r="AE166" i="12"/>
  <c r="Z166" i="12"/>
  <c r="AD166" i="12"/>
  <c r="A167" i="12" a="1"/>
  <c r="P166" i="12" l="1"/>
  <c r="R166" i="12"/>
  <c r="O166" i="12"/>
  <c r="T166" i="12"/>
  <c r="U166" i="12"/>
  <c r="V166" i="12"/>
  <c r="A167" i="12"/>
  <c r="F166" i="12"/>
  <c r="H166" i="12"/>
  <c r="G166" i="12"/>
  <c r="N166" i="12"/>
  <c r="Q166" i="12"/>
  <c r="S166" i="12"/>
  <c r="AU166" i="12"/>
  <c r="AI166" i="12"/>
  <c r="M166" i="12"/>
  <c r="W166" i="12" l="1"/>
  <c r="AC167" i="12"/>
  <c r="AF167" i="12"/>
  <c r="Y167" i="12"/>
  <c r="K167" i="12"/>
  <c r="AQ167" i="12"/>
  <c r="I167" i="12"/>
  <c r="L167" i="12"/>
  <c r="AK167" i="12"/>
  <c r="J167" i="12"/>
  <c r="AG167" i="12"/>
  <c r="AL167" i="12"/>
  <c r="AH167" i="12"/>
  <c r="B167" i="12"/>
  <c r="AE167" i="12"/>
  <c r="AR167" i="12"/>
  <c r="D167" i="12"/>
  <c r="AO167" i="12"/>
  <c r="AM167" i="12"/>
  <c r="AN167" i="12"/>
  <c r="AT167" i="12"/>
  <c r="AS167" i="12"/>
  <c r="Z167" i="12"/>
  <c r="AA167" i="12"/>
  <c r="AP167" i="12"/>
  <c r="E167" i="12"/>
  <c r="C167" i="12"/>
  <c r="AD167" i="12"/>
  <c r="AB167" i="12"/>
  <c r="A168" i="12" a="1"/>
  <c r="P167" i="12" l="1"/>
  <c r="O167" i="12"/>
  <c r="R167" i="12"/>
  <c r="N167" i="12"/>
  <c r="S167" i="12"/>
  <c r="A168" i="12"/>
  <c r="U167" i="12"/>
  <c r="Q167" i="12"/>
  <c r="V167" i="12"/>
  <c r="AI167" i="12"/>
  <c r="M167" i="12"/>
  <c r="T167" i="12"/>
  <c r="G167" i="12"/>
  <c r="F167" i="12"/>
  <c r="H167" i="12"/>
  <c r="AU167" i="12"/>
  <c r="W167" i="12" l="1"/>
  <c r="AN168" i="12"/>
  <c r="AS168" i="12"/>
  <c r="AA168" i="12"/>
  <c r="AQ168" i="12"/>
  <c r="C168" i="12"/>
  <c r="AF168" i="12"/>
  <c r="AE168" i="12"/>
  <c r="K168" i="12"/>
  <c r="AT168" i="12"/>
  <c r="AM168" i="12"/>
  <c r="AB168" i="12"/>
  <c r="P168" i="12" s="1"/>
  <c r="AG168" i="12"/>
  <c r="B168" i="12"/>
  <c r="L168" i="12"/>
  <c r="AC168" i="12"/>
  <c r="AD168" i="12"/>
  <c r="AR168" i="12"/>
  <c r="AK168" i="12"/>
  <c r="AP168" i="12"/>
  <c r="J168" i="12"/>
  <c r="AH168" i="12"/>
  <c r="AL168" i="12"/>
  <c r="Z168" i="12"/>
  <c r="I168" i="12"/>
  <c r="D168" i="12"/>
  <c r="E168" i="12"/>
  <c r="AO168" i="12"/>
  <c r="Y168" i="12"/>
  <c r="A169" i="12" a="1"/>
  <c r="V168" i="12" l="1"/>
  <c r="U168" i="12"/>
  <c r="O168" i="12"/>
  <c r="Q168" i="12"/>
  <c r="T168" i="12"/>
  <c r="S168" i="12"/>
  <c r="N168" i="12"/>
  <c r="R168" i="12"/>
  <c r="A169" i="12"/>
  <c r="G168" i="12"/>
  <c r="F168" i="12"/>
  <c r="H168" i="12"/>
  <c r="M168" i="12"/>
  <c r="AI168" i="12"/>
  <c r="AU168" i="12"/>
  <c r="W168" i="12" l="1"/>
  <c r="AG169" i="12"/>
  <c r="AQ169" i="12"/>
  <c r="Y169" i="12"/>
  <c r="L169" i="12"/>
  <c r="AK169" i="12"/>
  <c r="K169" i="12"/>
  <c r="C169" i="12"/>
  <c r="AD169" i="12"/>
  <c r="Z169" i="12"/>
  <c r="B169" i="12"/>
  <c r="AR169" i="12"/>
  <c r="E169" i="12"/>
  <c r="AS169" i="12"/>
  <c r="AH169" i="12"/>
  <c r="AT169" i="12"/>
  <c r="AO169" i="12"/>
  <c r="D169" i="12"/>
  <c r="AC169" i="12"/>
  <c r="AB169" i="12"/>
  <c r="AN169" i="12"/>
  <c r="AP169" i="12"/>
  <c r="J169" i="12"/>
  <c r="AF169" i="12"/>
  <c r="I169" i="12"/>
  <c r="AM169" i="12"/>
  <c r="AA169" i="12"/>
  <c r="AE169" i="12"/>
  <c r="AL169" i="12"/>
  <c r="A170" i="12" a="1"/>
  <c r="T169" i="12" l="1"/>
  <c r="O169" i="12"/>
  <c r="S169" i="12"/>
  <c r="R169" i="12"/>
  <c r="A170" i="12"/>
  <c r="AU169" i="12"/>
  <c r="V169" i="12"/>
  <c r="F169" i="12"/>
  <c r="H169" i="12"/>
  <c r="G169" i="12"/>
  <c r="P169" i="12"/>
  <c r="M169" i="12"/>
  <c r="AI169" i="12"/>
  <c r="Q169" i="12"/>
  <c r="N169" i="12"/>
  <c r="U169" i="12"/>
  <c r="W169" i="12" l="1"/>
  <c r="AH170" i="12"/>
  <c r="AM170" i="12"/>
  <c r="AG170" i="12"/>
  <c r="J170" i="12"/>
  <c r="I170" i="12"/>
  <c r="L170" i="12"/>
  <c r="K170" i="12"/>
  <c r="AQ170" i="12"/>
  <c r="AE170" i="12"/>
  <c r="AK170" i="12"/>
  <c r="AL170" i="12"/>
  <c r="E170" i="12"/>
  <c r="Z170" i="12"/>
  <c r="AT170" i="12"/>
  <c r="B170" i="12"/>
  <c r="Y170" i="12"/>
  <c r="AO170" i="12"/>
  <c r="AB170" i="12"/>
  <c r="D170" i="12"/>
  <c r="AC170" i="12"/>
  <c r="AN170" i="12"/>
  <c r="AR170" i="12"/>
  <c r="AF170" i="12"/>
  <c r="AA170" i="12"/>
  <c r="AP170" i="12"/>
  <c r="AD170" i="12"/>
  <c r="AS170" i="12"/>
  <c r="C170" i="12"/>
  <c r="A171" i="12" a="1"/>
  <c r="Q170" i="12" l="1"/>
  <c r="N170" i="12"/>
  <c r="T170" i="12"/>
  <c r="R170" i="12"/>
  <c r="O170" i="12"/>
  <c r="A171" i="12"/>
  <c r="M170" i="12"/>
  <c r="AI170" i="12"/>
  <c r="H170" i="12"/>
  <c r="G170" i="12"/>
  <c r="F170" i="12"/>
  <c r="U170" i="12"/>
  <c r="P170" i="12"/>
  <c r="AU170" i="12"/>
  <c r="S170" i="12"/>
  <c r="V170" i="12"/>
  <c r="W170" i="12" l="1"/>
  <c r="AB171" i="12"/>
  <c r="E171" i="12"/>
  <c r="K171" i="12"/>
  <c r="D171" i="12"/>
  <c r="C171" i="12"/>
  <c r="AS171" i="12"/>
  <c r="L171" i="12"/>
  <c r="AR171" i="12"/>
  <c r="AM171" i="12"/>
  <c r="I171" i="12"/>
  <c r="AE171" i="12"/>
  <c r="AP171" i="12"/>
  <c r="AG171" i="12"/>
  <c r="J171" i="12"/>
  <c r="B171" i="12"/>
  <c r="AO171" i="12"/>
  <c r="AK171" i="12"/>
  <c r="AF171" i="12"/>
  <c r="AL171" i="12"/>
  <c r="Y171" i="12"/>
  <c r="AD171" i="12"/>
  <c r="AT171" i="12"/>
  <c r="AC171" i="12"/>
  <c r="AA171" i="12"/>
  <c r="Z171" i="12"/>
  <c r="AH171" i="12"/>
  <c r="AQ171" i="12"/>
  <c r="AN171" i="12"/>
  <c r="A172" i="12" a="1"/>
  <c r="R171" i="12" l="1"/>
  <c r="Q171" i="12"/>
  <c r="T171" i="12"/>
  <c r="A172" i="12"/>
  <c r="U171" i="12"/>
  <c r="AI171" i="12"/>
  <c r="M171" i="12"/>
  <c r="S171" i="12"/>
  <c r="F171" i="12"/>
  <c r="G171" i="12"/>
  <c r="H171" i="12"/>
  <c r="V171" i="12"/>
  <c r="N171" i="12"/>
  <c r="P171" i="12"/>
  <c r="AU171" i="12"/>
  <c r="O171" i="12"/>
  <c r="W171" i="12" l="1"/>
  <c r="K172" i="12"/>
  <c r="AH172" i="12"/>
  <c r="AF172" i="12"/>
  <c r="AL172" i="12"/>
  <c r="AA172" i="12"/>
  <c r="AT172" i="12"/>
  <c r="D172" i="12"/>
  <c r="AN172" i="12"/>
  <c r="C172" i="12"/>
  <c r="B172" i="12"/>
  <c r="AQ172" i="12"/>
  <c r="E172" i="12"/>
  <c r="AM172" i="12"/>
  <c r="AO172" i="12"/>
  <c r="AK172" i="12"/>
  <c r="I172" i="12"/>
  <c r="L172" i="12"/>
  <c r="Y172" i="12"/>
  <c r="Z172" i="12"/>
  <c r="AC172" i="12"/>
  <c r="AS172" i="12"/>
  <c r="AP172" i="12"/>
  <c r="AE172" i="12"/>
  <c r="AR172" i="12"/>
  <c r="AD172" i="12"/>
  <c r="AG172" i="12"/>
  <c r="J172" i="12"/>
  <c r="AB172" i="12"/>
  <c r="A173" i="12" a="1"/>
  <c r="P172" i="12" l="1"/>
  <c r="T172" i="12"/>
  <c r="S172" i="12"/>
  <c r="AU172" i="12"/>
  <c r="O172" i="12"/>
  <c r="A173" i="12"/>
  <c r="Q172" i="12"/>
  <c r="R172" i="12"/>
  <c r="F172" i="12"/>
  <c r="G172" i="12"/>
  <c r="H172" i="12"/>
  <c r="N172" i="12"/>
  <c r="U172" i="12"/>
  <c r="AI172" i="12"/>
  <c r="M172" i="12"/>
  <c r="V172" i="12"/>
  <c r="W172" i="12" l="1"/>
  <c r="AS173" i="12"/>
  <c r="AA173" i="12"/>
  <c r="AF173" i="12"/>
  <c r="AQ173" i="12"/>
  <c r="AO173" i="12"/>
  <c r="AD173" i="12"/>
  <c r="AT173" i="12"/>
  <c r="AM173" i="12"/>
  <c r="AR173" i="12"/>
  <c r="C173" i="12"/>
  <c r="AL173" i="12"/>
  <c r="L173" i="12"/>
  <c r="AC173" i="12"/>
  <c r="AK173" i="12"/>
  <c r="AN173" i="12"/>
  <c r="AP173" i="12"/>
  <c r="AB173" i="12"/>
  <c r="AE173" i="12"/>
  <c r="J173" i="12"/>
  <c r="D173" i="12"/>
  <c r="E173" i="12"/>
  <c r="K173" i="12"/>
  <c r="I173" i="12"/>
  <c r="B173" i="12"/>
  <c r="Z173" i="12"/>
  <c r="AH173" i="12"/>
  <c r="Y173" i="12"/>
  <c r="AG173" i="12"/>
  <c r="A174" i="12" a="1"/>
  <c r="U173" i="12" l="1"/>
  <c r="T173" i="12"/>
  <c r="R173" i="12"/>
  <c r="O173" i="12"/>
  <c r="Q173" i="12"/>
  <c r="A174" i="12"/>
  <c r="AI173" i="12"/>
  <c r="M173" i="12"/>
  <c r="AU173" i="12"/>
  <c r="F173" i="12"/>
  <c r="H173" i="12"/>
  <c r="G173" i="12"/>
  <c r="V173" i="12"/>
  <c r="S173" i="12"/>
  <c r="N173" i="12"/>
  <c r="P173" i="12"/>
  <c r="W173" i="12" l="1"/>
  <c r="AO174" i="12"/>
  <c r="C174" i="12"/>
  <c r="AP174" i="12"/>
  <c r="AS174" i="12"/>
  <c r="D174" i="12"/>
  <c r="L174" i="12"/>
  <c r="AG174" i="12"/>
  <c r="AF174" i="12"/>
  <c r="J174" i="12"/>
  <c r="Y174" i="12"/>
  <c r="AA174" i="12"/>
  <c r="I174" i="12"/>
  <c r="AT174" i="12"/>
  <c r="AR174" i="12"/>
  <c r="AH174" i="12"/>
  <c r="K174" i="12"/>
  <c r="AD174" i="12"/>
  <c r="AN174" i="12"/>
  <c r="Z174" i="12"/>
  <c r="AL174" i="12"/>
  <c r="AB174" i="12"/>
  <c r="E174" i="12"/>
  <c r="AE174" i="12"/>
  <c r="AK174" i="12"/>
  <c r="AQ174" i="12"/>
  <c r="AM174" i="12"/>
  <c r="B174" i="12"/>
  <c r="AC174" i="12"/>
  <c r="A175" i="12" a="1"/>
  <c r="O174" i="12" l="1"/>
  <c r="S174" i="12"/>
  <c r="P174" i="12"/>
  <c r="Q174" i="12"/>
  <c r="V174" i="12"/>
  <c r="U174" i="12"/>
  <c r="A175" i="12"/>
  <c r="F174" i="12"/>
  <c r="H174" i="12"/>
  <c r="G174" i="12"/>
  <c r="AI174" i="12"/>
  <c r="M174" i="12"/>
  <c r="N174" i="12"/>
  <c r="R174" i="12"/>
  <c r="AU174" i="12"/>
  <c r="T174" i="12"/>
  <c r="W174" i="12" l="1"/>
  <c r="J175" i="12"/>
  <c r="K175" i="12"/>
  <c r="AP175" i="12"/>
  <c r="AM175" i="12"/>
  <c r="AH175" i="12"/>
  <c r="AT175" i="12"/>
  <c r="I175" i="12"/>
  <c r="AS175" i="12"/>
  <c r="AO175" i="12"/>
  <c r="C175" i="12"/>
  <c r="AE175" i="12"/>
  <c r="AG175" i="12"/>
  <c r="L175" i="12"/>
  <c r="AA175" i="12"/>
  <c r="AC175" i="12"/>
  <c r="AQ175" i="12"/>
  <c r="AL175" i="12"/>
  <c r="AB175" i="12"/>
  <c r="B175" i="12"/>
  <c r="Y175" i="12"/>
  <c r="AF175" i="12"/>
  <c r="AK175" i="12"/>
  <c r="AD175" i="12"/>
  <c r="D175" i="12"/>
  <c r="AN175" i="12"/>
  <c r="AR175" i="12"/>
  <c r="E175" i="12"/>
  <c r="Z175" i="12"/>
  <c r="A176" i="12" a="1"/>
  <c r="N175" i="12" l="1"/>
  <c r="U175" i="12"/>
  <c r="Q175" i="12"/>
  <c r="T175" i="12"/>
  <c r="S175" i="12"/>
  <c r="AU175" i="12"/>
  <c r="O175" i="12"/>
  <c r="P175" i="12"/>
  <c r="R175" i="12"/>
  <c r="A176" i="12"/>
  <c r="V175" i="12"/>
  <c r="M175" i="12"/>
  <c r="AI175" i="12"/>
  <c r="F175" i="12"/>
  <c r="G175" i="12"/>
  <c r="H175" i="12"/>
  <c r="W175" i="12" l="1"/>
  <c r="AE176" i="12"/>
  <c r="D176" i="12"/>
  <c r="AN176" i="12"/>
  <c r="AT176" i="12"/>
  <c r="J176" i="12"/>
  <c r="AO176" i="12"/>
  <c r="AS176" i="12"/>
  <c r="AH176" i="12"/>
  <c r="Z176" i="12"/>
  <c r="K176" i="12"/>
  <c r="I176" i="12"/>
  <c r="C176" i="12"/>
  <c r="AM176" i="12"/>
  <c r="AR176" i="12"/>
  <c r="B176" i="12"/>
  <c r="AA176" i="12"/>
  <c r="AQ176" i="12"/>
  <c r="Y176" i="12"/>
  <c r="AP176" i="12"/>
  <c r="E176" i="12"/>
  <c r="AD176" i="12"/>
  <c r="AL176" i="12"/>
  <c r="AB176" i="12"/>
  <c r="L176" i="12"/>
  <c r="AK176" i="12"/>
  <c r="AG176" i="12"/>
  <c r="AC176" i="12"/>
  <c r="AF176" i="12"/>
  <c r="A177" i="12" a="1"/>
  <c r="R176" i="12" l="1"/>
  <c r="P176" i="12"/>
  <c r="O176" i="12"/>
  <c r="V176" i="12"/>
  <c r="A177" i="12"/>
  <c r="G176" i="12"/>
  <c r="F176" i="12"/>
  <c r="H176" i="12"/>
  <c r="T176" i="12"/>
  <c r="Q176" i="12"/>
  <c r="U176" i="12"/>
  <c r="AI176" i="12"/>
  <c r="M176" i="12"/>
  <c r="AU176" i="12"/>
  <c r="N176" i="12"/>
  <c r="S176" i="12"/>
  <c r="W176" i="12" l="1"/>
  <c r="AE177" i="12"/>
  <c r="AF177" i="12"/>
  <c r="AP177" i="12"/>
  <c r="I177" i="12"/>
  <c r="B177" i="12"/>
  <c r="D177" i="12"/>
  <c r="Y177" i="12"/>
  <c r="AL177" i="12"/>
  <c r="J177" i="12"/>
  <c r="AN177" i="12"/>
  <c r="AT177" i="12"/>
  <c r="AQ177" i="12"/>
  <c r="AS177" i="12"/>
  <c r="AB177" i="12"/>
  <c r="AC177" i="12"/>
  <c r="AO177" i="12"/>
  <c r="AM177" i="12"/>
  <c r="E177" i="12"/>
  <c r="AA177" i="12"/>
  <c r="AD177" i="12"/>
  <c r="C177" i="12"/>
  <c r="K177" i="12"/>
  <c r="AR177" i="12"/>
  <c r="AK177" i="12"/>
  <c r="L177" i="12"/>
  <c r="Z177" i="12"/>
  <c r="AG177" i="12"/>
  <c r="AH177" i="12"/>
  <c r="A178" i="12" a="1"/>
  <c r="O177" i="12" l="1"/>
  <c r="R177" i="12"/>
  <c r="Q177" i="12"/>
  <c r="N177" i="12"/>
  <c r="V177" i="12"/>
  <c r="P177" i="12"/>
  <c r="A178" i="12"/>
  <c r="F177" i="12"/>
  <c r="H177" i="12"/>
  <c r="G177" i="12"/>
  <c r="S177" i="12"/>
  <c r="AI177" i="12"/>
  <c r="M177" i="12"/>
  <c r="U177" i="12"/>
  <c r="T177" i="12"/>
  <c r="AU177" i="12"/>
  <c r="W177" i="12" l="1"/>
  <c r="AD178" i="12"/>
  <c r="E178" i="12"/>
  <c r="AE178" i="12"/>
  <c r="AC178" i="12"/>
  <c r="AQ178" i="12"/>
  <c r="AK178" i="12"/>
  <c r="I178" i="12"/>
  <c r="AB178" i="12"/>
  <c r="AO178" i="12"/>
  <c r="Y178" i="12"/>
  <c r="AH178" i="12"/>
  <c r="AL178" i="12"/>
  <c r="AN178" i="12"/>
  <c r="B178" i="12"/>
  <c r="AF178" i="12"/>
  <c r="AR178" i="12"/>
  <c r="AG178" i="12"/>
  <c r="AP178" i="12"/>
  <c r="D178" i="12"/>
  <c r="K178" i="12"/>
  <c r="AT178" i="12"/>
  <c r="AM178" i="12"/>
  <c r="Z178" i="12"/>
  <c r="J178" i="12"/>
  <c r="C178" i="12"/>
  <c r="AA178" i="12"/>
  <c r="L178" i="12"/>
  <c r="AS178" i="12"/>
  <c r="A179" i="12" a="1"/>
  <c r="Q178" i="12" l="1"/>
  <c r="T178" i="12"/>
  <c r="N178" i="12"/>
  <c r="A179" i="12"/>
  <c r="AU178" i="12"/>
  <c r="V178" i="12"/>
  <c r="S178" i="12"/>
  <c r="O178" i="12"/>
  <c r="AI178" i="12"/>
  <c r="M178" i="12"/>
  <c r="H178" i="12"/>
  <c r="F178" i="12"/>
  <c r="G178" i="12"/>
  <c r="U178" i="12"/>
  <c r="R178" i="12"/>
  <c r="P178" i="12"/>
  <c r="W178" i="12" l="1"/>
  <c r="I179" i="12"/>
  <c r="AD179" i="12"/>
  <c r="AT179" i="12"/>
  <c r="E179" i="12"/>
  <c r="AB179" i="12"/>
  <c r="AM179" i="12"/>
  <c r="D179" i="12"/>
  <c r="L179" i="12"/>
  <c r="AG179" i="12"/>
  <c r="AP179" i="12"/>
  <c r="AA179" i="12"/>
  <c r="Y179" i="12"/>
  <c r="Z179" i="12"/>
  <c r="AE179" i="12"/>
  <c r="AQ179" i="12"/>
  <c r="AF179" i="12"/>
  <c r="B179" i="12"/>
  <c r="AC179" i="12"/>
  <c r="AN179" i="12"/>
  <c r="K179" i="12"/>
  <c r="AR179" i="12"/>
  <c r="AK179" i="12"/>
  <c r="J179" i="12"/>
  <c r="C179" i="12"/>
  <c r="AO179" i="12"/>
  <c r="AL179" i="12"/>
  <c r="AH179" i="12"/>
  <c r="AS179" i="12"/>
  <c r="A180" i="12" a="1"/>
  <c r="N179" i="12" l="1"/>
  <c r="V179" i="12"/>
  <c r="P179" i="12"/>
  <c r="T179" i="12"/>
  <c r="A180" i="12"/>
  <c r="AU179" i="12"/>
  <c r="AI179" i="12"/>
  <c r="M179" i="12"/>
  <c r="S179" i="12"/>
  <c r="G179" i="12"/>
  <c r="H179" i="12"/>
  <c r="F179" i="12"/>
  <c r="O179" i="12"/>
  <c r="Q179" i="12"/>
  <c r="R179" i="12"/>
  <c r="U179" i="12"/>
  <c r="W179" i="12" l="1"/>
  <c r="AO180" i="12"/>
  <c r="AA180" i="12"/>
  <c r="AQ180" i="12"/>
  <c r="B180" i="12"/>
  <c r="AL180" i="12"/>
  <c r="AM180" i="12"/>
  <c r="AP180" i="12"/>
  <c r="AS180" i="12"/>
  <c r="AK180" i="12"/>
  <c r="I180" i="12"/>
  <c r="Z180" i="12"/>
  <c r="AB180" i="12"/>
  <c r="E180" i="12"/>
  <c r="AE180" i="12"/>
  <c r="AN180" i="12"/>
  <c r="AF180" i="12"/>
  <c r="AH180" i="12"/>
  <c r="D180" i="12"/>
  <c r="AG180" i="12"/>
  <c r="AR180" i="12"/>
  <c r="AD180" i="12"/>
  <c r="J180" i="12"/>
  <c r="K180" i="12"/>
  <c r="Y180" i="12"/>
  <c r="AT180" i="12"/>
  <c r="AC180" i="12"/>
  <c r="C180" i="12"/>
  <c r="L180" i="12"/>
  <c r="A181" i="12" a="1"/>
  <c r="S180" i="12" l="1"/>
  <c r="Q180" i="12"/>
  <c r="T180" i="12"/>
  <c r="A181" i="12"/>
  <c r="R180" i="12"/>
  <c r="U180" i="12"/>
  <c r="O180" i="12"/>
  <c r="AI180" i="12"/>
  <c r="M180" i="12"/>
  <c r="F180" i="12"/>
  <c r="H180" i="12"/>
  <c r="G180" i="12"/>
  <c r="P180" i="12"/>
  <c r="N180" i="12"/>
  <c r="V180" i="12"/>
  <c r="AU180" i="12"/>
  <c r="W180" i="12" l="1"/>
  <c r="AT181" i="12"/>
  <c r="D181" i="12"/>
  <c r="I181" i="12"/>
  <c r="AB181" i="12"/>
  <c r="L181" i="12"/>
  <c r="AM181" i="12"/>
  <c r="B181" i="12"/>
  <c r="AK181" i="12"/>
  <c r="J181" i="12"/>
  <c r="AL181" i="12"/>
  <c r="E181" i="12"/>
  <c r="AD181" i="12"/>
  <c r="C181" i="12"/>
  <c r="AR181" i="12"/>
  <c r="K181" i="12"/>
  <c r="AE181" i="12"/>
  <c r="AS181" i="12"/>
  <c r="AF181" i="12"/>
  <c r="AG181" i="12"/>
  <c r="AO181" i="12"/>
  <c r="AN181" i="12"/>
  <c r="AA181" i="12"/>
  <c r="Y181" i="12"/>
  <c r="AP181" i="12"/>
  <c r="AC181" i="12"/>
  <c r="AH181" i="12"/>
  <c r="Z181" i="12"/>
  <c r="AQ181" i="12"/>
  <c r="A182" i="12" a="1"/>
  <c r="N181" i="12" l="1"/>
  <c r="O181" i="12"/>
  <c r="V181" i="12"/>
  <c r="S181" i="12"/>
  <c r="U181" i="12"/>
  <c r="A182" i="12"/>
  <c r="R181" i="12"/>
  <c r="AU181" i="12"/>
  <c r="AI181" i="12"/>
  <c r="M181" i="12"/>
  <c r="P181" i="12"/>
  <c r="F181" i="12"/>
  <c r="H181" i="12"/>
  <c r="G181" i="12"/>
  <c r="T181" i="12"/>
  <c r="Q181" i="12"/>
  <c r="W181" i="12" l="1"/>
  <c r="K182" i="12"/>
  <c r="C182" i="12"/>
  <c r="AQ182" i="12"/>
  <c r="AO182" i="12"/>
  <c r="AS182" i="12"/>
  <c r="J182" i="12"/>
  <c r="D182" i="12"/>
  <c r="L182" i="12"/>
  <c r="AA182" i="12"/>
  <c r="AT182" i="12"/>
  <c r="AD182" i="12"/>
  <c r="AM182" i="12"/>
  <c r="AL182" i="12"/>
  <c r="Y182" i="12"/>
  <c r="AG182" i="12"/>
  <c r="B182" i="12"/>
  <c r="AK182" i="12"/>
  <c r="AC182" i="12"/>
  <c r="I182" i="12"/>
  <c r="E182" i="12"/>
  <c r="Z182" i="12"/>
  <c r="AE182" i="12"/>
  <c r="AR182" i="12"/>
  <c r="AN182" i="12"/>
  <c r="AF182" i="12"/>
  <c r="AB182" i="12"/>
  <c r="AH182" i="12"/>
  <c r="AP182" i="12"/>
  <c r="A183" i="12" a="1"/>
  <c r="N182" i="12" l="1"/>
  <c r="V182" i="12"/>
  <c r="U182" i="12"/>
  <c r="S182" i="12"/>
  <c r="A183" i="12"/>
  <c r="R182" i="12"/>
  <c r="M182" i="12"/>
  <c r="AI182" i="12"/>
  <c r="P182" i="12"/>
  <c r="Q182" i="12"/>
  <c r="G182" i="12"/>
  <c r="F182" i="12"/>
  <c r="H182" i="12"/>
  <c r="T182" i="12"/>
  <c r="AU182" i="12"/>
  <c r="O182" i="12"/>
  <c r="W182" i="12" l="1"/>
  <c r="AG183" i="12"/>
  <c r="AD183" i="12"/>
  <c r="J183" i="12"/>
  <c r="AO183" i="12"/>
  <c r="E183" i="12"/>
  <c r="AF183" i="12"/>
  <c r="AB183" i="12"/>
  <c r="AT183" i="12"/>
  <c r="D183" i="12"/>
  <c r="AE183" i="12"/>
  <c r="AQ183" i="12"/>
  <c r="Z183" i="12"/>
  <c r="C183" i="12"/>
  <c r="I183" i="12"/>
  <c r="Y183" i="12"/>
  <c r="AL183" i="12"/>
  <c r="AM183" i="12"/>
  <c r="AP183" i="12"/>
  <c r="AS183" i="12"/>
  <c r="AH183" i="12"/>
  <c r="B183" i="12"/>
  <c r="AC183" i="12"/>
  <c r="AK183" i="12"/>
  <c r="L183" i="12"/>
  <c r="AN183" i="12"/>
  <c r="AR183" i="12"/>
  <c r="K183" i="12"/>
  <c r="AA183" i="12"/>
  <c r="A184" i="12" a="1"/>
  <c r="O183" i="12" l="1"/>
  <c r="N183" i="12"/>
  <c r="V183" i="12"/>
  <c r="AU183" i="12"/>
  <c r="T183" i="12"/>
  <c r="P183" i="12"/>
  <c r="Q183" i="12"/>
  <c r="R183" i="12"/>
  <c r="A184" i="12"/>
  <c r="M183" i="12"/>
  <c r="AI183" i="12"/>
  <c r="G183" i="12"/>
  <c r="F183" i="12"/>
  <c r="H183" i="12"/>
  <c r="S183" i="12"/>
  <c r="U183" i="12"/>
  <c r="W183" i="12" l="1"/>
  <c r="AS184" i="12"/>
  <c r="AH184" i="12"/>
  <c r="K184" i="12"/>
  <c r="AO184" i="12"/>
  <c r="AM184" i="12"/>
  <c r="AE184" i="12"/>
  <c r="Y184" i="12"/>
  <c r="AC184" i="12"/>
  <c r="Z184" i="12"/>
  <c r="AF184" i="12"/>
  <c r="L184" i="12"/>
  <c r="C184" i="12"/>
  <c r="AQ184" i="12"/>
  <c r="AD184" i="12"/>
  <c r="AT184" i="12"/>
  <c r="AR184" i="12"/>
  <c r="E184" i="12"/>
  <c r="AP184" i="12"/>
  <c r="J184" i="12"/>
  <c r="AK184" i="12"/>
  <c r="AN184" i="12"/>
  <c r="AG184" i="12"/>
  <c r="AB184" i="12"/>
  <c r="AL184" i="12"/>
  <c r="D184" i="12"/>
  <c r="AA184" i="12"/>
  <c r="I184" i="12"/>
  <c r="B184" i="12"/>
  <c r="A185" i="12" a="1"/>
  <c r="U184" i="12" l="1"/>
  <c r="R184" i="12"/>
  <c r="T184" i="12"/>
  <c r="S184" i="12"/>
  <c r="P184" i="12"/>
  <c r="A185" i="12"/>
  <c r="M184" i="12"/>
  <c r="AI184" i="12"/>
  <c r="AU184" i="12"/>
  <c r="O184" i="12"/>
  <c r="V184" i="12"/>
  <c r="F184" i="12"/>
  <c r="G184" i="12"/>
  <c r="H184" i="12"/>
  <c r="N184" i="12"/>
  <c r="Q184" i="12"/>
  <c r="W184" i="12" l="1"/>
  <c r="AM185" i="12"/>
  <c r="Y185" i="12"/>
  <c r="I185" i="12"/>
  <c r="AO185" i="12"/>
  <c r="AQ185" i="12"/>
  <c r="B185" i="12"/>
  <c r="L185" i="12"/>
  <c r="AF185" i="12"/>
  <c r="AN185" i="12"/>
  <c r="AR185" i="12"/>
  <c r="AG185" i="12"/>
  <c r="AB185" i="12"/>
  <c r="AC185" i="12"/>
  <c r="J185" i="12"/>
  <c r="AD185" i="12"/>
  <c r="AP185" i="12"/>
  <c r="AT185" i="12"/>
  <c r="AL185" i="12"/>
  <c r="AH185" i="12"/>
  <c r="D185" i="12"/>
  <c r="AK185" i="12"/>
  <c r="Z185" i="12"/>
  <c r="C185" i="12"/>
  <c r="K185" i="12"/>
  <c r="AA185" i="12"/>
  <c r="AE185" i="12"/>
  <c r="E185" i="12"/>
  <c r="AS185" i="12"/>
  <c r="A186" i="12" a="1"/>
  <c r="P185" i="12" l="1"/>
  <c r="Q185" i="12"/>
  <c r="N185" i="12"/>
  <c r="R185" i="12"/>
  <c r="V185" i="12"/>
  <c r="AU185" i="12"/>
  <c r="O185" i="12"/>
  <c r="A186" i="12"/>
  <c r="M185" i="12"/>
  <c r="AI185" i="12"/>
  <c r="H185" i="12"/>
  <c r="G185" i="12"/>
  <c r="F185" i="12"/>
  <c r="U185" i="12"/>
  <c r="S185" i="12"/>
  <c r="T185" i="12"/>
  <c r="W185" i="12" l="1"/>
  <c r="AM186" i="12"/>
  <c r="AG186" i="12"/>
  <c r="AQ186" i="12"/>
  <c r="AS186" i="12"/>
  <c r="AO186" i="12"/>
  <c r="AC186" i="12"/>
  <c r="AB186" i="12"/>
  <c r="AN186" i="12"/>
  <c r="C186" i="12"/>
  <c r="L186" i="12"/>
  <c r="J186" i="12"/>
  <c r="AH186" i="12"/>
  <c r="AR186" i="12"/>
  <c r="K186" i="12"/>
  <c r="AD186" i="12"/>
  <c r="B186" i="12"/>
  <c r="AK186" i="12"/>
  <c r="D186" i="12"/>
  <c r="I186" i="12"/>
  <c r="AF186" i="12"/>
  <c r="Y186" i="12"/>
  <c r="E186" i="12"/>
  <c r="AL186" i="12"/>
  <c r="AE186" i="12"/>
  <c r="AT186" i="12"/>
  <c r="Z186" i="12"/>
  <c r="AP186" i="12"/>
  <c r="AA186" i="12"/>
  <c r="A187" i="12" a="1"/>
  <c r="O186" i="12" l="1"/>
  <c r="V186" i="12"/>
  <c r="P186" i="12"/>
  <c r="Q186" i="12"/>
  <c r="R186" i="12"/>
  <c r="S186" i="12"/>
  <c r="A187" i="12"/>
  <c r="G186" i="12"/>
  <c r="F186" i="12"/>
  <c r="H186" i="12"/>
  <c r="U186" i="12"/>
  <c r="M186" i="12"/>
  <c r="AI186" i="12"/>
  <c r="T186" i="12"/>
  <c r="N186" i="12"/>
  <c r="AU186" i="12"/>
  <c r="W186" i="12" l="1"/>
  <c r="Y187" i="12"/>
  <c r="AG187" i="12"/>
  <c r="L187" i="12"/>
  <c r="AK187" i="12"/>
  <c r="K187" i="12"/>
  <c r="AF187" i="12"/>
  <c r="AN187" i="12"/>
  <c r="E187" i="12"/>
  <c r="AA187" i="12"/>
  <c r="D187" i="12"/>
  <c r="AS187" i="12"/>
  <c r="AE187" i="12"/>
  <c r="Z187" i="12"/>
  <c r="AL187" i="12"/>
  <c r="J187" i="12"/>
  <c r="AH187" i="12"/>
  <c r="AC187" i="12"/>
  <c r="AB187" i="12"/>
  <c r="AO187" i="12"/>
  <c r="AT187" i="12"/>
  <c r="C187" i="12"/>
  <c r="AQ187" i="12"/>
  <c r="AR187" i="12"/>
  <c r="I187" i="12"/>
  <c r="AP187" i="12"/>
  <c r="AM187" i="12"/>
  <c r="B187" i="12"/>
  <c r="AD187" i="12"/>
  <c r="A188" i="12" a="1"/>
  <c r="R187" i="12" l="1"/>
  <c r="V187" i="12"/>
  <c r="A188" i="12"/>
  <c r="H187" i="12"/>
  <c r="G187" i="12"/>
  <c r="F187" i="12"/>
  <c r="T187" i="12"/>
  <c r="N187" i="12"/>
  <c r="S187" i="12"/>
  <c r="AU187" i="12"/>
  <c r="P187" i="12"/>
  <c r="U187" i="12"/>
  <c r="Q187" i="12"/>
  <c r="O187" i="12"/>
  <c r="M187" i="12"/>
  <c r="AI187" i="12"/>
  <c r="W187" i="12" l="1"/>
  <c r="J188" i="12"/>
  <c r="AG188" i="12"/>
  <c r="K188" i="12"/>
  <c r="AE188" i="12"/>
  <c r="AL188" i="12"/>
  <c r="E188" i="12"/>
  <c r="AF188" i="12"/>
  <c r="AK188" i="12"/>
  <c r="AC188" i="12"/>
  <c r="AQ188" i="12"/>
  <c r="AS188" i="12"/>
  <c r="L188" i="12"/>
  <c r="AA188" i="12"/>
  <c r="Z188" i="12"/>
  <c r="AO188" i="12"/>
  <c r="AH188" i="12"/>
  <c r="Y188" i="12"/>
  <c r="AD188" i="12"/>
  <c r="AR188" i="12"/>
  <c r="AB188" i="12"/>
  <c r="AM188" i="12"/>
  <c r="AT188" i="12"/>
  <c r="I188" i="12"/>
  <c r="D188" i="12"/>
  <c r="AP188" i="12"/>
  <c r="AN188" i="12"/>
  <c r="C188" i="12"/>
  <c r="B188" i="12"/>
  <c r="A189" i="12" a="1"/>
  <c r="P188" i="12" l="1"/>
  <c r="T188" i="12"/>
  <c r="S188" i="12"/>
  <c r="N188" i="12"/>
  <c r="R188" i="12"/>
  <c r="A189" i="12"/>
  <c r="H188" i="12"/>
  <c r="G188" i="12"/>
  <c r="F188" i="12"/>
  <c r="O188" i="12"/>
  <c r="U188" i="12"/>
  <c r="M188" i="12"/>
  <c r="AI188" i="12"/>
  <c r="Q188" i="12"/>
  <c r="V188" i="12"/>
  <c r="AU188" i="12"/>
  <c r="W188" i="12" l="1"/>
  <c r="AP189" i="12"/>
  <c r="AH189" i="12"/>
  <c r="AT189" i="12"/>
  <c r="AM189" i="12"/>
  <c r="AL189" i="12"/>
  <c r="AG189" i="12"/>
  <c r="AF189" i="12"/>
  <c r="AO189" i="12"/>
  <c r="AN189" i="12"/>
  <c r="K189" i="12"/>
  <c r="AQ189" i="12"/>
  <c r="I189" i="12"/>
  <c r="L189" i="12"/>
  <c r="E189" i="12"/>
  <c r="Y189" i="12"/>
  <c r="J189" i="12"/>
  <c r="Z189" i="12"/>
  <c r="AD189" i="12"/>
  <c r="AS189" i="12"/>
  <c r="C189" i="12"/>
  <c r="D189" i="12"/>
  <c r="AE189" i="12"/>
  <c r="AA189" i="12"/>
  <c r="AR189" i="12"/>
  <c r="AC189" i="12"/>
  <c r="AK189" i="12"/>
  <c r="AB189" i="12"/>
  <c r="B189" i="12"/>
  <c r="A190" i="12" a="1"/>
  <c r="P189" i="12" l="1"/>
  <c r="S189" i="12"/>
  <c r="R189" i="12"/>
  <c r="O189" i="12"/>
  <c r="U189" i="12"/>
  <c r="A190" i="12"/>
  <c r="M189" i="12"/>
  <c r="AI189" i="12"/>
  <c r="T189" i="12"/>
  <c r="H189" i="12"/>
  <c r="G189" i="12"/>
  <c r="F189" i="12"/>
  <c r="V189" i="12"/>
  <c r="AU189" i="12"/>
  <c r="Q189" i="12"/>
  <c r="N189" i="12"/>
  <c r="W189" i="12" l="1"/>
  <c r="AO190" i="12"/>
  <c r="B190" i="12"/>
  <c r="Z190" i="12"/>
  <c r="AE190" i="12"/>
  <c r="AT190" i="12"/>
  <c r="AS190" i="12"/>
  <c r="AH190" i="12"/>
  <c r="AC190" i="12"/>
  <c r="AQ190" i="12"/>
  <c r="AL190" i="12"/>
  <c r="D190" i="12"/>
  <c r="AP190" i="12"/>
  <c r="Y190" i="12"/>
  <c r="AD190" i="12"/>
  <c r="C190" i="12"/>
  <c r="AK190" i="12"/>
  <c r="K190" i="12"/>
  <c r="L190" i="12"/>
  <c r="AM190" i="12"/>
  <c r="AB190" i="12"/>
  <c r="AA190" i="12"/>
  <c r="AR190" i="12"/>
  <c r="AG190" i="12"/>
  <c r="AN190" i="12"/>
  <c r="AF190" i="12"/>
  <c r="I190" i="12"/>
  <c r="E190" i="12"/>
  <c r="J190" i="12"/>
  <c r="A191" i="12" a="1"/>
  <c r="S190" i="12" l="1"/>
  <c r="N190" i="12"/>
  <c r="P190" i="12"/>
  <c r="R190" i="12"/>
  <c r="O190" i="12"/>
  <c r="U190" i="12"/>
  <c r="V190" i="12"/>
  <c r="A191" i="12"/>
  <c r="G190" i="12"/>
  <c r="H190" i="12"/>
  <c r="F190" i="12"/>
  <c r="M190" i="12"/>
  <c r="AI190" i="12"/>
  <c r="T190" i="12"/>
  <c r="AU190" i="12"/>
  <c r="Q190" i="12"/>
  <c r="W190" i="12" l="1"/>
  <c r="C191" i="12"/>
  <c r="AO191" i="12"/>
  <c r="AH191" i="12"/>
  <c r="AP191" i="12"/>
  <c r="D191" i="12"/>
  <c r="K191" i="12"/>
  <c r="L191" i="12"/>
  <c r="E191" i="12"/>
  <c r="J191" i="12"/>
  <c r="AF191" i="12"/>
  <c r="AL191" i="12"/>
  <c r="AS191" i="12"/>
  <c r="AB191" i="12"/>
  <c r="AD191" i="12"/>
  <c r="AA191" i="12"/>
  <c r="Y191" i="12"/>
  <c r="AN191" i="12"/>
  <c r="AR191" i="12"/>
  <c r="AE191" i="12"/>
  <c r="AC191" i="12"/>
  <c r="AT191" i="12"/>
  <c r="AM191" i="12"/>
  <c r="I191" i="12"/>
  <c r="B191" i="12"/>
  <c r="AK191" i="12"/>
  <c r="AQ191" i="12"/>
  <c r="AG191" i="12"/>
  <c r="Z191" i="12"/>
  <c r="A192" i="12" a="1"/>
  <c r="N191" i="12" l="1"/>
  <c r="Q191" i="12"/>
  <c r="P191" i="12"/>
  <c r="R191" i="12"/>
  <c r="O191" i="12"/>
  <c r="S191" i="12"/>
  <c r="A192" i="12"/>
  <c r="M191" i="12"/>
  <c r="AI191" i="12"/>
  <c r="G191" i="12"/>
  <c r="H191" i="12"/>
  <c r="F191" i="12"/>
  <c r="U191" i="12"/>
  <c r="V191" i="12"/>
  <c r="T191" i="12"/>
  <c r="AU191" i="12"/>
  <c r="W191" i="12" l="1"/>
  <c r="Z192" i="12"/>
  <c r="Y192" i="12"/>
  <c r="AF192" i="12"/>
  <c r="AD192" i="12"/>
  <c r="AC192" i="12"/>
  <c r="AR192" i="12"/>
  <c r="AS192" i="12"/>
  <c r="J192" i="12"/>
  <c r="AK192" i="12"/>
  <c r="AH192" i="12"/>
  <c r="AN192" i="12"/>
  <c r="AO192" i="12"/>
  <c r="B192" i="12"/>
  <c r="AG192" i="12"/>
  <c r="K192" i="12"/>
  <c r="C192" i="12"/>
  <c r="AP192" i="12"/>
  <c r="AM192" i="12"/>
  <c r="AL192" i="12"/>
  <c r="L192" i="12"/>
  <c r="AB192" i="12"/>
  <c r="D192" i="12"/>
  <c r="AE192" i="12"/>
  <c r="I192" i="12"/>
  <c r="AQ192" i="12"/>
  <c r="AA192" i="12"/>
  <c r="AT192" i="12"/>
  <c r="E192" i="12"/>
  <c r="A193" i="12" a="1"/>
  <c r="S192" i="12" l="1"/>
  <c r="R192" i="12"/>
  <c r="P192" i="12"/>
  <c r="Q192" i="12"/>
  <c r="O192" i="12"/>
  <c r="A193" i="12"/>
  <c r="V192" i="12"/>
  <c r="AU192" i="12"/>
  <c r="N192" i="12"/>
  <c r="U192" i="12"/>
  <c r="G192" i="12"/>
  <c r="H192" i="12"/>
  <c r="F192" i="12"/>
  <c r="T192" i="12"/>
  <c r="AI192" i="12"/>
  <c r="M192" i="12"/>
  <c r="W192" i="12" l="1"/>
  <c r="AB193" i="12"/>
  <c r="AG193" i="12"/>
  <c r="K193" i="12"/>
  <c r="AT193" i="12"/>
  <c r="L193" i="12"/>
  <c r="AP193" i="12"/>
  <c r="AC193" i="12"/>
  <c r="C193" i="12"/>
  <c r="Y193" i="12"/>
  <c r="AE193" i="12"/>
  <c r="AH193" i="12"/>
  <c r="AS193" i="12"/>
  <c r="AF193" i="12"/>
  <c r="AK193" i="12"/>
  <c r="J193" i="12"/>
  <c r="Z193" i="12"/>
  <c r="B193" i="12"/>
  <c r="E193" i="12"/>
  <c r="AR193" i="12"/>
  <c r="I193" i="12"/>
  <c r="AO193" i="12"/>
  <c r="AM193" i="12"/>
  <c r="AN193" i="12"/>
  <c r="AQ193" i="12"/>
  <c r="AL193" i="12"/>
  <c r="D193" i="12"/>
  <c r="AA193" i="12"/>
  <c r="AD193" i="12"/>
  <c r="A194" i="12" a="1"/>
  <c r="T193" i="12" l="1"/>
  <c r="S193" i="12"/>
  <c r="Q193" i="12"/>
  <c r="A194" i="12"/>
  <c r="R193" i="12"/>
  <c r="O193" i="12"/>
  <c r="V193" i="12"/>
  <c r="U193" i="12"/>
  <c r="AU193" i="12"/>
  <c r="F193" i="12"/>
  <c r="G193" i="12"/>
  <c r="H193" i="12"/>
  <c r="P193" i="12"/>
  <c r="AI193" i="12"/>
  <c r="M193" i="12"/>
  <c r="N193" i="12"/>
  <c r="W193" i="12" l="1"/>
  <c r="AD194" i="12"/>
  <c r="K194" i="12"/>
  <c r="D194" i="12"/>
  <c r="AM194" i="12"/>
  <c r="AF194" i="12"/>
  <c r="AO194" i="12"/>
  <c r="AH194" i="12"/>
  <c r="L194" i="12"/>
  <c r="B194" i="12"/>
  <c r="AP194" i="12"/>
  <c r="AQ194" i="12"/>
  <c r="E194" i="12"/>
  <c r="AL194" i="12"/>
  <c r="AB194" i="12"/>
  <c r="AG194" i="12"/>
  <c r="AS194" i="12"/>
  <c r="Z194" i="12"/>
  <c r="AN194" i="12"/>
  <c r="Y194" i="12"/>
  <c r="C194" i="12"/>
  <c r="J194" i="12"/>
  <c r="AT194" i="12"/>
  <c r="AC194" i="12"/>
  <c r="I194" i="12"/>
  <c r="AA194" i="12"/>
  <c r="AE194" i="12"/>
  <c r="AK194" i="12"/>
  <c r="AR194" i="12"/>
  <c r="A195" i="12" a="1"/>
  <c r="U194" i="12" l="1"/>
  <c r="T194" i="12"/>
  <c r="Q194" i="12"/>
  <c r="V194" i="12"/>
  <c r="P194" i="12"/>
  <c r="A195" i="12"/>
  <c r="AU194" i="12"/>
  <c r="S194" i="12"/>
  <c r="R194" i="12"/>
  <c r="G194" i="12"/>
  <c r="H194" i="12"/>
  <c r="F194" i="12"/>
  <c r="M194" i="12"/>
  <c r="AI194" i="12"/>
  <c r="O194" i="12"/>
  <c r="N194" i="12"/>
  <c r="W194" i="12" l="1"/>
  <c r="AK195" i="12"/>
  <c r="L195" i="12"/>
  <c r="AH195" i="12"/>
  <c r="AN195" i="12"/>
  <c r="Z195" i="12"/>
  <c r="AG195" i="12"/>
  <c r="Y195" i="12"/>
  <c r="AT195" i="12"/>
  <c r="AR195" i="12"/>
  <c r="AS195" i="12"/>
  <c r="AQ195" i="12"/>
  <c r="AB195" i="12"/>
  <c r="C195" i="12"/>
  <c r="AD195" i="12"/>
  <c r="AO195" i="12"/>
  <c r="AM195" i="12"/>
  <c r="B195" i="12"/>
  <c r="D195" i="12"/>
  <c r="AP195" i="12"/>
  <c r="AE195" i="12"/>
  <c r="K195" i="12"/>
  <c r="AA195" i="12"/>
  <c r="I195" i="12"/>
  <c r="J195" i="12"/>
  <c r="AL195" i="12"/>
  <c r="E195" i="12"/>
  <c r="AF195" i="12"/>
  <c r="AC195" i="12"/>
  <c r="A196" i="12" a="1"/>
  <c r="T195" i="12" l="1"/>
  <c r="P195" i="12"/>
  <c r="U195" i="12"/>
  <c r="S195" i="12"/>
  <c r="R195" i="12"/>
  <c r="A196" i="12"/>
  <c r="M195" i="12"/>
  <c r="AI195" i="12"/>
  <c r="N195" i="12"/>
  <c r="Q195" i="12"/>
  <c r="V195" i="12"/>
  <c r="O195" i="12"/>
  <c r="F195" i="12"/>
  <c r="G195" i="12"/>
  <c r="H195" i="12"/>
  <c r="AU195" i="12"/>
  <c r="W195" i="12" l="1"/>
  <c r="AN196" i="12"/>
  <c r="Z196" i="12"/>
  <c r="AR196" i="12"/>
  <c r="AH196" i="12"/>
  <c r="I196" i="12"/>
  <c r="AK196" i="12"/>
  <c r="AA196" i="12"/>
  <c r="AL196" i="12"/>
  <c r="E196" i="12"/>
  <c r="AF196" i="12"/>
  <c r="AS196" i="12"/>
  <c r="L196" i="12"/>
  <c r="J196" i="12"/>
  <c r="B196" i="12"/>
  <c r="AD196" i="12"/>
  <c r="AP196" i="12"/>
  <c r="AG196" i="12"/>
  <c r="AC196" i="12"/>
  <c r="Y196" i="12"/>
  <c r="AO196" i="12"/>
  <c r="AB196" i="12"/>
  <c r="D196" i="12"/>
  <c r="AQ196" i="12"/>
  <c r="C196" i="12"/>
  <c r="AT196" i="12"/>
  <c r="AM196" i="12"/>
  <c r="AE196" i="12"/>
  <c r="K196" i="12"/>
  <c r="A197" i="12" a="1"/>
  <c r="P196" i="12" l="1"/>
  <c r="R196" i="12"/>
  <c r="V196" i="12"/>
  <c r="AU196" i="12"/>
  <c r="O196" i="12"/>
  <c r="N196" i="12"/>
  <c r="A197" i="12"/>
  <c r="S196" i="12"/>
  <c r="Q196" i="12"/>
  <c r="T196" i="12"/>
  <c r="U196" i="12"/>
  <c r="H196" i="12"/>
  <c r="F196" i="12"/>
  <c r="G196" i="12"/>
  <c r="AI196" i="12"/>
  <c r="M196" i="12"/>
  <c r="W196" i="12" l="1"/>
  <c r="L197" i="12"/>
  <c r="AH197" i="12"/>
  <c r="AM197" i="12"/>
  <c r="J197" i="12"/>
  <c r="AK197" i="12"/>
  <c r="AO197" i="12"/>
  <c r="Y197" i="12"/>
  <c r="E197" i="12"/>
  <c r="AL197" i="12"/>
  <c r="AP197" i="12"/>
  <c r="AS197" i="12"/>
  <c r="AQ197" i="12"/>
  <c r="C197" i="12"/>
  <c r="AT197" i="12"/>
  <c r="AC197" i="12"/>
  <c r="AA197" i="12"/>
  <c r="AF197" i="12"/>
  <c r="AD197" i="12"/>
  <c r="AR197" i="12"/>
  <c r="AN197" i="12"/>
  <c r="K197" i="12"/>
  <c r="I197" i="12"/>
  <c r="AG197" i="12"/>
  <c r="D197" i="12"/>
  <c r="AB197" i="12"/>
  <c r="AE197" i="12"/>
  <c r="B197" i="12"/>
  <c r="Z197" i="12"/>
  <c r="A198" i="12" a="1"/>
  <c r="N197" i="12" l="1"/>
  <c r="U197" i="12"/>
  <c r="Q197" i="12"/>
  <c r="R197" i="12"/>
  <c r="A198" i="12"/>
  <c r="AU197" i="12"/>
  <c r="M197" i="12"/>
  <c r="AI197" i="12"/>
  <c r="S197" i="12"/>
  <c r="V197" i="12"/>
  <c r="P197" i="12"/>
  <c r="T197" i="12"/>
  <c r="O197" i="12"/>
  <c r="H197" i="12"/>
  <c r="F197" i="12"/>
  <c r="G197" i="12"/>
  <c r="W197" i="12" l="1"/>
  <c r="AT198" i="12"/>
  <c r="AE198" i="12"/>
  <c r="AC198" i="12"/>
  <c r="B198" i="12"/>
  <c r="AB198" i="12"/>
  <c r="AA198" i="12"/>
  <c r="AD198" i="12"/>
  <c r="AQ198" i="12"/>
  <c r="C198" i="12"/>
  <c r="K198" i="12"/>
  <c r="Z198" i="12"/>
  <c r="AG198" i="12"/>
  <c r="E198" i="12"/>
  <c r="AK198" i="12"/>
  <c r="J198" i="12"/>
  <c r="D198" i="12"/>
  <c r="AS198" i="12"/>
  <c r="AP198" i="12"/>
  <c r="AO198" i="12"/>
  <c r="AN198" i="12"/>
  <c r="AL198" i="12"/>
  <c r="Y198" i="12"/>
  <c r="AH198" i="12"/>
  <c r="AM198" i="12"/>
  <c r="AR198" i="12"/>
  <c r="AF198" i="12"/>
  <c r="I198" i="12"/>
  <c r="L198" i="12"/>
  <c r="A199" i="12" a="1"/>
  <c r="V198" i="12" l="1"/>
  <c r="U198" i="12"/>
  <c r="S198" i="12"/>
  <c r="T198" i="12"/>
  <c r="O198" i="12"/>
  <c r="R198" i="12"/>
  <c r="P198" i="12"/>
  <c r="AU198" i="12"/>
  <c r="A199" i="12"/>
  <c r="M198" i="12"/>
  <c r="AI198" i="12"/>
  <c r="G198" i="12"/>
  <c r="F198" i="12"/>
  <c r="H198" i="12"/>
  <c r="Q198" i="12"/>
  <c r="N198" i="12"/>
  <c r="W198" i="12" l="1"/>
  <c r="AM199" i="12"/>
  <c r="AP199" i="12"/>
  <c r="AK199" i="12"/>
  <c r="AD199" i="12"/>
  <c r="Y199" i="12"/>
  <c r="AT199" i="12"/>
  <c r="AQ199" i="12"/>
  <c r="C199" i="12"/>
  <c r="L199" i="12"/>
  <c r="D199" i="12"/>
  <c r="E199" i="12"/>
  <c r="AS199" i="12"/>
  <c r="AL199" i="12"/>
  <c r="AR199" i="12"/>
  <c r="AA199" i="12"/>
  <c r="I199" i="12"/>
  <c r="AH199" i="12"/>
  <c r="AE199" i="12"/>
  <c r="K199" i="12"/>
  <c r="B199" i="12"/>
  <c r="AC199" i="12"/>
  <c r="AO199" i="12"/>
  <c r="Z199" i="12"/>
  <c r="AB199" i="12"/>
  <c r="AN199" i="12"/>
  <c r="J199" i="12"/>
  <c r="AG199" i="12"/>
  <c r="AF199" i="12"/>
  <c r="A200" i="12" a="1"/>
  <c r="O199" i="12" l="1"/>
  <c r="R199" i="12"/>
  <c r="N199" i="12"/>
  <c r="A200" i="12"/>
  <c r="Q199" i="12"/>
  <c r="M199" i="12"/>
  <c r="AI199" i="12"/>
  <c r="U199" i="12"/>
  <c r="F199" i="12"/>
  <c r="H199" i="12"/>
  <c r="G199" i="12"/>
  <c r="V199" i="12"/>
  <c r="T199" i="12"/>
  <c r="AU199" i="12"/>
  <c r="S199" i="12"/>
  <c r="P199" i="12"/>
  <c r="W199" i="12" l="1"/>
  <c r="AL200" i="12"/>
  <c r="AK200" i="12"/>
  <c r="I200" i="12"/>
  <c r="AM200" i="12"/>
  <c r="AF200" i="12"/>
  <c r="AR200" i="12"/>
  <c r="AD200" i="12"/>
  <c r="AQ200" i="12"/>
  <c r="AB200" i="12"/>
  <c r="B200" i="12"/>
  <c r="K200" i="12"/>
  <c r="E200" i="12"/>
  <c r="AS200" i="12"/>
  <c r="Y200" i="12"/>
  <c r="AN200" i="12"/>
  <c r="AA200" i="12"/>
  <c r="AP200" i="12"/>
  <c r="Z200" i="12"/>
  <c r="AG200" i="12"/>
  <c r="J200" i="12"/>
  <c r="D200" i="12"/>
  <c r="AT200" i="12"/>
  <c r="AC200" i="12"/>
  <c r="AH200" i="12"/>
  <c r="C200" i="12"/>
  <c r="AE200" i="12"/>
  <c r="L200" i="12"/>
  <c r="AO200" i="12"/>
  <c r="A201" i="12" a="1"/>
  <c r="R200" i="12" l="1"/>
  <c r="S200" i="12"/>
  <c r="N200" i="12"/>
  <c r="Q200" i="12"/>
  <c r="A201" i="12"/>
  <c r="T200" i="12"/>
  <c r="U200" i="12"/>
  <c r="P200" i="12"/>
  <c r="M200" i="12"/>
  <c r="AI200" i="12"/>
  <c r="F200" i="12"/>
  <c r="G200" i="12"/>
  <c r="H200" i="12"/>
  <c r="AU200" i="12"/>
  <c r="V200" i="12"/>
  <c r="O200" i="12"/>
  <c r="W200" i="12" l="1"/>
  <c r="AL201" i="12"/>
  <c r="AT201" i="12"/>
  <c r="Y201" i="12"/>
  <c r="AD201" i="12"/>
  <c r="AB201" i="12"/>
  <c r="AA201" i="12"/>
  <c r="AF201" i="12"/>
  <c r="Z201" i="12"/>
  <c r="K201" i="12"/>
  <c r="AK201" i="12"/>
  <c r="AN201" i="12"/>
  <c r="I201" i="12"/>
  <c r="AS201" i="12"/>
  <c r="AC201" i="12"/>
  <c r="AP201" i="12"/>
  <c r="L201" i="12"/>
  <c r="AR201" i="12"/>
  <c r="E201" i="12"/>
  <c r="AG201" i="12"/>
  <c r="AH201" i="12"/>
  <c r="J201" i="12"/>
  <c r="C201" i="12"/>
  <c r="B201" i="12"/>
  <c r="AO201" i="12"/>
  <c r="D201" i="12"/>
  <c r="AQ201" i="12"/>
  <c r="AM201" i="12"/>
  <c r="AE201" i="12"/>
  <c r="A202" i="12" a="1"/>
  <c r="S201" i="12" l="1"/>
  <c r="V201" i="12"/>
  <c r="T201" i="12"/>
  <c r="O201" i="12"/>
  <c r="N201" i="12"/>
  <c r="P201" i="12"/>
  <c r="A202" i="12"/>
  <c r="AI201" i="12"/>
  <c r="M201" i="12"/>
  <c r="Q201" i="12"/>
  <c r="R201" i="12"/>
  <c r="F201" i="12"/>
  <c r="G201" i="12"/>
  <c r="H201" i="12"/>
  <c r="U201" i="12"/>
  <c r="AU201" i="12"/>
  <c r="W201" i="12" l="1"/>
  <c r="AH202" i="12"/>
  <c r="C202" i="12"/>
  <c r="Z202" i="12"/>
  <c r="AC202" i="12"/>
  <c r="AG202" i="12"/>
  <c r="L202" i="12"/>
  <c r="AT202" i="12"/>
  <c r="AL202" i="12"/>
  <c r="B202" i="12"/>
  <c r="AB202" i="12"/>
  <c r="AA202" i="12"/>
  <c r="AD202" i="12"/>
  <c r="AN202" i="12"/>
  <c r="K202" i="12"/>
  <c r="Y202" i="12"/>
  <c r="AE202" i="12"/>
  <c r="AO202" i="12"/>
  <c r="E202" i="12"/>
  <c r="AK202" i="12"/>
  <c r="AP202" i="12"/>
  <c r="AS202" i="12"/>
  <c r="AF202" i="12"/>
  <c r="I202" i="12"/>
  <c r="D202" i="12"/>
  <c r="AQ202" i="12"/>
  <c r="AM202" i="12"/>
  <c r="AR202" i="12"/>
  <c r="J202" i="12"/>
  <c r="A203" i="12" a="1"/>
  <c r="Q202" i="12" l="1"/>
  <c r="N202" i="12"/>
  <c r="O202" i="12"/>
  <c r="T202" i="12"/>
  <c r="R202" i="12"/>
  <c r="A203" i="12"/>
  <c r="M202" i="12"/>
  <c r="AI202" i="12"/>
  <c r="U202" i="12"/>
  <c r="AU202" i="12"/>
  <c r="G202" i="12"/>
  <c r="F202" i="12"/>
  <c r="H202" i="12"/>
  <c r="P202" i="12"/>
  <c r="V202" i="12"/>
  <c r="S202" i="12"/>
  <c r="W202" i="12" l="1"/>
  <c r="AP203" i="12"/>
  <c r="AE203" i="12"/>
  <c r="J203" i="12"/>
  <c r="K203" i="12"/>
  <c r="E203" i="12"/>
  <c r="AL203" i="12"/>
  <c r="AD203" i="12"/>
  <c r="AS203" i="12"/>
  <c r="AH203" i="12"/>
  <c r="AA203" i="12"/>
  <c r="Y203" i="12"/>
  <c r="C203" i="12"/>
  <c r="I203" i="12"/>
  <c r="AC203" i="12"/>
  <c r="AQ203" i="12"/>
  <c r="AF203" i="12"/>
  <c r="AM203" i="12"/>
  <c r="D203" i="12"/>
  <c r="AB203" i="12"/>
  <c r="AG203" i="12"/>
  <c r="L203" i="12"/>
  <c r="B203" i="12"/>
  <c r="AT203" i="12"/>
  <c r="Z203" i="12"/>
  <c r="AR203" i="12"/>
  <c r="AN203" i="12"/>
  <c r="AO203" i="12"/>
  <c r="AK203" i="12"/>
  <c r="A204" i="12" a="1"/>
  <c r="P203" i="12" l="1"/>
  <c r="R203" i="12"/>
  <c r="U203" i="12"/>
  <c r="O203" i="12"/>
  <c r="Q203" i="12"/>
  <c r="A204" i="12"/>
  <c r="H203" i="12"/>
  <c r="G203" i="12"/>
  <c r="F203" i="12"/>
  <c r="AU203" i="12"/>
  <c r="M203" i="12"/>
  <c r="AI203" i="12"/>
  <c r="S203" i="12"/>
  <c r="V203" i="12"/>
  <c r="N203" i="12"/>
  <c r="T203" i="12"/>
  <c r="W203" i="12" l="1"/>
  <c r="I204" i="12"/>
  <c r="AO204" i="12"/>
  <c r="AE204" i="12"/>
  <c r="J204" i="12"/>
  <c r="AQ204" i="12"/>
  <c r="K204" i="12"/>
  <c r="C204" i="12"/>
  <c r="AF204" i="12"/>
  <c r="L204" i="12"/>
  <c r="AR204" i="12"/>
  <c r="AP204" i="12"/>
  <c r="AS204" i="12"/>
  <c r="AA204" i="12"/>
  <c r="AM204" i="12"/>
  <c r="B204" i="12"/>
  <c r="AC204" i="12"/>
  <c r="AG204" i="12"/>
  <c r="AH204" i="12"/>
  <c r="AL204" i="12"/>
  <c r="AK204" i="12"/>
  <c r="AD204" i="12"/>
  <c r="D204" i="12"/>
  <c r="AB204" i="12"/>
  <c r="E204" i="12"/>
  <c r="AN204" i="12"/>
  <c r="AT204" i="12"/>
  <c r="Y204" i="12"/>
  <c r="Z204" i="12"/>
  <c r="A205" i="12" a="1"/>
  <c r="N204" i="12" l="1"/>
  <c r="P204" i="12"/>
  <c r="R204" i="12"/>
  <c r="Q204" i="12"/>
  <c r="T204" i="12"/>
  <c r="V204" i="12"/>
  <c r="A205" i="12"/>
  <c r="H204" i="12"/>
  <c r="G204" i="12"/>
  <c r="F204" i="12"/>
  <c r="O204" i="12"/>
  <c r="AU204" i="12"/>
  <c r="AI204" i="12"/>
  <c r="M204" i="12"/>
  <c r="S204" i="12"/>
  <c r="U204" i="12"/>
  <c r="W204" i="12" l="1"/>
  <c r="AE205" i="12"/>
  <c r="AL205" i="12"/>
  <c r="AF205" i="12"/>
  <c r="AH205" i="12"/>
  <c r="AS205" i="12"/>
  <c r="D205" i="12"/>
  <c r="L205" i="12"/>
  <c r="E205" i="12"/>
  <c r="AQ205" i="12"/>
  <c r="AP205" i="12"/>
  <c r="AG205" i="12"/>
  <c r="J205" i="12"/>
  <c r="AK205" i="12"/>
  <c r="AR205" i="12"/>
  <c r="Y205" i="12"/>
  <c r="K205" i="12"/>
  <c r="C205" i="12"/>
  <c r="I205" i="12"/>
  <c r="AB205" i="12"/>
  <c r="AN205" i="12"/>
  <c r="AC205" i="12"/>
  <c r="AA205" i="12"/>
  <c r="AT205" i="12"/>
  <c r="AO205" i="12"/>
  <c r="B205" i="12"/>
  <c r="Z205" i="12"/>
  <c r="AM205" i="12"/>
  <c r="AD205" i="12"/>
  <c r="A206" i="12" a="1"/>
  <c r="R205" i="12" l="1"/>
  <c r="N205" i="12"/>
  <c r="O205" i="12"/>
  <c r="A206" i="12"/>
  <c r="G205" i="12"/>
  <c r="F205" i="12"/>
  <c r="H205" i="12"/>
  <c r="Q205" i="12"/>
  <c r="AI205" i="12"/>
  <c r="M205" i="12"/>
  <c r="AU205" i="12"/>
  <c r="V205" i="12"/>
  <c r="P205" i="12"/>
  <c r="U205" i="12"/>
  <c r="T205" i="12"/>
  <c r="S205" i="12"/>
  <c r="W205" i="12" l="1"/>
  <c r="J206" i="12"/>
  <c r="K206" i="12"/>
  <c r="AM206" i="12"/>
  <c r="AE206" i="12"/>
  <c r="AG206" i="12"/>
  <c r="Y206" i="12"/>
  <c r="AQ206" i="12"/>
  <c r="AT206" i="12"/>
  <c r="AL206" i="12"/>
  <c r="C206" i="12"/>
  <c r="AP206" i="12"/>
  <c r="L206" i="12"/>
  <c r="Z206" i="12"/>
  <c r="AO206" i="12"/>
  <c r="E206" i="12"/>
  <c r="AF206" i="12"/>
  <c r="AH206" i="12"/>
  <c r="AD206" i="12"/>
  <c r="B206" i="12"/>
  <c r="D206" i="12"/>
  <c r="AB206" i="12"/>
  <c r="I206" i="12"/>
  <c r="AK206" i="12"/>
  <c r="AN206" i="12"/>
  <c r="AA206" i="12"/>
  <c r="AC206" i="12"/>
  <c r="AS206" i="12"/>
  <c r="AR206" i="12"/>
  <c r="A207" i="12" a="1"/>
  <c r="N206" i="12" l="1"/>
  <c r="U206" i="12"/>
  <c r="T206" i="12"/>
  <c r="A207" i="12"/>
  <c r="G206" i="12"/>
  <c r="F206" i="12"/>
  <c r="H206" i="12"/>
  <c r="M206" i="12"/>
  <c r="AI206" i="12"/>
  <c r="S206" i="12"/>
  <c r="R206" i="12"/>
  <c r="AU206" i="12"/>
  <c r="P206" i="12"/>
  <c r="Q206" i="12"/>
  <c r="O206" i="12"/>
  <c r="V206" i="12"/>
  <c r="W206" i="12" l="1"/>
  <c r="AF207" i="12"/>
  <c r="AO207" i="12"/>
  <c r="AH207" i="12"/>
  <c r="AR207" i="12"/>
  <c r="C207" i="12"/>
  <c r="AC207" i="12"/>
  <c r="E207" i="12"/>
  <c r="AP207" i="12"/>
  <c r="Y207" i="12"/>
  <c r="AQ207" i="12"/>
  <c r="D207" i="12"/>
  <c r="AS207" i="12"/>
  <c r="K207" i="12"/>
  <c r="AE207" i="12"/>
  <c r="AG207" i="12"/>
  <c r="J207" i="12"/>
  <c r="B207" i="12"/>
  <c r="AN207" i="12"/>
  <c r="L207" i="12"/>
  <c r="AD207" i="12"/>
  <c r="Z207" i="12"/>
  <c r="AA207" i="12"/>
  <c r="AM207" i="12"/>
  <c r="AL207" i="12"/>
  <c r="AK207" i="12"/>
  <c r="AB207" i="12"/>
  <c r="I207" i="12"/>
  <c r="AT207" i="12"/>
  <c r="A208" i="12" a="1"/>
  <c r="S207" i="12" l="1"/>
  <c r="R207" i="12"/>
  <c r="Q207" i="12"/>
  <c r="N207" i="12"/>
  <c r="P207" i="12"/>
  <c r="U207" i="12"/>
  <c r="A208" i="12"/>
  <c r="O207" i="12"/>
  <c r="V207" i="12"/>
  <c r="H207" i="12"/>
  <c r="G207" i="12"/>
  <c r="F207" i="12"/>
  <c r="AU207" i="12"/>
  <c r="AI207" i="12"/>
  <c r="M207" i="12"/>
  <c r="T207" i="12"/>
  <c r="W207" i="12" l="1"/>
  <c r="J208" i="12"/>
  <c r="B208" i="12"/>
  <c r="AM208" i="12"/>
  <c r="AR208" i="12"/>
  <c r="AQ208" i="12"/>
  <c r="AK208" i="12"/>
  <c r="AF208" i="12"/>
  <c r="AE208" i="12"/>
  <c r="AB208" i="12"/>
  <c r="AH208" i="12"/>
  <c r="AG208" i="12"/>
  <c r="L208" i="12"/>
  <c r="AL208" i="12"/>
  <c r="AP208" i="12"/>
  <c r="I208" i="12"/>
  <c r="AN208" i="12"/>
  <c r="AC208" i="12"/>
  <c r="AS208" i="12"/>
  <c r="C208" i="12"/>
  <c r="E208" i="12"/>
  <c r="K208" i="12"/>
  <c r="Y208" i="12"/>
  <c r="AD208" i="12"/>
  <c r="AO208" i="12"/>
  <c r="D208" i="12"/>
  <c r="Z208" i="12"/>
  <c r="AA208" i="12"/>
  <c r="AT208" i="12"/>
  <c r="A209" i="12" a="1"/>
  <c r="O208" i="12" l="1"/>
  <c r="U208" i="12"/>
  <c r="R208" i="12"/>
  <c r="T208" i="12"/>
  <c r="AU208" i="12"/>
  <c r="Q208" i="12"/>
  <c r="P208" i="12"/>
  <c r="A209" i="12"/>
  <c r="AI208" i="12"/>
  <c r="M208" i="12"/>
  <c r="N208" i="12"/>
  <c r="F208" i="12"/>
  <c r="G208" i="12"/>
  <c r="H208" i="12"/>
  <c r="V208" i="12"/>
  <c r="S208" i="12"/>
  <c r="W208" i="12" l="1"/>
  <c r="AD209" i="12"/>
  <c r="AF209" i="12"/>
  <c r="E209" i="12"/>
  <c r="AC209" i="12"/>
  <c r="AP209" i="12"/>
  <c r="K209" i="12"/>
  <c r="AG209" i="12"/>
  <c r="AM209" i="12"/>
  <c r="AT209" i="12"/>
  <c r="B209" i="12"/>
  <c r="AE209" i="12"/>
  <c r="AK209" i="12"/>
  <c r="AN209" i="12"/>
  <c r="J209" i="12"/>
  <c r="D209" i="12"/>
  <c r="L209" i="12"/>
  <c r="AB209" i="12"/>
  <c r="AA209" i="12"/>
  <c r="AO209" i="12"/>
  <c r="Y209" i="12"/>
  <c r="C209" i="12"/>
  <c r="AS209" i="12"/>
  <c r="I209" i="12"/>
  <c r="AR209" i="12"/>
  <c r="AL209" i="12"/>
  <c r="Z209" i="12"/>
  <c r="AQ209" i="12"/>
  <c r="AH209" i="12"/>
  <c r="A210" i="12" a="1"/>
  <c r="V209" i="12" l="1"/>
  <c r="Q209" i="12"/>
  <c r="U209" i="12"/>
  <c r="N209" i="12"/>
  <c r="O209" i="12"/>
  <c r="T209" i="12"/>
  <c r="A210" i="12"/>
  <c r="M209" i="12"/>
  <c r="AI209" i="12"/>
  <c r="AU209" i="12"/>
  <c r="S209" i="12"/>
  <c r="G209" i="12"/>
  <c r="H209" i="12"/>
  <c r="F209" i="12"/>
  <c r="P209" i="12"/>
  <c r="R209" i="12"/>
  <c r="W209" i="12" l="1"/>
  <c r="AK210" i="12"/>
  <c r="Z210" i="12"/>
  <c r="AL210" i="12"/>
  <c r="D210" i="12"/>
  <c r="AN210" i="12"/>
  <c r="B210" i="12"/>
  <c r="AO210" i="12"/>
  <c r="AG210" i="12"/>
  <c r="AM210" i="12"/>
  <c r="AE210" i="12"/>
  <c r="AD210" i="12"/>
  <c r="AQ210" i="12"/>
  <c r="AA210" i="12"/>
  <c r="AB210" i="12"/>
  <c r="AP210" i="12"/>
  <c r="L210" i="12"/>
  <c r="E210" i="12"/>
  <c r="AS210" i="12"/>
  <c r="C210" i="12"/>
  <c r="Y210" i="12"/>
  <c r="I210" i="12"/>
  <c r="K210" i="12"/>
  <c r="AC210" i="12"/>
  <c r="AH210" i="12"/>
  <c r="AT210" i="12"/>
  <c r="AR210" i="12"/>
  <c r="J210" i="12"/>
  <c r="AF210" i="12"/>
  <c r="A211" i="12" a="1"/>
  <c r="O210" i="12" l="1"/>
  <c r="T210" i="12"/>
  <c r="Q210" i="12"/>
  <c r="P210" i="12"/>
  <c r="V210" i="12"/>
  <c r="U210" i="12"/>
  <c r="A211" i="12"/>
  <c r="M210" i="12"/>
  <c r="AI210" i="12"/>
  <c r="R210" i="12"/>
  <c r="S210" i="12"/>
  <c r="N210" i="12"/>
  <c r="G210" i="12"/>
  <c r="F210" i="12"/>
  <c r="H210" i="12"/>
  <c r="AU210" i="12"/>
  <c r="W210" i="12" l="1"/>
  <c r="AT211" i="12"/>
  <c r="AG211" i="12"/>
  <c r="AF211" i="12"/>
  <c r="AA211" i="12"/>
  <c r="J211" i="12"/>
  <c r="AQ211" i="12"/>
  <c r="C211" i="12"/>
  <c r="AE211" i="12"/>
  <c r="AN211" i="12"/>
  <c r="AO211" i="12"/>
  <c r="AK211" i="12"/>
  <c r="B211" i="12"/>
  <c r="AD211" i="12"/>
  <c r="AL211" i="12"/>
  <c r="AS211" i="12"/>
  <c r="L211" i="12"/>
  <c r="D211" i="12"/>
  <c r="AM211" i="12"/>
  <c r="Z211" i="12"/>
  <c r="K211" i="12"/>
  <c r="AB211" i="12"/>
  <c r="AR211" i="12"/>
  <c r="AC211" i="12"/>
  <c r="Y211" i="12"/>
  <c r="AP211" i="12"/>
  <c r="E211" i="12"/>
  <c r="I211" i="12"/>
  <c r="AH211" i="12"/>
  <c r="A212" i="12" a="1"/>
  <c r="V211" i="12" l="1"/>
  <c r="Q211" i="12"/>
  <c r="P211" i="12"/>
  <c r="R211" i="12"/>
  <c r="O211" i="12"/>
  <c r="A212" i="12"/>
  <c r="N211" i="12"/>
  <c r="G211" i="12"/>
  <c r="H211" i="12"/>
  <c r="F211" i="12"/>
  <c r="U211" i="12"/>
  <c r="AU211" i="12"/>
  <c r="T211" i="12"/>
  <c r="AI211" i="12"/>
  <c r="M211" i="12"/>
  <c r="S211" i="12"/>
  <c r="W211" i="12" l="1"/>
  <c r="AF212" i="12"/>
  <c r="AM212" i="12"/>
  <c r="AQ212" i="12"/>
  <c r="AK212" i="12"/>
  <c r="AR212" i="12"/>
  <c r="AT212" i="12"/>
  <c r="E212" i="12"/>
  <c r="L212" i="12"/>
  <c r="AH212" i="12"/>
  <c r="I212" i="12"/>
  <c r="D212" i="12"/>
  <c r="AS212" i="12"/>
  <c r="Z212" i="12"/>
  <c r="B212" i="12"/>
  <c r="C212" i="12"/>
  <c r="AE212" i="12"/>
  <c r="AO212" i="12"/>
  <c r="AD212" i="12"/>
  <c r="AP212" i="12"/>
  <c r="AL212" i="12"/>
  <c r="J212" i="12"/>
  <c r="Y212" i="12"/>
  <c r="AG212" i="12"/>
  <c r="AB212" i="12"/>
  <c r="AA212" i="12"/>
  <c r="AN212" i="12"/>
  <c r="K212" i="12"/>
  <c r="AC212" i="12"/>
  <c r="A213" i="12" a="1"/>
  <c r="Q212" i="12" l="1"/>
  <c r="N212" i="12"/>
  <c r="U212" i="12"/>
  <c r="A213" i="12"/>
  <c r="H212" i="12"/>
  <c r="F212" i="12"/>
  <c r="G212" i="12"/>
  <c r="AI212" i="12"/>
  <c r="M212" i="12"/>
  <c r="AU212" i="12"/>
  <c r="R212" i="12"/>
  <c r="O212" i="12"/>
  <c r="V212" i="12"/>
  <c r="T212" i="12"/>
  <c r="P212" i="12"/>
  <c r="S212" i="12"/>
  <c r="W212" i="12" l="1"/>
  <c r="AK213" i="12"/>
  <c r="B213" i="12"/>
  <c r="AQ213" i="12"/>
  <c r="Z213" i="12"/>
  <c r="D213" i="12"/>
  <c r="K213" i="12"/>
  <c r="AR213" i="12"/>
  <c r="AO213" i="12"/>
  <c r="AL213" i="12"/>
  <c r="Y213" i="12"/>
  <c r="AT213" i="12"/>
  <c r="AH213" i="12"/>
  <c r="AF213" i="12"/>
  <c r="AP213" i="12"/>
  <c r="AC213" i="12"/>
  <c r="J213" i="12"/>
  <c r="AM213" i="12"/>
  <c r="AN213" i="12"/>
  <c r="AS213" i="12"/>
  <c r="AG213" i="12"/>
  <c r="I213" i="12"/>
  <c r="AD213" i="12"/>
  <c r="E213" i="12"/>
  <c r="AE213" i="12"/>
  <c r="L213" i="12"/>
  <c r="AB213" i="12"/>
  <c r="AA213" i="12"/>
  <c r="C213" i="12"/>
  <c r="A214" i="12" a="1"/>
  <c r="Q213" i="12" l="1"/>
  <c r="N213" i="12"/>
  <c r="O213" i="12"/>
  <c r="R213" i="12"/>
  <c r="P213" i="12"/>
  <c r="U213" i="12"/>
  <c r="V213" i="12"/>
  <c r="A214" i="12"/>
  <c r="G213" i="12"/>
  <c r="F213" i="12"/>
  <c r="H213" i="12"/>
  <c r="T213" i="12"/>
  <c r="AI213" i="12"/>
  <c r="M213" i="12"/>
  <c r="AU213" i="12"/>
  <c r="S213" i="12"/>
  <c r="W213" i="12" l="1"/>
  <c r="AR214" i="12"/>
  <c r="AG214" i="12"/>
  <c r="B214" i="12"/>
  <c r="D214" i="12"/>
  <c r="AE214" i="12"/>
  <c r="AK214" i="12"/>
  <c r="AL214" i="12"/>
  <c r="L214" i="12"/>
  <c r="AF214" i="12"/>
  <c r="AH214" i="12"/>
  <c r="I214" i="12"/>
  <c r="AN214" i="12"/>
  <c r="Y214" i="12"/>
  <c r="AS214" i="12"/>
  <c r="AQ214" i="12"/>
  <c r="AB214" i="12"/>
  <c r="AD214" i="12"/>
  <c r="C214" i="12"/>
  <c r="E214" i="12"/>
  <c r="AT214" i="12"/>
  <c r="J214" i="12"/>
  <c r="K214" i="12"/>
  <c r="AC214" i="12"/>
  <c r="AM214" i="12"/>
  <c r="Z214" i="12"/>
  <c r="AA214" i="12"/>
  <c r="AP214" i="12"/>
  <c r="AO214" i="12"/>
  <c r="A215" i="12" a="1"/>
  <c r="T214" i="12" l="1"/>
  <c r="P214" i="12"/>
  <c r="Q214" i="12"/>
  <c r="A215" i="12"/>
  <c r="M214" i="12"/>
  <c r="AI214" i="12"/>
  <c r="H214" i="12"/>
  <c r="G214" i="12"/>
  <c r="F214" i="12"/>
  <c r="AU214" i="12"/>
  <c r="S214" i="12"/>
  <c r="O214" i="12"/>
  <c r="U214" i="12"/>
  <c r="V214" i="12"/>
  <c r="N214" i="12"/>
  <c r="R214" i="12"/>
  <c r="W214" i="12" l="1"/>
  <c r="D215" i="12"/>
  <c r="AM215" i="12"/>
  <c r="K215" i="12"/>
  <c r="AA215" i="12"/>
  <c r="AC215" i="12"/>
  <c r="I215" i="12"/>
  <c r="AG215" i="12"/>
  <c r="E215" i="12"/>
  <c r="AR215" i="12"/>
  <c r="C215" i="12"/>
  <c r="AB215" i="12"/>
  <c r="Z215" i="12"/>
  <c r="B215" i="12"/>
  <c r="AN215" i="12"/>
  <c r="AL215" i="12"/>
  <c r="J215" i="12"/>
  <c r="AK215" i="12"/>
  <c r="AS215" i="12"/>
  <c r="AT215" i="12"/>
  <c r="AP215" i="12"/>
  <c r="L215" i="12"/>
  <c r="Y215" i="12"/>
  <c r="AQ215" i="12"/>
  <c r="AO215" i="12"/>
  <c r="AH215" i="12"/>
  <c r="AD215" i="12"/>
  <c r="AF215" i="12"/>
  <c r="AE215" i="12"/>
  <c r="A216" i="12" a="1"/>
  <c r="Q215" i="12" l="1"/>
  <c r="T215" i="12"/>
  <c r="O215" i="12"/>
  <c r="U215" i="12"/>
  <c r="A216" i="12"/>
  <c r="N215" i="12"/>
  <c r="R215" i="12"/>
  <c r="AU215" i="12"/>
  <c r="M215" i="12"/>
  <c r="AI215" i="12"/>
  <c r="S215" i="12"/>
  <c r="P215" i="12"/>
  <c r="V215" i="12"/>
  <c r="G215" i="12"/>
  <c r="F215" i="12"/>
  <c r="H215" i="12"/>
  <c r="W215" i="12" l="1"/>
  <c r="AC216" i="12"/>
  <c r="D216" i="12"/>
  <c r="AM216" i="12"/>
  <c r="AD216" i="12"/>
  <c r="E216" i="12"/>
  <c r="AH216" i="12"/>
  <c r="AR216" i="12"/>
  <c r="AT216" i="12"/>
  <c r="AP216" i="12"/>
  <c r="B216" i="12"/>
  <c r="AO216" i="12"/>
  <c r="AF216" i="12"/>
  <c r="Y216" i="12"/>
  <c r="AS216" i="12"/>
  <c r="AB216" i="12"/>
  <c r="AL216" i="12"/>
  <c r="J216" i="12"/>
  <c r="C216" i="12"/>
  <c r="AA216" i="12"/>
  <c r="AK216" i="12"/>
  <c r="K216" i="12"/>
  <c r="AQ216" i="12"/>
  <c r="AE216" i="12"/>
  <c r="AG216" i="12"/>
  <c r="L216" i="12"/>
  <c r="Z216" i="12"/>
  <c r="I216" i="12"/>
  <c r="AN216" i="12"/>
  <c r="A217" i="12" a="1"/>
  <c r="R216" i="12" l="1"/>
  <c r="V216" i="12"/>
  <c r="N216" i="12"/>
  <c r="O216" i="12"/>
  <c r="S216" i="12"/>
  <c r="P216" i="12"/>
  <c r="A217" i="12"/>
  <c r="F216" i="12"/>
  <c r="H216" i="12"/>
  <c r="G216" i="12"/>
  <c r="T216" i="12"/>
  <c r="M216" i="12"/>
  <c r="AI216" i="12"/>
  <c r="AU216" i="12"/>
  <c r="Q216" i="12"/>
  <c r="U216" i="12"/>
  <c r="W216" i="12" l="1"/>
  <c r="AK217" i="12"/>
  <c r="D217" i="12"/>
  <c r="AH217" i="12"/>
  <c r="AD217" i="12"/>
  <c r="L217" i="12"/>
  <c r="AB217" i="12"/>
  <c r="E217" i="12"/>
  <c r="AF217" i="12"/>
  <c r="AM217" i="12"/>
  <c r="AA217" i="12"/>
  <c r="AR217" i="12"/>
  <c r="AL217" i="12"/>
  <c r="Y217" i="12"/>
  <c r="AE217" i="12"/>
  <c r="AQ217" i="12"/>
  <c r="I217" i="12"/>
  <c r="AT217" i="12"/>
  <c r="AG217" i="12"/>
  <c r="B217" i="12"/>
  <c r="AO217" i="12"/>
  <c r="AP217" i="12"/>
  <c r="AC217" i="12"/>
  <c r="C217" i="12"/>
  <c r="Z217" i="12"/>
  <c r="J217" i="12"/>
  <c r="AS217" i="12"/>
  <c r="AN217" i="12"/>
  <c r="K217" i="12"/>
  <c r="A218" i="12" a="1"/>
  <c r="N217" i="12" l="1"/>
  <c r="Q217" i="12"/>
  <c r="P217" i="12"/>
  <c r="T217" i="12"/>
  <c r="V217" i="12"/>
  <c r="O217" i="12"/>
  <c r="A218" i="12"/>
  <c r="F217" i="12"/>
  <c r="H217" i="12"/>
  <c r="G217" i="12"/>
  <c r="S217" i="12"/>
  <c r="M217" i="12"/>
  <c r="AI217" i="12"/>
  <c r="R217" i="12"/>
  <c r="U217" i="12"/>
  <c r="AU217" i="12"/>
  <c r="W217" i="12" l="1"/>
  <c r="I218" i="12"/>
  <c r="AT218" i="12"/>
  <c r="Z218" i="12"/>
  <c r="AO218" i="12"/>
  <c r="AS218" i="12"/>
  <c r="AN218" i="12"/>
  <c r="AK218" i="12"/>
  <c r="B218" i="12"/>
  <c r="AC218" i="12"/>
  <c r="AH218" i="12"/>
  <c r="AR218" i="12"/>
  <c r="AF218" i="12"/>
  <c r="AP218" i="12"/>
  <c r="AE218" i="12"/>
  <c r="D218" i="12"/>
  <c r="AM218" i="12"/>
  <c r="C218" i="12"/>
  <c r="AD218" i="12"/>
  <c r="E218" i="12"/>
  <c r="AB218" i="12"/>
  <c r="AG218" i="12"/>
  <c r="Y218" i="12"/>
  <c r="J218" i="12"/>
  <c r="AL218" i="12"/>
  <c r="L218" i="12"/>
  <c r="K218" i="12"/>
  <c r="AQ218" i="12"/>
  <c r="AA218" i="12"/>
  <c r="A219" i="12" a="1"/>
  <c r="V218" i="12" l="1"/>
  <c r="T218" i="12"/>
  <c r="S218" i="12"/>
  <c r="U218" i="12"/>
  <c r="A219" i="12"/>
  <c r="M218" i="12"/>
  <c r="AI218" i="12"/>
  <c r="P218" i="12"/>
  <c r="G218" i="12"/>
  <c r="F218" i="12"/>
  <c r="H218" i="12"/>
  <c r="N218" i="12"/>
  <c r="R218" i="12"/>
  <c r="AU218" i="12"/>
  <c r="O218" i="12"/>
  <c r="Q218" i="12"/>
  <c r="W218" i="12" l="1"/>
  <c r="K219" i="12"/>
  <c r="AK219" i="12"/>
  <c r="AE219" i="12"/>
  <c r="AO219" i="12"/>
  <c r="I219" i="12"/>
  <c r="AN219" i="12"/>
  <c r="AR219" i="12"/>
  <c r="D219" i="12"/>
  <c r="AA219" i="12"/>
  <c r="AQ219" i="12"/>
  <c r="E219" i="12"/>
  <c r="L219" i="12"/>
  <c r="AG219" i="12"/>
  <c r="AM219" i="12"/>
  <c r="AD219" i="12"/>
  <c r="B219" i="12"/>
  <c r="AH219" i="12"/>
  <c r="AT219" i="12"/>
  <c r="AS219" i="12"/>
  <c r="AC219" i="12"/>
  <c r="AF219" i="12"/>
  <c r="AP219" i="12"/>
  <c r="Z219" i="12"/>
  <c r="AB219" i="12"/>
  <c r="Y219" i="12"/>
  <c r="C219" i="12"/>
  <c r="AL219" i="12"/>
  <c r="J219" i="12"/>
  <c r="A220" i="12" a="1"/>
  <c r="Q219" i="12" l="1"/>
  <c r="U219" i="12"/>
  <c r="N219" i="12"/>
  <c r="R219" i="12"/>
  <c r="S219" i="12"/>
  <c r="P219" i="12"/>
  <c r="A220" i="12"/>
  <c r="T219" i="12"/>
  <c r="AU219" i="12"/>
  <c r="F219" i="12"/>
  <c r="H219" i="12"/>
  <c r="G219" i="12"/>
  <c r="AI219" i="12"/>
  <c r="M219" i="12"/>
  <c r="V219" i="12"/>
  <c r="O219" i="12"/>
  <c r="W219" i="12" l="1"/>
  <c r="AE220" i="12"/>
  <c r="E220" i="12"/>
  <c r="AG220" i="12"/>
  <c r="AK220" i="12"/>
  <c r="AP220" i="12"/>
  <c r="B220" i="12"/>
  <c r="AC220" i="12"/>
  <c r="K220" i="12"/>
  <c r="AD220" i="12"/>
  <c r="D220" i="12"/>
  <c r="AL220" i="12"/>
  <c r="AT220" i="12"/>
  <c r="J220" i="12"/>
  <c r="AS220" i="12"/>
  <c r="AN220" i="12"/>
  <c r="AF220" i="12"/>
  <c r="AO220" i="12"/>
  <c r="C220" i="12"/>
  <c r="AB220" i="12"/>
  <c r="AA220" i="12"/>
  <c r="Z220" i="12"/>
  <c r="Y220" i="12"/>
  <c r="I220" i="12"/>
  <c r="AR220" i="12"/>
  <c r="AM220" i="12"/>
  <c r="AH220" i="12"/>
  <c r="L220" i="12"/>
  <c r="AQ220" i="12"/>
  <c r="A221" i="12" a="1"/>
  <c r="Q220" i="12" l="1"/>
  <c r="N220" i="12"/>
  <c r="O220" i="12"/>
  <c r="A221" i="12"/>
  <c r="U220" i="12"/>
  <c r="H220" i="12"/>
  <c r="G220" i="12"/>
  <c r="F220" i="12"/>
  <c r="T220" i="12"/>
  <c r="M220" i="12"/>
  <c r="AI220" i="12"/>
  <c r="AU220" i="12"/>
  <c r="P220" i="12"/>
  <c r="V220" i="12"/>
  <c r="R220" i="12"/>
  <c r="S220" i="12"/>
  <c r="W220" i="12" l="1"/>
  <c r="AA221" i="12"/>
  <c r="L221" i="12"/>
  <c r="AF221" i="12"/>
  <c r="C221" i="12"/>
  <c r="AQ221" i="12"/>
  <c r="Y221" i="12"/>
  <c r="AP221" i="12"/>
  <c r="AL221" i="12"/>
  <c r="AG221" i="12"/>
  <c r="J221" i="12"/>
  <c r="AD221" i="12"/>
  <c r="AT221" i="12"/>
  <c r="AR221" i="12"/>
  <c r="K221" i="12"/>
  <c r="AO221" i="12"/>
  <c r="I221" i="12"/>
  <c r="B221" i="12"/>
  <c r="AS221" i="12"/>
  <c r="AM221" i="12"/>
  <c r="E221" i="12"/>
  <c r="AK221" i="12"/>
  <c r="AC221" i="12"/>
  <c r="AE221" i="12"/>
  <c r="AN221" i="12"/>
  <c r="AH221" i="12"/>
  <c r="AB221" i="12"/>
  <c r="D221" i="12"/>
  <c r="Z221" i="12"/>
  <c r="A222" i="12" a="1"/>
  <c r="S221" i="12" l="1"/>
  <c r="V221" i="12"/>
  <c r="A222" i="12"/>
  <c r="Q221" i="12"/>
  <c r="AU221" i="12"/>
  <c r="M221" i="12"/>
  <c r="AI221" i="12"/>
  <c r="N221" i="12"/>
  <c r="G221" i="12"/>
  <c r="H221" i="12"/>
  <c r="F221" i="12"/>
  <c r="R221" i="12"/>
  <c r="T221" i="12"/>
  <c r="P221" i="12"/>
  <c r="U221" i="12"/>
  <c r="O221" i="12"/>
  <c r="W221" i="12" l="1"/>
  <c r="B222" i="12"/>
  <c r="K222" i="12"/>
  <c r="AB222" i="12"/>
  <c r="AP222" i="12"/>
  <c r="AM222" i="12"/>
  <c r="C222" i="12"/>
  <c r="AA222" i="12"/>
  <c r="AQ222" i="12"/>
  <c r="AF222" i="12"/>
  <c r="AH222" i="12"/>
  <c r="I222" i="12"/>
  <c r="L222" i="12"/>
  <c r="J222" i="12"/>
  <c r="AD222" i="12"/>
  <c r="AT222" i="12"/>
  <c r="AK222" i="12"/>
  <c r="AS222" i="12"/>
  <c r="AR222" i="12"/>
  <c r="AC222" i="12"/>
  <c r="AE222" i="12"/>
  <c r="Y222" i="12"/>
  <c r="AO222" i="12"/>
  <c r="AG222" i="12"/>
  <c r="AL222" i="12"/>
  <c r="AN222" i="12"/>
  <c r="D222" i="12"/>
  <c r="E222" i="12"/>
  <c r="Z222" i="12"/>
  <c r="A223" i="12" a="1"/>
  <c r="U222" i="12" l="1"/>
  <c r="S222" i="12"/>
  <c r="N222" i="12"/>
  <c r="P222" i="12"/>
  <c r="R222" i="12"/>
  <c r="O222" i="12"/>
  <c r="A223" i="12"/>
  <c r="M222" i="12"/>
  <c r="AI222" i="12"/>
  <c r="F222" i="12"/>
  <c r="H222" i="12"/>
  <c r="G222" i="12"/>
  <c r="Q222" i="12"/>
  <c r="V222" i="12"/>
  <c r="T222" i="12"/>
  <c r="AU222" i="12"/>
  <c r="W222" i="12" l="1"/>
  <c r="AS223" i="12"/>
  <c r="AQ223" i="12"/>
  <c r="AF223" i="12"/>
  <c r="I223" i="12"/>
  <c r="C223" i="12"/>
  <c r="AM223" i="12"/>
  <c r="AK223" i="12"/>
  <c r="E223" i="12"/>
  <c r="D223" i="12"/>
  <c r="AC223" i="12"/>
  <c r="Z223" i="12"/>
  <c r="AN223" i="12"/>
  <c r="B223" i="12"/>
  <c r="AH223" i="12"/>
  <c r="AL223" i="12"/>
  <c r="AB223" i="12"/>
  <c r="AT223" i="12"/>
  <c r="AR223" i="12"/>
  <c r="L223" i="12"/>
  <c r="AE223" i="12"/>
  <c r="K223" i="12"/>
  <c r="AA223" i="12"/>
  <c r="AP223" i="12"/>
  <c r="J223" i="12"/>
  <c r="AD223" i="12"/>
  <c r="AO223" i="12"/>
  <c r="AG223" i="12"/>
  <c r="Y223" i="12"/>
  <c r="A224" i="12" a="1"/>
  <c r="U223" i="12" l="1"/>
  <c r="S223" i="12"/>
  <c r="V223" i="12"/>
  <c r="O223" i="12"/>
  <c r="T223" i="12"/>
  <c r="A224" i="12"/>
  <c r="AU223" i="12"/>
  <c r="M223" i="12"/>
  <c r="AI223" i="12"/>
  <c r="N223" i="12"/>
  <c r="Q223" i="12"/>
  <c r="R223" i="12"/>
  <c r="P223" i="12"/>
  <c r="G223" i="12"/>
  <c r="H223" i="12"/>
  <c r="F223" i="12"/>
  <c r="W223" i="12" l="1"/>
  <c r="AO224" i="12"/>
  <c r="AQ224" i="12"/>
  <c r="Y224" i="12"/>
  <c r="AB224" i="12"/>
  <c r="AG224" i="12"/>
  <c r="AA224" i="12"/>
  <c r="AR224" i="12"/>
  <c r="AF224" i="12"/>
  <c r="Z224" i="12"/>
  <c r="AM224" i="12"/>
  <c r="C224" i="12"/>
  <c r="AL224" i="12"/>
  <c r="AP224" i="12"/>
  <c r="AT224" i="12"/>
  <c r="AK224" i="12"/>
  <c r="AE224" i="12"/>
  <c r="D224" i="12"/>
  <c r="J224" i="12"/>
  <c r="L224" i="12"/>
  <c r="AH224" i="12"/>
  <c r="AS224" i="12"/>
  <c r="K224" i="12"/>
  <c r="E224" i="12"/>
  <c r="AN224" i="12"/>
  <c r="I224" i="12"/>
  <c r="AC224" i="12"/>
  <c r="AD224" i="12"/>
  <c r="B224" i="12"/>
  <c r="A225" i="12" a="1"/>
  <c r="Q224" i="12" l="1"/>
  <c r="P224" i="12"/>
  <c r="O224" i="12"/>
  <c r="AU224" i="12"/>
  <c r="A225" i="12"/>
  <c r="H224" i="12"/>
  <c r="G224" i="12"/>
  <c r="F224" i="12"/>
  <c r="U224" i="12"/>
  <c r="V224" i="12"/>
  <c r="R224" i="12"/>
  <c r="M224" i="12"/>
  <c r="AI224" i="12"/>
  <c r="N224" i="12"/>
  <c r="S224" i="12"/>
  <c r="T224" i="12"/>
  <c r="W224" i="12" l="1"/>
  <c r="AD225" i="12"/>
  <c r="AF225" i="12"/>
  <c r="C225" i="12"/>
  <c r="AC225" i="12"/>
  <c r="AA225" i="12"/>
  <c r="AT225" i="12"/>
  <c r="AG225" i="12"/>
  <c r="AH225" i="12"/>
  <c r="AM225" i="12"/>
  <c r="I225" i="12"/>
  <c r="AL225" i="12"/>
  <c r="AR225" i="12"/>
  <c r="AK225" i="12"/>
  <c r="K225" i="12"/>
  <c r="AS225" i="12"/>
  <c r="B225" i="12"/>
  <c r="AE225" i="12"/>
  <c r="AN225" i="12"/>
  <c r="Z225" i="12"/>
  <c r="L225" i="12"/>
  <c r="E225" i="12"/>
  <c r="D225" i="12"/>
  <c r="Y225" i="12"/>
  <c r="J225" i="12"/>
  <c r="AB225" i="12"/>
  <c r="AQ225" i="12"/>
  <c r="AP225" i="12"/>
  <c r="AO225" i="12"/>
  <c r="A226" i="12" a="1"/>
  <c r="O225" i="12" l="1"/>
  <c r="V225" i="12"/>
  <c r="N225" i="12"/>
  <c r="A226" i="12"/>
  <c r="AI225" i="12"/>
  <c r="M225" i="12"/>
  <c r="U225" i="12"/>
  <c r="G225" i="12"/>
  <c r="F225" i="12"/>
  <c r="H225" i="12"/>
  <c r="T225" i="12"/>
  <c r="AU225" i="12"/>
  <c r="Q225" i="12"/>
  <c r="P225" i="12"/>
  <c r="S225" i="12"/>
  <c r="R225" i="12"/>
  <c r="W225" i="12" l="1"/>
  <c r="AK226" i="12"/>
  <c r="J226" i="12"/>
  <c r="B226" i="12"/>
  <c r="L226" i="12"/>
  <c r="E226" i="12"/>
  <c r="C226" i="12"/>
  <c r="AP226" i="12"/>
  <c r="Z226" i="12"/>
  <c r="AG226" i="12"/>
  <c r="AC226" i="12"/>
  <c r="AH226" i="12"/>
  <c r="Y226" i="12"/>
  <c r="AM226" i="12"/>
  <c r="AR226" i="12"/>
  <c r="D226" i="12"/>
  <c r="AD226" i="12"/>
  <c r="AE226" i="12"/>
  <c r="AQ226" i="12"/>
  <c r="AS226" i="12"/>
  <c r="AF226" i="12"/>
  <c r="AB226" i="12"/>
  <c r="AT226" i="12"/>
  <c r="AN226" i="12"/>
  <c r="AL226" i="12"/>
  <c r="K226" i="12"/>
  <c r="I226" i="12"/>
  <c r="AO226" i="12"/>
  <c r="AA226" i="12"/>
  <c r="A227" i="12" a="1"/>
  <c r="A227" i="12" l="1"/>
  <c r="T226" i="12"/>
  <c r="AU226" i="12"/>
  <c r="P226" i="12"/>
  <c r="F226" i="12"/>
  <c r="H226" i="12"/>
  <c r="G226" i="12"/>
  <c r="O226" i="12"/>
  <c r="AI226" i="12"/>
  <c r="M226" i="12"/>
  <c r="V226" i="12"/>
  <c r="Q226" i="12"/>
  <c r="S226" i="12"/>
  <c r="U226" i="12"/>
  <c r="R226" i="12"/>
  <c r="N226" i="12"/>
  <c r="W226" i="12" l="1"/>
  <c r="AG227" i="12"/>
  <c r="AN227" i="12"/>
  <c r="AA227" i="12"/>
  <c r="AQ227" i="12"/>
  <c r="E227" i="12"/>
  <c r="Y227" i="12"/>
  <c r="AB227" i="12"/>
  <c r="AF227" i="12"/>
  <c r="B227" i="12"/>
  <c r="AD227" i="12"/>
  <c r="D227" i="12"/>
  <c r="AH227" i="12"/>
  <c r="AS227" i="12"/>
  <c r="AO227" i="12"/>
  <c r="AM227" i="12"/>
  <c r="AT227" i="12"/>
  <c r="AR227" i="12"/>
  <c r="AL227" i="12"/>
  <c r="AE227" i="12"/>
  <c r="Z227" i="12"/>
  <c r="AP227" i="12"/>
  <c r="C227" i="12"/>
  <c r="AK227" i="12"/>
  <c r="K227" i="12"/>
  <c r="J227" i="12"/>
  <c r="I227" i="12"/>
  <c r="AC227" i="12"/>
  <c r="L227" i="12"/>
  <c r="A228" i="12" a="1"/>
  <c r="N227" i="12" l="1"/>
  <c r="P227" i="12"/>
  <c r="V227" i="12"/>
  <c r="AU227" i="12"/>
  <c r="A228" i="12"/>
  <c r="M227" i="12"/>
  <c r="AI227" i="12"/>
  <c r="F227" i="12"/>
  <c r="G227" i="12"/>
  <c r="H227" i="12"/>
  <c r="Q227" i="12"/>
  <c r="S227" i="12"/>
  <c r="O227" i="12"/>
  <c r="R227" i="12"/>
  <c r="U227" i="12"/>
  <c r="T227" i="12"/>
  <c r="W227" i="12" l="1"/>
  <c r="Y228" i="12"/>
  <c r="D228" i="12"/>
  <c r="AM228" i="12"/>
  <c r="AP228" i="12"/>
  <c r="AB228" i="12"/>
  <c r="L228" i="12"/>
  <c r="AO228" i="12"/>
  <c r="C228" i="12"/>
  <c r="I228" i="12"/>
  <c r="E228" i="12"/>
  <c r="AH228" i="12"/>
  <c r="J228" i="12"/>
  <c r="AR228" i="12"/>
  <c r="AG228" i="12"/>
  <c r="AS228" i="12"/>
  <c r="AE228" i="12"/>
  <c r="AD228" i="12"/>
  <c r="AN228" i="12"/>
  <c r="B228" i="12"/>
  <c r="K228" i="12"/>
  <c r="AA228" i="12"/>
  <c r="AF228" i="12"/>
  <c r="AQ228" i="12"/>
  <c r="AL228" i="12"/>
  <c r="AK228" i="12"/>
  <c r="AT228" i="12"/>
  <c r="AC228" i="12"/>
  <c r="Z228" i="12"/>
  <c r="A229" i="12" a="1"/>
  <c r="N228" i="12" l="1"/>
  <c r="O228" i="12"/>
  <c r="P228" i="12"/>
  <c r="T228" i="12"/>
  <c r="V228" i="12"/>
  <c r="A229" i="12"/>
  <c r="G228" i="12"/>
  <c r="H228" i="12"/>
  <c r="F228" i="12"/>
  <c r="AU228" i="12"/>
  <c r="R228" i="12"/>
  <c r="M228" i="12"/>
  <c r="AI228" i="12"/>
  <c r="U228" i="12"/>
  <c r="Q228" i="12"/>
  <c r="S228" i="12"/>
  <c r="W228" i="12" l="1"/>
  <c r="D229" i="12"/>
  <c r="Z229" i="12"/>
  <c r="L229" i="12"/>
  <c r="AH229" i="12"/>
  <c r="AC229" i="12"/>
  <c r="Y229" i="12"/>
  <c r="AA229" i="12"/>
  <c r="J229" i="12"/>
  <c r="AM229" i="12"/>
  <c r="AT229" i="12"/>
  <c r="AG229" i="12"/>
  <c r="AP229" i="12"/>
  <c r="E229" i="12"/>
  <c r="AF229" i="12"/>
  <c r="AK229" i="12"/>
  <c r="C229" i="12"/>
  <c r="B229" i="12"/>
  <c r="AN229" i="12"/>
  <c r="AB229" i="12"/>
  <c r="AQ229" i="12"/>
  <c r="I229" i="12"/>
  <c r="AO229" i="12"/>
  <c r="AD229" i="12"/>
  <c r="AL229" i="12"/>
  <c r="AR229" i="12"/>
  <c r="AE229" i="12"/>
  <c r="AS229" i="12"/>
  <c r="K229" i="12"/>
  <c r="A230" i="12" a="1"/>
  <c r="V229" i="12" l="1"/>
  <c r="P229" i="12"/>
  <c r="O229" i="12"/>
  <c r="R229" i="12"/>
  <c r="A230" i="12"/>
  <c r="AU229" i="12"/>
  <c r="T229" i="12"/>
  <c r="F229" i="12"/>
  <c r="G229" i="12"/>
  <c r="H229" i="12"/>
  <c r="Q229" i="12"/>
  <c r="M229" i="12"/>
  <c r="AI229" i="12"/>
  <c r="U229" i="12"/>
  <c r="S229" i="12"/>
  <c r="N229" i="12"/>
  <c r="W229" i="12" l="1"/>
  <c r="B230" i="12"/>
  <c r="AS230" i="12"/>
  <c r="I230" i="12"/>
  <c r="K230" i="12"/>
  <c r="AQ230" i="12"/>
  <c r="AH230" i="12"/>
  <c r="AE230" i="12"/>
  <c r="D230" i="12"/>
  <c r="AL230" i="12"/>
  <c r="AR230" i="12"/>
  <c r="Z230" i="12"/>
  <c r="AP230" i="12"/>
  <c r="AC230" i="12"/>
  <c r="AB230" i="12"/>
  <c r="AT230" i="12"/>
  <c r="L230" i="12"/>
  <c r="AN230" i="12"/>
  <c r="AA230" i="12"/>
  <c r="AM230" i="12"/>
  <c r="AO230" i="12"/>
  <c r="AK230" i="12"/>
  <c r="Y230" i="12"/>
  <c r="E230" i="12"/>
  <c r="AF230" i="12"/>
  <c r="AD230" i="12"/>
  <c r="J230" i="12"/>
  <c r="AG230" i="12"/>
  <c r="C230" i="12"/>
  <c r="A231" i="12" a="1"/>
  <c r="U230" i="12" l="1"/>
  <c r="Q230" i="12"/>
  <c r="S230" i="12"/>
  <c r="T230" i="12"/>
  <c r="R230" i="12"/>
  <c r="A231" i="12"/>
  <c r="G230" i="12"/>
  <c r="F230" i="12"/>
  <c r="H230" i="12"/>
  <c r="AI230" i="12"/>
  <c r="M230" i="12"/>
  <c r="V230" i="12"/>
  <c r="P230" i="12"/>
  <c r="AU230" i="12"/>
  <c r="N230" i="12"/>
  <c r="O230" i="12"/>
  <c r="W230" i="12" l="1"/>
  <c r="AO231" i="12"/>
  <c r="AB231" i="12"/>
  <c r="Y231" i="12"/>
  <c r="AD231" i="12"/>
  <c r="AL231" i="12"/>
  <c r="AS231" i="12"/>
  <c r="J231" i="12"/>
  <c r="L231" i="12"/>
  <c r="AK231" i="12"/>
  <c r="AQ231" i="12"/>
  <c r="K231" i="12"/>
  <c r="AM231" i="12"/>
  <c r="AG231" i="12"/>
  <c r="AC231" i="12"/>
  <c r="AH231" i="12"/>
  <c r="E231" i="12"/>
  <c r="AN231" i="12"/>
  <c r="AP231" i="12"/>
  <c r="AT231" i="12"/>
  <c r="AA231" i="12"/>
  <c r="D231" i="12"/>
  <c r="AE231" i="12"/>
  <c r="AF231" i="12"/>
  <c r="C231" i="12"/>
  <c r="I231" i="12"/>
  <c r="Z231" i="12"/>
  <c r="AR231" i="12"/>
  <c r="B231" i="12"/>
  <c r="A232" i="12" a="1"/>
  <c r="Q231" i="12" l="1"/>
  <c r="R231" i="12"/>
  <c r="T231" i="12"/>
  <c r="V231" i="12"/>
  <c r="O231" i="12"/>
  <c r="S231" i="12"/>
  <c r="P231" i="12"/>
  <c r="A232" i="12"/>
  <c r="U231" i="12"/>
  <c r="N231" i="12"/>
  <c r="AU231" i="12"/>
  <c r="AI231" i="12"/>
  <c r="M231" i="12"/>
  <c r="H231" i="12"/>
  <c r="G231" i="12"/>
  <c r="F231" i="12"/>
  <c r="W231" i="12" l="1"/>
  <c r="B232" i="12"/>
  <c r="AA232" i="12"/>
  <c r="C232" i="12"/>
  <c r="AB232" i="12"/>
  <c r="AT232" i="12"/>
  <c r="AR232" i="12"/>
  <c r="AH232" i="12"/>
  <c r="AD232" i="12"/>
  <c r="D232" i="12"/>
  <c r="J232" i="12"/>
  <c r="E232" i="12"/>
  <c r="AG232" i="12"/>
  <c r="Z232" i="12"/>
  <c r="AP232" i="12"/>
  <c r="AE232" i="12"/>
  <c r="AS232" i="12"/>
  <c r="AO232" i="12"/>
  <c r="K232" i="12"/>
  <c r="AQ232" i="12"/>
  <c r="Y232" i="12"/>
  <c r="AM232" i="12"/>
  <c r="I232" i="12"/>
  <c r="AF232" i="12"/>
  <c r="AK232" i="12"/>
  <c r="AC232" i="12"/>
  <c r="L232" i="12"/>
  <c r="AN232" i="12"/>
  <c r="AL232" i="12"/>
  <c r="A233" i="12" a="1"/>
  <c r="P232" i="12" l="1"/>
  <c r="S232" i="12"/>
  <c r="Q232" i="12"/>
  <c r="N232" i="12"/>
  <c r="R232" i="12"/>
  <c r="T232" i="12"/>
  <c r="V232" i="12"/>
  <c r="A233" i="12"/>
  <c r="AU232" i="12"/>
  <c r="H232" i="12"/>
  <c r="G232" i="12"/>
  <c r="F232" i="12"/>
  <c r="AI232" i="12"/>
  <c r="M232" i="12"/>
  <c r="U232" i="12"/>
  <c r="O232" i="12"/>
  <c r="W232" i="12" l="1"/>
  <c r="AH233" i="12"/>
  <c r="AF233" i="12"/>
  <c r="AP233" i="12"/>
  <c r="I233" i="12"/>
  <c r="J233" i="12"/>
  <c r="AC233" i="12"/>
  <c r="AG233" i="12"/>
  <c r="D233" i="12"/>
  <c r="L233" i="12"/>
  <c r="AO233" i="12"/>
  <c r="AS233" i="12"/>
  <c r="AK233" i="12"/>
  <c r="Y233" i="12"/>
  <c r="AL233" i="12"/>
  <c r="AA233" i="12"/>
  <c r="AQ233" i="12"/>
  <c r="Z233" i="12"/>
  <c r="AR233" i="12"/>
  <c r="K233" i="12"/>
  <c r="C233" i="12"/>
  <c r="AD233" i="12"/>
  <c r="AM233" i="12"/>
  <c r="AB233" i="12"/>
  <c r="E233" i="12"/>
  <c r="AN233" i="12"/>
  <c r="AE233" i="12"/>
  <c r="AT233" i="12"/>
  <c r="B233" i="12"/>
  <c r="A234" i="12" a="1"/>
  <c r="R233" i="12" l="1"/>
  <c r="Q233" i="12"/>
  <c r="P233" i="12"/>
  <c r="O233" i="12"/>
  <c r="U233" i="12"/>
  <c r="A234" i="12"/>
  <c r="AU233" i="12"/>
  <c r="F233" i="12"/>
  <c r="G233" i="12"/>
  <c r="H233" i="12"/>
  <c r="M233" i="12"/>
  <c r="AI233" i="12"/>
  <c r="S233" i="12"/>
  <c r="T233" i="12"/>
  <c r="N233" i="12"/>
  <c r="V233" i="12"/>
  <c r="W233" i="12" l="1"/>
  <c r="AO234" i="12"/>
  <c r="AG234" i="12"/>
  <c r="I234" i="12"/>
  <c r="AA234" i="12"/>
  <c r="AD234" i="12"/>
  <c r="AH234" i="12"/>
  <c r="J234" i="12"/>
  <c r="AE234" i="12"/>
  <c r="AM234" i="12"/>
  <c r="AP234" i="12"/>
  <c r="AT234" i="12"/>
  <c r="D234" i="12"/>
  <c r="B234" i="12"/>
  <c r="AL234" i="12"/>
  <c r="C234" i="12"/>
  <c r="K234" i="12"/>
  <c r="AC234" i="12"/>
  <c r="AF234" i="12"/>
  <c r="AQ234" i="12"/>
  <c r="AR234" i="12"/>
  <c r="Y234" i="12"/>
  <c r="AS234" i="12"/>
  <c r="AK234" i="12"/>
  <c r="Z234" i="12"/>
  <c r="AB234" i="12"/>
  <c r="L234" i="12"/>
  <c r="AN234" i="12"/>
  <c r="E234" i="12"/>
  <c r="A235" i="12" a="1"/>
  <c r="Q234" i="12" l="1"/>
  <c r="R234" i="12"/>
  <c r="V234" i="12"/>
  <c r="N234" i="12"/>
  <c r="S234" i="12"/>
  <c r="AU234" i="12"/>
  <c r="O234" i="12"/>
  <c r="A235" i="12"/>
  <c r="M234" i="12"/>
  <c r="AI234" i="12"/>
  <c r="T234" i="12"/>
  <c r="U234" i="12"/>
  <c r="G234" i="12"/>
  <c r="F234" i="12"/>
  <c r="H234" i="12"/>
  <c r="P234" i="12"/>
  <c r="W234" i="12" l="1"/>
  <c r="AM235" i="12"/>
  <c r="AD235" i="12"/>
  <c r="AQ235" i="12"/>
  <c r="K235" i="12"/>
  <c r="AH235" i="12"/>
  <c r="I235" i="12"/>
  <c r="AA235" i="12"/>
  <c r="AP235" i="12"/>
  <c r="AT235" i="12"/>
  <c r="D235" i="12"/>
  <c r="J235" i="12"/>
  <c r="AL235" i="12"/>
  <c r="AO235" i="12"/>
  <c r="AS235" i="12"/>
  <c r="C235" i="12"/>
  <c r="AF235" i="12"/>
  <c r="L235" i="12"/>
  <c r="AR235" i="12"/>
  <c r="Y235" i="12"/>
  <c r="AG235" i="12"/>
  <c r="AK235" i="12"/>
  <c r="Z235" i="12"/>
  <c r="E235" i="12"/>
  <c r="AB235" i="12"/>
  <c r="AE235" i="12"/>
  <c r="AN235" i="12"/>
  <c r="AC235" i="12"/>
  <c r="B235" i="12"/>
  <c r="A236" i="12" a="1"/>
  <c r="O235" i="12" l="1"/>
  <c r="V235" i="12"/>
  <c r="N235" i="12"/>
  <c r="R235" i="12"/>
  <c r="A236" i="12"/>
  <c r="AU235" i="12"/>
  <c r="U235" i="12"/>
  <c r="Q235" i="12"/>
  <c r="S235" i="12"/>
  <c r="H235" i="12"/>
  <c r="F235" i="12"/>
  <c r="G235" i="12"/>
  <c r="AI235" i="12"/>
  <c r="M235" i="12"/>
  <c r="P235" i="12"/>
  <c r="T235" i="12"/>
  <c r="W235" i="12" l="1"/>
  <c r="AM236" i="12"/>
  <c r="L236" i="12"/>
  <c r="AC236" i="12"/>
  <c r="D236" i="12"/>
  <c r="AO236" i="12"/>
  <c r="AA236" i="12"/>
  <c r="AP236" i="12"/>
  <c r="AN236" i="12"/>
  <c r="AF236" i="12"/>
  <c r="K236" i="12"/>
  <c r="AH236" i="12"/>
  <c r="AG236" i="12"/>
  <c r="AR236" i="12"/>
  <c r="AL236" i="12"/>
  <c r="E236" i="12"/>
  <c r="AT236" i="12"/>
  <c r="I236" i="12"/>
  <c r="AK236" i="12"/>
  <c r="Z236" i="12"/>
  <c r="B236" i="12"/>
  <c r="AE236" i="12"/>
  <c r="C236" i="12"/>
  <c r="AB236" i="12"/>
  <c r="J236" i="12"/>
  <c r="Y236" i="12"/>
  <c r="AS236" i="12"/>
  <c r="AQ236" i="12"/>
  <c r="AD236" i="12"/>
  <c r="A237" i="12" a="1"/>
  <c r="U236" i="12" l="1"/>
  <c r="S236" i="12"/>
  <c r="P236" i="12"/>
  <c r="O236" i="12"/>
  <c r="V236" i="12"/>
  <c r="A237" i="12"/>
  <c r="F236" i="12"/>
  <c r="H236" i="12"/>
  <c r="G236" i="12"/>
  <c r="N236" i="12"/>
  <c r="Q236" i="12"/>
  <c r="R236" i="12"/>
  <c r="AU236" i="12"/>
  <c r="M236" i="12"/>
  <c r="AI236" i="12"/>
  <c r="T236" i="12"/>
  <c r="W236" i="12" l="1"/>
  <c r="I237" i="12"/>
  <c r="AK237" i="12"/>
  <c r="K237" i="12"/>
  <c r="D237" i="12"/>
  <c r="B237" i="12"/>
  <c r="AB237" i="12"/>
  <c r="AL237" i="12"/>
  <c r="AG237" i="12"/>
  <c r="AS237" i="12"/>
  <c r="AA237" i="12"/>
  <c r="AC237" i="12"/>
  <c r="J237" i="12"/>
  <c r="AP237" i="12"/>
  <c r="AQ237" i="12"/>
  <c r="AE237" i="12"/>
  <c r="AH237" i="12"/>
  <c r="L237" i="12"/>
  <c r="AM237" i="12"/>
  <c r="AT237" i="12"/>
  <c r="AO237" i="12"/>
  <c r="AF237" i="12"/>
  <c r="AD237" i="12"/>
  <c r="C237" i="12"/>
  <c r="AR237" i="12"/>
  <c r="Z237" i="12"/>
  <c r="AN237" i="12"/>
  <c r="E237" i="12"/>
  <c r="Y237" i="12"/>
  <c r="A238" i="12" a="1"/>
  <c r="T237" i="12" l="1"/>
  <c r="P237" i="12"/>
  <c r="R237" i="12"/>
  <c r="S237" i="12"/>
  <c r="O237" i="12"/>
  <c r="A238" i="12"/>
  <c r="AI237" i="12"/>
  <c r="M237" i="12"/>
  <c r="G237" i="12"/>
  <c r="H237" i="12"/>
  <c r="F237" i="12"/>
  <c r="Q237" i="12"/>
  <c r="AU237" i="12"/>
  <c r="N237" i="12"/>
  <c r="V237" i="12"/>
  <c r="U237" i="12"/>
  <c r="W237" i="12" l="1"/>
  <c r="D238" i="12"/>
  <c r="AS238" i="12"/>
  <c r="B238" i="12"/>
  <c r="AO238" i="12"/>
  <c r="Z238" i="12"/>
  <c r="AK238" i="12"/>
  <c r="AN238" i="12"/>
  <c r="I238" i="12"/>
  <c r="AP238" i="12"/>
  <c r="AA238" i="12"/>
  <c r="AM238" i="12"/>
  <c r="L238" i="12"/>
  <c r="AG238" i="12"/>
  <c r="AB238" i="12"/>
  <c r="E238" i="12"/>
  <c r="AL238" i="12"/>
  <c r="AQ238" i="12"/>
  <c r="AR238" i="12"/>
  <c r="C238" i="12"/>
  <c r="Y238" i="12"/>
  <c r="AC238" i="12"/>
  <c r="AH238" i="12"/>
  <c r="K238" i="12"/>
  <c r="AE238" i="12"/>
  <c r="J238" i="12"/>
  <c r="AT238" i="12"/>
  <c r="AD238" i="12"/>
  <c r="R238" i="12" s="1"/>
  <c r="AF238" i="12"/>
  <c r="A239" i="12" a="1"/>
  <c r="T238" i="12" l="1"/>
  <c r="V238" i="12"/>
  <c r="U238" i="12"/>
  <c r="N238" i="12"/>
  <c r="Q238" i="12"/>
  <c r="A239" i="12"/>
  <c r="P238" i="12"/>
  <c r="M238" i="12"/>
  <c r="AI238" i="12"/>
  <c r="F238" i="12"/>
  <c r="H238" i="12"/>
  <c r="G238" i="12"/>
  <c r="AU238" i="12"/>
  <c r="O238" i="12"/>
  <c r="S238" i="12"/>
  <c r="W238" i="12" l="1"/>
  <c r="AQ239" i="12"/>
  <c r="C239" i="12"/>
  <c r="AP239" i="12"/>
  <c r="AC239" i="12"/>
  <c r="AB239" i="12"/>
  <c r="AN239" i="12"/>
  <c r="AA239" i="12"/>
  <c r="D239" i="12"/>
  <c r="AT239" i="12"/>
  <c r="AD239" i="12"/>
  <c r="B239" i="12"/>
  <c r="AL239" i="12"/>
  <c r="AH239" i="12"/>
  <c r="Y239" i="12"/>
  <c r="AM239" i="12"/>
  <c r="I239" i="12"/>
  <c r="E239" i="12"/>
  <c r="L239" i="12"/>
  <c r="K239" i="12"/>
  <c r="AE239" i="12"/>
  <c r="AO239" i="12"/>
  <c r="AK239" i="12"/>
  <c r="AR239" i="12"/>
  <c r="Z239" i="12"/>
  <c r="AS239" i="12"/>
  <c r="AF239" i="12"/>
  <c r="J239" i="12"/>
  <c r="AG239" i="12"/>
  <c r="A240" i="12" a="1"/>
  <c r="V239" i="12" l="1"/>
  <c r="S239" i="12"/>
  <c r="U239" i="12"/>
  <c r="N239" i="12"/>
  <c r="O239" i="12"/>
  <c r="A240" i="12"/>
  <c r="M239" i="12"/>
  <c r="AI239" i="12"/>
  <c r="AU239" i="12"/>
  <c r="P239" i="12"/>
  <c r="Q239" i="12"/>
  <c r="T239" i="12"/>
  <c r="R239" i="12"/>
  <c r="G239" i="12"/>
  <c r="F239" i="12"/>
  <c r="H239" i="12"/>
  <c r="W239" i="12" l="1"/>
  <c r="L240" i="12"/>
  <c r="AO240" i="12"/>
  <c r="AD240" i="12"/>
  <c r="AF240" i="12"/>
  <c r="AH240" i="12"/>
  <c r="AL240" i="12"/>
  <c r="E240" i="12"/>
  <c r="I240" i="12"/>
  <c r="C240" i="12"/>
  <c r="AT240" i="12"/>
  <c r="AE240" i="12"/>
  <c r="J240" i="12"/>
  <c r="K240" i="12"/>
  <c r="Z240" i="12"/>
  <c r="AP240" i="12"/>
  <c r="D240" i="12"/>
  <c r="AG240" i="12"/>
  <c r="AK240" i="12"/>
  <c r="AQ240" i="12"/>
  <c r="B240" i="12"/>
  <c r="AR240" i="12"/>
  <c r="AA240" i="12"/>
  <c r="AC240" i="12"/>
  <c r="AS240" i="12"/>
  <c r="AB240" i="12"/>
  <c r="AM240" i="12"/>
  <c r="Y240" i="12"/>
  <c r="AN240" i="12"/>
  <c r="A241" i="12" a="1"/>
  <c r="Q240" i="12" l="1"/>
  <c r="O240" i="12"/>
  <c r="V240" i="12"/>
  <c r="U240" i="12"/>
  <c r="N240" i="12"/>
  <c r="A241" i="12"/>
  <c r="F240" i="12"/>
  <c r="H240" i="12"/>
  <c r="G240" i="12"/>
  <c r="AI240" i="12"/>
  <c r="M240" i="12"/>
  <c r="S240" i="12"/>
  <c r="AU240" i="12"/>
  <c r="T240" i="12"/>
  <c r="R240" i="12"/>
  <c r="P240" i="12"/>
  <c r="W240" i="12" l="1"/>
  <c r="D241" i="12"/>
  <c r="Z241" i="12"/>
  <c r="AH241" i="12"/>
  <c r="C241" i="12"/>
  <c r="AF241" i="12"/>
  <c r="AD241" i="12"/>
  <c r="AE241" i="12"/>
  <c r="J241" i="12"/>
  <c r="AM241" i="12"/>
  <c r="AS241" i="12"/>
  <c r="AO241" i="12"/>
  <c r="Y241" i="12"/>
  <c r="AG241" i="12"/>
  <c r="L241" i="12"/>
  <c r="AN241" i="12"/>
  <c r="AR241" i="12"/>
  <c r="E241" i="12"/>
  <c r="AP241" i="12"/>
  <c r="I241" i="12"/>
  <c r="AT241" i="12"/>
  <c r="AQ241" i="12"/>
  <c r="AA241" i="12"/>
  <c r="B241" i="12"/>
  <c r="K241" i="12"/>
  <c r="AB241" i="12"/>
  <c r="AL241" i="12"/>
  <c r="AK241" i="12"/>
  <c r="AC241" i="12"/>
  <c r="A242" i="12" a="1"/>
  <c r="O241" i="12" l="1"/>
  <c r="Q241" i="12"/>
  <c r="R241" i="12"/>
  <c r="U241" i="12"/>
  <c r="S241" i="12"/>
  <c r="A242" i="12"/>
  <c r="T241" i="12"/>
  <c r="AI241" i="12"/>
  <c r="M241" i="12"/>
  <c r="AU241" i="12"/>
  <c r="V241" i="12"/>
  <c r="N241" i="12"/>
  <c r="P241" i="12"/>
  <c r="F241" i="12"/>
  <c r="H241" i="12"/>
  <c r="G241" i="12"/>
  <c r="W241" i="12" l="1"/>
  <c r="AS242" i="12"/>
  <c r="AM242" i="12"/>
  <c r="AB242" i="12"/>
  <c r="AP242" i="12"/>
  <c r="AC242" i="12"/>
  <c r="AK242" i="12"/>
  <c r="AE242" i="12"/>
  <c r="I242" i="12"/>
  <c r="AQ242" i="12"/>
  <c r="AD242" i="12"/>
  <c r="K242" i="12"/>
  <c r="AL242" i="12"/>
  <c r="AF242" i="12"/>
  <c r="B242" i="12"/>
  <c r="AT242" i="12"/>
  <c r="AA242" i="12"/>
  <c r="C242" i="12"/>
  <c r="D242" i="12"/>
  <c r="Y242" i="12"/>
  <c r="J242" i="12"/>
  <c r="Z242" i="12"/>
  <c r="AR242" i="12"/>
  <c r="AG242" i="12"/>
  <c r="AN242" i="12"/>
  <c r="AH242" i="12"/>
  <c r="L242" i="12"/>
  <c r="E242" i="12"/>
  <c r="AO242" i="12"/>
  <c r="A243" i="12" a="1"/>
  <c r="U242" i="12" l="1"/>
  <c r="S242" i="12"/>
  <c r="Q242" i="12"/>
  <c r="P242" i="12"/>
  <c r="N242" i="12"/>
  <c r="A243" i="12"/>
  <c r="G242" i="12"/>
  <c r="H242" i="12"/>
  <c r="F242" i="12"/>
  <c r="M242" i="12"/>
  <c r="AI242" i="12"/>
  <c r="V242" i="12"/>
  <c r="AU242" i="12"/>
  <c r="T242" i="12"/>
  <c r="R242" i="12"/>
  <c r="O242" i="12"/>
  <c r="W242" i="12" l="1"/>
  <c r="K243" i="12"/>
  <c r="AO243" i="12"/>
  <c r="AM243" i="12"/>
  <c r="AG243" i="12"/>
  <c r="D243" i="12"/>
  <c r="AF243" i="12"/>
  <c r="AS243" i="12"/>
  <c r="AC243" i="12"/>
  <c r="AH243" i="12"/>
  <c r="C243" i="12"/>
  <c r="AP243" i="12"/>
  <c r="Z243" i="12"/>
  <c r="L243" i="12"/>
  <c r="AT243" i="12"/>
  <c r="E243" i="12"/>
  <c r="Y243" i="12"/>
  <c r="AN243" i="12"/>
  <c r="AQ243" i="12"/>
  <c r="AE243" i="12"/>
  <c r="AD243" i="12"/>
  <c r="AA243" i="12"/>
  <c r="B243" i="12"/>
  <c r="I243" i="12"/>
  <c r="J243" i="12"/>
  <c r="AB243" i="12"/>
  <c r="AL243" i="12"/>
  <c r="AK243" i="12"/>
  <c r="AR243" i="12"/>
  <c r="A244" i="12" a="1"/>
  <c r="R243" i="12" l="1"/>
  <c r="N243" i="12"/>
  <c r="S243" i="12"/>
  <c r="O243" i="12"/>
  <c r="P243" i="12"/>
  <c r="T243" i="12"/>
  <c r="Q243" i="12"/>
  <c r="A244" i="12"/>
  <c r="G243" i="12"/>
  <c r="F243" i="12"/>
  <c r="H243" i="12"/>
  <c r="U243" i="12"/>
  <c r="AI243" i="12"/>
  <c r="M243" i="12"/>
  <c r="AU243" i="12"/>
  <c r="V243" i="12"/>
  <c r="W243" i="12" l="1"/>
  <c r="C244" i="12"/>
  <c r="AS244" i="12"/>
  <c r="Y244" i="12"/>
  <c r="AR244" i="12"/>
  <c r="K244" i="12"/>
  <c r="AD244" i="12"/>
  <c r="AT244" i="12"/>
  <c r="AG244" i="12"/>
  <c r="J244" i="12"/>
  <c r="B244" i="12"/>
  <c r="AK244" i="12"/>
  <c r="AH244" i="12"/>
  <c r="AP244" i="12"/>
  <c r="AO244" i="12"/>
  <c r="I244" i="12"/>
  <c r="AL244" i="12"/>
  <c r="AC244" i="12"/>
  <c r="E244" i="12"/>
  <c r="AF244" i="12"/>
  <c r="AE244" i="12"/>
  <c r="AQ244" i="12"/>
  <c r="Z244" i="12"/>
  <c r="D244" i="12"/>
  <c r="AA244" i="12"/>
  <c r="AN244" i="12"/>
  <c r="AB244" i="12"/>
  <c r="L244" i="12"/>
  <c r="AM244" i="12"/>
  <c r="A245" i="12" a="1"/>
  <c r="R244" i="12" l="1"/>
  <c r="O244" i="12"/>
  <c r="U244" i="12"/>
  <c r="P244" i="12"/>
  <c r="A245" i="12"/>
  <c r="N244" i="12"/>
  <c r="S244" i="12"/>
  <c r="V244" i="12"/>
  <c r="T244" i="12"/>
  <c r="AU244" i="12"/>
  <c r="AI244" i="12"/>
  <c r="M244" i="12"/>
  <c r="G244" i="12"/>
  <c r="F244" i="12"/>
  <c r="H244" i="12"/>
  <c r="Q244" i="12"/>
  <c r="W244" i="12" l="1"/>
  <c r="K245" i="12"/>
  <c r="J245" i="12"/>
  <c r="AB245" i="12"/>
  <c r="AL245" i="12"/>
  <c r="D245" i="12"/>
  <c r="AK245" i="12"/>
  <c r="AN245" i="12"/>
  <c r="AO245" i="12"/>
  <c r="E245" i="12"/>
  <c r="AM245" i="12"/>
  <c r="C245" i="12"/>
  <c r="Y245" i="12"/>
  <c r="AR245" i="12"/>
  <c r="AH245" i="12"/>
  <c r="B245" i="12"/>
  <c r="AQ245" i="12"/>
  <c r="AG245" i="12"/>
  <c r="AT245" i="12"/>
  <c r="I245" i="12"/>
  <c r="AE245" i="12"/>
  <c r="Z245" i="12"/>
  <c r="AD245" i="12"/>
  <c r="AP245" i="12"/>
  <c r="AC245" i="12"/>
  <c r="AA245" i="12"/>
  <c r="L245" i="12"/>
  <c r="AS245" i="12"/>
  <c r="AF245" i="12"/>
  <c r="A246" i="12" a="1"/>
  <c r="Q245" i="12" l="1"/>
  <c r="V245" i="12"/>
  <c r="N245" i="12"/>
  <c r="A246" i="12"/>
  <c r="AU245" i="12"/>
  <c r="S245" i="12"/>
  <c r="R245" i="12"/>
  <c r="M245" i="12"/>
  <c r="AI245" i="12"/>
  <c r="T245" i="12"/>
  <c r="P245" i="12"/>
  <c r="O245" i="12"/>
  <c r="U245" i="12"/>
  <c r="F245" i="12"/>
  <c r="H245" i="12"/>
  <c r="G245" i="12"/>
  <c r="W245" i="12" l="1"/>
  <c r="AN246" i="12"/>
  <c r="AT246" i="12"/>
  <c r="AF246" i="12"/>
  <c r="K246" i="12"/>
  <c r="AG246" i="12"/>
  <c r="C246" i="12"/>
  <c r="AP246" i="12"/>
  <c r="AH246" i="12"/>
  <c r="B246" i="12"/>
  <c r="AL246" i="12"/>
  <c r="E246" i="12"/>
  <c r="L246" i="12"/>
  <c r="AQ246" i="12"/>
  <c r="AD246" i="12"/>
  <c r="AK246" i="12"/>
  <c r="D246" i="12"/>
  <c r="I246" i="12"/>
  <c r="Y246" i="12"/>
  <c r="AE246" i="12"/>
  <c r="AM246" i="12"/>
  <c r="AR246" i="12"/>
  <c r="Z246" i="12"/>
  <c r="AO246" i="12"/>
  <c r="J246" i="12"/>
  <c r="AB246" i="12"/>
  <c r="AC246" i="12"/>
  <c r="AS246" i="12"/>
  <c r="AA246" i="12"/>
  <c r="A247" i="12" a="1"/>
  <c r="P246" i="12" l="1"/>
  <c r="N246" i="12"/>
  <c r="U246" i="12"/>
  <c r="O246" i="12"/>
  <c r="R246" i="12"/>
  <c r="A247" i="12"/>
  <c r="AU246" i="12"/>
  <c r="G246" i="12"/>
  <c r="H246" i="12"/>
  <c r="F246" i="12"/>
  <c r="T246" i="12"/>
  <c r="Q246" i="12"/>
  <c r="M246" i="12"/>
  <c r="AI246" i="12"/>
  <c r="S246" i="12"/>
  <c r="V246" i="12"/>
  <c r="W246" i="12" l="1"/>
  <c r="C247" i="12"/>
  <c r="K247" i="12"/>
  <c r="AT247" i="12"/>
  <c r="AE247" i="12"/>
  <c r="AC247" i="12"/>
  <c r="AQ247" i="12"/>
  <c r="J247" i="12"/>
  <c r="AF247" i="12"/>
  <c r="L247" i="12"/>
  <c r="AL247" i="12"/>
  <c r="AD247" i="12"/>
  <c r="E247" i="12"/>
  <c r="AB247" i="12"/>
  <c r="D247" i="12"/>
  <c r="AM247" i="12"/>
  <c r="Y247" i="12"/>
  <c r="AR247" i="12"/>
  <c r="I247" i="12"/>
  <c r="AA247" i="12"/>
  <c r="B247" i="12"/>
  <c r="AH247" i="12"/>
  <c r="AS247" i="12"/>
  <c r="AK247" i="12"/>
  <c r="AP247" i="12"/>
  <c r="AG247" i="12"/>
  <c r="AO247" i="12"/>
  <c r="AN247" i="12"/>
  <c r="Z247" i="12"/>
  <c r="N247" i="12" s="1"/>
  <c r="A248" i="12" a="1"/>
  <c r="V247" i="12" l="1"/>
  <c r="P247" i="12"/>
  <c r="Q247" i="12"/>
  <c r="T247" i="12"/>
  <c r="A248" i="12"/>
  <c r="AU247" i="12"/>
  <c r="AI247" i="12"/>
  <c r="M247" i="12"/>
  <c r="S247" i="12"/>
  <c r="G247" i="12"/>
  <c r="F247" i="12"/>
  <c r="H247" i="12"/>
  <c r="O247" i="12"/>
  <c r="R247" i="12"/>
  <c r="U247" i="12"/>
  <c r="W247" i="12" l="1"/>
  <c r="AS248" i="12"/>
  <c r="AN248" i="12"/>
  <c r="AK248" i="12"/>
  <c r="AP248" i="12"/>
  <c r="C248" i="12"/>
  <c r="Z248" i="12"/>
  <c r="AB248" i="12"/>
  <c r="AL248" i="12"/>
  <c r="L248" i="12"/>
  <c r="AC248" i="12"/>
  <c r="J248" i="12"/>
  <c r="AM248" i="12"/>
  <c r="AE248" i="12"/>
  <c r="AG248" i="12"/>
  <c r="I248" i="12"/>
  <c r="AQ248" i="12"/>
  <c r="AA248" i="12"/>
  <c r="E248" i="12"/>
  <c r="K248" i="12"/>
  <c r="AF248" i="12"/>
  <c r="AO248" i="12"/>
  <c r="AD248" i="12"/>
  <c r="Y248" i="12"/>
  <c r="AR248" i="12"/>
  <c r="AH248" i="12"/>
  <c r="D248" i="12"/>
  <c r="AT248" i="12"/>
  <c r="B248" i="12"/>
  <c r="A249" i="12" a="1"/>
  <c r="P248" i="12" l="1"/>
  <c r="R248" i="12"/>
  <c r="U248" i="12"/>
  <c r="N248" i="12"/>
  <c r="S248" i="12"/>
  <c r="T248" i="12"/>
  <c r="A249" i="12"/>
  <c r="AU248" i="12"/>
  <c r="AI248" i="12"/>
  <c r="M248" i="12"/>
  <c r="Q248" i="12"/>
  <c r="O248" i="12"/>
  <c r="H248" i="12"/>
  <c r="G248" i="12"/>
  <c r="F248" i="12"/>
  <c r="V248" i="12"/>
  <c r="W248" i="12" l="1"/>
  <c r="AO249" i="12"/>
  <c r="AH249" i="12"/>
  <c r="AD249" i="12"/>
  <c r="AR249" i="12"/>
  <c r="AF249" i="12"/>
  <c r="K249" i="12"/>
  <c r="AL249" i="12"/>
  <c r="AA249" i="12"/>
  <c r="AG249" i="12"/>
  <c r="AN249" i="12"/>
  <c r="AC249" i="12"/>
  <c r="AB249" i="12"/>
  <c r="Y249" i="12"/>
  <c r="B249" i="12"/>
  <c r="J249" i="12"/>
  <c r="AK249" i="12"/>
  <c r="C249" i="12"/>
  <c r="AM249" i="12"/>
  <c r="I249" i="12"/>
  <c r="AQ249" i="12"/>
  <c r="AT249" i="12"/>
  <c r="Z249" i="12"/>
  <c r="AS249" i="12"/>
  <c r="AP249" i="12"/>
  <c r="AE249" i="12"/>
  <c r="D249" i="12"/>
  <c r="L249" i="12"/>
  <c r="E249" i="12"/>
  <c r="A250" i="12" a="1"/>
  <c r="Q249" i="12" l="1"/>
  <c r="R249" i="12"/>
  <c r="T249" i="12"/>
  <c r="P249" i="12"/>
  <c r="A250" i="12"/>
  <c r="N249" i="12"/>
  <c r="V249" i="12"/>
  <c r="M249" i="12"/>
  <c r="AI249" i="12"/>
  <c r="S249" i="12"/>
  <c r="U249" i="12"/>
  <c r="G249" i="12"/>
  <c r="F249" i="12"/>
  <c r="H249" i="12"/>
  <c r="AU249" i="12"/>
  <c r="O249" i="12"/>
  <c r="W249" i="12" l="1"/>
  <c r="J250" i="12"/>
  <c r="D250" i="12"/>
  <c r="AR250" i="12"/>
  <c r="B250" i="12"/>
  <c r="AE250" i="12"/>
  <c r="AO250" i="12"/>
  <c r="AT250" i="12"/>
  <c r="Z250" i="12"/>
  <c r="AS250" i="12"/>
  <c r="AK250" i="12"/>
  <c r="AH250" i="12"/>
  <c r="AG250" i="12"/>
  <c r="I250" i="12"/>
  <c r="C250" i="12"/>
  <c r="AF250" i="12"/>
  <c r="AA250" i="12"/>
  <c r="AB250" i="12"/>
  <c r="AQ250" i="12"/>
  <c r="AC250" i="12"/>
  <c r="L250" i="12"/>
  <c r="AM250" i="12"/>
  <c r="AN250" i="12"/>
  <c r="E250" i="12"/>
  <c r="AD250" i="12"/>
  <c r="AP250" i="12"/>
  <c r="AL250" i="12"/>
  <c r="K250" i="12"/>
  <c r="Y250" i="12"/>
  <c r="A251" i="12" a="1"/>
  <c r="U250" i="12" l="1"/>
  <c r="S250" i="12"/>
  <c r="T250" i="12"/>
  <c r="A251" i="12"/>
  <c r="G250" i="12"/>
  <c r="H250" i="12"/>
  <c r="F250" i="12"/>
  <c r="AI250" i="12"/>
  <c r="M250" i="12"/>
  <c r="V250" i="12"/>
  <c r="AU250" i="12"/>
  <c r="P250" i="12"/>
  <c r="Q250" i="12"/>
  <c r="R250" i="12"/>
  <c r="O250" i="12"/>
  <c r="N250" i="12"/>
  <c r="W250" i="12" l="1"/>
  <c r="L251" i="12"/>
  <c r="K251" i="12"/>
  <c r="Z251" i="12"/>
  <c r="AL251" i="12"/>
  <c r="AQ251" i="12"/>
  <c r="AP251" i="12"/>
  <c r="AF251" i="12"/>
  <c r="AG251" i="12"/>
  <c r="D251" i="12"/>
  <c r="AT251" i="12"/>
  <c r="AC251" i="12"/>
  <c r="AA251" i="12"/>
  <c r="C251" i="12"/>
  <c r="AK251" i="12"/>
  <c r="Y251" i="12"/>
  <c r="AD251" i="12"/>
  <c r="AO251" i="12"/>
  <c r="AN251" i="12"/>
  <c r="J251" i="12"/>
  <c r="AH251" i="12"/>
  <c r="AR251" i="12"/>
  <c r="B251" i="12"/>
  <c r="I251" i="12"/>
  <c r="AE251" i="12"/>
  <c r="AM251" i="12"/>
  <c r="AB251" i="12"/>
  <c r="AS251" i="12"/>
  <c r="E251" i="12"/>
  <c r="A252" i="12" a="1"/>
  <c r="V251" i="12" l="1"/>
  <c r="AU251" i="12"/>
  <c r="P251" i="12"/>
  <c r="T251" i="12"/>
  <c r="S251" i="12"/>
  <c r="U251" i="12"/>
  <c r="R251" i="12"/>
  <c r="Q251" i="12"/>
  <c r="O251" i="12"/>
  <c r="A252" i="12"/>
  <c r="M251" i="12"/>
  <c r="AI251" i="12"/>
  <c r="F251" i="12"/>
  <c r="H251" i="12"/>
  <c r="G251" i="12"/>
  <c r="N251" i="12"/>
  <c r="W251" i="12" l="1"/>
  <c r="I252" i="12"/>
  <c r="C252" i="12"/>
  <c r="AA252" i="12"/>
  <c r="AF252" i="12"/>
  <c r="AM252" i="12"/>
  <c r="AP252" i="12"/>
  <c r="AC252" i="12"/>
  <c r="E252" i="12"/>
  <c r="B252" i="12"/>
  <c r="AQ252" i="12"/>
  <c r="AB252" i="12"/>
  <c r="AG252" i="12"/>
  <c r="AR252" i="12"/>
  <c r="Z252" i="12"/>
  <c r="AO252" i="12"/>
  <c r="AK252" i="12"/>
  <c r="K252" i="12"/>
  <c r="AE252" i="12"/>
  <c r="L252" i="12"/>
  <c r="AH252" i="12"/>
  <c r="AT252" i="12"/>
  <c r="D252" i="12"/>
  <c r="AL252" i="12"/>
  <c r="AS252" i="12"/>
  <c r="AN252" i="12"/>
  <c r="J252" i="12"/>
  <c r="AD252" i="12"/>
  <c r="Y252" i="12"/>
  <c r="A253" i="12" a="1"/>
  <c r="S252" i="12" l="1"/>
  <c r="U252" i="12"/>
  <c r="P252" i="12"/>
  <c r="A253" i="12"/>
  <c r="Q252" i="12"/>
  <c r="N252" i="12"/>
  <c r="V252" i="12"/>
  <c r="R252" i="12"/>
  <c r="M252" i="12"/>
  <c r="AI252" i="12"/>
  <c r="T252" i="12"/>
  <c r="O252" i="12"/>
  <c r="AU252" i="12"/>
  <c r="G252" i="12"/>
  <c r="H252" i="12"/>
  <c r="F252" i="12"/>
  <c r="W252" i="12" l="1"/>
  <c r="D253" i="12"/>
  <c r="AP253" i="12"/>
  <c r="E253" i="12"/>
  <c r="AG253" i="12"/>
  <c r="AB253" i="12"/>
  <c r="AL253" i="12"/>
  <c r="C253" i="12"/>
  <c r="AE253" i="12"/>
  <c r="AS253" i="12"/>
  <c r="AM253" i="12"/>
  <c r="AK253" i="12"/>
  <c r="L253" i="12"/>
  <c r="AH253" i="12"/>
  <c r="AO253" i="12"/>
  <c r="AF253" i="12"/>
  <c r="AT253" i="12"/>
  <c r="B253" i="12"/>
  <c r="AC253" i="12"/>
  <c r="K253" i="12"/>
  <c r="AR253" i="12"/>
  <c r="AN253" i="12"/>
  <c r="I253" i="12"/>
  <c r="AQ253" i="12"/>
  <c r="Z253" i="12"/>
  <c r="Y253" i="12"/>
  <c r="J253" i="12"/>
  <c r="AD253" i="12"/>
  <c r="AA253" i="12"/>
  <c r="A254" i="12" a="1"/>
  <c r="U253" i="12" l="1"/>
  <c r="O253" i="12"/>
  <c r="R253" i="12"/>
  <c r="V253" i="12"/>
  <c r="T253" i="12"/>
  <c r="A254" i="12"/>
  <c r="P253" i="12"/>
  <c r="AU253" i="12"/>
  <c r="G253" i="12"/>
  <c r="F253" i="12"/>
  <c r="H253" i="12"/>
  <c r="Q253" i="12"/>
  <c r="M253" i="12"/>
  <c r="AI253" i="12"/>
  <c r="N253" i="12"/>
  <c r="S253" i="12"/>
  <c r="W253" i="12" l="1"/>
  <c r="AS254" i="12"/>
  <c r="E254" i="12"/>
  <c r="AG254" i="12"/>
  <c r="AK254" i="12"/>
  <c r="D254" i="12"/>
  <c r="AR254" i="12"/>
  <c r="AL254" i="12"/>
  <c r="AQ254" i="12"/>
  <c r="AC254" i="12"/>
  <c r="AT254" i="12"/>
  <c r="AO254" i="12"/>
  <c r="AA254" i="12"/>
  <c r="B254" i="12"/>
  <c r="AP254" i="12"/>
  <c r="AH254" i="12"/>
  <c r="AN254" i="12"/>
  <c r="K254" i="12"/>
  <c r="AD254" i="12"/>
  <c r="C254" i="12"/>
  <c r="AE254" i="12"/>
  <c r="I254" i="12"/>
  <c r="Y254" i="12"/>
  <c r="L254" i="12"/>
  <c r="AF254" i="12"/>
  <c r="Z254" i="12"/>
  <c r="AM254" i="12"/>
  <c r="J254" i="12"/>
  <c r="AB254" i="12"/>
  <c r="A255" i="12" a="1"/>
  <c r="O254" i="12" l="1"/>
  <c r="U254" i="12"/>
  <c r="V254" i="12"/>
  <c r="T254" i="12"/>
  <c r="A255" i="12"/>
  <c r="M254" i="12"/>
  <c r="AI254" i="12"/>
  <c r="S254" i="12"/>
  <c r="R254" i="12"/>
  <c r="P254" i="12"/>
  <c r="AU254" i="12"/>
  <c r="G254" i="12"/>
  <c r="H254" i="12"/>
  <c r="F254" i="12"/>
  <c r="N254" i="12"/>
  <c r="Q254" i="12"/>
  <c r="W254" i="12" l="1"/>
  <c r="AN255" i="12"/>
  <c r="AQ255" i="12"/>
  <c r="Y255" i="12"/>
  <c r="B255" i="12"/>
  <c r="J255" i="12"/>
  <c r="K255" i="12"/>
  <c r="Z255" i="12"/>
  <c r="AS255" i="12"/>
  <c r="AO255" i="12"/>
  <c r="AF255" i="12"/>
  <c r="AA255" i="12"/>
  <c r="E255" i="12"/>
  <c r="AT255" i="12"/>
  <c r="AR255" i="12"/>
  <c r="AH255" i="12"/>
  <c r="I255" i="12"/>
  <c r="C255" i="12"/>
  <c r="AD255" i="12"/>
  <c r="AP255" i="12"/>
  <c r="AG255" i="12"/>
  <c r="AK255" i="12"/>
  <c r="D255" i="12"/>
  <c r="AL255" i="12"/>
  <c r="AE255" i="12"/>
  <c r="AM255" i="12"/>
  <c r="AB255" i="12"/>
  <c r="L255" i="12"/>
  <c r="AC255" i="12"/>
  <c r="Q255" i="12" s="1"/>
  <c r="A256" i="12" a="1"/>
  <c r="U255" i="12" l="1"/>
  <c r="O255" i="12"/>
  <c r="P255" i="12"/>
  <c r="V255" i="12"/>
  <c r="A256" i="12"/>
  <c r="T255" i="12"/>
  <c r="N255" i="12"/>
  <c r="AU255" i="12"/>
  <c r="G255" i="12"/>
  <c r="H255" i="12"/>
  <c r="F255" i="12"/>
  <c r="AI255" i="12"/>
  <c r="M255" i="12"/>
  <c r="R255" i="12"/>
  <c r="S255" i="12"/>
  <c r="W255" i="12" l="1"/>
  <c r="AN256" i="12"/>
  <c r="AT256" i="12"/>
  <c r="AC256" i="12"/>
  <c r="AE256" i="12"/>
  <c r="B256" i="12"/>
  <c r="I256" i="12"/>
  <c r="AO256" i="12"/>
  <c r="AH256" i="12"/>
  <c r="Y256" i="12"/>
  <c r="AQ256" i="12"/>
  <c r="K256" i="12"/>
  <c r="Z256" i="12"/>
  <c r="AG256" i="12"/>
  <c r="AS256" i="12"/>
  <c r="C256" i="12"/>
  <c r="AD256" i="12"/>
  <c r="AM256" i="12"/>
  <c r="AF256" i="12"/>
  <c r="AK256" i="12"/>
  <c r="E256" i="12"/>
  <c r="J256" i="12"/>
  <c r="AR256" i="12"/>
  <c r="L256" i="12"/>
  <c r="AP256" i="12"/>
  <c r="AA256" i="12"/>
  <c r="AL256" i="12"/>
  <c r="AB256" i="12"/>
  <c r="D256" i="12"/>
  <c r="A257" i="12" a="1"/>
  <c r="P256" i="12" l="1"/>
  <c r="N256" i="12"/>
  <c r="S256" i="12"/>
  <c r="O256" i="12"/>
  <c r="A257" i="12"/>
  <c r="AU256" i="12"/>
  <c r="Q256" i="12"/>
  <c r="AI256" i="12"/>
  <c r="M256" i="12"/>
  <c r="U256" i="12"/>
  <c r="F256" i="12"/>
  <c r="G256" i="12"/>
  <c r="H256" i="12"/>
  <c r="T256" i="12"/>
  <c r="R256" i="12"/>
  <c r="V256" i="12"/>
  <c r="W256" i="12" l="1"/>
  <c r="AN257" i="12"/>
  <c r="AA257" i="12"/>
  <c r="L257" i="12"/>
  <c r="AM257" i="12"/>
  <c r="AC257" i="12"/>
  <c r="D257" i="12"/>
  <c r="K257" i="12"/>
  <c r="Y257" i="12"/>
  <c r="AT257" i="12"/>
  <c r="AQ257" i="12"/>
  <c r="AB257" i="12"/>
  <c r="AG257" i="12"/>
  <c r="B257" i="12"/>
  <c r="AL257" i="12"/>
  <c r="AF257" i="12"/>
  <c r="AH257" i="12"/>
  <c r="AK257" i="12"/>
  <c r="AS257" i="12"/>
  <c r="Z257" i="12"/>
  <c r="AR257" i="12"/>
  <c r="AO257" i="12"/>
  <c r="I257" i="12"/>
  <c r="AE257" i="12"/>
  <c r="J257" i="12"/>
  <c r="AP257" i="12"/>
  <c r="AD257" i="12"/>
  <c r="C257" i="12"/>
  <c r="E257" i="12"/>
  <c r="A258" i="12" a="1"/>
  <c r="P257" i="12" l="1"/>
  <c r="S257" i="12"/>
  <c r="U257" i="12"/>
  <c r="V257" i="12"/>
  <c r="A258" i="12"/>
  <c r="AI257" i="12"/>
  <c r="M257" i="12"/>
  <c r="T257" i="12"/>
  <c r="H257" i="12"/>
  <c r="F257" i="12"/>
  <c r="G257" i="12"/>
  <c r="N257" i="12"/>
  <c r="R257" i="12"/>
  <c r="O257" i="12"/>
  <c r="Q257" i="12"/>
  <c r="AU257" i="12"/>
  <c r="W257" i="12" l="1"/>
  <c r="L258" i="12"/>
  <c r="AA258" i="12"/>
  <c r="B258" i="12"/>
  <c r="AT258" i="12"/>
  <c r="AB258" i="12"/>
  <c r="E258" i="12"/>
  <c r="D258" i="12"/>
  <c r="AP258" i="12"/>
  <c r="AD258" i="12"/>
  <c r="AL258" i="12"/>
  <c r="C258" i="12"/>
  <c r="Z258" i="12"/>
  <c r="AK258" i="12"/>
  <c r="J258" i="12"/>
  <c r="AS258" i="12"/>
  <c r="Y258" i="12"/>
  <c r="AQ258" i="12"/>
  <c r="AF258" i="12"/>
  <c r="AN258" i="12"/>
  <c r="AH258" i="12"/>
  <c r="AR258" i="12"/>
  <c r="AM258" i="12"/>
  <c r="I258" i="12"/>
  <c r="K258" i="12"/>
  <c r="AC258" i="12"/>
  <c r="AE258" i="12"/>
  <c r="AO258" i="12"/>
  <c r="AG258" i="12"/>
  <c r="A259" i="12" a="1"/>
  <c r="N258" i="12" l="1"/>
  <c r="P258" i="12"/>
  <c r="V258" i="12"/>
  <c r="R258" i="12"/>
  <c r="S258" i="12"/>
  <c r="A259" i="12"/>
  <c r="H258" i="12"/>
  <c r="G258" i="12"/>
  <c r="F258" i="12"/>
  <c r="T258" i="12"/>
  <c r="AU258" i="12"/>
  <c r="U258" i="12"/>
  <c r="O258" i="12"/>
  <c r="Q258" i="12"/>
  <c r="M258" i="12"/>
  <c r="AI258" i="12"/>
  <c r="W258" i="12" l="1"/>
  <c r="K259" i="12"/>
  <c r="AM259" i="12"/>
  <c r="AO259" i="12"/>
  <c r="AB259" i="12"/>
  <c r="D259" i="12"/>
  <c r="AR259" i="12"/>
  <c r="AG259" i="12"/>
  <c r="I259" i="12"/>
  <c r="AH259" i="12"/>
  <c r="AA259" i="12"/>
  <c r="L259" i="12"/>
  <c r="AC259" i="12"/>
  <c r="AL259" i="12"/>
  <c r="AN259" i="12"/>
  <c r="Z259" i="12"/>
  <c r="AT259" i="12"/>
  <c r="AP259" i="12"/>
  <c r="AF259" i="12"/>
  <c r="C259" i="12"/>
  <c r="AQ259" i="12"/>
  <c r="AK259" i="12"/>
  <c r="B259" i="12"/>
  <c r="J259" i="12"/>
  <c r="AS259" i="12"/>
  <c r="Y259" i="12"/>
  <c r="E259" i="12"/>
  <c r="AD259" i="12"/>
  <c r="AE259" i="12"/>
  <c r="A260" i="12" a="1"/>
  <c r="R259" i="12" l="1"/>
  <c r="Q259" i="12"/>
  <c r="S259" i="12"/>
  <c r="U259" i="12"/>
  <c r="N259" i="12"/>
  <c r="O259" i="12"/>
  <c r="V259" i="12"/>
  <c r="A260" i="12"/>
  <c r="G259" i="12"/>
  <c r="H259" i="12"/>
  <c r="F259" i="12"/>
  <c r="M259" i="12"/>
  <c r="AI259" i="12"/>
  <c r="AU259" i="12"/>
  <c r="P259" i="12"/>
  <c r="T259" i="12"/>
  <c r="W259" i="12" l="1"/>
  <c r="AN260" i="12"/>
  <c r="I260" i="12"/>
  <c r="AL260" i="12"/>
  <c r="AR260" i="12"/>
  <c r="AM260" i="12"/>
  <c r="AO260" i="12"/>
  <c r="AA260" i="12"/>
  <c r="K260" i="12"/>
  <c r="AB260" i="12"/>
  <c r="AG260" i="12"/>
  <c r="D260" i="12"/>
  <c r="L260" i="12"/>
  <c r="AS260" i="12"/>
  <c r="Z260" i="12"/>
  <c r="AF260" i="12"/>
  <c r="AK260" i="12"/>
  <c r="AQ260" i="12"/>
  <c r="AD260" i="12"/>
  <c r="J260" i="12"/>
  <c r="C260" i="12"/>
  <c r="AP260" i="12"/>
  <c r="B260" i="12"/>
  <c r="Y260" i="12"/>
  <c r="E260" i="12"/>
  <c r="AC260" i="12"/>
  <c r="AE260" i="12"/>
  <c r="AT260" i="12"/>
  <c r="AH260" i="12"/>
  <c r="A261" i="12" a="1"/>
  <c r="V260" i="12" l="1"/>
  <c r="P260" i="12"/>
  <c r="T260" i="12"/>
  <c r="O260" i="12"/>
  <c r="N260" i="12"/>
  <c r="S260" i="12"/>
  <c r="A261" i="12"/>
  <c r="Q260" i="12"/>
  <c r="M260" i="12"/>
  <c r="AI260" i="12"/>
  <c r="R260" i="12"/>
  <c r="U260" i="12"/>
  <c r="G260" i="12"/>
  <c r="H260" i="12"/>
  <c r="F260" i="12"/>
  <c r="AU260" i="12"/>
  <c r="W260" i="12" l="1"/>
  <c r="AL261" i="12"/>
  <c r="AN261" i="12"/>
  <c r="C261" i="12"/>
  <c r="AD261" i="12"/>
  <c r="J261" i="12"/>
  <c r="I261" i="12"/>
  <c r="AT261" i="12"/>
  <c r="L261" i="12"/>
  <c r="AS261" i="12"/>
  <c r="AM261" i="12"/>
  <c r="AB261" i="12"/>
  <c r="AH261" i="12"/>
  <c r="Z261" i="12"/>
  <c r="AO261" i="12"/>
  <c r="AK261" i="12"/>
  <c r="AE261" i="12"/>
  <c r="AC261" i="12"/>
  <c r="AA261" i="12"/>
  <c r="AG261" i="12"/>
  <c r="B261" i="12"/>
  <c r="K261" i="12"/>
  <c r="AR261" i="12"/>
  <c r="AP261" i="12"/>
  <c r="Y261" i="12"/>
  <c r="AQ261" i="12"/>
  <c r="AF261" i="12"/>
  <c r="E261" i="12"/>
  <c r="D261" i="12"/>
  <c r="A262" i="12" a="1"/>
  <c r="N261" i="12" l="1"/>
  <c r="U261" i="12"/>
  <c r="O261" i="12"/>
  <c r="P261" i="12"/>
  <c r="A262" i="12"/>
  <c r="R261" i="12"/>
  <c r="Q261" i="12"/>
  <c r="AU261" i="12"/>
  <c r="V261" i="12"/>
  <c r="G261" i="12"/>
  <c r="H261" i="12"/>
  <c r="F261" i="12"/>
  <c r="T261" i="12"/>
  <c r="M261" i="12"/>
  <c r="AI261" i="12"/>
  <c r="S261" i="12"/>
  <c r="W261" i="12" l="1"/>
  <c r="AP262" i="12"/>
  <c r="AQ262" i="12"/>
  <c r="AL262" i="12"/>
  <c r="D262" i="12"/>
  <c r="AT262" i="12"/>
  <c r="AS262" i="12"/>
  <c r="Y262" i="12"/>
  <c r="AG262" i="12"/>
  <c r="AM262" i="12"/>
  <c r="AO262" i="12"/>
  <c r="AE262" i="12"/>
  <c r="K262" i="12"/>
  <c r="J262" i="12"/>
  <c r="AA262" i="12"/>
  <c r="C262" i="12"/>
  <c r="AN262" i="12"/>
  <c r="AD262" i="12"/>
  <c r="I262" i="12"/>
  <c r="Z262" i="12"/>
  <c r="AR262" i="12"/>
  <c r="AC262" i="12"/>
  <c r="AH262" i="12"/>
  <c r="B262" i="12"/>
  <c r="AK262" i="12"/>
  <c r="L262" i="12"/>
  <c r="AF262" i="12"/>
  <c r="E262" i="12"/>
  <c r="AB262" i="12"/>
  <c r="A263" i="12" a="1"/>
  <c r="S262" i="12" l="1"/>
  <c r="Q262" i="12"/>
  <c r="O262" i="12"/>
  <c r="P262" i="12"/>
  <c r="R262" i="12"/>
  <c r="N262" i="12"/>
  <c r="V262" i="12"/>
  <c r="A263" i="12"/>
  <c r="AI262" i="12"/>
  <c r="M262" i="12"/>
  <c r="F262" i="12"/>
  <c r="G262" i="12"/>
  <c r="H262" i="12"/>
  <c r="T262" i="12"/>
  <c r="AU262" i="12"/>
  <c r="U262" i="12"/>
  <c r="W262" i="12" l="1"/>
  <c r="AN263" i="12"/>
  <c r="AP263" i="12"/>
  <c r="D263" i="12"/>
  <c r="AH263" i="12"/>
  <c r="V263" i="12" s="1"/>
  <c r="Z263" i="12"/>
  <c r="AM263" i="12"/>
  <c r="AQ263" i="12"/>
  <c r="K263" i="12"/>
  <c r="AT263" i="12"/>
  <c r="B263" i="12"/>
  <c r="J263" i="12"/>
  <c r="AK263" i="12"/>
  <c r="Y263" i="12"/>
  <c r="AO263" i="12"/>
  <c r="AA263" i="12"/>
  <c r="AL263" i="12"/>
  <c r="AB263" i="12"/>
  <c r="AS263" i="12"/>
  <c r="E263" i="12"/>
  <c r="AD263" i="12"/>
  <c r="AR263" i="12"/>
  <c r="AE263" i="12"/>
  <c r="AG263" i="12"/>
  <c r="C263" i="12"/>
  <c r="L263" i="12"/>
  <c r="I263" i="12"/>
  <c r="AC263" i="12"/>
  <c r="AF263" i="12"/>
  <c r="A264" i="12" a="1"/>
  <c r="R263" i="12" l="1"/>
  <c r="U263" i="12"/>
  <c r="N263" i="12"/>
  <c r="P263" i="12"/>
  <c r="O263" i="12"/>
  <c r="A264" i="12"/>
  <c r="M263" i="12"/>
  <c r="AI263" i="12"/>
  <c r="S263" i="12"/>
  <c r="T263" i="12"/>
  <c r="AU263" i="12"/>
  <c r="Q263" i="12"/>
  <c r="F263" i="12"/>
  <c r="H263" i="12"/>
  <c r="G263" i="12"/>
  <c r="W263" i="12" l="1"/>
  <c r="AA264" i="12"/>
  <c r="Y264" i="12"/>
  <c r="AN264" i="12"/>
  <c r="AM264" i="12"/>
  <c r="Z264" i="12"/>
  <c r="AP264" i="12"/>
  <c r="AG264" i="12"/>
  <c r="J264" i="12"/>
  <c r="C264" i="12"/>
  <c r="AB264" i="12"/>
  <c r="D264" i="12"/>
  <c r="AE264" i="12"/>
  <c r="AF264" i="12"/>
  <c r="AD264" i="12"/>
  <c r="AL264" i="12"/>
  <c r="AK264" i="12"/>
  <c r="AQ264" i="12"/>
  <c r="AC264" i="12"/>
  <c r="AT264" i="12"/>
  <c r="AO264" i="12"/>
  <c r="AS264" i="12"/>
  <c r="AR264" i="12"/>
  <c r="I264" i="12"/>
  <c r="E264" i="12"/>
  <c r="B264" i="12"/>
  <c r="K264" i="12"/>
  <c r="L264" i="12"/>
  <c r="AH264" i="12"/>
  <c r="A265" i="12" a="1"/>
  <c r="S264" i="12" l="1"/>
  <c r="V264" i="12"/>
  <c r="R264" i="12"/>
  <c r="U264" i="12"/>
  <c r="A265" i="12"/>
  <c r="N264" i="12"/>
  <c r="T264" i="12"/>
  <c r="Q264" i="12"/>
  <c r="P264" i="12"/>
  <c r="AI264" i="12"/>
  <c r="M264" i="12"/>
  <c r="O264" i="12"/>
  <c r="F264" i="12"/>
  <c r="H264" i="12"/>
  <c r="G264" i="12"/>
  <c r="AU264" i="12"/>
  <c r="W264" i="12" l="1"/>
  <c r="Z265" i="12"/>
  <c r="AT265" i="12"/>
  <c r="AQ265" i="12"/>
  <c r="AG265" i="12"/>
  <c r="AP265" i="12"/>
  <c r="Y265" i="12"/>
  <c r="AK265" i="12"/>
  <c r="J265" i="12"/>
  <c r="D265" i="12"/>
  <c r="AA265" i="12"/>
  <c r="AL265" i="12"/>
  <c r="AB265" i="12"/>
  <c r="AN265" i="12"/>
  <c r="AM265" i="12"/>
  <c r="AD265" i="12"/>
  <c r="AR265" i="12"/>
  <c r="K265" i="12"/>
  <c r="AF265" i="12"/>
  <c r="AE265" i="12"/>
  <c r="L265" i="12"/>
  <c r="AH265" i="12"/>
  <c r="C265" i="12"/>
  <c r="I265" i="12"/>
  <c r="B265" i="12"/>
  <c r="AS265" i="12"/>
  <c r="AC265" i="12"/>
  <c r="E265" i="12"/>
  <c r="AO265" i="12"/>
  <c r="A266" i="12" a="1"/>
  <c r="U265" i="12" l="1"/>
  <c r="S265" i="12"/>
  <c r="R265" i="12"/>
  <c r="T265" i="12"/>
  <c r="AU265" i="12"/>
  <c r="V265" i="12"/>
  <c r="A266" i="12"/>
  <c r="AI265" i="12"/>
  <c r="M265" i="12"/>
  <c r="G265" i="12"/>
  <c r="H265" i="12"/>
  <c r="F265" i="12"/>
  <c r="O265" i="12"/>
  <c r="P265" i="12"/>
  <c r="Q265" i="12"/>
  <c r="N265" i="12"/>
  <c r="W265" i="12" l="1"/>
  <c r="AN266" i="12"/>
  <c r="AK266" i="12"/>
  <c r="E266" i="12"/>
  <c r="AA266" i="12"/>
  <c r="K266" i="12"/>
  <c r="AM266" i="12"/>
  <c r="D266" i="12"/>
  <c r="J266" i="12"/>
  <c r="Y266" i="12"/>
  <c r="AS266" i="12"/>
  <c r="AH266" i="12"/>
  <c r="AT266" i="12"/>
  <c r="AG266" i="12"/>
  <c r="AF266" i="12"/>
  <c r="AE266" i="12"/>
  <c r="L266" i="12"/>
  <c r="C266" i="12"/>
  <c r="AL266" i="12"/>
  <c r="AD266" i="12"/>
  <c r="AQ266" i="12"/>
  <c r="AR266" i="12"/>
  <c r="AO266" i="12"/>
  <c r="Z266" i="12"/>
  <c r="AB266" i="12"/>
  <c r="AP266" i="12"/>
  <c r="B266" i="12"/>
  <c r="I266" i="12"/>
  <c r="AC266" i="12"/>
  <c r="A267" i="12" a="1"/>
  <c r="U266" i="12" l="1"/>
  <c r="R266" i="12"/>
  <c r="N266" i="12"/>
  <c r="T266" i="12"/>
  <c r="S266" i="12"/>
  <c r="P266" i="12"/>
  <c r="A267" i="12"/>
  <c r="O266" i="12"/>
  <c r="M266" i="12"/>
  <c r="AI266" i="12"/>
  <c r="Q266" i="12"/>
  <c r="V266" i="12"/>
  <c r="H266" i="12"/>
  <c r="G266" i="12"/>
  <c r="F266" i="12"/>
  <c r="AU266" i="12"/>
  <c r="W266" i="12" l="1"/>
  <c r="AO267" i="12"/>
  <c r="L267" i="12"/>
  <c r="AG267" i="12"/>
  <c r="K267" i="12"/>
  <c r="E267" i="12"/>
  <c r="AE267" i="12"/>
  <c r="AT267" i="12"/>
  <c r="AD267" i="12"/>
  <c r="AM267" i="12"/>
  <c r="AS267" i="12"/>
  <c r="I267" i="12"/>
  <c r="AQ267" i="12"/>
  <c r="AK267" i="12"/>
  <c r="C267" i="12"/>
  <c r="AP267" i="12"/>
  <c r="AC267" i="12"/>
  <c r="Y267" i="12"/>
  <c r="B267" i="12"/>
  <c r="AA267" i="12"/>
  <c r="AL267" i="12"/>
  <c r="AB267" i="12"/>
  <c r="D267" i="12"/>
  <c r="AN267" i="12"/>
  <c r="AF267" i="12"/>
  <c r="J267" i="12"/>
  <c r="AH267" i="12"/>
  <c r="AR267" i="12"/>
  <c r="Z267" i="12"/>
  <c r="A268" i="12" a="1"/>
  <c r="O267" i="12" l="1"/>
  <c r="N267" i="12"/>
  <c r="S267" i="12"/>
  <c r="Q267" i="12"/>
  <c r="U267" i="12"/>
  <c r="A268" i="12"/>
  <c r="AU267" i="12"/>
  <c r="AI267" i="12"/>
  <c r="M267" i="12"/>
  <c r="P267" i="12"/>
  <c r="G267" i="12"/>
  <c r="H267" i="12"/>
  <c r="F267" i="12"/>
  <c r="V267" i="12"/>
  <c r="T267" i="12"/>
  <c r="R267" i="12"/>
  <c r="W267" i="12" l="1"/>
  <c r="AL268" i="12"/>
  <c r="AH268" i="12"/>
  <c r="AA268" i="12"/>
  <c r="I268" i="12"/>
  <c r="AT268" i="12"/>
  <c r="E268" i="12"/>
  <c r="K268" i="12"/>
  <c r="AD268" i="12"/>
  <c r="AF268" i="12"/>
  <c r="B268" i="12"/>
  <c r="AG268" i="12"/>
  <c r="AE268" i="12"/>
  <c r="D268" i="12"/>
  <c r="J268" i="12"/>
  <c r="Z268" i="12"/>
  <c r="AK268" i="12"/>
  <c r="Y268" i="12"/>
  <c r="AR268" i="12"/>
  <c r="AN268" i="12"/>
  <c r="AB268" i="12"/>
  <c r="AQ268" i="12"/>
  <c r="AO268" i="12"/>
  <c r="AP268" i="12"/>
  <c r="AC268" i="12"/>
  <c r="AM268" i="12"/>
  <c r="C268" i="12"/>
  <c r="AS268" i="12"/>
  <c r="L268" i="12"/>
  <c r="A269" i="12" a="1"/>
  <c r="O268" i="12" l="1"/>
  <c r="P268" i="12"/>
  <c r="N268" i="12"/>
  <c r="Q268" i="12"/>
  <c r="AU268" i="12"/>
  <c r="R268" i="12"/>
  <c r="A269" i="12"/>
  <c r="G268" i="12"/>
  <c r="F268" i="12"/>
  <c r="H268" i="12"/>
  <c r="S268" i="12"/>
  <c r="U268" i="12"/>
  <c r="V268" i="12"/>
  <c r="AI268" i="12"/>
  <c r="M268" i="12"/>
  <c r="T268" i="12"/>
  <c r="W268" i="12" l="1"/>
  <c r="AK269" i="12"/>
  <c r="AF269" i="12"/>
  <c r="AQ269" i="12"/>
  <c r="AC269" i="12"/>
  <c r="K269" i="12"/>
  <c r="I269" i="12"/>
  <c r="AN269" i="12"/>
  <c r="AM269" i="12"/>
  <c r="AA269" i="12"/>
  <c r="AO269" i="12"/>
  <c r="AB269" i="12"/>
  <c r="E269" i="12"/>
  <c r="AP269" i="12"/>
  <c r="AD269" i="12"/>
  <c r="AR269" i="12"/>
  <c r="AT269" i="12"/>
  <c r="AE269" i="12"/>
  <c r="D269" i="12"/>
  <c r="J269" i="12"/>
  <c r="L269" i="12"/>
  <c r="Y269" i="12"/>
  <c r="C269" i="12"/>
  <c r="AH269" i="12"/>
  <c r="AL269" i="12"/>
  <c r="Z269" i="12"/>
  <c r="B269" i="12"/>
  <c r="AS269" i="12"/>
  <c r="AG269" i="12"/>
  <c r="A270" i="12" a="1"/>
  <c r="Q269" i="12" l="1"/>
  <c r="V269" i="12"/>
  <c r="U269" i="12"/>
  <c r="R269" i="12"/>
  <c r="N269" i="12"/>
  <c r="O269" i="12"/>
  <c r="A270" i="12"/>
  <c r="H269" i="12"/>
  <c r="G269" i="12"/>
  <c r="F269" i="12"/>
  <c r="P269" i="12"/>
  <c r="M269" i="12"/>
  <c r="AI269" i="12"/>
  <c r="S269" i="12"/>
  <c r="AU269" i="12"/>
  <c r="T269" i="12"/>
  <c r="W269" i="12" l="1"/>
  <c r="AQ270" i="12"/>
  <c r="AP270" i="12"/>
  <c r="AE270" i="12"/>
  <c r="AC270" i="12"/>
  <c r="E270" i="12"/>
  <c r="Z270" i="12"/>
  <c r="AK270" i="12"/>
  <c r="AS270" i="12"/>
  <c r="AL270" i="12"/>
  <c r="D270" i="12"/>
  <c r="AF270" i="12"/>
  <c r="AO270" i="12"/>
  <c r="AA270" i="12"/>
  <c r="AN270" i="12"/>
  <c r="AR270" i="12"/>
  <c r="C270" i="12"/>
  <c r="AH270" i="12"/>
  <c r="L270" i="12"/>
  <c r="AT270" i="12"/>
  <c r="J270" i="12"/>
  <c r="B270" i="12"/>
  <c r="K270" i="12"/>
  <c r="AB270" i="12"/>
  <c r="AG270" i="12"/>
  <c r="Y270" i="12"/>
  <c r="AM270" i="12"/>
  <c r="I270" i="12"/>
  <c r="AD270" i="12"/>
  <c r="R270" i="12" s="1"/>
  <c r="A271" i="12" a="1"/>
  <c r="U270" i="12" l="1"/>
  <c r="N270" i="12"/>
  <c r="S270" i="12"/>
  <c r="O270" i="12"/>
  <c r="P270" i="12"/>
  <c r="A271" i="12"/>
  <c r="AU270" i="12"/>
  <c r="Q270" i="12"/>
  <c r="T270" i="12"/>
  <c r="G270" i="12"/>
  <c r="F270" i="12"/>
  <c r="H270" i="12"/>
  <c r="AI270" i="12"/>
  <c r="M270" i="12"/>
  <c r="V270" i="12"/>
  <c r="W270" i="12" l="1"/>
  <c r="AR271" i="12"/>
  <c r="AC271" i="12"/>
  <c r="AF271" i="12"/>
  <c r="AQ271" i="12"/>
  <c r="AG271" i="12"/>
  <c r="J271" i="12"/>
  <c r="AE271" i="12"/>
  <c r="L271" i="12"/>
  <c r="AA271" i="12"/>
  <c r="Z271" i="12"/>
  <c r="AK271" i="12"/>
  <c r="Y271" i="12"/>
  <c r="AP271" i="12"/>
  <c r="AL271" i="12"/>
  <c r="E271" i="12"/>
  <c r="AT271" i="12"/>
  <c r="B271" i="12"/>
  <c r="AN271" i="12"/>
  <c r="I271" i="12"/>
  <c r="K271" i="12"/>
  <c r="AB271" i="12"/>
  <c r="C271" i="12"/>
  <c r="AO271" i="12"/>
  <c r="AD271" i="12"/>
  <c r="D271" i="12"/>
  <c r="AM271" i="12"/>
  <c r="AS271" i="12"/>
  <c r="AH271" i="12"/>
  <c r="A272" i="12" a="1"/>
  <c r="T271" i="12" l="1"/>
  <c r="V271" i="12"/>
  <c r="P271" i="12"/>
  <c r="U271" i="12"/>
  <c r="S271" i="12"/>
  <c r="A272" i="12"/>
  <c r="F271" i="12"/>
  <c r="H271" i="12"/>
  <c r="G271" i="12"/>
  <c r="AI271" i="12"/>
  <c r="M271" i="12"/>
  <c r="AU271" i="12"/>
  <c r="N271" i="12"/>
  <c r="Q271" i="12"/>
  <c r="O271" i="12"/>
  <c r="R271" i="12"/>
  <c r="W271" i="12" l="1"/>
  <c r="AP272" i="12"/>
  <c r="AK272" i="12"/>
  <c r="AO272" i="12"/>
  <c r="AA272" i="12"/>
  <c r="J272" i="12"/>
  <c r="K272" i="12"/>
  <c r="AR272" i="12"/>
  <c r="AB272" i="12"/>
  <c r="Z272" i="12"/>
  <c r="C272" i="12"/>
  <c r="AT272" i="12"/>
  <c r="AM272" i="12"/>
  <c r="AL272" i="12"/>
  <c r="AG272" i="12"/>
  <c r="I272" i="12"/>
  <c r="AN272" i="12"/>
  <c r="AS272" i="12"/>
  <c r="AF272" i="12"/>
  <c r="B272" i="12"/>
  <c r="AC272" i="12"/>
  <c r="E272" i="12"/>
  <c r="Y272" i="12"/>
  <c r="AH272" i="12"/>
  <c r="AE272" i="12"/>
  <c r="D272" i="12"/>
  <c r="AQ272" i="12"/>
  <c r="AD272" i="12"/>
  <c r="L272" i="12"/>
  <c r="A273" i="12" a="1"/>
  <c r="U272" i="12" l="1"/>
  <c r="R272" i="12"/>
  <c r="Q272" i="12"/>
  <c r="V272" i="12"/>
  <c r="A273" i="12"/>
  <c r="AI272" i="12"/>
  <c r="M272" i="12"/>
  <c r="G272" i="12"/>
  <c r="H272" i="12"/>
  <c r="F272" i="12"/>
  <c r="AU272" i="12"/>
  <c r="O272" i="12"/>
  <c r="T272" i="12"/>
  <c r="N272" i="12"/>
  <c r="S272" i="12"/>
  <c r="P272" i="12"/>
  <c r="W272" i="12" l="1"/>
  <c r="AQ273" i="12"/>
  <c r="AF273" i="12"/>
  <c r="AH273" i="12"/>
  <c r="AA273" i="12"/>
  <c r="B273" i="12"/>
  <c r="AN273" i="12"/>
  <c r="AO273" i="12"/>
  <c r="AM273" i="12"/>
  <c r="Z273" i="12"/>
  <c r="AK273" i="12"/>
  <c r="E273" i="12"/>
  <c r="AL273" i="12"/>
  <c r="AP273" i="12"/>
  <c r="AR273" i="12"/>
  <c r="C273" i="12"/>
  <c r="AE273" i="12"/>
  <c r="I273" i="12"/>
  <c r="K273" i="12"/>
  <c r="AD273" i="12"/>
  <c r="J273" i="12"/>
  <c r="AG273" i="12"/>
  <c r="D273" i="12"/>
  <c r="L273" i="12"/>
  <c r="AT273" i="12"/>
  <c r="AS273" i="12"/>
  <c r="AB273" i="12"/>
  <c r="AC273" i="12"/>
  <c r="Y273" i="12"/>
  <c r="A274" i="12" a="1"/>
  <c r="O273" i="12" l="1"/>
  <c r="U273" i="12"/>
  <c r="V273" i="12"/>
  <c r="A274" i="12"/>
  <c r="M273" i="12"/>
  <c r="AI273" i="12"/>
  <c r="R273" i="12"/>
  <c r="Q273" i="12"/>
  <c r="F273" i="12"/>
  <c r="H273" i="12"/>
  <c r="G273" i="12"/>
  <c r="P273" i="12"/>
  <c r="AU273" i="12"/>
  <c r="T273" i="12"/>
  <c r="N273" i="12"/>
  <c r="S273" i="12"/>
  <c r="W273" i="12" l="1"/>
  <c r="C274" i="12"/>
  <c r="L274" i="12"/>
  <c r="AR274" i="12"/>
  <c r="AC274" i="12"/>
  <c r="AL274" i="12"/>
  <c r="AT274" i="12"/>
  <c r="AP274" i="12"/>
  <c r="AD274" i="12"/>
  <c r="AG274" i="12"/>
  <c r="J274" i="12"/>
  <c r="I274" i="12"/>
  <c r="D274" i="12"/>
  <c r="AH274" i="12"/>
  <c r="AM274" i="12"/>
  <c r="AE274" i="12"/>
  <c r="AN274" i="12"/>
  <c r="Y274" i="12"/>
  <c r="AQ274" i="12"/>
  <c r="B274" i="12"/>
  <c r="Z274" i="12"/>
  <c r="E274" i="12"/>
  <c r="AK274" i="12"/>
  <c r="AB274" i="12"/>
  <c r="AO274" i="12"/>
  <c r="AA274" i="12"/>
  <c r="K274" i="12"/>
  <c r="AS274" i="12"/>
  <c r="AF274" i="12"/>
  <c r="A275" i="12" a="1"/>
  <c r="T274" i="12" l="1"/>
  <c r="P274" i="12"/>
  <c r="Q274" i="12"/>
  <c r="S274" i="12"/>
  <c r="AU274" i="12"/>
  <c r="A275" i="12"/>
  <c r="V274" i="12"/>
  <c r="N274" i="12"/>
  <c r="G274" i="12"/>
  <c r="H274" i="12"/>
  <c r="F274" i="12"/>
  <c r="O274" i="12"/>
  <c r="M274" i="12"/>
  <c r="AI274" i="12"/>
  <c r="U274" i="12"/>
  <c r="R274" i="12"/>
  <c r="W274" i="12" l="1"/>
  <c r="AS275" i="12"/>
  <c r="AF275" i="12"/>
  <c r="D275" i="12"/>
  <c r="B275" i="12"/>
  <c r="AD275" i="12"/>
  <c r="I275" i="12"/>
  <c r="AP275" i="12"/>
  <c r="AQ275" i="12"/>
  <c r="C275" i="12"/>
  <c r="AG275" i="12"/>
  <c r="AH275" i="12"/>
  <c r="J275" i="12"/>
  <c r="K275" i="12"/>
  <c r="AK275" i="12"/>
  <c r="AR275" i="12"/>
  <c r="Z275" i="12"/>
  <c r="AT275" i="12"/>
  <c r="AL275" i="12"/>
  <c r="AB275" i="12"/>
  <c r="AN275" i="12"/>
  <c r="AM275" i="12"/>
  <c r="AO275" i="12"/>
  <c r="AC275" i="12"/>
  <c r="E275" i="12"/>
  <c r="Y275" i="12"/>
  <c r="AA275" i="12"/>
  <c r="AE275" i="12"/>
  <c r="L275" i="12"/>
  <c r="A276" i="12" a="1"/>
  <c r="V275" i="12" l="1"/>
  <c r="U275" i="12"/>
  <c r="Q275" i="12"/>
  <c r="N275" i="12"/>
  <c r="A276" i="12"/>
  <c r="R275" i="12"/>
  <c r="H275" i="12"/>
  <c r="G275" i="12"/>
  <c r="F275" i="12"/>
  <c r="AU275" i="12"/>
  <c r="S275" i="12"/>
  <c r="O275" i="12"/>
  <c r="T275" i="12"/>
  <c r="P275" i="12"/>
  <c r="AI275" i="12"/>
  <c r="M275" i="12"/>
  <c r="W275" i="12" l="1"/>
  <c r="AH276" i="12"/>
  <c r="AA276" i="12"/>
  <c r="AO276" i="12"/>
  <c r="AL276" i="12"/>
  <c r="AR276" i="12"/>
  <c r="AE276" i="12"/>
  <c r="Y276" i="12"/>
  <c r="C276" i="12"/>
  <c r="J276" i="12"/>
  <c r="Z276" i="12"/>
  <c r="AS276" i="12"/>
  <c r="AM276" i="12"/>
  <c r="L276" i="12"/>
  <c r="AT276" i="12"/>
  <c r="AC276" i="12"/>
  <c r="AP276" i="12"/>
  <c r="K276" i="12"/>
  <c r="AQ276" i="12"/>
  <c r="AF276" i="12"/>
  <c r="E276" i="12"/>
  <c r="AG276" i="12"/>
  <c r="D276" i="12"/>
  <c r="AN276" i="12"/>
  <c r="I276" i="12"/>
  <c r="B276" i="12"/>
  <c r="AB276" i="12"/>
  <c r="AK276" i="12"/>
  <c r="AD276" i="12"/>
  <c r="A277" i="12" a="1"/>
  <c r="S276" i="12" l="1"/>
  <c r="Q276" i="12"/>
  <c r="U276" i="12"/>
  <c r="R276" i="12"/>
  <c r="A277" i="12"/>
  <c r="AI276" i="12"/>
  <c r="M276" i="12"/>
  <c r="H276" i="12"/>
  <c r="G276" i="12"/>
  <c r="F276" i="12"/>
  <c r="AU276" i="12"/>
  <c r="T276" i="12"/>
  <c r="P276" i="12"/>
  <c r="N276" i="12"/>
  <c r="O276" i="12"/>
  <c r="V276" i="12"/>
  <c r="W276" i="12" l="1"/>
  <c r="AT277" i="12"/>
  <c r="AA277" i="12"/>
  <c r="AQ277" i="12"/>
  <c r="C277" i="12"/>
  <c r="AP277" i="12"/>
  <c r="Z277" i="12"/>
  <c r="AF277" i="12"/>
  <c r="J277" i="12"/>
  <c r="AB277" i="12"/>
  <c r="AL277" i="12"/>
  <c r="AR277" i="12"/>
  <c r="E277" i="12"/>
  <c r="AD277" i="12"/>
  <c r="AM277" i="12"/>
  <c r="AS277" i="12"/>
  <c r="D277" i="12"/>
  <c r="AN277" i="12"/>
  <c r="Y277" i="12"/>
  <c r="AC277" i="12"/>
  <c r="AH277" i="12"/>
  <c r="AK277" i="12"/>
  <c r="AO277" i="12"/>
  <c r="L277" i="12"/>
  <c r="K277" i="12"/>
  <c r="AG277" i="12"/>
  <c r="AE277" i="12"/>
  <c r="I277" i="12"/>
  <c r="B277" i="12"/>
  <c r="A278" i="12" a="1"/>
  <c r="V277" i="12" l="1"/>
  <c r="N277" i="12"/>
  <c r="T277" i="12"/>
  <c r="R277" i="12"/>
  <c r="A278" i="12"/>
  <c r="AU277" i="12"/>
  <c r="G277" i="12"/>
  <c r="H277" i="12"/>
  <c r="F277" i="12"/>
  <c r="M277" i="12"/>
  <c r="AI277" i="12"/>
  <c r="O277" i="12"/>
  <c r="U277" i="12"/>
  <c r="P277" i="12"/>
  <c r="Q277" i="12"/>
  <c r="S277" i="12"/>
  <c r="W277" i="12" l="1"/>
  <c r="AT278" i="12"/>
  <c r="AS278" i="12"/>
  <c r="AF278" i="12"/>
  <c r="AD278" i="12"/>
  <c r="L278" i="12"/>
  <c r="J278" i="12"/>
  <c r="AH278" i="12"/>
  <c r="AC278" i="12"/>
  <c r="AE278" i="12"/>
  <c r="AK278" i="12"/>
  <c r="Z278" i="12"/>
  <c r="AL278" i="12"/>
  <c r="AQ278" i="12"/>
  <c r="B278" i="12"/>
  <c r="AN278" i="12"/>
  <c r="K278" i="12"/>
  <c r="I278" i="12"/>
  <c r="AP278" i="12"/>
  <c r="C278" i="12"/>
  <c r="E278" i="12"/>
  <c r="Y278" i="12"/>
  <c r="AR278" i="12"/>
  <c r="AA278" i="12"/>
  <c r="AM278" i="12"/>
  <c r="AO278" i="12"/>
  <c r="AG278" i="12"/>
  <c r="D278" i="12"/>
  <c r="AB278" i="12"/>
  <c r="A279" i="12" a="1"/>
  <c r="V278" i="12" l="1"/>
  <c r="R278" i="12"/>
  <c r="O278" i="12"/>
  <c r="U278" i="12"/>
  <c r="A279" i="12"/>
  <c r="AI278" i="12"/>
  <c r="M278" i="12"/>
  <c r="H278" i="12"/>
  <c r="G278" i="12"/>
  <c r="F278" i="12"/>
  <c r="T278" i="12"/>
  <c r="S278" i="12"/>
  <c r="P278" i="12"/>
  <c r="N278" i="12"/>
  <c r="AU278" i="12"/>
  <c r="Q278" i="12"/>
  <c r="W278" i="12" l="1"/>
  <c r="AR279" i="12"/>
  <c r="K279" i="12"/>
  <c r="AH279" i="12"/>
  <c r="AL279" i="12"/>
  <c r="L279" i="12"/>
  <c r="J279" i="12"/>
  <c r="E279" i="12"/>
  <c r="AN279" i="12"/>
  <c r="AQ279" i="12"/>
  <c r="AS279" i="12"/>
  <c r="AA279" i="12"/>
  <c r="Z279" i="12"/>
  <c r="AO279" i="12"/>
  <c r="AF279" i="12"/>
  <c r="AC279" i="12"/>
  <c r="AK279" i="12"/>
  <c r="B279" i="12"/>
  <c r="AG279" i="12"/>
  <c r="AM279" i="12"/>
  <c r="AP279" i="12"/>
  <c r="AT279" i="12"/>
  <c r="Y279" i="12"/>
  <c r="AB279" i="12"/>
  <c r="AD279" i="12"/>
  <c r="I279" i="12"/>
  <c r="D279" i="12"/>
  <c r="C279" i="12"/>
  <c r="AE279" i="12"/>
  <c r="A280" i="12" a="1"/>
  <c r="T279" i="12" l="1"/>
  <c r="S279" i="12"/>
  <c r="N279" i="12"/>
  <c r="P279" i="12"/>
  <c r="U279" i="12"/>
  <c r="Q279" i="12"/>
  <c r="A280" i="12"/>
  <c r="F279" i="12"/>
  <c r="H279" i="12"/>
  <c r="G279" i="12"/>
  <c r="AI279" i="12"/>
  <c r="M279" i="12"/>
  <c r="O279" i="12"/>
  <c r="V279" i="12"/>
  <c r="R279" i="12"/>
  <c r="AU279" i="12"/>
  <c r="W279" i="12" l="1"/>
  <c r="J280" i="12"/>
  <c r="AM280" i="12"/>
  <c r="AA280" i="12"/>
  <c r="K280" i="12"/>
  <c r="AE280" i="12"/>
  <c r="I280" i="12"/>
  <c r="AT280" i="12"/>
  <c r="AF280" i="12"/>
  <c r="AG280" i="12"/>
  <c r="L280" i="12"/>
  <c r="Y280" i="12"/>
  <c r="AN280" i="12"/>
  <c r="Z280" i="12"/>
  <c r="AC280" i="12"/>
  <c r="B280" i="12"/>
  <c r="C280" i="12"/>
  <c r="AP280" i="12"/>
  <c r="AB280" i="12"/>
  <c r="AD280" i="12"/>
  <c r="D280" i="12"/>
  <c r="AR280" i="12"/>
  <c r="AQ280" i="12"/>
  <c r="E280" i="12"/>
  <c r="AS280" i="12"/>
  <c r="AL280" i="12"/>
  <c r="AK280" i="12"/>
  <c r="AH280" i="12"/>
  <c r="AO280" i="12"/>
  <c r="A281" i="12" a="1"/>
  <c r="O280" i="12" l="1"/>
  <c r="R280" i="12"/>
  <c r="N280" i="12"/>
  <c r="Q280" i="12"/>
  <c r="U280" i="12"/>
  <c r="A281" i="12"/>
  <c r="P280" i="12"/>
  <c r="G280" i="12"/>
  <c r="H280" i="12"/>
  <c r="F280" i="12"/>
  <c r="S280" i="12"/>
  <c r="V280" i="12"/>
  <c r="M280" i="12"/>
  <c r="AI280" i="12"/>
  <c r="AU280" i="12"/>
  <c r="T280" i="12"/>
  <c r="W280" i="12" l="1"/>
  <c r="AC281" i="12"/>
  <c r="AL281" i="12"/>
  <c r="AQ281" i="12"/>
  <c r="AF281" i="12"/>
  <c r="AM281" i="12"/>
  <c r="AH281" i="12"/>
  <c r="AO281" i="12"/>
  <c r="AN281" i="12"/>
  <c r="C281" i="12"/>
  <c r="AE281" i="12"/>
  <c r="Z281" i="12"/>
  <c r="D281" i="12"/>
  <c r="AB281" i="12"/>
  <c r="E281" i="12"/>
  <c r="K281" i="12"/>
  <c r="J281" i="12"/>
  <c r="AD281" i="12"/>
  <c r="AP281" i="12"/>
  <c r="AK281" i="12"/>
  <c r="AR281" i="12"/>
  <c r="AT281" i="12"/>
  <c r="AS281" i="12"/>
  <c r="AA281" i="12"/>
  <c r="Y281" i="12"/>
  <c r="AG281" i="12"/>
  <c r="I281" i="12"/>
  <c r="B281" i="12"/>
  <c r="L281" i="12"/>
  <c r="A282" i="12" a="1"/>
  <c r="N281" i="12" l="1"/>
  <c r="O281" i="12"/>
  <c r="V281" i="12"/>
  <c r="A282" i="12"/>
  <c r="H281" i="12"/>
  <c r="G281" i="12"/>
  <c r="F281" i="12"/>
  <c r="M281" i="12"/>
  <c r="AI281" i="12"/>
  <c r="P281" i="12"/>
  <c r="T281" i="12"/>
  <c r="AU281" i="12"/>
  <c r="S281" i="12"/>
  <c r="U281" i="12"/>
  <c r="R281" i="12"/>
  <c r="Q281" i="12"/>
  <c r="W281" i="12" l="1"/>
  <c r="L282" i="12"/>
  <c r="AN282" i="12"/>
  <c r="AQ282" i="12"/>
  <c r="AS282" i="12"/>
  <c r="AT282" i="12"/>
  <c r="Y282" i="12"/>
  <c r="AK282" i="12"/>
  <c r="J282" i="12"/>
  <c r="I282" i="12"/>
  <c r="AA282" i="12"/>
  <c r="AG282" i="12"/>
  <c r="AO282" i="12"/>
  <c r="C282" i="12"/>
  <c r="AL282" i="12"/>
  <c r="AC282" i="12"/>
  <c r="AP282" i="12"/>
  <c r="AM282" i="12"/>
  <c r="B282" i="12"/>
  <c r="AR282" i="12"/>
  <c r="AE282" i="12"/>
  <c r="K282" i="12"/>
  <c r="AF282" i="12"/>
  <c r="D282" i="12"/>
  <c r="AH282" i="12"/>
  <c r="Z282" i="12"/>
  <c r="AB282" i="12"/>
  <c r="E282" i="12"/>
  <c r="AD282" i="12"/>
  <c r="A283" i="12" a="1"/>
  <c r="R282" i="12" l="1"/>
  <c r="P282" i="12"/>
  <c r="S282" i="12"/>
  <c r="T282" i="12"/>
  <c r="O282" i="12"/>
  <c r="Q282" i="12"/>
  <c r="AU282" i="12"/>
  <c r="A283" i="12"/>
  <c r="AI282" i="12"/>
  <c r="M282" i="12"/>
  <c r="G282" i="12"/>
  <c r="H282" i="12"/>
  <c r="F282" i="12"/>
  <c r="U282" i="12"/>
  <c r="N282" i="12"/>
  <c r="V282" i="12"/>
  <c r="W282" i="12" l="1"/>
  <c r="AQ283" i="12"/>
  <c r="AG283" i="12"/>
  <c r="AR283" i="12"/>
  <c r="D283" i="12"/>
  <c r="AC283" i="12"/>
  <c r="C283" i="12"/>
  <c r="AS283" i="12"/>
  <c r="AL283" i="12"/>
  <c r="AF283" i="12"/>
  <c r="B283" i="12"/>
  <c r="I283" i="12"/>
  <c r="Y283" i="12"/>
  <c r="AB283" i="12"/>
  <c r="L283" i="12"/>
  <c r="AT283" i="12"/>
  <c r="AN283" i="12"/>
  <c r="AE283" i="12"/>
  <c r="AP283" i="12"/>
  <c r="Z283" i="12"/>
  <c r="K283" i="12"/>
  <c r="AA283" i="12"/>
  <c r="AK283" i="12"/>
  <c r="AM283" i="12"/>
  <c r="AD283" i="12"/>
  <c r="E283" i="12"/>
  <c r="AH283" i="12"/>
  <c r="AO283" i="12"/>
  <c r="J283" i="12"/>
  <c r="A284" i="12" a="1"/>
  <c r="P283" i="12" l="1"/>
  <c r="N283" i="12"/>
  <c r="S283" i="12"/>
  <c r="Q283" i="12"/>
  <c r="A284" i="12"/>
  <c r="O283" i="12"/>
  <c r="AI283" i="12"/>
  <c r="M283" i="12"/>
  <c r="H283" i="12"/>
  <c r="G283" i="12"/>
  <c r="F283" i="12"/>
  <c r="T283" i="12"/>
  <c r="AU283" i="12"/>
  <c r="V283" i="12"/>
  <c r="U283" i="12"/>
  <c r="R283" i="12"/>
  <c r="W283" i="12" l="1"/>
  <c r="D284" i="12"/>
  <c r="K284" i="12"/>
  <c r="C284" i="12"/>
  <c r="AQ284" i="12"/>
  <c r="AM284" i="12"/>
  <c r="AS284" i="12"/>
  <c r="AR284" i="12"/>
  <c r="Y284" i="12"/>
  <c r="E284" i="12"/>
  <c r="AP284" i="12"/>
  <c r="AH284" i="12"/>
  <c r="AN284" i="12"/>
  <c r="AO284" i="12"/>
  <c r="AG284" i="12"/>
  <c r="AF284" i="12"/>
  <c r="AE284" i="12"/>
  <c r="AL284" i="12"/>
  <c r="AB284" i="12"/>
  <c r="AA284" i="12"/>
  <c r="Z284" i="12"/>
  <c r="L284" i="12"/>
  <c r="J284" i="12"/>
  <c r="AD284" i="12"/>
  <c r="B284" i="12"/>
  <c r="AK284" i="12"/>
  <c r="AT284" i="12"/>
  <c r="AC284" i="12"/>
  <c r="I284" i="12"/>
  <c r="A285" i="12" a="1"/>
  <c r="N284" i="12" l="1"/>
  <c r="R284" i="12"/>
  <c r="V284" i="12"/>
  <c r="T284" i="12"/>
  <c r="U284" i="12"/>
  <c r="A285" i="12"/>
  <c r="O284" i="12"/>
  <c r="P284" i="12"/>
  <c r="Q284" i="12"/>
  <c r="AU284" i="12"/>
  <c r="F284" i="12"/>
  <c r="G284" i="12"/>
  <c r="H284" i="12"/>
  <c r="S284" i="12"/>
  <c r="M284" i="12"/>
  <c r="AI284" i="12"/>
  <c r="W284" i="12" l="1"/>
  <c r="AA285" i="12"/>
  <c r="AF285" i="12"/>
  <c r="Y285" i="12"/>
  <c r="AG285" i="12"/>
  <c r="D285" i="12"/>
  <c r="C285" i="12"/>
  <c r="AP285" i="12"/>
  <c r="AD285" i="12"/>
  <c r="AE285" i="12"/>
  <c r="AQ285" i="12"/>
  <c r="AL285" i="12"/>
  <c r="AR285" i="12"/>
  <c r="AK285" i="12"/>
  <c r="AO285" i="12"/>
  <c r="AC285" i="12"/>
  <c r="B285" i="12"/>
  <c r="E285" i="12"/>
  <c r="AH285" i="12"/>
  <c r="AN285" i="12"/>
  <c r="J285" i="12"/>
  <c r="Z285" i="12"/>
  <c r="AS285" i="12"/>
  <c r="AT285" i="12"/>
  <c r="L285" i="12"/>
  <c r="AB285" i="12"/>
  <c r="AM285" i="12"/>
  <c r="I285" i="12"/>
  <c r="K285" i="12"/>
  <c r="A286" i="12" a="1"/>
  <c r="N285" i="12" l="1"/>
  <c r="Q285" i="12"/>
  <c r="A286" i="12"/>
  <c r="AU285" i="12"/>
  <c r="U285" i="12"/>
  <c r="AI285" i="12"/>
  <c r="M285" i="12"/>
  <c r="V285" i="12"/>
  <c r="T285" i="12"/>
  <c r="P285" i="12"/>
  <c r="H285" i="12"/>
  <c r="F285" i="12"/>
  <c r="G285" i="12"/>
  <c r="S285" i="12"/>
  <c r="O285" i="12"/>
  <c r="R285" i="12"/>
  <c r="W285" i="12" l="1"/>
  <c r="AR286" i="12"/>
  <c r="AB286" i="12"/>
  <c r="AS286" i="12"/>
  <c r="AP286" i="12"/>
  <c r="AA286" i="12"/>
  <c r="E286" i="12"/>
  <c r="I286" i="12"/>
  <c r="AD286" i="12"/>
  <c r="J286" i="12"/>
  <c r="L286" i="12"/>
  <c r="AN286" i="12"/>
  <c r="AH286" i="12"/>
  <c r="AE286" i="12"/>
  <c r="AK286" i="12"/>
  <c r="K286" i="12"/>
  <c r="Z286" i="12"/>
  <c r="AF286" i="12"/>
  <c r="Y286" i="12"/>
  <c r="AQ286" i="12"/>
  <c r="AO286" i="12"/>
  <c r="AL286" i="12"/>
  <c r="AC286" i="12"/>
  <c r="B286" i="12"/>
  <c r="AG286" i="12"/>
  <c r="D286" i="12"/>
  <c r="AT286" i="12"/>
  <c r="C286" i="12"/>
  <c r="AM286" i="12"/>
  <c r="A287" i="12" a="1"/>
  <c r="T286" i="12" l="1"/>
  <c r="S286" i="12"/>
  <c r="V286" i="12"/>
  <c r="Q286" i="12"/>
  <c r="AU286" i="12"/>
  <c r="O286" i="12"/>
  <c r="A287" i="12"/>
  <c r="G286" i="12"/>
  <c r="H286" i="12"/>
  <c r="F286" i="12"/>
  <c r="M286" i="12"/>
  <c r="AI286" i="12"/>
  <c r="P286" i="12"/>
  <c r="U286" i="12"/>
  <c r="N286" i="12"/>
  <c r="R286" i="12"/>
  <c r="W286" i="12" l="1"/>
  <c r="Y287" i="12"/>
  <c r="AF287" i="12"/>
  <c r="AE287" i="12"/>
  <c r="AP287" i="12"/>
  <c r="AL287" i="12"/>
  <c r="AH287" i="12"/>
  <c r="L287" i="12"/>
  <c r="AQ287" i="12"/>
  <c r="D287" i="12"/>
  <c r="AA287" i="12"/>
  <c r="J287" i="12"/>
  <c r="AN287" i="12"/>
  <c r="AB287" i="12"/>
  <c r="Z287" i="12"/>
  <c r="AO287" i="12"/>
  <c r="I287" i="12"/>
  <c r="AD287" i="12"/>
  <c r="E287" i="12"/>
  <c r="AK287" i="12"/>
  <c r="AG287" i="12"/>
  <c r="B287" i="12"/>
  <c r="AR287" i="12"/>
  <c r="AS287" i="12"/>
  <c r="AC287" i="12"/>
  <c r="AT287" i="12"/>
  <c r="AM287" i="12"/>
  <c r="C287" i="12"/>
  <c r="K287" i="12"/>
  <c r="A288" i="12" a="1"/>
  <c r="V287" i="12" l="1"/>
  <c r="P287" i="12"/>
  <c r="N287" i="12"/>
  <c r="S287" i="12"/>
  <c r="A288" i="12"/>
  <c r="U287" i="12"/>
  <c r="T287" i="12"/>
  <c r="R287" i="12"/>
  <c r="AI287" i="12"/>
  <c r="M287" i="12"/>
  <c r="AU287" i="12"/>
  <c r="F287" i="12"/>
  <c r="G287" i="12"/>
  <c r="H287" i="12"/>
  <c r="O287" i="12"/>
  <c r="Q287" i="12"/>
  <c r="W287" i="12" l="1"/>
  <c r="AR288" i="12"/>
  <c r="AD288" i="12"/>
  <c r="AL288" i="12"/>
  <c r="Y288" i="12"/>
  <c r="AM288" i="12"/>
  <c r="C288" i="12"/>
  <c r="AK288" i="12"/>
  <c r="AH288" i="12"/>
  <c r="AA288" i="12"/>
  <c r="AP288" i="12"/>
  <c r="AQ288" i="12"/>
  <c r="AC288" i="12"/>
  <c r="AN288" i="12"/>
  <c r="E288" i="12"/>
  <c r="D288" i="12"/>
  <c r="K288" i="12"/>
  <c r="I288" i="12"/>
  <c r="L288" i="12"/>
  <c r="AO288" i="12"/>
  <c r="B288" i="12"/>
  <c r="AT288" i="12"/>
  <c r="J288" i="12"/>
  <c r="AF288" i="12"/>
  <c r="Z288" i="12"/>
  <c r="AS288" i="12"/>
  <c r="AE288" i="12"/>
  <c r="AB288" i="12"/>
  <c r="AG288" i="12"/>
  <c r="A289" i="12" a="1"/>
  <c r="T288" i="12" l="1"/>
  <c r="U288" i="12"/>
  <c r="Q288" i="12"/>
  <c r="AU288" i="12"/>
  <c r="N288" i="12"/>
  <c r="V288" i="12"/>
  <c r="A289" i="12"/>
  <c r="F288" i="12"/>
  <c r="H288" i="12"/>
  <c r="G288" i="12"/>
  <c r="M288" i="12"/>
  <c r="AI288" i="12"/>
  <c r="R288" i="12"/>
  <c r="P288" i="12"/>
  <c r="S288" i="12"/>
  <c r="O288" i="12"/>
  <c r="W288" i="12" l="1"/>
  <c r="I289" i="12"/>
  <c r="E289" i="12"/>
  <c r="AQ289" i="12"/>
  <c r="D289" i="12"/>
  <c r="AD289" i="12"/>
  <c r="L289" i="12"/>
  <c r="AR289" i="12"/>
  <c r="AH289" i="12"/>
  <c r="C289" i="12"/>
  <c r="Z289" i="12"/>
  <c r="AP289" i="12"/>
  <c r="AF289" i="12"/>
  <c r="AB289" i="12"/>
  <c r="AO289" i="12"/>
  <c r="AA289" i="12"/>
  <c r="B289" i="12"/>
  <c r="AS289" i="12"/>
  <c r="AC289" i="12"/>
  <c r="J289" i="12"/>
  <c r="AM289" i="12"/>
  <c r="AE289" i="12"/>
  <c r="AT289" i="12"/>
  <c r="Y289" i="12"/>
  <c r="AG289" i="12"/>
  <c r="AN289" i="12"/>
  <c r="K289" i="12"/>
  <c r="AL289" i="12"/>
  <c r="AK289" i="12"/>
  <c r="A290" i="12" a="1"/>
  <c r="S289" i="12" l="1"/>
  <c r="P289" i="12"/>
  <c r="R289" i="12"/>
  <c r="O289" i="12"/>
  <c r="U289" i="12"/>
  <c r="A290" i="12"/>
  <c r="M289" i="12"/>
  <c r="AI289" i="12"/>
  <c r="T289" i="12"/>
  <c r="AU289" i="12"/>
  <c r="Q289" i="12"/>
  <c r="N289" i="12"/>
  <c r="F289" i="12"/>
  <c r="G289" i="12"/>
  <c r="H289" i="12"/>
  <c r="V289" i="12"/>
  <c r="W289" i="12" l="1"/>
  <c r="AQ290" i="12"/>
  <c r="AS290" i="12"/>
  <c r="AL290" i="12"/>
  <c r="Z290" i="12"/>
  <c r="J290" i="12"/>
  <c r="AD290" i="12"/>
  <c r="AC290" i="12"/>
  <c r="AH290" i="12"/>
  <c r="AA290" i="12"/>
  <c r="AG290" i="12"/>
  <c r="D290" i="12"/>
  <c r="AM290" i="12"/>
  <c r="AO290" i="12"/>
  <c r="Y290" i="12"/>
  <c r="C290" i="12"/>
  <c r="AR290" i="12"/>
  <c r="AB290" i="12"/>
  <c r="L290" i="12"/>
  <c r="AF290" i="12"/>
  <c r="K290" i="12"/>
  <c r="AE290" i="12"/>
  <c r="E290" i="12"/>
  <c r="I290" i="12"/>
  <c r="AP290" i="12"/>
  <c r="B290" i="12"/>
  <c r="AT290" i="12"/>
  <c r="AK290" i="12"/>
  <c r="AN290" i="12"/>
  <c r="A291" i="12" a="1"/>
  <c r="S290" i="12" l="1"/>
  <c r="N290" i="12"/>
  <c r="T290" i="12"/>
  <c r="R290" i="12"/>
  <c r="Q290" i="12"/>
  <c r="U290" i="12"/>
  <c r="A291" i="12"/>
  <c r="G290" i="12"/>
  <c r="F290" i="12"/>
  <c r="H290" i="12"/>
  <c r="P290" i="12"/>
  <c r="O290" i="12"/>
  <c r="AI290" i="12"/>
  <c r="M290" i="12"/>
  <c r="AU290" i="12"/>
  <c r="V290" i="12"/>
  <c r="W290" i="12" l="1"/>
  <c r="AL291" i="12"/>
  <c r="J291" i="12"/>
  <c r="AB291" i="12"/>
  <c r="AF291" i="12"/>
  <c r="AK291" i="12"/>
  <c r="Y291" i="12"/>
  <c r="AC291" i="12"/>
  <c r="AR291" i="12"/>
  <c r="AH291" i="12"/>
  <c r="AS291" i="12"/>
  <c r="AP291" i="12"/>
  <c r="AO291" i="12"/>
  <c r="Z291" i="12"/>
  <c r="AG291" i="12"/>
  <c r="K291" i="12"/>
  <c r="C291" i="12"/>
  <c r="AT291" i="12"/>
  <c r="L291" i="12"/>
  <c r="AN291" i="12"/>
  <c r="D291" i="12"/>
  <c r="AA291" i="12"/>
  <c r="E291" i="12"/>
  <c r="AM291" i="12"/>
  <c r="B291" i="12"/>
  <c r="AE291" i="12"/>
  <c r="AD291" i="12"/>
  <c r="AQ291" i="12"/>
  <c r="I291" i="12"/>
  <c r="A292" i="12" a="1"/>
  <c r="N291" i="12" l="1"/>
  <c r="U291" i="12"/>
  <c r="Q291" i="12"/>
  <c r="A292" i="12"/>
  <c r="O291" i="12"/>
  <c r="T291" i="12"/>
  <c r="R291" i="12"/>
  <c r="G291" i="12"/>
  <c r="H291" i="12"/>
  <c r="F291" i="12"/>
  <c r="AI291" i="12"/>
  <c r="M291" i="12"/>
  <c r="AU291" i="12"/>
  <c r="P291" i="12"/>
  <c r="S291" i="12"/>
  <c r="V291" i="12"/>
  <c r="W291" i="12" l="1"/>
  <c r="AT292" i="12"/>
  <c r="E292" i="12"/>
  <c r="B292" i="12"/>
  <c r="AK292" i="12"/>
  <c r="AM292" i="12"/>
  <c r="AG292" i="12"/>
  <c r="I292" i="12"/>
  <c r="AH292" i="12"/>
  <c r="C292" i="12"/>
  <c r="AQ292" i="12"/>
  <c r="AC292" i="12"/>
  <c r="AR292" i="12"/>
  <c r="AE292" i="12"/>
  <c r="AN292" i="12"/>
  <c r="AP292" i="12"/>
  <c r="AS292" i="12"/>
  <c r="AL292" i="12"/>
  <c r="AO292" i="12"/>
  <c r="K292" i="12"/>
  <c r="AA292" i="12"/>
  <c r="Y292" i="12"/>
  <c r="Z292" i="12"/>
  <c r="AD292" i="12"/>
  <c r="L292" i="12"/>
  <c r="AF292" i="12"/>
  <c r="J292" i="12"/>
  <c r="D292" i="12"/>
  <c r="AB292" i="12"/>
  <c r="A293" i="12" a="1"/>
  <c r="Q292" i="12" l="1"/>
  <c r="U292" i="12"/>
  <c r="R292" i="12"/>
  <c r="N292" i="12"/>
  <c r="S292" i="12"/>
  <c r="A293" i="12"/>
  <c r="M292" i="12"/>
  <c r="AI292" i="12"/>
  <c r="O292" i="12"/>
  <c r="P292" i="12"/>
  <c r="AU292" i="12"/>
  <c r="H292" i="12"/>
  <c r="G292" i="12"/>
  <c r="F292" i="12"/>
  <c r="T292" i="12"/>
  <c r="V292" i="12"/>
  <c r="W292" i="12" l="1"/>
  <c r="D293" i="12"/>
  <c r="Z293" i="12"/>
  <c r="J293" i="12"/>
  <c r="AC293" i="12"/>
  <c r="AE293" i="12"/>
  <c r="AG293" i="12"/>
  <c r="AN293" i="12"/>
  <c r="L293" i="12"/>
  <c r="I293" i="12"/>
  <c r="AM293" i="12"/>
  <c r="AO293" i="12"/>
  <c r="AP293" i="12"/>
  <c r="AQ293" i="12"/>
  <c r="AT293" i="12"/>
  <c r="AD293" i="12"/>
  <c r="B293" i="12"/>
  <c r="AR293" i="12"/>
  <c r="Y293" i="12"/>
  <c r="E293" i="12"/>
  <c r="AF293" i="12"/>
  <c r="C293" i="12"/>
  <c r="K293" i="12"/>
  <c r="AK293" i="12"/>
  <c r="AH293" i="12"/>
  <c r="AS293" i="12"/>
  <c r="AA293" i="12"/>
  <c r="AB293" i="12"/>
  <c r="AL293" i="12"/>
  <c r="A294" i="12" a="1"/>
  <c r="Q293" i="12" l="1"/>
  <c r="T293" i="12"/>
  <c r="O293" i="12"/>
  <c r="U293" i="12"/>
  <c r="AU293" i="12"/>
  <c r="R293" i="12"/>
  <c r="V293" i="12"/>
  <c r="A294" i="12"/>
  <c r="S293" i="12"/>
  <c r="P293" i="12"/>
  <c r="N293" i="12"/>
  <c r="H293" i="12"/>
  <c r="F293" i="12"/>
  <c r="G293" i="12"/>
  <c r="AI293" i="12"/>
  <c r="M293" i="12"/>
  <c r="W293" i="12" l="1"/>
  <c r="AP294" i="12"/>
  <c r="B294" i="12"/>
  <c r="AE294" i="12"/>
  <c r="AC294" i="12"/>
  <c r="AR294" i="12"/>
  <c r="AO294" i="12"/>
  <c r="AM294" i="12"/>
  <c r="AA294" i="12"/>
  <c r="AH294" i="12"/>
  <c r="Z294" i="12"/>
  <c r="AG294" i="12"/>
  <c r="AN294" i="12"/>
  <c r="AD294" i="12"/>
  <c r="I294" i="12"/>
  <c r="AF294" i="12"/>
  <c r="K294" i="12"/>
  <c r="AK294" i="12"/>
  <c r="C294" i="12"/>
  <c r="L294" i="12"/>
  <c r="D294" i="12"/>
  <c r="AQ294" i="12"/>
  <c r="AT294" i="12"/>
  <c r="AS294" i="12"/>
  <c r="AL294" i="12"/>
  <c r="AB294" i="12"/>
  <c r="J294" i="12"/>
  <c r="E294" i="12"/>
  <c r="Y294" i="12"/>
  <c r="A295" i="12" a="1"/>
  <c r="R294" i="12" l="1"/>
  <c r="T294" i="12"/>
  <c r="O294" i="12"/>
  <c r="A295" i="12"/>
  <c r="F294" i="12"/>
  <c r="G294" i="12"/>
  <c r="H294" i="12"/>
  <c r="AI294" i="12"/>
  <c r="M294" i="12"/>
  <c r="Q294" i="12"/>
  <c r="U294" i="12"/>
  <c r="S294" i="12"/>
  <c r="N294" i="12"/>
  <c r="P294" i="12"/>
  <c r="AU294" i="12"/>
  <c r="V294" i="12"/>
  <c r="W294" i="12" l="1"/>
  <c r="AS295" i="12"/>
  <c r="AC295" i="12"/>
  <c r="AN295" i="12"/>
  <c r="I295" i="12"/>
  <c r="AL295" i="12"/>
  <c r="AF295" i="12"/>
  <c r="AO295" i="12"/>
  <c r="L295" i="12"/>
  <c r="J295" i="12"/>
  <c r="Y295" i="12"/>
  <c r="AH295" i="12"/>
  <c r="AM295" i="12"/>
  <c r="AE295" i="12"/>
  <c r="Z295" i="12"/>
  <c r="K295" i="12"/>
  <c r="C295" i="12"/>
  <c r="AA295" i="12"/>
  <c r="AQ295" i="12"/>
  <c r="AB295" i="12"/>
  <c r="B295" i="12"/>
  <c r="AT295" i="12"/>
  <c r="AD295" i="12"/>
  <c r="AK295" i="12"/>
  <c r="D295" i="12"/>
  <c r="AG295" i="12"/>
  <c r="AP295" i="12"/>
  <c r="E295" i="12"/>
  <c r="AR295" i="12"/>
  <c r="A296" i="12" a="1"/>
  <c r="U295" i="12" l="1"/>
  <c r="S295" i="12"/>
  <c r="R295" i="12"/>
  <c r="P295" i="12"/>
  <c r="N295" i="12"/>
  <c r="T295" i="12"/>
  <c r="AU295" i="12"/>
  <c r="A296" i="12"/>
  <c r="F295" i="12"/>
  <c r="G295" i="12"/>
  <c r="H295" i="12"/>
  <c r="V295" i="12"/>
  <c r="Q295" i="12"/>
  <c r="O295" i="12"/>
  <c r="M295" i="12"/>
  <c r="AI295" i="12"/>
  <c r="W295" i="12" l="1"/>
  <c r="AR296" i="12"/>
  <c r="J296" i="12"/>
  <c r="AO296" i="12"/>
  <c r="E296" i="12"/>
  <c r="AA296" i="12"/>
  <c r="AS296" i="12"/>
  <c r="AP296" i="12"/>
  <c r="AQ296" i="12"/>
  <c r="AG296" i="12"/>
  <c r="AE296" i="12"/>
  <c r="C296" i="12"/>
  <c r="B296" i="12"/>
  <c r="AK296" i="12"/>
  <c r="AL296" i="12"/>
  <c r="Z296" i="12"/>
  <c r="AN296" i="12"/>
  <c r="AT296" i="12"/>
  <c r="AC296" i="12"/>
  <c r="K296" i="12"/>
  <c r="D296" i="12"/>
  <c r="AH296" i="12"/>
  <c r="AM296" i="12"/>
  <c r="I296" i="12"/>
  <c r="AD296" i="12"/>
  <c r="AB296" i="12"/>
  <c r="L296" i="12"/>
  <c r="AF296" i="12"/>
  <c r="Y296" i="12"/>
  <c r="A297" i="12" a="1"/>
  <c r="T296" i="12" l="1"/>
  <c r="V296" i="12"/>
  <c r="N296" i="12"/>
  <c r="R296" i="12"/>
  <c r="A297" i="12"/>
  <c r="O296" i="12"/>
  <c r="AU296" i="12"/>
  <c r="M296" i="12"/>
  <c r="AI296" i="12"/>
  <c r="H296" i="12"/>
  <c r="F296" i="12"/>
  <c r="G296" i="12"/>
  <c r="Q296" i="12"/>
  <c r="S296" i="12"/>
  <c r="P296" i="12"/>
  <c r="U296" i="12"/>
  <c r="W296" i="12" l="1"/>
  <c r="L297" i="12"/>
  <c r="J297" i="12"/>
  <c r="E297" i="12"/>
  <c r="AN297" i="12"/>
  <c r="D297" i="12"/>
  <c r="AF297" i="12"/>
  <c r="AQ297" i="12"/>
  <c r="B297" i="12"/>
  <c r="AS297" i="12"/>
  <c r="AT297" i="12"/>
  <c r="Z297" i="12"/>
  <c r="AL297" i="12"/>
  <c r="AE297" i="12"/>
  <c r="K297" i="12"/>
  <c r="AB297" i="12"/>
  <c r="AK297" i="12"/>
  <c r="I297" i="12"/>
  <c r="AA297" i="12"/>
  <c r="AP297" i="12"/>
  <c r="AD297" i="12"/>
  <c r="AC297" i="12"/>
  <c r="AO297" i="12"/>
  <c r="AM297" i="12"/>
  <c r="Y297" i="12"/>
  <c r="AR297" i="12"/>
  <c r="C297" i="12"/>
  <c r="AG297" i="12"/>
  <c r="AH297" i="12"/>
  <c r="A298" i="12" a="1"/>
  <c r="V297" i="12" l="1"/>
  <c r="U297" i="12"/>
  <c r="R297" i="12"/>
  <c r="T297" i="12"/>
  <c r="P297" i="12"/>
  <c r="AU297" i="12"/>
  <c r="A298" i="12"/>
  <c r="M297" i="12"/>
  <c r="AI297" i="12"/>
  <c r="Q297" i="12"/>
  <c r="S297" i="12"/>
  <c r="N297" i="12"/>
  <c r="H297" i="12"/>
  <c r="F297" i="12"/>
  <c r="G297" i="12"/>
  <c r="O297" i="12"/>
  <c r="W297" i="12" l="1"/>
  <c r="C298" i="12"/>
  <c r="AT298" i="12"/>
  <c r="B298" i="12"/>
  <c r="J298" i="12"/>
  <c r="K298" i="12"/>
  <c r="Z298" i="12"/>
  <c r="AE298" i="12"/>
  <c r="AO298" i="12"/>
  <c r="AL298" i="12"/>
  <c r="AQ298" i="12"/>
  <c r="AD298" i="12"/>
  <c r="AB298" i="12"/>
  <c r="AM298" i="12"/>
  <c r="AA298" i="12"/>
  <c r="AN298" i="12"/>
  <c r="AS298" i="12"/>
  <c r="L298" i="12"/>
  <c r="AC298" i="12"/>
  <c r="Y298" i="12"/>
  <c r="I298" i="12"/>
  <c r="E298" i="12"/>
  <c r="AP298" i="12"/>
  <c r="AF298" i="12"/>
  <c r="AK298" i="12"/>
  <c r="AR298" i="12"/>
  <c r="AG298" i="12"/>
  <c r="D298" i="12"/>
  <c r="AH298" i="12"/>
  <c r="V298" i="12" s="1"/>
  <c r="A299" i="12" a="1"/>
  <c r="U298" i="12" l="1"/>
  <c r="Q298" i="12"/>
  <c r="T298" i="12"/>
  <c r="N298" i="12"/>
  <c r="S298" i="12"/>
  <c r="O298" i="12"/>
  <c r="A299" i="12"/>
  <c r="G298" i="12"/>
  <c r="H298" i="12"/>
  <c r="F298" i="12"/>
  <c r="P298" i="12"/>
  <c r="R298" i="12"/>
  <c r="AI298" i="12"/>
  <c r="M298" i="12"/>
  <c r="AU298" i="12"/>
  <c r="W298" i="12" l="1"/>
  <c r="AO299" i="12"/>
  <c r="D299" i="12"/>
  <c r="Y299" i="12"/>
  <c r="AQ299" i="12"/>
  <c r="J299" i="12"/>
  <c r="AP299" i="12"/>
  <c r="AR299" i="12"/>
  <c r="AB299" i="12"/>
  <c r="C299" i="12"/>
  <c r="K299" i="12"/>
  <c r="AM299" i="12"/>
  <c r="AL299" i="12"/>
  <c r="E299" i="12"/>
  <c r="B299" i="12"/>
  <c r="Z299" i="12"/>
  <c r="AC299" i="12"/>
  <c r="AD299" i="12"/>
  <c r="AE299" i="12"/>
  <c r="AT299" i="12"/>
  <c r="AH299" i="12"/>
  <c r="I299" i="12"/>
  <c r="L299" i="12"/>
  <c r="AF299" i="12"/>
  <c r="AG299" i="12"/>
  <c r="AN299" i="12"/>
  <c r="AK299" i="12"/>
  <c r="AS299" i="12"/>
  <c r="AA299" i="12"/>
  <c r="A300" i="12" a="1"/>
  <c r="O299" i="12" l="1"/>
  <c r="V299" i="12"/>
  <c r="T299" i="12"/>
  <c r="N299" i="12"/>
  <c r="Q299" i="12"/>
  <c r="U299" i="12"/>
  <c r="P299" i="12"/>
  <c r="A300" i="12"/>
  <c r="M299" i="12"/>
  <c r="AI299" i="12"/>
  <c r="S299" i="12"/>
  <c r="H299" i="12"/>
  <c r="F299" i="12"/>
  <c r="G299" i="12"/>
  <c r="AU299" i="12"/>
  <c r="R299" i="12"/>
  <c r="W299" i="12" l="1"/>
  <c r="AO300" i="12"/>
  <c r="B300" i="12"/>
  <c r="AK300" i="12"/>
  <c r="I300" i="12"/>
  <c r="K300" i="12"/>
  <c r="AB300" i="12"/>
  <c r="AD300" i="12"/>
  <c r="AQ300" i="12"/>
  <c r="J300" i="12"/>
  <c r="AM300" i="12"/>
  <c r="Z300" i="12"/>
  <c r="AH300" i="12"/>
  <c r="L300" i="12"/>
  <c r="AA300" i="12"/>
  <c r="AC300" i="12"/>
  <c r="AN300" i="12"/>
  <c r="C300" i="12"/>
  <c r="AG300" i="12"/>
  <c r="AP300" i="12"/>
  <c r="AF300" i="12"/>
  <c r="Y300" i="12"/>
  <c r="E300" i="12"/>
  <c r="D300" i="12"/>
  <c r="AR300" i="12"/>
  <c r="AL300" i="12"/>
  <c r="AT300" i="12"/>
  <c r="AE300" i="12"/>
  <c r="AS300" i="12"/>
  <c r="Q300" i="12" l="1"/>
  <c r="O300" i="12"/>
  <c r="V300" i="12"/>
  <c r="N300" i="12"/>
  <c r="R300" i="12"/>
  <c r="P300" i="12"/>
  <c r="H300" i="12"/>
  <c r="F300" i="12"/>
  <c r="G300" i="12"/>
  <c r="M300" i="12"/>
  <c r="AI300" i="12"/>
  <c r="T300" i="12"/>
  <c r="S300" i="12"/>
  <c r="AU300" i="12"/>
  <c r="U300" i="12"/>
  <c r="W300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<sst xmlns="http://schemas.openxmlformats.org/spreadsheetml/2006/main" count="2505" uniqueCount="1511">
  <si>
    <t>Employee ID</t>
  </si>
  <si>
    <t>Store</t>
  </si>
  <si>
    <t>Preferred Name</t>
  </si>
  <si>
    <t>Rostered Total</t>
  </si>
  <si>
    <t>Add</t>
  </si>
  <si>
    <t>Ord</t>
  </si>
  <si>
    <t>Sat</t>
  </si>
  <si>
    <t>Sun</t>
  </si>
  <si>
    <t>Pub</t>
  </si>
  <si>
    <t>Eve 1</t>
  </si>
  <si>
    <t>Eve 2</t>
  </si>
  <si>
    <t>No. of Shifts</t>
  </si>
  <si>
    <t>Personal Leave</t>
  </si>
  <si>
    <t>Annual Leave</t>
  </si>
  <si>
    <t>Unpaid Leave</t>
  </si>
  <si>
    <t>Adjusted Total</t>
  </si>
  <si>
    <t>Comment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</si>
  <si>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</si>
  <si>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</si>
  <si>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</si>
  <si>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</si>
  <si>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</si>
  <si>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</si>
  <si>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</si>
  <si>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</si>
  <si>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</si>
  <si>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</si>
  <si>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</si>
  <si>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</si>
  <si>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</si>
  <si>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</si>
  <si>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Ziv Cheng</t>
  </si>
  <si>
    <t>no break/roster/meeting</t>
  </si>
  <si>
    <t>Ava Chiang</t>
  </si>
  <si>
    <t>Lala Nitta</t>
  </si>
  <si>
    <t>no break</t>
  </si>
  <si>
    <t>no break/roster</t>
  </si>
  <si>
    <t>First Name</t>
  </si>
  <si>
    <t>Last Name</t>
  </si>
  <si>
    <t>Date of Birth</t>
  </si>
  <si>
    <t>Update Wage</t>
  </si>
  <si>
    <t>Hour Threshold</t>
  </si>
  <si>
    <t>Labour Hire</t>
  </si>
  <si>
    <t>Operator</t>
  </si>
  <si>
    <t>Total</t>
  </si>
  <si>
    <t>Week1 Total</t>
  </si>
  <si>
    <t>Week 2 Total</t>
  </si>
  <si>
    <t>Company</t>
  </si>
  <si>
    <t>Level</t>
  </si>
  <si>
    <t>Chien Han</t>
  </si>
  <si>
    <t>Lee</t>
  </si>
  <si>
    <t>Ryan Lee</t>
  </si>
  <si>
    <t>GCM</t>
  </si>
  <si>
    <t>Level 3</t>
  </si>
  <si>
    <t>Chih-Ching</t>
  </si>
  <si>
    <t>Hsu</t>
  </si>
  <si>
    <t>Sharon Hsu</t>
  </si>
  <si>
    <t>Ching Yi</t>
  </si>
  <si>
    <t>Huang</t>
  </si>
  <si>
    <t>Amilli Huang</t>
  </si>
  <si>
    <t>Dan</t>
  </si>
  <si>
    <t>Yi</t>
  </si>
  <si>
    <t>Dan Yi</t>
  </si>
  <si>
    <t>Di</t>
  </si>
  <si>
    <t>Niu</t>
  </si>
  <si>
    <t>Jodie Niu</t>
  </si>
  <si>
    <t>Dianyu</t>
  </si>
  <si>
    <t>Wang</t>
  </si>
  <si>
    <t>Shephard wang</t>
  </si>
  <si>
    <t>SS</t>
  </si>
  <si>
    <t>Elissa</t>
  </si>
  <si>
    <t>Zhang</t>
  </si>
  <si>
    <t>Elissa Zhang</t>
  </si>
  <si>
    <t>Elsie</t>
  </si>
  <si>
    <t>Chan</t>
  </si>
  <si>
    <t>Elsie Chan</t>
  </si>
  <si>
    <t>Emon</t>
  </si>
  <si>
    <t>Peng</t>
  </si>
  <si>
    <t>Emon Peng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</si>
  <si>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</si>
  <si>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</si>
  <si>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</si>
  <si>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</si>
  <si>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</si>
  <si>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</si>
  <si>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</si>
  <si>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</si>
  <si>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</si>
  <si>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</si>
  <si>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</si>
  <si>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Hanna</t>
  </si>
  <si>
    <t>Jeong</t>
  </si>
  <si>
    <t>Hanna Jeong</t>
  </si>
  <si>
    <t>Haoxi</t>
  </si>
  <si>
    <t>Lu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</si>
  <si>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</si>
  <si>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</si>
  <si>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</si>
  <si>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</si>
  <si>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</si>
  <si>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</si>
  <si>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</si>
  <si>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</si>
  <si>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</si>
  <si>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</si>
  <si>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</si>
  <si>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</si>
  <si>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</si>
  <si>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</si>
  <si>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</si>
  <si>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Jiayu He</t>
  </si>
  <si>
    <t>Jie</t>
  </si>
  <si>
    <t>Genny Liu</t>
  </si>
  <si>
    <t>Jingwen</t>
  </si>
  <si>
    <t>Chen</t>
  </si>
  <si>
    <t>Jingwen Chen</t>
  </si>
  <si>
    <t>Jinyi</t>
  </si>
  <si>
    <t>Wu</t>
  </si>
  <si>
    <t>Kunlawach</t>
  </si>
  <si>
    <t>Aroonwing</t>
  </si>
  <si>
    <t>Jayden Aroonwing</t>
  </si>
  <si>
    <t>LINGYI</t>
  </si>
  <si>
    <t>LIU</t>
  </si>
  <si>
    <t>Aurora Liu</t>
  </si>
  <si>
    <t>Mohan</t>
  </si>
  <si>
    <t>Li</t>
  </si>
  <si>
    <t>Mohan Li</t>
  </si>
  <si>
    <t>Nancy</t>
  </si>
  <si>
    <t>Nancy Huang</t>
  </si>
  <si>
    <t>Onnida</t>
  </si>
  <si>
    <t>Tantinijkun</t>
  </si>
  <si>
    <t>Onny Tantinijkun</t>
  </si>
  <si>
    <t>MSC</t>
  </si>
  <si>
    <t>Phuong</t>
  </si>
  <si>
    <t>Le</t>
  </si>
  <si>
    <t>Phuong Le</t>
  </si>
  <si>
    <t>PO Yang</t>
  </si>
  <si>
    <t>Cheng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</si>
  <si>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</si>
  <si>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</si>
  <si>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</si>
  <si>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</si>
  <si>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</si>
  <si>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</si>
  <si>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</si>
  <si>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</si>
  <si>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</si>
  <si>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</si>
  <si>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</si>
  <si>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</si>
  <si>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</si>
  <si>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</si>
  <si>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</si>
  <si>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</si>
  <si>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Shun Lai Thiri</t>
  </si>
  <si>
    <t>Siew Wei</t>
  </si>
  <si>
    <t>Liew</t>
  </si>
  <si>
    <t>Sylvia Liew</t>
  </si>
  <si>
    <t>Su Myat</t>
  </si>
  <si>
    <t>Than Cin</t>
  </si>
  <si>
    <t>Su Myat Than Cin</t>
  </si>
  <si>
    <t>Tianshuo</t>
  </si>
  <si>
    <t>Kris Liu</t>
  </si>
  <si>
    <t>Tran Thu Hang</t>
  </si>
  <si>
    <t>Vu</t>
  </si>
  <si>
    <t>Zoe Vu</t>
  </si>
  <si>
    <t>Treerut</t>
  </si>
  <si>
    <t>Thadthai</t>
  </si>
  <si>
    <t>Bonnie Thadthai</t>
  </si>
  <si>
    <t>Van My</t>
  </si>
  <si>
    <t>Nguyen</t>
  </si>
  <si>
    <t>Van My Nguyen</t>
  </si>
  <si>
    <t>Wai Ching Catherine</t>
  </si>
  <si>
    <t>Choi</t>
  </si>
  <si>
    <t>Catherine Choi</t>
  </si>
  <si>
    <t>Wai Jet</t>
  </si>
  <si>
    <t>Lim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</si>
  <si>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</si>
  <si>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</si>
  <si>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</si>
  <si>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</si>
  <si>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</si>
  <si>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</si>
  <si>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</si>
  <si>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</si>
  <si>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</si>
  <si>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</si>
  <si>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</si>
  <si>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Yang</t>
  </si>
  <si>
    <t>Wylla Wang</t>
  </si>
  <si>
    <t>Antonio Zhang</t>
  </si>
  <si>
    <t>Yeyu</t>
  </si>
  <si>
    <t>Deng</t>
  </si>
  <si>
    <t>Derek Deng</t>
  </si>
  <si>
    <t>Yi-Jing</t>
  </si>
  <si>
    <t>Yijing Huang</t>
  </si>
  <si>
    <t>Yiran</t>
  </si>
  <si>
    <t>EOS Zhang</t>
  </si>
  <si>
    <t>Yu</t>
  </si>
  <si>
    <t>Aurie Lee</t>
  </si>
  <si>
    <t>Yue</t>
  </si>
  <si>
    <t>Xiao</t>
  </si>
  <si>
    <t>Kayla Xiao</t>
  </si>
  <si>
    <t>ZiYao</t>
  </si>
  <si>
    <t>Kyle Liu</t>
  </si>
  <si>
    <t>Han-Chun</t>
  </si>
  <si>
    <t>Lin</t>
  </si>
  <si>
    <t>Jennifer Lin</t>
  </si>
  <si>
    <t>Chiao</t>
  </si>
  <si>
    <t>Rotsakon</t>
  </si>
  <si>
    <t>Surisihasathian</t>
  </si>
  <si>
    <t>Riley Surisihasathian</t>
  </si>
  <si>
    <t>Adrian</t>
  </si>
  <si>
    <t>Adrian Lim</t>
  </si>
  <si>
    <t>HL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</si>
  <si>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</si>
  <si>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</si>
  <si>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</si>
  <si>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</si>
  <si>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</si>
  <si>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</si>
  <si>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</si>
  <si>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</si>
  <si>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</si>
  <si>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</si>
  <si>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</si>
  <si>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</si>
  <si>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</si>
  <si>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</si>
  <si>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</si>
  <si>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</si>
  <si>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</si>
  <si>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</si>
  <si>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</si>
  <si>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</si>
  <si>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</si>
  <si>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</si>
  <si>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</si>
  <si>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</si>
  <si>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</si>
  <si>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</si>
  <si>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</si>
  <si>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</si>
  <si>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</si>
  <si>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</si>
  <si>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</si>
  <si>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</si>
  <si>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</si>
  <si>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</si>
  <si>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</si>
  <si>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</si>
  <si>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</si>
  <si>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</si>
  <si>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</si>
  <si>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</si>
  <si>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 Peng</t>
  </si>
  <si>
    <t>David</t>
  </si>
  <si>
    <t>Cheav</t>
  </si>
  <si>
    <t>Derik Phan</t>
  </si>
  <si>
    <t>Truong</t>
  </si>
  <si>
    <t>Derik</t>
  </si>
  <si>
    <t>Duyen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</si>
  <si>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</si>
  <si>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</si>
  <si>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</si>
  <si>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</si>
  <si>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</si>
  <si>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</si>
  <si>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</si>
  <si>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</si>
  <si>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</si>
  <si>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</si>
  <si>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</si>
  <si>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</si>
  <si>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</si>
  <si>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</si>
  <si>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</si>
  <si>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</si>
  <si>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</si>
  <si>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</si>
  <si>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</si>
  <si>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</si>
  <si>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</si>
  <si>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Hangji</t>
  </si>
  <si>
    <t>Zhao</t>
  </si>
  <si>
    <t>Harrison Zhao</t>
  </si>
  <si>
    <t>Henry</t>
  </si>
  <si>
    <t>Henry N</t>
  </si>
  <si>
    <t>HOOI</t>
  </si>
  <si>
    <t>LIM</t>
  </si>
  <si>
    <t>Wei Wei</t>
  </si>
  <si>
    <t>Hsin-Yi</t>
  </si>
  <si>
    <t>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</si>
  <si>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</si>
  <si>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</si>
  <si>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</si>
  <si>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</si>
  <si>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</si>
  <si>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</si>
  <si>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</si>
  <si>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</si>
  <si>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</si>
  <si>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</si>
  <si>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</si>
  <si>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</si>
  <si>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</si>
  <si>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</si>
  <si>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</si>
  <si>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</si>
  <si>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</si>
  <si>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Wei</t>
  </si>
  <si>
    <t>Mini</t>
  </si>
  <si>
    <t>Jimmy</t>
  </si>
  <si>
    <t>Huynh</t>
  </si>
  <si>
    <t>Jimmy Huynh</t>
  </si>
  <si>
    <t>Jinyi Wu</t>
    <phoneticPr fontId="2" type="noConversion"/>
  </si>
  <si>
    <t>Joma</t>
  </si>
  <si>
    <t>Velasco</t>
  </si>
  <si>
    <t>Joma velasco</t>
  </si>
  <si>
    <t>Jun</t>
  </si>
  <si>
    <t>Deven chen</t>
  </si>
  <si>
    <t>Justin</t>
  </si>
  <si>
    <t>Roxas</t>
  </si>
  <si>
    <t>Justin Roxas</t>
  </si>
  <si>
    <t>Kaiceryn</t>
  </si>
  <si>
    <t>Cantre</t>
  </si>
  <si>
    <t>Kaiceryn 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</si>
  <si>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</si>
  <si>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</si>
  <si>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</si>
  <si>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</si>
  <si>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</si>
  <si>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</si>
  <si>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</si>
  <si>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</si>
  <si>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</si>
  <si>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</si>
  <si>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</si>
  <si>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</si>
  <si>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</si>
  <si>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</si>
  <si>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</si>
  <si>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</si>
  <si>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</si>
  <si>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</si>
  <si>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</si>
  <si>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</si>
  <si>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</si>
  <si>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</si>
  <si>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</si>
  <si>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</si>
  <si>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</si>
  <si>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</si>
  <si>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</si>
  <si>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</si>
  <si>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</si>
  <si>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</si>
  <si>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</si>
  <si>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</si>
  <si>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</si>
  <si>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</si>
  <si>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</si>
  <si>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Cherry Lin</t>
  </si>
  <si>
    <t>Ming Chen</t>
  </si>
  <si>
    <t>Joseph Li</t>
  </si>
  <si>
    <t>Minh Nguyet Amy</t>
  </si>
  <si>
    <t>Amy Vu</t>
  </si>
  <si>
    <t>Namrata</t>
  </si>
  <si>
    <t>Namrata Gurung</t>
  </si>
  <si>
    <t>Naomi</t>
  </si>
  <si>
    <t>Naomi Lee</t>
  </si>
  <si>
    <t>Ngoc</t>
  </si>
  <si>
    <t>Ngoc Thuy Vy Nguyen</t>
  </si>
  <si>
    <t>Ngoc Phuong</t>
  </si>
  <si>
    <t>Ngoc Phuong Huynh</t>
  </si>
  <si>
    <t>Oscar</t>
  </si>
  <si>
    <t>Ashcroft</t>
  </si>
  <si>
    <t>Oscar Ashcroft</t>
  </si>
  <si>
    <t>Ouksa</t>
  </si>
  <si>
    <t>Sim</t>
  </si>
  <si>
    <t>Sim Ouksa</t>
  </si>
  <si>
    <t>Thu Phuong</t>
  </si>
  <si>
    <t>tran</t>
  </si>
  <si>
    <t>Andy Tran</t>
  </si>
  <si>
    <t>Qiaoyan</t>
  </si>
  <si>
    <t>Alice yu</t>
  </si>
  <si>
    <t>Qinchang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</si>
  <si>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</si>
  <si>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</si>
  <si>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</si>
  <si>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</si>
  <si>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</si>
  <si>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</si>
  <si>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</si>
  <si>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</si>
  <si>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</si>
  <si>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</si>
  <si>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Serena Giang</t>
    <phoneticPr fontId="2" type="noConversion"/>
  </si>
  <si>
    <t>Shameng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</si>
  <si>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</si>
  <si>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</si>
  <si>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</si>
  <si>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</si>
  <si>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</si>
  <si>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</si>
  <si>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</si>
  <si>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</si>
  <si>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</si>
  <si>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</si>
  <si>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</si>
  <si>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</si>
  <si>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Shirley 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</si>
  <si>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</si>
  <si>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</si>
  <si>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</si>
  <si>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</si>
  <si>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</si>
  <si>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</si>
  <si>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</si>
  <si>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</si>
  <si>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</si>
  <si>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</si>
  <si>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</si>
  <si>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</si>
  <si>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</si>
  <si>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</si>
  <si>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</si>
  <si>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</si>
  <si>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</si>
  <si>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</si>
  <si>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</si>
  <si>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</si>
  <si>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</si>
  <si>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</si>
  <si>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</si>
  <si>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</si>
  <si>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</si>
  <si>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</si>
  <si>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</si>
  <si>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</si>
  <si>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</si>
  <si>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</si>
  <si>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</si>
  <si>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</si>
  <si>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</si>
  <si>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</si>
  <si>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</si>
  <si>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</si>
  <si>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</si>
  <si>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Zishan Xie</t>
  </si>
  <si>
    <t>Zizhuo</t>
  </si>
  <si>
    <t>Tom Zhang</t>
  </si>
  <si>
    <t>Duc Minh</t>
  </si>
  <si>
    <t>Pham</t>
  </si>
  <si>
    <t>Victor Pham</t>
  </si>
  <si>
    <t>28/10/2001</t>
  </si>
  <si>
    <t>Jiazheng</t>
  </si>
  <si>
    <t>Xian</t>
  </si>
  <si>
    <t>Donald Xian</t>
  </si>
  <si>
    <t>Qianyu</t>
  </si>
  <si>
    <t>Carrie Liu</t>
    <phoneticPr fontId="2" type="noConversion"/>
  </si>
  <si>
    <t>Chau Kim</t>
  </si>
  <si>
    <t>Quach</t>
  </si>
  <si>
    <t>Chau</t>
    <phoneticPr fontId="2" type="noConversion"/>
  </si>
  <si>
    <t>HL</t>
    <phoneticPr fontId="2" type="noConversion"/>
  </si>
  <si>
    <t>Kaiming</t>
    <phoneticPr fontId="2" type="noConversion"/>
  </si>
  <si>
    <t>Wang</t>
    <phoneticPr fontId="2" type="noConversion"/>
  </si>
  <si>
    <t>Ming Wang</t>
    <phoneticPr fontId="2" type="noConversion"/>
  </si>
  <si>
    <t>Wenzhe</t>
    <phoneticPr fontId="2" type="noConversion"/>
  </si>
  <si>
    <t>Tan</t>
    <phoneticPr fontId="2" type="noConversion"/>
  </si>
  <si>
    <t>Sam Tan</t>
    <phoneticPr fontId="2" type="noConversion"/>
  </si>
  <si>
    <t>Duy</t>
    <phoneticPr fontId="2" type="noConversion"/>
  </si>
  <si>
    <t>Chu</t>
    <phoneticPr fontId="2" type="noConversion"/>
  </si>
  <si>
    <t>Jim Chu</t>
  </si>
  <si>
    <t>GCM</t>
    <phoneticPr fontId="2" type="noConversion"/>
  </si>
  <si>
    <t>Pulin</t>
    <phoneticPr fontId="2" type="noConversion"/>
  </si>
  <si>
    <t>Pan</t>
    <phoneticPr fontId="2" type="noConversion"/>
  </si>
  <si>
    <t>Lexi Pan</t>
    <phoneticPr fontId="2" type="noConversion"/>
  </si>
  <si>
    <t>Zihan</t>
    <phoneticPr fontId="2" type="noConversion"/>
  </si>
  <si>
    <t>Amber Wang</t>
    <phoneticPr fontId="2" type="noConversion"/>
  </si>
  <si>
    <t>YINGJUN</t>
    <phoneticPr fontId="2" type="noConversion"/>
  </si>
  <si>
    <t>CHEN</t>
    <phoneticPr fontId="2" type="noConversion"/>
  </si>
  <si>
    <t>Cecilia Chen</t>
  </si>
  <si>
    <t>Lhakpa Diki</t>
    <phoneticPr fontId="2" type="noConversion"/>
  </si>
  <si>
    <t>Sherpa</t>
    <phoneticPr fontId="2" type="noConversion"/>
  </si>
  <si>
    <t>Lhakpa Diki Sherpa</t>
  </si>
  <si>
    <t>Lianjie</t>
    <phoneticPr fontId="2" type="noConversion"/>
  </si>
  <si>
    <t>Carol Pan</t>
    <phoneticPr fontId="2" type="noConversion"/>
  </si>
  <si>
    <t>xiaoqing</t>
    <phoneticPr fontId="2" type="noConversion"/>
  </si>
  <si>
    <t>jiang</t>
    <phoneticPr fontId="2" type="noConversion"/>
  </si>
  <si>
    <t>louisa Jiang</t>
  </si>
  <si>
    <t>Guifang</t>
    <phoneticPr fontId="2" type="noConversion"/>
  </si>
  <si>
    <t>Chen</t>
    <phoneticPr fontId="2" type="noConversion"/>
  </si>
  <si>
    <t>Guifang Chen</t>
  </si>
  <si>
    <t>Cam Tu</t>
  </si>
  <si>
    <t>Bui</t>
    <phoneticPr fontId="2" type="noConversion"/>
  </si>
  <si>
    <t>Lucy Bui</t>
    <phoneticPr fontId="2" type="noConversion"/>
  </si>
  <si>
    <t>Rhiannon Jayne</t>
  </si>
  <si>
    <t>Phillips</t>
  </si>
  <si>
    <t>Rhi Phillips</t>
  </si>
  <si>
    <t>Minjian</t>
  </si>
  <si>
    <t>Guan</t>
  </si>
  <si>
    <t>Maggie Guan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</si>
  <si>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</si>
  <si>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</si>
  <si>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</si>
  <si>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</si>
  <si>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</si>
  <si>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</si>
  <si>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</si>
  <si>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</si>
  <si>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</si>
  <si>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</si>
  <si>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Aily Ryu</t>
  </si>
  <si>
    <t>Nghiem vu</t>
  </si>
  <si>
    <t>Quoc</t>
  </si>
  <si>
    <t>Louis Quoc</t>
  </si>
  <si>
    <t>Kulika</t>
  </si>
  <si>
    <t>Arayangkoon</t>
  </si>
  <si>
    <t>Kuli Arayangkoon</t>
  </si>
  <si>
    <t>Tom Hin Chung</t>
  </si>
  <si>
    <t>Wong</t>
  </si>
  <si>
    <t>Tom Wong</t>
  </si>
  <si>
    <t>Cloey</t>
  </si>
  <si>
    <t>Cloey Nguyen</t>
  </si>
  <si>
    <t>Viet Hung- Toni</t>
  </si>
  <si>
    <t>Toni Nguyen</t>
  </si>
  <si>
    <t>Rebecca</t>
  </si>
  <si>
    <t>Olt</t>
  </si>
  <si>
    <t>Rebecca Olt</t>
  </si>
  <si>
    <t>Warantorn</t>
  </si>
  <si>
    <t>Rattanaudomsawat</t>
  </si>
  <si>
    <t>Tonfern Rattanaudomsawat</t>
  </si>
  <si>
    <t>Huishi</t>
  </si>
  <si>
    <t>Luchia Luo</t>
  </si>
  <si>
    <t>Sovanmonineath</t>
  </si>
  <si>
    <t>Nou</t>
  </si>
  <si>
    <t>Neath Nou</t>
  </si>
  <si>
    <t>Isabella</t>
  </si>
  <si>
    <t>Limjap</t>
  </si>
  <si>
    <t>Isabella Limjap</t>
  </si>
  <si>
    <t>Jiuri</t>
  </si>
  <si>
    <t>Palahang</t>
  </si>
  <si>
    <t>Jiuri Palahang</t>
  </si>
  <si>
    <t>Lihour</t>
  </si>
  <si>
    <t>Chhit</t>
  </si>
  <si>
    <t>Kevin Chhit</t>
  </si>
  <si>
    <t>Matthew</t>
  </si>
  <si>
    <t>Tang</t>
  </si>
  <si>
    <t>Matthew Tang</t>
  </si>
  <si>
    <t>Valeriia</t>
  </si>
  <si>
    <t>Zhdanova</t>
  </si>
  <si>
    <t>Valeriia Zhdanova</t>
  </si>
  <si>
    <t>Ngoc Han</t>
  </si>
  <si>
    <t>Vo</t>
  </si>
  <si>
    <t>Hayley Vo</t>
  </si>
  <si>
    <t>Win</t>
  </si>
  <si>
    <t>Yaqin</t>
  </si>
  <si>
    <t>Raina Shan</t>
  </si>
  <si>
    <t>Shinta</t>
  </si>
  <si>
    <t>Permata Putri</t>
  </si>
  <si>
    <t>Shinta 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</si>
  <si>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</si>
  <si>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</si>
  <si>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</si>
  <si>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</si>
  <si>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</si>
  <si>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</si>
  <si>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</si>
  <si>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</si>
  <si>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</si>
  <si>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</si>
  <si>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Christine Yiu</t>
  </si>
  <si>
    <t>Denis</t>
  </si>
  <si>
    <t>Bong</t>
  </si>
  <si>
    <t>Denis Bong</t>
  </si>
  <si>
    <t>Milly Lin</t>
  </si>
  <si>
    <t>Suthyra</t>
  </si>
  <si>
    <t>Suthyra Lee</t>
  </si>
  <si>
    <t>Sungwoo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</si>
  <si>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</si>
  <si>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</si>
  <si>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</si>
  <si>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</si>
  <si>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</si>
  <si>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</si>
  <si>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</si>
  <si>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</si>
  <si>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</si>
  <si>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Bui</t>
  </si>
  <si>
    <t>Aidan Bui</t>
  </si>
  <si>
    <t>Joseph</t>
  </si>
  <si>
    <t>Nalty</t>
  </si>
  <si>
    <t>Joseph Nalty</t>
  </si>
  <si>
    <t>Thy</t>
  </si>
  <si>
    <t>Thy Nguyen</t>
  </si>
  <si>
    <t>Ha</t>
  </si>
  <si>
    <t>Tina Ha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</si>
  <si>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</si>
  <si>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</si>
  <si>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</si>
  <si>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</si>
  <si>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</si>
  <si>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</si>
  <si>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</si>
  <si>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Mengxin</t>
  </si>
  <si>
    <t>Mengxin Zhang</t>
  </si>
  <si>
    <t>Yuping</t>
  </si>
  <si>
    <t>Gu</t>
  </si>
  <si>
    <t>Crystal Gu</t>
  </si>
  <si>
    <t>YAO-KUN</t>
  </si>
  <si>
    <t>HUANG</t>
  </si>
  <si>
    <t>Henry Huang</t>
  </si>
  <si>
    <t>Elyssa</t>
  </si>
  <si>
    <t>Acallar</t>
  </si>
  <si>
    <t>Elyssa Acallar</t>
  </si>
  <si>
    <t>Akshat</t>
  </si>
  <si>
    <t>Bansal</t>
  </si>
  <si>
    <t>Akshat Bansal</t>
  </si>
  <si>
    <t>Yumo</t>
  </si>
  <si>
    <t>Alice Zhang</t>
  </si>
  <si>
    <t>Xinyu</t>
  </si>
  <si>
    <t>Cindy Deng</t>
  </si>
  <si>
    <t>Phornpimol</t>
  </si>
  <si>
    <t>Phowong</t>
  </si>
  <si>
    <t>Tong Phowong</t>
  </si>
  <si>
    <t>Alexander</t>
  </si>
  <si>
    <t>Lam</t>
  </si>
  <si>
    <t>Alex Lam</t>
  </si>
  <si>
    <t>Mikayla</t>
  </si>
  <si>
    <t>Perez</t>
  </si>
  <si>
    <t>Mikayla Perez</t>
  </si>
  <si>
    <t>Michelle</t>
  </si>
  <si>
    <t>Michelle Huang</t>
  </si>
  <si>
    <t>Heleana</t>
  </si>
  <si>
    <t>Soriano</t>
  </si>
  <si>
    <t>Leana Soriano</t>
  </si>
  <si>
    <t>Jingjing</t>
  </si>
  <si>
    <t>Jingjing Wu</t>
  </si>
  <si>
    <t>Jessica</t>
  </si>
  <si>
    <t>Modarelli</t>
  </si>
  <si>
    <t>Jessica Modarelli</t>
  </si>
  <si>
    <t>Ally</t>
  </si>
  <si>
    <t>Ally Zhang</t>
  </si>
  <si>
    <t>Santos</t>
  </si>
  <si>
    <t>Krizzie Santos</t>
  </si>
  <si>
    <t>Stephanie</t>
  </si>
  <si>
    <t>Stephanie Nguyen</t>
  </si>
  <si>
    <t>Haoyan</t>
  </si>
  <si>
    <t>Chris Luo</t>
  </si>
  <si>
    <t>Ka Ki</t>
  </si>
  <si>
    <t>Kyle Li</t>
  </si>
  <si>
    <t>Clarice Chen</t>
  </si>
  <si>
    <t>Ziao</t>
  </si>
  <si>
    <t>Kou</t>
  </si>
  <si>
    <t>Kk Kou</t>
  </si>
  <si>
    <t>Shou-Feng</t>
  </si>
  <si>
    <t>Perry Wang</t>
  </si>
  <si>
    <t>Oliver</t>
  </si>
  <si>
    <t>Shi</t>
  </si>
  <si>
    <t>Oliver Shi</t>
  </si>
  <si>
    <t>Stephy</t>
  </si>
  <si>
    <t>Stephy Wu</t>
  </si>
  <si>
    <t>Zhanghao</t>
  </si>
  <si>
    <t>PP Li</t>
  </si>
  <si>
    <t>Chantell</t>
  </si>
  <si>
    <t>Hampson</t>
  </si>
  <si>
    <t>Chantelle Hampson</t>
  </si>
  <si>
    <t>Dinh</t>
  </si>
  <si>
    <t>To</t>
  </si>
  <si>
    <t>Kevin To</t>
  </si>
  <si>
    <t>Niko Feng</t>
  </si>
  <si>
    <t>Feng</t>
  </si>
  <si>
    <t>Ying Yi</t>
  </si>
  <si>
    <t>Earl Wang</t>
  </si>
  <si>
    <t>Manogari</t>
  </si>
  <si>
    <t>Agnes</t>
  </si>
  <si>
    <t>Viola</t>
  </si>
  <si>
    <t>Agnes Viola</t>
  </si>
  <si>
    <t>Hexu</t>
  </si>
  <si>
    <t>Zheng</t>
  </si>
  <si>
    <t>Olivia Zheng</t>
  </si>
  <si>
    <t>Chenyu</t>
  </si>
  <si>
    <t>Zhong</t>
  </si>
  <si>
    <t>Sierra Zhong</t>
  </si>
  <si>
    <t>Zirong</t>
  </si>
  <si>
    <t>Guo</t>
  </si>
  <si>
    <t>Ron Guo</t>
  </si>
  <si>
    <t>Shi Wei</t>
  </si>
  <si>
    <t>Norman Wong</t>
  </si>
  <si>
    <t>Hayden</t>
  </si>
  <si>
    <t>Tran</t>
  </si>
  <si>
    <t>Hayden Tran</t>
  </si>
  <si>
    <t>Busayanee</t>
  </si>
  <si>
    <t>Somthas</t>
  </si>
  <si>
    <t>Film Somthas</t>
  </si>
  <si>
    <t>Le Hsin</t>
  </si>
  <si>
    <t>Yuna Hsu</t>
  </si>
  <si>
    <t>Jerah</t>
  </si>
  <si>
    <t>Sager</t>
  </si>
  <si>
    <t>Jerah Sager</t>
  </si>
  <si>
    <t>Siyao</t>
  </si>
  <si>
    <t>Siyao Wang</t>
  </si>
  <si>
    <t>Yonglin</t>
  </si>
  <si>
    <t>Tina Zhu</t>
  </si>
  <si>
    <t>Amy</t>
  </si>
  <si>
    <t>Hou</t>
  </si>
  <si>
    <t>Amy Hou</t>
  </si>
  <si>
    <t>Yawen</t>
  </si>
  <si>
    <t>May Yang</t>
  </si>
  <si>
    <t>Zhihou</t>
  </si>
  <si>
    <t>Zhihou Yang</t>
  </si>
  <si>
    <t>Mumtajit</t>
  </si>
  <si>
    <t>Kaur</t>
  </si>
  <si>
    <t>Mumta 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</si>
  <si>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</si>
  <si>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</si>
  <si>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</si>
  <si>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</si>
  <si>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</si>
  <si>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</si>
  <si>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</si>
  <si>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</si>
  <si>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Tam Phuc Thao</t>
  </si>
  <si>
    <t>Tam Le</t>
  </si>
  <si>
    <t>Nanaho</t>
  </si>
  <si>
    <t>Kanno</t>
  </si>
  <si>
    <t>Nanaho Kanno</t>
  </si>
  <si>
    <t>Carissa</t>
  </si>
  <si>
    <t>Carissa Wong</t>
  </si>
  <si>
    <t>xiaohan</t>
  </si>
  <si>
    <t>Tina Gao</t>
  </si>
  <si>
    <t>Minh Ngoc</t>
  </si>
  <si>
    <t>Chloe Pham</t>
  </si>
  <si>
    <t>Yunqing</t>
  </si>
  <si>
    <t>Missy Zhang</t>
  </si>
  <si>
    <t>Xiuyuan</t>
  </si>
  <si>
    <t>Cui</t>
  </si>
  <si>
    <t>Hugh Cui</t>
  </si>
  <si>
    <t>Ngoc Vinh Ky</t>
  </si>
  <si>
    <t>Dao</t>
  </si>
  <si>
    <t>Kay Dao</t>
  </si>
  <si>
    <t>Manze</t>
  </si>
  <si>
    <t>Manze Liu</t>
  </si>
  <si>
    <t>AIRU</t>
  </si>
  <si>
    <t>GAO</t>
  </si>
  <si>
    <t>Erin Gao</t>
  </si>
  <si>
    <t>Nhu</t>
  </si>
  <si>
    <t>Hoang</t>
  </si>
  <si>
    <t>Louis Hoang</t>
  </si>
  <si>
    <t>Jiaxuan</t>
  </si>
  <si>
    <t>Chelsea Li</t>
  </si>
  <si>
    <t>Mai Phuong</t>
  </si>
  <si>
    <t>Phan</t>
  </si>
  <si>
    <t>Daisy Phan</t>
  </si>
  <si>
    <t>Zalfa</t>
  </si>
  <si>
    <t>Buana</t>
  </si>
  <si>
    <t>Zalfa Buana</t>
  </si>
  <si>
    <t>Bianca</t>
  </si>
  <si>
    <t>Bianca Chen</t>
  </si>
  <si>
    <t>Sanju</t>
  </si>
  <si>
    <t>Shrestha</t>
  </si>
  <si>
    <t>Sanju Shrestha</t>
  </si>
  <si>
    <t>Chris</t>
  </si>
  <si>
    <t>Fung</t>
  </si>
  <si>
    <t>Chris Fung</t>
  </si>
  <si>
    <t>Amar</t>
  </si>
  <si>
    <t>Amar Gurung</t>
  </si>
  <si>
    <t>To Yen</t>
  </si>
  <si>
    <t>Ong</t>
  </si>
  <si>
    <t>Linbee Ong</t>
  </si>
  <si>
    <t>Cana</t>
  </si>
  <si>
    <t>Fukuda</t>
  </si>
  <si>
    <t>Cana Fukuda</t>
  </si>
  <si>
    <t>Jeeranan</t>
  </si>
  <si>
    <t>Rakkarn</t>
  </si>
  <si>
    <t>Mindzy Rakkarn</t>
  </si>
  <si>
    <t>Miaomiao</t>
  </si>
  <si>
    <t>Joy He</t>
  </si>
  <si>
    <t>Wing Men</t>
  </si>
  <si>
    <t>Hui</t>
  </si>
  <si>
    <t>Ruby Hui</t>
  </si>
  <si>
    <t>Luoshi</t>
  </si>
  <si>
    <t>Stella Wu</t>
  </si>
  <si>
    <t>LIJUE</t>
  </si>
  <si>
    <t>SHENG</t>
  </si>
  <si>
    <t>Serena Sheng</t>
  </si>
  <si>
    <t>CHINGAN</t>
  </si>
  <si>
    <t>HSU</t>
  </si>
  <si>
    <t>Wendy HSU</t>
  </si>
  <si>
    <t>Eric</t>
  </si>
  <si>
    <t>Eric Guo</t>
  </si>
  <si>
    <t>Kim Ngoc Ngo</t>
  </si>
  <si>
    <t>Mari Bui</t>
  </si>
  <si>
    <t>Manisha</t>
  </si>
  <si>
    <t>Thapa Magar</t>
  </si>
  <si>
    <t>Manisha Thapa Magar</t>
  </si>
  <si>
    <t>Sally</t>
  </si>
  <si>
    <t>Tambayong</t>
  </si>
  <si>
    <t>Sally Tambayong</t>
  </si>
  <si>
    <t>Chi</t>
  </si>
  <si>
    <t>Yeung</t>
  </si>
  <si>
    <t>Jacob Yeung</t>
  </si>
  <si>
    <t>philip</t>
  </si>
  <si>
    <t>semenov</t>
  </si>
  <si>
    <t>philip semenov</t>
  </si>
  <si>
    <t>Jethro</t>
  </si>
  <si>
    <t>Soewandito</t>
  </si>
  <si>
    <t>Jethro Soewandito</t>
  </si>
  <si>
    <t>Liuqing</t>
  </si>
  <si>
    <t>Wen</t>
  </si>
  <si>
    <t>Ellen Wen</t>
  </si>
  <si>
    <t>Huen Huen</t>
  </si>
  <si>
    <t>Angel Chen</t>
  </si>
  <si>
    <t>Zipeng</t>
  </si>
  <si>
    <t>Stephen Liang</t>
  </si>
  <si>
    <t>Alex Le</t>
  </si>
  <si>
    <t>Christopher</t>
  </si>
  <si>
    <t>Kasovski</t>
  </si>
  <si>
    <t>Chris Kasovski</t>
  </si>
  <si>
    <t>Mengfan</t>
  </si>
  <si>
    <t>Reena He</t>
  </si>
  <si>
    <t>Suya</t>
  </si>
  <si>
    <t>Bessie Chen</t>
  </si>
  <si>
    <t>Dylan</t>
  </si>
  <si>
    <t>Dylan Nguyen</t>
  </si>
  <si>
    <t>Fangwei</t>
  </si>
  <si>
    <t>Mei Hsu</t>
  </si>
  <si>
    <t>YUTANG</t>
  </si>
  <si>
    <t>Ryan Huang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</si>
  <si>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</si>
  <si>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</si>
  <si>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</si>
  <si>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</si>
  <si>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</si>
  <si>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</si>
  <si>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</si>
  <si>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</si>
  <si>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</si>
  <si>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</si>
  <si>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</si>
  <si>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</si>
  <si>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</si>
  <si>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</si>
  <si>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</si>
  <si>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</si>
  <si>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</si>
  <si>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</si>
  <si>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</si>
  <si>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</si>
  <si>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Huang-Kai</t>
  </si>
  <si>
    <t>Reger Tseng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</si>
  <si>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</si>
  <si>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</si>
  <si>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</si>
  <si>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</si>
  <si>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</si>
  <si>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</si>
  <si>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</si>
  <si>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</si>
  <si>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</si>
  <si>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</si>
  <si>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</si>
  <si>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</si>
  <si>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</si>
  <si>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</si>
  <si>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</si>
  <si>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</si>
  <si>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</si>
  <si>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</si>
  <si>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</si>
  <si>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</si>
  <si>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</si>
  <si>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</si>
  <si>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</si>
  <si>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Siqi</t>
  </si>
  <si>
    <t>Quenny Li</t>
  </si>
  <si>
    <t>Hoang Bach</t>
  </si>
  <si>
    <t>Timmy Nguyen</t>
  </si>
  <si>
    <t>Yinzi</t>
  </si>
  <si>
    <t>Sia Yang</t>
  </si>
  <si>
    <t>Dominic</t>
  </si>
  <si>
    <t>Dominic Cao</t>
  </si>
  <si>
    <t>XUYONG</t>
  </si>
  <si>
    <t>Vincci He</t>
  </si>
  <si>
    <t>Yu-Tung</t>
  </si>
  <si>
    <t>Tony Chen</t>
  </si>
  <si>
    <t>Yu-Ju</t>
  </si>
  <si>
    <t>Amber Wu</t>
  </si>
  <si>
    <t>Andrew</t>
  </si>
  <si>
    <t>Andrew Wang</t>
  </si>
  <si>
    <t>Samuel</t>
  </si>
  <si>
    <t>Song</t>
  </si>
  <si>
    <t>Samuel Song</t>
  </si>
  <si>
    <t>Yudie</t>
  </si>
  <si>
    <t>Fleece Xie</t>
  </si>
  <si>
    <t>Peilun</t>
  </si>
  <si>
    <t>ChuChu Li</t>
  </si>
  <si>
    <t>Vinh Hien</t>
  </si>
  <si>
    <t>Vinh Hien Le</t>
  </si>
  <si>
    <t>Winson</t>
  </si>
  <si>
    <t>Winson Tan</t>
  </si>
  <si>
    <t>Haoshen</t>
  </si>
  <si>
    <t>Hanson Luo</t>
  </si>
  <si>
    <t>PEI-SYUAN</t>
  </si>
  <si>
    <t>WU</t>
  </si>
  <si>
    <t>Laura Wu</t>
  </si>
  <si>
    <t>YuHao</t>
  </si>
  <si>
    <t>Levin Liu</t>
  </si>
  <si>
    <t>Huy Tien</t>
  </si>
  <si>
    <t>Pat Phan</t>
  </si>
  <si>
    <t>Chansethea</t>
  </si>
  <si>
    <t>Sunly</t>
  </si>
  <si>
    <t>Sethea Sunly</t>
  </si>
  <si>
    <t>RUMIN</t>
  </si>
  <si>
    <t>YAN</t>
  </si>
  <si>
    <t>Rosemin YAN</t>
  </si>
  <si>
    <t>Ngoc My</t>
  </si>
  <si>
    <t>Ami Nguyen</t>
  </si>
  <si>
    <t>Shaw Xiao</t>
  </si>
  <si>
    <t>Gia Linh</t>
  </si>
  <si>
    <t>Lillie Pham</t>
  </si>
  <si>
    <t>Rhea</t>
  </si>
  <si>
    <t>Rhea Chen</t>
  </si>
  <si>
    <t>Truc Thanh</t>
  </si>
  <si>
    <t>May Nguyen</t>
  </si>
  <si>
    <t>Josh</t>
  </si>
  <si>
    <t>Clayton</t>
  </si>
  <si>
    <t>Josh Clayton</t>
  </si>
  <si>
    <t>Theresa</t>
  </si>
  <si>
    <t>Chow</t>
  </si>
  <si>
    <t>Theresa Chow</t>
  </si>
  <si>
    <t>Eileen</t>
  </si>
  <si>
    <t>Steegmans</t>
  </si>
  <si>
    <t>Eileen Steegmans</t>
  </si>
  <si>
    <t>Julia</t>
  </si>
  <si>
    <t>Esteve</t>
  </si>
  <si>
    <t>Julia Esteve</t>
  </si>
  <si>
    <t>Leslie</t>
  </si>
  <si>
    <t>Andrade</t>
  </si>
  <si>
    <t>Leslie Andrade</t>
  </si>
  <si>
    <t>Ayden</t>
  </si>
  <si>
    <t>Ayden Tran</t>
  </si>
  <si>
    <t>Sasasarun</t>
  </si>
  <si>
    <t>Siwagornsatien</t>
  </si>
  <si>
    <t>Dao Siwagornsatien</t>
  </si>
  <si>
    <t>XI</t>
  </si>
  <si>
    <t>ZENG</t>
  </si>
  <si>
    <t>Jessica ZENG</t>
  </si>
  <si>
    <t>Axel</t>
  </si>
  <si>
    <t>Purnomo</t>
  </si>
  <si>
    <t>Axel Purnomo</t>
  </si>
  <si>
    <t>Daniel</t>
  </si>
  <si>
    <t>Daniel Han</t>
  </si>
  <si>
    <t>Ye Min</t>
  </si>
  <si>
    <t>Oo</t>
  </si>
  <si>
    <t>Justin Oo</t>
  </si>
  <si>
    <t>Nathan</t>
  </si>
  <si>
    <t>Tam</t>
  </si>
  <si>
    <t>Nathan Tam</t>
  </si>
  <si>
    <t>QiHao</t>
  </si>
  <si>
    <t>Michael Wang</t>
  </si>
  <si>
    <t>Yunpeng</t>
  </si>
  <si>
    <t>pipi Wang</t>
  </si>
  <si>
    <t>Simona</t>
  </si>
  <si>
    <t>Bubici</t>
  </si>
  <si>
    <t>Simo Bubici</t>
  </si>
  <si>
    <t>Samikchhya</t>
  </si>
  <si>
    <t>Sami Gurung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</si>
  <si>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</si>
  <si>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</si>
  <si>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</si>
  <si>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</si>
  <si>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</si>
  <si>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</si>
  <si>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</si>
  <si>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</si>
  <si>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</t>
  </si>
  <si>
    <t>Narso</t>
  </si>
  <si>
    <t>Chelsea Narso</t>
  </si>
  <si>
    <t>Dhestania</t>
  </si>
  <si>
    <t>Hapta</t>
  </si>
  <si>
    <t>Nia Hapta</t>
  </si>
  <si>
    <t>Ke</t>
  </si>
  <si>
    <t>Geng</t>
  </si>
  <si>
    <t>Ke Geng</t>
  </si>
  <si>
    <t>Deliang</t>
  </si>
  <si>
    <t>Jiang</t>
  </si>
  <si>
    <t>Deliang Jiang</t>
  </si>
  <si>
    <t>Jocelyn</t>
  </si>
  <si>
    <t>Jocelyn Lee</t>
  </si>
  <si>
    <t>Ayushna</t>
  </si>
  <si>
    <t>Subedi</t>
  </si>
  <si>
    <t>Ayushna Subedi</t>
  </si>
  <si>
    <t>Dang</t>
  </si>
  <si>
    <t>Lam Dang</t>
  </si>
  <si>
    <t>Lavi Jiang</t>
  </si>
  <si>
    <t>Suqi</t>
  </si>
  <si>
    <t>Suky Tang</t>
  </si>
  <si>
    <t>Chien Liang</t>
  </si>
  <si>
    <t>Jeffrey Liu</t>
  </si>
  <si>
    <t>Sangay</t>
  </si>
  <si>
    <t>Lhazom</t>
  </si>
  <si>
    <t>Sangay Lhazom</t>
  </si>
  <si>
    <t>Xiuyun</t>
  </si>
  <si>
    <t>Penny Pan</t>
  </si>
  <si>
    <t>Suman</t>
  </si>
  <si>
    <t>Thing</t>
  </si>
  <si>
    <t>Suman Thing</t>
  </si>
  <si>
    <t>Xinyun</t>
  </si>
  <si>
    <t>Selena Wu</t>
  </si>
  <si>
    <t>Linh Nga</t>
  </si>
  <si>
    <t>Do</t>
  </si>
  <si>
    <t>Lina Do</t>
  </si>
  <si>
    <t>Cong Hieu</t>
  </si>
  <si>
    <t>Harry Le</t>
  </si>
  <si>
    <t>Rattikarn</t>
  </si>
  <si>
    <t>Pritong</t>
  </si>
  <si>
    <t>Fai Pritong</t>
  </si>
  <si>
    <t>Harshit</t>
  </si>
  <si>
    <t>Setia</t>
  </si>
  <si>
    <t>Harshit Setia</t>
  </si>
  <si>
    <t>Erica</t>
  </si>
  <si>
    <t>Huy</t>
  </si>
  <si>
    <t>Erica Huy</t>
  </si>
  <si>
    <t>Malin</t>
  </si>
  <si>
    <t>Beh</t>
  </si>
  <si>
    <t>Malin Beh</t>
  </si>
  <si>
    <t>Hoai My Ngoc</t>
  </si>
  <si>
    <t>Mimi Le</t>
  </si>
  <si>
    <t>Vi Viet Hoang</t>
  </si>
  <si>
    <t>Ngo</t>
  </si>
  <si>
    <t>Henry Ngo</t>
  </si>
  <si>
    <t>Alyssa</t>
  </si>
  <si>
    <t>Alyssa Huynh</t>
  </si>
  <si>
    <t>Edan</t>
  </si>
  <si>
    <t>Chang</t>
  </si>
  <si>
    <t>Edan Chang</t>
  </si>
  <si>
    <t>Hui Qi</t>
  </si>
  <si>
    <t>Lau</t>
  </si>
  <si>
    <t>Rachel Lau</t>
  </si>
  <si>
    <t>Thesya</t>
  </si>
  <si>
    <t>Handoko</t>
  </si>
  <si>
    <t>Nia Handoko</t>
  </si>
  <si>
    <t>Evelyn Le</t>
  </si>
  <si>
    <t>Jordan</t>
  </si>
  <si>
    <t>Jordan Tan</t>
  </si>
  <si>
    <t>Zekai</t>
  </si>
  <si>
    <t>Richard Tang</t>
  </si>
  <si>
    <t>Kien</t>
  </si>
  <si>
    <t>Will Tran</t>
  </si>
  <si>
    <t>Martinez Beltran</t>
  </si>
  <si>
    <t>Daniela Martinez Beltran</t>
  </si>
  <si>
    <t>Scarlett</t>
  </si>
  <si>
    <t>Scarlett Huynh</t>
  </si>
  <si>
    <t>TingHsun</t>
  </si>
  <si>
    <t>Ben Lin</t>
  </si>
  <si>
    <t>Jiaxu</t>
  </si>
  <si>
    <t>Nick Yu</t>
  </si>
  <si>
    <t>Cheuk Tung</t>
  </si>
  <si>
    <t>Lo</t>
  </si>
  <si>
    <t>Allison Lo</t>
  </si>
  <si>
    <t>Tsz Ching</t>
  </si>
  <si>
    <t>Ausilia Wong</t>
  </si>
  <si>
    <t>AOI</t>
  </si>
  <si>
    <t xml:space="preserve">MIURA </t>
  </si>
  <si>
    <t xml:space="preserve">Aoi MIURA </t>
  </si>
  <si>
    <t>Yen Minh</t>
  </si>
  <si>
    <t>Ellie Phan</t>
  </si>
  <si>
    <t>Jia</t>
  </si>
  <si>
    <t>Norah Wu</t>
  </si>
  <si>
    <t>Nate Bui</t>
  </si>
  <si>
    <t>Dacong</t>
  </si>
  <si>
    <t>Pei</t>
  </si>
  <si>
    <t>Dacong Pei</t>
  </si>
  <si>
    <t>Weilong</t>
  </si>
  <si>
    <t>Weilong Luo</t>
  </si>
  <si>
    <t>Chaoran</t>
  </si>
  <si>
    <t>Chloe Zhang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</si>
  <si>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</si>
  <si>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</si>
  <si>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</si>
  <si>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</si>
  <si>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</si>
  <si>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</si>
  <si>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</si>
  <si>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</si>
  <si>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</si>
  <si>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</si>
  <si>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</si>
  <si>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</si>
  <si>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</si>
  <si>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</si>
  <si>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</si>
  <si>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</si>
  <si>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</si>
  <si>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</si>
  <si>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</si>
  <si>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</si>
  <si>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</si>
  <si>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</si>
  <si>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</si>
  <si>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</si>
  <si>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</si>
  <si>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</si>
  <si>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</si>
  <si>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</si>
  <si>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</si>
  <si>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</si>
  <si>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</si>
  <si>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</si>
  <si>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</si>
  <si>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</si>
  <si>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</si>
  <si>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</si>
  <si>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</si>
  <si>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Yu Yin Jennifer</t>
  </si>
  <si>
    <t>Jennifer Wong</t>
  </si>
  <si>
    <t>Yuxuan</t>
  </si>
  <si>
    <t>Hanni Wang</t>
  </si>
  <si>
    <t>Nguyet Anh</t>
  </si>
  <si>
    <t>Anne Nguyen</t>
  </si>
  <si>
    <t>Pan Yue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</si>
  <si>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</si>
  <si>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</si>
  <si>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</si>
  <si>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</si>
  <si>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</si>
  <si>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</si>
  <si>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</si>
  <si>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</si>
  <si>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</si>
  <si>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</si>
  <si>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</si>
  <si>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</si>
  <si>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</si>
  <si>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</si>
  <si>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</si>
  <si>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</si>
  <si>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</si>
  <si>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</si>
  <si>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</si>
  <si>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</si>
  <si>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</si>
  <si>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</si>
  <si>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</si>
  <si>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</si>
  <si>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</si>
  <si>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</si>
  <si>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</si>
  <si>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</si>
  <si>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</si>
  <si>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</si>
  <si>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</si>
  <si>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</si>
  <si>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</si>
  <si>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</si>
  <si>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</si>
  <si>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</si>
  <si>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</si>
  <si>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</si>
  <si>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</si>
  <si>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</si>
  <si>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</si>
  <si>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</si>
  <si>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</si>
  <si>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</si>
  <si>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</si>
  <si>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</si>
  <si>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</si>
  <si>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</si>
  <si>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CHEN</t>
  </si>
  <si>
    <t>Jensen Chen</t>
  </si>
  <si>
    <t>Rathanak</t>
  </si>
  <si>
    <t>Hov</t>
  </si>
  <si>
    <t>Rathanak Hov</t>
  </si>
  <si>
    <t>Xiangbo</t>
  </si>
  <si>
    <t>Gloria Zhu</t>
  </si>
  <si>
    <t>Alston</t>
  </si>
  <si>
    <t>Alston Cheng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</si>
  <si>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</si>
  <si>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</si>
  <si>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</si>
  <si>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</si>
  <si>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</si>
  <si>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</si>
  <si>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</si>
  <si>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</si>
  <si>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</si>
  <si>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Hsiu-Hsuan</t>
  </si>
  <si>
    <t>Miki Hung</t>
  </si>
  <si>
    <t>TSZ HIM</t>
  </si>
  <si>
    <t>NG</t>
  </si>
  <si>
    <t>Ryan NG</t>
  </si>
  <si>
    <t>Clement</t>
  </si>
  <si>
    <t>Yip</t>
  </si>
  <si>
    <t>Clement Yip</t>
  </si>
  <si>
    <t>Ngoc Linh Dan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</si>
  <si>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</si>
  <si>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</si>
  <si>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</si>
  <si>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</si>
  <si>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</si>
  <si>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</si>
  <si>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</si>
  <si>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</si>
  <si>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</si>
  <si>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</si>
  <si>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</si>
  <si>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</si>
  <si>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</si>
  <si>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</si>
  <si>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</si>
  <si>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</si>
  <si>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</si>
  <si>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</si>
  <si>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</si>
  <si>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</si>
  <si>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</si>
  <si>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</si>
  <si>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Esha-Lee Sandra</t>
  </si>
  <si>
    <t>Dalwood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</si>
  <si>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</si>
  <si>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</si>
  <si>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</si>
  <si>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</si>
  <si>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</si>
  <si>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</si>
  <si>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</si>
  <si>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</si>
  <si>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</si>
  <si>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</si>
  <si>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Chu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</si>
  <si>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</si>
  <si>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</si>
  <si>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</si>
  <si>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</si>
  <si>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</si>
  <si>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</si>
  <si>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</si>
  <si>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</si>
  <si>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</si>
  <si>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</si>
  <si>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</si>
  <si>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</si>
  <si>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</si>
  <si>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</si>
  <si>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</si>
  <si>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</si>
  <si>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</si>
  <si>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</si>
  <si>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</si>
  <si>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</si>
  <si>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</si>
  <si>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</si>
  <si>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</si>
  <si>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</si>
  <si>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</si>
  <si>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Emma</t>
  </si>
  <si>
    <t>Reid</t>
  </si>
  <si>
    <t>Emma Reid</t>
  </si>
  <si>
    <t>Islay</t>
  </si>
  <si>
    <t>Dunlop</t>
  </si>
  <si>
    <t>Islay Dunlop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</si>
  <si>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</si>
  <si>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</si>
  <si>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</si>
  <si>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</si>
  <si>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</si>
  <si>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</si>
  <si>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</si>
  <si>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</si>
  <si>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</si>
  <si>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</si>
  <si>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</si>
  <si>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</si>
  <si>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</si>
  <si>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</si>
  <si>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</si>
  <si>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</si>
  <si>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</si>
  <si>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</si>
  <si>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</si>
  <si>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</si>
  <si>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</si>
  <si>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</si>
  <si>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</si>
  <si>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</si>
  <si>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</si>
  <si>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</si>
  <si>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</si>
  <si>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</si>
  <si>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</si>
  <si>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</si>
  <si>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</si>
  <si>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</si>
  <si>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</si>
  <si>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</si>
  <si>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</si>
  <si>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</si>
  <si>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</si>
  <si>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YUTING</t>
  </si>
  <si>
    <t>HSIEH</t>
  </si>
  <si>
    <t>Olivia HSIEH</t>
  </si>
  <si>
    <t>Isabel Li Yen</t>
  </si>
  <si>
    <t>Yap</t>
  </si>
  <si>
    <t>Isabel Yap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</si>
  <si>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</si>
  <si>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</si>
  <si>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</si>
  <si>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</si>
  <si>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</si>
  <si>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</si>
  <si>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</si>
  <si>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</si>
  <si>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</si>
  <si>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</si>
  <si>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</si>
  <si>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</si>
  <si>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</si>
  <si>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</si>
  <si>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</si>
  <si>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</si>
  <si>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</si>
  <si>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</si>
  <si>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Reimi Hatakeyama</t>
  </si>
  <si>
    <t>Annisa</t>
  </si>
  <si>
    <t>Darmadi</t>
  </si>
  <si>
    <t>Annisa Darmadi</t>
  </si>
  <si>
    <t>Yui</t>
  </si>
  <si>
    <t>Narasaki</t>
  </si>
  <si>
    <t>Yui Narasaki</t>
  </si>
  <si>
    <t>Daling</t>
  </si>
  <si>
    <t>Daling Pei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</si>
  <si>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</si>
  <si>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</si>
  <si>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</si>
  <si>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</si>
  <si>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</si>
  <si>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</si>
  <si>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</si>
  <si>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</si>
  <si>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</si>
  <si>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</si>
  <si>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</si>
  <si>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</si>
  <si>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</si>
  <si>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</si>
  <si>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</si>
  <si>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Olivia Fransisca</t>
  </si>
  <si>
    <t>Supawadee</t>
  </si>
  <si>
    <t>Aue-areelers</t>
  </si>
  <si>
    <t>Porsche Aue-areelers</t>
  </si>
  <si>
    <t>Mery</t>
  </si>
  <si>
    <t>Mery Mery</t>
  </si>
  <si>
    <t>Kaitlin</t>
  </si>
  <si>
    <t>Kaitlin Nguyen</t>
  </si>
  <si>
    <t>Haji</t>
  </si>
  <si>
    <t>Myrteza</t>
  </si>
  <si>
    <t>Haji Myrteza</t>
  </si>
  <si>
    <t>My Linh</t>
  </si>
  <si>
    <t>Linh Vu</t>
  </si>
  <si>
    <t>Cheuk Yin Justin</t>
  </si>
  <si>
    <t>Yau</t>
  </si>
  <si>
    <t>Justin Yau</t>
  </si>
  <si>
    <t>Thuy</t>
  </si>
  <si>
    <t>Luc</t>
  </si>
  <si>
    <t>Anna Luc</t>
  </si>
  <si>
    <t>Tanya</t>
  </si>
  <si>
    <t>Pityo</t>
  </si>
  <si>
    <t>Tanya Pityo</t>
  </si>
  <si>
    <t>James</t>
  </si>
  <si>
    <t>James Nguyen</t>
  </si>
  <si>
    <t>YUTING HSIEH</t>
  </si>
  <si>
    <t>Yuna</t>
  </si>
  <si>
    <t>Kim</t>
  </si>
  <si>
    <t>Yuna Kim</t>
  </si>
  <si>
    <t>Raymond</t>
  </si>
  <si>
    <t>Raymond Zhang</t>
  </si>
  <si>
    <t>Maxwell</t>
  </si>
  <si>
    <t>Richardson</t>
  </si>
  <si>
    <t>Max Richardson</t>
  </si>
  <si>
    <t>Yiting</t>
  </si>
  <si>
    <t>Yiting Chen</t>
  </si>
  <si>
    <t>Ka</t>
  </si>
  <si>
    <t>Calvin Wong</t>
  </si>
  <si>
    <t>Yun-Hui</t>
  </si>
  <si>
    <t>Yuni Kim</t>
  </si>
  <si>
    <t>Yang Zhi</t>
  </si>
  <si>
    <t>Yang Zhi Luo</t>
  </si>
  <si>
    <t>Lala</t>
  </si>
  <si>
    <t>Nitta</t>
  </si>
  <si>
    <t>Andy Zhu</t>
  </si>
  <si>
    <t>JUNLIN</t>
  </si>
  <si>
    <t>Lynn Wu</t>
  </si>
  <si>
    <t>Youngjun</t>
  </si>
  <si>
    <t>Cho</t>
  </si>
  <si>
    <t>Youngjun Cho</t>
  </si>
  <si>
    <t>Korakot</t>
  </si>
  <si>
    <t>Aiamkraisorn</t>
  </si>
  <si>
    <t>Nine Aiamkraisorn</t>
  </si>
  <si>
    <t>Yimian</t>
  </si>
  <si>
    <t>Yimian Wang</t>
  </si>
  <si>
    <t>MING</t>
  </si>
  <si>
    <t>HOU</t>
  </si>
  <si>
    <t>Minnie HOU</t>
  </si>
  <si>
    <t>Huahong</t>
  </si>
  <si>
    <t>Dacy Pan</t>
  </si>
  <si>
    <t>Zi</t>
  </si>
  <si>
    <t>Prince Wang</t>
  </si>
  <si>
    <t>Wenjing</t>
  </si>
  <si>
    <t>Weng</t>
  </si>
  <si>
    <t>Stella Weng</t>
  </si>
  <si>
    <t>JUNGHYUN</t>
  </si>
  <si>
    <t>KIM</t>
  </si>
  <si>
    <t>Sasha KIM</t>
  </si>
  <si>
    <t>Mai Nguyen</t>
  </si>
  <si>
    <t>Kayleen</t>
  </si>
  <si>
    <t>Kho</t>
  </si>
  <si>
    <t>Kayleen Kho</t>
  </si>
  <si>
    <t>Yunan</t>
  </si>
  <si>
    <t>Annie Jiang</t>
  </si>
  <si>
    <t>Adidev</t>
  </si>
  <si>
    <t>Arakkal</t>
  </si>
  <si>
    <t>Adi Arakkal</t>
  </si>
  <si>
    <t>Jiarun</t>
  </si>
  <si>
    <t>Jiarun Ren</t>
  </si>
  <si>
    <t>Caitlyn</t>
  </si>
  <si>
    <t>wang</t>
  </si>
  <si>
    <t>Caitlyn Wang</t>
  </si>
  <si>
    <t>Elman</t>
  </si>
  <si>
    <t>Elman Chan</t>
  </si>
  <si>
    <t>Zhuojia</t>
  </si>
  <si>
    <t>Tiger Li</t>
  </si>
  <si>
    <t>Biraj</t>
  </si>
  <si>
    <t>Bhattarai</t>
  </si>
  <si>
    <t>Biraj Bhattarai</t>
  </si>
  <si>
    <t>Karandeep</t>
  </si>
  <si>
    <t>Bedi</t>
  </si>
  <si>
    <t>Karandeep S Bedi</t>
  </si>
  <si>
    <t>Moleevann</t>
  </si>
  <si>
    <t>Kanlack</t>
  </si>
  <si>
    <t>Moleevann Kanlack</t>
  </si>
  <si>
    <t>Mengtong</t>
  </si>
  <si>
    <t>William Yang</t>
  </si>
  <si>
    <t>Liam</t>
  </si>
  <si>
    <t>Liam Nguyen</t>
  </si>
  <si>
    <t>Bohan</t>
  </si>
  <si>
    <t>Bob Xu</t>
  </si>
  <si>
    <t>Evelyn Chen</t>
  </si>
  <si>
    <t>Yunji</t>
  </si>
  <si>
    <t>Kang</t>
  </si>
  <si>
    <t>Yunie Kang</t>
  </si>
  <si>
    <t>Birat</t>
  </si>
  <si>
    <t>Birat Bhattarai</t>
  </si>
  <si>
    <t>Harry Quan Le</t>
  </si>
  <si>
    <t>Superb</t>
  </si>
  <si>
    <t>BRW</t>
  </si>
  <si>
    <t>DSQ</t>
  </si>
  <si>
    <t>Break 1</t>
  </si>
  <si>
    <t>EW</t>
  </si>
  <si>
    <t>Break 2</t>
  </si>
  <si>
    <t>GFP</t>
  </si>
  <si>
    <t>HV</t>
  </si>
  <si>
    <t>MC</t>
  </si>
  <si>
    <t>Miranda</t>
  </si>
  <si>
    <t>Myer</t>
  </si>
  <si>
    <t>Plumpton</t>
  </si>
  <si>
    <t>QVB</t>
  </si>
  <si>
    <t>Rhodes</t>
  </si>
  <si>
    <t>GCA</t>
  </si>
  <si>
    <t>WSQ</t>
  </si>
  <si>
    <t>Hotstar</t>
  </si>
  <si>
    <t>Winlada</t>
  </si>
  <si>
    <t>Westfield Syd</t>
  </si>
  <si>
    <t>Marsden Park</t>
  </si>
  <si>
    <t>Rouse Hill</t>
  </si>
  <si>
    <t>One HV</t>
  </si>
  <si>
    <t>Hotstar HV</t>
  </si>
  <si>
    <t>Gateway</t>
  </si>
  <si>
    <t>Hotstar Waterloo</t>
  </si>
  <si>
    <t>Waterloo</t>
  </si>
  <si>
    <t>The Star</t>
  </si>
  <si>
    <t>Hotstar The Star</t>
  </si>
  <si>
    <t>New Employee</t>
  </si>
  <si>
    <t>Ribbon</t>
  </si>
  <si>
    <t>Innaloo</t>
  </si>
  <si>
    <t>Warwick</t>
  </si>
  <si>
    <t>MetCentre</t>
  </si>
  <si>
    <t>Martin Place</t>
  </si>
  <si>
    <t>Southport</t>
  </si>
  <si>
    <t>MSCWSQ</t>
  </si>
  <si>
    <t>Miss Coconut</t>
  </si>
  <si>
    <t>MSCSQ</t>
  </si>
  <si>
    <t>Hotstar Burwood</t>
  </si>
  <si>
    <t>Date</t>
  </si>
  <si>
    <t>Holiday</t>
  </si>
  <si>
    <t>New Year's Day</t>
  </si>
  <si>
    <t>Additional Day</t>
  </si>
  <si>
    <t>Australia Day</t>
  </si>
  <si>
    <t>Good Friday</t>
  </si>
  <si>
    <t>Easter Saturday</t>
  </si>
  <si>
    <t>Easter Monday</t>
  </si>
  <si>
    <t>Easter Sunday</t>
  </si>
  <si>
    <t>Anzac Day</t>
  </si>
  <si>
    <t>Queen's Birthday</t>
  </si>
  <si>
    <t>King's Birthday</t>
  </si>
  <si>
    <t>Labour Day</t>
  </si>
  <si>
    <t>Christmas Day public holiday</t>
  </si>
  <si>
    <t>Boxing Day</t>
  </si>
  <si>
    <t>National Day of mourning for her majesty the Queen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</si>
</sst>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&quot;/&quot;yyyy"/>
  </numFmts>
  <fonts count="44">
    <font>
      <sz val="10"/>
      <color rgb="FF000000"/>
      <name val="Helvetica Neue"/>
    </font>
    <font>
      <sz val="10"/>
      <color rgb="FF000000"/>
      <name val="Helvetica Neue"/>
      <family val="2"/>
    </font>
    <font>
      <sz val="9"/>
      <name val="宋体"/>
      <family val="3"/>
      <charset val="134"/>
    </font>
    <font>
      <sz val="18"/>
      <color rgb="FF000000"/>
      <name val="Helvetica"/>
      <family val="2"/>
    </font>
    <font>
      <sz val="12"/>
      <color rgb="FFB7B7B7"/>
      <name val="Helvetica"/>
      <family val="2"/>
    </font>
    <font>
      <sz val="12"/>
      <color rgb="FF000000"/>
      <name val="Helvetica"/>
      <family val="2"/>
    </font>
    <font>
      <sz val="12"/>
      <color rgb="FFBDC0BF"/>
      <name val="Helvetica"/>
      <family val="2"/>
    </font>
    <font>
      <sz val="14"/>
      <color rgb="FF000000"/>
      <name val="Helvetica"/>
      <family val="2"/>
    </font>
    <font>
      <sz val="10"/>
      <color theme="1"/>
      <name val="Helvetica Neue"/>
      <family val="2"/>
    </font>
    <font>
      <sz val="14"/>
      <color theme="0" tint="-0.499984740745262"/>
      <name val="Helvetica"/>
      <family val="2"/>
    </font>
    <font>
      <sz val="14"/>
      <color rgb="FF00B0F0"/>
      <name val="Helvetica"/>
      <family val="2"/>
    </font>
    <font>
      <sz val="10"/>
      <color theme="0" tint="-0.499984740745262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i/>
      <sz val="14"/>
      <name val="Helvetica"/>
      <family val="2"/>
    </font>
    <font>
      <sz val="14"/>
      <name val="Helvetica"/>
      <family val="2"/>
    </font>
    <font>
      <sz val="12"/>
      <name val="Helvetica"/>
      <family val="2"/>
    </font>
    <font>
      <sz val="18"/>
      <color theme="0" tint="-0.499984740745262"/>
      <name val="Helvetica"/>
      <family val="2"/>
    </font>
    <font>
      <b/>
      <sz val="10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0"/>
      <name val="Arial"/>
      <family val="2"/>
    </font>
    <font>
      <sz val="18"/>
      <color rgb="FF000000"/>
      <name val="Helvetica Neue"/>
      <family val="2"/>
    </font>
    <font>
      <sz val="8"/>
      <color rgb="FF000000"/>
      <name val="Helvetica Neue"/>
      <family val="2"/>
    </font>
    <font>
      <sz val="21"/>
      <color rgb="FF000000"/>
      <name val="Docs-Helvetica Neue"/>
    </font>
    <font>
      <b/>
      <sz val="14"/>
      <name val="Helvetica"/>
      <family val="2"/>
    </font>
    <font>
      <b/>
      <sz val="14"/>
      <color theme="0" tint="-0.499984740745262"/>
      <name val="Helvetic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20"/>
      <color theme="1"/>
      <name val="Helvetica Neue"/>
      <family val="2"/>
    </font>
    <font>
      <sz val="20"/>
      <color rgb="FF000000"/>
      <name val="Helvetica Neue"/>
      <family val="2"/>
    </font>
    <font>
      <sz val="20"/>
      <color rgb="FF000000"/>
      <name val="Helvetica"/>
      <family val="2"/>
    </font>
    <font>
      <sz val="20"/>
      <color theme="0" tint="-0.499984740745262"/>
      <name val="Helvetica"/>
      <family val="2"/>
    </font>
    <font>
      <sz val="20"/>
      <color theme="1"/>
      <name val="&quot;Helvetica Neue&quot;"/>
    </font>
    <font>
      <sz val="10"/>
      <color rgb="FF434343"/>
      <name val="Roboto"/>
    </font>
    <font>
      <b/>
      <sz val="10"/>
      <color rgb="FF000000"/>
      <name val="Calibri"/>
      <family val="2"/>
      <scheme val="minor"/>
    </font>
    <font>
      <sz val="20"/>
      <color rgb="FF0C0C0C"/>
      <name val="Helvetica Neue"/>
      <family val="2"/>
    </font>
    <font>
      <b/>
      <sz val="20"/>
      <color theme="0" tint="-0.499984740745262"/>
      <name val="Helvetica"/>
      <family val="2"/>
    </font>
    <font>
      <sz val="18"/>
      <color theme="1"/>
      <name val="&quot;Helvetica Neue&quot;"/>
      <charset val="134"/>
    </font>
    <font>
      <sz val="18"/>
      <color theme="1"/>
      <name val="Arial"/>
      <family val="2"/>
    </font>
    <font>
      <sz val="18"/>
      <color rgb="FF000000"/>
      <name val="Arial"/>
      <family val="2"/>
    </font>
    <font>
      <sz val="16"/>
      <color rgb="FF000000"/>
      <name val="Arial"/>
      <family val="2"/>
    </font>
    <font>
      <sz val="20"/>
      <color theme="1"/>
      <name val="Arial"/>
      <family val="2"/>
    </font>
    <font>
      <sz val="2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1" fontId="4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 wrapText="1"/>
    </xf>
    <xf numFmtId="4" fontId="7" fillId="0" borderId="0" xfId="0" applyNumberFormat="1" applyFont="1" applyAlignment="1" applyProtection="1">
      <alignment horizontal="center" vertical="center" wrapText="1"/>
      <protection locked="0"/>
    </xf>
    <xf numFmtId="4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0" fillId="0" borderId="0" xfId="0" applyNumberFormat="1"/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9" fillId="0" borderId="0" xfId="0" applyNumberFormat="1" applyFont="1"/>
    <xf numFmtId="1" fontId="12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  <xf numFmtId="1" fontId="9" fillId="0" borderId="0" xfId="0" applyNumberFormat="1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/>
    </xf>
    <xf numFmtId="4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21" fillId="0" borderId="0" xfId="0" applyFont="1"/>
    <xf numFmtId="20" fontId="0" fillId="0" borderId="0" xfId="0" applyNumberFormat="1"/>
    <xf numFmtId="2" fontId="20" fillId="0" borderId="0" xfId="0" applyNumberFormat="1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top"/>
      <protection locked="0"/>
    </xf>
    <xf numFmtId="4" fontId="23" fillId="0" borderId="0" xfId="0" applyNumberFormat="1" applyFont="1" applyAlignment="1" applyProtection="1">
      <alignment vertical="center" wrapText="1"/>
      <protection locked="0"/>
    </xf>
    <xf numFmtId="4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/>
      <protection locked="0"/>
    </xf>
    <xf numFmtId="0" fontId="3" fillId="0" borderId="2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vertical="center"/>
    </xf>
    <xf numFmtId="4" fontId="3" fillId="0" borderId="0" xfId="0" applyNumberFormat="1" applyFont="1" applyAlignment="1" applyProtection="1">
      <alignment vertical="center" wrapText="1"/>
      <protection locked="0"/>
    </xf>
    <xf numFmtId="0" fontId="24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25" fillId="0" borderId="0" xfId="0" applyFont="1" applyAlignment="1">
      <alignment horizontal="center" vertical="center"/>
    </xf>
    <xf numFmtId="4" fontId="26" fillId="0" borderId="0" xfId="0" applyNumberFormat="1" applyFont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27" fillId="0" borderId="0" xfId="0" applyFont="1"/>
    <xf numFmtId="164" fontId="27" fillId="0" borderId="0" xfId="0" applyNumberFormat="1" applyFont="1"/>
    <xf numFmtId="0" fontId="28" fillId="0" borderId="0" xfId="0" applyFont="1"/>
    <xf numFmtId="14" fontId="27" fillId="0" borderId="0" xfId="0" applyNumberFormat="1" applyFont="1"/>
    <xf numFmtId="0" fontId="27" fillId="0" borderId="0" xfId="0" applyFont="1" applyAlignment="1">
      <alignment horizontal="right"/>
    </xf>
    <xf numFmtId="14" fontId="16" fillId="0" borderId="0" xfId="0" applyNumberFormat="1" applyFont="1" applyAlignment="1" applyProtection="1">
      <alignment horizontal="center" vertical="center"/>
      <protection locked="0"/>
    </xf>
    <xf numFmtId="14" fontId="16" fillId="0" borderId="0" xfId="0" applyNumberFormat="1" applyFont="1" applyAlignment="1">
      <alignment horizontal="center" vertical="center"/>
    </xf>
    <xf numFmtId="0" fontId="30" fillId="0" borderId="0" xfId="0" applyFont="1" applyAlignment="1" applyProtection="1">
      <alignment horizontal="center" vertical="center" wrapText="1"/>
      <protection locked="0"/>
    </xf>
    <xf numFmtId="0" fontId="31" fillId="0" borderId="0" xfId="0" applyFont="1" applyAlignment="1" applyProtection="1">
      <alignment horizontal="center" vertical="center"/>
      <protection locked="0"/>
    </xf>
    <xf numFmtId="1" fontId="32" fillId="0" borderId="0" xfId="0" applyNumberFormat="1" applyFont="1" applyAlignment="1">
      <alignment horizontal="center" vertical="center" wrapText="1"/>
    </xf>
    <xf numFmtId="20" fontId="30" fillId="0" borderId="0" xfId="0" applyNumberFormat="1" applyFont="1" applyAlignment="1" applyProtection="1">
      <alignment horizontal="center" vertical="center"/>
      <protection locked="0"/>
    </xf>
    <xf numFmtId="4" fontId="31" fillId="0" borderId="0" xfId="0" applyNumberFormat="1" applyFont="1" applyAlignment="1" applyProtection="1">
      <alignment horizontal="center" vertical="center" wrapText="1"/>
      <protection locked="0"/>
    </xf>
    <xf numFmtId="4" fontId="30" fillId="0" borderId="0" xfId="0" applyNumberFormat="1" applyFont="1" applyAlignment="1" applyProtection="1">
      <alignment horizontal="center" vertical="center" wrapText="1"/>
      <protection locked="0"/>
    </xf>
    <xf numFmtId="14" fontId="28" fillId="0" borderId="0" xfId="0" applyNumberFormat="1" applyFont="1"/>
    <xf numFmtId="14" fontId="34" fillId="0" borderId="0" xfId="0" applyNumberFormat="1" applyFont="1"/>
    <xf numFmtId="0" fontId="30" fillId="0" borderId="0" xfId="0" applyFont="1" applyAlignment="1" applyProtection="1">
      <alignment horizontal="center" vertical="center"/>
      <protection locked="0"/>
    </xf>
    <xf numFmtId="0" fontId="35" fillId="0" borderId="0" xfId="0" applyFont="1"/>
    <xf numFmtId="49" fontId="19" fillId="0" borderId="0" xfId="0" applyNumberFormat="1" applyFont="1"/>
    <xf numFmtId="20" fontId="29" fillId="0" borderId="0" xfId="0" applyNumberFormat="1" applyFont="1" applyAlignment="1" applyProtection="1">
      <alignment horizontal="center" vertical="center"/>
      <protection locked="0"/>
    </xf>
    <xf numFmtId="0" fontId="29" fillId="0" borderId="0" xfId="0" applyFont="1" applyAlignment="1" applyProtection="1">
      <alignment horizontal="center" vertical="center" wrapText="1"/>
      <protection locked="0"/>
    </xf>
    <xf numFmtId="0" fontId="33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20" fontId="22" fillId="0" borderId="0" xfId="0" applyNumberFormat="1" applyFont="1" applyAlignment="1" applyProtection="1">
      <alignment horizontal="center" vertical="center" wrapText="1"/>
      <protection locked="0"/>
    </xf>
    <xf numFmtId="20" fontId="22" fillId="0" borderId="0" xfId="0" applyNumberFormat="1" applyFont="1" applyAlignment="1" applyProtection="1">
      <alignment horizontal="center" vertical="center"/>
      <protection locked="0"/>
    </xf>
    <xf numFmtId="0" fontId="36" fillId="0" borderId="0" xfId="0" applyFont="1" applyAlignment="1" applyProtection="1">
      <alignment horizontal="center" vertical="center" wrapText="1"/>
      <protection locked="0"/>
    </xf>
    <xf numFmtId="4" fontId="32" fillId="0" borderId="0" xfId="0" applyNumberFormat="1" applyFont="1" applyAlignment="1">
      <alignment horizontal="center" vertical="center" wrapText="1"/>
    </xf>
    <xf numFmtId="2" fontId="31" fillId="0" borderId="0" xfId="0" applyNumberFormat="1" applyFont="1" applyAlignment="1">
      <alignment horizontal="center" vertical="center" wrapText="1"/>
    </xf>
    <xf numFmtId="4" fontId="31" fillId="0" borderId="0" xfId="0" applyNumberFormat="1" applyFont="1" applyAlignment="1">
      <alignment horizontal="center" vertical="center" wrapText="1"/>
    </xf>
    <xf numFmtId="1" fontId="31" fillId="0" borderId="0" xfId="0" applyNumberFormat="1" applyFont="1" applyAlignment="1">
      <alignment horizontal="center" vertical="center" wrapText="1"/>
    </xf>
    <xf numFmtId="4" fontId="37" fillId="0" borderId="0" xfId="0" applyNumberFormat="1" applyFont="1" applyAlignment="1">
      <alignment horizontal="center" vertical="center" wrapText="1"/>
    </xf>
    <xf numFmtId="0" fontId="38" fillId="0" borderId="0" xfId="0" applyFont="1" applyAlignment="1" applyProtection="1">
      <alignment horizontal="center" wrapText="1"/>
      <protection locked="0"/>
    </xf>
    <xf numFmtId="0" fontId="39" fillId="0" borderId="0" xfId="0" applyFont="1" applyAlignment="1" applyProtection="1">
      <alignment horizontal="center" vertical="center"/>
      <protection locked="0"/>
    </xf>
    <xf numFmtId="0" fontId="40" fillId="0" borderId="0" xfId="0" applyFont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center" vertical="center"/>
      <protection locked="0"/>
    </xf>
    <xf numFmtId="20" fontId="29" fillId="0" borderId="0" xfId="0" applyNumberFormat="1" applyFont="1" applyAlignment="1" applyProtection="1">
      <alignment horizontal="center" vertical="center" wrapText="1"/>
      <protection locked="0"/>
    </xf>
    <xf numFmtId="20" fontId="30" fillId="0" borderId="0" xfId="0" applyNumberFormat="1" applyFont="1" applyAlignment="1" applyProtection="1">
      <alignment horizontal="center" vertical="center" wrapText="1"/>
      <protection locked="0"/>
    </xf>
    <xf numFmtId="0" fontId="34" fillId="0" borderId="0" xfId="0" applyFont="1"/>
    <xf numFmtId="0" fontId="42" fillId="0" borderId="0" xfId="0" applyFont="1" applyAlignment="1" applyProtection="1">
      <alignment horizontal="center"/>
      <protection locked="0"/>
    </xf>
    <xf numFmtId="0" fontId="43" fillId="0" borderId="0" xfId="0" applyFont="1" applyAlignment="1" applyProtection="1">
      <alignment horizontal="center"/>
      <protection locked="0"/>
    </xf>
  </cellXfs>
  <cellStyles count="1">
    <cellStyle name="Normal" xfId="0" builtinId="0"/>
  </cellStyles>
  <dxfs count="20"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10F8-E992-6340-AE18-E7D32791C875}">
  <sheetPr codeName="Sheet1">
    <pageSetUpPr fitToPage="1"/>
  </sheetPr>
  <dimension ref="A1:CK100"/>
  <sheetViews>
    <sheetView tabSelected="1" zoomScale="60" zoomScaleNormal="60" workbookViewId="0">
      <pane xSplit="3" ySplit="1" topLeftCell="H2" activePane="bottomRight" state="frozen"/>
      <selection pane="topRight" activeCell="D1" sqref="D1"/>
      <selection pane="bottomLeft" activeCell="A2" sqref="A2"/>
      <selection pane="bottomRight" activeCell="AD10" sqref="AD10"/>
    </sheetView>
  </sheetViews>
  <sheetFormatPr baseColWidth="10" defaultColWidth="14.5" defaultRowHeight="15" customHeight="1"/>
  <cols>
    <col min="1" max="1" width="20.83203125" style="47" customWidth="1"/>
    <col min="2" max="2" width="30.83203125" style="3" customWidth="1"/>
    <col min="3" max="3" width="41" style="42" customWidth="1"/>
    <col min="4" max="4" width="15.83203125" style="51" customWidth="1"/>
    <col min="5" max="5" width="16" style="52" customWidth="1"/>
    <col min="6" max="6" width="10.83203125" style="47" customWidth="1"/>
    <col min="7" max="7" width="15.83203125" style="54" customWidth="1"/>
    <col min="8" max="8" width="15.83203125" style="52" customWidth="1"/>
    <col min="9" max="9" width="10.83203125" style="47" customWidth="1"/>
    <col min="10" max="10" width="15.83203125" style="54" customWidth="1"/>
    <col min="11" max="11" width="15.6640625" style="52" customWidth="1"/>
    <col min="12" max="12" width="10.83203125" style="47" customWidth="1"/>
    <col min="13" max="13" width="15.83203125" style="54" customWidth="1"/>
    <col min="14" max="14" width="15.83203125" style="52" customWidth="1"/>
    <col min="15" max="15" width="10.83203125" style="47" customWidth="1"/>
    <col min="16" max="16" width="15.83203125" style="54" customWidth="1"/>
    <col min="17" max="17" width="15.83203125" style="52" customWidth="1"/>
    <col min="18" max="18" width="10.83203125" style="47" customWidth="1"/>
    <col min="19" max="19" width="15.83203125" style="54" customWidth="1"/>
    <col min="20" max="20" width="15.83203125" style="52" customWidth="1"/>
    <col min="21" max="21" width="10.83203125" style="47" customWidth="1"/>
    <col min="22" max="22" width="15.6640625" style="54" customWidth="1"/>
    <col min="23" max="23" width="15.83203125" style="52" customWidth="1"/>
    <col min="24" max="24" width="10.5" style="47" customWidth="1"/>
    <col min="25" max="25" width="2" style="47" hidden="1" customWidth="1"/>
    <col min="26" max="26" width="3.5" style="47" hidden="1" customWidth="1"/>
    <col min="27" max="27" width="0.1640625" style="47" hidden="1" customWidth="1"/>
    <col min="28" max="28" width="17.6640625" style="47" customWidth="1"/>
    <col min="29" max="29" width="3.5" style="48" customWidth="1"/>
    <col min="30" max="30" width="10.83203125" style="56" customWidth="1"/>
    <col min="31" max="31" width="10.83203125" style="49" customWidth="1"/>
    <col min="32" max="32" width="10.83203125" style="56" customWidth="1"/>
    <col min="33" max="33" width="10.83203125" style="49" customWidth="1"/>
    <col min="34" max="34" width="10.83203125" style="56" customWidth="1"/>
    <col min="35" max="35" width="10.83203125" style="49" customWidth="1"/>
    <col min="36" max="36" width="10.83203125" style="56" customWidth="1"/>
    <col min="37" max="37" width="10.83203125" style="49" customWidth="1"/>
    <col min="38" max="38" width="10.832031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6" style="47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38" customHeight="1">
      <c r="A1" s="19" t="s">
        <v>0</v>
      </c>
      <c r="B1" s="19" t="s">
        <v>1</v>
      </c>
      <c r="C1" s="19" t="s">
        <v>2</v>
      </c>
      <c r="D1" s="70">
        <v>46041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46042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46043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46044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46045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46046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46047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46048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Pub</v>
      </c>
      <c r="AB1" s="20" t="s">
        <v>3</v>
      </c>
      <c r="AD1" s="11" t="s">
        <v>4</v>
      </c>
      <c r="AE1" s="20" t="s">
        <v>5</v>
      </c>
      <c r="AF1" s="11" t="s">
        <v>4</v>
      </c>
      <c r="AG1" s="20" t="s">
        <v>6</v>
      </c>
      <c r="AH1" s="11" t="s">
        <v>4</v>
      </c>
      <c r="AI1" s="20" t="s">
        <v>7</v>
      </c>
      <c r="AJ1" s="11" t="s">
        <v>4</v>
      </c>
      <c r="AK1" s="20" t="s">
        <v>8</v>
      </c>
      <c r="AL1" s="11" t="s">
        <v>4</v>
      </c>
      <c r="AM1" s="20" t="s">
        <v>9</v>
      </c>
      <c r="AN1" s="11" t="s">
        <v>4</v>
      </c>
      <c r="AO1" s="20" t="s">
        <v>10</v>
      </c>
      <c r="AP1" s="29" t="s">
        <v>11</v>
      </c>
      <c r="AQ1" s="11" t="s">
        <v>12</v>
      </c>
      <c r="AR1" s="11" t="s">
        <v>13</v>
      </c>
      <c r="AS1" s="11" t="s">
        <v>14</v>
      </c>
      <c r="AT1" s="20" t="s">
        <v>15</v>
      </c>
      <c r="AU1" s="19" t="s">
        <v>16</v>
      </c>
      <c r="AV1" s="34">
        <v>0.91666666666666663</v>
      </c>
      <c r="AW1" s="34">
        <v>1</v>
      </c>
      <c r="AX1" s="41">
        <v>5.5</v>
      </c>
      <c r="AY1" s="41">
        <v>9</v>
      </c>
      <c r="AZ1" s="22" t="s">
        <v>0</v>
      </c>
      <c r="BA1" s="35" t="s">
        <v>17</v>
      </c>
      <c r="BB1" s="35" t="s">
        <v>18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19</v>
      </c>
      <c r="BG1" s="36" t="s">
        <v>20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21</v>
      </c>
      <c r="BL1" s="36" t="s">
        <v>22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23</v>
      </c>
      <c r="BQ1" s="36" t="s">
        <v>24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25</v>
      </c>
      <c r="BV1" s="36" t="s">
        <v>26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27</v>
      </c>
      <c r="CA1" s="36" t="s">
        <v>28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29</v>
      </c>
      <c r="CF1" s="36" t="s">
        <v>30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Pub</v>
      </c>
      <c r="CJ1" s="36" t="str">
        <f>AA1</f>
        <v>Pub</v>
      </c>
      <c r="CK1" s="36" t="s">
        <v>11</v>
      </c>
    </row>
    <row r="2" spans="1:89" ht="38" customHeight="1">
      <c r="A2" s="74">
        <f t="shared" ref="A2:A33" si="0">IF(ISNA(AZ2),"",AZ2)</f>
        <v>10059</v>
      </c>
      <c r="B2" s="80" t="s">
        <v>1489</v>
      </c>
      <c r="C2" s="102" t="s">
        <v>31</v>
      </c>
      <c r="D2" s="99">
        <v>0.375</v>
      </c>
      <c r="E2" s="83">
        <v>0.625</v>
      </c>
      <c r="F2" s="90">
        <f>BA2-BB2</f>
        <v>5.5</v>
      </c>
      <c r="G2" s="83">
        <v>0.375</v>
      </c>
      <c r="H2" s="83">
        <v>0.8125</v>
      </c>
      <c r="I2" s="90">
        <f>BF2-BG2</f>
        <v>9.5</v>
      </c>
      <c r="J2" s="83">
        <v>0.375</v>
      </c>
      <c r="K2" s="83">
        <v>0.8125</v>
      </c>
      <c r="L2" s="90">
        <f>BK2-BL2</f>
        <v>9.5</v>
      </c>
      <c r="M2" s="83">
        <v>0.54166666666666663</v>
      </c>
      <c r="N2" s="99">
        <v>0.82638888888888884</v>
      </c>
      <c r="O2" s="90">
        <f>BP2-BQ2</f>
        <v>6.333333333333333</v>
      </c>
      <c r="P2" s="99"/>
      <c r="Q2" s="83"/>
      <c r="R2" s="90">
        <f>BU2-BV2</f>
        <v>0</v>
      </c>
      <c r="S2" s="83"/>
      <c r="T2" s="83"/>
      <c r="U2" s="90">
        <f>BZ2-CA2</f>
        <v>0</v>
      </c>
      <c r="V2" s="83"/>
      <c r="W2" s="83"/>
      <c r="X2" s="90">
        <f>CE2-CF2</f>
        <v>0</v>
      </c>
      <c r="Y2" s="90"/>
      <c r="Z2" s="90"/>
      <c r="AA2" s="90"/>
      <c r="AB2" s="90">
        <f>SUM(F2,I2,L2,O2,R2,U2,X2)</f>
        <v>30.833333333333332</v>
      </c>
      <c r="AC2" s="91"/>
      <c r="AD2" s="76">
        <v>7.32</v>
      </c>
      <c r="AE2" s="92">
        <f t="shared" ref="AE2:AE40" si="1">SUMIF($BC$1:$CI$1,AE$1,$BC2:$CI2)+AD2</f>
        <v>38.153333333333336</v>
      </c>
      <c r="AF2" s="76"/>
      <c r="AG2" s="92">
        <f t="shared" ref="AG2:AG40" si="2">SUMIF($BC$1:$CI$1,AG$1,$BC2:$CI2)+AF2</f>
        <v>0</v>
      </c>
      <c r="AH2" s="77"/>
      <c r="AI2" s="92">
        <f t="shared" ref="AI2:AI40" si="3">SUMIF($BC$1:$CI$1,AI$1,$BC2:$CI2)+AH2</f>
        <v>0</v>
      </c>
      <c r="AJ2" s="76"/>
      <c r="AK2" s="92">
        <f t="shared" ref="AK2:AK40" si="4">SUMIF($BC$1:$CI$1,AK$1,$BC2:$CI2)+AJ2</f>
        <v>0</v>
      </c>
      <c r="AL2" s="76"/>
      <c r="AM2" s="92">
        <f t="shared" ref="AM2:AM40" si="5">SUMIF($BC$1:$CI$1,AM$1,$BC2:$CI2)+AL2</f>
        <v>0</v>
      </c>
      <c r="AN2" s="76"/>
      <c r="AO2" s="92">
        <f t="shared" ref="AO2:AO40" si="6">SUMIF($BC$1:$CI$1,AO$1,$BC2:$CI2)+AN2</f>
        <v>0</v>
      </c>
      <c r="AP2" s="93">
        <f>CK2</f>
        <v>4</v>
      </c>
      <c r="AQ2" s="76"/>
      <c r="AR2" s="76"/>
      <c r="AS2" s="76"/>
      <c r="AT2" s="44">
        <f>AE2+AG2+AI2+AK2+AM2+AO2+SUM(AQ2:AS2)</f>
        <v>38.153333333333336</v>
      </c>
      <c r="AU2" s="77" t="s">
        <v>32</v>
      </c>
      <c r="AV2" s="5"/>
      <c r="AW2" s="5"/>
      <c r="AX2" s="5"/>
      <c r="AY2" s="5"/>
      <c r="AZ2" s="24">
        <f>VLOOKUP(C2,Employees!D:I,6,FALSE)</f>
        <v>10059</v>
      </c>
      <c r="BA2" s="5">
        <f>IF(ISBLANK(D2),0,(E2-D2)*24)</f>
        <v>6</v>
      </c>
      <c r="BB2" s="5">
        <f>IF(BA2&gt;$AY$1,1,IF(BA2&gt;=$AX$1,0.5,0))</f>
        <v>0.5</v>
      </c>
      <c r="BC2" s="5">
        <f>BA2-BB2-BD2-BE2</f>
        <v>5.5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7">IF(ISBLANK(G2),0,(H2-G2)*24)</f>
        <v>10.5</v>
      </c>
      <c r="BG2" s="5">
        <f>IF(BF2&gt;$AY$1,1,IF(BF2&gt;=$AX$1,0.5,0))</f>
        <v>1</v>
      </c>
      <c r="BH2" s="5">
        <f>BF2-BG2-BI2-BJ2</f>
        <v>9.5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8">IF(ISBLANK(J2),0,(K2-J2)*24)</f>
        <v>10.5</v>
      </c>
      <c r="BL2" s="5">
        <f>IF(BK2&gt;$AY$1,1,IF(BK2&gt;=$AX$1,0.5,0))</f>
        <v>1</v>
      </c>
      <c r="BM2" s="5">
        <f>BK2-BL2-BN2-BO2</f>
        <v>9.5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9">IF(ISBLANK(M2),0,(N2-M2)*24)</f>
        <v>6.833333333333333</v>
      </c>
      <c r="BQ2" s="5">
        <f>IF(BP2&gt;$AY$1,1,IF(BP2&gt;=$AX$1,0.5,0))</f>
        <v>0.5</v>
      </c>
      <c r="BR2" s="5">
        <f>BP2-BQ2-BS2-BT2</f>
        <v>6.333333333333333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10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:BY65" si="11">IF(Q2&gt;$AW$1,(Q2-MAX(P2,$AW$1))*24,0)</f>
        <v>0</v>
      </c>
      <c r="BZ2" s="5">
        <f t="shared" ref="BZ2" si="12">IF(ISBLANK(S2),0,(T2-S2)*24)</f>
        <v>0</v>
      </c>
      <c r="CA2" s="5">
        <f>IF(BZ2&gt;$AY$1,1,IF(BZ2&gt;=$AX$1,0.5,0))</f>
        <v>0</v>
      </c>
      <c r="CB2" s="5">
        <f>BZ2-CA2-CC2-CD2</f>
        <v>0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13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14">SUM(IF(F2&gt;0,1,0),IF(I2&gt;0,1,0),IF(L2&gt;0,1,0),IF(O2&gt;0,1,0),IF(R2&gt;0,1,0),IF(U2&gt;0,1,0),IF(X2&gt;0,1,0))</f>
        <v>4</v>
      </c>
    </row>
    <row r="3" spans="1:89" ht="38" customHeight="1">
      <c r="A3" s="74">
        <f t="shared" si="0"/>
        <v>10090</v>
      </c>
      <c r="B3" s="80" t="s">
        <v>1489</v>
      </c>
      <c r="C3" s="102" t="s">
        <v>33</v>
      </c>
      <c r="D3" s="99">
        <v>0.625</v>
      </c>
      <c r="E3" s="83">
        <v>0.81944444444444442</v>
      </c>
      <c r="F3" s="90">
        <f t="shared" ref="F3:F69" si="15">BA3-BB3</f>
        <v>4.6666666666666661</v>
      </c>
      <c r="G3" s="83"/>
      <c r="H3" s="83"/>
      <c r="I3" s="90">
        <f t="shared" ref="I3:I69" si="16">BF3-BG3</f>
        <v>0</v>
      </c>
      <c r="J3" s="83"/>
      <c r="K3" s="83"/>
      <c r="L3" s="90">
        <f t="shared" ref="L3:L69" si="17">BK3-BL3</f>
        <v>0</v>
      </c>
      <c r="M3" s="83"/>
      <c r="N3" s="99"/>
      <c r="O3" s="90">
        <f t="shared" ref="O3:O69" si="18">BP3-BQ3</f>
        <v>0</v>
      </c>
      <c r="P3" s="99"/>
      <c r="Q3" s="83"/>
      <c r="R3" s="90">
        <f t="shared" ref="R3:R69" si="19">BU3-BV3</f>
        <v>0</v>
      </c>
      <c r="S3" s="83"/>
      <c r="T3" s="83"/>
      <c r="U3" s="90">
        <f t="shared" ref="U3:U69" si="20">BZ3-CA3</f>
        <v>0</v>
      </c>
      <c r="V3" s="83"/>
      <c r="W3" s="83"/>
      <c r="X3" s="90">
        <f t="shared" ref="X3:X69" si="21">CE3-CF3</f>
        <v>0</v>
      </c>
      <c r="Y3" s="90"/>
      <c r="Z3" s="90"/>
      <c r="AA3" s="90"/>
      <c r="AB3" s="90">
        <f t="shared" ref="AB3:AB69" si="22">SUM(F3,I3,L3,O3,R3,U3,X3)</f>
        <v>4.6666666666666661</v>
      </c>
      <c r="AC3" s="91"/>
      <c r="AD3" s="76"/>
      <c r="AE3" s="92">
        <f t="shared" si="1"/>
        <v>4.6666666666666661</v>
      </c>
      <c r="AF3" s="76"/>
      <c r="AG3" s="92">
        <f t="shared" si="2"/>
        <v>0</v>
      </c>
      <c r="AH3" s="77"/>
      <c r="AI3" s="92">
        <f t="shared" si="3"/>
        <v>0</v>
      </c>
      <c r="AJ3" s="76"/>
      <c r="AK3" s="92">
        <f t="shared" si="4"/>
        <v>0</v>
      </c>
      <c r="AL3" s="76"/>
      <c r="AM3" s="92">
        <f t="shared" si="5"/>
        <v>0</v>
      </c>
      <c r="AN3" s="76"/>
      <c r="AO3" s="92">
        <f t="shared" si="6"/>
        <v>0</v>
      </c>
      <c r="AP3" s="93">
        <f t="shared" ref="AP3:AP69" si="23">CK3</f>
        <v>1</v>
      </c>
      <c r="AQ3" s="76"/>
      <c r="AR3" s="76"/>
      <c r="AS3" s="76"/>
      <c r="AT3" s="44">
        <f t="shared" ref="AT3:AT69" si="24">AE3+AG3+AI3+AK3+AM3+AO3+SUM(AQ3:AS3)</f>
        <v>4.6666666666666661</v>
      </c>
      <c r="AU3" s="77"/>
      <c r="AV3" s="5"/>
      <c r="AW3" s="5"/>
      <c r="AX3" s="5"/>
      <c r="AY3" s="5"/>
      <c r="AZ3" s="24">
        <f>VLOOKUP(C3,Employees!D:I,6,FALSE)</f>
        <v>10090</v>
      </c>
      <c r="BA3" s="5">
        <f t="shared" ref="BA3:BA66" si="25">IF(ISBLANK(D3),0,(E3-D3)*24)</f>
        <v>4.6666666666666661</v>
      </c>
      <c r="BB3" s="5">
        <f t="shared" ref="BB3:BB66" si="26">IF(BA3&gt;$AY$1,1,IF(BA3&gt;=$AX$1,0.5,0))</f>
        <v>0</v>
      </c>
      <c r="BC3" s="5">
        <f t="shared" ref="BC3:BC66" si="27">BA3-BB3-BD3-BE3</f>
        <v>4.6666666666666661</v>
      </c>
      <c r="BD3" s="5">
        <f>IF(AND(E3&gt;$AV$1, D3&lt;$AW$1),(MIN(E3,$AW$1)-MAX(D3,$AV$1))*24,0)</f>
        <v>0</v>
      </c>
      <c r="BE3" s="5">
        <f t="shared" ref="BE3:BE66" si="28">IF(E3&gt;$AW$1,(E3-MAX(D3,$AW$1))*24,0)</f>
        <v>0</v>
      </c>
      <c r="BF3" s="5">
        <f t="shared" ref="BF3:BF66" si="29">IF(ISBLANK(G3),0,(H3-G3)*24)</f>
        <v>0</v>
      </c>
      <c r="BG3" s="5">
        <f t="shared" ref="BG3:BG66" si="30">IF(BF3&gt;$AY$1,1,IF(BF3&gt;=$AX$1,0.5,0))</f>
        <v>0</v>
      </c>
      <c r="BH3" s="5">
        <f t="shared" ref="BH3:BH66" si="31">BF3-BG3-BI3-BJ3</f>
        <v>0</v>
      </c>
      <c r="BI3" s="5">
        <f t="shared" ref="BI3:BI66" si="32">IF(AND(H3&gt;$AV$1,G3&lt;$AW$1),(MIN(H3,$AW$1)-MAX(G3,$AV$1))*24,0)</f>
        <v>0</v>
      </c>
      <c r="BJ3" s="5">
        <f t="shared" ref="BJ3:BJ66" si="33">IF(H3&gt;$AW$1,(H3-MAX(G3,$AW$1))*24,0)</f>
        <v>0</v>
      </c>
      <c r="BK3" s="5">
        <f t="shared" ref="BK3:BK66" si="34">IF(ISBLANK(J3),0,(K3-J3)*24)</f>
        <v>0</v>
      </c>
      <c r="BL3" s="5">
        <f t="shared" ref="BL3:BL66" si="35">IF(BK3&gt;$AY$1,1,IF(BK3&gt;=$AX$1,0.5,0))</f>
        <v>0</v>
      </c>
      <c r="BM3" s="5">
        <f t="shared" ref="BM3:BM66" si="36">BK3-BL3-BN3-BO3</f>
        <v>0</v>
      </c>
      <c r="BN3" s="5">
        <f t="shared" ref="BN3:BN66" si="37">IF(AND(K3&gt;$AV$1, J3&lt;$AW$1),(MIN(K3,$AW$1)-MAX(J3,$AV$1))*24,0)</f>
        <v>0</v>
      </c>
      <c r="BO3" s="5">
        <f t="shared" ref="BO3:BO66" si="38">IF(K3&gt;$AW$1,(K3-MAX(J3,$AW$1))*24,0)</f>
        <v>0</v>
      </c>
      <c r="BP3" s="5">
        <f t="shared" ref="BP3:BP66" si="39">IF(ISBLANK(M3),0,(N3-M3)*24)</f>
        <v>0</v>
      </c>
      <c r="BQ3" s="5">
        <f t="shared" ref="BQ3:BQ66" si="40">IF(BP3&gt;$AY$1,1,IF(BP3&gt;=$AX$1,0.5,0))</f>
        <v>0</v>
      </c>
      <c r="BR3" s="5">
        <f t="shared" ref="BR3:BR66" si="41">BP3-BQ3-BS3-BT3</f>
        <v>0</v>
      </c>
      <c r="BS3" s="5">
        <f t="shared" ref="BS3:BS66" si="42">IF(AND(N3&gt;$AV$1, M3&lt;$AW$1),(MIN(N3,$AW$1)-MAX(M3,$AV$1))*24,0)</f>
        <v>0</v>
      </c>
      <c r="BT3" s="5">
        <f t="shared" ref="BT3:BT66" si="43">IF(N3&gt;$AW$1,(N3-MAX(M3,$AW$1))*24,0)</f>
        <v>0</v>
      </c>
      <c r="BU3" s="5">
        <f t="shared" ref="BU3:BU66" si="44">IF(ISBLANK(P3),0,(Q3-P3)*24)</f>
        <v>0</v>
      </c>
      <c r="BV3" s="5">
        <f t="shared" ref="BV3:BV66" si="45">IF(BU3&gt;$AY$1,1,IF(BU3&gt;=$AX$1,0.5,0))</f>
        <v>0</v>
      </c>
      <c r="BW3" s="5">
        <f t="shared" ref="BW3:BW66" si="46">BU3-BV3-BX3-BY3</f>
        <v>0</v>
      </c>
      <c r="BX3" s="5">
        <f t="shared" ref="BX3:BX66" si="47">IF(AND(Q3&gt;$AV$1, P3&lt;$AW$1),(MIN(Q3,$AW$1)-MAX(P3,$AV$1))*24,0)</f>
        <v>0</v>
      </c>
      <c r="BY3" s="5">
        <f t="shared" si="11"/>
        <v>0</v>
      </c>
      <c r="BZ3" s="5">
        <f t="shared" ref="BZ3:BZ66" si="48">IF(ISBLANK(S3),0,(T3-S3)*24)</f>
        <v>0</v>
      </c>
      <c r="CA3" s="5">
        <f t="shared" ref="CA3:CA66" si="49">IF(BZ3&gt;$AY$1,1,IF(BZ3&gt;=$AX$1,0.5,0))</f>
        <v>0</v>
      </c>
      <c r="CB3" s="5">
        <f t="shared" ref="CB3:CB66" si="50">BZ3-CA3-CC3-CD3</f>
        <v>0</v>
      </c>
      <c r="CC3" s="5">
        <f t="shared" ref="CC3:CC66" si="51">IF(AND(T3&gt;$AV$1, S3&lt;$AW$1),(MIN(T3,$AW$1)-MAX(S3,$AV$1))*24,0)</f>
        <v>0</v>
      </c>
      <c r="CD3" s="5">
        <f t="shared" ref="CD3:CD66" si="52">IF(T3&gt;$AW$1,(T3-MAX(S3,$AW$1))*24,0)</f>
        <v>0</v>
      </c>
      <c r="CE3" s="5">
        <f t="shared" ref="CE3:CE66" si="53">IF(ISBLANK(V3),0,(W3-V3)*24)</f>
        <v>0</v>
      </c>
      <c r="CF3" s="5">
        <f t="shared" ref="CF3:CF66" si="54">IF(CE3&gt;$AY$1,1,IF(CE3&gt;=$AX$1,0.5,0))</f>
        <v>0</v>
      </c>
      <c r="CG3" s="5">
        <f t="shared" ref="CG3:CG66" si="55">CE3-CF3-CH3-CI3</f>
        <v>0</v>
      </c>
      <c r="CH3" s="5">
        <f t="shared" ref="CH3:CH66" si="56">IF(AND(W3&gt;$AV$1, V3&lt;$AW$1),(MIN(W3,$AW$1)-MAX(V3,$AV$1))*24,0)</f>
        <v>0</v>
      </c>
      <c r="CI3" s="5">
        <f t="shared" ref="CI3:CI66" si="57">IF(W3&gt;$AW$1,(W3-MAX(V3,$AW$1))*24,0)</f>
        <v>0</v>
      </c>
      <c r="CJ3" s="5"/>
      <c r="CK3" s="4">
        <f t="shared" si="14"/>
        <v>1</v>
      </c>
    </row>
    <row r="4" spans="1:89" ht="38" customHeight="1">
      <c r="A4" s="74">
        <f t="shared" si="0"/>
        <v>210527</v>
      </c>
      <c r="B4" s="80" t="s">
        <v>1489</v>
      </c>
      <c r="C4" s="103" t="s">
        <v>34</v>
      </c>
      <c r="D4" s="83"/>
      <c r="E4" s="83"/>
      <c r="F4" s="90">
        <f t="shared" si="15"/>
        <v>0</v>
      </c>
      <c r="G4" s="83"/>
      <c r="H4" s="83"/>
      <c r="I4" s="90">
        <f t="shared" si="16"/>
        <v>0</v>
      </c>
      <c r="J4" s="83"/>
      <c r="K4" s="83"/>
      <c r="L4" s="90">
        <f t="shared" si="17"/>
        <v>0</v>
      </c>
      <c r="M4" s="83">
        <v>0.375</v>
      </c>
      <c r="N4" s="83">
        <v>0.58333333333333337</v>
      </c>
      <c r="O4" s="90">
        <f t="shared" si="18"/>
        <v>5.0000000000000009</v>
      </c>
      <c r="P4" s="75">
        <v>0.375</v>
      </c>
      <c r="Q4" s="75">
        <v>0.82986111111111116</v>
      </c>
      <c r="R4" s="90">
        <f t="shared" si="19"/>
        <v>9.9166666666666679</v>
      </c>
      <c r="S4" s="75"/>
      <c r="T4" s="75"/>
      <c r="U4" s="90">
        <f t="shared" si="20"/>
        <v>0</v>
      </c>
      <c r="V4" s="83"/>
      <c r="W4" s="83"/>
      <c r="X4" s="90">
        <f t="shared" si="21"/>
        <v>0</v>
      </c>
      <c r="Y4" s="90"/>
      <c r="Z4" s="90"/>
      <c r="AA4" s="90"/>
      <c r="AB4" s="90">
        <f t="shared" si="22"/>
        <v>14.916666666666668</v>
      </c>
      <c r="AC4" s="91"/>
      <c r="AD4" s="76">
        <v>1</v>
      </c>
      <c r="AE4" s="92">
        <f t="shared" si="1"/>
        <v>15.916666666666668</v>
      </c>
      <c r="AF4" s="76"/>
      <c r="AG4" s="92">
        <f t="shared" si="2"/>
        <v>0</v>
      </c>
      <c r="AH4" s="77"/>
      <c r="AI4" s="92">
        <f t="shared" si="3"/>
        <v>0</v>
      </c>
      <c r="AJ4" s="76"/>
      <c r="AK4" s="92">
        <f t="shared" si="4"/>
        <v>0</v>
      </c>
      <c r="AL4" s="76"/>
      <c r="AM4" s="92">
        <f t="shared" si="5"/>
        <v>0</v>
      </c>
      <c r="AN4" s="76"/>
      <c r="AO4" s="92">
        <f t="shared" si="6"/>
        <v>0</v>
      </c>
      <c r="AP4" s="93">
        <f t="shared" si="23"/>
        <v>2</v>
      </c>
      <c r="AQ4" s="76"/>
      <c r="AR4" s="76"/>
      <c r="AS4" s="76"/>
      <c r="AT4" s="44">
        <f t="shared" si="24"/>
        <v>15.916666666666668</v>
      </c>
      <c r="AU4" s="77" t="s">
        <v>35</v>
      </c>
      <c r="AV4" s="5"/>
      <c r="AW4" s="5"/>
      <c r="AX4" s="5"/>
      <c r="AY4" s="5"/>
      <c r="AZ4" s="24">
        <f>VLOOKUP(C4,Employees!D:I,6,FALSE)</f>
        <v>210527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ref="BD4:BD66" si="58">IF(AND(E4&gt;$AV$1, D4&lt;$AW$1),(MIN(E4,$AW$1)-MAX(D4,$AV$1))*24,0)</f>
        <v>0</v>
      </c>
      <c r="BE4" s="5">
        <f t="shared" si="28"/>
        <v>0</v>
      </c>
      <c r="BF4" s="5">
        <f t="shared" si="29"/>
        <v>0</v>
      </c>
      <c r="BG4" s="5">
        <f t="shared" si="30"/>
        <v>0</v>
      </c>
      <c r="BH4" s="5">
        <f t="shared" si="31"/>
        <v>0</v>
      </c>
      <c r="BI4" s="5">
        <f t="shared" si="32"/>
        <v>0</v>
      </c>
      <c r="BJ4" s="5">
        <f t="shared" si="33"/>
        <v>0</v>
      </c>
      <c r="BK4" s="5">
        <f t="shared" si="34"/>
        <v>0</v>
      </c>
      <c r="BL4" s="5">
        <f t="shared" si="35"/>
        <v>0</v>
      </c>
      <c r="BM4" s="5">
        <f t="shared" si="36"/>
        <v>0</v>
      </c>
      <c r="BN4" s="5">
        <f t="shared" si="37"/>
        <v>0</v>
      </c>
      <c r="BO4" s="5">
        <f t="shared" si="38"/>
        <v>0</v>
      </c>
      <c r="BP4" s="5">
        <f t="shared" si="39"/>
        <v>5.0000000000000009</v>
      </c>
      <c r="BQ4" s="5">
        <f t="shared" si="40"/>
        <v>0</v>
      </c>
      <c r="BR4" s="5">
        <f t="shared" si="41"/>
        <v>5.0000000000000009</v>
      </c>
      <c r="BS4" s="5">
        <f t="shared" si="42"/>
        <v>0</v>
      </c>
      <c r="BT4" s="5">
        <f t="shared" si="43"/>
        <v>0</v>
      </c>
      <c r="BU4" s="5">
        <f t="shared" si="44"/>
        <v>10.916666666666668</v>
      </c>
      <c r="BV4" s="5">
        <f t="shared" si="45"/>
        <v>1</v>
      </c>
      <c r="BW4" s="5">
        <f t="shared" si="46"/>
        <v>9.9166666666666679</v>
      </c>
      <c r="BX4" s="5">
        <f t="shared" si="47"/>
        <v>0</v>
      </c>
      <c r="BY4" s="5">
        <f t="shared" si="11"/>
        <v>0</v>
      </c>
      <c r="BZ4" s="5">
        <f t="shared" si="48"/>
        <v>0</v>
      </c>
      <c r="CA4" s="5">
        <f t="shared" si="49"/>
        <v>0</v>
      </c>
      <c r="CB4" s="5">
        <f t="shared" si="50"/>
        <v>0</v>
      </c>
      <c r="CC4" s="5">
        <f t="shared" si="51"/>
        <v>0</v>
      </c>
      <c r="CD4" s="5">
        <f t="shared" si="52"/>
        <v>0</v>
      </c>
      <c r="CE4" s="5">
        <f t="shared" si="53"/>
        <v>0</v>
      </c>
      <c r="CF4" s="5">
        <f t="shared" si="54"/>
        <v>0</v>
      </c>
      <c r="CG4" s="5">
        <f t="shared" si="55"/>
        <v>0</v>
      </c>
      <c r="CH4" s="5">
        <f t="shared" si="56"/>
        <v>0</v>
      </c>
      <c r="CI4" s="5">
        <f t="shared" si="57"/>
        <v>0</v>
      </c>
      <c r="CJ4" s="5"/>
      <c r="CK4" s="4">
        <f t="shared" si="14"/>
        <v>2</v>
      </c>
    </row>
    <row r="5" spans="1:89" ht="38" customHeight="1">
      <c r="A5" s="74" t="str">
        <f t="shared" si="0"/>
        <v/>
      </c>
      <c r="B5" s="80"/>
      <c r="C5" s="84"/>
      <c r="D5" s="75"/>
      <c r="E5" s="75"/>
      <c r="F5" s="90">
        <f t="shared" si="15"/>
        <v>0</v>
      </c>
      <c r="G5" s="83"/>
      <c r="H5" s="83"/>
      <c r="I5" s="90">
        <f t="shared" si="16"/>
        <v>0</v>
      </c>
      <c r="J5" s="83"/>
      <c r="K5" s="83"/>
      <c r="L5" s="90">
        <f t="shared" si="17"/>
        <v>0</v>
      </c>
      <c r="M5" s="75"/>
      <c r="N5" s="75"/>
      <c r="O5" s="90">
        <f t="shared" si="18"/>
        <v>0</v>
      </c>
      <c r="P5" s="75"/>
      <c r="Q5" s="75"/>
      <c r="R5" s="90">
        <f t="shared" si="19"/>
        <v>0</v>
      </c>
      <c r="S5" s="75"/>
      <c r="T5" s="75"/>
      <c r="U5" s="90">
        <f t="shared" si="20"/>
        <v>0</v>
      </c>
      <c r="V5" s="83"/>
      <c r="W5" s="83"/>
      <c r="X5" s="90">
        <f t="shared" si="21"/>
        <v>0</v>
      </c>
      <c r="Y5" s="90"/>
      <c r="Z5" s="90"/>
      <c r="AA5" s="90"/>
      <c r="AB5" s="90">
        <f t="shared" si="22"/>
        <v>0</v>
      </c>
      <c r="AC5" s="91"/>
      <c r="AD5" s="77"/>
      <c r="AE5" s="92">
        <f t="shared" si="1"/>
        <v>0</v>
      </c>
      <c r="AF5" s="76"/>
      <c r="AG5" s="92">
        <f t="shared" si="2"/>
        <v>0</v>
      </c>
      <c r="AH5" s="77"/>
      <c r="AI5" s="92">
        <f t="shared" si="3"/>
        <v>0</v>
      </c>
      <c r="AJ5" s="76"/>
      <c r="AK5" s="92">
        <f t="shared" si="4"/>
        <v>0</v>
      </c>
      <c r="AL5" s="76"/>
      <c r="AM5" s="92">
        <f t="shared" si="5"/>
        <v>0</v>
      </c>
      <c r="AN5" s="76"/>
      <c r="AO5" s="92">
        <f t="shared" si="6"/>
        <v>0</v>
      </c>
      <c r="AP5" s="93">
        <f t="shared" si="23"/>
        <v>0</v>
      </c>
      <c r="AQ5" s="76"/>
      <c r="AR5" s="76"/>
      <c r="AS5" s="76"/>
      <c r="AT5" s="44">
        <f t="shared" si="24"/>
        <v>0</v>
      </c>
      <c r="AU5" s="77"/>
      <c r="AV5" s="5"/>
      <c r="AW5" s="5"/>
      <c r="AX5" s="5"/>
      <c r="AY5" s="5"/>
      <c r="AZ5" s="24" t="e">
        <f>VLOOKUP(C5,Employees!D:I,6,FALSE)</f>
        <v>#N/A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58"/>
        <v>0</v>
      </c>
      <c r="BE5" s="5">
        <f t="shared" si="28"/>
        <v>0</v>
      </c>
      <c r="BF5" s="5">
        <f t="shared" si="29"/>
        <v>0</v>
      </c>
      <c r="BG5" s="5">
        <f t="shared" si="30"/>
        <v>0</v>
      </c>
      <c r="BH5" s="5">
        <f t="shared" si="31"/>
        <v>0</v>
      </c>
      <c r="BI5" s="5">
        <f t="shared" si="32"/>
        <v>0</v>
      </c>
      <c r="BJ5" s="5">
        <f t="shared" si="33"/>
        <v>0</v>
      </c>
      <c r="BK5" s="5">
        <f t="shared" si="34"/>
        <v>0</v>
      </c>
      <c r="BL5" s="5">
        <f t="shared" si="35"/>
        <v>0</v>
      </c>
      <c r="BM5" s="5">
        <f t="shared" si="36"/>
        <v>0</v>
      </c>
      <c r="BN5" s="5">
        <f t="shared" si="37"/>
        <v>0</v>
      </c>
      <c r="BO5" s="5">
        <f t="shared" si="38"/>
        <v>0</v>
      </c>
      <c r="BP5" s="5">
        <f t="shared" si="39"/>
        <v>0</v>
      </c>
      <c r="BQ5" s="5">
        <f t="shared" si="40"/>
        <v>0</v>
      </c>
      <c r="BR5" s="5">
        <f t="shared" si="41"/>
        <v>0</v>
      </c>
      <c r="BS5" s="5">
        <f t="shared" si="42"/>
        <v>0</v>
      </c>
      <c r="BT5" s="5">
        <f t="shared" si="43"/>
        <v>0</v>
      </c>
      <c r="BU5" s="5">
        <f t="shared" si="44"/>
        <v>0</v>
      </c>
      <c r="BV5" s="5">
        <f t="shared" si="45"/>
        <v>0</v>
      </c>
      <c r="BW5" s="5">
        <f t="shared" si="46"/>
        <v>0</v>
      </c>
      <c r="BX5" s="5">
        <f t="shared" si="47"/>
        <v>0</v>
      </c>
      <c r="BY5" s="5">
        <f t="shared" si="11"/>
        <v>0</v>
      </c>
      <c r="BZ5" s="5">
        <f t="shared" si="48"/>
        <v>0</v>
      </c>
      <c r="CA5" s="5">
        <f t="shared" si="49"/>
        <v>0</v>
      </c>
      <c r="CB5" s="5">
        <f t="shared" si="50"/>
        <v>0</v>
      </c>
      <c r="CC5" s="5">
        <f t="shared" si="51"/>
        <v>0</v>
      </c>
      <c r="CD5" s="5">
        <f t="shared" si="52"/>
        <v>0</v>
      </c>
      <c r="CE5" s="5">
        <f t="shared" si="53"/>
        <v>0</v>
      </c>
      <c r="CF5" s="5">
        <f t="shared" si="54"/>
        <v>0</v>
      </c>
      <c r="CG5" s="5">
        <f t="shared" si="55"/>
        <v>0</v>
      </c>
      <c r="CH5" s="5">
        <f t="shared" si="56"/>
        <v>0</v>
      </c>
      <c r="CI5" s="5">
        <f t="shared" si="57"/>
        <v>0</v>
      </c>
      <c r="CJ5" s="5"/>
      <c r="CK5" s="4">
        <f t="shared" si="14"/>
        <v>0</v>
      </c>
    </row>
    <row r="6" spans="1:89" ht="38" customHeight="1">
      <c r="A6" s="74" t="str">
        <f t="shared" si="0"/>
        <v/>
      </c>
      <c r="B6" s="80"/>
      <c r="C6" s="84"/>
      <c r="D6" s="83"/>
      <c r="E6" s="83"/>
      <c r="F6" s="90">
        <f t="shared" si="15"/>
        <v>0</v>
      </c>
      <c r="G6" s="83"/>
      <c r="H6" s="83"/>
      <c r="I6" s="90">
        <f t="shared" si="16"/>
        <v>0</v>
      </c>
      <c r="J6" s="83"/>
      <c r="K6" s="83"/>
      <c r="L6" s="90">
        <f t="shared" si="17"/>
        <v>0</v>
      </c>
      <c r="M6" s="75"/>
      <c r="N6" s="75"/>
      <c r="O6" s="90">
        <f t="shared" si="18"/>
        <v>0</v>
      </c>
      <c r="P6" s="75"/>
      <c r="Q6" s="75"/>
      <c r="R6" s="90">
        <f t="shared" si="19"/>
        <v>0</v>
      </c>
      <c r="S6" s="75"/>
      <c r="T6" s="75"/>
      <c r="U6" s="90">
        <f t="shared" si="20"/>
        <v>0</v>
      </c>
      <c r="V6" s="83"/>
      <c r="W6" s="83"/>
      <c r="X6" s="90">
        <f t="shared" si="21"/>
        <v>0</v>
      </c>
      <c r="Y6" s="90"/>
      <c r="Z6" s="90"/>
      <c r="AA6" s="90"/>
      <c r="AB6" s="90">
        <f t="shared" si="22"/>
        <v>0</v>
      </c>
      <c r="AC6" s="91"/>
      <c r="AD6" s="77"/>
      <c r="AE6" s="92">
        <f t="shared" si="1"/>
        <v>0</v>
      </c>
      <c r="AF6" s="76"/>
      <c r="AG6" s="92">
        <f t="shared" si="2"/>
        <v>0</v>
      </c>
      <c r="AH6" s="77"/>
      <c r="AI6" s="92">
        <f t="shared" si="3"/>
        <v>0</v>
      </c>
      <c r="AJ6" s="76"/>
      <c r="AK6" s="92">
        <f t="shared" si="4"/>
        <v>0</v>
      </c>
      <c r="AL6" s="76"/>
      <c r="AM6" s="92">
        <f t="shared" si="5"/>
        <v>0</v>
      </c>
      <c r="AN6" s="76"/>
      <c r="AO6" s="92">
        <f t="shared" si="6"/>
        <v>0</v>
      </c>
      <c r="AP6" s="93">
        <f t="shared" si="23"/>
        <v>0</v>
      </c>
      <c r="AQ6" s="76"/>
      <c r="AR6" s="76"/>
      <c r="AS6" s="76"/>
      <c r="AT6" s="44">
        <f t="shared" si="24"/>
        <v>0</v>
      </c>
      <c r="AU6" s="77"/>
      <c r="AV6" s="5"/>
      <c r="AW6" s="5"/>
      <c r="AX6" s="5"/>
      <c r="AY6" s="5"/>
      <c r="AZ6" s="24" t="e">
        <f>VLOOKUP(C6,Employees!D:I,6,FALSE)</f>
        <v>#N/A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58"/>
        <v>0</v>
      </c>
      <c r="BE6" s="5">
        <f t="shared" si="28"/>
        <v>0</v>
      </c>
      <c r="BF6" s="5">
        <f t="shared" si="29"/>
        <v>0</v>
      </c>
      <c r="BG6" s="5">
        <f t="shared" si="30"/>
        <v>0</v>
      </c>
      <c r="BH6" s="5">
        <f t="shared" si="31"/>
        <v>0</v>
      </c>
      <c r="BI6" s="5">
        <f t="shared" si="32"/>
        <v>0</v>
      </c>
      <c r="BJ6" s="5">
        <f t="shared" si="33"/>
        <v>0</v>
      </c>
      <c r="BK6" s="5">
        <f t="shared" si="34"/>
        <v>0</v>
      </c>
      <c r="BL6" s="5">
        <f t="shared" si="35"/>
        <v>0</v>
      </c>
      <c r="BM6" s="5">
        <f t="shared" si="36"/>
        <v>0</v>
      </c>
      <c r="BN6" s="5">
        <f t="shared" si="37"/>
        <v>0</v>
      </c>
      <c r="BO6" s="5">
        <f t="shared" si="38"/>
        <v>0</v>
      </c>
      <c r="BP6" s="5">
        <f t="shared" si="39"/>
        <v>0</v>
      </c>
      <c r="BQ6" s="5">
        <f t="shared" si="40"/>
        <v>0</v>
      </c>
      <c r="BR6" s="5">
        <f t="shared" si="41"/>
        <v>0</v>
      </c>
      <c r="BS6" s="5">
        <f t="shared" si="42"/>
        <v>0</v>
      </c>
      <c r="BT6" s="5">
        <f t="shared" si="43"/>
        <v>0</v>
      </c>
      <c r="BU6" s="5">
        <f t="shared" si="44"/>
        <v>0</v>
      </c>
      <c r="BV6" s="5">
        <f t="shared" si="45"/>
        <v>0</v>
      </c>
      <c r="BW6" s="5">
        <f t="shared" si="46"/>
        <v>0</v>
      </c>
      <c r="BX6" s="5">
        <f t="shared" si="47"/>
        <v>0</v>
      </c>
      <c r="BY6" s="5">
        <f t="shared" si="11"/>
        <v>0</v>
      </c>
      <c r="BZ6" s="5">
        <f t="shared" si="48"/>
        <v>0</v>
      </c>
      <c r="CA6" s="5">
        <f t="shared" si="49"/>
        <v>0</v>
      </c>
      <c r="CB6" s="5">
        <f t="shared" si="50"/>
        <v>0</v>
      </c>
      <c r="CC6" s="5">
        <f t="shared" si="51"/>
        <v>0</v>
      </c>
      <c r="CD6" s="5">
        <f t="shared" si="52"/>
        <v>0</v>
      </c>
      <c r="CE6" s="5">
        <f t="shared" si="53"/>
        <v>0</v>
      </c>
      <c r="CF6" s="5">
        <f t="shared" si="54"/>
        <v>0</v>
      </c>
      <c r="CG6" s="5">
        <f t="shared" si="55"/>
        <v>0</v>
      </c>
      <c r="CH6" s="5">
        <f t="shared" si="56"/>
        <v>0</v>
      </c>
      <c r="CI6" s="5">
        <f t="shared" si="57"/>
        <v>0</v>
      </c>
      <c r="CJ6" s="5"/>
      <c r="CK6" s="4">
        <f t="shared" si="14"/>
        <v>0</v>
      </c>
    </row>
    <row r="7" spans="1:89" ht="38" customHeight="1">
      <c r="A7" s="74" t="str">
        <f t="shared" si="0"/>
        <v/>
      </c>
      <c r="B7" s="73"/>
      <c r="C7" s="95"/>
      <c r="D7" s="75"/>
      <c r="E7" s="75"/>
      <c r="F7" s="90">
        <f t="shared" si="15"/>
        <v>0</v>
      </c>
      <c r="G7" s="75"/>
      <c r="H7" s="75"/>
      <c r="I7" s="90">
        <f t="shared" si="16"/>
        <v>0</v>
      </c>
      <c r="J7" s="83"/>
      <c r="K7" s="83"/>
      <c r="L7" s="90">
        <f t="shared" si="17"/>
        <v>0</v>
      </c>
      <c r="M7" s="83"/>
      <c r="N7" s="83"/>
      <c r="O7" s="90">
        <f t="shared" si="18"/>
        <v>0</v>
      </c>
      <c r="P7" s="75"/>
      <c r="Q7" s="75"/>
      <c r="R7" s="90">
        <f t="shared" si="19"/>
        <v>0</v>
      </c>
      <c r="S7" s="75"/>
      <c r="T7" s="75"/>
      <c r="U7" s="90">
        <f t="shared" si="20"/>
        <v>0</v>
      </c>
      <c r="V7" s="83"/>
      <c r="W7" s="83"/>
      <c r="X7" s="90">
        <f t="shared" si="21"/>
        <v>0</v>
      </c>
      <c r="Y7" s="90"/>
      <c r="Z7" s="90"/>
      <c r="AA7" s="90"/>
      <c r="AB7" s="90">
        <f t="shared" si="22"/>
        <v>0</v>
      </c>
      <c r="AC7" s="91"/>
      <c r="AD7" s="77"/>
      <c r="AE7" s="92">
        <f t="shared" si="1"/>
        <v>0</v>
      </c>
      <c r="AF7" s="76"/>
      <c r="AG7" s="92">
        <f t="shared" si="2"/>
        <v>0</v>
      </c>
      <c r="AH7" s="76"/>
      <c r="AI7" s="92">
        <f t="shared" si="3"/>
        <v>0</v>
      </c>
      <c r="AJ7" s="76"/>
      <c r="AK7" s="92">
        <f t="shared" si="4"/>
        <v>0</v>
      </c>
      <c r="AL7" s="76"/>
      <c r="AM7" s="92">
        <f t="shared" si="5"/>
        <v>0</v>
      </c>
      <c r="AN7" s="76"/>
      <c r="AO7" s="92">
        <f t="shared" si="6"/>
        <v>0</v>
      </c>
      <c r="AP7" s="93">
        <f t="shared" si="23"/>
        <v>0</v>
      </c>
      <c r="AQ7" s="76"/>
      <c r="AR7" s="76"/>
      <c r="AS7" s="76"/>
      <c r="AT7" s="44">
        <f t="shared" si="24"/>
        <v>0</v>
      </c>
      <c r="AU7" s="77"/>
      <c r="AV7" s="5"/>
      <c r="AW7" s="5"/>
      <c r="AX7" s="5"/>
      <c r="AY7" s="5"/>
      <c r="AZ7" s="24" t="e">
        <f>VLOOKUP(C7,Employees!D:I,6,FALSE)</f>
        <v>#N/A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58"/>
        <v>0</v>
      </c>
      <c r="BE7" s="5">
        <f t="shared" si="28"/>
        <v>0</v>
      </c>
      <c r="BF7" s="5">
        <f t="shared" si="29"/>
        <v>0</v>
      </c>
      <c r="BG7" s="5">
        <f t="shared" si="30"/>
        <v>0</v>
      </c>
      <c r="BH7" s="5">
        <f t="shared" si="31"/>
        <v>0</v>
      </c>
      <c r="BI7" s="5">
        <f t="shared" si="32"/>
        <v>0</v>
      </c>
      <c r="BJ7" s="5">
        <f t="shared" si="33"/>
        <v>0</v>
      </c>
      <c r="BK7" s="5">
        <f t="shared" si="34"/>
        <v>0</v>
      </c>
      <c r="BL7" s="5">
        <f t="shared" si="35"/>
        <v>0</v>
      </c>
      <c r="BM7" s="5">
        <f t="shared" si="36"/>
        <v>0</v>
      </c>
      <c r="BN7" s="5">
        <f t="shared" si="37"/>
        <v>0</v>
      </c>
      <c r="BO7" s="5">
        <f t="shared" si="38"/>
        <v>0</v>
      </c>
      <c r="BP7" s="5">
        <f t="shared" si="39"/>
        <v>0</v>
      </c>
      <c r="BQ7" s="5">
        <f t="shared" si="40"/>
        <v>0</v>
      </c>
      <c r="BR7" s="5">
        <f t="shared" si="41"/>
        <v>0</v>
      </c>
      <c r="BS7" s="5">
        <f t="shared" si="42"/>
        <v>0</v>
      </c>
      <c r="BT7" s="5">
        <f t="shared" si="43"/>
        <v>0</v>
      </c>
      <c r="BU7" s="5">
        <f t="shared" si="44"/>
        <v>0</v>
      </c>
      <c r="BV7" s="5">
        <f t="shared" si="45"/>
        <v>0</v>
      </c>
      <c r="BW7" s="5">
        <f t="shared" si="46"/>
        <v>0</v>
      </c>
      <c r="BX7" s="5">
        <f t="shared" si="47"/>
        <v>0</v>
      </c>
      <c r="BY7" s="5">
        <f t="shared" si="11"/>
        <v>0</v>
      </c>
      <c r="BZ7" s="5">
        <f t="shared" si="48"/>
        <v>0</v>
      </c>
      <c r="CA7" s="5">
        <f t="shared" si="49"/>
        <v>0</v>
      </c>
      <c r="CB7" s="5">
        <f t="shared" si="50"/>
        <v>0</v>
      </c>
      <c r="CC7" s="5">
        <f t="shared" si="51"/>
        <v>0</v>
      </c>
      <c r="CD7" s="5">
        <f t="shared" si="52"/>
        <v>0</v>
      </c>
      <c r="CE7" s="5">
        <f t="shared" si="53"/>
        <v>0</v>
      </c>
      <c r="CF7" s="5">
        <f t="shared" si="54"/>
        <v>0</v>
      </c>
      <c r="CG7" s="5">
        <f t="shared" si="55"/>
        <v>0</v>
      </c>
      <c r="CH7" s="5">
        <f t="shared" si="56"/>
        <v>0</v>
      </c>
      <c r="CI7" s="5">
        <f t="shared" si="57"/>
        <v>0</v>
      </c>
      <c r="CJ7" s="5"/>
      <c r="CK7" s="4">
        <f t="shared" si="14"/>
        <v>0</v>
      </c>
    </row>
    <row r="8" spans="1:89" ht="38" customHeight="1">
      <c r="A8" s="74" t="str">
        <f t="shared" si="0"/>
        <v/>
      </c>
      <c r="B8" s="73"/>
      <c r="C8" s="96"/>
      <c r="D8" s="75"/>
      <c r="E8" s="75"/>
      <c r="F8" s="90">
        <f t="shared" si="15"/>
        <v>0</v>
      </c>
      <c r="G8" s="75"/>
      <c r="H8" s="75"/>
      <c r="I8" s="90">
        <f t="shared" si="16"/>
        <v>0</v>
      </c>
      <c r="J8" s="100"/>
      <c r="K8" s="75"/>
      <c r="L8" s="90">
        <f t="shared" si="17"/>
        <v>0</v>
      </c>
      <c r="M8" s="75"/>
      <c r="N8" s="75"/>
      <c r="O8" s="90">
        <f t="shared" si="18"/>
        <v>0</v>
      </c>
      <c r="P8" s="83"/>
      <c r="Q8" s="83"/>
      <c r="R8" s="90">
        <f t="shared" si="19"/>
        <v>0</v>
      </c>
      <c r="S8" s="83"/>
      <c r="T8" s="83"/>
      <c r="U8" s="90">
        <f t="shared" si="20"/>
        <v>0</v>
      </c>
      <c r="V8" s="75"/>
      <c r="W8" s="75"/>
      <c r="X8" s="90">
        <f t="shared" si="21"/>
        <v>0</v>
      </c>
      <c r="Y8" s="90"/>
      <c r="Z8" s="90"/>
      <c r="AA8" s="90"/>
      <c r="AB8" s="90">
        <f t="shared" si="22"/>
        <v>0</v>
      </c>
      <c r="AC8" s="91"/>
      <c r="AD8" s="77"/>
      <c r="AE8" s="92">
        <f t="shared" si="1"/>
        <v>0</v>
      </c>
      <c r="AF8" s="76"/>
      <c r="AG8" s="92">
        <f t="shared" si="2"/>
        <v>0</v>
      </c>
      <c r="AH8" s="76"/>
      <c r="AI8" s="92">
        <f t="shared" si="3"/>
        <v>0</v>
      </c>
      <c r="AJ8" s="76"/>
      <c r="AK8" s="92">
        <f t="shared" si="4"/>
        <v>0</v>
      </c>
      <c r="AL8" s="76"/>
      <c r="AM8" s="92">
        <f t="shared" si="5"/>
        <v>0</v>
      </c>
      <c r="AN8" s="76"/>
      <c r="AO8" s="92">
        <f t="shared" si="6"/>
        <v>0</v>
      </c>
      <c r="AP8" s="93">
        <f t="shared" si="23"/>
        <v>0</v>
      </c>
      <c r="AQ8" s="76"/>
      <c r="AR8" s="76"/>
      <c r="AS8" s="76"/>
      <c r="AT8" s="44">
        <f t="shared" si="24"/>
        <v>0</v>
      </c>
      <c r="AU8" s="77"/>
      <c r="AV8" s="5"/>
      <c r="AW8" s="5"/>
      <c r="AX8" s="5"/>
      <c r="AY8" s="5"/>
      <c r="AZ8" s="24" t="e">
        <f>VLOOKUP(C8,Employees!D:I,6,FALSE)</f>
        <v>#N/A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58"/>
        <v>0</v>
      </c>
      <c r="BE8" s="5">
        <f t="shared" si="28"/>
        <v>0</v>
      </c>
      <c r="BF8" s="5">
        <f t="shared" si="29"/>
        <v>0</v>
      </c>
      <c r="BG8" s="5">
        <f t="shared" si="30"/>
        <v>0</v>
      </c>
      <c r="BH8" s="5">
        <f t="shared" si="31"/>
        <v>0</v>
      </c>
      <c r="BI8" s="5">
        <f t="shared" si="32"/>
        <v>0</v>
      </c>
      <c r="BJ8" s="5">
        <f t="shared" si="33"/>
        <v>0</v>
      </c>
      <c r="BK8" s="5">
        <f t="shared" si="34"/>
        <v>0</v>
      </c>
      <c r="BL8" s="5">
        <f t="shared" si="35"/>
        <v>0</v>
      </c>
      <c r="BM8" s="5">
        <f t="shared" si="36"/>
        <v>0</v>
      </c>
      <c r="BN8" s="5">
        <f t="shared" si="37"/>
        <v>0</v>
      </c>
      <c r="BO8" s="5">
        <f t="shared" si="38"/>
        <v>0</v>
      </c>
      <c r="BP8" s="5">
        <f t="shared" si="39"/>
        <v>0</v>
      </c>
      <c r="BQ8" s="5">
        <f t="shared" si="40"/>
        <v>0</v>
      </c>
      <c r="BR8" s="5">
        <f t="shared" si="41"/>
        <v>0</v>
      </c>
      <c r="BS8" s="5">
        <f t="shared" si="42"/>
        <v>0</v>
      </c>
      <c r="BT8" s="5">
        <f t="shared" si="43"/>
        <v>0</v>
      </c>
      <c r="BU8" s="5">
        <f t="shared" si="44"/>
        <v>0</v>
      </c>
      <c r="BV8" s="5">
        <f t="shared" si="45"/>
        <v>0</v>
      </c>
      <c r="BW8" s="5">
        <f t="shared" si="46"/>
        <v>0</v>
      </c>
      <c r="BX8" s="5">
        <f t="shared" si="47"/>
        <v>0</v>
      </c>
      <c r="BY8" s="5">
        <f t="shared" si="11"/>
        <v>0</v>
      </c>
      <c r="BZ8" s="5">
        <f t="shared" si="48"/>
        <v>0</v>
      </c>
      <c r="CA8" s="5">
        <f t="shared" si="49"/>
        <v>0</v>
      </c>
      <c r="CB8" s="5">
        <f t="shared" si="50"/>
        <v>0</v>
      </c>
      <c r="CC8" s="5">
        <f t="shared" si="51"/>
        <v>0</v>
      </c>
      <c r="CD8" s="5">
        <f t="shared" si="52"/>
        <v>0</v>
      </c>
      <c r="CE8" s="5">
        <f t="shared" si="53"/>
        <v>0</v>
      </c>
      <c r="CF8" s="5">
        <f t="shared" si="54"/>
        <v>0</v>
      </c>
      <c r="CG8" s="5">
        <f t="shared" si="55"/>
        <v>0</v>
      </c>
      <c r="CH8" s="5">
        <f t="shared" si="56"/>
        <v>0</v>
      </c>
      <c r="CI8" s="5">
        <f t="shared" si="57"/>
        <v>0</v>
      </c>
      <c r="CJ8" s="5"/>
      <c r="CK8" s="4">
        <f t="shared" si="14"/>
        <v>0</v>
      </c>
    </row>
    <row r="9" spans="1:89" ht="38" customHeight="1">
      <c r="A9" s="74" t="str">
        <f t="shared" si="0"/>
        <v/>
      </c>
      <c r="B9" s="73"/>
      <c r="C9" s="96"/>
      <c r="D9" s="83"/>
      <c r="E9" s="83"/>
      <c r="F9" s="90">
        <f t="shared" si="15"/>
        <v>0</v>
      </c>
      <c r="G9" s="83"/>
      <c r="H9" s="83"/>
      <c r="I9" s="90">
        <f t="shared" si="16"/>
        <v>0</v>
      </c>
      <c r="J9" s="75"/>
      <c r="K9" s="75"/>
      <c r="L9" s="90">
        <f t="shared" si="17"/>
        <v>0</v>
      </c>
      <c r="M9" s="83"/>
      <c r="N9" s="83"/>
      <c r="O9" s="90">
        <f t="shared" si="18"/>
        <v>0</v>
      </c>
      <c r="P9" s="75"/>
      <c r="Q9" s="75"/>
      <c r="R9" s="90">
        <f t="shared" si="19"/>
        <v>0</v>
      </c>
      <c r="S9" s="100"/>
      <c r="T9" s="75"/>
      <c r="U9" s="90">
        <f t="shared" si="20"/>
        <v>0</v>
      </c>
      <c r="V9" s="75"/>
      <c r="W9" s="75"/>
      <c r="X9" s="90">
        <f t="shared" si="21"/>
        <v>0</v>
      </c>
      <c r="Y9" s="90"/>
      <c r="Z9" s="90"/>
      <c r="AA9" s="90"/>
      <c r="AB9" s="90">
        <f t="shared" si="22"/>
        <v>0</v>
      </c>
      <c r="AC9" s="91"/>
      <c r="AD9" s="77"/>
      <c r="AE9" s="92">
        <f t="shared" si="1"/>
        <v>0</v>
      </c>
      <c r="AF9" s="76"/>
      <c r="AG9" s="92">
        <f t="shared" si="2"/>
        <v>0</v>
      </c>
      <c r="AH9" s="76"/>
      <c r="AI9" s="92">
        <f t="shared" si="3"/>
        <v>0</v>
      </c>
      <c r="AJ9" s="76"/>
      <c r="AK9" s="92">
        <f t="shared" si="4"/>
        <v>0</v>
      </c>
      <c r="AL9" s="76"/>
      <c r="AM9" s="92">
        <f t="shared" si="5"/>
        <v>0</v>
      </c>
      <c r="AN9" s="76"/>
      <c r="AO9" s="92">
        <f t="shared" si="6"/>
        <v>0</v>
      </c>
      <c r="AP9" s="93">
        <f t="shared" si="23"/>
        <v>0</v>
      </c>
      <c r="AQ9" s="76"/>
      <c r="AR9" s="76"/>
      <c r="AS9" s="76"/>
      <c r="AT9" s="44">
        <f t="shared" si="24"/>
        <v>0</v>
      </c>
      <c r="AU9" s="77"/>
      <c r="AV9" s="5"/>
      <c r="AW9" s="5"/>
      <c r="AX9" s="5"/>
      <c r="AY9" s="5"/>
      <c r="AZ9" s="24" t="e">
        <f>VLOOKUP(C9,Employees!D:I,6,FALSE)</f>
        <v>#N/A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58"/>
        <v>0</v>
      </c>
      <c r="BE9" s="5">
        <f t="shared" si="28"/>
        <v>0</v>
      </c>
      <c r="BF9" s="5">
        <f t="shared" si="29"/>
        <v>0</v>
      </c>
      <c r="BG9" s="5">
        <f t="shared" si="30"/>
        <v>0</v>
      </c>
      <c r="BH9" s="5">
        <f t="shared" si="31"/>
        <v>0</v>
      </c>
      <c r="BI9" s="5">
        <f t="shared" si="32"/>
        <v>0</v>
      </c>
      <c r="BJ9" s="5">
        <f t="shared" si="33"/>
        <v>0</v>
      </c>
      <c r="BK9" s="5">
        <f t="shared" si="34"/>
        <v>0</v>
      </c>
      <c r="BL9" s="5">
        <f t="shared" si="35"/>
        <v>0</v>
      </c>
      <c r="BM9" s="5">
        <f t="shared" si="36"/>
        <v>0</v>
      </c>
      <c r="BN9" s="5">
        <f t="shared" si="37"/>
        <v>0</v>
      </c>
      <c r="BO9" s="5">
        <f t="shared" si="38"/>
        <v>0</v>
      </c>
      <c r="BP9" s="5">
        <f t="shared" si="39"/>
        <v>0</v>
      </c>
      <c r="BQ9" s="5">
        <f t="shared" si="40"/>
        <v>0</v>
      </c>
      <c r="BR9" s="5">
        <f t="shared" si="41"/>
        <v>0</v>
      </c>
      <c r="BS9" s="5">
        <f t="shared" si="42"/>
        <v>0</v>
      </c>
      <c r="BT9" s="5">
        <f t="shared" si="43"/>
        <v>0</v>
      </c>
      <c r="BU9" s="5">
        <f t="shared" si="44"/>
        <v>0</v>
      </c>
      <c r="BV9" s="5">
        <f t="shared" si="45"/>
        <v>0</v>
      </c>
      <c r="BW9" s="5">
        <f t="shared" si="46"/>
        <v>0</v>
      </c>
      <c r="BX9" s="5">
        <f t="shared" si="47"/>
        <v>0</v>
      </c>
      <c r="BY9" s="5">
        <f t="shared" si="11"/>
        <v>0</v>
      </c>
      <c r="BZ9" s="5">
        <f t="shared" si="48"/>
        <v>0</v>
      </c>
      <c r="CA9" s="5">
        <f t="shared" si="49"/>
        <v>0</v>
      </c>
      <c r="CB9" s="5">
        <f t="shared" si="50"/>
        <v>0</v>
      </c>
      <c r="CC9" s="5">
        <f t="shared" si="51"/>
        <v>0</v>
      </c>
      <c r="CD9" s="5">
        <f t="shared" si="52"/>
        <v>0</v>
      </c>
      <c r="CE9" s="5">
        <f t="shared" si="53"/>
        <v>0</v>
      </c>
      <c r="CF9" s="5">
        <f t="shared" si="54"/>
        <v>0</v>
      </c>
      <c r="CG9" s="5">
        <f t="shared" si="55"/>
        <v>0</v>
      </c>
      <c r="CH9" s="5">
        <f t="shared" si="56"/>
        <v>0</v>
      </c>
      <c r="CI9" s="5">
        <f t="shared" si="57"/>
        <v>0</v>
      </c>
      <c r="CJ9" s="5"/>
      <c r="CK9" s="4">
        <f t="shared" si="14"/>
        <v>0</v>
      </c>
    </row>
    <row r="10" spans="1:89" ht="38" customHeight="1">
      <c r="A10" s="74" t="str">
        <f t="shared" si="0"/>
        <v/>
      </c>
      <c r="B10" s="73"/>
      <c r="C10" s="97"/>
      <c r="D10" s="75"/>
      <c r="E10" s="75"/>
      <c r="F10" s="90">
        <f t="shared" si="15"/>
        <v>0</v>
      </c>
      <c r="G10" s="75"/>
      <c r="H10" s="75"/>
      <c r="I10" s="90">
        <f t="shared" si="16"/>
        <v>0</v>
      </c>
      <c r="J10" s="100"/>
      <c r="K10" s="75"/>
      <c r="L10" s="90">
        <f t="shared" si="17"/>
        <v>0</v>
      </c>
      <c r="M10" s="75"/>
      <c r="N10" s="75"/>
      <c r="O10" s="90">
        <f t="shared" si="18"/>
        <v>0</v>
      </c>
      <c r="P10" s="75"/>
      <c r="Q10" s="75"/>
      <c r="R10" s="90">
        <f t="shared" si="19"/>
        <v>0</v>
      </c>
      <c r="S10" s="75"/>
      <c r="T10" s="75"/>
      <c r="U10" s="90">
        <f t="shared" si="20"/>
        <v>0</v>
      </c>
      <c r="V10" s="75"/>
      <c r="W10" s="75"/>
      <c r="X10" s="90">
        <f t="shared" si="21"/>
        <v>0</v>
      </c>
      <c r="Y10" s="90"/>
      <c r="Z10" s="90"/>
      <c r="AA10" s="90"/>
      <c r="AB10" s="90">
        <f t="shared" si="22"/>
        <v>0</v>
      </c>
      <c r="AC10" s="91"/>
      <c r="AD10" s="77"/>
      <c r="AE10" s="92">
        <f t="shared" si="1"/>
        <v>0</v>
      </c>
      <c r="AF10" s="76"/>
      <c r="AG10" s="92">
        <f t="shared" si="2"/>
        <v>0</v>
      </c>
      <c r="AH10" s="76"/>
      <c r="AI10" s="92">
        <f t="shared" si="3"/>
        <v>0</v>
      </c>
      <c r="AJ10" s="76"/>
      <c r="AK10" s="92">
        <f t="shared" si="4"/>
        <v>0</v>
      </c>
      <c r="AL10" s="76"/>
      <c r="AM10" s="92">
        <f t="shared" si="5"/>
        <v>0</v>
      </c>
      <c r="AN10" s="76"/>
      <c r="AO10" s="92">
        <f t="shared" si="6"/>
        <v>0</v>
      </c>
      <c r="AP10" s="93">
        <f t="shared" si="23"/>
        <v>0</v>
      </c>
      <c r="AQ10" s="76"/>
      <c r="AR10" s="76"/>
      <c r="AS10" s="76"/>
      <c r="AT10" s="44">
        <f t="shared" si="24"/>
        <v>0</v>
      </c>
      <c r="AU10" s="77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58"/>
        <v>0</v>
      </c>
      <c r="BE10" s="5">
        <f t="shared" si="28"/>
        <v>0</v>
      </c>
      <c r="BF10" s="5">
        <f t="shared" si="29"/>
        <v>0</v>
      </c>
      <c r="BG10" s="5">
        <f t="shared" si="30"/>
        <v>0</v>
      </c>
      <c r="BH10" s="5">
        <f t="shared" si="31"/>
        <v>0</v>
      </c>
      <c r="BI10" s="5">
        <f t="shared" si="32"/>
        <v>0</v>
      </c>
      <c r="BJ10" s="5">
        <f t="shared" si="33"/>
        <v>0</v>
      </c>
      <c r="BK10" s="5">
        <f t="shared" si="34"/>
        <v>0</v>
      </c>
      <c r="BL10" s="5">
        <f t="shared" si="35"/>
        <v>0</v>
      </c>
      <c r="BM10" s="5">
        <f t="shared" si="36"/>
        <v>0</v>
      </c>
      <c r="BN10" s="5">
        <f t="shared" si="37"/>
        <v>0</v>
      </c>
      <c r="BO10" s="5">
        <f t="shared" si="38"/>
        <v>0</v>
      </c>
      <c r="BP10" s="5">
        <f t="shared" si="39"/>
        <v>0</v>
      </c>
      <c r="BQ10" s="5">
        <f t="shared" si="40"/>
        <v>0</v>
      </c>
      <c r="BR10" s="5">
        <f t="shared" si="41"/>
        <v>0</v>
      </c>
      <c r="BS10" s="5">
        <f t="shared" si="42"/>
        <v>0</v>
      </c>
      <c r="BT10" s="5">
        <f t="shared" si="43"/>
        <v>0</v>
      </c>
      <c r="BU10" s="5">
        <f t="shared" si="44"/>
        <v>0</v>
      </c>
      <c r="BV10" s="5">
        <f t="shared" si="45"/>
        <v>0</v>
      </c>
      <c r="BW10" s="5">
        <f t="shared" si="46"/>
        <v>0</v>
      </c>
      <c r="BX10" s="5">
        <f t="shared" si="47"/>
        <v>0</v>
      </c>
      <c r="BY10" s="5">
        <f t="shared" si="11"/>
        <v>0</v>
      </c>
      <c r="BZ10" s="5">
        <f t="shared" si="48"/>
        <v>0</v>
      </c>
      <c r="CA10" s="5">
        <f t="shared" si="49"/>
        <v>0</v>
      </c>
      <c r="CB10" s="5">
        <f t="shared" si="50"/>
        <v>0</v>
      </c>
      <c r="CC10" s="5">
        <f t="shared" si="51"/>
        <v>0</v>
      </c>
      <c r="CD10" s="5">
        <f t="shared" si="52"/>
        <v>0</v>
      </c>
      <c r="CE10" s="5">
        <f t="shared" si="53"/>
        <v>0</v>
      </c>
      <c r="CF10" s="5">
        <f t="shared" si="54"/>
        <v>0</v>
      </c>
      <c r="CG10" s="5">
        <f t="shared" si="55"/>
        <v>0</v>
      </c>
      <c r="CH10" s="5">
        <f t="shared" si="56"/>
        <v>0</v>
      </c>
      <c r="CI10" s="5">
        <f t="shared" si="57"/>
        <v>0</v>
      </c>
      <c r="CJ10" s="5"/>
      <c r="CK10" s="4">
        <f t="shared" si="14"/>
        <v>0</v>
      </c>
    </row>
    <row r="11" spans="1:89" ht="38" customHeight="1">
      <c r="A11" s="74" t="str">
        <f t="shared" si="0"/>
        <v/>
      </c>
      <c r="B11" s="73"/>
      <c r="C11" s="97"/>
      <c r="D11" s="75"/>
      <c r="E11" s="75"/>
      <c r="F11" s="90">
        <f t="shared" si="15"/>
        <v>0</v>
      </c>
      <c r="G11" s="75"/>
      <c r="H11" s="75"/>
      <c r="I11" s="90">
        <f t="shared" si="16"/>
        <v>0</v>
      </c>
      <c r="J11" s="100"/>
      <c r="K11" s="75"/>
      <c r="L11" s="90">
        <f t="shared" si="17"/>
        <v>0</v>
      </c>
      <c r="M11" s="75"/>
      <c r="N11" s="75"/>
      <c r="O11" s="90">
        <f t="shared" si="18"/>
        <v>0</v>
      </c>
      <c r="P11" s="75"/>
      <c r="Q11" s="75"/>
      <c r="R11" s="90">
        <f t="shared" si="19"/>
        <v>0</v>
      </c>
      <c r="S11" s="75"/>
      <c r="T11" s="75"/>
      <c r="U11" s="90">
        <f t="shared" si="20"/>
        <v>0</v>
      </c>
      <c r="V11" s="75"/>
      <c r="W11" s="75"/>
      <c r="X11" s="90">
        <f t="shared" si="21"/>
        <v>0</v>
      </c>
      <c r="Y11" s="90"/>
      <c r="Z11" s="90"/>
      <c r="AA11" s="90"/>
      <c r="AB11" s="90">
        <f t="shared" si="22"/>
        <v>0</v>
      </c>
      <c r="AC11" s="91"/>
      <c r="AD11" s="77"/>
      <c r="AE11" s="92">
        <f t="shared" si="1"/>
        <v>0</v>
      </c>
      <c r="AF11" s="76"/>
      <c r="AG11" s="92">
        <f t="shared" si="2"/>
        <v>0</v>
      </c>
      <c r="AH11" s="76"/>
      <c r="AI11" s="92">
        <f t="shared" si="3"/>
        <v>0</v>
      </c>
      <c r="AJ11" s="76"/>
      <c r="AK11" s="92">
        <f t="shared" si="4"/>
        <v>0</v>
      </c>
      <c r="AL11" s="76"/>
      <c r="AM11" s="92">
        <f t="shared" si="5"/>
        <v>0</v>
      </c>
      <c r="AN11" s="76"/>
      <c r="AO11" s="92">
        <f t="shared" si="6"/>
        <v>0</v>
      </c>
      <c r="AP11" s="93">
        <f t="shared" si="23"/>
        <v>0</v>
      </c>
      <c r="AQ11" s="76"/>
      <c r="AR11" s="76"/>
      <c r="AS11" s="76"/>
      <c r="AT11" s="44">
        <f t="shared" si="24"/>
        <v>0</v>
      </c>
      <c r="AU11" s="77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58"/>
        <v>0</v>
      </c>
      <c r="BE11" s="5">
        <f t="shared" si="28"/>
        <v>0</v>
      </c>
      <c r="BF11" s="5">
        <f t="shared" si="29"/>
        <v>0</v>
      </c>
      <c r="BG11" s="5">
        <f t="shared" si="30"/>
        <v>0</v>
      </c>
      <c r="BH11" s="5">
        <f t="shared" si="31"/>
        <v>0</v>
      </c>
      <c r="BI11" s="5">
        <f t="shared" si="32"/>
        <v>0</v>
      </c>
      <c r="BJ11" s="5">
        <f t="shared" si="33"/>
        <v>0</v>
      </c>
      <c r="BK11" s="5">
        <f t="shared" si="34"/>
        <v>0</v>
      </c>
      <c r="BL11" s="5">
        <f t="shared" si="35"/>
        <v>0</v>
      </c>
      <c r="BM11" s="5">
        <f t="shared" si="36"/>
        <v>0</v>
      </c>
      <c r="BN11" s="5">
        <f t="shared" si="37"/>
        <v>0</v>
      </c>
      <c r="BO11" s="5">
        <f t="shared" si="38"/>
        <v>0</v>
      </c>
      <c r="BP11" s="5">
        <f t="shared" si="39"/>
        <v>0</v>
      </c>
      <c r="BQ11" s="5">
        <f t="shared" si="40"/>
        <v>0</v>
      </c>
      <c r="BR11" s="5">
        <f t="shared" si="41"/>
        <v>0</v>
      </c>
      <c r="BS11" s="5">
        <f t="shared" si="42"/>
        <v>0</v>
      </c>
      <c r="BT11" s="5">
        <f t="shared" si="43"/>
        <v>0</v>
      </c>
      <c r="BU11" s="5">
        <f t="shared" si="44"/>
        <v>0</v>
      </c>
      <c r="BV11" s="5">
        <f t="shared" si="45"/>
        <v>0</v>
      </c>
      <c r="BW11" s="5">
        <f t="shared" si="46"/>
        <v>0</v>
      </c>
      <c r="BX11" s="5">
        <f t="shared" si="47"/>
        <v>0</v>
      </c>
      <c r="BY11" s="5">
        <f t="shared" si="11"/>
        <v>0</v>
      </c>
      <c r="BZ11" s="5">
        <f t="shared" si="48"/>
        <v>0</v>
      </c>
      <c r="CA11" s="5">
        <f t="shared" si="49"/>
        <v>0</v>
      </c>
      <c r="CB11" s="5">
        <f t="shared" si="50"/>
        <v>0</v>
      </c>
      <c r="CC11" s="5">
        <f t="shared" si="51"/>
        <v>0</v>
      </c>
      <c r="CD11" s="5">
        <f t="shared" si="52"/>
        <v>0</v>
      </c>
      <c r="CE11" s="5">
        <f t="shared" si="53"/>
        <v>0</v>
      </c>
      <c r="CF11" s="5">
        <f t="shared" si="54"/>
        <v>0</v>
      </c>
      <c r="CG11" s="5">
        <f t="shared" si="55"/>
        <v>0</v>
      </c>
      <c r="CH11" s="5">
        <f t="shared" si="56"/>
        <v>0</v>
      </c>
      <c r="CI11" s="5">
        <f t="shared" si="57"/>
        <v>0</v>
      </c>
      <c r="CJ11" s="5"/>
      <c r="CK11" s="4">
        <f t="shared" si="14"/>
        <v>0</v>
      </c>
    </row>
    <row r="12" spans="1:89" ht="38" customHeight="1">
      <c r="A12" s="74" t="str">
        <f t="shared" si="0"/>
        <v/>
      </c>
      <c r="B12" s="73"/>
      <c r="C12" s="98"/>
      <c r="D12" s="75"/>
      <c r="E12" s="75"/>
      <c r="F12" s="90">
        <f t="shared" si="15"/>
        <v>0</v>
      </c>
      <c r="G12" s="75"/>
      <c r="H12" s="75"/>
      <c r="I12" s="90">
        <f t="shared" si="16"/>
        <v>0</v>
      </c>
      <c r="J12" s="100"/>
      <c r="K12" s="75"/>
      <c r="L12" s="90">
        <f t="shared" si="17"/>
        <v>0</v>
      </c>
      <c r="M12" s="75"/>
      <c r="N12" s="75"/>
      <c r="O12" s="90">
        <f t="shared" si="18"/>
        <v>0</v>
      </c>
      <c r="P12" s="75"/>
      <c r="Q12" s="75"/>
      <c r="R12" s="90">
        <f t="shared" si="19"/>
        <v>0</v>
      </c>
      <c r="S12" s="75"/>
      <c r="T12" s="75"/>
      <c r="U12" s="90">
        <f t="shared" si="20"/>
        <v>0</v>
      </c>
      <c r="V12" s="75"/>
      <c r="W12" s="75"/>
      <c r="X12" s="90">
        <f t="shared" si="21"/>
        <v>0</v>
      </c>
      <c r="Y12" s="90"/>
      <c r="Z12" s="90"/>
      <c r="AA12" s="90"/>
      <c r="AB12" s="90">
        <f t="shared" si="22"/>
        <v>0</v>
      </c>
      <c r="AC12" s="91"/>
      <c r="AD12" s="77"/>
      <c r="AE12" s="92">
        <f t="shared" si="1"/>
        <v>0</v>
      </c>
      <c r="AF12" s="76"/>
      <c r="AG12" s="92">
        <f t="shared" si="2"/>
        <v>0</v>
      </c>
      <c r="AH12" s="76"/>
      <c r="AI12" s="92">
        <f t="shared" si="3"/>
        <v>0</v>
      </c>
      <c r="AJ12" s="76"/>
      <c r="AK12" s="92">
        <f t="shared" si="4"/>
        <v>0</v>
      </c>
      <c r="AL12" s="76"/>
      <c r="AM12" s="92">
        <f t="shared" si="5"/>
        <v>0</v>
      </c>
      <c r="AN12" s="76"/>
      <c r="AO12" s="92">
        <f t="shared" si="6"/>
        <v>0</v>
      </c>
      <c r="AP12" s="93">
        <f t="shared" si="23"/>
        <v>0</v>
      </c>
      <c r="AQ12" s="76"/>
      <c r="AR12" s="76"/>
      <c r="AS12" s="76"/>
      <c r="AT12" s="44">
        <f t="shared" si="24"/>
        <v>0</v>
      </c>
      <c r="AU12" s="77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58"/>
        <v>0</v>
      </c>
      <c r="BE12" s="5">
        <f t="shared" si="28"/>
        <v>0</v>
      </c>
      <c r="BF12" s="5">
        <f t="shared" si="29"/>
        <v>0</v>
      </c>
      <c r="BG12" s="5">
        <f t="shared" si="30"/>
        <v>0</v>
      </c>
      <c r="BH12" s="5">
        <f t="shared" si="31"/>
        <v>0</v>
      </c>
      <c r="BI12" s="5">
        <f t="shared" si="32"/>
        <v>0</v>
      </c>
      <c r="BJ12" s="5">
        <f t="shared" si="33"/>
        <v>0</v>
      </c>
      <c r="BK12" s="5">
        <f t="shared" si="34"/>
        <v>0</v>
      </c>
      <c r="BL12" s="5">
        <f t="shared" si="35"/>
        <v>0</v>
      </c>
      <c r="BM12" s="5">
        <f t="shared" si="36"/>
        <v>0</v>
      </c>
      <c r="BN12" s="5">
        <f t="shared" si="37"/>
        <v>0</v>
      </c>
      <c r="BO12" s="5">
        <f t="shared" si="38"/>
        <v>0</v>
      </c>
      <c r="BP12" s="5">
        <f t="shared" si="39"/>
        <v>0</v>
      </c>
      <c r="BQ12" s="5">
        <f t="shared" si="40"/>
        <v>0</v>
      </c>
      <c r="BR12" s="5">
        <f t="shared" si="41"/>
        <v>0</v>
      </c>
      <c r="BS12" s="5">
        <f t="shared" si="42"/>
        <v>0</v>
      </c>
      <c r="BT12" s="5">
        <f t="shared" si="43"/>
        <v>0</v>
      </c>
      <c r="BU12" s="5">
        <f t="shared" si="44"/>
        <v>0</v>
      </c>
      <c r="BV12" s="5">
        <f t="shared" si="45"/>
        <v>0</v>
      </c>
      <c r="BW12" s="5">
        <f t="shared" si="46"/>
        <v>0</v>
      </c>
      <c r="BX12" s="5">
        <f t="shared" si="47"/>
        <v>0</v>
      </c>
      <c r="BY12" s="5">
        <f t="shared" si="11"/>
        <v>0</v>
      </c>
      <c r="BZ12" s="5">
        <f t="shared" si="48"/>
        <v>0</v>
      </c>
      <c r="CA12" s="5">
        <f t="shared" si="49"/>
        <v>0</v>
      </c>
      <c r="CB12" s="5">
        <f t="shared" si="50"/>
        <v>0</v>
      </c>
      <c r="CC12" s="5">
        <f t="shared" si="51"/>
        <v>0</v>
      </c>
      <c r="CD12" s="5">
        <f t="shared" si="52"/>
        <v>0</v>
      </c>
      <c r="CE12" s="5">
        <f t="shared" si="53"/>
        <v>0</v>
      </c>
      <c r="CF12" s="5">
        <f t="shared" si="54"/>
        <v>0</v>
      </c>
      <c r="CG12" s="5">
        <f t="shared" si="55"/>
        <v>0</v>
      </c>
      <c r="CH12" s="5">
        <f t="shared" si="56"/>
        <v>0</v>
      </c>
      <c r="CI12" s="5">
        <f t="shared" si="57"/>
        <v>0</v>
      </c>
      <c r="CJ12" s="5"/>
      <c r="CK12" s="4">
        <f t="shared" si="14"/>
        <v>0</v>
      </c>
    </row>
    <row r="13" spans="1:89" ht="38" customHeight="1">
      <c r="A13" s="74" t="str">
        <f t="shared" si="0"/>
        <v/>
      </c>
      <c r="B13" s="73"/>
      <c r="C13" s="97"/>
      <c r="D13" s="75"/>
      <c r="E13" s="75"/>
      <c r="F13" s="90">
        <f t="shared" si="15"/>
        <v>0</v>
      </c>
      <c r="G13" s="75"/>
      <c r="H13" s="75"/>
      <c r="I13" s="90">
        <f t="shared" si="16"/>
        <v>0</v>
      </c>
      <c r="J13" s="83"/>
      <c r="K13" s="83"/>
      <c r="L13" s="90">
        <f t="shared" si="17"/>
        <v>0</v>
      </c>
      <c r="M13" s="75"/>
      <c r="N13" s="75"/>
      <c r="O13" s="90">
        <f t="shared" si="18"/>
        <v>0</v>
      </c>
      <c r="P13" s="75"/>
      <c r="Q13" s="75"/>
      <c r="R13" s="90">
        <f t="shared" si="19"/>
        <v>0</v>
      </c>
      <c r="S13" s="75"/>
      <c r="T13" s="75"/>
      <c r="U13" s="90">
        <f t="shared" si="20"/>
        <v>0</v>
      </c>
      <c r="V13" s="75"/>
      <c r="W13" s="75"/>
      <c r="X13" s="90">
        <f t="shared" si="21"/>
        <v>0</v>
      </c>
      <c r="Y13" s="90"/>
      <c r="Z13" s="90"/>
      <c r="AA13" s="90"/>
      <c r="AB13" s="90">
        <f t="shared" si="22"/>
        <v>0</v>
      </c>
      <c r="AC13" s="91"/>
      <c r="AD13" s="77"/>
      <c r="AE13" s="92">
        <f t="shared" si="1"/>
        <v>0</v>
      </c>
      <c r="AF13" s="76"/>
      <c r="AG13" s="92">
        <f t="shared" si="2"/>
        <v>0</v>
      </c>
      <c r="AH13" s="76"/>
      <c r="AI13" s="92">
        <f t="shared" si="3"/>
        <v>0</v>
      </c>
      <c r="AJ13" s="76"/>
      <c r="AK13" s="92">
        <f t="shared" si="4"/>
        <v>0</v>
      </c>
      <c r="AL13" s="76"/>
      <c r="AM13" s="92">
        <f t="shared" si="5"/>
        <v>0</v>
      </c>
      <c r="AN13" s="76"/>
      <c r="AO13" s="92">
        <f t="shared" si="6"/>
        <v>0</v>
      </c>
      <c r="AP13" s="93">
        <f t="shared" si="23"/>
        <v>0</v>
      </c>
      <c r="AQ13" s="76"/>
      <c r="AR13" s="76"/>
      <c r="AS13" s="76"/>
      <c r="AT13" s="44">
        <f t="shared" si="24"/>
        <v>0</v>
      </c>
      <c r="AU13" s="77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58"/>
        <v>0</v>
      </c>
      <c r="BE13" s="5">
        <f t="shared" si="28"/>
        <v>0</v>
      </c>
      <c r="BF13" s="5">
        <f t="shared" si="29"/>
        <v>0</v>
      </c>
      <c r="BG13" s="5">
        <f t="shared" si="30"/>
        <v>0</v>
      </c>
      <c r="BH13" s="5">
        <f t="shared" si="31"/>
        <v>0</v>
      </c>
      <c r="BI13" s="5">
        <f t="shared" si="32"/>
        <v>0</v>
      </c>
      <c r="BJ13" s="5">
        <f t="shared" si="33"/>
        <v>0</v>
      </c>
      <c r="BK13" s="5">
        <f t="shared" si="34"/>
        <v>0</v>
      </c>
      <c r="BL13" s="5">
        <f t="shared" si="35"/>
        <v>0</v>
      </c>
      <c r="BM13" s="5">
        <f t="shared" si="36"/>
        <v>0</v>
      </c>
      <c r="BN13" s="5">
        <f t="shared" si="37"/>
        <v>0</v>
      </c>
      <c r="BO13" s="5">
        <f t="shared" si="38"/>
        <v>0</v>
      </c>
      <c r="BP13" s="5">
        <f t="shared" si="39"/>
        <v>0</v>
      </c>
      <c r="BQ13" s="5">
        <f t="shared" si="40"/>
        <v>0</v>
      </c>
      <c r="BR13" s="5">
        <f t="shared" si="41"/>
        <v>0</v>
      </c>
      <c r="BS13" s="5">
        <f t="shared" si="42"/>
        <v>0</v>
      </c>
      <c r="BT13" s="5">
        <f t="shared" si="43"/>
        <v>0</v>
      </c>
      <c r="BU13" s="5">
        <f t="shared" si="44"/>
        <v>0</v>
      </c>
      <c r="BV13" s="5">
        <f t="shared" si="45"/>
        <v>0</v>
      </c>
      <c r="BW13" s="5">
        <f t="shared" si="46"/>
        <v>0</v>
      </c>
      <c r="BX13" s="5">
        <f t="shared" si="47"/>
        <v>0</v>
      </c>
      <c r="BY13" s="5">
        <f t="shared" si="11"/>
        <v>0</v>
      </c>
      <c r="BZ13" s="5">
        <f t="shared" si="48"/>
        <v>0</v>
      </c>
      <c r="CA13" s="5">
        <f t="shared" si="49"/>
        <v>0</v>
      </c>
      <c r="CB13" s="5">
        <f t="shared" si="50"/>
        <v>0</v>
      </c>
      <c r="CC13" s="5">
        <f t="shared" si="51"/>
        <v>0</v>
      </c>
      <c r="CD13" s="5">
        <f t="shared" si="52"/>
        <v>0</v>
      </c>
      <c r="CE13" s="5">
        <f t="shared" si="53"/>
        <v>0</v>
      </c>
      <c r="CF13" s="5">
        <f t="shared" si="54"/>
        <v>0</v>
      </c>
      <c r="CG13" s="5">
        <f t="shared" si="55"/>
        <v>0</v>
      </c>
      <c r="CH13" s="5">
        <f t="shared" si="56"/>
        <v>0</v>
      </c>
      <c r="CI13" s="5">
        <f t="shared" si="57"/>
        <v>0</v>
      </c>
      <c r="CJ13" s="5"/>
      <c r="CK13" s="4">
        <f t="shared" si="14"/>
        <v>0</v>
      </c>
    </row>
    <row r="14" spans="1:89" ht="38" customHeight="1">
      <c r="A14" s="74" t="str">
        <f t="shared" si="0"/>
        <v/>
      </c>
      <c r="B14" s="73"/>
      <c r="C14" s="96"/>
      <c r="D14" s="75"/>
      <c r="E14" s="75"/>
      <c r="F14" s="90">
        <f t="shared" si="15"/>
        <v>0</v>
      </c>
      <c r="G14" s="75"/>
      <c r="H14" s="75"/>
      <c r="I14" s="90">
        <f t="shared" si="16"/>
        <v>0</v>
      </c>
      <c r="J14" s="75"/>
      <c r="K14" s="75"/>
      <c r="L14" s="90">
        <f t="shared" si="17"/>
        <v>0</v>
      </c>
      <c r="M14" s="75"/>
      <c r="N14" s="75"/>
      <c r="O14" s="90">
        <f t="shared" si="18"/>
        <v>0</v>
      </c>
      <c r="P14" s="75"/>
      <c r="Q14" s="75"/>
      <c r="R14" s="90">
        <f t="shared" si="19"/>
        <v>0</v>
      </c>
      <c r="S14" s="75"/>
      <c r="T14" s="75"/>
      <c r="U14" s="90">
        <f t="shared" si="20"/>
        <v>0</v>
      </c>
      <c r="V14" s="75"/>
      <c r="W14" s="75"/>
      <c r="X14" s="90">
        <f t="shared" si="21"/>
        <v>0</v>
      </c>
      <c r="Y14" s="90"/>
      <c r="Z14" s="90"/>
      <c r="AA14" s="90"/>
      <c r="AB14" s="90">
        <f t="shared" si="22"/>
        <v>0</v>
      </c>
      <c r="AC14" s="91"/>
      <c r="AD14" s="76"/>
      <c r="AE14" s="92">
        <f t="shared" si="1"/>
        <v>0</v>
      </c>
      <c r="AF14" s="76"/>
      <c r="AG14" s="92">
        <f t="shared" si="2"/>
        <v>0</v>
      </c>
      <c r="AH14" s="76"/>
      <c r="AI14" s="92">
        <f t="shared" si="3"/>
        <v>0</v>
      </c>
      <c r="AJ14" s="76"/>
      <c r="AK14" s="92">
        <f t="shared" si="4"/>
        <v>0</v>
      </c>
      <c r="AL14" s="76"/>
      <c r="AM14" s="92">
        <f t="shared" si="5"/>
        <v>0</v>
      </c>
      <c r="AN14" s="76"/>
      <c r="AO14" s="92">
        <f t="shared" si="6"/>
        <v>0</v>
      </c>
      <c r="AP14" s="93">
        <f t="shared" si="23"/>
        <v>0</v>
      </c>
      <c r="AQ14" s="76"/>
      <c r="AR14" s="76"/>
      <c r="AS14" s="76"/>
      <c r="AT14" s="44">
        <f t="shared" si="24"/>
        <v>0</v>
      </c>
      <c r="AU14" s="76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58"/>
        <v>0</v>
      </c>
      <c r="BE14" s="5">
        <f t="shared" si="28"/>
        <v>0</v>
      </c>
      <c r="BF14" s="5">
        <f t="shared" si="29"/>
        <v>0</v>
      </c>
      <c r="BG14" s="5">
        <f t="shared" si="30"/>
        <v>0</v>
      </c>
      <c r="BH14" s="5">
        <f t="shared" si="31"/>
        <v>0</v>
      </c>
      <c r="BI14" s="5">
        <f t="shared" si="32"/>
        <v>0</v>
      </c>
      <c r="BJ14" s="5">
        <f t="shared" si="33"/>
        <v>0</v>
      </c>
      <c r="BK14" s="5">
        <f t="shared" si="34"/>
        <v>0</v>
      </c>
      <c r="BL14" s="5">
        <f t="shared" si="35"/>
        <v>0</v>
      </c>
      <c r="BM14" s="5">
        <f t="shared" si="36"/>
        <v>0</v>
      </c>
      <c r="BN14" s="5">
        <f t="shared" si="37"/>
        <v>0</v>
      </c>
      <c r="BO14" s="5">
        <f t="shared" si="38"/>
        <v>0</v>
      </c>
      <c r="BP14" s="5">
        <f t="shared" si="39"/>
        <v>0</v>
      </c>
      <c r="BQ14" s="5">
        <f t="shared" si="40"/>
        <v>0</v>
      </c>
      <c r="BR14" s="5">
        <f t="shared" si="41"/>
        <v>0</v>
      </c>
      <c r="BS14" s="5">
        <f t="shared" si="42"/>
        <v>0</v>
      </c>
      <c r="BT14" s="5">
        <f t="shared" si="43"/>
        <v>0</v>
      </c>
      <c r="BU14" s="5">
        <f t="shared" si="44"/>
        <v>0</v>
      </c>
      <c r="BV14" s="5">
        <f t="shared" si="45"/>
        <v>0</v>
      </c>
      <c r="BW14" s="5">
        <f t="shared" si="46"/>
        <v>0</v>
      </c>
      <c r="BX14" s="5">
        <f t="shared" si="47"/>
        <v>0</v>
      </c>
      <c r="BY14" s="5">
        <f t="shared" si="11"/>
        <v>0</v>
      </c>
      <c r="BZ14" s="5">
        <f t="shared" si="48"/>
        <v>0</v>
      </c>
      <c r="CA14" s="5">
        <f t="shared" si="49"/>
        <v>0</v>
      </c>
      <c r="CB14" s="5">
        <f t="shared" si="50"/>
        <v>0</v>
      </c>
      <c r="CC14" s="5">
        <f t="shared" si="51"/>
        <v>0</v>
      </c>
      <c r="CD14" s="5">
        <f t="shared" si="52"/>
        <v>0</v>
      </c>
      <c r="CE14" s="5">
        <f t="shared" si="53"/>
        <v>0</v>
      </c>
      <c r="CF14" s="5">
        <f t="shared" si="54"/>
        <v>0</v>
      </c>
      <c r="CG14" s="5">
        <f t="shared" si="55"/>
        <v>0</v>
      </c>
      <c r="CH14" s="5">
        <f t="shared" si="56"/>
        <v>0</v>
      </c>
      <c r="CI14" s="5">
        <f t="shared" si="57"/>
        <v>0</v>
      </c>
      <c r="CJ14" s="5"/>
      <c r="CK14" s="4">
        <f t="shared" si="14"/>
        <v>0</v>
      </c>
    </row>
    <row r="15" spans="1:89" ht="38" customHeight="1">
      <c r="A15" s="74" t="str">
        <f t="shared" si="0"/>
        <v/>
      </c>
      <c r="B15" s="73"/>
      <c r="C15" s="95"/>
      <c r="D15" s="75"/>
      <c r="E15" s="75"/>
      <c r="F15" s="90">
        <f t="shared" si="15"/>
        <v>0</v>
      </c>
      <c r="G15" s="75"/>
      <c r="H15" s="75"/>
      <c r="I15" s="90">
        <f t="shared" si="16"/>
        <v>0</v>
      </c>
      <c r="J15" s="75"/>
      <c r="K15" s="75"/>
      <c r="L15" s="90">
        <f t="shared" si="17"/>
        <v>0</v>
      </c>
      <c r="M15" s="75"/>
      <c r="N15" s="75"/>
      <c r="O15" s="90">
        <f t="shared" si="18"/>
        <v>0</v>
      </c>
      <c r="P15" s="75"/>
      <c r="Q15" s="75"/>
      <c r="R15" s="90">
        <f t="shared" si="19"/>
        <v>0</v>
      </c>
      <c r="S15" s="75"/>
      <c r="T15" s="75"/>
      <c r="U15" s="90">
        <f t="shared" si="20"/>
        <v>0</v>
      </c>
      <c r="V15" s="75"/>
      <c r="W15" s="75"/>
      <c r="X15" s="90">
        <f t="shared" si="21"/>
        <v>0</v>
      </c>
      <c r="Y15" s="90"/>
      <c r="Z15" s="90"/>
      <c r="AA15" s="90"/>
      <c r="AB15" s="90">
        <f t="shared" si="22"/>
        <v>0</v>
      </c>
      <c r="AC15" s="91"/>
      <c r="AD15" s="76"/>
      <c r="AE15" s="92">
        <f t="shared" si="1"/>
        <v>0</v>
      </c>
      <c r="AF15" s="76"/>
      <c r="AG15" s="92">
        <f t="shared" si="2"/>
        <v>0</v>
      </c>
      <c r="AH15" s="76"/>
      <c r="AI15" s="92">
        <f t="shared" si="3"/>
        <v>0</v>
      </c>
      <c r="AJ15" s="76"/>
      <c r="AK15" s="92">
        <f t="shared" si="4"/>
        <v>0</v>
      </c>
      <c r="AL15" s="76"/>
      <c r="AM15" s="92">
        <f t="shared" si="5"/>
        <v>0</v>
      </c>
      <c r="AN15" s="76"/>
      <c r="AO15" s="92">
        <f t="shared" si="6"/>
        <v>0</v>
      </c>
      <c r="AP15" s="93">
        <f t="shared" si="23"/>
        <v>0</v>
      </c>
      <c r="AQ15" s="76"/>
      <c r="AR15" s="76"/>
      <c r="AS15" s="76"/>
      <c r="AT15" s="44">
        <f t="shared" si="24"/>
        <v>0</v>
      </c>
      <c r="AU15" s="76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58"/>
        <v>0</v>
      </c>
      <c r="BE15" s="5">
        <f t="shared" si="28"/>
        <v>0</v>
      </c>
      <c r="BF15" s="5">
        <f t="shared" si="29"/>
        <v>0</v>
      </c>
      <c r="BG15" s="5">
        <f t="shared" si="30"/>
        <v>0</v>
      </c>
      <c r="BH15" s="5">
        <f t="shared" si="31"/>
        <v>0</v>
      </c>
      <c r="BI15" s="5">
        <f t="shared" si="32"/>
        <v>0</v>
      </c>
      <c r="BJ15" s="5">
        <f t="shared" si="33"/>
        <v>0</v>
      </c>
      <c r="BK15" s="5">
        <f t="shared" si="34"/>
        <v>0</v>
      </c>
      <c r="BL15" s="5">
        <f t="shared" si="35"/>
        <v>0</v>
      </c>
      <c r="BM15" s="5">
        <f t="shared" si="36"/>
        <v>0</v>
      </c>
      <c r="BN15" s="5">
        <f t="shared" si="37"/>
        <v>0</v>
      </c>
      <c r="BO15" s="5">
        <f t="shared" si="38"/>
        <v>0</v>
      </c>
      <c r="BP15" s="5">
        <f t="shared" si="39"/>
        <v>0</v>
      </c>
      <c r="BQ15" s="5">
        <f t="shared" si="40"/>
        <v>0</v>
      </c>
      <c r="BR15" s="5">
        <f t="shared" si="41"/>
        <v>0</v>
      </c>
      <c r="BS15" s="5">
        <f t="shared" si="42"/>
        <v>0</v>
      </c>
      <c r="BT15" s="5">
        <f t="shared" si="43"/>
        <v>0</v>
      </c>
      <c r="BU15" s="5">
        <f t="shared" si="44"/>
        <v>0</v>
      </c>
      <c r="BV15" s="5">
        <f t="shared" si="45"/>
        <v>0</v>
      </c>
      <c r="BW15" s="5">
        <f t="shared" si="46"/>
        <v>0</v>
      </c>
      <c r="BX15" s="5">
        <f t="shared" si="47"/>
        <v>0</v>
      </c>
      <c r="BY15" s="5">
        <f t="shared" si="11"/>
        <v>0</v>
      </c>
      <c r="BZ15" s="5">
        <f t="shared" si="48"/>
        <v>0</v>
      </c>
      <c r="CA15" s="5">
        <f t="shared" si="49"/>
        <v>0</v>
      </c>
      <c r="CB15" s="5">
        <f t="shared" si="50"/>
        <v>0</v>
      </c>
      <c r="CC15" s="5">
        <f t="shared" si="51"/>
        <v>0</v>
      </c>
      <c r="CD15" s="5">
        <f t="shared" si="52"/>
        <v>0</v>
      </c>
      <c r="CE15" s="5">
        <f t="shared" si="53"/>
        <v>0</v>
      </c>
      <c r="CF15" s="5">
        <f t="shared" si="54"/>
        <v>0</v>
      </c>
      <c r="CG15" s="5">
        <f t="shared" si="55"/>
        <v>0</v>
      </c>
      <c r="CH15" s="5">
        <f t="shared" si="56"/>
        <v>0</v>
      </c>
      <c r="CI15" s="5">
        <f t="shared" si="57"/>
        <v>0</v>
      </c>
      <c r="CJ15" s="5"/>
      <c r="CK15" s="4">
        <f t="shared" si="14"/>
        <v>0</v>
      </c>
    </row>
    <row r="16" spans="1:89" ht="38" customHeight="1">
      <c r="A16" s="74" t="str">
        <f t="shared" si="0"/>
        <v/>
      </c>
      <c r="B16" s="73"/>
      <c r="C16" s="85"/>
      <c r="D16" s="75"/>
      <c r="E16" s="75"/>
      <c r="F16" s="90">
        <f t="shared" si="15"/>
        <v>0</v>
      </c>
      <c r="G16" s="83"/>
      <c r="H16" s="83"/>
      <c r="I16" s="90">
        <f t="shared" si="16"/>
        <v>0</v>
      </c>
      <c r="J16" s="83"/>
      <c r="K16" s="83"/>
      <c r="L16" s="90">
        <f t="shared" si="17"/>
        <v>0</v>
      </c>
      <c r="M16" s="83"/>
      <c r="N16" s="83"/>
      <c r="O16" s="90">
        <f t="shared" si="18"/>
        <v>0</v>
      </c>
      <c r="P16" s="75"/>
      <c r="Q16" s="75"/>
      <c r="R16" s="90">
        <f t="shared" si="19"/>
        <v>0</v>
      </c>
      <c r="S16" s="75"/>
      <c r="T16" s="75"/>
      <c r="U16" s="90">
        <f t="shared" si="20"/>
        <v>0</v>
      </c>
      <c r="V16" s="83"/>
      <c r="W16" s="83"/>
      <c r="X16" s="90">
        <f t="shared" si="21"/>
        <v>0</v>
      </c>
      <c r="Y16" s="90"/>
      <c r="Z16" s="90"/>
      <c r="AA16" s="90"/>
      <c r="AB16" s="90">
        <f t="shared" si="22"/>
        <v>0</v>
      </c>
      <c r="AC16" s="91"/>
      <c r="AD16" s="76"/>
      <c r="AE16" s="92">
        <f t="shared" si="1"/>
        <v>0</v>
      </c>
      <c r="AF16" s="76"/>
      <c r="AG16" s="92">
        <f t="shared" si="2"/>
        <v>0</v>
      </c>
      <c r="AH16" s="76"/>
      <c r="AI16" s="92">
        <f t="shared" si="3"/>
        <v>0</v>
      </c>
      <c r="AJ16" s="76"/>
      <c r="AK16" s="92">
        <f t="shared" si="4"/>
        <v>0</v>
      </c>
      <c r="AL16" s="76"/>
      <c r="AM16" s="92">
        <f t="shared" si="5"/>
        <v>0</v>
      </c>
      <c r="AN16" s="76"/>
      <c r="AO16" s="92">
        <f t="shared" si="6"/>
        <v>0</v>
      </c>
      <c r="AP16" s="93">
        <f t="shared" si="23"/>
        <v>0</v>
      </c>
      <c r="AQ16" s="76"/>
      <c r="AR16" s="76"/>
      <c r="AS16" s="76"/>
      <c r="AT16" s="44">
        <f t="shared" si="24"/>
        <v>0</v>
      </c>
      <c r="AU16" s="76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58"/>
        <v>0</v>
      </c>
      <c r="BE16" s="5">
        <f t="shared" si="28"/>
        <v>0</v>
      </c>
      <c r="BF16" s="5">
        <f t="shared" si="29"/>
        <v>0</v>
      </c>
      <c r="BG16" s="5">
        <f t="shared" si="30"/>
        <v>0</v>
      </c>
      <c r="BH16" s="5">
        <f t="shared" si="31"/>
        <v>0</v>
      </c>
      <c r="BI16" s="5">
        <f t="shared" si="32"/>
        <v>0</v>
      </c>
      <c r="BJ16" s="5">
        <f t="shared" si="33"/>
        <v>0</v>
      </c>
      <c r="BK16" s="5">
        <f t="shared" si="34"/>
        <v>0</v>
      </c>
      <c r="BL16" s="5">
        <f t="shared" si="35"/>
        <v>0</v>
      </c>
      <c r="BM16" s="5">
        <f t="shared" si="36"/>
        <v>0</v>
      </c>
      <c r="BN16" s="5">
        <f t="shared" si="37"/>
        <v>0</v>
      </c>
      <c r="BO16" s="5">
        <f t="shared" si="38"/>
        <v>0</v>
      </c>
      <c r="BP16" s="5">
        <f t="shared" si="39"/>
        <v>0</v>
      </c>
      <c r="BQ16" s="5">
        <f t="shared" si="40"/>
        <v>0</v>
      </c>
      <c r="BR16" s="5">
        <f t="shared" si="41"/>
        <v>0</v>
      </c>
      <c r="BS16" s="5">
        <f t="shared" si="42"/>
        <v>0</v>
      </c>
      <c r="BT16" s="5">
        <f t="shared" si="43"/>
        <v>0</v>
      </c>
      <c r="BU16" s="5">
        <f t="shared" si="44"/>
        <v>0</v>
      </c>
      <c r="BV16" s="5">
        <f t="shared" si="45"/>
        <v>0</v>
      </c>
      <c r="BW16" s="5">
        <f t="shared" si="46"/>
        <v>0</v>
      </c>
      <c r="BX16" s="5">
        <f t="shared" si="47"/>
        <v>0</v>
      </c>
      <c r="BY16" s="5">
        <f t="shared" si="11"/>
        <v>0</v>
      </c>
      <c r="BZ16" s="5">
        <f t="shared" si="48"/>
        <v>0</v>
      </c>
      <c r="CA16" s="5">
        <f t="shared" si="49"/>
        <v>0</v>
      </c>
      <c r="CB16" s="5">
        <f t="shared" si="50"/>
        <v>0</v>
      </c>
      <c r="CC16" s="5">
        <f t="shared" si="51"/>
        <v>0</v>
      </c>
      <c r="CD16" s="5">
        <f t="shared" si="52"/>
        <v>0</v>
      </c>
      <c r="CE16" s="5">
        <f t="shared" si="53"/>
        <v>0</v>
      </c>
      <c r="CF16" s="5">
        <f t="shared" si="54"/>
        <v>0</v>
      </c>
      <c r="CG16" s="5">
        <f t="shared" si="55"/>
        <v>0</v>
      </c>
      <c r="CH16" s="5">
        <f t="shared" si="56"/>
        <v>0</v>
      </c>
      <c r="CI16" s="5">
        <f t="shared" si="57"/>
        <v>0</v>
      </c>
      <c r="CJ16" s="5"/>
      <c r="CK16" s="4">
        <f t="shared" si="14"/>
        <v>0</v>
      </c>
    </row>
    <row r="17" spans="1:89" ht="38" customHeight="1">
      <c r="A17" s="74" t="str">
        <f t="shared" si="0"/>
        <v/>
      </c>
      <c r="B17" s="73"/>
      <c r="C17" s="85"/>
      <c r="D17" s="75"/>
      <c r="E17" s="75"/>
      <c r="F17" s="90">
        <f t="shared" si="15"/>
        <v>0</v>
      </c>
      <c r="G17" s="75"/>
      <c r="H17" s="75"/>
      <c r="I17" s="90">
        <f t="shared" si="16"/>
        <v>0</v>
      </c>
      <c r="J17" s="75"/>
      <c r="K17" s="75"/>
      <c r="L17" s="90">
        <f t="shared" si="17"/>
        <v>0</v>
      </c>
      <c r="M17" s="75"/>
      <c r="N17" s="75"/>
      <c r="O17" s="90">
        <f t="shared" si="18"/>
        <v>0</v>
      </c>
      <c r="P17" s="75"/>
      <c r="Q17" s="75"/>
      <c r="R17" s="90">
        <f t="shared" si="19"/>
        <v>0</v>
      </c>
      <c r="S17" s="83"/>
      <c r="T17" s="83"/>
      <c r="U17" s="90">
        <f t="shared" si="20"/>
        <v>0</v>
      </c>
      <c r="V17" s="75"/>
      <c r="W17" s="75"/>
      <c r="X17" s="90">
        <f t="shared" si="21"/>
        <v>0</v>
      </c>
      <c r="Y17" s="90"/>
      <c r="Z17" s="90"/>
      <c r="AA17" s="90"/>
      <c r="AB17" s="90">
        <f t="shared" si="22"/>
        <v>0</v>
      </c>
      <c r="AC17" s="91"/>
      <c r="AD17" s="76"/>
      <c r="AE17" s="92">
        <f t="shared" si="1"/>
        <v>0</v>
      </c>
      <c r="AF17" s="76"/>
      <c r="AG17" s="92">
        <f t="shared" si="2"/>
        <v>0</v>
      </c>
      <c r="AH17" s="76"/>
      <c r="AI17" s="92">
        <f t="shared" si="3"/>
        <v>0</v>
      </c>
      <c r="AJ17" s="76"/>
      <c r="AK17" s="92">
        <f t="shared" si="4"/>
        <v>0</v>
      </c>
      <c r="AL17" s="76"/>
      <c r="AM17" s="92">
        <f t="shared" si="5"/>
        <v>0</v>
      </c>
      <c r="AN17" s="76"/>
      <c r="AO17" s="92">
        <f t="shared" si="6"/>
        <v>0</v>
      </c>
      <c r="AP17" s="93">
        <f t="shared" si="23"/>
        <v>0</v>
      </c>
      <c r="AQ17" s="76"/>
      <c r="AR17" s="76"/>
      <c r="AS17" s="76"/>
      <c r="AT17" s="44">
        <f t="shared" si="24"/>
        <v>0</v>
      </c>
      <c r="AU17" s="76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58"/>
        <v>0</v>
      </c>
      <c r="BE17" s="5">
        <f t="shared" si="28"/>
        <v>0</v>
      </c>
      <c r="BF17" s="5">
        <f t="shared" si="29"/>
        <v>0</v>
      </c>
      <c r="BG17" s="5">
        <f t="shared" si="30"/>
        <v>0</v>
      </c>
      <c r="BH17" s="5">
        <f t="shared" si="31"/>
        <v>0</v>
      </c>
      <c r="BI17" s="5">
        <f t="shared" si="32"/>
        <v>0</v>
      </c>
      <c r="BJ17" s="5">
        <f t="shared" si="33"/>
        <v>0</v>
      </c>
      <c r="BK17" s="5">
        <f t="shared" si="34"/>
        <v>0</v>
      </c>
      <c r="BL17" s="5">
        <f t="shared" si="35"/>
        <v>0</v>
      </c>
      <c r="BM17" s="5">
        <f t="shared" si="36"/>
        <v>0</v>
      </c>
      <c r="BN17" s="5">
        <f t="shared" si="37"/>
        <v>0</v>
      </c>
      <c r="BO17" s="5">
        <f t="shared" si="38"/>
        <v>0</v>
      </c>
      <c r="BP17" s="5">
        <f t="shared" si="39"/>
        <v>0</v>
      </c>
      <c r="BQ17" s="5">
        <f t="shared" si="40"/>
        <v>0</v>
      </c>
      <c r="BR17" s="5">
        <f t="shared" si="41"/>
        <v>0</v>
      </c>
      <c r="BS17" s="5">
        <f t="shared" si="42"/>
        <v>0</v>
      </c>
      <c r="BT17" s="5">
        <f t="shared" si="43"/>
        <v>0</v>
      </c>
      <c r="BU17" s="5">
        <f t="shared" si="44"/>
        <v>0</v>
      </c>
      <c r="BV17" s="5">
        <f t="shared" si="45"/>
        <v>0</v>
      </c>
      <c r="BW17" s="5">
        <f t="shared" si="46"/>
        <v>0</v>
      </c>
      <c r="BX17" s="5">
        <f t="shared" si="47"/>
        <v>0</v>
      </c>
      <c r="BY17" s="5">
        <f t="shared" si="11"/>
        <v>0</v>
      </c>
      <c r="BZ17" s="5">
        <f t="shared" si="48"/>
        <v>0</v>
      </c>
      <c r="CA17" s="5">
        <f t="shared" si="49"/>
        <v>0</v>
      </c>
      <c r="CB17" s="5">
        <f t="shared" si="50"/>
        <v>0</v>
      </c>
      <c r="CC17" s="5">
        <f t="shared" si="51"/>
        <v>0</v>
      </c>
      <c r="CD17" s="5">
        <f t="shared" si="52"/>
        <v>0</v>
      </c>
      <c r="CE17" s="5">
        <f t="shared" si="53"/>
        <v>0</v>
      </c>
      <c r="CF17" s="5">
        <f t="shared" si="54"/>
        <v>0</v>
      </c>
      <c r="CG17" s="5">
        <f t="shared" si="55"/>
        <v>0</v>
      </c>
      <c r="CH17" s="5">
        <f t="shared" si="56"/>
        <v>0</v>
      </c>
      <c r="CI17" s="5">
        <f t="shared" si="57"/>
        <v>0</v>
      </c>
      <c r="CJ17" s="5"/>
      <c r="CK17" s="4">
        <f t="shared" si="14"/>
        <v>0</v>
      </c>
    </row>
    <row r="18" spans="1:89" ht="38" customHeight="1">
      <c r="A18" s="74" t="str">
        <f t="shared" si="0"/>
        <v/>
      </c>
      <c r="B18" s="73"/>
      <c r="C18" s="72"/>
      <c r="D18" s="75"/>
      <c r="E18" s="75"/>
      <c r="F18" s="90">
        <f t="shared" si="15"/>
        <v>0</v>
      </c>
      <c r="G18" s="75"/>
      <c r="H18" s="75"/>
      <c r="I18" s="90">
        <f t="shared" si="16"/>
        <v>0</v>
      </c>
      <c r="J18" s="75"/>
      <c r="K18" s="75"/>
      <c r="L18" s="90">
        <f t="shared" si="17"/>
        <v>0</v>
      </c>
      <c r="M18" s="75"/>
      <c r="N18" s="75"/>
      <c r="O18" s="90">
        <f t="shared" si="18"/>
        <v>0</v>
      </c>
      <c r="P18" s="75"/>
      <c r="Q18" s="75"/>
      <c r="R18" s="90">
        <f t="shared" si="19"/>
        <v>0</v>
      </c>
      <c r="S18" s="75"/>
      <c r="T18" s="75"/>
      <c r="U18" s="90">
        <f t="shared" si="20"/>
        <v>0</v>
      </c>
      <c r="V18" s="75"/>
      <c r="W18" s="75"/>
      <c r="X18" s="90">
        <f t="shared" si="21"/>
        <v>0</v>
      </c>
      <c r="Y18" s="90"/>
      <c r="Z18" s="90"/>
      <c r="AA18" s="90"/>
      <c r="AB18" s="90">
        <f t="shared" si="22"/>
        <v>0</v>
      </c>
      <c r="AC18" s="91"/>
      <c r="AD18" s="76"/>
      <c r="AE18" s="92">
        <f t="shared" si="1"/>
        <v>0</v>
      </c>
      <c r="AF18" s="76"/>
      <c r="AG18" s="92">
        <f t="shared" si="2"/>
        <v>0</v>
      </c>
      <c r="AH18" s="76"/>
      <c r="AI18" s="92">
        <f t="shared" si="3"/>
        <v>0</v>
      </c>
      <c r="AJ18" s="76"/>
      <c r="AK18" s="92">
        <f t="shared" si="4"/>
        <v>0</v>
      </c>
      <c r="AL18" s="76"/>
      <c r="AM18" s="92">
        <f t="shared" si="5"/>
        <v>0</v>
      </c>
      <c r="AN18" s="76"/>
      <c r="AO18" s="92">
        <f t="shared" si="6"/>
        <v>0</v>
      </c>
      <c r="AP18" s="93">
        <f t="shared" si="23"/>
        <v>0</v>
      </c>
      <c r="AQ18" s="76"/>
      <c r="AR18" s="76"/>
      <c r="AS18" s="76"/>
      <c r="AT18" s="44">
        <f t="shared" si="24"/>
        <v>0</v>
      </c>
      <c r="AU18" s="76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58"/>
        <v>0</v>
      </c>
      <c r="BE18" s="5">
        <f t="shared" si="28"/>
        <v>0</v>
      </c>
      <c r="BF18" s="5">
        <f t="shared" si="29"/>
        <v>0</v>
      </c>
      <c r="BG18" s="5">
        <f t="shared" si="30"/>
        <v>0</v>
      </c>
      <c r="BH18" s="5">
        <f t="shared" si="31"/>
        <v>0</v>
      </c>
      <c r="BI18" s="5">
        <f t="shared" si="32"/>
        <v>0</v>
      </c>
      <c r="BJ18" s="5">
        <f t="shared" si="33"/>
        <v>0</v>
      </c>
      <c r="BK18" s="5">
        <f t="shared" si="34"/>
        <v>0</v>
      </c>
      <c r="BL18" s="5">
        <f t="shared" si="35"/>
        <v>0</v>
      </c>
      <c r="BM18" s="5">
        <f t="shared" si="36"/>
        <v>0</v>
      </c>
      <c r="BN18" s="5">
        <f t="shared" si="37"/>
        <v>0</v>
      </c>
      <c r="BO18" s="5">
        <f t="shared" si="38"/>
        <v>0</v>
      </c>
      <c r="BP18" s="5">
        <f t="shared" si="39"/>
        <v>0</v>
      </c>
      <c r="BQ18" s="5">
        <f t="shared" si="40"/>
        <v>0</v>
      </c>
      <c r="BR18" s="5">
        <f t="shared" si="41"/>
        <v>0</v>
      </c>
      <c r="BS18" s="5">
        <f t="shared" si="42"/>
        <v>0</v>
      </c>
      <c r="BT18" s="5">
        <f t="shared" si="43"/>
        <v>0</v>
      </c>
      <c r="BU18" s="5">
        <f t="shared" si="44"/>
        <v>0</v>
      </c>
      <c r="BV18" s="5">
        <f t="shared" si="45"/>
        <v>0</v>
      </c>
      <c r="BW18" s="5">
        <f t="shared" si="46"/>
        <v>0</v>
      </c>
      <c r="BX18" s="5">
        <f t="shared" si="47"/>
        <v>0</v>
      </c>
      <c r="BY18" s="5">
        <f t="shared" si="11"/>
        <v>0</v>
      </c>
      <c r="BZ18" s="5">
        <f t="shared" si="48"/>
        <v>0</v>
      </c>
      <c r="CA18" s="5">
        <f t="shared" si="49"/>
        <v>0</v>
      </c>
      <c r="CB18" s="5">
        <f t="shared" si="50"/>
        <v>0</v>
      </c>
      <c r="CC18" s="5">
        <f t="shared" si="51"/>
        <v>0</v>
      </c>
      <c r="CD18" s="5">
        <f t="shared" si="52"/>
        <v>0</v>
      </c>
      <c r="CE18" s="5">
        <f t="shared" si="53"/>
        <v>0</v>
      </c>
      <c r="CF18" s="5">
        <f t="shared" si="54"/>
        <v>0</v>
      </c>
      <c r="CG18" s="5">
        <f t="shared" si="55"/>
        <v>0</v>
      </c>
      <c r="CH18" s="5">
        <f t="shared" si="56"/>
        <v>0</v>
      </c>
      <c r="CI18" s="5">
        <f t="shared" si="57"/>
        <v>0</v>
      </c>
      <c r="CJ18" s="5"/>
      <c r="CK18" s="4">
        <f t="shared" si="14"/>
        <v>0</v>
      </c>
    </row>
    <row r="19" spans="1:89" ht="38" customHeight="1">
      <c r="A19" s="74" t="str">
        <f t="shared" si="0"/>
        <v/>
      </c>
      <c r="B19" s="73"/>
      <c r="C19" s="72"/>
      <c r="D19" s="75"/>
      <c r="E19" s="75"/>
      <c r="F19" s="90">
        <f t="shared" si="15"/>
        <v>0</v>
      </c>
      <c r="G19" s="75"/>
      <c r="H19" s="75"/>
      <c r="I19" s="90">
        <f t="shared" si="16"/>
        <v>0</v>
      </c>
      <c r="J19" s="75"/>
      <c r="K19" s="75"/>
      <c r="L19" s="90">
        <f t="shared" si="17"/>
        <v>0</v>
      </c>
      <c r="M19" s="75"/>
      <c r="N19" s="75"/>
      <c r="O19" s="90">
        <f t="shared" si="18"/>
        <v>0</v>
      </c>
      <c r="P19" s="75"/>
      <c r="Q19" s="75"/>
      <c r="R19" s="90">
        <f t="shared" si="19"/>
        <v>0</v>
      </c>
      <c r="S19" s="75"/>
      <c r="T19" s="75"/>
      <c r="U19" s="90">
        <f t="shared" si="20"/>
        <v>0</v>
      </c>
      <c r="V19" s="75"/>
      <c r="W19" s="75"/>
      <c r="X19" s="90">
        <f t="shared" si="21"/>
        <v>0</v>
      </c>
      <c r="Y19" s="90"/>
      <c r="Z19" s="90"/>
      <c r="AA19" s="90"/>
      <c r="AB19" s="90">
        <f t="shared" si="22"/>
        <v>0</v>
      </c>
      <c r="AC19" s="91"/>
      <c r="AD19" s="76"/>
      <c r="AE19" s="92">
        <f t="shared" si="1"/>
        <v>0</v>
      </c>
      <c r="AF19" s="76"/>
      <c r="AG19" s="92">
        <f t="shared" si="2"/>
        <v>0</v>
      </c>
      <c r="AH19" s="76"/>
      <c r="AI19" s="92">
        <f t="shared" si="3"/>
        <v>0</v>
      </c>
      <c r="AJ19" s="76"/>
      <c r="AK19" s="92">
        <f t="shared" si="4"/>
        <v>0</v>
      </c>
      <c r="AL19" s="76"/>
      <c r="AM19" s="92">
        <f t="shared" si="5"/>
        <v>0</v>
      </c>
      <c r="AN19" s="76"/>
      <c r="AO19" s="92">
        <f t="shared" si="6"/>
        <v>0</v>
      </c>
      <c r="AP19" s="93">
        <f t="shared" si="23"/>
        <v>0</v>
      </c>
      <c r="AQ19" s="76"/>
      <c r="AR19" s="76"/>
      <c r="AS19" s="76"/>
      <c r="AT19" s="44">
        <f t="shared" si="24"/>
        <v>0</v>
      </c>
      <c r="AU19" s="76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58"/>
        <v>0</v>
      </c>
      <c r="BE19" s="5">
        <f t="shared" si="28"/>
        <v>0</v>
      </c>
      <c r="BF19" s="5">
        <f t="shared" si="29"/>
        <v>0</v>
      </c>
      <c r="BG19" s="5">
        <f t="shared" si="30"/>
        <v>0</v>
      </c>
      <c r="BH19" s="5">
        <f t="shared" si="31"/>
        <v>0</v>
      </c>
      <c r="BI19" s="5">
        <f t="shared" si="32"/>
        <v>0</v>
      </c>
      <c r="BJ19" s="5">
        <f t="shared" si="33"/>
        <v>0</v>
      </c>
      <c r="BK19" s="5">
        <f t="shared" si="34"/>
        <v>0</v>
      </c>
      <c r="BL19" s="5">
        <f t="shared" si="35"/>
        <v>0</v>
      </c>
      <c r="BM19" s="5">
        <f t="shared" si="36"/>
        <v>0</v>
      </c>
      <c r="BN19" s="5">
        <f t="shared" si="37"/>
        <v>0</v>
      </c>
      <c r="BO19" s="5">
        <f t="shared" si="38"/>
        <v>0</v>
      </c>
      <c r="BP19" s="5">
        <f t="shared" si="39"/>
        <v>0</v>
      </c>
      <c r="BQ19" s="5">
        <f t="shared" si="40"/>
        <v>0</v>
      </c>
      <c r="BR19" s="5">
        <f t="shared" si="41"/>
        <v>0</v>
      </c>
      <c r="BS19" s="5">
        <f t="shared" si="42"/>
        <v>0</v>
      </c>
      <c r="BT19" s="5">
        <f t="shared" si="43"/>
        <v>0</v>
      </c>
      <c r="BU19" s="5">
        <f t="shared" si="44"/>
        <v>0</v>
      </c>
      <c r="BV19" s="5">
        <f t="shared" si="45"/>
        <v>0</v>
      </c>
      <c r="BW19" s="5">
        <f t="shared" si="46"/>
        <v>0</v>
      </c>
      <c r="BX19" s="5">
        <f t="shared" si="47"/>
        <v>0</v>
      </c>
      <c r="BY19" s="5">
        <f t="shared" si="11"/>
        <v>0</v>
      </c>
      <c r="BZ19" s="5">
        <f t="shared" si="48"/>
        <v>0</v>
      </c>
      <c r="CA19" s="5">
        <f t="shared" si="49"/>
        <v>0</v>
      </c>
      <c r="CB19" s="5">
        <f t="shared" si="50"/>
        <v>0</v>
      </c>
      <c r="CC19" s="5">
        <f t="shared" si="51"/>
        <v>0</v>
      </c>
      <c r="CD19" s="5">
        <f t="shared" si="52"/>
        <v>0</v>
      </c>
      <c r="CE19" s="5">
        <f t="shared" si="53"/>
        <v>0</v>
      </c>
      <c r="CF19" s="5">
        <f t="shared" si="54"/>
        <v>0</v>
      </c>
      <c r="CG19" s="5">
        <f t="shared" si="55"/>
        <v>0</v>
      </c>
      <c r="CH19" s="5">
        <f t="shared" si="56"/>
        <v>0</v>
      </c>
      <c r="CI19" s="5">
        <f t="shared" si="57"/>
        <v>0</v>
      </c>
      <c r="CJ19" s="5"/>
      <c r="CK19" s="4">
        <f t="shared" si="14"/>
        <v>0</v>
      </c>
    </row>
    <row r="20" spans="1:89" ht="38" customHeight="1">
      <c r="A20" s="74" t="str">
        <f t="shared" si="0"/>
        <v/>
      </c>
      <c r="B20" s="73"/>
      <c r="C20" s="72"/>
      <c r="D20" s="75"/>
      <c r="E20" s="75"/>
      <c r="F20" s="90">
        <f t="shared" si="15"/>
        <v>0</v>
      </c>
      <c r="G20" s="75"/>
      <c r="H20" s="75"/>
      <c r="I20" s="90">
        <f t="shared" si="16"/>
        <v>0</v>
      </c>
      <c r="J20" s="75"/>
      <c r="K20" s="75"/>
      <c r="L20" s="90">
        <f t="shared" si="17"/>
        <v>0</v>
      </c>
      <c r="M20" s="75"/>
      <c r="N20" s="75"/>
      <c r="O20" s="90">
        <f t="shared" si="18"/>
        <v>0</v>
      </c>
      <c r="P20" s="75"/>
      <c r="Q20" s="75"/>
      <c r="R20" s="90">
        <f t="shared" si="19"/>
        <v>0</v>
      </c>
      <c r="S20" s="75"/>
      <c r="T20" s="75"/>
      <c r="U20" s="90">
        <f t="shared" si="20"/>
        <v>0</v>
      </c>
      <c r="V20" s="75"/>
      <c r="W20" s="75"/>
      <c r="X20" s="90">
        <f t="shared" si="21"/>
        <v>0</v>
      </c>
      <c r="Y20" s="90"/>
      <c r="Z20" s="90"/>
      <c r="AA20" s="90"/>
      <c r="AB20" s="90">
        <f t="shared" si="22"/>
        <v>0</v>
      </c>
      <c r="AC20" s="91"/>
      <c r="AD20" s="76"/>
      <c r="AE20" s="92">
        <f t="shared" si="1"/>
        <v>0</v>
      </c>
      <c r="AF20" s="76"/>
      <c r="AG20" s="92">
        <f t="shared" si="2"/>
        <v>0</v>
      </c>
      <c r="AH20" s="76"/>
      <c r="AI20" s="92">
        <f t="shared" si="3"/>
        <v>0</v>
      </c>
      <c r="AJ20" s="76"/>
      <c r="AK20" s="92">
        <f t="shared" si="4"/>
        <v>0</v>
      </c>
      <c r="AL20" s="76"/>
      <c r="AM20" s="92">
        <f t="shared" si="5"/>
        <v>0</v>
      </c>
      <c r="AN20" s="76"/>
      <c r="AO20" s="92">
        <f t="shared" si="6"/>
        <v>0</v>
      </c>
      <c r="AP20" s="93">
        <f t="shared" si="23"/>
        <v>0</v>
      </c>
      <c r="AQ20" s="76"/>
      <c r="AR20" s="76"/>
      <c r="AS20" s="76"/>
      <c r="AT20" s="44">
        <f t="shared" si="24"/>
        <v>0</v>
      </c>
      <c r="AU20" s="76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58"/>
        <v>0</v>
      </c>
      <c r="BE20" s="5">
        <f t="shared" si="28"/>
        <v>0</v>
      </c>
      <c r="BF20" s="5">
        <f t="shared" si="29"/>
        <v>0</v>
      </c>
      <c r="BG20" s="5">
        <f t="shared" si="30"/>
        <v>0</v>
      </c>
      <c r="BH20" s="5">
        <f t="shared" si="31"/>
        <v>0</v>
      </c>
      <c r="BI20" s="5">
        <f t="shared" si="32"/>
        <v>0</v>
      </c>
      <c r="BJ20" s="5">
        <f t="shared" si="33"/>
        <v>0</v>
      </c>
      <c r="BK20" s="5">
        <f t="shared" si="34"/>
        <v>0</v>
      </c>
      <c r="BL20" s="5">
        <f t="shared" si="35"/>
        <v>0</v>
      </c>
      <c r="BM20" s="5">
        <f t="shared" si="36"/>
        <v>0</v>
      </c>
      <c r="BN20" s="5">
        <f t="shared" si="37"/>
        <v>0</v>
      </c>
      <c r="BO20" s="5">
        <f t="shared" si="38"/>
        <v>0</v>
      </c>
      <c r="BP20" s="5">
        <f t="shared" si="39"/>
        <v>0</v>
      </c>
      <c r="BQ20" s="5">
        <f t="shared" si="40"/>
        <v>0</v>
      </c>
      <c r="BR20" s="5">
        <f t="shared" si="41"/>
        <v>0</v>
      </c>
      <c r="BS20" s="5">
        <f t="shared" si="42"/>
        <v>0</v>
      </c>
      <c r="BT20" s="5">
        <f t="shared" si="43"/>
        <v>0</v>
      </c>
      <c r="BU20" s="5">
        <f t="shared" si="44"/>
        <v>0</v>
      </c>
      <c r="BV20" s="5">
        <f t="shared" si="45"/>
        <v>0</v>
      </c>
      <c r="BW20" s="5">
        <f t="shared" si="46"/>
        <v>0</v>
      </c>
      <c r="BX20" s="5">
        <f t="shared" si="47"/>
        <v>0</v>
      </c>
      <c r="BY20" s="5">
        <f t="shared" si="11"/>
        <v>0</v>
      </c>
      <c r="BZ20" s="5">
        <f t="shared" si="48"/>
        <v>0</v>
      </c>
      <c r="CA20" s="5">
        <f t="shared" si="49"/>
        <v>0</v>
      </c>
      <c r="CB20" s="5">
        <f t="shared" si="50"/>
        <v>0</v>
      </c>
      <c r="CC20" s="5">
        <f t="shared" si="51"/>
        <v>0</v>
      </c>
      <c r="CD20" s="5">
        <f t="shared" si="52"/>
        <v>0</v>
      </c>
      <c r="CE20" s="5">
        <f t="shared" si="53"/>
        <v>0</v>
      </c>
      <c r="CF20" s="5">
        <f t="shared" si="54"/>
        <v>0</v>
      </c>
      <c r="CG20" s="5">
        <f t="shared" si="55"/>
        <v>0</v>
      </c>
      <c r="CH20" s="5">
        <f t="shared" si="56"/>
        <v>0</v>
      </c>
      <c r="CI20" s="5">
        <f t="shared" si="57"/>
        <v>0</v>
      </c>
      <c r="CJ20" s="5"/>
      <c r="CK20" s="4">
        <f t="shared" si="14"/>
        <v>0</v>
      </c>
    </row>
    <row r="21" spans="1:89" ht="38" customHeight="1">
      <c r="A21" s="74" t="str">
        <f t="shared" si="0"/>
        <v/>
      </c>
      <c r="B21" s="73"/>
      <c r="C21" s="72"/>
      <c r="D21" s="75"/>
      <c r="E21" s="75"/>
      <c r="F21" s="90">
        <f t="shared" ref="F21:F29" si="59">BA21-BB21</f>
        <v>0</v>
      </c>
      <c r="G21" s="75"/>
      <c r="H21" s="75"/>
      <c r="I21" s="90">
        <f t="shared" ref="I21:I29" si="60">BF21-BG21</f>
        <v>0</v>
      </c>
      <c r="J21" s="75"/>
      <c r="K21" s="75"/>
      <c r="L21" s="90">
        <f t="shared" ref="L21:L29" si="61">BK21-BL21</f>
        <v>0</v>
      </c>
      <c r="M21" s="75"/>
      <c r="N21" s="75"/>
      <c r="O21" s="90">
        <f t="shared" ref="O21:O29" si="62">BP21-BQ21</f>
        <v>0</v>
      </c>
      <c r="P21" s="75"/>
      <c r="Q21" s="75"/>
      <c r="R21" s="90">
        <f t="shared" ref="R21:R29" si="63">BU21-BV21</f>
        <v>0</v>
      </c>
      <c r="S21" s="75"/>
      <c r="T21" s="75"/>
      <c r="U21" s="90">
        <f t="shared" ref="U21:U29" si="64">BZ21-CA21</f>
        <v>0</v>
      </c>
      <c r="V21" s="75"/>
      <c r="W21" s="75"/>
      <c r="X21" s="90">
        <f t="shared" ref="X21:X29" si="65">CE21-CF21</f>
        <v>0</v>
      </c>
      <c r="Y21" s="90"/>
      <c r="Z21" s="90"/>
      <c r="AA21" s="90"/>
      <c r="AB21" s="90">
        <f t="shared" ref="AB21:AB29" si="66">SUM(F21,I21,L21,O21,R21,U21,X21)</f>
        <v>0</v>
      </c>
      <c r="AC21" s="91"/>
      <c r="AD21" s="76"/>
      <c r="AE21" s="92">
        <f t="shared" ref="AE21:AE29" si="67">SUMIF($BC$1:$CI$1,AE$1,$BC21:$CI21)+AD21</f>
        <v>0</v>
      </c>
      <c r="AF21" s="76"/>
      <c r="AG21" s="92">
        <f t="shared" ref="AG21:AG29" si="68">SUMIF($BC$1:$CI$1,AG$1,$BC21:$CI21)+AF21</f>
        <v>0</v>
      </c>
      <c r="AH21" s="76"/>
      <c r="AI21" s="92">
        <f t="shared" ref="AI21:AI29" si="69">SUMIF($BC$1:$CI$1,AI$1,$BC21:$CI21)+AH21</f>
        <v>0</v>
      </c>
      <c r="AJ21" s="76"/>
      <c r="AK21" s="92">
        <f t="shared" ref="AK21:AK29" si="70">SUMIF($BC$1:$CI$1,AK$1,$BC21:$CI21)+AJ21</f>
        <v>0</v>
      </c>
      <c r="AL21" s="76"/>
      <c r="AM21" s="92">
        <f t="shared" ref="AM21:AM29" si="71">SUMIF($BC$1:$CI$1,AM$1,$BC21:$CI21)+AL21</f>
        <v>0</v>
      </c>
      <c r="AN21" s="76"/>
      <c r="AO21" s="92">
        <f t="shared" ref="AO21:AO29" si="72">SUMIF($BC$1:$CI$1,AO$1,$BC21:$CI21)+AN21</f>
        <v>0</v>
      </c>
      <c r="AP21" s="93">
        <f t="shared" ref="AP21:AP29" si="73">CK21</f>
        <v>0</v>
      </c>
      <c r="AQ21" s="76"/>
      <c r="AR21" s="76"/>
      <c r="AS21" s="76"/>
      <c r="AT21" s="44">
        <f t="shared" ref="AT21:AT29" si="74">AE21+AG21+AI21+AK21+AM21+AO21+SUM(AQ21:AS21)</f>
        <v>0</v>
      </c>
      <c r="AU21" s="76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58"/>
        <v>0</v>
      </c>
      <c r="BE21" s="5">
        <f t="shared" si="28"/>
        <v>0</v>
      </c>
      <c r="BF21" s="5">
        <f t="shared" si="29"/>
        <v>0</v>
      </c>
      <c r="BG21" s="5">
        <f t="shared" si="30"/>
        <v>0</v>
      </c>
      <c r="BH21" s="5">
        <f t="shared" si="31"/>
        <v>0</v>
      </c>
      <c r="BI21" s="5">
        <f t="shared" si="32"/>
        <v>0</v>
      </c>
      <c r="BJ21" s="5">
        <f t="shared" si="33"/>
        <v>0</v>
      </c>
      <c r="BK21" s="5">
        <f t="shared" si="34"/>
        <v>0</v>
      </c>
      <c r="BL21" s="5">
        <f t="shared" si="35"/>
        <v>0</v>
      </c>
      <c r="BM21" s="5">
        <f t="shared" si="36"/>
        <v>0</v>
      </c>
      <c r="BN21" s="5">
        <f t="shared" si="37"/>
        <v>0</v>
      </c>
      <c r="BO21" s="5">
        <f t="shared" si="38"/>
        <v>0</v>
      </c>
      <c r="BP21" s="5">
        <f t="shared" si="39"/>
        <v>0</v>
      </c>
      <c r="BQ21" s="5">
        <f t="shared" si="40"/>
        <v>0</v>
      </c>
      <c r="BR21" s="5">
        <f t="shared" si="41"/>
        <v>0</v>
      </c>
      <c r="BS21" s="5">
        <f t="shared" si="42"/>
        <v>0</v>
      </c>
      <c r="BT21" s="5">
        <f t="shared" si="43"/>
        <v>0</v>
      </c>
      <c r="BU21" s="5">
        <f t="shared" si="44"/>
        <v>0</v>
      </c>
      <c r="BV21" s="5">
        <f t="shared" si="45"/>
        <v>0</v>
      </c>
      <c r="BW21" s="5">
        <f t="shared" si="46"/>
        <v>0</v>
      </c>
      <c r="BX21" s="5">
        <f t="shared" si="47"/>
        <v>0</v>
      </c>
      <c r="BY21" s="5">
        <f t="shared" si="11"/>
        <v>0</v>
      </c>
      <c r="BZ21" s="5">
        <f t="shared" si="48"/>
        <v>0</v>
      </c>
      <c r="CA21" s="5">
        <f t="shared" si="49"/>
        <v>0</v>
      </c>
      <c r="CB21" s="5">
        <f t="shared" si="50"/>
        <v>0</v>
      </c>
      <c r="CC21" s="5">
        <f t="shared" si="51"/>
        <v>0</v>
      </c>
      <c r="CD21" s="5">
        <f t="shared" si="52"/>
        <v>0</v>
      </c>
      <c r="CE21" s="5">
        <f t="shared" si="53"/>
        <v>0</v>
      </c>
      <c r="CF21" s="5">
        <f t="shared" si="54"/>
        <v>0</v>
      </c>
      <c r="CG21" s="5">
        <f t="shared" si="55"/>
        <v>0</v>
      </c>
      <c r="CH21" s="5">
        <f t="shared" si="56"/>
        <v>0</v>
      </c>
      <c r="CI21" s="5">
        <f t="shared" si="57"/>
        <v>0</v>
      </c>
      <c r="CJ21" s="5"/>
      <c r="CK21" s="4">
        <f t="shared" si="14"/>
        <v>0</v>
      </c>
    </row>
    <row r="22" spans="1:89" ht="38" customHeight="1">
      <c r="A22" s="74" t="str">
        <f t="shared" si="0"/>
        <v/>
      </c>
      <c r="B22" s="73"/>
      <c r="C22" s="72"/>
      <c r="D22" s="75"/>
      <c r="E22" s="75"/>
      <c r="F22" s="90">
        <f t="shared" si="59"/>
        <v>0</v>
      </c>
      <c r="G22" s="75"/>
      <c r="H22" s="75"/>
      <c r="I22" s="90">
        <f t="shared" si="60"/>
        <v>0</v>
      </c>
      <c r="J22" s="75"/>
      <c r="K22" s="75"/>
      <c r="L22" s="90">
        <f t="shared" si="61"/>
        <v>0</v>
      </c>
      <c r="M22" s="75"/>
      <c r="N22" s="75"/>
      <c r="O22" s="90">
        <f t="shared" si="62"/>
        <v>0</v>
      </c>
      <c r="P22" s="75"/>
      <c r="Q22" s="75"/>
      <c r="R22" s="90">
        <f t="shared" si="63"/>
        <v>0</v>
      </c>
      <c r="S22" s="75"/>
      <c r="T22" s="75"/>
      <c r="U22" s="90">
        <f t="shared" si="64"/>
        <v>0</v>
      </c>
      <c r="V22" s="75"/>
      <c r="W22" s="75"/>
      <c r="X22" s="90">
        <f t="shared" si="65"/>
        <v>0</v>
      </c>
      <c r="Y22" s="90"/>
      <c r="Z22" s="90"/>
      <c r="AA22" s="90"/>
      <c r="AB22" s="90">
        <f t="shared" si="66"/>
        <v>0</v>
      </c>
      <c r="AC22" s="91"/>
      <c r="AD22" s="76"/>
      <c r="AE22" s="92">
        <f t="shared" si="67"/>
        <v>0</v>
      </c>
      <c r="AF22" s="76"/>
      <c r="AG22" s="92">
        <f t="shared" si="68"/>
        <v>0</v>
      </c>
      <c r="AH22" s="76"/>
      <c r="AI22" s="92">
        <f t="shared" si="69"/>
        <v>0</v>
      </c>
      <c r="AJ22" s="76"/>
      <c r="AK22" s="92">
        <f t="shared" si="70"/>
        <v>0</v>
      </c>
      <c r="AL22" s="76"/>
      <c r="AM22" s="92">
        <f t="shared" si="71"/>
        <v>0</v>
      </c>
      <c r="AN22" s="76"/>
      <c r="AO22" s="92">
        <f t="shared" si="72"/>
        <v>0</v>
      </c>
      <c r="AP22" s="93">
        <f t="shared" si="73"/>
        <v>0</v>
      </c>
      <c r="AQ22" s="76"/>
      <c r="AR22" s="76"/>
      <c r="AS22" s="76"/>
      <c r="AT22" s="44">
        <f t="shared" si="74"/>
        <v>0</v>
      </c>
      <c r="AU22" s="76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58"/>
        <v>0</v>
      </c>
      <c r="BE22" s="5">
        <f t="shared" si="28"/>
        <v>0</v>
      </c>
      <c r="BF22" s="5">
        <f t="shared" si="29"/>
        <v>0</v>
      </c>
      <c r="BG22" s="5">
        <f t="shared" si="30"/>
        <v>0</v>
      </c>
      <c r="BH22" s="5">
        <f t="shared" si="31"/>
        <v>0</v>
      </c>
      <c r="BI22" s="5">
        <f t="shared" si="32"/>
        <v>0</v>
      </c>
      <c r="BJ22" s="5">
        <f t="shared" si="33"/>
        <v>0</v>
      </c>
      <c r="BK22" s="5">
        <f t="shared" si="34"/>
        <v>0</v>
      </c>
      <c r="BL22" s="5">
        <f t="shared" si="35"/>
        <v>0</v>
      </c>
      <c r="BM22" s="5">
        <f t="shared" si="36"/>
        <v>0</v>
      </c>
      <c r="BN22" s="5">
        <f t="shared" si="37"/>
        <v>0</v>
      </c>
      <c r="BO22" s="5">
        <f t="shared" si="38"/>
        <v>0</v>
      </c>
      <c r="BP22" s="5">
        <f t="shared" si="39"/>
        <v>0</v>
      </c>
      <c r="BQ22" s="5">
        <f t="shared" si="40"/>
        <v>0</v>
      </c>
      <c r="BR22" s="5">
        <f t="shared" si="41"/>
        <v>0</v>
      </c>
      <c r="BS22" s="5">
        <f t="shared" si="42"/>
        <v>0</v>
      </c>
      <c r="BT22" s="5">
        <f t="shared" si="43"/>
        <v>0</v>
      </c>
      <c r="BU22" s="5">
        <f t="shared" si="44"/>
        <v>0</v>
      </c>
      <c r="BV22" s="5">
        <f t="shared" si="45"/>
        <v>0</v>
      </c>
      <c r="BW22" s="5">
        <f t="shared" si="46"/>
        <v>0</v>
      </c>
      <c r="BX22" s="5">
        <f t="shared" si="47"/>
        <v>0</v>
      </c>
      <c r="BY22" s="5">
        <f t="shared" si="11"/>
        <v>0</v>
      </c>
      <c r="BZ22" s="5">
        <f t="shared" si="48"/>
        <v>0</v>
      </c>
      <c r="CA22" s="5">
        <f t="shared" si="49"/>
        <v>0</v>
      </c>
      <c r="CB22" s="5">
        <f t="shared" si="50"/>
        <v>0</v>
      </c>
      <c r="CC22" s="5">
        <f t="shared" si="51"/>
        <v>0</v>
      </c>
      <c r="CD22" s="5">
        <f t="shared" si="52"/>
        <v>0</v>
      </c>
      <c r="CE22" s="5">
        <f t="shared" si="53"/>
        <v>0</v>
      </c>
      <c r="CF22" s="5">
        <f t="shared" si="54"/>
        <v>0</v>
      </c>
      <c r="CG22" s="5">
        <f t="shared" si="55"/>
        <v>0</v>
      </c>
      <c r="CH22" s="5">
        <f t="shared" si="56"/>
        <v>0</v>
      </c>
      <c r="CI22" s="5">
        <f t="shared" si="57"/>
        <v>0</v>
      </c>
      <c r="CJ22" s="5"/>
      <c r="CK22" s="4">
        <f t="shared" si="14"/>
        <v>0</v>
      </c>
    </row>
    <row r="23" spans="1:89" ht="38" customHeight="1">
      <c r="A23" s="74" t="str">
        <f t="shared" si="0"/>
        <v/>
      </c>
      <c r="B23" s="73"/>
      <c r="C23" s="72"/>
      <c r="D23" s="75"/>
      <c r="E23" s="75"/>
      <c r="F23" s="90">
        <f t="shared" si="59"/>
        <v>0</v>
      </c>
      <c r="G23" s="75"/>
      <c r="H23" s="75"/>
      <c r="I23" s="90">
        <f t="shared" si="60"/>
        <v>0</v>
      </c>
      <c r="J23" s="100"/>
      <c r="K23" s="75"/>
      <c r="L23" s="90">
        <f t="shared" si="61"/>
        <v>0</v>
      </c>
      <c r="M23" s="75"/>
      <c r="N23" s="75"/>
      <c r="O23" s="90">
        <f t="shared" si="62"/>
        <v>0</v>
      </c>
      <c r="P23" s="75"/>
      <c r="Q23" s="75"/>
      <c r="R23" s="90">
        <f t="shared" si="63"/>
        <v>0</v>
      </c>
      <c r="S23" s="75"/>
      <c r="T23" s="75"/>
      <c r="U23" s="90">
        <f t="shared" si="64"/>
        <v>0</v>
      </c>
      <c r="V23" s="75"/>
      <c r="W23" s="75"/>
      <c r="X23" s="90">
        <f t="shared" si="65"/>
        <v>0</v>
      </c>
      <c r="Y23" s="90"/>
      <c r="Z23" s="90"/>
      <c r="AA23" s="90"/>
      <c r="AB23" s="90">
        <f t="shared" si="66"/>
        <v>0</v>
      </c>
      <c r="AC23" s="91"/>
      <c r="AD23" s="76"/>
      <c r="AE23" s="92">
        <f t="shared" si="67"/>
        <v>0</v>
      </c>
      <c r="AF23" s="76"/>
      <c r="AG23" s="92">
        <f t="shared" si="68"/>
        <v>0</v>
      </c>
      <c r="AH23" s="76"/>
      <c r="AI23" s="92">
        <f t="shared" si="69"/>
        <v>0</v>
      </c>
      <c r="AJ23" s="76"/>
      <c r="AK23" s="92">
        <f t="shared" si="70"/>
        <v>0</v>
      </c>
      <c r="AL23" s="76"/>
      <c r="AM23" s="92">
        <f t="shared" si="71"/>
        <v>0</v>
      </c>
      <c r="AN23" s="76"/>
      <c r="AO23" s="92">
        <f t="shared" si="72"/>
        <v>0</v>
      </c>
      <c r="AP23" s="93">
        <f t="shared" si="73"/>
        <v>0</v>
      </c>
      <c r="AQ23" s="76"/>
      <c r="AR23" s="76"/>
      <c r="AS23" s="76"/>
      <c r="AT23" s="44">
        <f t="shared" si="74"/>
        <v>0</v>
      </c>
      <c r="AU23" s="76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58"/>
        <v>0</v>
      </c>
      <c r="BE23" s="5">
        <f t="shared" si="28"/>
        <v>0</v>
      </c>
      <c r="BF23" s="5">
        <f t="shared" si="29"/>
        <v>0</v>
      </c>
      <c r="BG23" s="5">
        <f t="shared" si="30"/>
        <v>0</v>
      </c>
      <c r="BH23" s="5">
        <f t="shared" si="31"/>
        <v>0</v>
      </c>
      <c r="BI23" s="5">
        <f t="shared" si="32"/>
        <v>0</v>
      </c>
      <c r="BJ23" s="5">
        <f t="shared" si="33"/>
        <v>0</v>
      </c>
      <c r="BK23" s="5">
        <f t="shared" si="34"/>
        <v>0</v>
      </c>
      <c r="BL23" s="5">
        <f t="shared" si="35"/>
        <v>0</v>
      </c>
      <c r="BM23" s="5">
        <f t="shared" si="36"/>
        <v>0</v>
      </c>
      <c r="BN23" s="5">
        <f t="shared" si="37"/>
        <v>0</v>
      </c>
      <c r="BO23" s="5">
        <f t="shared" si="38"/>
        <v>0</v>
      </c>
      <c r="BP23" s="5">
        <f t="shared" si="39"/>
        <v>0</v>
      </c>
      <c r="BQ23" s="5">
        <f t="shared" si="40"/>
        <v>0</v>
      </c>
      <c r="BR23" s="5">
        <f t="shared" si="41"/>
        <v>0</v>
      </c>
      <c r="BS23" s="5">
        <f t="shared" si="42"/>
        <v>0</v>
      </c>
      <c r="BT23" s="5">
        <f t="shared" si="43"/>
        <v>0</v>
      </c>
      <c r="BU23" s="5">
        <f t="shared" si="44"/>
        <v>0</v>
      </c>
      <c r="BV23" s="5">
        <f t="shared" si="45"/>
        <v>0</v>
      </c>
      <c r="BW23" s="5">
        <f t="shared" si="46"/>
        <v>0</v>
      </c>
      <c r="BX23" s="5">
        <f t="shared" si="47"/>
        <v>0</v>
      </c>
      <c r="BY23" s="5">
        <f t="shared" si="11"/>
        <v>0</v>
      </c>
      <c r="BZ23" s="5">
        <f t="shared" si="48"/>
        <v>0</v>
      </c>
      <c r="CA23" s="5">
        <f t="shared" si="49"/>
        <v>0</v>
      </c>
      <c r="CB23" s="5">
        <f t="shared" si="50"/>
        <v>0</v>
      </c>
      <c r="CC23" s="5">
        <f t="shared" si="51"/>
        <v>0</v>
      </c>
      <c r="CD23" s="5">
        <f t="shared" si="52"/>
        <v>0</v>
      </c>
      <c r="CE23" s="5">
        <f t="shared" si="53"/>
        <v>0</v>
      </c>
      <c r="CF23" s="5">
        <f t="shared" si="54"/>
        <v>0</v>
      </c>
      <c r="CG23" s="5">
        <f t="shared" si="55"/>
        <v>0</v>
      </c>
      <c r="CH23" s="5">
        <f t="shared" si="56"/>
        <v>0</v>
      </c>
      <c r="CI23" s="5">
        <f t="shared" si="57"/>
        <v>0</v>
      </c>
      <c r="CJ23" s="5"/>
      <c r="CK23" s="4">
        <f t="shared" si="14"/>
        <v>0</v>
      </c>
    </row>
    <row r="24" spans="1:89" ht="38" customHeight="1">
      <c r="A24" s="74" t="str">
        <f t="shared" si="0"/>
        <v/>
      </c>
      <c r="B24" s="73"/>
      <c r="C24" s="72"/>
      <c r="D24" s="75"/>
      <c r="E24" s="75"/>
      <c r="F24" s="90">
        <f t="shared" si="59"/>
        <v>0</v>
      </c>
      <c r="G24" s="75"/>
      <c r="H24" s="75"/>
      <c r="I24" s="90">
        <f t="shared" si="60"/>
        <v>0</v>
      </c>
      <c r="J24" s="100"/>
      <c r="K24" s="75"/>
      <c r="L24" s="90">
        <f t="shared" si="61"/>
        <v>0</v>
      </c>
      <c r="M24" s="75"/>
      <c r="N24" s="75"/>
      <c r="O24" s="90">
        <f t="shared" si="62"/>
        <v>0</v>
      </c>
      <c r="P24" s="75"/>
      <c r="Q24" s="75"/>
      <c r="R24" s="90">
        <f t="shared" si="63"/>
        <v>0</v>
      </c>
      <c r="S24" s="75"/>
      <c r="T24" s="75"/>
      <c r="U24" s="90">
        <f t="shared" si="64"/>
        <v>0</v>
      </c>
      <c r="V24" s="75"/>
      <c r="W24" s="75"/>
      <c r="X24" s="90">
        <f t="shared" si="65"/>
        <v>0</v>
      </c>
      <c r="Y24" s="90"/>
      <c r="Z24" s="90"/>
      <c r="AA24" s="90"/>
      <c r="AB24" s="90">
        <f t="shared" si="66"/>
        <v>0</v>
      </c>
      <c r="AC24" s="91"/>
      <c r="AD24" s="76"/>
      <c r="AE24" s="92">
        <f t="shared" si="67"/>
        <v>0</v>
      </c>
      <c r="AF24" s="76"/>
      <c r="AG24" s="92">
        <f t="shared" si="68"/>
        <v>0</v>
      </c>
      <c r="AH24" s="76"/>
      <c r="AI24" s="92">
        <f t="shared" si="69"/>
        <v>0</v>
      </c>
      <c r="AJ24" s="76"/>
      <c r="AK24" s="92">
        <f t="shared" si="70"/>
        <v>0</v>
      </c>
      <c r="AL24" s="76"/>
      <c r="AM24" s="92">
        <f t="shared" si="71"/>
        <v>0</v>
      </c>
      <c r="AN24" s="76"/>
      <c r="AO24" s="92">
        <f t="shared" si="72"/>
        <v>0</v>
      </c>
      <c r="AP24" s="93">
        <f t="shared" si="73"/>
        <v>0</v>
      </c>
      <c r="AQ24" s="76"/>
      <c r="AR24" s="76"/>
      <c r="AS24" s="76"/>
      <c r="AT24" s="44">
        <f t="shared" si="74"/>
        <v>0</v>
      </c>
      <c r="AU24" s="76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58"/>
        <v>0</v>
      </c>
      <c r="BE24" s="5">
        <f t="shared" si="28"/>
        <v>0</v>
      </c>
      <c r="BF24" s="5">
        <f t="shared" si="29"/>
        <v>0</v>
      </c>
      <c r="BG24" s="5">
        <f t="shared" si="30"/>
        <v>0</v>
      </c>
      <c r="BH24" s="5">
        <f t="shared" si="31"/>
        <v>0</v>
      </c>
      <c r="BI24" s="5">
        <f t="shared" si="32"/>
        <v>0</v>
      </c>
      <c r="BJ24" s="5">
        <f t="shared" si="33"/>
        <v>0</v>
      </c>
      <c r="BK24" s="5">
        <f t="shared" si="34"/>
        <v>0</v>
      </c>
      <c r="BL24" s="5">
        <f t="shared" si="35"/>
        <v>0</v>
      </c>
      <c r="BM24" s="5">
        <f t="shared" si="36"/>
        <v>0</v>
      </c>
      <c r="BN24" s="5">
        <f t="shared" si="37"/>
        <v>0</v>
      </c>
      <c r="BO24" s="5">
        <f t="shared" si="38"/>
        <v>0</v>
      </c>
      <c r="BP24" s="5">
        <f t="shared" si="39"/>
        <v>0</v>
      </c>
      <c r="BQ24" s="5">
        <f t="shared" si="40"/>
        <v>0</v>
      </c>
      <c r="BR24" s="5">
        <f t="shared" si="41"/>
        <v>0</v>
      </c>
      <c r="BS24" s="5">
        <f t="shared" si="42"/>
        <v>0</v>
      </c>
      <c r="BT24" s="5">
        <f t="shared" si="43"/>
        <v>0</v>
      </c>
      <c r="BU24" s="5">
        <f t="shared" si="44"/>
        <v>0</v>
      </c>
      <c r="BV24" s="5">
        <f t="shared" si="45"/>
        <v>0</v>
      </c>
      <c r="BW24" s="5">
        <f t="shared" si="46"/>
        <v>0</v>
      </c>
      <c r="BX24" s="5">
        <f t="shared" si="47"/>
        <v>0</v>
      </c>
      <c r="BY24" s="5">
        <f t="shared" si="11"/>
        <v>0</v>
      </c>
      <c r="BZ24" s="5">
        <f t="shared" si="48"/>
        <v>0</v>
      </c>
      <c r="CA24" s="5">
        <f t="shared" si="49"/>
        <v>0</v>
      </c>
      <c r="CB24" s="5">
        <f t="shared" si="50"/>
        <v>0</v>
      </c>
      <c r="CC24" s="5">
        <f t="shared" si="51"/>
        <v>0</v>
      </c>
      <c r="CD24" s="5">
        <f t="shared" si="52"/>
        <v>0</v>
      </c>
      <c r="CE24" s="5">
        <f t="shared" si="53"/>
        <v>0</v>
      </c>
      <c r="CF24" s="5">
        <f t="shared" si="54"/>
        <v>0</v>
      </c>
      <c r="CG24" s="5">
        <f t="shared" si="55"/>
        <v>0</v>
      </c>
      <c r="CH24" s="5">
        <f t="shared" si="56"/>
        <v>0</v>
      </c>
      <c r="CI24" s="5">
        <f t="shared" si="57"/>
        <v>0</v>
      </c>
      <c r="CJ24" s="5"/>
      <c r="CK24" s="4">
        <f t="shared" si="14"/>
        <v>0</v>
      </c>
    </row>
    <row r="25" spans="1:89" ht="38" customHeight="1">
      <c r="A25" s="74" t="str">
        <f t="shared" si="0"/>
        <v/>
      </c>
      <c r="B25" s="73"/>
      <c r="C25" s="72"/>
      <c r="D25" s="75"/>
      <c r="E25" s="75"/>
      <c r="F25" s="90">
        <f t="shared" si="59"/>
        <v>0</v>
      </c>
      <c r="G25" s="75"/>
      <c r="H25" s="75"/>
      <c r="I25" s="90">
        <f t="shared" si="60"/>
        <v>0</v>
      </c>
      <c r="J25" s="100"/>
      <c r="K25" s="75"/>
      <c r="L25" s="90">
        <f t="shared" si="61"/>
        <v>0</v>
      </c>
      <c r="M25" s="75"/>
      <c r="N25" s="75"/>
      <c r="O25" s="90">
        <f t="shared" si="62"/>
        <v>0</v>
      </c>
      <c r="P25" s="75"/>
      <c r="Q25" s="75"/>
      <c r="R25" s="90">
        <f t="shared" si="63"/>
        <v>0</v>
      </c>
      <c r="S25" s="75"/>
      <c r="T25" s="75"/>
      <c r="U25" s="90">
        <f t="shared" si="64"/>
        <v>0</v>
      </c>
      <c r="V25" s="75"/>
      <c r="W25" s="75"/>
      <c r="X25" s="90">
        <f t="shared" si="65"/>
        <v>0</v>
      </c>
      <c r="Y25" s="90"/>
      <c r="Z25" s="90"/>
      <c r="AA25" s="90"/>
      <c r="AB25" s="90">
        <f t="shared" si="66"/>
        <v>0</v>
      </c>
      <c r="AC25" s="91"/>
      <c r="AD25" s="76"/>
      <c r="AE25" s="92">
        <f t="shared" si="67"/>
        <v>0</v>
      </c>
      <c r="AF25" s="76"/>
      <c r="AG25" s="92">
        <f t="shared" si="68"/>
        <v>0</v>
      </c>
      <c r="AH25" s="76"/>
      <c r="AI25" s="92">
        <f t="shared" si="69"/>
        <v>0</v>
      </c>
      <c r="AJ25" s="76"/>
      <c r="AK25" s="92">
        <f t="shared" si="70"/>
        <v>0</v>
      </c>
      <c r="AL25" s="76"/>
      <c r="AM25" s="92">
        <f t="shared" si="71"/>
        <v>0</v>
      </c>
      <c r="AN25" s="76"/>
      <c r="AO25" s="92">
        <f t="shared" si="72"/>
        <v>0</v>
      </c>
      <c r="AP25" s="93">
        <f t="shared" si="73"/>
        <v>0</v>
      </c>
      <c r="AQ25" s="76"/>
      <c r="AR25" s="76"/>
      <c r="AS25" s="76"/>
      <c r="AT25" s="44">
        <f t="shared" si="74"/>
        <v>0</v>
      </c>
      <c r="AU25" s="76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58"/>
        <v>0</v>
      </c>
      <c r="BE25" s="5">
        <f t="shared" si="28"/>
        <v>0</v>
      </c>
      <c r="BF25" s="5">
        <f t="shared" si="29"/>
        <v>0</v>
      </c>
      <c r="BG25" s="5">
        <f t="shared" si="30"/>
        <v>0</v>
      </c>
      <c r="BH25" s="5">
        <f t="shared" si="31"/>
        <v>0</v>
      </c>
      <c r="BI25" s="5">
        <f t="shared" si="32"/>
        <v>0</v>
      </c>
      <c r="BJ25" s="5">
        <f t="shared" si="33"/>
        <v>0</v>
      </c>
      <c r="BK25" s="5">
        <f t="shared" si="34"/>
        <v>0</v>
      </c>
      <c r="BL25" s="5">
        <f t="shared" si="35"/>
        <v>0</v>
      </c>
      <c r="BM25" s="5">
        <f t="shared" si="36"/>
        <v>0</v>
      </c>
      <c r="BN25" s="5">
        <f t="shared" si="37"/>
        <v>0</v>
      </c>
      <c r="BO25" s="5">
        <f t="shared" si="38"/>
        <v>0</v>
      </c>
      <c r="BP25" s="5">
        <f t="shared" si="39"/>
        <v>0</v>
      </c>
      <c r="BQ25" s="5">
        <f t="shared" si="40"/>
        <v>0</v>
      </c>
      <c r="BR25" s="5">
        <f t="shared" si="41"/>
        <v>0</v>
      </c>
      <c r="BS25" s="5">
        <f t="shared" si="42"/>
        <v>0</v>
      </c>
      <c r="BT25" s="5">
        <f t="shared" si="43"/>
        <v>0</v>
      </c>
      <c r="BU25" s="5">
        <f t="shared" si="44"/>
        <v>0</v>
      </c>
      <c r="BV25" s="5">
        <f t="shared" si="45"/>
        <v>0</v>
      </c>
      <c r="BW25" s="5">
        <f t="shared" si="46"/>
        <v>0</v>
      </c>
      <c r="BX25" s="5">
        <f t="shared" si="47"/>
        <v>0</v>
      </c>
      <c r="BY25" s="5">
        <f t="shared" si="11"/>
        <v>0</v>
      </c>
      <c r="BZ25" s="5">
        <f t="shared" si="48"/>
        <v>0</v>
      </c>
      <c r="CA25" s="5">
        <f t="shared" si="49"/>
        <v>0</v>
      </c>
      <c r="CB25" s="5">
        <f t="shared" si="50"/>
        <v>0</v>
      </c>
      <c r="CC25" s="5">
        <f t="shared" si="51"/>
        <v>0</v>
      </c>
      <c r="CD25" s="5">
        <f t="shared" si="52"/>
        <v>0</v>
      </c>
      <c r="CE25" s="5">
        <f t="shared" si="53"/>
        <v>0</v>
      </c>
      <c r="CF25" s="5">
        <f t="shared" si="54"/>
        <v>0</v>
      </c>
      <c r="CG25" s="5">
        <f t="shared" si="55"/>
        <v>0</v>
      </c>
      <c r="CH25" s="5">
        <f t="shared" si="56"/>
        <v>0</v>
      </c>
      <c r="CI25" s="5">
        <f t="shared" si="57"/>
        <v>0</v>
      </c>
      <c r="CJ25" s="5"/>
      <c r="CK25" s="4">
        <f t="shared" si="14"/>
        <v>0</v>
      </c>
    </row>
    <row r="26" spans="1:89" ht="38" customHeight="1">
      <c r="A26" s="74" t="str">
        <f t="shared" si="0"/>
        <v/>
      </c>
      <c r="B26" s="73"/>
      <c r="C26" s="72"/>
      <c r="D26" s="75"/>
      <c r="E26" s="75"/>
      <c r="F26" s="90">
        <f t="shared" si="59"/>
        <v>0</v>
      </c>
      <c r="G26" s="75"/>
      <c r="H26" s="75"/>
      <c r="I26" s="90">
        <f t="shared" si="60"/>
        <v>0</v>
      </c>
      <c r="J26" s="100"/>
      <c r="K26" s="75"/>
      <c r="L26" s="90">
        <f t="shared" si="61"/>
        <v>0</v>
      </c>
      <c r="M26" s="75"/>
      <c r="N26" s="75"/>
      <c r="O26" s="90">
        <f t="shared" si="62"/>
        <v>0</v>
      </c>
      <c r="P26" s="75"/>
      <c r="Q26" s="75"/>
      <c r="R26" s="90">
        <f t="shared" si="63"/>
        <v>0</v>
      </c>
      <c r="S26" s="75"/>
      <c r="T26" s="75"/>
      <c r="U26" s="90">
        <f t="shared" si="64"/>
        <v>0</v>
      </c>
      <c r="V26" s="75"/>
      <c r="W26" s="75"/>
      <c r="X26" s="90">
        <f t="shared" si="65"/>
        <v>0</v>
      </c>
      <c r="Y26" s="90"/>
      <c r="Z26" s="90"/>
      <c r="AA26" s="90"/>
      <c r="AB26" s="90">
        <f t="shared" si="66"/>
        <v>0</v>
      </c>
      <c r="AC26" s="91"/>
      <c r="AD26" s="76"/>
      <c r="AE26" s="92">
        <f t="shared" si="67"/>
        <v>0</v>
      </c>
      <c r="AF26" s="76"/>
      <c r="AG26" s="92">
        <f t="shared" si="68"/>
        <v>0</v>
      </c>
      <c r="AH26" s="76"/>
      <c r="AI26" s="92">
        <f t="shared" si="69"/>
        <v>0</v>
      </c>
      <c r="AJ26" s="76"/>
      <c r="AK26" s="92">
        <f t="shared" si="70"/>
        <v>0</v>
      </c>
      <c r="AL26" s="76"/>
      <c r="AM26" s="92">
        <f t="shared" si="71"/>
        <v>0</v>
      </c>
      <c r="AN26" s="76"/>
      <c r="AO26" s="92">
        <f t="shared" si="72"/>
        <v>0</v>
      </c>
      <c r="AP26" s="93">
        <f t="shared" si="73"/>
        <v>0</v>
      </c>
      <c r="AQ26" s="76"/>
      <c r="AR26" s="76"/>
      <c r="AS26" s="76"/>
      <c r="AT26" s="44">
        <f t="shared" si="74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58"/>
        <v>0</v>
      </c>
      <c r="BE26" s="5">
        <f t="shared" si="28"/>
        <v>0</v>
      </c>
      <c r="BF26" s="5">
        <f t="shared" si="29"/>
        <v>0</v>
      </c>
      <c r="BG26" s="5">
        <f t="shared" si="30"/>
        <v>0</v>
      </c>
      <c r="BH26" s="5">
        <f t="shared" si="31"/>
        <v>0</v>
      </c>
      <c r="BI26" s="5">
        <f t="shared" si="32"/>
        <v>0</v>
      </c>
      <c r="BJ26" s="5">
        <f t="shared" si="33"/>
        <v>0</v>
      </c>
      <c r="BK26" s="5">
        <f t="shared" si="34"/>
        <v>0</v>
      </c>
      <c r="BL26" s="5">
        <f t="shared" si="35"/>
        <v>0</v>
      </c>
      <c r="BM26" s="5">
        <f t="shared" si="36"/>
        <v>0</v>
      </c>
      <c r="BN26" s="5">
        <f t="shared" si="37"/>
        <v>0</v>
      </c>
      <c r="BO26" s="5">
        <f t="shared" si="38"/>
        <v>0</v>
      </c>
      <c r="BP26" s="5">
        <f t="shared" si="39"/>
        <v>0</v>
      </c>
      <c r="BQ26" s="5">
        <f t="shared" si="40"/>
        <v>0</v>
      </c>
      <c r="BR26" s="5">
        <f t="shared" si="41"/>
        <v>0</v>
      </c>
      <c r="BS26" s="5">
        <f t="shared" si="42"/>
        <v>0</v>
      </c>
      <c r="BT26" s="5">
        <f t="shared" si="43"/>
        <v>0</v>
      </c>
      <c r="BU26" s="5">
        <f t="shared" si="44"/>
        <v>0</v>
      </c>
      <c r="BV26" s="5">
        <f t="shared" si="45"/>
        <v>0</v>
      </c>
      <c r="BW26" s="5">
        <f t="shared" si="46"/>
        <v>0</v>
      </c>
      <c r="BX26" s="5">
        <f t="shared" si="47"/>
        <v>0</v>
      </c>
      <c r="BY26" s="5">
        <f t="shared" si="11"/>
        <v>0</v>
      </c>
      <c r="BZ26" s="5">
        <f t="shared" si="48"/>
        <v>0</v>
      </c>
      <c r="CA26" s="5">
        <f t="shared" si="49"/>
        <v>0</v>
      </c>
      <c r="CB26" s="5">
        <f t="shared" si="50"/>
        <v>0</v>
      </c>
      <c r="CC26" s="5">
        <f t="shared" si="51"/>
        <v>0</v>
      </c>
      <c r="CD26" s="5">
        <f t="shared" si="52"/>
        <v>0</v>
      </c>
      <c r="CE26" s="5">
        <f t="shared" si="53"/>
        <v>0</v>
      </c>
      <c r="CF26" s="5">
        <f t="shared" si="54"/>
        <v>0</v>
      </c>
      <c r="CG26" s="5">
        <f t="shared" si="55"/>
        <v>0</v>
      </c>
      <c r="CH26" s="5">
        <f t="shared" si="56"/>
        <v>0</v>
      </c>
      <c r="CI26" s="5">
        <f t="shared" si="57"/>
        <v>0</v>
      </c>
      <c r="CJ26" s="5"/>
      <c r="CK26" s="4">
        <f t="shared" si="14"/>
        <v>0</v>
      </c>
    </row>
    <row r="27" spans="1:89" ht="38" customHeight="1">
      <c r="A27" s="74" t="str">
        <f t="shared" si="0"/>
        <v/>
      </c>
      <c r="B27" s="73"/>
      <c r="C27" s="72"/>
      <c r="D27" s="75"/>
      <c r="E27" s="75"/>
      <c r="F27" s="90">
        <f t="shared" si="59"/>
        <v>0</v>
      </c>
      <c r="G27" s="75"/>
      <c r="H27" s="75"/>
      <c r="I27" s="90">
        <f t="shared" si="60"/>
        <v>0</v>
      </c>
      <c r="J27" s="100"/>
      <c r="K27" s="75"/>
      <c r="L27" s="90">
        <f t="shared" si="61"/>
        <v>0</v>
      </c>
      <c r="M27" s="75"/>
      <c r="N27" s="75"/>
      <c r="O27" s="90">
        <f t="shared" si="62"/>
        <v>0</v>
      </c>
      <c r="P27" s="75"/>
      <c r="Q27" s="75"/>
      <c r="R27" s="90">
        <f t="shared" si="63"/>
        <v>0</v>
      </c>
      <c r="S27" s="75"/>
      <c r="T27" s="75"/>
      <c r="U27" s="90">
        <f t="shared" si="64"/>
        <v>0</v>
      </c>
      <c r="V27" s="75"/>
      <c r="W27" s="75"/>
      <c r="X27" s="90">
        <f t="shared" si="65"/>
        <v>0</v>
      </c>
      <c r="Y27" s="90"/>
      <c r="Z27" s="90"/>
      <c r="AA27" s="90"/>
      <c r="AB27" s="90">
        <f t="shared" si="66"/>
        <v>0</v>
      </c>
      <c r="AC27" s="91"/>
      <c r="AD27" s="76"/>
      <c r="AE27" s="92">
        <f t="shared" si="67"/>
        <v>0</v>
      </c>
      <c r="AF27" s="76"/>
      <c r="AG27" s="92">
        <f t="shared" si="68"/>
        <v>0</v>
      </c>
      <c r="AH27" s="76"/>
      <c r="AI27" s="92">
        <f t="shared" si="69"/>
        <v>0</v>
      </c>
      <c r="AJ27" s="76"/>
      <c r="AK27" s="92">
        <f t="shared" si="70"/>
        <v>0</v>
      </c>
      <c r="AL27" s="76"/>
      <c r="AM27" s="92">
        <f t="shared" si="71"/>
        <v>0</v>
      </c>
      <c r="AN27" s="76"/>
      <c r="AO27" s="92">
        <f t="shared" si="72"/>
        <v>0</v>
      </c>
      <c r="AP27" s="93">
        <f t="shared" si="73"/>
        <v>0</v>
      </c>
      <c r="AQ27" s="76"/>
      <c r="AR27" s="76"/>
      <c r="AS27" s="76"/>
      <c r="AT27" s="44">
        <f t="shared" si="74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58"/>
        <v>0</v>
      </c>
      <c r="BE27" s="5">
        <f t="shared" si="28"/>
        <v>0</v>
      </c>
      <c r="BF27" s="5">
        <f t="shared" si="29"/>
        <v>0</v>
      </c>
      <c r="BG27" s="5">
        <f t="shared" si="30"/>
        <v>0</v>
      </c>
      <c r="BH27" s="5">
        <f t="shared" si="31"/>
        <v>0</v>
      </c>
      <c r="BI27" s="5">
        <f t="shared" si="32"/>
        <v>0</v>
      </c>
      <c r="BJ27" s="5">
        <f t="shared" si="33"/>
        <v>0</v>
      </c>
      <c r="BK27" s="5">
        <f t="shared" si="34"/>
        <v>0</v>
      </c>
      <c r="BL27" s="5">
        <f t="shared" si="35"/>
        <v>0</v>
      </c>
      <c r="BM27" s="5">
        <f t="shared" si="36"/>
        <v>0</v>
      </c>
      <c r="BN27" s="5">
        <f t="shared" si="37"/>
        <v>0</v>
      </c>
      <c r="BO27" s="5">
        <f t="shared" si="38"/>
        <v>0</v>
      </c>
      <c r="BP27" s="5">
        <f t="shared" si="39"/>
        <v>0</v>
      </c>
      <c r="BQ27" s="5">
        <f t="shared" si="40"/>
        <v>0</v>
      </c>
      <c r="BR27" s="5">
        <f t="shared" si="41"/>
        <v>0</v>
      </c>
      <c r="BS27" s="5">
        <f t="shared" si="42"/>
        <v>0</v>
      </c>
      <c r="BT27" s="5">
        <f t="shared" si="43"/>
        <v>0</v>
      </c>
      <c r="BU27" s="5">
        <f t="shared" si="44"/>
        <v>0</v>
      </c>
      <c r="BV27" s="5">
        <f t="shared" si="45"/>
        <v>0</v>
      </c>
      <c r="BW27" s="5">
        <f t="shared" si="46"/>
        <v>0</v>
      </c>
      <c r="BX27" s="5">
        <f t="shared" si="47"/>
        <v>0</v>
      </c>
      <c r="BY27" s="5">
        <f t="shared" si="11"/>
        <v>0</v>
      </c>
      <c r="BZ27" s="5">
        <f t="shared" si="48"/>
        <v>0</v>
      </c>
      <c r="CA27" s="5">
        <f t="shared" si="49"/>
        <v>0</v>
      </c>
      <c r="CB27" s="5">
        <f t="shared" si="50"/>
        <v>0</v>
      </c>
      <c r="CC27" s="5">
        <f t="shared" si="51"/>
        <v>0</v>
      </c>
      <c r="CD27" s="5">
        <f t="shared" si="52"/>
        <v>0</v>
      </c>
      <c r="CE27" s="5">
        <f t="shared" si="53"/>
        <v>0</v>
      </c>
      <c r="CF27" s="5">
        <f t="shared" si="54"/>
        <v>0</v>
      </c>
      <c r="CG27" s="5">
        <f t="shared" si="55"/>
        <v>0</v>
      </c>
      <c r="CH27" s="5">
        <f t="shared" si="56"/>
        <v>0</v>
      </c>
      <c r="CI27" s="5">
        <f t="shared" si="57"/>
        <v>0</v>
      </c>
      <c r="CJ27" s="5"/>
      <c r="CK27" s="4">
        <f t="shared" si="14"/>
        <v>0</v>
      </c>
    </row>
    <row r="28" spans="1:89" ht="38" customHeight="1">
      <c r="A28" s="74" t="str">
        <f t="shared" si="0"/>
        <v/>
      </c>
      <c r="B28" s="73"/>
      <c r="C28" s="72"/>
      <c r="D28" s="75"/>
      <c r="E28" s="75"/>
      <c r="F28" s="90">
        <f t="shared" si="59"/>
        <v>0</v>
      </c>
      <c r="G28" s="75"/>
      <c r="H28" s="75"/>
      <c r="I28" s="90">
        <f t="shared" si="60"/>
        <v>0</v>
      </c>
      <c r="J28" s="100"/>
      <c r="K28" s="75"/>
      <c r="L28" s="90">
        <f t="shared" si="61"/>
        <v>0</v>
      </c>
      <c r="M28" s="75"/>
      <c r="N28" s="75"/>
      <c r="O28" s="90">
        <f t="shared" si="62"/>
        <v>0</v>
      </c>
      <c r="P28" s="75"/>
      <c r="Q28" s="75"/>
      <c r="R28" s="90">
        <f t="shared" si="63"/>
        <v>0</v>
      </c>
      <c r="S28" s="75"/>
      <c r="T28" s="75"/>
      <c r="U28" s="90">
        <f t="shared" si="64"/>
        <v>0</v>
      </c>
      <c r="V28" s="75"/>
      <c r="W28" s="75"/>
      <c r="X28" s="90">
        <f t="shared" si="65"/>
        <v>0</v>
      </c>
      <c r="Y28" s="90"/>
      <c r="Z28" s="90"/>
      <c r="AA28" s="90"/>
      <c r="AB28" s="90">
        <f t="shared" si="66"/>
        <v>0</v>
      </c>
      <c r="AC28" s="91"/>
      <c r="AD28" s="76"/>
      <c r="AE28" s="92">
        <f t="shared" si="67"/>
        <v>0</v>
      </c>
      <c r="AF28" s="76"/>
      <c r="AG28" s="92">
        <f t="shared" si="68"/>
        <v>0</v>
      </c>
      <c r="AH28" s="76"/>
      <c r="AI28" s="92">
        <f t="shared" si="69"/>
        <v>0</v>
      </c>
      <c r="AJ28" s="76"/>
      <c r="AK28" s="92">
        <f t="shared" si="70"/>
        <v>0</v>
      </c>
      <c r="AL28" s="76"/>
      <c r="AM28" s="92">
        <f t="shared" si="71"/>
        <v>0</v>
      </c>
      <c r="AN28" s="76"/>
      <c r="AO28" s="92">
        <f t="shared" si="72"/>
        <v>0</v>
      </c>
      <c r="AP28" s="93">
        <f t="shared" si="73"/>
        <v>0</v>
      </c>
      <c r="AQ28" s="76"/>
      <c r="AR28" s="76"/>
      <c r="AS28" s="76"/>
      <c r="AT28" s="44">
        <f t="shared" si="74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58"/>
        <v>0</v>
      </c>
      <c r="BE28" s="5">
        <f t="shared" si="28"/>
        <v>0</v>
      </c>
      <c r="BF28" s="5">
        <f t="shared" si="29"/>
        <v>0</v>
      </c>
      <c r="BG28" s="5">
        <f t="shared" si="30"/>
        <v>0</v>
      </c>
      <c r="BH28" s="5">
        <f t="shared" si="31"/>
        <v>0</v>
      </c>
      <c r="BI28" s="5">
        <f t="shared" si="32"/>
        <v>0</v>
      </c>
      <c r="BJ28" s="5">
        <f t="shared" si="33"/>
        <v>0</v>
      </c>
      <c r="BK28" s="5">
        <f t="shared" si="34"/>
        <v>0</v>
      </c>
      <c r="BL28" s="5">
        <f t="shared" si="35"/>
        <v>0</v>
      </c>
      <c r="BM28" s="5">
        <f t="shared" si="36"/>
        <v>0</v>
      </c>
      <c r="BN28" s="5">
        <f t="shared" si="37"/>
        <v>0</v>
      </c>
      <c r="BO28" s="5">
        <f t="shared" si="38"/>
        <v>0</v>
      </c>
      <c r="BP28" s="5">
        <f t="shared" si="39"/>
        <v>0</v>
      </c>
      <c r="BQ28" s="5">
        <f t="shared" si="40"/>
        <v>0</v>
      </c>
      <c r="BR28" s="5">
        <f t="shared" si="41"/>
        <v>0</v>
      </c>
      <c r="BS28" s="5">
        <f t="shared" si="42"/>
        <v>0</v>
      </c>
      <c r="BT28" s="5">
        <f t="shared" si="43"/>
        <v>0</v>
      </c>
      <c r="BU28" s="5">
        <f t="shared" si="44"/>
        <v>0</v>
      </c>
      <c r="BV28" s="5">
        <f t="shared" si="45"/>
        <v>0</v>
      </c>
      <c r="BW28" s="5">
        <f t="shared" si="46"/>
        <v>0</v>
      </c>
      <c r="BX28" s="5">
        <f t="shared" si="47"/>
        <v>0</v>
      </c>
      <c r="BY28" s="5">
        <f t="shared" si="11"/>
        <v>0</v>
      </c>
      <c r="BZ28" s="5">
        <f t="shared" si="48"/>
        <v>0</v>
      </c>
      <c r="CA28" s="5">
        <f t="shared" si="49"/>
        <v>0</v>
      </c>
      <c r="CB28" s="5">
        <f t="shared" si="50"/>
        <v>0</v>
      </c>
      <c r="CC28" s="5">
        <f t="shared" si="51"/>
        <v>0</v>
      </c>
      <c r="CD28" s="5">
        <f t="shared" si="52"/>
        <v>0</v>
      </c>
      <c r="CE28" s="5">
        <f t="shared" si="53"/>
        <v>0</v>
      </c>
      <c r="CF28" s="5">
        <f t="shared" si="54"/>
        <v>0</v>
      </c>
      <c r="CG28" s="5">
        <f t="shared" si="55"/>
        <v>0</v>
      </c>
      <c r="CH28" s="5">
        <f t="shared" si="56"/>
        <v>0</v>
      </c>
      <c r="CI28" s="5">
        <f t="shared" si="57"/>
        <v>0</v>
      </c>
      <c r="CJ28" s="5"/>
      <c r="CK28" s="4">
        <f t="shared" si="14"/>
        <v>0</v>
      </c>
    </row>
    <row r="29" spans="1:89" ht="38" customHeight="1">
      <c r="A29" s="74" t="str">
        <f t="shared" si="0"/>
        <v/>
      </c>
      <c r="B29" s="73"/>
      <c r="C29" s="72"/>
      <c r="D29" s="75"/>
      <c r="E29" s="75"/>
      <c r="F29" s="90">
        <f t="shared" si="59"/>
        <v>0</v>
      </c>
      <c r="G29" s="75"/>
      <c r="H29" s="75"/>
      <c r="I29" s="90">
        <f t="shared" si="60"/>
        <v>0</v>
      </c>
      <c r="J29" s="100"/>
      <c r="K29" s="75"/>
      <c r="L29" s="90">
        <f t="shared" si="61"/>
        <v>0</v>
      </c>
      <c r="M29" s="75"/>
      <c r="N29" s="75"/>
      <c r="O29" s="90">
        <f t="shared" si="62"/>
        <v>0</v>
      </c>
      <c r="P29" s="75"/>
      <c r="Q29" s="75"/>
      <c r="R29" s="90">
        <f t="shared" si="63"/>
        <v>0</v>
      </c>
      <c r="S29" s="75"/>
      <c r="T29" s="75"/>
      <c r="U29" s="90">
        <f t="shared" si="64"/>
        <v>0</v>
      </c>
      <c r="V29" s="75"/>
      <c r="W29" s="75"/>
      <c r="X29" s="90">
        <f t="shared" si="65"/>
        <v>0</v>
      </c>
      <c r="Y29" s="90"/>
      <c r="Z29" s="90"/>
      <c r="AA29" s="90"/>
      <c r="AB29" s="90">
        <f t="shared" si="66"/>
        <v>0</v>
      </c>
      <c r="AC29" s="91"/>
      <c r="AD29" s="76"/>
      <c r="AE29" s="92">
        <f t="shared" si="67"/>
        <v>0</v>
      </c>
      <c r="AF29" s="76"/>
      <c r="AG29" s="92">
        <f t="shared" si="68"/>
        <v>0</v>
      </c>
      <c r="AH29" s="76"/>
      <c r="AI29" s="92">
        <f t="shared" si="69"/>
        <v>0</v>
      </c>
      <c r="AJ29" s="76"/>
      <c r="AK29" s="92">
        <f t="shared" si="70"/>
        <v>0</v>
      </c>
      <c r="AL29" s="76"/>
      <c r="AM29" s="92">
        <f t="shared" si="71"/>
        <v>0</v>
      </c>
      <c r="AN29" s="76"/>
      <c r="AO29" s="92">
        <f t="shared" si="72"/>
        <v>0</v>
      </c>
      <c r="AP29" s="93">
        <f t="shared" si="73"/>
        <v>0</v>
      </c>
      <c r="AQ29" s="76"/>
      <c r="AR29" s="76"/>
      <c r="AS29" s="76"/>
      <c r="AT29" s="44">
        <f t="shared" si="74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58"/>
        <v>0</v>
      </c>
      <c r="BE29" s="5">
        <f t="shared" si="28"/>
        <v>0</v>
      </c>
      <c r="BF29" s="5">
        <f t="shared" si="29"/>
        <v>0</v>
      </c>
      <c r="BG29" s="5">
        <f t="shared" si="30"/>
        <v>0</v>
      </c>
      <c r="BH29" s="5">
        <f t="shared" si="31"/>
        <v>0</v>
      </c>
      <c r="BI29" s="5">
        <f t="shared" si="32"/>
        <v>0</v>
      </c>
      <c r="BJ29" s="5">
        <f t="shared" si="33"/>
        <v>0</v>
      </c>
      <c r="BK29" s="5">
        <f t="shared" si="34"/>
        <v>0</v>
      </c>
      <c r="BL29" s="5">
        <f t="shared" si="35"/>
        <v>0</v>
      </c>
      <c r="BM29" s="5">
        <f t="shared" si="36"/>
        <v>0</v>
      </c>
      <c r="BN29" s="5">
        <f t="shared" si="37"/>
        <v>0</v>
      </c>
      <c r="BO29" s="5">
        <f t="shared" si="38"/>
        <v>0</v>
      </c>
      <c r="BP29" s="5">
        <f t="shared" si="39"/>
        <v>0</v>
      </c>
      <c r="BQ29" s="5">
        <f t="shared" si="40"/>
        <v>0</v>
      </c>
      <c r="BR29" s="5">
        <f t="shared" si="41"/>
        <v>0</v>
      </c>
      <c r="BS29" s="5">
        <f t="shared" si="42"/>
        <v>0</v>
      </c>
      <c r="BT29" s="5">
        <f t="shared" si="43"/>
        <v>0</v>
      </c>
      <c r="BU29" s="5">
        <f t="shared" si="44"/>
        <v>0</v>
      </c>
      <c r="BV29" s="5">
        <f t="shared" si="45"/>
        <v>0</v>
      </c>
      <c r="BW29" s="5">
        <f t="shared" si="46"/>
        <v>0</v>
      </c>
      <c r="BX29" s="5">
        <f t="shared" si="47"/>
        <v>0</v>
      </c>
      <c r="BY29" s="5">
        <f t="shared" si="11"/>
        <v>0</v>
      </c>
      <c r="BZ29" s="5">
        <f t="shared" si="48"/>
        <v>0</v>
      </c>
      <c r="CA29" s="5">
        <f t="shared" si="49"/>
        <v>0</v>
      </c>
      <c r="CB29" s="5">
        <f t="shared" si="50"/>
        <v>0</v>
      </c>
      <c r="CC29" s="5">
        <f t="shared" si="51"/>
        <v>0</v>
      </c>
      <c r="CD29" s="5">
        <f t="shared" si="52"/>
        <v>0</v>
      </c>
      <c r="CE29" s="5">
        <f t="shared" si="53"/>
        <v>0</v>
      </c>
      <c r="CF29" s="5">
        <f t="shared" si="54"/>
        <v>0</v>
      </c>
      <c r="CG29" s="5">
        <f t="shared" si="55"/>
        <v>0</v>
      </c>
      <c r="CH29" s="5">
        <f t="shared" si="56"/>
        <v>0</v>
      </c>
      <c r="CI29" s="5">
        <f t="shared" si="57"/>
        <v>0</v>
      </c>
      <c r="CJ29" s="5"/>
      <c r="CK29" s="4">
        <f t="shared" si="14"/>
        <v>0</v>
      </c>
    </row>
    <row r="30" spans="1:89" ht="38" customHeight="1">
      <c r="A30" s="74" t="str">
        <f t="shared" si="0"/>
        <v/>
      </c>
      <c r="B30" s="73"/>
      <c r="C30" s="72"/>
      <c r="D30" s="75"/>
      <c r="E30" s="75"/>
      <c r="F30" s="90">
        <f t="shared" si="15"/>
        <v>0</v>
      </c>
      <c r="G30" s="75"/>
      <c r="H30" s="75"/>
      <c r="I30" s="90">
        <f t="shared" si="16"/>
        <v>0</v>
      </c>
      <c r="J30" s="100"/>
      <c r="K30" s="75"/>
      <c r="L30" s="90">
        <f t="shared" si="17"/>
        <v>0</v>
      </c>
      <c r="M30" s="75"/>
      <c r="N30" s="75"/>
      <c r="O30" s="90">
        <f t="shared" si="18"/>
        <v>0</v>
      </c>
      <c r="P30" s="75"/>
      <c r="Q30" s="75"/>
      <c r="R30" s="90">
        <f t="shared" si="19"/>
        <v>0</v>
      </c>
      <c r="S30" s="75"/>
      <c r="T30" s="75"/>
      <c r="U30" s="90">
        <f t="shared" si="20"/>
        <v>0</v>
      </c>
      <c r="V30" s="75"/>
      <c r="W30" s="75"/>
      <c r="X30" s="90">
        <f t="shared" si="21"/>
        <v>0</v>
      </c>
      <c r="Y30" s="90"/>
      <c r="Z30" s="90"/>
      <c r="AA30" s="90"/>
      <c r="AB30" s="90">
        <f t="shared" si="22"/>
        <v>0</v>
      </c>
      <c r="AC30" s="91"/>
      <c r="AD30" s="76"/>
      <c r="AE30" s="92">
        <f t="shared" si="1"/>
        <v>0</v>
      </c>
      <c r="AF30" s="76"/>
      <c r="AG30" s="92">
        <f t="shared" si="2"/>
        <v>0</v>
      </c>
      <c r="AH30" s="76"/>
      <c r="AI30" s="92">
        <f t="shared" si="3"/>
        <v>0</v>
      </c>
      <c r="AJ30" s="76"/>
      <c r="AK30" s="92">
        <f t="shared" si="4"/>
        <v>0</v>
      </c>
      <c r="AL30" s="76"/>
      <c r="AM30" s="92">
        <f t="shared" si="5"/>
        <v>0</v>
      </c>
      <c r="AN30" s="76"/>
      <c r="AO30" s="92">
        <f t="shared" si="6"/>
        <v>0</v>
      </c>
      <c r="AP30" s="93">
        <f t="shared" si="23"/>
        <v>0</v>
      </c>
      <c r="AQ30" s="76"/>
      <c r="AR30" s="76"/>
      <c r="AS30" s="76"/>
      <c r="AT30" s="44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58"/>
        <v>0</v>
      </c>
      <c r="BE30" s="5">
        <f t="shared" si="28"/>
        <v>0</v>
      </c>
      <c r="BF30" s="5">
        <f t="shared" si="29"/>
        <v>0</v>
      </c>
      <c r="BG30" s="5">
        <f t="shared" si="30"/>
        <v>0</v>
      </c>
      <c r="BH30" s="5">
        <f t="shared" si="31"/>
        <v>0</v>
      </c>
      <c r="BI30" s="5">
        <f t="shared" si="32"/>
        <v>0</v>
      </c>
      <c r="BJ30" s="5">
        <f t="shared" si="33"/>
        <v>0</v>
      </c>
      <c r="BK30" s="5">
        <f t="shared" si="34"/>
        <v>0</v>
      </c>
      <c r="BL30" s="5">
        <f t="shared" si="35"/>
        <v>0</v>
      </c>
      <c r="BM30" s="5">
        <f t="shared" si="36"/>
        <v>0</v>
      </c>
      <c r="BN30" s="5">
        <f t="shared" si="37"/>
        <v>0</v>
      </c>
      <c r="BO30" s="5">
        <f t="shared" si="38"/>
        <v>0</v>
      </c>
      <c r="BP30" s="5">
        <f t="shared" si="39"/>
        <v>0</v>
      </c>
      <c r="BQ30" s="5">
        <f t="shared" si="40"/>
        <v>0</v>
      </c>
      <c r="BR30" s="5">
        <f t="shared" si="41"/>
        <v>0</v>
      </c>
      <c r="BS30" s="5">
        <f t="shared" si="42"/>
        <v>0</v>
      </c>
      <c r="BT30" s="5">
        <f t="shared" si="43"/>
        <v>0</v>
      </c>
      <c r="BU30" s="5">
        <f t="shared" si="44"/>
        <v>0</v>
      </c>
      <c r="BV30" s="5">
        <f t="shared" si="45"/>
        <v>0</v>
      </c>
      <c r="BW30" s="5">
        <f t="shared" si="46"/>
        <v>0</v>
      </c>
      <c r="BX30" s="5">
        <f t="shared" si="47"/>
        <v>0</v>
      </c>
      <c r="BY30" s="5">
        <f t="shared" si="11"/>
        <v>0</v>
      </c>
      <c r="BZ30" s="5">
        <f t="shared" si="48"/>
        <v>0</v>
      </c>
      <c r="CA30" s="5">
        <f t="shared" si="49"/>
        <v>0</v>
      </c>
      <c r="CB30" s="5">
        <f t="shared" si="50"/>
        <v>0</v>
      </c>
      <c r="CC30" s="5">
        <f t="shared" si="51"/>
        <v>0</v>
      </c>
      <c r="CD30" s="5">
        <f t="shared" si="52"/>
        <v>0</v>
      </c>
      <c r="CE30" s="5">
        <f t="shared" si="53"/>
        <v>0</v>
      </c>
      <c r="CF30" s="5">
        <f t="shared" si="54"/>
        <v>0</v>
      </c>
      <c r="CG30" s="5">
        <f t="shared" si="55"/>
        <v>0</v>
      </c>
      <c r="CH30" s="5">
        <f t="shared" si="56"/>
        <v>0</v>
      </c>
      <c r="CI30" s="5">
        <f t="shared" si="57"/>
        <v>0</v>
      </c>
      <c r="CJ30" s="5"/>
      <c r="CK30" s="4">
        <f t="shared" si="14"/>
        <v>0</v>
      </c>
    </row>
    <row r="31" spans="1:89" ht="38" customHeight="1">
      <c r="A31" s="74" t="str">
        <f t="shared" si="0"/>
        <v/>
      </c>
      <c r="B31" s="73"/>
      <c r="C31" s="72"/>
      <c r="D31" s="75"/>
      <c r="E31" s="75"/>
      <c r="F31" s="90">
        <f t="shared" si="15"/>
        <v>0</v>
      </c>
      <c r="G31" s="75"/>
      <c r="H31" s="75"/>
      <c r="I31" s="90">
        <f t="shared" si="16"/>
        <v>0</v>
      </c>
      <c r="J31" s="100"/>
      <c r="K31" s="75"/>
      <c r="L31" s="90">
        <f t="shared" si="17"/>
        <v>0</v>
      </c>
      <c r="M31" s="75"/>
      <c r="N31" s="75"/>
      <c r="O31" s="90">
        <f t="shared" si="18"/>
        <v>0</v>
      </c>
      <c r="P31" s="75"/>
      <c r="Q31" s="75"/>
      <c r="R31" s="90">
        <f t="shared" si="19"/>
        <v>0</v>
      </c>
      <c r="S31" s="75"/>
      <c r="T31" s="75"/>
      <c r="U31" s="90">
        <f t="shared" si="20"/>
        <v>0</v>
      </c>
      <c r="V31" s="75"/>
      <c r="W31" s="75"/>
      <c r="X31" s="90">
        <f t="shared" si="21"/>
        <v>0</v>
      </c>
      <c r="Y31" s="90"/>
      <c r="Z31" s="90"/>
      <c r="AA31" s="90"/>
      <c r="AB31" s="90">
        <f t="shared" si="22"/>
        <v>0</v>
      </c>
      <c r="AC31" s="91"/>
      <c r="AD31" s="76"/>
      <c r="AE31" s="92">
        <f t="shared" si="1"/>
        <v>0</v>
      </c>
      <c r="AF31" s="76"/>
      <c r="AG31" s="92">
        <f t="shared" si="2"/>
        <v>0</v>
      </c>
      <c r="AH31" s="76"/>
      <c r="AI31" s="92">
        <f t="shared" si="3"/>
        <v>0</v>
      </c>
      <c r="AJ31" s="76"/>
      <c r="AK31" s="92">
        <f t="shared" si="4"/>
        <v>0</v>
      </c>
      <c r="AL31" s="76"/>
      <c r="AM31" s="92">
        <f t="shared" si="5"/>
        <v>0</v>
      </c>
      <c r="AN31" s="76"/>
      <c r="AO31" s="92">
        <f t="shared" si="6"/>
        <v>0</v>
      </c>
      <c r="AP31" s="93">
        <f t="shared" si="23"/>
        <v>0</v>
      </c>
      <c r="AQ31" s="76"/>
      <c r="AR31" s="76"/>
      <c r="AS31" s="76"/>
      <c r="AT31" s="44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58"/>
        <v>0</v>
      </c>
      <c r="BE31" s="5">
        <f t="shared" si="28"/>
        <v>0</v>
      </c>
      <c r="BF31" s="5">
        <f t="shared" si="29"/>
        <v>0</v>
      </c>
      <c r="BG31" s="5">
        <f t="shared" si="30"/>
        <v>0</v>
      </c>
      <c r="BH31" s="5">
        <f t="shared" si="31"/>
        <v>0</v>
      </c>
      <c r="BI31" s="5">
        <f t="shared" si="32"/>
        <v>0</v>
      </c>
      <c r="BJ31" s="5">
        <f t="shared" si="33"/>
        <v>0</v>
      </c>
      <c r="BK31" s="5">
        <f t="shared" si="34"/>
        <v>0</v>
      </c>
      <c r="BL31" s="5">
        <f t="shared" si="35"/>
        <v>0</v>
      </c>
      <c r="BM31" s="5">
        <f t="shared" si="36"/>
        <v>0</v>
      </c>
      <c r="BN31" s="5">
        <f t="shared" si="37"/>
        <v>0</v>
      </c>
      <c r="BO31" s="5">
        <f t="shared" si="38"/>
        <v>0</v>
      </c>
      <c r="BP31" s="5">
        <f t="shared" si="39"/>
        <v>0</v>
      </c>
      <c r="BQ31" s="5">
        <f t="shared" si="40"/>
        <v>0</v>
      </c>
      <c r="BR31" s="5">
        <f t="shared" si="41"/>
        <v>0</v>
      </c>
      <c r="BS31" s="5">
        <f t="shared" si="42"/>
        <v>0</v>
      </c>
      <c r="BT31" s="5">
        <f t="shared" si="43"/>
        <v>0</v>
      </c>
      <c r="BU31" s="5">
        <f t="shared" si="44"/>
        <v>0</v>
      </c>
      <c r="BV31" s="5">
        <f t="shared" si="45"/>
        <v>0</v>
      </c>
      <c r="BW31" s="5">
        <f t="shared" si="46"/>
        <v>0</v>
      </c>
      <c r="BX31" s="5">
        <f t="shared" si="47"/>
        <v>0</v>
      </c>
      <c r="BY31" s="5">
        <f t="shared" si="11"/>
        <v>0</v>
      </c>
      <c r="BZ31" s="5">
        <f t="shared" si="48"/>
        <v>0</v>
      </c>
      <c r="CA31" s="5">
        <f t="shared" si="49"/>
        <v>0</v>
      </c>
      <c r="CB31" s="5">
        <f t="shared" si="50"/>
        <v>0</v>
      </c>
      <c r="CC31" s="5">
        <f t="shared" si="51"/>
        <v>0</v>
      </c>
      <c r="CD31" s="5">
        <f t="shared" si="52"/>
        <v>0</v>
      </c>
      <c r="CE31" s="5">
        <f t="shared" si="53"/>
        <v>0</v>
      </c>
      <c r="CF31" s="5">
        <f t="shared" si="54"/>
        <v>0</v>
      </c>
      <c r="CG31" s="5">
        <f t="shared" si="55"/>
        <v>0</v>
      </c>
      <c r="CH31" s="5">
        <f t="shared" si="56"/>
        <v>0</v>
      </c>
      <c r="CI31" s="5">
        <f t="shared" si="57"/>
        <v>0</v>
      </c>
      <c r="CJ31" s="5"/>
      <c r="CK31" s="4">
        <f t="shared" si="14"/>
        <v>0</v>
      </c>
    </row>
    <row r="32" spans="1:89" ht="38" customHeight="1">
      <c r="A32" s="74" t="str">
        <f t="shared" si="0"/>
        <v/>
      </c>
      <c r="B32" s="73"/>
      <c r="C32" s="72"/>
      <c r="D32" s="75"/>
      <c r="E32" s="75"/>
      <c r="F32" s="90">
        <f t="shared" si="15"/>
        <v>0</v>
      </c>
      <c r="G32" s="75"/>
      <c r="H32" s="75"/>
      <c r="I32" s="90">
        <f t="shared" si="16"/>
        <v>0</v>
      </c>
      <c r="J32" s="100"/>
      <c r="K32" s="75"/>
      <c r="L32" s="90">
        <f t="shared" si="17"/>
        <v>0</v>
      </c>
      <c r="M32" s="75"/>
      <c r="N32" s="75"/>
      <c r="O32" s="90">
        <f t="shared" si="18"/>
        <v>0</v>
      </c>
      <c r="P32" s="75"/>
      <c r="Q32" s="75"/>
      <c r="R32" s="90">
        <f t="shared" si="19"/>
        <v>0</v>
      </c>
      <c r="S32" s="75"/>
      <c r="T32" s="75"/>
      <c r="U32" s="90">
        <f t="shared" si="20"/>
        <v>0</v>
      </c>
      <c r="V32" s="75"/>
      <c r="W32" s="75"/>
      <c r="X32" s="90">
        <f t="shared" si="21"/>
        <v>0</v>
      </c>
      <c r="Y32" s="90"/>
      <c r="Z32" s="90"/>
      <c r="AA32" s="90"/>
      <c r="AB32" s="90">
        <f t="shared" si="22"/>
        <v>0</v>
      </c>
      <c r="AC32" s="91"/>
      <c r="AD32" s="76"/>
      <c r="AE32" s="92">
        <f t="shared" si="1"/>
        <v>0</v>
      </c>
      <c r="AF32" s="76"/>
      <c r="AG32" s="92">
        <f t="shared" si="2"/>
        <v>0</v>
      </c>
      <c r="AH32" s="76"/>
      <c r="AI32" s="92">
        <f t="shared" si="3"/>
        <v>0</v>
      </c>
      <c r="AJ32" s="76"/>
      <c r="AK32" s="92">
        <f t="shared" si="4"/>
        <v>0</v>
      </c>
      <c r="AL32" s="76"/>
      <c r="AM32" s="92">
        <f t="shared" si="5"/>
        <v>0</v>
      </c>
      <c r="AN32" s="76"/>
      <c r="AO32" s="92">
        <f t="shared" si="6"/>
        <v>0</v>
      </c>
      <c r="AP32" s="93">
        <f t="shared" si="23"/>
        <v>0</v>
      </c>
      <c r="AQ32" s="76"/>
      <c r="AR32" s="76"/>
      <c r="AS32" s="76"/>
      <c r="AT32" s="44">
        <f t="shared" si="24"/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58"/>
        <v>0</v>
      </c>
      <c r="BE32" s="5">
        <f t="shared" si="28"/>
        <v>0</v>
      </c>
      <c r="BF32" s="5">
        <f t="shared" si="29"/>
        <v>0</v>
      </c>
      <c r="BG32" s="5">
        <f t="shared" si="30"/>
        <v>0</v>
      </c>
      <c r="BH32" s="5">
        <f t="shared" si="31"/>
        <v>0</v>
      </c>
      <c r="BI32" s="5">
        <f t="shared" si="32"/>
        <v>0</v>
      </c>
      <c r="BJ32" s="5">
        <f t="shared" si="33"/>
        <v>0</v>
      </c>
      <c r="BK32" s="5">
        <f t="shared" si="34"/>
        <v>0</v>
      </c>
      <c r="BL32" s="5">
        <f t="shared" si="35"/>
        <v>0</v>
      </c>
      <c r="BM32" s="5">
        <f t="shared" si="36"/>
        <v>0</v>
      </c>
      <c r="BN32" s="5">
        <f t="shared" si="37"/>
        <v>0</v>
      </c>
      <c r="BO32" s="5">
        <f t="shared" si="38"/>
        <v>0</v>
      </c>
      <c r="BP32" s="5">
        <f t="shared" si="39"/>
        <v>0</v>
      </c>
      <c r="BQ32" s="5">
        <f t="shared" si="40"/>
        <v>0</v>
      </c>
      <c r="BR32" s="5">
        <f t="shared" si="41"/>
        <v>0</v>
      </c>
      <c r="BS32" s="5">
        <f t="shared" si="42"/>
        <v>0</v>
      </c>
      <c r="BT32" s="5">
        <f t="shared" si="43"/>
        <v>0</v>
      </c>
      <c r="BU32" s="5">
        <f t="shared" si="44"/>
        <v>0</v>
      </c>
      <c r="BV32" s="5">
        <f t="shared" si="45"/>
        <v>0</v>
      </c>
      <c r="BW32" s="5">
        <f t="shared" si="46"/>
        <v>0</v>
      </c>
      <c r="BX32" s="5">
        <f t="shared" si="47"/>
        <v>0</v>
      </c>
      <c r="BY32" s="5">
        <f t="shared" si="11"/>
        <v>0</v>
      </c>
      <c r="BZ32" s="5">
        <f t="shared" si="48"/>
        <v>0</v>
      </c>
      <c r="CA32" s="5">
        <f t="shared" si="49"/>
        <v>0</v>
      </c>
      <c r="CB32" s="5">
        <f t="shared" si="50"/>
        <v>0</v>
      </c>
      <c r="CC32" s="5">
        <f t="shared" si="51"/>
        <v>0</v>
      </c>
      <c r="CD32" s="5">
        <f t="shared" si="52"/>
        <v>0</v>
      </c>
      <c r="CE32" s="5">
        <f t="shared" si="53"/>
        <v>0</v>
      </c>
      <c r="CF32" s="5">
        <f t="shared" si="54"/>
        <v>0</v>
      </c>
      <c r="CG32" s="5">
        <f t="shared" si="55"/>
        <v>0</v>
      </c>
      <c r="CH32" s="5">
        <f t="shared" si="56"/>
        <v>0</v>
      </c>
      <c r="CI32" s="5">
        <f t="shared" si="57"/>
        <v>0</v>
      </c>
      <c r="CJ32" s="5"/>
      <c r="CK32" s="4">
        <f t="shared" si="14"/>
        <v>0</v>
      </c>
    </row>
    <row r="33" spans="1:89" ht="38" customHeight="1">
      <c r="A33" s="74" t="str">
        <f t="shared" si="0"/>
        <v/>
      </c>
      <c r="B33" s="73"/>
      <c r="C33" s="72"/>
      <c r="D33" s="75"/>
      <c r="E33" s="75"/>
      <c r="F33" s="90">
        <f t="shared" si="15"/>
        <v>0</v>
      </c>
      <c r="G33" s="75"/>
      <c r="H33" s="75"/>
      <c r="I33" s="90">
        <f t="shared" si="16"/>
        <v>0</v>
      </c>
      <c r="J33" s="100"/>
      <c r="K33" s="75"/>
      <c r="L33" s="90">
        <f t="shared" si="17"/>
        <v>0</v>
      </c>
      <c r="M33" s="75"/>
      <c r="N33" s="75"/>
      <c r="O33" s="90">
        <f t="shared" si="18"/>
        <v>0</v>
      </c>
      <c r="P33" s="75"/>
      <c r="Q33" s="75"/>
      <c r="R33" s="90">
        <f t="shared" si="19"/>
        <v>0</v>
      </c>
      <c r="S33" s="75"/>
      <c r="T33" s="75"/>
      <c r="U33" s="90">
        <f t="shared" si="20"/>
        <v>0</v>
      </c>
      <c r="V33" s="75"/>
      <c r="W33" s="75"/>
      <c r="X33" s="90">
        <f t="shared" si="21"/>
        <v>0</v>
      </c>
      <c r="Y33" s="90"/>
      <c r="Z33" s="90"/>
      <c r="AA33" s="90"/>
      <c r="AB33" s="90">
        <f t="shared" si="22"/>
        <v>0</v>
      </c>
      <c r="AC33" s="91"/>
      <c r="AD33" s="76"/>
      <c r="AE33" s="92">
        <f t="shared" si="1"/>
        <v>0</v>
      </c>
      <c r="AF33" s="76"/>
      <c r="AG33" s="92">
        <f t="shared" si="2"/>
        <v>0</v>
      </c>
      <c r="AH33" s="76"/>
      <c r="AI33" s="92">
        <f t="shared" si="3"/>
        <v>0</v>
      </c>
      <c r="AJ33" s="76"/>
      <c r="AK33" s="92">
        <f t="shared" si="4"/>
        <v>0</v>
      </c>
      <c r="AL33" s="76"/>
      <c r="AM33" s="92">
        <f t="shared" si="5"/>
        <v>0</v>
      </c>
      <c r="AN33" s="76"/>
      <c r="AO33" s="92">
        <f t="shared" si="6"/>
        <v>0</v>
      </c>
      <c r="AP33" s="93">
        <f t="shared" si="23"/>
        <v>0</v>
      </c>
      <c r="AQ33" s="76"/>
      <c r="AR33" s="76"/>
      <c r="AS33" s="76"/>
      <c r="AT33" s="44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58"/>
        <v>0</v>
      </c>
      <c r="BE33" s="5">
        <f t="shared" si="28"/>
        <v>0</v>
      </c>
      <c r="BF33" s="5">
        <f t="shared" si="29"/>
        <v>0</v>
      </c>
      <c r="BG33" s="5">
        <f t="shared" si="30"/>
        <v>0</v>
      </c>
      <c r="BH33" s="5">
        <f t="shared" si="31"/>
        <v>0</v>
      </c>
      <c r="BI33" s="5">
        <f t="shared" si="32"/>
        <v>0</v>
      </c>
      <c r="BJ33" s="5">
        <f t="shared" si="33"/>
        <v>0</v>
      </c>
      <c r="BK33" s="5">
        <f t="shared" si="34"/>
        <v>0</v>
      </c>
      <c r="BL33" s="5">
        <f t="shared" si="35"/>
        <v>0</v>
      </c>
      <c r="BM33" s="5">
        <f t="shared" si="36"/>
        <v>0</v>
      </c>
      <c r="BN33" s="5">
        <f t="shared" si="37"/>
        <v>0</v>
      </c>
      <c r="BO33" s="5">
        <f t="shared" si="38"/>
        <v>0</v>
      </c>
      <c r="BP33" s="5">
        <f t="shared" si="39"/>
        <v>0</v>
      </c>
      <c r="BQ33" s="5">
        <f t="shared" si="40"/>
        <v>0</v>
      </c>
      <c r="BR33" s="5">
        <f t="shared" si="41"/>
        <v>0</v>
      </c>
      <c r="BS33" s="5">
        <f t="shared" si="42"/>
        <v>0</v>
      </c>
      <c r="BT33" s="5">
        <f t="shared" si="43"/>
        <v>0</v>
      </c>
      <c r="BU33" s="5">
        <f t="shared" si="44"/>
        <v>0</v>
      </c>
      <c r="BV33" s="5">
        <f t="shared" si="45"/>
        <v>0</v>
      </c>
      <c r="BW33" s="5">
        <f t="shared" si="46"/>
        <v>0</v>
      </c>
      <c r="BX33" s="5">
        <f t="shared" si="47"/>
        <v>0</v>
      </c>
      <c r="BY33" s="5">
        <f t="shared" si="11"/>
        <v>0</v>
      </c>
      <c r="BZ33" s="5">
        <f t="shared" si="48"/>
        <v>0</v>
      </c>
      <c r="CA33" s="5">
        <f t="shared" si="49"/>
        <v>0</v>
      </c>
      <c r="CB33" s="5">
        <f t="shared" si="50"/>
        <v>0</v>
      </c>
      <c r="CC33" s="5">
        <f t="shared" si="51"/>
        <v>0</v>
      </c>
      <c r="CD33" s="5">
        <f t="shared" si="52"/>
        <v>0</v>
      </c>
      <c r="CE33" s="5">
        <f t="shared" si="53"/>
        <v>0</v>
      </c>
      <c r="CF33" s="5">
        <f t="shared" si="54"/>
        <v>0</v>
      </c>
      <c r="CG33" s="5">
        <f t="shared" si="55"/>
        <v>0</v>
      </c>
      <c r="CH33" s="5">
        <f t="shared" si="56"/>
        <v>0</v>
      </c>
      <c r="CI33" s="5">
        <f t="shared" si="57"/>
        <v>0</v>
      </c>
      <c r="CJ33" s="5"/>
      <c r="CK33" s="4">
        <f t="shared" si="14"/>
        <v>0</v>
      </c>
    </row>
    <row r="34" spans="1:89" ht="38" customHeight="1">
      <c r="A34" s="74" t="str">
        <f t="shared" ref="A34:A65" si="75">IF(ISNA(AZ34),"",AZ34)</f>
        <v/>
      </c>
      <c r="B34" s="73"/>
      <c r="C34" s="72"/>
      <c r="D34" s="75"/>
      <c r="E34" s="75"/>
      <c r="F34" s="90">
        <f t="shared" si="15"/>
        <v>0</v>
      </c>
      <c r="G34" s="75"/>
      <c r="H34" s="75"/>
      <c r="I34" s="90">
        <f t="shared" si="16"/>
        <v>0</v>
      </c>
      <c r="J34" s="100"/>
      <c r="K34" s="75"/>
      <c r="L34" s="90">
        <f t="shared" si="17"/>
        <v>0</v>
      </c>
      <c r="M34" s="75"/>
      <c r="N34" s="75"/>
      <c r="O34" s="90">
        <f t="shared" si="18"/>
        <v>0</v>
      </c>
      <c r="P34" s="75"/>
      <c r="Q34" s="75"/>
      <c r="R34" s="90">
        <f t="shared" si="19"/>
        <v>0</v>
      </c>
      <c r="S34" s="75"/>
      <c r="T34" s="75"/>
      <c r="U34" s="90">
        <f t="shared" si="20"/>
        <v>0</v>
      </c>
      <c r="V34" s="75"/>
      <c r="W34" s="75"/>
      <c r="X34" s="90">
        <f t="shared" si="21"/>
        <v>0</v>
      </c>
      <c r="Y34" s="90"/>
      <c r="Z34" s="90"/>
      <c r="AA34" s="90"/>
      <c r="AB34" s="90">
        <f t="shared" si="22"/>
        <v>0</v>
      </c>
      <c r="AC34" s="91"/>
      <c r="AD34" s="76"/>
      <c r="AE34" s="92">
        <f t="shared" si="1"/>
        <v>0</v>
      </c>
      <c r="AF34" s="76"/>
      <c r="AG34" s="92">
        <f t="shared" si="2"/>
        <v>0</v>
      </c>
      <c r="AH34" s="76"/>
      <c r="AI34" s="92">
        <f t="shared" si="3"/>
        <v>0</v>
      </c>
      <c r="AJ34" s="76"/>
      <c r="AK34" s="92">
        <f t="shared" si="4"/>
        <v>0</v>
      </c>
      <c r="AL34" s="76"/>
      <c r="AM34" s="92">
        <f t="shared" si="5"/>
        <v>0</v>
      </c>
      <c r="AN34" s="76"/>
      <c r="AO34" s="92">
        <f t="shared" si="6"/>
        <v>0</v>
      </c>
      <c r="AP34" s="93">
        <f t="shared" si="23"/>
        <v>0</v>
      </c>
      <c r="AQ34" s="76"/>
      <c r="AR34" s="76"/>
      <c r="AS34" s="76"/>
      <c r="AT34" s="44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58"/>
        <v>0</v>
      </c>
      <c r="BE34" s="5">
        <f t="shared" si="28"/>
        <v>0</v>
      </c>
      <c r="BF34" s="5">
        <f t="shared" si="29"/>
        <v>0</v>
      </c>
      <c r="BG34" s="5">
        <f t="shared" si="30"/>
        <v>0</v>
      </c>
      <c r="BH34" s="5">
        <f t="shared" si="31"/>
        <v>0</v>
      </c>
      <c r="BI34" s="5">
        <f t="shared" si="32"/>
        <v>0</v>
      </c>
      <c r="BJ34" s="5">
        <f t="shared" si="33"/>
        <v>0</v>
      </c>
      <c r="BK34" s="5">
        <f t="shared" si="34"/>
        <v>0</v>
      </c>
      <c r="BL34" s="5">
        <f t="shared" si="35"/>
        <v>0</v>
      </c>
      <c r="BM34" s="5">
        <f t="shared" si="36"/>
        <v>0</v>
      </c>
      <c r="BN34" s="5">
        <f t="shared" si="37"/>
        <v>0</v>
      </c>
      <c r="BO34" s="5">
        <f t="shared" si="38"/>
        <v>0</v>
      </c>
      <c r="BP34" s="5">
        <f t="shared" si="39"/>
        <v>0</v>
      </c>
      <c r="BQ34" s="5">
        <f t="shared" si="40"/>
        <v>0</v>
      </c>
      <c r="BR34" s="5">
        <f t="shared" si="41"/>
        <v>0</v>
      </c>
      <c r="BS34" s="5">
        <f t="shared" si="42"/>
        <v>0</v>
      </c>
      <c r="BT34" s="5">
        <f t="shared" si="43"/>
        <v>0</v>
      </c>
      <c r="BU34" s="5">
        <f t="shared" si="44"/>
        <v>0</v>
      </c>
      <c r="BV34" s="5">
        <f t="shared" si="45"/>
        <v>0</v>
      </c>
      <c r="BW34" s="5">
        <f t="shared" si="46"/>
        <v>0</v>
      </c>
      <c r="BX34" s="5">
        <f t="shared" si="47"/>
        <v>0</v>
      </c>
      <c r="BY34" s="5">
        <f t="shared" si="11"/>
        <v>0</v>
      </c>
      <c r="BZ34" s="5">
        <f t="shared" si="48"/>
        <v>0</v>
      </c>
      <c r="CA34" s="5">
        <f t="shared" si="49"/>
        <v>0</v>
      </c>
      <c r="CB34" s="5">
        <f t="shared" si="50"/>
        <v>0</v>
      </c>
      <c r="CC34" s="5">
        <f t="shared" si="51"/>
        <v>0</v>
      </c>
      <c r="CD34" s="5">
        <f t="shared" si="52"/>
        <v>0</v>
      </c>
      <c r="CE34" s="5">
        <f t="shared" si="53"/>
        <v>0</v>
      </c>
      <c r="CF34" s="5">
        <f t="shared" si="54"/>
        <v>0</v>
      </c>
      <c r="CG34" s="5">
        <f t="shared" si="55"/>
        <v>0</v>
      </c>
      <c r="CH34" s="5">
        <f t="shared" si="56"/>
        <v>0</v>
      </c>
      <c r="CI34" s="5">
        <f t="shared" si="57"/>
        <v>0</v>
      </c>
      <c r="CJ34" s="5"/>
      <c r="CK34" s="4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74" t="str">
        <f t="shared" si="75"/>
        <v/>
      </c>
      <c r="B35" s="73"/>
      <c r="C35" s="72"/>
      <c r="D35" s="75"/>
      <c r="E35" s="75"/>
      <c r="F35" s="90">
        <f t="shared" si="15"/>
        <v>0</v>
      </c>
      <c r="G35" s="75"/>
      <c r="H35" s="75"/>
      <c r="I35" s="90">
        <f t="shared" si="16"/>
        <v>0</v>
      </c>
      <c r="J35" s="100"/>
      <c r="K35" s="75"/>
      <c r="L35" s="90">
        <f t="shared" si="17"/>
        <v>0</v>
      </c>
      <c r="M35" s="75"/>
      <c r="N35" s="75"/>
      <c r="O35" s="90">
        <f t="shared" si="18"/>
        <v>0</v>
      </c>
      <c r="P35" s="75"/>
      <c r="Q35" s="75"/>
      <c r="R35" s="90">
        <f t="shared" si="19"/>
        <v>0</v>
      </c>
      <c r="S35" s="75"/>
      <c r="T35" s="75"/>
      <c r="U35" s="90">
        <f t="shared" si="20"/>
        <v>0</v>
      </c>
      <c r="V35" s="75"/>
      <c r="W35" s="75"/>
      <c r="X35" s="90">
        <f t="shared" si="21"/>
        <v>0</v>
      </c>
      <c r="Y35" s="90"/>
      <c r="Z35" s="90"/>
      <c r="AA35" s="90"/>
      <c r="AB35" s="90">
        <f t="shared" si="22"/>
        <v>0</v>
      </c>
      <c r="AC35" s="91"/>
      <c r="AD35" s="76"/>
      <c r="AE35" s="92">
        <f t="shared" si="1"/>
        <v>0</v>
      </c>
      <c r="AF35" s="76"/>
      <c r="AG35" s="92">
        <f t="shared" si="2"/>
        <v>0</v>
      </c>
      <c r="AH35" s="76"/>
      <c r="AI35" s="92">
        <f t="shared" si="3"/>
        <v>0</v>
      </c>
      <c r="AJ35" s="76"/>
      <c r="AK35" s="92">
        <f t="shared" si="4"/>
        <v>0</v>
      </c>
      <c r="AL35" s="76"/>
      <c r="AM35" s="92">
        <f t="shared" si="5"/>
        <v>0</v>
      </c>
      <c r="AN35" s="76"/>
      <c r="AO35" s="92">
        <f t="shared" si="6"/>
        <v>0</v>
      </c>
      <c r="AP35" s="93">
        <f t="shared" si="23"/>
        <v>0</v>
      </c>
      <c r="AQ35" s="76"/>
      <c r="AR35" s="76"/>
      <c r="AS35" s="76"/>
      <c r="AT35" s="44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58"/>
        <v>0</v>
      </c>
      <c r="BE35" s="5">
        <f t="shared" si="28"/>
        <v>0</v>
      </c>
      <c r="BF35" s="5">
        <f t="shared" si="29"/>
        <v>0</v>
      </c>
      <c r="BG35" s="5">
        <f t="shared" si="30"/>
        <v>0</v>
      </c>
      <c r="BH35" s="5">
        <f t="shared" si="31"/>
        <v>0</v>
      </c>
      <c r="BI35" s="5">
        <f t="shared" si="32"/>
        <v>0</v>
      </c>
      <c r="BJ35" s="5">
        <f t="shared" si="33"/>
        <v>0</v>
      </c>
      <c r="BK35" s="5">
        <f t="shared" si="34"/>
        <v>0</v>
      </c>
      <c r="BL35" s="5">
        <f t="shared" si="35"/>
        <v>0</v>
      </c>
      <c r="BM35" s="5">
        <f t="shared" si="36"/>
        <v>0</v>
      </c>
      <c r="BN35" s="5">
        <f t="shared" si="37"/>
        <v>0</v>
      </c>
      <c r="BO35" s="5">
        <f t="shared" si="38"/>
        <v>0</v>
      </c>
      <c r="BP35" s="5">
        <f t="shared" si="39"/>
        <v>0</v>
      </c>
      <c r="BQ35" s="5">
        <f t="shared" si="40"/>
        <v>0</v>
      </c>
      <c r="BR35" s="5">
        <f t="shared" si="41"/>
        <v>0</v>
      </c>
      <c r="BS35" s="5">
        <f t="shared" si="42"/>
        <v>0</v>
      </c>
      <c r="BT35" s="5">
        <f t="shared" si="43"/>
        <v>0</v>
      </c>
      <c r="BU35" s="5">
        <f t="shared" si="44"/>
        <v>0</v>
      </c>
      <c r="BV35" s="5">
        <f t="shared" si="45"/>
        <v>0</v>
      </c>
      <c r="BW35" s="5">
        <f t="shared" si="46"/>
        <v>0</v>
      </c>
      <c r="BX35" s="5">
        <f t="shared" si="47"/>
        <v>0</v>
      </c>
      <c r="BY35" s="5">
        <f t="shared" si="11"/>
        <v>0</v>
      </c>
      <c r="BZ35" s="5">
        <f t="shared" si="48"/>
        <v>0</v>
      </c>
      <c r="CA35" s="5">
        <f t="shared" si="49"/>
        <v>0</v>
      </c>
      <c r="CB35" s="5">
        <f t="shared" si="50"/>
        <v>0</v>
      </c>
      <c r="CC35" s="5">
        <f t="shared" si="51"/>
        <v>0</v>
      </c>
      <c r="CD35" s="5">
        <f t="shared" si="52"/>
        <v>0</v>
      </c>
      <c r="CE35" s="5">
        <f t="shared" si="53"/>
        <v>0</v>
      </c>
      <c r="CF35" s="5">
        <f t="shared" si="54"/>
        <v>0</v>
      </c>
      <c r="CG35" s="5">
        <f t="shared" si="55"/>
        <v>0</v>
      </c>
      <c r="CH35" s="5">
        <f t="shared" si="56"/>
        <v>0</v>
      </c>
      <c r="CI35" s="5">
        <f t="shared" si="57"/>
        <v>0</v>
      </c>
      <c r="CJ35" s="5"/>
      <c r="CK35" s="4">
        <f t="shared" si="76"/>
        <v>0</v>
      </c>
    </row>
    <row r="36" spans="1:89" ht="38" customHeight="1">
      <c r="A36" s="74" t="str">
        <f t="shared" si="75"/>
        <v/>
      </c>
      <c r="B36" s="73"/>
      <c r="C36" s="72"/>
      <c r="D36" s="75"/>
      <c r="E36" s="75"/>
      <c r="F36" s="90">
        <f t="shared" si="15"/>
        <v>0</v>
      </c>
      <c r="G36" s="75"/>
      <c r="H36" s="75"/>
      <c r="I36" s="90">
        <f t="shared" si="16"/>
        <v>0</v>
      </c>
      <c r="J36" s="100"/>
      <c r="K36" s="75"/>
      <c r="L36" s="90">
        <f t="shared" si="17"/>
        <v>0</v>
      </c>
      <c r="M36" s="75"/>
      <c r="N36" s="75"/>
      <c r="O36" s="90">
        <f t="shared" si="18"/>
        <v>0</v>
      </c>
      <c r="P36" s="75"/>
      <c r="Q36" s="75"/>
      <c r="R36" s="90">
        <f t="shared" si="19"/>
        <v>0</v>
      </c>
      <c r="S36" s="75"/>
      <c r="T36" s="75"/>
      <c r="U36" s="90">
        <f t="shared" si="20"/>
        <v>0</v>
      </c>
      <c r="V36" s="75"/>
      <c r="W36" s="75"/>
      <c r="X36" s="90">
        <f t="shared" si="21"/>
        <v>0</v>
      </c>
      <c r="Y36" s="90"/>
      <c r="Z36" s="90"/>
      <c r="AA36" s="90"/>
      <c r="AB36" s="90">
        <f t="shared" si="22"/>
        <v>0</v>
      </c>
      <c r="AC36" s="91"/>
      <c r="AD36" s="76"/>
      <c r="AE36" s="92">
        <f t="shared" si="1"/>
        <v>0</v>
      </c>
      <c r="AF36" s="76"/>
      <c r="AG36" s="92">
        <f t="shared" si="2"/>
        <v>0</v>
      </c>
      <c r="AH36" s="76"/>
      <c r="AI36" s="92">
        <f t="shared" si="3"/>
        <v>0</v>
      </c>
      <c r="AJ36" s="76"/>
      <c r="AK36" s="92">
        <f t="shared" si="4"/>
        <v>0</v>
      </c>
      <c r="AL36" s="76"/>
      <c r="AM36" s="92">
        <f t="shared" si="5"/>
        <v>0</v>
      </c>
      <c r="AN36" s="76"/>
      <c r="AO36" s="92">
        <f t="shared" si="6"/>
        <v>0</v>
      </c>
      <c r="AP36" s="93">
        <f t="shared" si="23"/>
        <v>0</v>
      </c>
      <c r="AQ36" s="76"/>
      <c r="AR36" s="76"/>
      <c r="AS36" s="76"/>
      <c r="AT36" s="44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58"/>
        <v>0</v>
      </c>
      <c r="BE36" s="5">
        <f t="shared" si="28"/>
        <v>0</v>
      </c>
      <c r="BF36" s="5">
        <f t="shared" si="29"/>
        <v>0</v>
      </c>
      <c r="BG36" s="5">
        <f t="shared" si="30"/>
        <v>0</v>
      </c>
      <c r="BH36" s="5">
        <f t="shared" si="31"/>
        <v>0</v>
      </c>
      <c r="BI36" s="5">
        <f t="shared" si="32"/>
        <v>0</v>
      </c>
      <c r="BJ36" s="5">
        <f t="shared" si="33"/>
        <v>0</v>
      </c>
      <c r="BK36" s="5">
        <f t="shared" si="34"/>
        <v>0</v>
      </c>
      <c r="BL36" s="5">
        <f t="shared" si="35"/>
        <v>0</v>
      </c>
      <c r="BM36" s="5">
        <f t="shared" si="36"/>
        <v>0</v>
      </c>
      <c r="BN36" s="5">
        <f t="shared" si="37"/>
        <v>0</v>
      </c>
      <c r="BO36" s="5">
        <f t="shared" si="38"/>
        <v>0</v>
      </c>
      <c r="BP36" s="5">
        <f t="shared" si="39"/>
        <v>0</v>
      </c>
      <c r="BQ36" s="5">
        <f t="shared" si="40"/>
        <v>0</v>
      </c>
      <c r="BR36" s="5">
        <f t="shared" si="41"/>
        <v>0</v>
      </c>
      <c r="BS36" s="5">
        <f t="shared" si="42"/>
        <v>0</v>
      </c>
      <c r="BT36" s="5">
        <f t="shared" si="43"/>
        <v>0</v>
      </c>
      <c r="BU36" s="5">
        <f t="shared" si="44"/>
        <v>0</v>
      </c>
      <c r="BV36" s="5">
        <f t="shared" si="45"/>
        <v>0</v>
      </c>
      <c r="BW36" s="5">
        <f t="shared" si="46"/>
        <v>0</v>
      </c>
      <c r="BX36" s="5">
        <f t="shared" si="47"/>
        <v>0</v>
      </c>
      <c r="BY36" s="5">
        <f t="shared" si="11"/>
        <v>0</v>
      </c>
      <c r="BZ36" s="5">
        <f t="shared" si="48"/>
        <v>0</v>
      </c>
      <c r="CA36" s="5">
        <f t="shared" si="49"/>
        <v>0</v>
      </c>
      <c r="CB36" s="5">
        <f t="shared" si="50"/>
        <v>0</v>
      </c>
      <c r="CC36" s="5">
        <f t="shared" si="51"/>
        <v>0</v>
      </c>
      <c r="CD36" s="5">
        <f t="shared" si="52"/>
        <v>0</v>
      </c>
      <c r="CE36" s="5">
        <f t="shared" si="53"/>
        <v>0</v>
      </c>
      <c r="CF36" s="5">
        <f t="shared" si="54"/>
        <v>0</v>
      </c>
      <c r="CG36" s="5">
        <f t="shared" si="55"/>
        <v>0</v>
      </c>
      <c r="CH36" s="5">
        <f t="shared" si="56"/>
        <v>0</v>
      </c>
      <c r="CI36" s="5">
        <f t="shared" si="57"/>
        <v>0</v>
      </c>
      <c r="CJ36" s="5"/>
      <c r="CK36" s="4">
        <f t="shared" si="76"/>
        <v>0</v>
      </c>
    </row>
    <row r="37" spans="1:89" ht="38" customHeight="1">
      <c r="A37" s="33" t="str">
        <f t="shared" si="75"/>
        <v/>
      </c>
      <c r="B37" s="10"/>
      <c r="C37" s="86"/>
      <c r="D37" s="88"/>
      <c r="E37" s="88"/>
      <c r="F37" s="44">
        <f t="shared" si="15"/>
        <v>0</v>
      </c>
      <c r="G37" s="88"/>
      <c r="H37" s="88"/>
      <c r="I37" s="44">
        <f t="shared" si="16"/>
        <v>0</v>
      </c>
      <c r="J37" s="87"/>
      <c r="K37" s="88"/>
      <c r="L37" s="44">
        <f t="shared" si="17"/>
        <v>0</v>
      </c>
      <c r="M37" s="88"/>
      <c r="N37" s="88"/>
      <c r="O37" s="44">
        <f t="shared" si="18"/>
        <v>0</v>
      </c>
      <c r="P37" s="88"/>
      <c r="Q37" s="88"/>
      <c r="R37" s="44">
        <f t="shared" si="19"/>
        <v>0</v>
      </c>
      <c r="S37" s="88"/>
      <c r="T37" s="88"/>
      <c r="U37" s="44">
        <f t="shared" si="20"/>
        <v>0</v>
      </c>
      <c r="V37" s="88"/>
      <c r="W37" s="88"/>
      <c r="X37" s="44">
        <f t="shared" si="21"/>
        <v>0</v>
      </c>
      <c r="Y37" s="44"/>
      <c r="Z37" s="44"/>
      <c r="AA37" s="44"/>
      <c r="AB37" s="44">
        <f t="shared" si="22"/>
        <v>0</v>
      </c>
      <c r="AC37" s="23"/>
      <c r="AD37" s="6"/>
      <c r="AE37" s="7">
        <f t="shared" si="1"/>
        <v>0</v>
      </c>
      <c r="AF37" s="6"/>
      <c r="AG37" s="7">
        <f t="shared" si="2"/>
        <v>0</v>
      </c>
      <c r="AH37" s="6"/>
      <c r="AI37" s="7">
        <f t="shared" si="3"/>
        <v>0</v>
      </c>
      <c r="AJ37" s="6"/>
      <c r="AK37" s="7">
        <f t="shared" si="4"/>
        <v>0</v>
      </c>
      <c r="AL37" s="6"/>
      <c r="AM37" s="7">
        <f t="shared" si="5"/>
        <v>0</v>
      </c>
      <c r="AN37" s="6"/>
      <c r="AO37" s="7">
        <f t="shared" si="6"/>
        <v>0</v>
      </c>
      <c r="AP37" s="30">
        <f t="shared" si="23"/>
        <v>0</v>
      </c>
      <c r="AQ37" s="6"/>
      <c r="AR37" s="6"/>
      <c r="AS37" s="6"/>
      <c r="AT37" s="44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58"/>
        <v>0</v>
      </c>
      <c r="BE37" s="5">
        <f t="shared" si="28"/>
        <v>0</v>
      </c>
      <c r="BF37" s="5">
        <f t="shared" si="29"/>
        <v>0</v>
      </c>
      <c r="BG37" s="5">
        <f t="shared" si="30"/>
        <v>0</v>
      </c>
      <c r="BH37" s="5">
        <f t="shared" si="31"/>
        <v>0</v>
      </c>
      <c r="BI37" s="5">
        <f t="shared" si="32"/>
        <v>0</v>
      </c>
      <c r="BJ37" s="5">
        <f t="shared" si="33"/>
        <v>0</v>
      </c>
      <c r="BK37" s="5">
        <f t="shared" si="34"/>
        <v>0</v>
      </c>
      <c r="BL37" s="5">
        <f t="shared" si="35"/>
        <v>0</v>
      </c>
      <c r="BM37" s="5">
        <f t="shared" si="36"/>
        <v>0</v>
      </c>
      <c r="BN37" s="5">
        <f t="shared" si="37"/>
        <v>0</v>
      </c>
      <c r="BO37" s="5">
        <f t="shared" si="38"/>
        <v>0</v>
      </c>
      <c r="BP37" s="5">
        <f t="shared" si="39"/>
        <v>0</v>
      </c>
      <c r="BQ37" s="5">
        <f t="shared" si="40"/>
        <v>0</v>
      </c>
      <c r="BR37" s="5">
        <f t="shared" si="41"/>
        <v>0</v>
      </c>
      <c r="BS37" s="5">
        <f t="shared" si="42"/>
        <v>0</v>
      </c>
      <c r="BT37" s="5">
        <f t="shared" si="43"/>
        <v>0</v>
      </c>
      <c r="BU37" s="5">
        <f t="shared" si="44"/>
        <v>0</v>
      </c>
      <c r="BV37" s="5">
        <f t="shared" si="45"/>
        <v>0</v>
      </c>
      <c r="BW37" s="5">
        <f t="shared" si="46"/>
        <v>0</v>
      </c>
      <c r="BX37" s="5">
        <f t="shared" si="47"/>
        <v>0</v>
      </c>
      <c r="BY37" s="5">
        <f t="shared" si="11"/>
        <v>0</v>
      </c>
      <c r="BZ37" s="5">
        <f t="shared" si="48"/>
        <v>0</v>
      </c>
      <c r="CA37" s="5">
        <f t="shared" si="49"/>
        <v>0</v>
      </c>
      <c r="CB37" s="5">
        <f t="shared" si="50"/>
        <v>0</v>
      </c>
      <c r="CC37" s="5">
        <f t="shared" si="51"/>
        <v>0</v>
      </c>
      <c r="CD37" s="5">
        <f t="shared" si="52"/>
        <v>0</v>
      </c>
      <c r="CE37" s="5">
        <f t="shared" si="53"/>
        <v>0</v>
      </c>
      <c r="CF37" s="5">
        <f t="shared" si="54"/>
        <v>0</v>
      </c>
      <c r="CG37" s="5">
        <f t="shared" si="55"/>
        <v>0</v>
      </c>
      <c r="CH37" s="5">
        <f t="shared" si="56"/>
        <v>0</v>
      </c>
      <c r="CI37" s="5">
        <f t="shared" si="57"/>
        <v>0</v>
      </c>
      <c r="CJ37" s="5"/>
      <c r="CK37" s="4">
        <f t="shared" si="76"/>
        <v>0</v>
      </c>
    </row>
    <row r="38" spans="1:89" ht="38" customHeight="1">
      <c r="A38" s="33" t="str">
        <f t="shared" si="75"/>
        <v/>
      </c>
      <c r="B38" s="10"/>
      <c r="C38" s="86"/>
      <c r="D38" s="88"/>
      <c r="E38" s="88"/>
      <c r="F38" s="44">
        <f t="shared" si="15"/>
        <v>0</v>
      </c>
      <c r="G38" s="88"/>
      <c r="H38" s="88"/>
      <c r="I38" s="44">
        <f t="shared" si="16"/>
        <v>0</v>
      </c>
      <c r="J38" s="87"/>
      <c r="K38" s="88"/>
      <c r="L38" s="44">
        <f t="shared" si="17"/>
        <v>0</v>
      </c>
      <c r="M38" s="87"/>
      <c r="N38" s="88"/>
      <c r="O38" s="44">
        <f t="shared" si="18"/>
        <v>0</v>
      </c>
      <c r="P38" s="88"/>
      <c r="Q38" s="88"/>
      <c r="R38" s="44">
        <f t="shared" si="19"/>
        <v>0</v>
      </c>
      <c r="S38" s="88"/>
      <c r="T38" s="88"/>
      <c r="U38" s="44">
        <f t="shared" si="20"/>
        <v>0</v>
      </c>
      <c r="V38" s="88"/>
      <c r="W38" s="88"/>
      <c r="X38" s="44">
        <f t="shared" si="21"/>
        <v>0</v>
      </c>
      <c r="Y38" s="44"/>
      <c r="Z38" s="44"/>
      <c r="AA38" s="44"/>
      <c r="AB38" s="44">
        <f t="shared" si="22"/>
        <v>0</v>
      </c>
      <c r="AC38" s="23"/>
      <c r="AD38" s="6"/>
      <c r="AE38" s="7">
        <f t="shared" si="1"/>
        <v>0</v>
      </c>
      <c r="AF38" s="6"/>
      <c r="AG38" s="7">
        <f t="shared" si="2"/>
        <v>0</v>
      </c>
      <c r="AH38" s="6"/>
      <c r="AI38" s="7">
        <f t="shared" si="3"/>
        <v>0</v>
      </c>
      <c r="AJ38" s="6"/>
      <c r="AK38" s="7">
        <f t="shared" si="4"/>
        <v>0</v>
      </c>
      <c r="AL38" s="6"/>
      <c r="AM38" s="7">
        <f t="shared" si="5"/>
        <v>0</v>
      </c>
      <c r="AN38" s="6"/>
      <c r="AO38" s="7">
        <f t="shared" si="6"/>
        <v>0</v>
      </c>
      <c r="AP38" s="30">
        <f t="shared" si="23"/>
        <v>0</v>
      </c>
      <c r="AQ38" s="6"/>
      <c r="AR38" s="6"/>
      <c r="AS38" s="6"/>
      <c r="AT38" s="44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58"/>
        <v>0</v>
      </c>
      <c r="BE38" s="5">
        <f t="shared" si="28"/>
        <v>0</v>
      </c>
      <c r="BF38" s="5">
        <f t="shared" si="29"/>
        <v>0</v>
      </c>
      <c r="BG38" s="5">
        <f t="shared" si="30"/>
        <v>0</v>
      </c>
      <c r="BH38" s="5">
        <f t="shared" si="31"/>
        <v>0</v>
      </c>
      <c r="BI38" s="5">
        <f t="shared" si="32"/>
        <v>0</v>
      </c>
      <c r="BJ38" s="5">
        <f t="shared" si="33"/>
        <v>0</v>
      </c>
      <c r="BK38" s="5">
        <f t="shared" si="34"/>
        <v>0</v>
      </c>
      <c r="BL38" s="5">
        <f t="shared" si="35"/>
        <v>0</v>
      </c>
      <c r="BM38" s="5">
        <f t="shared" si="36"/>
        <v>0</v>
      </c>
      <c r="BN38" s="5">
        <f t="shared" si="37"/>
        <v>0</v>
      </c>
      <c r="BO38" s="5">
        <f t="shared" si="38"/>
        <v>0</v>
      </c>
      <c r="BP38" s="5">
        <f t="shared" si="39"/>
        <v>0</v>
      </c>
      <c r="BQ38" s="5">
        <f t="shared" si="40"/>
        <v>0</v>
      </c>
      <c r="BR38" s="5">
        <f t="shared" si="41"/>
        <v>0</v>
      </c>
      <c r="BS38" s="5">
        <f t="shared" si="42"/>
        <v>0</v>
      </c>
      <c r="BT38" s="5">
        <f t="shared" si="43"/>
        <v>0</v>
      </c>
      <c r="BU38" s="5">
        <f t="shared" si="44"/>
        <v>0</v>
      </c>
      <c r="BV38" s="5">
        <f t="shared" si="45"/>
        <v>0</v>
      </c>
      <c r="BW38" s="5">
        <f t="shared" si="46"/>
        <v>0</v>
      </c>
      <c r="BX38" s="5">
        <f t="shared" si="47"/>
        <v>0</v>
      </c>
      <c r="BY38" s="5">
        <f t="shared" si="11"/>
        <v>0</v>
      </c>
      <c r="BZ38" s="5">
        <f t="shared" si="48"/>
        <v>0</v>
      </c>
      <c r="CA38" s="5">
        <f t="shared" si="49"/>
        <v>0</v>
      </c>
      <c r="CB38" s="5">
        <f t="shared" si="50"/>
        <v>0</v>
      </c>
      <c r="CC38" s="5">
        <f t="shared" si="51"/>
        <v>0</v>
      </c>
      <c r="CD38" s="5">
        <f t="shared" si="52"/>
        <v>0</v>
      </c>
      <c r="CE38" s="5">
        <f t="shared" si="53"/>
        <v>0</v>
      </c>
      <c r="CF38" s="5">
        <f t="shared" si="54"/>
        <v>0</v>
      </c>
      <c r="CG38" s="5">
        <f t="shared" si="55"/>
        <v>0</v>
      </c>
      <c r="CH38" s="5">
        <f t="shared" si="56"/>
        <v>0</v>
      </c>
      <c r="CI38" s="5">
        <f t="shared" si="57"/>
        <v>0</v>
      </c>
      <c r="CJ38" s="5"/>
      <c r="CK38" s="4">
        <f t="shared" si="76"/>
        <v>0</v>
      </c>
    </row>
    <row r="39" spans="1:89" ht="38" customHeight="1">
      <c r="A39" s="33" t="str">
        <f t="shared" si="75"/>
        <v/>
      </c>
      <c r="B39" s="10"/>
      <c r="C39" s="86"/>
      <c r="D39" s="88"/>
      <c r="E39" s="88"/>
      <c r="F39" s="44">
        <f t="shared" si="15"/>
        <v>0</v>
      </c>
      <c r="G39" s="88"/>
      <c r="H39" s="88"/>
      <c r="I39" s="44">
        <f t="shared" si="16"/>
        <v>0</v>
      </c>
      <c r="J39" s="87"/>
      <c r="K39" s="88"/>
      <c r="L39" s="44">
        <f t="shared" si="17"/>
        <v>0</v>
      </c>
      <c r="M39" s="88"/>
      <c r="N39" s="88"/>
      <c r="O39" s="44">
        <f t="shared" si="18"/>
        <v>0</v>
      </c>
      <c r="P39" s="88"/>
      <c r="Q39" s="88"/>
      <c r="R39" s="44">
        <f t="shared" si="19"/>
        <v>0</v>
      </c>
      <c r="S39" s="88"/>
      <c r="T39" s="88"/>
      <c r="U39" s="44">
        <f t="shared" si="20"/>
        <v>0</v>
      </c>
      <c r="V39" s="88"/>
      <c r="W39" s="88"/>
      <c r="X39" s="44">
        <f t="shared" si="21"/>
        <v>0</v>
      </c>
      <c r="Y39" s="44"/>
      <c r="Z39" s="44"/>
      <c r="AA39" s="44"/>
      <c r="AB39" s="44">
        <f t="shared" si="22"/>
        <v>0</v>
      </c>
      <c r="AC39" s="23"/>
      <c r="AD39" s="6"/>
      <c r="AE39" s="7">
        <f t="shared" si="1"/>
        <v>0</v>
      </c>
      <c r="AF39" s="6"/>
      <c r="AG39" s="7">
        <f t="shared" si="2"/>
        <v>0</v>
      </c>
      <c r="AH39" s="6"/>
      <c r="AI39" s="7">
        <f t="shared" si="3"/>
        <v>0</v>
      </c>
      <c r="AJ39" s="6"/>
      <c r="AK39" s="7">
        <f t="shared" si="4"/>
        <v>0</v>
      </c>
      <c r="AL39" s="6"/>
      <c r="AM39" s="7">
        <f t="shared" si="5"/>
        <v>0</v>
      </c>
      <c r="AN39" s="6"/>
      <c r="AO39" s="7">
        <f t="shared" si="6"/>
        <v>0</v>
      </c>
      <c r="AP39" s="30">
        <f t="shared" si="23"/>
        <v>0</v>
      </c>
      <c r="AQ39" s="6"/>
      <c r="AR39" s="6"/>
      <c r="AS39" s="6"/>
      <c r="AT39" s="44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58"/>
        <v>0</v>
      </c>
      <c r="BE39" s="5">
        <f t="shared" si="28"/>
        <v>0</v>
      </c>
      <c r="BF39" s="5">
        <f t="shared" si="29"/>
        <v>0</v>
      </c>
      <c r="BG39" s="5">
        <f t="shared" si="30"/>
        <v>0</v>
      </c>
      <c r="BH39" s="5">
        <f t="shared" si="31"/>
        <v>0</v>
      </c>
      <c r="BI39" s="5">
        <f t="shared" si="32"/>
        <v>0</v>
      </c>
      <c r="BJ39" s="5">
        <f t="shared" si="33"/>
        <v>0</v>
      </c>
      <c r="BK39" s="5">
        <f t="shared" si="34"/>
        <v>0</v>
      </c>
      <c r="BL39" s="5">
        <f t="shared" si="35"/>
        <v>0</v>
      </c>
      <c r="BM39" s="5">
        <f t="shared" si="36"/>
        <v>0</v>
      </c>
      <c r="BN39" s="5">
        <f t="shared" si="37"/>
        <v>0</v>
      </c>
      <c r="BO39" s="5">
        <f t="shared" si="38"/>
        <v>0</v>
      </c>
      <c r="BP39" s="5">
        <f t="shared" si="39"/>
        <v>0</v>
      </c>
      <c r="BQ39" s="5">
        <f t="shared" si="40"/>
        <v>0</v>
      </c>
      <c r="BR39" s="5">
        <f t="shared" si="41"/>
        <v>0</v>
      </c>
      <c r="BS39" s="5">
        <f t="shared" si="42"/>
        <v>0</v>
      </c>
      <c r="BT39" s="5">
        <f t="shared" si="43"/>
        <v>0</v>
      </c>
      <c r="BU39" s="5">
        <f t="shared" si="44"/>
        <v>0</v>
      </c>
      <c r="BV39" s="5">
        <f t="shared" si="45"/>
        <v>0</v>
      </c>
      <c r="BW39" s="5">
        <f t="shared" si="46"/>
        <v>0</v>
      </c>
      <c r="BX39" s="5">
        <f t="shared" si="47"/>
        <v>0</v>
      </c>
      <c r="BY39" s="5">
        <f t="shared" si="11"/>
        <v>0</v>
      </c>
      <c r="BZ39" s="5">
        <f t="shared" si="48"/>
        <v>0</v>
      </c>
      <c r="CA39" s="5">
        <f t="shared" si="49"/>
        <v>0</v>
      </c>
      <c r="CB39" s="5">
        <f t="shared" si="50"/>
        <v>0</v>
      </c>
      <c r="CC39" s="5">
        <f t="shared" si="51"/>
        <v>0</v>
      </c>
      <c r="CD39" s="5">
        <f t="shared" si="52"/>
        <v>0</v>
      </c>
      <c r="CE39" s="5">
        <f t="shared" si="53"/>
        <v>0</v>
      </c>
      <c r="CF39" s="5">
        <f t="shared" si="54"/>
        <v>0</v>
      </c>
      <c r="CG39" s="5">
        <f t="shared" si="55"/>
        <v>0</v>
      </c>
      <c r="CH39" s="5">
        <f t="shared" si="56"/>
        <v>0</v>
      </c>
      <c r="CI39" s="5">
        <f t="shared" si="57"/>
        <v>0</v>
      </c>
      <c r="CJ39" s="5"/>
      <c r="CK39" s="4">
        <f t="shared" si="76"/>
        <v>0</v>
      </c>
    </row>
    <row r="40" spans="1:89" ht="38" customHeight="1">
      <c r="A40" s="33" t="str">
        <f t="shared" si="75"/>
        <v/>
      </c>
      <c r="B40" s="10"/>
      <c r="C40" s="86"/>
      <c r="D40" s="88"/>
      <c r="E40" s="88"/>
      <c r="F40" s="44">
        <f t="shared" si="15"/>
        <v>0</v>
      </c>
      <c r="G40" s="88"/>
      <c r="H40" s="88"/>
      <c r="I40" s="44">
        <f t="shared" si="16"/>
        <v>0</v>
      </c>
      <c r="J40" s="87"/>
      <c r="K40" s="88"/>
      <c r="L40" s="44">
        <f t="shared" si="17"/>
        <v>0</v>
      </c>
      <c r="M40" s="88"/>
      <c r="N40" s="88"/>
      <c r="O40" s="44">
        <f t="shared" si="18"/>
        <v>0</v>
      </c>
      <c r="P40" s="88"/>
      <c r="Q40" s="88"/>
      <c r="R40" s="44">
        <f t="shared" si="19"/>
        <v>0</v>
      </c>
      <c r="S40" s="88"/>
      <c r="T40" s="88"/>
      <c r="U40" s="44">
        <f t="shared" si="20"/>
        <v>0</v>
      </c>
      <c r="V40" s="88"/>
      <c r="W40" s="88"/>
      <c r="X40" s="44">
        <f t="shared" si="21"/>
        <v>0</v>
      </c>
      <c r="Y40" s="44"/>
      <c r="Z40" s="44"/>
      <c r="AA40" s="44"/>
      <c r="AB40" s="44">
        <f t="shared" si="22"/>
        <v>0</v>
      </c>
      <c r="AC40" s="23"/>
      <c r="AD40" s="6"/>
      <c r="AE40" s="7">
        <f t="shared" si="1"/>
        <v>0</v>
      </c>
      <c r="AF40" s="6"/>
      <c r="AG40" s="7">
        <f t="shared" si="2"/>
        <v>0</v>
      </c>
      <c r="AH40" s="6"/>
      <c r="AI40" s="7">
        <f t="shared" si="3"/>
        <v>0</v>
      </c>
      <c r="AJ40" s="6"/>
      <c r="AK40" s="7">
        <f t="shared" si="4"/>
        <v>0</v>
      </c>
      <c r="AL40" s="6"/>
      <c r="AM40" s="7">
        <f t="shared" si="5"/>
        <v>0</v>
      </c>
      <c r="AN40" s="6"/>
      <c r="AO40" s="7">
        <f t="shared" si="6"/>
        <v>0</v>
      </c>
      <c r="AP40" s="30">
        <f t="shared" si="23"/>
        <v>0</v>
      </c>
      <c r="AQ40" s="6"/>
      <c r="AR40" s="6"/>
      <c r="AS40" s="6"/>
      <c r="AT40" s="44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58"/>
        <v>0</v>
      </c>
      <c r="BE40" s="5">
        <f t="shared" si="28"/>
        <v>0</v>
      </c>
      <c r="BF40" s="5">
        <f t="shared" si="29"/>
        <v>0</v>
      </c>
      <c r="BG40" s="5">
        <f t="shared" si="30"/>
        <v>0</v>
      </c>
      <c r="BH40" s="5">
        <f t="shared" si="31"/>
        <v>0</v>
      </c>
      <c r="BI40" s="5">
        <f t="shared" si="32"/>
        <v>0</v>
      </c>
      <c r="BJ40" s="5">
        <f t="shared" si="33"/>
        <v>0</v>
      </c>
      <c r="BK40" s="5">
        <f t="shared" si="34"/>
        <v>0</v>
      </c>
      <c r="BL40" s="5">
        <f t="shared" si="35"/>
        <v>0</v>
      </c>
      <c r="BM40" s="5">
        <f t="shared" si="36"/>
        <v>0</v>
      </c>
      <c r="BN40" s="5">
        <f t="shared" si="37"/>
        <v>0</v>
      </c>
      <c r="BO40" s="5">
        <f t="shared" si="38"/>
        <v>0</v>
      </c>
      <c r="BP40" s="5">
        <f t="shared" si="39"/>
        <v>0</v>
      </c>
      <c r="BQ40" s="5">
        <f t="shared" si="40"/>
        <v>0</v>
      </c>
      <c r="BR40" s="5">
        <f t="shared" si="41"/>
        <v>0</v>
      </c>
      <c r="BS40" s="5">
        <f t="shared" si="42"/>
        <v>0</v>
      </c>
      <c r="BT40" s="5">
        <f t="shared" si="43"/>
        <v>0</v>
      </c>
      <c r="BU40" s="5">
        <f t="shared" si="44"/>
        <v>0</v>
      </c>
      <c r="BV40" s="5">
        <f t="shared" si="45"/>
        <v>0</v>
      </c>
      <c r="BW40" s="5">
        <f t="shared" si="46"/>
        <v>0</v>
      </c>
      <c r="BX40" s="5">
        <f t="shared" si="47"/>
        <v>0</v>
      </c>
      <c r="BY40" s="5">
        <f t="shared" si="11"/>
        <v>0</v>
      </c>
      <c r="BZ40" s="5">
        <f t="shared" si="48"/>
        <v>0</v>
      </c>
      <c r="CA40" s="5">
        <f t="shared" si="49"/>
        <v>0</v>
      </c>
      <c r="CB40" s="5">
        <f t="shared" si="50"/>
        <v>0</v>
      </c>
      <c r="CC40" s="5">
        <f t="shared" si="51"/>
        <v>0</v>
      </c>
      <c r="CD40" s="5">
        <f t="shared" si="52"/>
        <v>0</v>
      </c>
      <c r="CE40" s="5">
        <f t="shared" si="53"/>
        <v>0</v>
      </c>
      <c r="CF40" s="5">
        <f t="shared" si="54"/>
        <v>0</v>
      </c>
      <c r="CG40" s="5">
        <f t="shared" si="55"/>
        <v>0</v>
      </c>
      <c r="CH40" s="5">
        <f t="shared" si="56"/>
        <v>0</v>
      </c>
      <c r="CI40" s="5">
        <f t="shared" si="57"/>
        <v>0</v>
      </c>
      <c r="CJ40" s="5"/>
      <c r="CK40" s="4">
        <f t="shared" si="76"/>
        <v>0</v>
      </c>
    </row>
    <row r="41" spans="1:89" ht="38" customHeight="1">
      <c r="A41" s="33" t="str">
        <f t="shared" si="75"/>
        <v/>
      </c>
      <c r="B41" s="10"/>
      <c r="C41" s="86"/>
      <c r="D41" s="88"/>
      <c r="E41" s="88"/>
      <c r="F41" s="44">
        <f t="shared" ref="F41:F60" si="77">BA41-BB41</f>
        <v>0</v>
      </c>
      <c r="G41" s="88"/>
      <c r="H41" s="88"/>
      <c r="I41" s="44">
        <f t="shared" ref="I41:I60" si="78">BF41-BG41</f>
        <v>0</v>
      </c>
      <c r="J41" s="87"/>
      <c r="K41" s="88"/>
      <c r="L41" s="44">
        <f t="shared" ref="L41:L60" si="79">BK41-BL41</f>
        <v>0</v>
      </c>
      <c r="M41" s="88"/>
      <c r="N41" s="88"/>
      <c r="O41" s="44">
        <f t="shared" ref="O41:O60" si="80">BP41-BQ41</f>
        <v>0</v>
      </c>
      <c r="P41" s="88"/>
      <c r="Q41" s="88"/>
      <c r="R41" s="44">
        <f t="shared" ref="R41:R60" si="81">BU41-BV41</f>
        <v>0</v>
      </c>
      <c r="S41" s="88"/>
      <c r="T41" s="88"/>
      <c r="U41" s="44">
        <f t="shared" ref="U41:U60" si="82">BZ41-CA41</f>
        <v>0</v>
      </c>
      <c r="V41" s="88"/>
      <c r="W41" s="88"/>
      <c r="X41" s="44">
        <f t="shared" ref="X41:X60" si="83">CE41-CF41</f>
        <v>0</v>
      </c>
      <c r="Y41" s="44"/>
      <c r="Z41" s="44"/>
      <c r="AA41" s="44"/>
      <c r="AB41" s="44">
        <f t="shared" ref="AB41:AB60" si="84">SUM(F41,I41,L41,O41,R41,U41,X41)</f>
        <v>0</v>
      </c>
      <c r="AC41" s="23"/>
      <c r="AD41" s="6"/>
      <c r="AE41" s="7">
        <f t="shared" ref="AE41:AE60" si="85">SUMIF($BC$1:$CI$1,AE$1,$BC41:$CI41)+AD41</f>
        <v>0</v>
      </c>
      <c r="AF41" s="6"/>
      <c r="AG41" s="7">
        <f t="shared" ref="AG41:AG60" si="86">SUMIF($BC$1:$CI$1,AG$1,$BC41:$CI41)+AF41</f>
        <v>0</v>
      </c>
      <c r="AH41" s="6"/>
      <c r="AI41" s="7">
        <f t="shared" ref="AI41:AI60" si="87">SUMIF($BC$1:$CI$1,AI$1,$BC41:$CI41)+AH41</f>
        <v>0</v>
      </c>
      <c r="AJ41" s="6"/>
      <c r="AK41" s="7">
        <f t="shared" ref="AK41:AK60" si="88">SUMIF($BC$1:$CI$1,AK$1,$BC41:$CI41)+AJ41</f>
        <v>0</v>
      </c>
      <c r="AL41" s="6"/>
      <c r="AM41" s="7">
        <f t="shared" ref="AM41:AM60" si="89">SUMIF($BC$1:$CI$1,AM$1,$BC41:$CI41)+AL41</f>
        <v>0</v>
      </c>
      <c r="AN41" s="6"/>
      <c r="AO41" s="7">
        <f t="shared" ref="AO41:AO60" si="90">SUMIF($BC$1:$CI$1,AO$1,$BC41:$CI41)+AN41</f>
        <v>0</v>
      </c>
      <c r="AP41" s="30">
        <f t="shared" ref="AP41:AP60" si="91">CK41</f>
        <v>0</v>
      </c>
      <c r="AQ41" s="6"/>
      <c r="AR41" s="6"/>
      <c r="AS41" s="6"/>
      <c r="AT41" s="44">
        <f t="shared" ref="AT41:AT60" si="92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58"/>
        <v>0</v>
      </c>
      <c r="BE41" s="5">
        <f t="shared" si="28"/>
        <v>0</v>
      </c>
      <c r="BF41" s="5">
        <f t="shared" si="29"/>
        <v>0</v>
      </c>
      <c r="BG41" s="5">
        <f t="shared" si="30"/>
        <v>0</v>
      </c>
      <c r="BH41" s="5">
        <f t="shared" si="31"/>
        <v>0</v>
      </c>
      <c r="BI41" s="5">
        <f t="shared" si="32"/>
        <v>0</v>
      </c>
      <c r="BJ41" s="5">
        <f t="shared" si="33"/>
        <v>0</v>
      </c>
      <c r="BK41" s="5">
        <f t="shared" si="34"/>
        <v>0</v>
      </c>
      <c r="BL41" s="5">
        <f t="shared" si="35"/>
        <v>0</v>
      </c>
      <c r="BM41" s="5">
        <f t="shared" si="36"/>
        <v>0</v>
      </c>
      <c r="BN41" s="5">
        <f t="shared" si="37"/>
        <v>0</v>
      </c>
      <c r="BO41" s="5">
        <f t="shared" si="38"/>
        <v>0</v>
      </c>
      <c r="BP41" s="5">
        <f t="shared" si="39"/>
        <v>0</v>
      </c>
      <c r="BQ41" s="5">
        <f t="shared" si="40"/>
        <v>0</v>
      </c>
      <c r="BR41" s="5">
        <f t="shared" si="41"/>
        <v>0</v>
      </c>
      <c r="BS41" s="5">
        <f t="shared" si="42"/>
        <v>0</v>
      </c>
      <c r="BT41" s="5">
        <f t="shared" si="43"/>
        <v>0</v>
      </c>
      <c r="BU41" s="5">
        <f t="shared" si="44"/>
        <v>0</v>
      </c>
      <c r="BV41" s="5">
        <f t="shared" si="45"/>
        <v>0</v>
      </c>
      <c r="BW41" s="5">
        <f t="shared" si="46"/>
        <v>0</v>
      </c>
      <c r="BX41" s="5">
        <f t="shared" si="47"/>
        <v>0</v>
      </c>
      <c r="BY41" s="5">
        <f t="shared" si="11"/>
        <v>0</v>
      </c>
      <c r="BZ41" s="5">
        <f t="shared" si="48"/>
        <v>0</v>
      </c>
      <c r="CA41" s="5">
        <f t="shared" si="49"/>
        <v>0</v>
      </c>
      <c r="CB41" s="5">
        <f t="shared" si="50"/>
        <v>0</v>
      </c>
      <c r="CC41" s="5">
        <f t="shared" si="51"/>
        <v>0</v>
      </c>
      <c r="CD41" s="5">
        <f t="shared" si="52"/>
        <v>0</v>
      </c>
      <c r="CE41" s="5">
        <f t="shared" si="53"/>
        <v>0</v>
      </c>
      <c r="CF41" s="5">
        <f t="shared" si="54"/>
        <v>0</v>
      </c>
      <c r="CG41" s="5">
        <f t="shared" si="55"/>
        <v>0</v>
      </c>
      <c r="CH41" s="5">
        <f t="shared" si="56"/>
        <v>0</v>
      </c>
      <c r="CI41" s="5">
        <f t="shared" si="57"/>
        <v>0</v>
      </c>
      <c r="CJ41" s="5"/>
      <c r="CK41" s="4">
        <f t="shared" si="76"/>
        <v>0</v>
      </c>
    </row>
    <row r="42" spans="1:89" ht="38" customHeight="1">
      <c r="A42" s="33" t="str">
        <f t="shared" si="75"/>
        <v/>
      </c>
      <c r="B42" s="10"/>
      <c r="C42" s="86"/>
      <c r="D42" s="88"/>
      <c r="E42" s="88"/>
      <c r="F42" s="44">
        <f t="shared" si="77"/>
        <v>0</v>
      </c>
      <c r="G42" s="88"/>
      <c r="H42" s="88"/>
      <c r="I42" s="44">
        <f t="shared" si="78"/>
        <v>0</v>
      </c>
      <c r="J42" s="87"/>
      <c r="K42" s="88"/>
      <c r="L42" s="44">
        <f t="shared" si="79"/>
        <v>0</v>
      </c>
      <c r="M42" s="88"/>
      <c r="N42" s="88"/>
      <c r="O42" s="44">
        <f t="shared" si="80"/>
        <v>0</v>
      </c>
      <c r="P42" s="88"/>
      <c r="Q42" s="88"/>
      <c r="R42" s="44">
        <f t="shared" si="81"/>
        <v>0</v>
      </c>
      <c r="S42" s="88"/>
      <c r="T42" s="88"/>
      <c r="U42" s="44">
        <f t="shared" si="82"/>
        <v>0</v>
      </c>
      <c r="V42" s="88"/>
      <c r="W42" s="88"/>
      <c r="X42" s="44">
        <f t="shared" si="83"/>
        <v>0</v>
      </c>
      <c r="Y42" s="44"/>
      <c r="Z42" s="44"/>
      <c r="AA42" s="44"/>
      <c r="AB42" s="44">
        <f t="shared" si="84"/>
        <v>0</v>
      </c>
      <c r="AC42" s="23"/>
      <c r="AD42" s="6"/>
      <c r="AE42" s="7">
        <f t="shared" si="85"/>
        <v>0</v>
      </c>
      <c r="AF42" s="6"/>
      <c r="AG42" s="7">
        <f t="shared" si="86"/>
        <v>0</v>
      </c>
      <c r="AH42" s="6"/>
      <c r="AI42" s="7">
        <f t="shared" si="87"/>
        <v>0</v>
      </c>
      <c r="AJ42" s="6"/>
      <c r="AK42" s="7">
        <f t="shared" si="88"/>
        <v>0</v>
      </c>
      <c r="AL42" s="6"/>
      <c r="AM42" s="7">
        <f t="shared" si="89"/>
        <v>0</v>
      </c>
      <c r="AN42" s="6"/>
      <c r="AO42" s="7">
        <f t="shared" si="90"/>
        <v>0</v>
      </c>
      <c r="AP42" s="30">
        <f t="shared" si="91"/>
        <v>0</v>
      </c>
      <c r="AQ42" s="6"/>
      <c r="AR42" s="6"/>
      <c r="AS42" s="6"/>
      <c r="AT42" s="44">
        <f t="shared" si="92"/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58"/>
        <v>0</v>
      </c>
      <c r="BE42" s="5">
        <f t="shared" si="28"/>
        <v>0</v>
      </c>
      <c r="BF42" s="5">
        <f t="shared" si="29"/>
        <v>0</v>
      </c>
      <c r="BG42" s="5">
        <f t="shared" si="30"/>
        <v>0</v>
      </c>
      <c r="BH42" s="5">
        <f t="shared" si="31"/>
        <v>0</v>
      </c>
      <c r="BI42" s="5">
        <f t="shared" si="32"/>
        <v>0</v>
      </c>
      <c r="BJ42" s="5">
        <f t="shared" si="33"/>
        <v>0</v>
      </c>
      <c r="BK42" s="5">
        <f t="shared" si="34"/>
        <v>0</v>
      </c>
      <c r="BL42" s="5">
        <f t="shared" si="35"/>
        <v>0</v>
      </c>
      <c r="BM42" s="5">
        <f t="shared" si="36"/>
        <v>0</v>
      </c>
      <c r="BN42" s="5">
        <f t="shared" si="37"/>
        <v>0</v>
      </c>
      <c r="BO42" s="5">
        <f t="shared" si="38"/>
        <v>0</v>
      </c>
      <c r="BP42" s="5">
        <f t="shared" si="39"/>
        <v>0</v>
      </c>
      <c r="BQ42" s="5">
        <f t="shared" si="40"/>
        <v>0</v>
      </c>
      <c r="BR42" s="5">
        <f t="shared" si="41"/>
        <v>0</v>
      </c>
      <c r="BS42" s="5">
        <f t="shared" si="42"/>
        <v>0</v>
      </c>
      <c r="BT42" s="5">
        <f t="shared" si="43"/>
        <v>0</v>
      </c>
      <c r="BU42" s="5">
        <f t="shared" si="44"/>
        <v>0</v>
      </c>
      <c r="BV42" s="5">
        <f t="shared" si="45"/>
        <v>0</v>
      </c>
      <c r="BW42" s="5">
        <f t="shared" si="46"/>
        <v>0</v>
      </c>
      <c r="BX42" s="5">
        <f t="shared" si="47"/>
        <v>0</v>
      </c>
      <c r="BY42" s="5">
        <f t="shared" si="11"/>
        <v>0</v>
      </c>
      <c r="BZ42" s="5">
        <f t="shared" si="48"/>
        <v>0</v>
      </c>
      <c r="CA42" s="5">
        <f t="shared" si="49"/>
        <v>0</v>
      </c>
      <c r="CB42" s="5">
        <f t="shared" si="50"/>
        <v>0</v>
      </c>
      <c r="CC42" s="5">
        <f t="shared" si="51"/>
        <v>0</v>
      </c>
      <c r="CD42" s="5">
        <f t="shared" si="52"/>
        <v>0</v>
      </c>
      <c r="CE42" s="5">
        <f t="shared" si="53"/>
        <v>0</v>
      </c>
      <c r="CF42" s="5">
        <f t="shared" si="54"/>
        <v>0</v>
      </c>
      <c r="CG42" s="5">
        <f t="shared" si="55"/>
        <v>0</v>
      </c>
      <c r="CH42" s="5">
        <f t="shared" si="56"/>
        <v>0</v>
      </c>
      <c r="CI42" s="5">
        <f t="shared" si="57"/>
        <v>0</v>
      </c>
      <c r="CJ42" s="5"/>
      <c r="CK42" s="4">
        <f t="shared" si="76"/>
        <v>0</v>
      </c>
    </row>
    <row r="43" spans="1:89" ht="38" customHeight="1">
      <c r="A43" s="33" t="str">
        <f t="shared" si="75"/>
        <v/>
      </c>
      <c r="B43" s="10"/>
      <c r="C43" s="86"/>
      <c r="D43" s="88"/>
      <c r="E43" s="88"/>
      <c r="F43" s="44">
        <f t="shared" si="77"/>
        <v>0</v>
      </c>
      <c r="G43" s="88"/>
      <c r="H43" s="88"/>
      <c r="I43" s="44">
        <f t="shared" si="78"/>
        <v>0</v>
      </c>
      <c r="J43" s="87"/>
      <c r="K43" s="88"/>
      <c r="L43" s="44">
        <f t="shared" si="79"/>
        <v>0</v>
      </c>
      <c r="M43" s="88"/>
      <c r="N43" s="88"/>
      <c r="O43" s="44">
        <f t="shared" si="80"/>
        <v>0</v>
      </c>
      <c r="P43" s="88"/>
      <c r="Q43" s="88"/>
      <c r="R43" s="44">
        <f t="shared" si="81"/>
        <v>0</v>
      </c>
      <c r="S43" s="88"/>
      <c r="T43" s="88"/>
      <c r="U43" s="44">
        <f t="shared" si="82"/>
        <v>0</v>
      </c>
      <c r="V43" s="88"/>
      <c r="W43" s="88"/>
      <c r="X43" s="44">
        <f t="shared" si="83"/>
        <v>0</v>
      </c>
      <c r="Y43" s="44"/>
      <c r="Z43" s="44"/>
      <c r="AA43" s="44"/>
      <c r="AB43" s="44">
        <f t="shared" si="84"/>
        <v>0</v>
      </c>
      <c r="AC43" s="23"/>
      <c r="AD43" s="6"/>
      <c r="AE43" s="7">
        <f t="shared" si="85"/>
        <v>0</v>
      </c>
      <c r="AF43" s="6"/>
      <c r="AG43" s="7">
        <f t="shared" si="86"/>
        <v>0</v>
      </c>
      <c r="AH43" s="6"/>
      <c r="AI43" s="7">
        <f t="shared" si="87"/>
        <v>0</v>
      </c>
      <c r="AJ43" s="6"/>
      <c r="AK43" s="7">
        <f t="shared" si="88"/>
        <v>0</v>
      </c>
      <c r="AL43" s="6"/>
      <c r="AM43" s="7">
        <f t="shared" si="89"/>
        <v>0</v>
      </c>
      <c r="AN43" s="6"/>
      <c r="AO43" s="7">
        <f t="shared" si="90"/>
        <v>0</v>
      </c>
      <c r="AP43" s="30">
        <f t="shared" si="91"/>
        <v>0</v>
      </c>
      <c r="AQ43" s="6"/>
      <c r="AR43" s="6"/>
      <c r="AS43" s="6"/>
      <c r="AT43" s="44">
        <f t="shared" si="92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58"/>
        <v>0</v>
      </c>
      <c r="BE43" s="5">
        <f t="shared" si="28"/>
        <v>0</v>
      </c>
      <c r="BF43" s="5">
        <f t="shared" si="29"/>
        <v>0</v>
      </c>
      <c r="BG43" s="5">
        <f t="shared" si="30"/>
        <v>0</v>
      </c>
      <c r="BH43" s="5">
        <f t="shared" si="31"/>
        <v>0</v>
      </c>
      <c r="BI43" s="5">
        <f t="shared" si="32"/>
        <v>0</v>
      </c>
      <c r="BJ43" s="5">
        <f t="shared" si="33"/>
        <v>0</v>
      </c>
      <c r="BK43" s="5">
        <f t="shared" si="34"/>
        <v>0</v>
      </c>
      <c r="BL43" s="5">
        <f t="shared" si="35"/>
        <v>0</v>
      </c>
      <c r="BM43" s="5">
        <f t="shared" si="36"/>
        <v>0</v>
      </c>
      <c r="BN43" s="5">
        <f t="shared" si="37"/>
        <v>0</v>
      </c>
      <c r="BO43" s="5">
        <f t="shared" si="38"/>
        <v>0</v>
      </c>
      <c r="BP43" s="5">
        <f t="shared" si="39"/>
        <v>0</v>
      </c>
      <c r="BQ43" s="5">
        <f t="shared" si="40"/>
        <v>0</v>
      </c>
      <c r="BR43" s="5">
        <f t="shared" si="41"/>
        <v>0</v>
      </c>
      <c r="BS43" s="5">
        <f t="shared" si="42"/>
        <v>0</v>
      </c>
      <c r="BT43" s="5">
        <f t="shared" si="43"/>
        <v>0</v>
      </c>
      <c r="BU43" s="5">
        <f t="shared" si="44"/>
        <v>0</v>
      </c>
      <c r="BV43" s="5">
        <f t="shared" si="45"/>
        <v>0</v>
      </c>
      <c r="BW43" s="5">
        <f t="shared" si="46"/>
        <v>0</v>
      </c>
      <c r="BX43" s="5">
        <f t="shared" si="47"/>
        <v>0</v>
      </c>
      <c r="BY43" s="5">
        <f t="shared" si="11"/>
        <v>0</v>
      </c>
      <c r="BZ43" s="5">
        <f t="shared" si="48"/>
        <v>0</v>
      </c>
      <c r="CA43" s="5">
        <f t="shared" si="49"/>
        <v>0</v>
      </c>
      <c r="CB43" s="5">
        <f t="shared" si="50"/>
        <v>0</v>
      </c>
      <c r="CC43" s="5">
        <f t="shared" si="51"/>
        <v>0</v>
      </c>
      <c r="CD43" s="5">
        <f t="shared" si="52"/>
        <v>0</v>
      </c>
      <c r="CE43" s="5">
        <f t="shared" si="53"/>
        <v>0</v>
      </c>
      <c r="CF43" s="5">
        <f t="shared" si="54"/>
        <v>0</v>
      </c>
      <c r="CG43" s="5">
        <f t="shared" si="55"/>
        <v>0</v>
      </c>
      <c r="CH43" s="5">
        <f t="shared" si="56"/>
        <v>0</v>
      </c>
      <c r="CI43" s="5">
        <f t="shared" si="57"/>
        <v>0</v>
      </c>
      <c r="CJ43" s="5"/>
      <c r="CK43" s="4">
        <f t="shared" si="76"/>
        <v>0</v>
      </c>
    </row>
    <row r="44" spans="1:89" ht="38" customHeight="1">
      <c r="A44" s="33" t="str">
        <f t="shared" si="75"/>
        <v/>
      </c>
      <c r="B44" s="10"/>
      <c r="C44" s="86"/>
      <c r="D44" s="88"/>
      <c r="E44" s="88"/>
      <c r="F44" s="44">
        <f t="shared" si="77"/>
        <v>0</v>
      </c>
      <c r="G44" s="88"/>
      <c r="H44" s="88"/>
      <c r="I44" s="44">
        <f t="shared" si="78"/>
        <v>0</v>
      </c>
      <c r="J44" s="87"/>
      <c r="K44" s="88"/>
      <c r="L44" s="44">
        <f t="shared" si="79"/>
        <v>0</v>
      </c>
      <c r="M44" s="88"/>
      <c r="N44" s="88"/>
      <c r="O44" s="44">
        <f t="shared" si="80"/>
        <v>0</v>
      </c>
      <c r="P44" s="88"/>
      <c r="Q44" s="88"/>
      <c r="R44" s="44">
        <f t="shared" si="81"/>
        <v>0</v>
      </c>
      <c r="S44" s="88"/>
      <c r="T44" s="88"/>
      <c r="U44" s="44">
        <f t="shared" si="82"/>
        <v>0</v>
      </c>
      <c r="V44" s="88"/>
      <c r="W44" s="88"/>
      <c r="X44" s="44">
        <f t="shared" si="83"/>
        <v>0</v>
      </c>
      <c r="Y44" s="44"/>
      <c r="Z44" s="44"/>
      <c r="AA44" s="44"/>
      <c r="AB44" s="44">
        <f t="shared" si="84"/>
        <v>0</v>
      </c>
      <c r="AC44" s="23"/>
      <c r="AD44" s="6"/>
      <c r="AE44" s="7">
        <f t="shared" si="85"/>
        <v>0</v>
      </c>
      <c r="AF44" s="6"/>
      <c r="AG44" s="7">
        <f t="shared" si="86"/>
        <v>0</v>
      </c>
      <c r="AH44" s="6"/>
      <c r="AI44" s="7">
        <f t="shared" si="87"/>
        <v>0</v>
      </c>
      <c r="AJ44" s="6"/>
      <c r="AK44" s="7">
        <f t="shared" si="88"/>
        <v>0</v>
      </c>
      <c r="AL44" s="6"/>
      <c r="AM44" s="7">
        <f t="shared" si="89"/>
        <v>0</v>
      </c>
      <c r="AN44" s="6"/>
      <c r="AO44" s="7">
        <f t="shared" si="90"/>
        <v>0</v>
      </c>
      <c r="AP44" s="30">
        <f t="shared" si="91"/>
        <v>0</v>
      </c>
      <c r="AQ44" s="6"/>
      <c r="AR44" s="6"/>
      <c r="AS44" s="6"/>
      <c r="AT44" s="44">
        <f t="shared" si="92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58"/>
        <v>0</v>
      </c>
      <c r="BE44" s="5">
        <f t="shared" si="28"/>
        <v>0</v>
      </c>
      <c r="BF44" s="5">
        <f t="shared" si="29"/>
        <v>0</v>
      </c>
      <c r="BG44" s="5">
        <f t="shared" si="30"/>
        <v>0</v>
      </c>
      <c r="BH44" s="5">
        <f t="shared" si="31"/>
        <v>0</v>
      </c>
      <c r="BI44" s="5">
        <f t="shared" si="32"/>
        <v>0</v>
      </c>
      <c r="BJ44" s="5">
        <f t="shared" si="33"/>
        <v>0</v>
      </c>
      <c r="BK44" s="5">
        <f t="shared" si="34"/>
        <v>0</v>
      </c>
      <c r="BL44" s="5">
        <f t="shared" si="35"/>
        <v>0</v>
      </c>
      <c r="BM44" s="5">
        <f t="shared" si="36"/>
        <v>0</v>
      </c>
      <c r="BN44" s="5">
        <f t="shared" si="37"/>
        <v>0</v>
      </c>
      <c r="BO44" s="5">
        <f t="shared" si="38"/>
        <v>0</v>
      </c>
      <c r="BP44" s="5">
        <f t="shared" si="39"/>
        <v>0</v>
      </c>
      <c r="BQ44" s="5">
        <f t="shared" si="40"/>
        <v>0</v>
      </c>
      <c r="BR44" s="5">
        <f t="shared" si="41"/>
        <v>0</v>
      </c>
      <c r="BS44" s="5">
        <f t="shared" si="42"/>
        <v>0</v>
      </c>
      <c r="BT44" s="5">
        <f t="shared" si="43"/>
        <v>0</v>
      </c>
      <c r="BU44" s="5">
        <f t="shared" si="44"/>
        <v>0</v>
      </c>
      <c r="BV44" s="5">
        <f t="shared" si="45"/>
        <v>0</v>
      </c>
      <c r="BW44" s="5">
        <f t="shared" si="46"/>
        <v>0</v>
      </c>
      <c r="BX44" s="5">
        <f t="shared" si="47"/>
        <v>0</v>
      </c>
      <c r="BY44" s="5">
        <f t="shared" si="11"/>
        <v>0</v>
      </c>
      <c r="BZ44" s="5">
        <f t="shared" si="48"/>
        <v>0</v>
      </c>
      <c r="CA44" s="5">
        <f t="shared" si="49"/>
        <v>0</v>
      </c>
      <c r="CB44" s="5">
        <f t="shared" si="50"/>
        <v>0</v>
      </c>
      <c r="CC44" s="5">
        <f t="shared" si="51"/>
        <v>0</v>
      </c>
      <c r="CD44" s="5">
        <f t="shared" si="52"/>
        <v>0</v>
      </c>
      <c r="CE44" s="5">
        <f t="shared" si="53"/>
        <v>0</v>
      </c>
      <c r="CF44" s="5">
        <f t="shared" si="54"/>
        <v>0</v>
      </c>
      <c r="CG44" s="5">
        <f t="shared" si="55"/>
        <v>0</v>
      </c>
      <c r="CH44" s="5">
        <f t="shared" si="56"/>
        <v>0</v>
      </c>
      <c r="CI44" s="5">
        <f t="shared" si="57"/>
        <v>0</v>
      </c>
      <c r="CJ44" s="5"/>
      <c r="CK44" s="4">
        <f t="shared" si="76"/>
        <v>0</v>
      </c>
    </row>
    <row r="45" spans="1:89" ht="38" customHeight="1">
      <c r="A45" s="33" t="str">
        <f t="shared" si="75"/>
        <v/>
      </c>
      <c r="B45" s="10"/>
      <c r="C45" s="86"/>
      <c r="D45" s="88"/>
      <c r="E45" s="88"/>
      <c r="F45" s="44">
        <f t="shared" si="77"/>
        <v>0</v>
      </c>
      <c r="G45" s="88"/>
      <c r="H45" s="88"/>
      <c r="I45" s="44">
        <f t="shared" si="78"/>
        <v>0</v>
      </c>
      <c r="J45" s="87"/>
      <c r="K45" s="88"/>
      <c r="L45" s="44">
        <f t="shared" si="79"/>
        <v>0</v>
      </c>
      <c r="M45" s="88"/>
      <c r="N45" s="88"/>
      <c r="O45" s="44">
        <f t="shared" si="80"/>
        <v>0</v>
      </c>
      <c r="P45" s="88"/>
      <c r="Q45" s="88"/>
      <c r="R45" s="44">
        <f t="shared" si="81"/>
        <v>0</v>
      </c>
      <c r="S45" s="88"/>
      <c r="T45" s="88"/>
      <c r="U45" s="44">
        <f t="shared" si="82"/>
        <v>0</v>
      </c>
      <c r="V45" s="88"/>
      <c r="W45" s="88"/>
      <c r="X45" s="44">
        <f t="shared" si="83"/>
        <v>0</v>
      </c>
      <c r="Y45" s="44"/>
      <c r="Z45" s="44"/>
      <c r="AA45" s="44"/>
      <c r="AB45" s="44">
        <f t="shared" si="84"/>
        <v>0</v>
      </c>
      <c r="AC45" s="23"/>
      <c r="AD45" s="6"/>
      <c r="AE45" s="7">
        <f t="shared" si="85"/>
        <v>0</v>
      </c>
      <c r="AF45" s="6"/>
      <c r="AG45" s="7">
        <f t="shared" si="86"/>
        <v>0</v>
      </c>
      <c r="AH45" s="6"/>
      <c r="AI45" s="7">
        <f t="shared" si="87"/>
        <v>0</v>
      </c>
      <c r="AJ45" s="6"/>
      <c r="AK45" s="7">
        <f t="shared" si="88"/>
        <v>0</v>
      </c>
      <c r="AL45" s="6"/>
      <c r="AM45" s="7">
        <f t="shared" si="89"/>
        <v>0</v>
      </c>
      <c r="AN45" s="6"/>
      <c r="AO45" s="7">
        <f t="shared" si="90"/>
        <v>0</v>
      </c>
      <c r="AP45" s="30">
        <f t="shared" si="91"/>
        <v>0</v>
      </c>
      <c r="AQ45" s="6"/>
      <c r="AR45" s="6"/>
      <c r="AS45" s="6"/>
      <c r="AT45" s="44">
        <f t="shared" si="92"/>
        <v>0</v>
      </c>
      <c r="AU45" s="59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58"/>
        <v>0</v>
      </c>
      <c r="BE45" s="5">
        <f t="shared" si="28"/>
        <v>0</v>
      </c>
      <c r="BF45" s="5">
        <f t="shared" si="29"/>
        <v>0</v>
      </c>
      <c r="BG45" s="5">
        <f t="shared" si="30"/>
        <v>0</v>
      </c>
      <c r="BH45" s="5">
        <f t="shared" si="31"/>
        <v>0</v>
      </c>
      <c r="BI45" s="5">
        <f t="shared" si="32"/>
        <v>0</v>
      </c>
      <c r="BJ45" s="5">
        <f t="shared" si="33"/>
        <v>0</v>
      </c>
      <c r="BK45" s="5">
        <f t="shared" si="34"/>
        <v>0</v>
      </c>
      <c r="BL45" s="5">
        <f t="shared" si="35"/>
        <v>0</v>
      </c>
      <c r="BM45" s="5">
        <f t="shared" si="36"/>
        <v>0</v>
      </c>
      <c r="BN45" s="5">
        <f t="shared" si="37"/>
        <v>0</v>
      </c>
      <c r="BO45" s="5">
        <f t="shared" si="38"/>
        <v>0</v>
      </c>
      <c r="BP45" s="5">
        <f t="shared" si="39"/>
        <v>0</v>
      </c>
      <c r="BQ45" s="5">
        <f t="shared" si="40"/>
        <v>0</v>
      </c>
      <c r="BR45" s="5">
        <f t="shared" si="41"/>
        <v>0</v>
      </c>
      <c r="BS45" s="5">
        <f t="shared" si="42"/>
        <v>0</v>
      </c>
      <c r="BT45" s="5">
        <f t="shared" si="43"/>
        <v>0</v>
      </c>
      <c r="BU45" s="5">
        <f t="shared" si="44"/>
        <v>0</v>
      </c>
      <c r="BV45" s="5">
        <f t="shared" si="45"/>
        <v>0</v>
      </c>
      <c r="BW45" s="5">
        <f t="shared" si="46"/>
        <v>0</v>
      </c>
      <c r="BX45" s="5">
        <f t="shared" si="47"/>
        <v>0</v>
      </c>
      <c r="BY45" s="5">
        <f t="shared" si="11"/>
        <v>0</v>
      </c>
      <c r="BZ45" s="5">
        <f t="shared" si="48"/>
        <v>0</v>
      </c>
      <c r="CA45" s="5">
        <f t="shared" si="49"/>
        <v>0</v>
      </c>
      <c r="CB45" s="5">
        <f t="shared" si="50"/>
        <v>0</v>
      </c>
      <c r="CC45" s="5">
        <f t="shared" si="51"/>
        <v>0</v>
      </c>
      <c r="CD45" s="5">
        <f t="shared" si="52"/>
        <v>0</v>
      </c>
      <c r="CE45" s="5">
        <f t="shared" si="53"/>
        <v>0</v>
      </c>
      <c r="CF45" s="5">
        <f t="shared" si="54"/>
        <v>0</v>
      </c>
      <c r="CG45" s="5">
        <f t="shared" si="55"/>
        <v>0</v>
      </c>
      <c r="CH45" s="5">
        <f t="shared" si="56"/>
        <v>0</v>
      </c>
      <c r="CI45" s="5">
        <f t="shared" si="57"/>
        <v>0</v>
      </c>
      <c r="CJ45" s="5"/>
      <c r="CK45" s="4">
        <f t="shared" si="76"/>
        <v>0</v>
      </c>
    </row>
    <row r="46" spans="1:89" ht="38" customHeight="1">
      <c r="A46" s="33" t="str">
        <f t="shared" si="75"/>
        <v/>
      </c>
      <c r="B46" s="10"/>
      <c r="C46" s="86"/>
      <c r="D46" s="88"/>
      <c r="E46" s="88"/>
      <c r="F46" s="44">
        <f t="shared" si="77"/>
        <v>0</v>
      </c>
      <c r="G46" s="88"/>
      <c r="H46" s="88"/>
      <c r="I46" s="44">
        <f t="shared" si="78"/>
        <v>0</v>
      </c>
      <c r="J46" s="87"/>
      <c r="K46" s="88"/>
      <c r="L46" s="44">
        <f t="shared" si="79"/>
        <v>0</v>
      </c>
      <c r="M46" s="88"/>
      <c r="N46" s="88"/>
      <c r="O46" s="44">
        <f t="shared" si="80"/>
        <v>0</v>
      </c>
      <c r="P46" s="88"/>
      <c r="Q46" s="88"/>
      <c r="R46" s="44">
        <f t="shared" si="81"/>
        <v>0</v>
      </c>
      <c r="S46" s="88"/>
      <c r="T46" s="88"/>
      <c r="U46" s="44">
        <f t="shared" si="82"/>
        <v>0</v>
      </c>
      <c r="V46" s="88"/>
      <c r="W46" s="88"/>
      <c r="X46" s="44">
        <f t="shared" si="83"/>
        <v>0</v>
      </c>
      <c r="Y46" s="44"/>
      <c r="Z46" s="44"/>
      <c r="AA46" s="44"/>
      <c r="AB46" s="44">
        <f t="shared" si="84"/>
        <v>0</v>
      </c>
      <c r="AC46" s="23"/>
      <c r="AD46" s="6"/>
      <c r="AE46" s="7">
        <f t="shared" si="85"/>
        <v>0</v>
      </c>
      <c r="AF46" s="6"/>
      <c r="AG46" s="7">
        <f t="shared" si="86"/>
        <v>0</v>
      </c>
      <c r="AH46" s="6"/>
      <c r="AI46" s="7">
        <f t="shared" si="87"/>
        <v>0</v>
      </c>
      <c r="AJ46" s="6"/>
      <c r="AK46" s="7">
        <f t="shared" si="88"/>
        <v>0</v>
      </c>
      <c r="AL46" s="6"/>
      <c r="AM46" s="7">
        <f t="shared" si="89"/>
        <v>0</v>
      </c>
      <c r="AN46" s="6"/>
      <c r="AO46" s="7">
        <f t="shared" si="90"/>
        <v>0</v>
      </c>
      <c r="AP46" s="30">
        <f t="shared" si="91"/>
        <v>0</v>
      </c>
      <c r="AQ46" s="6"/>
      <c r="AR46" s="6"/>
      <c r="AS46" s="6"/>
      <c r="AT46" s="44">
        <f t="shared" si="92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58"/>
        <v>0</v>
      </c>
      <c r="BE46" s="5">
        <f t="shared" si="28"/>
        <v>0</v>
      </c>
      <c r="BF46" s="5">
        <f t="shared" si="29"/>
        <v>0</v>
      </c>
      <c r="BG46" s="5">
        <f t="shared" si="30"/>
        <v>0</v>
      </c>
      <c r="BH46" s="5">
        <f t="shared" si="31"/>
        <v>0</v>
      </c>
      <c r="BI46" s="5">
        <f t="shared" si="32"/>
        <v>0</v>
      </c>
      <c r="BJ46" s="5">
        <f t="shared" si="33"/>
        <v>0</v>
      </c>
      <c r="BK46" s="5">
        <f t="shared" si="34"/>
        <v>0</v>
      </c>
      <c r="BL46" s="5">
        <f t="shared" si="35"/>
        <v>0</v>
      </c>
      <c r="BM46" s="5">
        <f t="shared" si="36"/>
        <v>0</v>
      </c>
      <c r="BN46" s="5">
        <f t="shared" si="37"/>
        <v>0</v>
      </c>
      <c r="BO46" s="5">
        <f t="shared" si="38"/>
        <v>0</v>
      </c>
      <c r="BP46" s="5">
        <f t="shared" si="39"/>
        <v>0</v>
      </c>
      <c r="BQ46" s="5">
        <f t="shared" si="40"/>
        <v>0</v>
      </c>
      <c r="BR46" s="5">
        <f t="shared" si="41"/>
        <v>0</v>
      </c>
      <c r="BS46" s="5">
        <f t="shared" si="42"/>
        <v>0</v>
      </c>
      <c r="BT46" s="5">
        <f t="shared" si="43"/>
        <v>0</v>
      </c>
      <c r="BU46" s="5">
        <f t="shared" si="44"/>
        <v>0</v>
      </c>
      <c r="BV46" s="5">
        <f t="shared" si="45"/>
        <v>0</v>
      </c>
      <c r="BW46" s="5">
        <f t="shared" si="46"/>
        <v>0</v>
      </c>
      <c r="BX46" s="5">
        <f t="shared" si="47"/>
        <v>0</v>
      </c>
      <c r="BY46" s="5">
        <f t="shared" si="11"/>
        <v>0</v>
      </c>
      <c r="BZ46" s="5">
        <f t="shared" si="48"/>
        <v>0</v>
      </c>
      <c r="CA46" s="5">
        <f t="shared" si="49"/>
        <v>0</v>
      </c>
      <c r="CB46" s="5">
        <f t="shared" si="50"/>
        <v>0</v>
      </c>
      <c r="CC46" s="5">
        <f t="shared" si="51"/>
        <v>0</v>
      </c>
      <c r="CD46" s="5">
        <f t="shared" si="52"/>
        <v>0</v>
      </c>
      <c r="CE46" s="5">
        <f t="shared" si="53"/>
        <v>0</v>
      </c>
      <c r="CF46" s="5">
        <f t="shared" si="54"/>
        <v>0</v>
      </c>
      <c r="CG46" s="5">
        <f t="shared" si="55"/>
        <v>0</v>
      </c>
      <c r="CH46" s="5">
        <f t="shared" si="56"/>
        <v>0</v>
      </c>
      <c r="CI46" s="5">
        <f t="shared" si="57"/>
        <v>0</v>
      </c>
      <c r="CJ46" s="5"/>
      <c r="CK46" s="4">
        <f t="shared" si="76"/>
        <v>0</v>
      </c>
    </row>
    <row r="47" spans="1:89" ht="38" customHeight="1">
      <c r="A47" s="33" t="str">
        <f t="shared" si="75"/>
        <v/>
      </c>
      <c r="B47" s="10"/>
      <c r="C47" s="86"/>
      <c r="D47" s="88"/>
      <c r="E47" s="88"/>
      <c r="F47" s="44">
        <f t="shared" si="77"/>
        <v>0</v>
      </c>
      <c r="G47" s="88"/>
      <c r="H47" s="88"/>
      <c r="I47" s="44">
        <f t="shared" si="78"/>
        <v>0</v>
      </c>
      <c r="J47" s="87"/>
      <c r="K47" s="88"/>
      <c r="L47" s="44">
        <f t="shared" si="79"/>
        <v>0</v>
      </c>
      <c r="M47" s="88"/>
      <c r="N47" s="88"/>
      <c r="O47" s="44">
        <f t="shared" si="80"/>
        <v>0</v>
      </c>
      <c r="P47" s="88"/>
      <c r="Q47" s="88"/>
      <c r="R47" s="44">
        <f t="shared" si="81"/>
        <v>0</v>
      </c>
      <c r="S47" s="88"/>
      <c r="T47" s="88"/>
      <c r="U47" s="44">
        <f t="shared" si="82"/>
        <v>0</v>
      </c>
      <c r="V47" s="88"/>
      <c r="W47" s="88"/>
      <c r="X47" s="44">
        <f t="shared" si="83"/>
        <v>0</v>
      </c>
      <c r="Y47" s="44"/>
      <c r="Z47" s="44"/>
      <c r="AA47" s="44"/>
      <c r="AB47" s="44">
        <f t="shared" si="84"/>
        <v>0</v>
      </c>
      <c r="AC47" s="23"/>
      <c r="AD47" s="6"/>
      <c r="AE47" s="7">
        <f t="shared" si="85"/>
        <v>0</v>
      </c>
      <c r="AF47" s="6"/>
      <c r="AG47" s="7">
        <f t="shared" si="86"/>
        <v>0</v>
      </c>
      <c r="AH47" s="6"/>
      <c r="AI47" s="7">
        <f t="shared" si="87"/>
        <v>0</v>
      </c>
      <c r="AJ47" s="6"/>
      <c r="AK47" s="7">
        <f t="shared" si="88"/>
        <v>0</v>
      </c>
      <c r="AL47" s="6"/>
      <c r="AM47" s="7">
        <f t="shared" si="89"/>
        <v>0</v>
      </c>
      <c r="AN47" s="6"/>
      <c r="AO47" s="7">
        <f t="shared" si="90"/>
        <v>0</v>
      </c>
      <c r="AP47" s="30">
        <f t="shared" si="91"/>
        <v>0</v>
      </c>
      <c r="AQ47" s="6"/>
      <c r="AR47" s="6"/>
      <c r="AS47" s="6"/>
      <c r="AT47" s="44">
        <f t="shared" si="92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58"/>
        <v>0</v>
      </c>
      <c r="BE47" s="5">
        <f t="shared" si="28"/>
        <v>0</v>
      </c>
      <c r="BF47" s="5">
        <f t="shared" si="29"/>
        <v>0</v>
      </c>
      <c r="BG47" s="5">
        <f t="shared" si="30"/>
        <v>0</v>
      </c>
      <c r="BH47" s="5">
        <f t="shared" si="31"/>
        <v>0</v>
      </c>
      <c r="BI47" s="5">
        <f t="shared" si="32"/>
        <v>0</v>
      </c>
      <c r="BJ47" s="5">
        <f t="shared" si="33"/>
        <v>0</v>
      </c>
      <c r="BK47" s="5">
        <f t="shared" si="34"/>
        <v>0</v>
      </c>
      <c r="BL47" s="5">
        <f t="shared" si="35"/>
        <v>0</v>
      </c>
      <c r="BM47" s="5">
        <f t="shared" si="36"/>
        <v>0</v>
      </c>
      <c r="BN47" s="5">
        <f t="shared" si="37"/>
        <v>0</v>
      </c>
      <c r="BO47" s="5">
        <f t="shared" si="38"/>
        <v>0</v>
      </c>
      <c r="BP47" s="5">
        <f t="shared" si="39"/>
        <v>0</v>
      </c>
      <c r="BQ47" s="5">
        <f t="shared" si="40"/>
        <v>0</v>
      </c>
      <c r="BR47" s="5">
        <f t="shared" si="41"/>
        <v>0</v>
      </c>
      <c r="BS47" s="5">
        <f t="shared" si="42"/>
        <v>0</v>
      </c>
      <c r="BT47" s="5">
        <f t="shared" si="43"/>
        <v>0</v>
      </c>
      <c r="BU47" s="5">
        <f t="shared" si="44"/>
        <v>0</v>
      </c>
      <c r="BV47" s="5">
        <f t="shared" si="45"/>
        <v>0</v>
      </c>
      <c r="BW47" s="5">
        <f t="shared" si="46"/>
        <v>0</v>
      </c>
      <c r="BX47" s="5">
        <f t="shared" si="47"/>
        <v>0</v>
      </c>
      <c r="BY47" s="5">
        <f t="shared" si="11"/>
        <v>0</v>
      </c>
      <c r="BZ47" s="5">
        <f t="shared" si="48"/>
        <v>0</v>
      </c>
      <c r="CA47" s="5">
        <f t="shared" si="49"/>
        <v>0</v>
      </c>
      <c r="CB47" s="5">
        <f t="shared" si="50"/>
        <v>0</v>
      </c>
      <c r="CC47" s="5">
        <f t="shared" si="51"/>
        <v>0</v>
      </c>
      <c r="CD47" s="5">
        <f t="shared" si="52"/>
        <v>0</v>
      </c>
      <c r="CE47" s="5">
        <f t="shared" si="53"/>
        <v>0</v>
      </c>
      <c r="CF47" s="5">
        <f t="shared" si="54"/>
        <v>0</v>
      </c>
      <c r="CG47" s="5">
        <f t="shared" si="55"/>
        <v>0</v>
      </c>
      <c r="CH47" s="5">
        <f t="shared" si="56"/>
        <v>0</v>
      </c>
      <c r="CI47" s="5">
        <f t="shared" si="57"/>
        <v>0</v>
      </c>
      <c r="CJ47" s="5"/>
      <c r="CK47" s="4">
        <f t="shared" si="76"/>
        <v>0</v>
      </c>
    </row>
    <row r="48" spans="1:89" ht="38" customHeight="1">
      <c r="A48" s="33" t="str">
        <f t="shared" si="75"/>
        <v/>
      </c>
      <c r="B48" s="10"/>
      <c r="C48" s="86"/>
      <c r="D48" s="88"/>
      <c r="E48" s="88"/>
      <c r="F48" s="44">
        <f t="shared" ref="F48:F59" si="93">BA48-BB48</f>
        <v>0</v>
      </c>
      <c r="G48" s="88"/>
      <c r="H48" s="88"/>
      <c r="I48" s="44">
        <f t="shared" ref="I48:I59" si="94">BF48-BG48</f>
        <v>0</v>
      </c>
      <c r="J48" s="87"/>
      <c r="K48" s="88"/>
      <c r="L48" s="44">
        <f t="shared" ref="L48:L59" si="95">BK48-BL48</f>
        <v>0</v>
      </c>
      <c r="M48" s="88"/>
      <c r="N48" s="88"/>
      <c r="O48" s="44">
        <f t="shared" ref="O48:O59" si="96">BP48-BQ48</f>
        <v>0</v>
      </c>
      <c r="P48" s="88"/>
      <c r="Q48" s="88"/>
      <c r="R48" s="44">
        <f t="shared" ref="R48:R59" si="97">BU48-BV48</f>
        <v>0</v>
      </c>
      <c r="S48" s="88"/>
      <c r="T48" s="88"/>
      <c r="U48" s="44">
        <f t="shared" ref="U48:U59" si="98">BZ48-CA48</f>
        <v>0</v>
      </c>
      <c r="V48" s="88"/>
      <c r="W48" s="88"/>
      <c r="X48" s="44">
        <f t="shared" ref="X48:X59" si="99">CE48-CF48</f>
        <v>0</v>
      </c>
      <c r="Y48" s="44"/>
      <c r="Z48" s="44"/>
      <c r="AA48" s="44"/>
      <c r="AB48" s="44">
        <f t="shared" ref="AB48:AB59" si="100">SUM(F48,I48,L48,O48,R48,U48,X48)</f>
        <v>0</v>
      </c>
      <c r="AC48" s="23"/>
      <c r="AD48" s="6"/>
      <c r="AE48" s="7">
        <f t="shared" si="85"/>
        <v>0</v>
      </c>
      <c r="AF48" s="6"/>
      <c r="AG48" s="7">
        <f t="shared" ref="AG48:AG59" si="101">SUMIF($BC$1:$CI$1,AG$1,$BC48:$CI48)+AF48</f>
        <v>0</v>
      </c>
      <c r="AH48" s="6"/>
      <c r="AI48" s="7">
        <f t="shared" ref="AI48:AI59" si="102">SUMIF($BC$1:$CI$1,AI$1,$BC48:$CI48)+AH48</f>
        <v>0</v>
      </c>
      <c r="AJ48" s="6"/>
      <c r="AK48" s="7">
        <f t="shared" ref="AK48:AK59" si="103">SUMIF($BC$1:$CI$1,AK$1,$BC48:$CI48)+AJ48</f>
        <v>0</v>
      </c>
      <c r="AL48" s="6"/>
      <c r="AM48" s="7">
        <f t="shared" ref="AM48:AM59" si="104">SUMIF($BC$1:$CI$1,AM$1,$BC48:$CI48)+AL48</f>
        <v>0</v>
      </c>
      <c r="AN48" s="6"/>
      <c r="AO48" s="7">
        <f t="shared" ref="AO48:AO59" si="105">SUMIF($BC$1:$CI$1,AO$1,$BC48:$CI48)+AN48</f>
        <v>0</v>
      </c>
      <c r="AP48" s="30">
        <f t="shared" ref="AP48:AP59" si="106">CK48</f>
        <v>0</v>
      </c>
      <c r="AQ48" s="6"/>
      <c r="AR48" s="6"/>
      <c r="AS48" s="6"/>
      <c r="AT48" s="44">
        <f t="shared" ref="AT48:AT59" si="107">AE48+AG48+AI48+AK48+AM48+AO48+SUM(AQ48:AS48)</f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58"/>
        <v>0</v>
      </c>
      <c r="BE48" s="5">
        <f t="shared" si="28"/>
        <v>0</v>
      </c>
      <c r="BF48" s="5">
        <f t="shared" si="29"/>
        <v>0</v>
      </c>
      <c r="BG48" s="5">
        <f t="shared" si="30"/>
        <v>0</v>
      </c>
      <c r="BH48" s="5">
        <f t="shared" si="31"/>
        <v>0</v>
      </c>
      <c r="BI48" s="5">
        <f t="shared" si="32"/>
        <v>0</v>
      </c>
      <c r="BJ48" s="5">
        <f t="shared" si="33"/>
        <v>0</v>
      </c>
      <c r="BK48" s="5">
        <f t="shared" si="34"/>
        <v>0</v>
      </c>
      <c r="BL48" s="5">
        <f t="shared" si="35"/>
        <v>0</v>
      </c>
      <c r="BM48" s="5">
        <f t="shared" si="36"/>
        <v>0</v>
      </c>
      <c r="BN48" s="5">
        <f t="shared" si="37"/>
        <v>0</v>
      </c>
      <c r="BO48" s="5">
        <f t="shared" si="38"/>
        <v>0</v>
      </c>
      <c r="BP48" s="5">
        <f t="shared" si="39"/>
        <v>0</v>
      </c>
      <c r="BQ48" s="5">
        <f t="shared" si="40"/>
        <v>0</v>
      </c>
      <c r="BR48" s="5">
        <f t="shared" si="41"/>
        <v>0</v>
      </c>
      <c r="BS48" s="5">
        <f t="shared" si="42"/>
        <v>0</v>
      </c>
      <c r="BT48" s="5">
        <f t="shared" si="43"/>
        <v>0</v>
      </c>
      <c r="BU48" s="5">
        <f t="shared" si="44"/>
        <v>0</v>
      </c>
      <c r="BV48" s="5">
        <f t="shared" si="45"/>
        <v>0</v>
      </c>
      <c r="BW48" s="5">
        <f t="shared" si="46"/>
        <v>0</v>
      </c>
      <c r="BX48" s="5">
        <f t="shared" si="47"/>
        <v>0</v>
      </c>
      <c r="BY48" s="5">
        <f t="shared" si="11"/>
        <v>0</v>
      </c>
      <c r="BZ48" s="5">
        <f t="shared" si="48"/>
        <v>0</v>
      </c>
      <c r="CA48" s="5">
        <f t="shared" si="49"/>
        <v>0</v>
      </c>
      <c r="CB48" s="5">
        <f t="shared" si="50"/>
        <v>0</v>
      </c>
      <c r="CC48" s="5">
        <f t="shared" si="51"/>
        <v>0</v>
      </c>
      <c r="CD48" s="5">
        <f t="shared" si="52"/>
        <v>0</v>
      </c>
      <c r="CE48" s="5">
        <f t="shared" si="53"/>
        <v>0</v>
      </c>
      <c r="CF48" s="5">
        <f t="shared" si="54"/>
        <v>0</v>
      </c>
      <c r="CG48" s="5">
        <f t="shared" si="55"/>
        <v>0</v>
      </c>
      <c r="CH48" s="5">
        <f t="shared" si="56"/>
        <v>0</v>
      </c>
      <c r="CI48" s="5">
        <f t="shared" si="57"/>
        <v>0</v>
      </c>
      <c r="CJ48" s="5"/>
      <c r="CK48" s="4">
        <f t="shared" si="76"/>
        <v>0</v>
      </c>
    </row>
    <row r="49" spans="1:89" ht="38" customHeight="1">
      <c r="A49" s="33" t="str">
        <f t="shared" si="75"/>
        <v/>
      </c>
      <c r="B49" s="10"/>
      <c r="C49" s="86"/>
      <c r="D49" s="88"/>
      <c r="E49" s="88"/>
      <c r="F49" s="44">
        <f t="shared" si="93"/>
        <v>0</v>
      </c>
      <c r="G49" s="88"/>
      <c r="H49" s="88"/>
      <c r="I49" s="44">
        <f t="shared" si="94"/>
        <v>0</v>
      </c>
      <c r="J49" s="87"/>
      <c r="K49" s="88"/>
      <c r="L49" s="44">
        <f t="shared" si="95"/>
        <v>0</v>
      </c>
      <c r="M49" s="88"/>
      <c r="N49" s="88"/>
      <c r="O49" s="44">
        <f t="shared" si="96"/>
        <v>0</v>
      </c>
      <c r="P49" s="88"/>
      <c r="Q49" s="88"/>
      <c r="R49" s="44">
        <f t="shared" si="97"/>
        <v>0</v>
      </c>
      <c r="S49" s="88"/>
      <c r="T49" s="88"/>
      <c r="U49" s="44">
        <f t="shared" si="98"/>
        <v>0</v>
      </c>
      <c r="V49" s="88"/>
      <c r="W49" s="88"/>
      <c r="X49" s="44">
        <f t="shared" si="99"/>
        <v>0</v>
      </c>
      <c r="Y49" s="44"/>
      <c r="Z49" s="44"/>
      <c r="AA49" s="44"/>
      <c r="AB49" s="44">
        <f t="shared" si="100"/>
        <v>0</v>
      </c>
      <c r="AC49" s="23"/>
      <c r="AD49" s="6"/>
      <c r="AE49" s="7">
        <f t="shared" ref="AE49:AE59" si="108">SUMIF($BC$1:$CI$1,AE$1,$BC49:$CI49)+AD49</f>
        <v>0</v>
      </c>
      <c r="AF49" s="6"/>
      <c r="AG49" s="7">
        <f t="shared" si="101"/>
        <v>0</v>
      </c>
      <c r="AH49" s="6"/>
      <c r="AI49" s="7">
        <f t="shared" si="102"/>
        <v>0</v>
      </c>
      <c r="AJ49" s="6"/>
      <c r="AK49" s="7">
        <f t="shared" si="103"/>
        <v>0</v>
      </c>
      <c r="AL49" s="6"/>
      <c r="AM49" s="7">
        <f t="shared" si="104"/>
        <v>0</v>
      </c>
      <c r="AN49" s="6"/>
      <c r="AO49" s="7">
        <f t="shared" si="105"/>
        <v>0</v>
      </c>
      <c r="AP49" s="30">
        <f t="shared" si="106"/>
        <v>0</v>
      </c>
      <c r="AQ49" s="6"/>
      <c r="AR49" s="6"/>
      <c r="AS49" s="6"/>
      <c r="AT49" s="44">
        <f t="shared" si="107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58"/>
        <v>0</v>
      </c>
      <c r="BE49" s="5">
        <f t="shared" si="28"/>
        <v>0</v>
      </c>
      <c r="BF49" s="5">
        <f t="shared" si="29"/>
        <v>0</v>
      </c>
      <c r="BG49" s="5">
        <f t="shared" si="30"/>
        <v>0</v>
      </c>
      <c r="BH49" s="5">
        <f t="shared" si="31"/>
        <v>0</v>
      </c>
      <c r="BI49" s="5">
        <f t="shared" si="32"/>
        <v>0</v>
      </c>
      <c r="BJ49" s="5">
        <f t="shared" si="33"/>
        <v>0</v>
      </c>
      <c r="BK49" s="5">
        <f t="shared" si="34"/>
        <v>0</v>
      </c>
      <c r="BL49" s="5">
        <f t="shared" si="35"/>
        <v>0</v>
      </c>
      <c r="BM49" s="5">
        <f t="shared" si="36"/>
        <v>0</v>
      </c>
      <c r="BN49" s="5">
        <f t="shared" si="37"/>
        <v>0</v>
      </c>
      <c r="BO49" s="5">
        <f t="shared" si="38"/>
        <v>0</v>
      </c>
      <c r="BP49" s="5">
        <f t="shared" si="39"/>
        <v>0</v>
      </c>
      <c r="BQ49" s="5">
        <f t="shared" si="40"/>
        <v>0</v>
      </c>
      <c r="BR49" s="5">
        <f t="shared" si="41"/>
        <v>0</v>
      </c>
      <c r="BS49" s="5">
        <f t="shared" si="42"/>
        <v>0</v>
      </c>
      <c r="BT49" s="5">
        <f t="shared" si="43"/>
        <v>0</v>
      </c>
      <c r="BU49" s="5">
        <f t="shared" si="44"/>
        <v>0</v>
      </c>
      <c r="BV49" s="5">
        <f t="shared" si="45"/>
        <v>0</v>
      </c>
      <c r="BW49" s="5">
        <f t="shared" si="46"/>
        <v>0</v>
      </c>
      <c r="BX49" s="5">
        <f t="shared" si="47"/>
        <v>0</v>
      </c>
      <c r="BY49" s="5">
        <f t="shared" si="11"/>
        <v>0</v>
      </c>
      <c r="BZ49" s="5">
        <f t="shared" si="48"/>
        <v>0</v>
      </c>
      <c r="CA49" s="5">
        <f t="shared" si="49"/>
        <v>0</v>
      </c>
      <c r="CB49" s="5">
        <f t="shared" si="50"/>
        <v>0</v>
      </c>
      <c r="CC49" s="5">
        <f t="shared" si="51"/>
        <v>0</v>
      </c>
      <c r="CD49" s="5">
        <f t="shared" si="52"/>
        <v>0</v>
      </c>
      <c r="CE49" s="5">
        <f t="shared" si="53"/>
        <v>0</v>
      </c>
      <c r="CF49" s="5">
        <f t="shared" si="54"/>
        <v>0</v>
      </c>
      <c r="CG49" s="5">
        <f t="shared" si="55"/>
        <v>0</v>
      </c>
      <c r="CH49" s="5">
        <f t="shared" si="56"/>
        <v>0</v>
      </c>
      <c r="CI49" s="5">
        <f t="shared" si="57"/>
        <v>0</v>
      </c>
      <c r="CJ49" s="5"/>
      <c r="CK49" s="4">
        <f t="shared" si="76"/>
        <v>0</v>
      </c>
    </row>
    <row r="50" spans="1:89" ht="38" customHeight="1">
      <c r="A50" s="33" t="str">
        <f t="shared" si="75"/>
        <v/>
      </c>
      <c r="B50" s="10"/>
      <c r="C50" s="86"/>
      <c r="D50" s="88"/>
      <c r="E50" s="88"/>
      <c r="F50" s="44">
        <f t="shared" si="93"/>
        <v>0</v>
      </c>
      <c r="G50" s="88"/>
      <c r="H50" s="88"/>
      <c r="I50" s="44">
        <f t="shared" si="94"/>
        <v>0</v>
      </c>
      <c r="J50" s="87"/>
      <c r="K50" s="88"/>
      <c r="L50" s="44">
        <f t="shared" si="95"/>
        <v>0</v>
      </c>
      <c r="M50" s="88"/>
      <c r="N50" s="88"/>
      <c r="O50" s="44">
        <f t="shared" si="96"/>
        <v>0</v>
      </c>
      <c r="P50" s="88"/>
      <c r="Q50" s="88"/>
      <c r="R50" s="44">
        <f t="shared" si="97"/>
        <v>0</v>
      </c>
      <c r="S50" s="88"/>
      <c r="T50" s="88"/>
      <c r="U50" s="44">
        <f t="shared" si="98"/>
        <v>0</v>
      </c>
      <c r="V50" s="88"/>
      <c r="W50" s="88"/>
      <c r="X50" s="44">
        <f t="shared" si="99"/>
        <v>0</v>
      </c>
      <c r="Y50" s="44"/>
      <c r="Z50" s="44"/>
      <c r="AA50" s="44"/>
      <c r="AB50" s="44">
        <f t="shared" si="100"/>
        <v>0</v>
      </c>
      <c r="AC50" s="23"/>
      <c r="AD50" s="6"/>
      <c r="AE50" s="7">
        <f t="shared" si="108"/>
        <v>0</v>
      </c>
      <c r="AF50" s="6"/>
      <c r="AG50" s="7">
        <f t="shared" si="101"/>
        <v>0</v>
      </c>
      <c r="AH50" s="6"/>
      <c r="AI50" s="7">
        <f t="shared" si="102"/>
        <v>0</v>
      </c>
      <c r="AJ50" s="6"/>
      <c r="AK50" s="7">
        <f t="shared" si="103"/>
        <v>0</v>
      </c>
      <c r="AL50" s="6"/>
      <c r="AM50" s="7">
        <f t="shared" si="104"/>
        <v>0</v>
      </c>
      <c r="AN50" s="6"/>
      <c r="AO50" s="7">
        <f t="shared" si="105"/>
        <v>0</v>
      </c>
      <c r="AP50" s="30">
        <f t="shared" si="106"/>
        <v>0</v>
      </c>
      <c r="AQ50" s="6"/>
      <c r="AR50" s="6"/>
      <c r="AS50" s="6"/>
      <c r="AT50" s="44">
        <f t="shared" si="107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58"/>
        <v>0</v>
      </c>
      <c r="BE50" s="5">
        <f t="shared" si="28"/>
        <v>0</v>
      </c>
      <c r="BF50" s="5">
        <f t="shared" si="29"/>
        <v>0</v>
      </c>
      <c r="BG50" s="5">
        <f t="shared" si="30"/>
        <v>0</v>
      </c>
      <c r="BH50" s="5">
        <f t="shared" si="31"/>
        <v>0</v>
      </c>
      <c r="BI50" s="5">
        <f t="shared" si="32"/>
        <v>0</v>
      </c>
      <c r="BJ50" s="5">
        <f t="shared" si="33"/>
        <v>0</v>
      </c>
      <c r="BK50" s="5">
        <f t="shared" si="34"/>
        <v>0</v>
      </c>
      <c r="BL50" s="5">
        <f t="shared" si="35"/>
        <v>0</v>
      </c>
      <c r="BM50" s="5">
        <f t="shared" si="36"/>
        <v>0</v>
      </c>
      <c r="BN50" s="5">
        <f t="shared" si="37"/>
        <v>0</v>
      </c>
      <c r="BO50" s="5">
        <f t="shared" si="38"/>
        <v>0</v>
      </c>
      <c r="BP50" s="5">
        <f t="shared" si="39"/>
        <v>0</v>
      </c>
      <c r="BQ50" s="5">
        <f t="shared" si="40"/>
        <v>0</v>
      </c>
      <c r="BR50" s="5">
        <f t="shared" si="41"/>
        <v>0</v>
      </c>
      <c r="BS50" s="5">
        <f t="shared" si="42"/>
        <v>0</v>
      </c>
      <c r="BT50" s="5">
        <f t="shared" si="43"/>
        <v>0</v>
      </c>
      <c r="BU50" s="5">
        <f t="shared" si="44"/>
        <v>0</v>
      </c>
      <c r="BV50" s="5">
        <f t="shared" si="45"/>
        <v>0</v>
      </c>
      <c r="BW50" s="5">
        <f t="shared" si="46"/>
        <v>0</v>
      </c>
      <c r="BX50" s="5">
        <f t="shared" si="47"/>
        <v>0</v>
      </c>
      <c r="BY50" s="5">
        <f t="shared" si="11"/>
        <v>0</v>
      </c>
      <c r="BZ50" s="5">
        <f t="shared" si="48"/>
        <v>0</v>
      </c>
      <c r="CA50" s="5">
        <f t="shared" si="49"/>
        <v>0</v>
      </c>
      <c r="CB50" s="5">
        <f t="shared" si="50"/>
        <v>0</v>
      </c>
      <c r="CC50" s="5">
        <f t="shared" si="51"/>
        <v>0</v>
      </c>
      <c r="CD50" s="5">
        <f t="shared" si="52"/>
        <v>0</v>
      </c>
      <c r="CE50" s="5">
        <f t="shared" si="53"/>
        <v>0</v>
      </c>
      <c r="CF50" s="5">
        <f t="shared" si="54"/>
        <v>0</v>
      </c>
      <c r="CG50" s="5">
        <f t="shared" si="55"/>
        <v>0</v>
      </c>
      <c r="CH50" s="5">
        <f t="shared" si="56"/>
        <v>0</v>
      </c>
      <c r="CI50" s="5">
        <f t="shared" si="57"/>
        <v>0</v>
      </c>
      <c r="CJ50" s="5"/>
      <c r="CK50" s="4">
        <f t="shared" si="76"/>
        <v>0</v>
      </c>
    </row>
    <row r="51" spans="1:89" ht="38" customHeight="1">
      <c r="A51" s="33" t="str">
        <f t="shared" si="75"/>
        <v/>
      </c>
      <c r="B51" s="10"/>
      <c r="C51" s="86"/>
      <c r="D51" s="88"/>
      <c r="E51" s="88"/>
      <c r="F51" s="44">
        <f t="shared" si="93"/>
        <v>0</v>
      </c>
      <c r="G51" s="88"/>
      <c r="H51" s="88"/>
      <c r="I51" s="44">
        <f t="shared" si="94"/>
        <v>0</v>
      </c>
      <c r="J51" s="87"/>
      <c r="K51" s="88"/>
      <c r="L51" s="44">
        <f t="shared" si="95"/>
        <v>0</v>
      </c>
      <c r="M51" s="88"/>
      <c r="N51" s="88"/>
      <c r="O51" s="44">
        <f t="shared" si="96"/>
        <v>0</v>
      </c>
      <c r="P51" s="88"/>
      <c r="Q51" s="88"/>
      <c r="R51" s="44">
        <f t="shared" si="97"/>
        <v>0</v>
      </c>
      <c r="S51" s="88"/>
      <c r="T51" s="88"/>
      <c r="U51" s="44">
        <f t="shared" si="98"/>
        <v>0</v>
      </c>
      <c r="V51" s="88"/>
      <c r="W51" s="88"/>
      <c r="X51" s="44">
        <f t="shared" si="99"/>
        <v>0</v>
      </c>
      <c r="Y51" s="44"/>
      <c r="Z51" s="44"/>
      <c r="AA51" s="44"/>
      <c r="AB51" s="44">
        <f t="shared" si="100"/>
        <v>0</v>
      </c>
      <c r="AC51" s="23"/>
      <c r="AD51" s="6"/>
      <c r="AE51" s="7">
        <f t="shared" si="108"/>
        <v>0</v>
      </c>
      <c r="AF51" s="6"/>
      <c r="AG51" s="7">
        <f t="shared" si="101"/>
        <v>0</v>
      </c>
      <c r="AH51" s="6"/>
      <c r="AI51" s="7">
        <f t="shared" si="102"/>
        <v>0</v>
      </c>
      <c r="AJ51" s="6"/>
      <c r="AK51" s="7">
        <f t="shared" si="103"/>
        <v>0</v>
      </c>
      <c r="AL51" s="6"/>
      <c r="AM51" s="7">
        <f t="shared" si="104"/>
        <v>0</v>
      </c>
      <c r="AN51" s="6"/>
      <c r="AO51" s="7">
        <f t="shared" si="105"/>
        <v>0</v>
      </c>
      <c r="AP51" s="30">
        <f t="shared" si="106"/>
        <v>0</v>
      </c>
      <c r="AQ51" s="6"/>
      <c r="AR51" s="6"/>
      <c r="AS51" s="6"/>
      <c r="AT51" s="44">
        <f t="shared" si="107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58"/>
        <v>0</v>
      </c>
      <c r="BE51" s="5">
        <f t="shared" si="28"/>
        <v>0</v>
      </c>
      <c r="BF51" s="5">
        <f t="shared" si="29"/>
        <v>0</v>
      </c>
      <c r="BG51" s="5">
        <f t="shared" si="30"/>
        <v>0</v>
      </c>
      <c r="BH51" s="5">
        <f t="shared" si="31"/>
        <v>0</v>
      </c>
      <c r="BI51" s="5">
        <f t="shared" si="32"/>
        <v>0</v>
      </c>
      <c r="BJ51" s="5">
        <f t="shared" si="33"/>
        <v>0</v>
      </c>
      <c r="BK51" s="5">
        <f t="shared" si="34"/>
        <v>0</v>
      </c>
      <c r="BL51" s="5">
        <f t="shared" si="35"/>
        <v>0</v>
      </c>
      <c r="BM51" s="5">
        <f t="shared" si="36"/>
        <v>0</v>
      </c>
      <c r="BN51" s="5">
        <f t="shared" si="37"/>
        <v>0</v>
      </c>
      <c r="BO51" s="5">
        <f t="shared" si="38"/>
        <v>0</v>
      </c>
      <c r="BP51" s="5">
        <f t="shared" si="39"/>
        <v>0</v>
      </c>
      <c r="BQ51" s="5">
        <f t="shared" si="40"/>
        <v>0</v>
      </c>
      <c r="BR51" s="5">
        <f t="shared" si="41"/>
        <v>0</v>
      </c>
      <c r="BS51" s="5">
        <f t="shared" si="42"/>
        <v>0</v>
      </c>
      <c r="BT51" s="5">
        <f t="shared" si="43"/>
        <v>0</v>
      </c>
      <c r="BU51" s="5">
        <f t="shared" si="44"/>
        <v>0</v>
      </c>
      <c r="BV51" s="5">
        <f t="shared" si="45"/>
        <v>0</v>
      </c>
      <c r="BW51" s="5">
        <f t="shared" si="46"/>
        <v>0</v>
      </c>
      <c r="BX51" s="5">
        <f t="shared" si="47"/>
        <v>0</v>
      </c>
      <c r="BY51" s="5">
        <f t="shared" si="11"/>
        <v>0</v>
      </c>
      <c r="BZ51" s="5">
        <f t="shared" si="48"/>
        <v>0</v>
      </c>
      <c r="CA51" s="5">
        <f t="shared" si="49"/>
        <v>0</v>
      </c>
      <c r="CB51" s="5">
        <f t="shared" si="50"/>
        <v>0</v>
      </c>
      <c r="CC51" s="5">
        <f t="shared" si="51"/>
        <v>0</v>
      </c>
      <c r="CD51" s="5">
        <f t="shared" si="52"/>
        <v>0</v>
      </c>
      <c r="CE51" s="5">
        <f t="shared" si="53"/>
        <v>0</v>
      </c>
      <c r="CF51" s="5">
        <f t="shared" si="54"/>
        <v>0</v>
      </c>
      <c r="CG51" s="5">
        <f t="shared" si="55"/>
        <v>0</v>
      </c>
      <c r="CH51" s="5">
        <f t="shared" si="56"/>
        <v>0</v>
      </c>
      <c r="CI51" s="5">
        <f t="shared" si="57"/>
        <v>0</v>
      </c>
      <c r="CJ51" s="5"/>
      <c r="CK51" s="4">
        <f t="shared" si="76"/>
        <v>0</v>
      </c>
    </row>
    <row r="52" spans="1:89" ht="38" customHeight="1">
      <c r="A52" s="33" t="str">
        <f t="shared" si="75"/>
        <v/>
      </c>
      <c r="B52" s="10"/>
      <c r="C52" s="86"/>
      <c r="D52" s="88"/>
      <c r="E52" s="88"/>
      <c r="F52" s="44">
        <f t="shared" si="93"/>
        <v>0</v>
      </c>
      <c r="G52" s="88"/>
      <c r="H52" s="88"/>
      <c r="I52" s="44">
        <f t="shared" si="94"/>
        <v>0</v>
      </c>
      <c r="J52" s="87"/>
      <c r="K52" s="88"/>
      <c r="L52" s="44">
        <f t="shared" si="95"/>
        <v>0</v>
      </c>
      <c r="M52" s="88"/>
      <c r="N52" s="88"/>
      <c r="O52" s="44">
        <f t="shared" si="96"/>
        <v>0</v>
      </c>
      <c r="P52" s="88"/>
      <c r="Q52" s="88"/>
      <c r="R52" s="44">
        <f t="shared" si="97"/>
        <v>0</v>
      </c>
      <c r="S52" s="88"/>
      <c r="T52" s="88"/>
      <c r="U52" s="44">
        <f t="shared" si="98"/>
        <v>0</v>
      </c>
      <c r="V52" s="88"/>
      <c r="W52" s="88"/>
      <c r="X52" s="44">
        <f t="shared" si="99"/>
        <v>0</v>
      </c>
      <c r="Y52" s="44"/>
      <c r="Z52" s="44"/>
      <c r="AA52" s="44"/>
      <c r="AB52" s="44">
        <f t="shared" si="100"/>
        <v>0</v>
      </c>
      <c r="AC52" s="23"/>
      <c r="AD52" s="6"/>
      <c r="AE52" s="7">
        <f t="shared" si="108"/>
        <v>0</v>
      </c>
      <c r="AF52" s="6"/>
      <c r="AG52" s="7">
        <f t="shared" si="101"/>
        <v>0</v>
      </c>
      <c r="AH52" s="6"/>
      <c r="AI52" s="7">
        <f t="shared" si="102"/>
        <v>0</v>
      </c>
      <c r="AJ52" s="6"/>
      <c r="AK52" s="7">
        <f t="shared" si="103"/>
        <v>0</v>
      </c>
      <c r="AL52" s="6"/>
      <c r="AM52" s="7">
        <f t="shared" si="104"/>
        <v>0</v>
      </c>
      <c r="AN52" s="6"/>
      <c r="AO52" s="7">
        <f t="shared" si="105"/>
        <v>0</v>
      </c>
      <c r="AP52" s="30">
        <f t="shared" si="106"/>
        <v>0</v>
      </c>
      <c r="AQ52" s="6"/>
      <c r="AR52" s="6"/>
      <c r="AS52" s="6"/>
      <c r="AT52" s="44">
        <f t="shared" si="107"/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58"/>
        <v>0</v>
      </c>
      <c r="BE52" s="5">
        <f t="shared" si="28"/>
        <v>0</v>
      </c>
      <c r="BF52" s="5">
        <f t="shared" si="29"/>
        <v>0</v>
      </c>
      <c r="BG52" s="5">
        <f t="shared" si="30"/>
        <v>0</v>
      </c>
      <c r="BH52" s="5">
        <f t="shared" si="31"/>
        <v>0</v>
      </c>
      <c r="BI52" s="5">
        <f t="shared" si="32"/>
        <v>0</v>
      </c>
      <c r="BJ52" s="5">
        <f t="shared" si="33"/>
        <v>0</v>
      </c>
      <c r="BK52" s="5">
        <f t="shared" si="34"/>
        <v>0</v>
      </c>
      <c r="BL52" s="5">
        <f t="shared" si="35"/>
        <v>0</v>
      </c>
      <c r="BM52" s="5">
        <f t="shared" si="36"/>
        <v>0</v>
      </c>
      <c r="BN52" s="5">
        <f t="shared" si="37"/>
        <v>0</v>
      </c>
      <c r="BO52" s="5">
        <f t="shared" si="38"/>
        <v>0</v>
      </c>
      <c r="BP52" s="5">
        <f t="shared" si="39"/>
        <v>0</v>
      </c>
      <c r="BQ52" s="5">
        <f t="shared" si="40"/>
        <v>0</v>
      </c>
      <c r="BR52" s="5">
        <f t="shared" si="41"/>
        <v>0</v>
      </c>
      <c r="BS52" s="5">
        <f t="shared" si="42"/>
        <v>0</v>
      </c>
      <c r="BT52" s="5">
        <f t="shared" si="43"/>
        <v>0</v>
      </c>
      <c r="BU52" s="5">
        <f t="shared" si="44"/>
        <v>0</v>
      </c>
      <c r="BV52" s="5">
        <f t="shared" si="45"/>
        <v>0</v>
      </c>
      <c r="BW52" s="5">
        <f t="shared" si="46"/>
        <v>0</v>
      </c>
      <c r="BX52" s="5">
        <f t="shared" si="47"/>
        <v>0</v>
      </c>
      <c r="BY52" s="5">
        <f t="shared" si="11"/>
        <v>0</v>
      </c>
      <c r="BZ52" s="5">
        <f t="shared" si="48"/>
        <v>0</v>
      </c>
      <c r="CA52" s="5">
        <f t="shared" si="49"/>
        <v>0</v>
      </c>
      <c r="CB52" s="5">
        <f t="shared" si="50"/>
        <v>0</v>
      </c>
      <c r="CC52" s="5">
        <f t="shared" si="51"/>
        <v>0</v>
      </c>
      <c r="CD52" s="5">
        <f t="shared" si="52"/>
        <v>0</v>
      </c>
      <c r="CE52" s="5">
        <f t="shared" si="53"/>
        <v>0</v>
      </c>
      <c r="CF52" s="5">
        <f t="shared" si="54"/>
        <v>0</v>
      </c>
      <c r="CG52" s="5">
        <f t="shared" si="55"/>
        <v>0</v>
      </c>
      <c r="CH52" s="5">
        <f t="shared" si="56"/>
        <v>0</v>
      </c>
      <c r="CI52" s="5">
        <f t="shared" si="57"/>
        <v>0</v>
      </c>
      <c r="CJ52" s="5"/>
      <c r="CK52" s="4">
        <f t="shared" si="76"/>
        <v>0</v>
      </c>
    </row>
    <row r="53" spans="1:89" ht="38" customHeight="1">
      <c r="A53" s="33" t="str">
        <f t="shared" si="75"/>
        <v/>
      </c>
      <c r="B53" s="10"/>
      <c r="C53" s="86"/>
      <c r="D53" s="88"/>
      <c r="E53" s="88"/>
      <c r="F53" s="44">
        <f t="shared" si="93"/>
        <v>0</v>
      </c>
      <c r="G53" s="88"/>
      <c r="H53" s="88"/>
      <c r="I53" s="44">
        <f t="shared" si="94"/>
        <v>0</v>
      </c>
      <c r="J53" s="87"/>
      <c r="K53" s="88"/>
      <c r="L53" s="44">
        <f t="shared" si="95"/>
        <v>0</v>
      </c>
      <c r="M53" s="88"/>
      <c r="N53" s="88"/>
      <c r="O53" s="44">
        <f t="shared" si="96"/>
        <v>0</v>
      </c>
      <c r="P53" s="88"/>
      <c r="Q53" s="88"/>
      <c r="R53" s="44">
        <f t="shared" si="97"/>
        <v>0</v>
      </c>
      <c r="S53" s="88"/>
      <c r="T53" s="88"/>
      <c r="U53" s="44">
        <f t="shared" si="98"/>
        <v>0</v>
      </c>
      <c r="V53" s="88"/>
      <c r="W53" s="88"/>
      <c r="X53" s="44">
        <f t="shared" si="99"/>
        <v>0</v>
      </c>
      <c r="Y53" s="44"/>
      <c r="Z53" s="44"/>
      <c r="AA53" s="44"/>
      <c r="AB53" s="44">
        <f t="shared" si="100"/>
        <v>0</v>
      </c>
      <c r="AC53" s="23"/>
      <c r="AD53" s="6"/>
      <c r="AE53" s="7">
        <f t="shared" si="108"/>
        <v>0</v>
      </c>
      <c r="AF53" s="6"/>
      <c r="AG53" s="7">
        <f t="shared" si="101"/>
        <v>0</v>
      </c>
      <c r="AH53" s="6"/>
      <c r="AI53" s="7">
        <f t="shared" si="102"/>
        <v>0</v>
      </c>
      <c r="AJ53" s="6"/>
      <c r="AK53" s="7">
        <f t="shared" si="103"/>
        <v>0</v>
      </c>
      <c r="AL53" s="6"/>
      <c r="AM53" s="7">
        <f t="shared" si="104"/>
        <v>0</v>
      </c>
      <c r="AN53" s="6"/>
      <c r="AO53" s="7">
        <f t="shared" si="105"/>
        <v>0</v>
      </c>
      <c r="AP53" s="30">
        <f t="shared" si="106"/>
        <v>0</v>
      </c>
      <c r="AQ53" s="6"/>
      <c r="AR53" s="6"/>
      <c r="AS53" s="6"/>
      <c r="AT53" s="44">
        <f t="shared" si="10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58"/>
        <v>0</v>
      </c>
      <c r="BE53" s="5">
        <f t="shared" si="28"/>
        <v>0</v>
      </c>
      <c r="BF53" s="5">
        <f t="shared" si="29"/>
        <v>0</v>
      </c>
      <c r="BG53" s="5">
        <f t="shared" si="30"/>
        <v>0</v>
      </c>
      <c r="BH53" s="5">
        <f t="shared" si="31"/>
        <v>0</v>
      </c>
      <c r="BI53" s="5">
        <f t="shared" si="32"/>
        <v>0</v>
      </c>
      <c r="BJ53" s="5">
        <f t="shared" si="33"/>
        <v>0</v>
      </c>
      <c r="BK53" s="5">
        <f t="shared" si="34"/>
        <v>0</v>
      </c>
      <c r="BL53" s="5">
        <f t="shared" si="35"/>
        <v>0</v>
      </c>
      <c r="BM53" s="5">
        <f t="shared" si="36"/>
        <v>0</v>
      </c>
      <c r="BN53" s="5">
        <f t="shared" si="37"/>
        <v>0</v>
      </c>
      <c r="BO53" s="5">
        <f t="shared" si="38"/>
        <v>0</v>
      </c>
      <c r="BP53" s="5">
        <f t="shared" si="39"/>
        <v>0</v>
      </c>
      <c r="BQ53" s="5">
        <f t="shared" si="40"/>
        <v>0</v>
      </c>
      <c r="BR53" s="5">
        <f t="shared" si="41"/>
        <v>0</v>
      </c>
      <c r="BS53" s="5">
        <f t="shared" si="42"/>
        <v>0</v>
      </c>
      <c r="BT53" s="5">
        <f t="shared" si="43"/>
        <v>0</v>
      </c>
      <c r="BU53" s="5">
        <f t="shared" si="44"/>
        <v>0</v>
      </c>
      <c r="BV53" s="5">
        <f t="shared" si="45"/>
        <v>0</v>
      </c>
      <c r="BW53" s="5">
        <f t="shared" si="46"/>
        <v>0</v>
      </c>
      <c r="BX53" s="5">
        <f t="shared" si="47"/>
        <v>0</v>
      </c>
      <c r="BY53" s="5">
        <f t="shared" si="11"/>
        <v>0</v>
      </c>
      <c r="BZ53" s="5">
        <f t="shared" si="48"/>
        <v>0</v>
      </c>
      <c r="CA53" s="5">
        <f t="shared" si="49"/>
        <v>0</v>
      </c>
      <c r="CB53" s="5">
        <f t="shared" si="50"/>
        <v>0</v>
      </c>
      <c r="CC53" s="5">
        <f t="shared" si="51"/>
        <v>0</v>
      </c>
      <c r="CD53" s="5">
        <f t="shared" si="52"/>
        <v>0</v>
      </c>
      <c r="CE53" s="5">
        <f t="shared" si="53"/>
        <v>0</v>
      </c>
      <c r="CF53" s="5">
        <f t="shared" si="54"/>
        <v>0</v>
      </c>
      <c r="CG53" s="5">
        <f t="shared" si="55"/>
        <v>0</v>
      </c>
      <c r="CH53" s="5">
        <f t="shared" si="56"/>
        <v>0</v>
      </c>
      <c r="CI53" s="5">
        <f t="shared" si="57"/>
        <v>0</v>
      </c>
      <c r="CJ53" s="5"/>
      <c r="CK53" s="4">
        <f t="shared" si="76"/>
        <v>0</v>
      </c>
    </row>
    <row r="54" spans="1:89" ht="38" customHeight="1">
      <c r="A54" s="33" t="str">
        <f t="shared" si="75"/>
        <v/>
      </c>
      <c r="B54" s="10"/>
      <c r="C54" s="86"/>
      <c r="D54" s="88"/>
      <c r="E54" s="88"/>
      <c r="F54" s="44">
        <f t="shared" si="93"/>
        <v>0</v>
      </c>
      <c r="G54" s="88"/>
      <c r="H54" s="88"/>
      <c r="I54" s="44">
        <f t="shared" si="94"/>
        <v>0</v>
      </c>
      <c r="J54" s="87"/>
      <c r="K54" s="88"/>
      <c r="L54" s="44">
        <f t="shared" si="95"/>
        <v>0</v>
      </c>
      <c r="M54" s="88"/>
      <c r="N54" s="88"/>
      <c r="O54" s="44">
        <f t="shared" si="96"/>
        <v>0</v>
      </c>
      <c r="P54" s="88"/>
      <c r="Q54" s="88"/>
      <c r="R54" s="44">
        <f t="shared" si="97"/>
        <v>0</v>
      </c>
      <c r="S54" s="88"/>
      <c r="T54" s="88"/>
      <c r="U54" s="44">
        <f t="shared" si="98"/>
        <v>0</v>
      </c>
      <c r="V54" s="88"/>
      <c r="W54" s="88"/>
      <c r="X54" s="44">
        <f t="shared" si="99"/>
        <v>0</v>
      </c>
      <c r="Y54" s="44"/>
      <c r="Z54" s="44"/>
      <c r="AA54" s="44"/>
      <c r="AB54" s="44">
        <f t="shared" si="100"/>
        <v>0</v>
      </c>
      <c r="AC54" s="23"/>
      <c r="AD54" s="6"/>
      <c r="AE54" s="7">
        <f t="shared" si="108"/>
        <v>0</v>
      </c>
      <c r="AF54" s="6"/>
      <c r="AG54" s="7">
        <f t="shared" si="101"/>
        <v>0</v>
      </c>
      <c r="AH54" s="6"/>
      <c r="AI54" s="7">
        <f t="shared" si="102"/>
        <v>0</v>
      </c>
      <c r="AJ54" s="6"/>
      <c r="AK54" s="7">
        <f t="shared" si="103"/>
        <v>0</v>
      </c>
      <c r="AL54" s="6"/>
      <c r="AM54" s="7">
        <f t="shared" si="104"/>
        <v>0</v>
      </c>
      <c r="AN54" s="6"/>
      <c r="AO54" s="7">
        <f t="shared" si="105"/>
        <v>0</v>
      </c>
      <c r="AP54" s="30">
        <f t="shared" si="106"/>
        <v>0</v>
      </c>
      <c r="AQ54" s="6"/>
      <c r="AR54" s="6"/>
      <c r="AS54" s="6"/>
      <c r="AT54" s="44">
        <f t="shared" si="10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58"/>
        <v>0</v>
      </c>
      <c r="BE54" s="5">
        <f t="shared" si="28"/>
        <v>0</v>
      </c>
      <c r="BF54" s="5">
        <f t="shared" si="29"/>
        <v>0</v>
      </c>
      <c r="BG54" s="5">
        <f t="shared" si="30"/>
        <v>0</v>
      </c>
      <c r="BH54" s="5">
        <f t="shared" si="31"/>
        <v>0</v>
      </c>
      <c r="BI54" s="5">
        <f t="shared" si="32"/>
        <v>0</v>
      </c>
      <c r="BJ54" s="5">
        <f t="shared" si="33"/>
        <v>0</v>
      </c>
      <c r="BK54" s="5">
        <f t="shared" si="34"/>
        <v>0</v>
      </c>
      <c r="BL54" s="5">
        <f t="shared" si="35"/>
        <v>0</v>
      </c>
      <c r="BM54" s="5">
        <f t="shared" si="36"/>
        <v>0</v>
      </c>
      <c r="BN54" s="5">
        <f t="shared" si="37"/>
        <v>0</v>
      </c>
      <c r="BO54" s="5">
        <f t="shared" si="38"/>
        <v>0</v>
      </c>
      <c r="BP54" s="5">
        <f t="shared" si="39"/>
        <v>0</v>
      </c>
      <c r="BQ54" s="5">
        <f t="shared" si="40"/>
        <v>0</v>
      </c>
      <c r="BR54" s="5">
        <f t="shared" si="41"/>
        <v>0</v>
      </c>
      <c r="BS54" s="5">
        <f t="shared" si="42"/>
        <v>0</v>
      </c>
      <c r="BT54" s="5">
        <f t="shared" si="43"/>
        <v>0</v>
      </c>
      <c r="BU54" s="5">
        <f t="shared" si="44"/>
        <v>0</v>
      </c>
      <c r="BV54" s="5">
        <f t="shared" si="45"/>
        <v>0</v>
      </c>
      <c r="BW54" s="5">
        <f t="shared" si="46"/>
        <v>0</v>
      </c>
      <c r="BX54" s="5">
        <f t="shared" si="47"/>
        <v>0</v>
      </c>
      <c r="BY54" s="5">
        <f t="shared" si="11"/>
        <v>0</v>
      </c>
      <c r="BZ54" s="5">
        <f t="shared" si="48"/>
        <v>0</v>
      </c>
      <c r="CA54" s="5">
        <f t="shared" si="49"/>
        <v>0</v>
      </c>
      <c r="CB54" s="5">
        <f t="shared" si="50"/>
        <v>0</v>
      </c>
      <c r="CC54" s="5">
        <f t="shared" si="51"/>
        <v>0</v>
      </c>
      <c r="CD54" s="5">
        <f t="shared" si="52"/>
        <v>0</v>
      </c>
      <c r="CE54" s="5">
        <f t="shared" si="53"/>
        <v>0</v>
      </c>
      <c r="CF54" s="5">
        <f t="shared" si="54"/>
        <v>0</v>
      </c>
      <c r="CG54" s="5">
        <f t="shared" si="55"/>
        <v>0</v>
      </c>
      <c r="CH54" s="5">
        <f t="shared" si="56"/>
        <v>0</v>
      </c>
      <c r="CI54" s="5">
        <f t="shared" si="57"/>
        <v>0</v>
      </c>
      <c r="CJ54" s="5"/>
      <c r="CK54" s="4">
        <f t="shared" si="76"/>
        <v>0</v>
      </c>
    </row>
    <row r="55" spans="1:89" ht="38" customHeight="1">
      <c r="A55" s="33" t="str">
        <f t="shared" si="75"/>
        <v/>
      </c>
      <c r="B55" s="10"/>
      <c r="C55" s="86"/>
      <c r="D55" s="88"/>
      <c r="E55" s="88"/>
      <c r="F55" s="44">
        <f t="shared" si="93"/>
        <v>0</v>
      </c>
      <c r="G55" s="88"/>
      <c r="H55" s="88"/>
      <c r="I55" s="44">
        <f t="shared" si="94"/>
        <v>0</v>
      </c>
      <c r="J55" s="87"/>
      <c r="K55" s="88"/>
      <c r="L55" s="44">
        <f t="shared" si="95"/>
        <v>0</v>
      </c>
      <c r="M55" s="88"/>
      <c r="N55" s="88"/>
      <c r="O55" s="44">
        <f t="shared" si="96"/>
        <v>0</v>
      </c>
      <c r="P55" s="88"/>
      <c r="Q55" s="88"/>
      <c r="R55" s="44">
        <f t="shared" si="97"/>
        <v>0</v>
      </c>
      <c r="S55" s="88"/>
      <c r="T55" s="88"/>
      <c r="U55" s="44">
        <f t="shared" si="98"/>
        <v>0</v>
      </c>
      <c r="V55" s="88"/>
      <c r="W55" s="88"/>
      <c r="X55" s="44">
        <f t="shared" si="99"/>
        <v>0</v>
      </c>
      <c r="Y55" s="44"/>
      <c r="Z55" s="44"/>
      <c r="AA55" s="44"/>
      <c r="AB55" s="44">
        <f t="shared" si="100"/>
        <v>0</v>
      </c>
      <c r="AC55" s="23"/>
      <c r="AD55" s="6"/>
      <c r="AE55" s="7">
        <f t="shared" si="108"/>
        <v>0</v>
      </c>
      <c r="AF55" s="6"/>
      <c r="AG55" s="7">
        <f t="shared" si="101"/>
        <v>0</v>
      </c>
      <c r="AH55" s="6"/>
      <c r="AI55" s="7">
        <f t="shared" si="102"/>
        <v>0</v>
      </c>
      <c r="AJ55" s="6"/>
      <c r="AK55" s="7">
        <f t="shared" si="103"/>
        <v>0</v>
      </c>
      <c r="AL55" s="6"/>
      <c r="AM55" s="7">
        <f t="shared" si="104"/>
        <v>0</v>
      </c>
      <c r="AN55" s="6"/>
      <c r="AO55" s="7">
        <f t="shared" si="105"/>
        <v>0</v>
      </c>
      <c r="AP55" s="30">
        <f t="shared" si="106"/>
        <v>0</v>
      </c>
      <c r="AQ55" s="6"/>
      <c r="AR55" s="6"/>
      <c r="AS55" s="6"/>
      <c r="AT55" s="44">
        <f t="shared" si="10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58"/>
        <v>0</v>
      </c>
      <c r="BE55" s="5">
        <f t="shared" si="28"/>
        <v>0</v>
      </c>
      <c r="BF55" s="5">
        <f t="shared" si="29"/>
        <v>0</v>
      </c>
      <c r="BG55" s="5">
        <f t="shared" si="30"/>
        <v>0</v>
      </c>
      <c r="BH55" s="5">
        <f t="shared" si="31"/>
        <v>0</v>
      </c>
      <c r="BI55" s="5">
        <f t="shared" si="32"/>
        <v>0</v>
      </c>
      <c r="BJ55" s="5">
        <f t="shared" si="33"/>
        <v>0</v>
      </c>
      <c r="BK55" s="5">
        <f t="shared" si="34"/>
        <v>0</v>
      </c>
      <c r="BL55" s="5">
        <f t="shared" si="35"/>
        <v>0</v>
      </c>
      <c r="BM55" s="5">
        <f t="shared" si="36"/>
        <v>0</v>
      </c>
      <c r="BN55" s="5">
        <f t="shared" si="37"/>
        <v>0</v>
      </c>
      <c r="BO55" s="5">
        <f t="shared" si="38"/>
        <v>0</v>
      </c>
      <c r="BP55" s="5">
        <f t="shared" si="39"/>
        <v>0</v>
      </c>
      <c r="BQ55" s="5">
        <f t="shared" si="40"/>
        <v>0</v>
      </c>
      <c r="BR55" s="5">
        <f t="shared" si="41"/>
        <v>0</v>
      </c>
      <c r="BS55" s="5">
        <f t="shared" si="42"/>
        <v>0</v>
      </c>
      <c r="BT55" s="5">
        <f t="shared" si="43"/>
        <v>0</v>
      </c>
      <c r="BU55" s="5">
        <f t="shared" si="44"/>
        <v>0</v>
      </c>
      <c r="BV55" s="5">
        <f t="shared" si="45"/>
        <v>0</v>
      </c>
      <c r="BW55" s="5">
        <f t="shared" si="46"/>
        <v>0</v>
      </c>
      <c r="BX55" s="5">
        <f t="shared" si="47"/>
        <v>0</v>
      </c>
      <c r="BY55" s="5">
        <f t="shared" si="11"/>
        <v>0</v>
      </c>
      <c r="BZ55" s="5">
        <f t="shared" si="48"/>
        <v>0</v>
      </c>
      <c r="CA55" s="5">
        <f t="shared" si="49"/>
        <v>0</v>
      </c>
      <c r="CB55" s="5">
        <f t="shared" si="50"/>
        <v>0</v>
      </c>
      <c r="CC55" s="5">
        <f t="shared" si="51"/>
        <v>0</v>
      </c>
      <c r="CD55" s="5">
        <f t="shared" si="52"/>
        <v>0</v>
      </c>
      <c r="CE55" s="5">
        <f t="shared" si="53"/>
        <v>0</v>
      </c>
      <c r="CF55" s="5">
        <f t="shared" si="54"/>
        <v>0</v>
      </c>
      <c r="CG55" s="5">
        <f t="shared" si="55"/>
        <v>0</v>
      </c>
      <c r="CH55" s="5">
        <f t="shared" si="56"/>
        <v>0</v>
      </c>
      <c r="CI55" s="5">
        <f t="shared" si="57"/>
        <v>0</v>
      </c>
      <c r="CJ55" s="5"/>
      <c r="CK55" s="4">
        <f t="shared" si="76"/>
        <v>0</v>
      </c>
    </row>
    <row r="56" spans="1:89" ht="38" customHeight="1">
      <c r="A56" s="33" t="str">
        <f t="shared" si="75"/>
        <v/>
      </c>
      <c r="B56" s="10"/>
      <c r="C56" s="86"/>
      <c r="D56" s="88"/>
      <c r="E56" s="88"/>
      <c r="F56" s="44">
        <f t="shared" si="93"/>
        <v>0</v>
      </c>
      <c r="G56" s="88"/>
      <c r="H56" s="88"/>
      <c r="I56" s="44">
        <f t="shared" si="94"/>
        <v>0</v>
      </c>
      <c r="J56" s="87"/>
      <c r="K56" s="88"/>
      <c r="L56" s="44">
        <f t="shared" si="95"/>
        <v>0</v>
      </c>
      <c r="M56" s="88"/>
      <c r="N56" s="88"/>
      <c r="O56" s="44">
        <f t="shared" si="96"/>
        <v>0</v>
      </c>
      <c r="P56" s="88"/>
      <c r="Q56" s="88"/>
      <c r="R56" s="44">
        <f t="shared" si="97"/>
        <v>0</v>
      </c>
      <c r="S56" s="88"/>
      <c r="T56" s="88"/>
      <c r="U56" s="44">
        <f t="shared" si="98"/>
        <v>0</v>
      </c>
      <c r="V56" s="88"/>
      <c r="W56" s="88"/>
      <c r="X56" s="44">
        <f t="shared" si="99"/>
        <v>0</v>
      </c>
      <c r="Y56" s="44"/>
      <c r="Z56" s="44"/>
      <c r="AA56" s="44"/>
      <c r="AB56" s="44">
        <f t="shared" si="100"/>
        <v>0</v>
      </c>
      <c r="AC56" s="23"/>
      <c r="AD56" s="6"/>
      <c r="AE56" s="7">
        <f t="shared" si="108"/>
        <v>0</v>
      </c>
      <c r="AF56" s="6"/>
      <c r="AG56" s="7">
        <f t="shared" si="101"/>
        <v>0</v>
      </c>
      <c r="AH56" s="6"/>
      <c r="AI56" s="7">
        <f t="shared" si="102"/>
        <v>0</v>
      </c>
      <c r="AJ56" s="6"/>
      <c r="AK56" s="7">
        <f t="shared" si="103"/>
        <v>0</v>
      </c>
      <c r="AL56" s="6"/>
      <c r="AM56" s="7">
        <f t="shared" si="104"/>
        <v>0</v>
      </c>
      <c r="AN56" s="6"/>
      <c r="AO56" s="7">
        <f t="shared" si="105"/>
        <v>0</v>
      </c>
      <c r="AP56" s="30">
        <f t="shared" si="106"/>
        <v>0</v>
      </c>
      <c r="AQ56" s="6"/>
      <c r="AR56" s="6"/>
      <c r="AS56" s="6"/>
      <c r="AT56" s="44">
        <f t="shared" si="10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58"/>
        <v>0</v>
      </c>
      <c r="BE56" s="5">
        <f t="shared" si="28"/>
        <v>0</v>
      </c>
      <c r="BF56" s="5">
        <f t="shared" si="29"/>
        <v>0</v>
      </c>
      <c r="BG56" s="5">
        <f t="shared" si="30"/>
        <v>0</v>
      </c>
      <c r="BH56" s="5">
        <f t="shared" si="31"/>
        <v>0</v>
      </c>
      <c r="BI56" s="5">
        <f t="shared" si="32"/>
        <v>0</v>
      </c>
      <c r="BJ56" s="5">
        <f t="shared" si="33"/>
        <v>0</v>
      </c>
      <c r="BK56" s="5">
        <f t="shared" si="34"/>
        <v>0</v>
      </c>
      <c r="BL56" s="5">
        <f t="shared" si="35"/>
        <v>0</v>
      </c>
      <c r="BM56" s="5">
        <f t="shared" si="36"/>
        <v>0</v>
      </c>
      <c r="BN56" s="5">
        <f t="shared" si="37"/>
        <v>0</v>
      </c>
      <c r="BO56" s="5">
        <f t="shared" si="38"/>
        <v>0</v>
      </c>
      <c r="BP56" s="5">
        <f t="shared" si="39"/>
        <v>0</v>
      </c>
      <c r="BQ56" s="5">
        <f t="shared" si="40"/>
        <v>0</v>
      </c>
      <c r="BR56" s="5">
        <f t="shared" si="41"/>
        <v>0</v>
      </c>
      <c r="BS56" s="5">
        <f t="shared" si="42"/>
        <v>0</v>
      </c>
      <c r="BT56" s="5">
        <f t="shared" si="43"/>
        <v>0</v>
      </c>
      <c r="BU56" s="5">
        <f t="shared" si="44"/>
        <v>0</v>
      </c>
      <c r="BV56" s="5">
        <f t="shared" si="45"/>
        <v>0</v>
      </c>
      <c r="BW56" s="5">
        <f t="shared" si="46"/>
        <v>0</v>
      </c>
      <c r="BX56" s="5">
        <f t="shared" si="47"/>
        <v>0</v>
      </c>
      <c r="BY56" s="5">
        <f t="shared" si="11"/>
        <v>0</v>
      </c>
      <c r="BZ56" s="5">
        <f t="shared" si="48"/>
        <v>0</v>
      </c>
      <c r="CA56" s="5">
        <f t="shared" si="49"/>
        <v>0</v>
      </c>
      <c r="CB56" s="5">
        <f t="shared" si="50"/>
        <v>0</v>
      </c>
      <c r="CC56" s="5">
        <f t="shared" si="51"/>
        <v>0</v>
      </c>
      <c r="CD56" s="5">
        <f t="shared" si="52"/>
        <v>0</v>
      </c>
      <c r="CE56" s="5">
        <f t="shared" si="53"/>
        <v>0</v>
      </c>
      <c r="CF56" s="5">
        <f t="shared" si="54"/>
        <v>0</v>
      </c>
      <c r="CG56" s="5">
        <f t="shared" si="55"/>
        <v>0</v>
      </c>
      <c r="CH56" s="5">
        <f t="shared" si="56"/>
        <v>0</v>
      </c>
      <c r="CI56" s="5">
        <f t="shared" si="57"/>
        <v>0</v>
      </c>
      <c r="CJ56" s="5"/>
      <c r="CK56" s="4">
        <f t="shared" si="76"/>
        <v>0</v>
      </c>
    </row>
    <row r="57" spans="1:89" ht="38" customHeight="1">
      <c r="A57" s="33" t="str">
        <f t="shared" si="75"/>
        <v/>
      </c>
      <c r="B57" s="10"/>
      <c r="C57" s="86"/>
      <c r="D57" s="88"/>
      <c r="E57" s="88"/>
      <c r="F57" s="44">
        <f t="shared" si="93"/>
        <v>0</v>
      </c>
      <c r="G57" s="88"/>
      <c r="H57" s="88"/>
      <c r="I57" s="44">
        <f t="shared" si="94"/>
        <v>0</v>
      </c>
      <c r="J57" s="87"/>
      <c r="K57" s="88"/>
      <c r="L57" s="44">
        <f t="shared" si="95"/>
        <v>0</v>
      </c>
      <c r="M57" s="88"/>
      <c r="N57" s="88"/>
      <c r="O57" s="44">
        <f t="shared" si="96"/>
        <v>0</v>
      </c>
      <c r="P57" s="88"/>
      <c r="Q57" s="88"/>
      <c r="R57" s="44">
        <f t="shared" si="97"/>
        <v>0</v>
      </c>
      <c r="S57" s="88"/>
      <c r="T57" s="88"/>
      <c r="U57" s="44">
        <f t="shared" si="98"/>
        <v>0</v>
      </c>
      <c r="V57" s="88"/>
      <c r="W57" s="88"/>
      <c r="X57" s="44">
        <f t="shared" si="99"/>
        <v>0</v>
      </c>
      <c r="Y57" s="44"/>
      <c r="Z57" s="44"/>
      <c r="AA57" s="44"/>
      <c r="AB57" s="44">
        <f t="shared" si="100"/>
        <v>0</v>
      </c>
      <c r="AC57" s="23"/>
      <c r="AD57" s="6"/>
      <c r="AE57" s="7">
        <f t="shared" si="108"/>
        <v>0</v>
      </c>
      <c r="AF57" s="6"/>
      <c r="AG57" s="7">
        <f t="shared" si="101"/>
        <v>0</v>
      </c>
      <c r="AH57" s="6"/>
      <c r="AI57" s="7">
        <f t="shared" si="102"/>
        <v>0</v>
      </c>
      <c r="AJ57" s="6"/>
      <c r="AK57" s="7">
        <f t="shared" si="103"/>
        <v>0</v>
      </c>
      <c r="AL57" s="6"/>
      <c r="AM57" s="7">
        <f t="shared" si="104"/>
        <v>0</v>
      </c>
      <c r="AN57" s="6"/>
      <c r="AO57" s="7">
        <f t="shared" si="105"/>
        <v>0</v>
      </c>
      <c r="AP57" s="30">
        <f t="shared" si="106"/>
        <v>0</v>
      </c>
      <c r="AQ57" s="6"/>
      <c r="AR57" s="6"/>
      <c r="AS57" s="6"/>
      <c r="AT57" s="44">
        <f t="shared" si="10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58"/>
        <v>0</v>
      </c>
      <c r="BE57" s="5">
        <f t="shared" si="28"/>
        <v>0</v>
      </c>
      <c r="BF57" s="5">
        <f t="shared" si="29"/>
        <v>0</v>
      </c>
      <c r="BG57" s="5">
        <f t="shared" si="30"/>
        <v>0</v>
      </c>
      <c r="BH57" s="5">
        <f t="shared" si="31"/>
        <v>0</v>
      </c>
      <c r="BI57" s="5">
        <f t="shared" si="32"/>
        <v>0</v>
      </c>
      <c r="BJ57" s="5">
        <f t="shared" si="33"/>
        <v>0</v>
      </c>
      <c r="BK57" s="5">
        <f t="shared" si="34"/>
        <v>0</v>
      </c>
      <c r="BL57" s="5">
        <f t="shared" si="35"/>
        <v>0</v>
      </c>
      <c r="BM57" s="5">
        <f t="shared" si="36"/>
        <v>0</v>
      </c>
      <c r="BN57" s="5">
        <f t="shared" si="37"/>
        <v>0</v>
      </c>
      <c r="BO57" s="5">
        <f t="shared" si="38"/>
        <v>0</v>
      </c>
      <c r="BP57" s="5">
        <f t="shared" si="39"/>
        <v>0</v>
      </c>
      <c r="BQ57" s="5">
        <f t="shared" si="40"/>
        <v>0</v>
      </c>
      <c r="BR57" s="5">
        <f t="shared" si="41"/>
        <v>0</v>
      </c>
      <c r="BS57" s="5">
        <f t="shared" si="42"/>
        <v>0</v>
      </c>
      <c r="BT57" s="5">
        <f t="shared" si="43"/>
        <v>0</v>
      </c>
      <c r="BU57" s="5">
        <f t="shared" si="44"/>
        <v>0</v>
      </c>
      <c r="BV57" s="5">
        <f t="shared" si="45"/>
        <v>0</v>
      </c>
      <c r="BW57" s="5">
        <f t="shared" si="46"/>
        <v>0</v>
      </c>
      <c r="BX57" s="5">
        <f t="shared" si="47"/>
        <v>0</v>
      </c>
      <c r="BY57" s="5">
        <f t="shared" si="11"/>
        <v>0</v>
      </c>
      <c r="BZ57" s="5">
        <f t="shared" si="48"/>
        <v>0</v>
      </c>
      <c r="CA57" s="5">
        <f t="shared" si="49"/>
        <v>0</v>
      </c>
      <c r="CB57" s="5">
        <f t="shared" si="50"/>
        <v>0</v>
      </c>
      <c r="CC57" s="5">
        <f t="shared" si="51"/>
        <v>0</v>
      </c>
      <c r="CD57" s="5">
        <f t="shared" si="52"/>
        <v>0</v>
      </c>
      <c r="CE57" s="5">
        <f t="shared" si="53"/>
        <v>0</v>
      </c>
      <c r="CF57" s="5">
        <f t="shared" si="54"/>
        <v>0</v>
      </c>
      <c r="CG57" s="5">
        <f t="shared" si="55"/>
        <v>0</v>
      </c>
      <c r="CH57" s="5">
        <f t="shared" si="56"/>
        <v>0</v>
      </c>
      <c r="CI57" s="5">
        <f t="shared" si="57"/>
        <v>0</v>
      </c>
      <c r="CJ57" s="5"/>
      <c r="CK57" s="4">
        <f t="shared" si="76"/>
        <v>0</v>
      </c>
    </row>
    <row r="58" spans="1:89" ht="38" customHeight="1">
      <c r="A58" s="33" t="str">
        <f t="shared" si="75"/>
        <v/>
      </c>
      <c r="B58" s="10"/>
      <c r="C58" s="86"/>
      <c r="D58" s="88"/>
      <c r="E58" s="88"/>
      <c r="F58" s="44">
        <f t="shared" si="93"/>
        <v>0</v>
      </c>
      <c r="G58" s="88"/>
      <c r="H58" s="88"/>
      <c r="I58" s="44">
        <f t="shared" si="94"/>
        <v>0</v>
      </c>
      <c r="J58" s="87"/>
      <c r="K58" s="88"/>
      <c r="L58" s="44">
        <f t="shared" si="95"/>
        <v>0</v>
      </c>
      <c r="M58" s="88"/>
      <c r="N58" s="88"/>
      <c r="O58" s="44">
        <f t="shared" si="96"/>
        <v>0</v>
      </c>
      <c r="P58" s="88"/>
      <c r="Q58" s="88"/>
      <c r="R58" s="44">
        <f t="shared" si="97"/>
        <v>0</v>
      </c>
      <c r="S58" s="88"/>
      <c r="T58" s="88"/>
      <c r="U58" s="44">
        <f t="shared" si="98"/>
        <v>0</v>
      </c>
      <c r="V58" s="88"/>
      <c r="W58" s="88"/>
      <c r="X58" s="44">
        <f t="shared" si="99"/>
        <v>0</v>
      </c>
      <c r="Y58" s="44"/>
      <c r="Z58" s="44"/>
      <c r="AA58" s="44"/>
      <c r="AB58" s="44">
        <f t="shared" si="100"/>
        <v>0</v>
      </c>
      <c r="AC58" s="23"/>
      <c r="AD58" s="6"/>
      <c r="AE58" s="7">
        <f t="shared" si="108"/>
        <v>0</v>
      </c>
      <c r="AF58" s="6"/>
      <c r="AG58" s="7">
        <f t="shared" si="101"/>
        <v>0</v>
      </c>
      <c r="AH58" s="6"/>
      <c r="AI58" s="7">
        <f t="shared" si="102"/>
        <v>0</v>
      </c>
      <c r="AJ58" s="6"/>
      <c r="AK58" s="7">
        <f t="shared" si="103"/>
        <v>0</v>
      </c>
      <c r="AL58" s="6"/>
      <c r="AM58" s="7">
        <f t="shared" si="104"/>
        <v>0</v>
      </c>
      <c r="AN58" s="6"/>
      <c r="AO58" s="7">
        <f t="shared" si="105"/>
        <v>0</v>
      </c>
      <c r="AP58" s="30">
        <f t="shared" si="106"/>
        <v>0</v>
      </c>
      <c r="AQ58" s="6"/>
      <c r="AR58" s="6"/>
      <c r="AS58" s="6"/>
      <c r="AT58" s="44">
        <f t="shared" si="10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58"/>
        <v>0</v>
      </c>
      <c r="BE58" s="5">
        <f t="shared" si="28"/>
        <v>0</v>
      </c>
      <c r="BF58" s="5">
        <f t="shared" si="29"/>
        <v>0</v>
      </c>
      <c r="BG58" s="5">
        <f t="shared" si="30"/>
        <v>0</v>
      </c>
      <c r="BH58" s="5">
        <f t="shared" si="31"/>
        <v>0</v>
      </c>
      <c r="BI58" s="5">
        <f t="shared" si="32"/>
        <v>0</v>
      </c>
      <c r="BJ58" s="5">
        <f t="shared" si="33"/>
        <v>0</v>
      </c>
      <c r="BK58" s="5">
        <f t="shared" si="34"/>
        <v>0</v>
      </c>
      <c r="BL58" s="5">
        <f t="shared" si="35"/>
        <v>0</v>
      </c>
      <c r="BM58" s="5">
        <f t="shared" si="36"/>
        <v>0</v>
      </c>
      <c r="BN58" s="5">
        <f t="shared" si="37"/>
        <v>0</v>
      </c>
      <c r="BO58" s="5">
        <f t="shared" si="38"/>
        <v>0</v>
      </c>
      <c r="BP58" s="5">
        <f t="shared" si="39"/>
        <v>0</v>
      </c>
      <c r="BQ58" s="5">
        <f t="shared" si="40"/>
        <v>0</v>
      </c>
      <c r="BR58" s="5">
        <f t="shared" si="41"/>
        <v>0</v>
      </c>
      <c r="BS58" s="5">
        <f t="shared" si="42"/>
        <v>0</v>
      </c>
      <c r="BT58" s="5">
        <f t="shared" si="43"/>
        <v>0</v>
      </c>
      <c r="BU58" s="5">
        <f t="shared" si="44"/>
        <v>0</v>
      </c>
      <c r="BV58" s="5">
        <f t="shared" si="45"/>
        <v>0</v>
      </c>
      <c r="BW58" s="5">
        <f t="shared" si="46"/>
        <v>0</v>
      </c>
      <c r="BX58" s="5">
        <f t="shared" si="47"/>
        <v>0</v>
      </c>
      <c r="BY58" s="5">
        <f t="shared" si="11"/>
        <v>0</v>
      </c>
      <c r="BZ58" s="5">
        <f t="shared" si="48"/>
        <v>0</v>
      </c>
      <c r="CA58" s="5">
        <f t="shared" si="49"/>
        <v>0</v>
      </c>
      <c r="CB58" s="5">
        <f t="shared" si="50"/>
        <v>0</v>
      </c>
      <c r="CC58" s="5">
        <f t="shared" si="51"/>
        <v>0</v>
      </c>
      <c r="CD58" s="5">
        <f t="shared" si="52"/>
        <v>0</v>
      </c>
      <c r="CE58" s="5">
        <f t="shared" si="53"/>
        <v>0</v>
      </c>
      <c r="CF58" s="5">
        <f t="shared" si="54"/>
        <v>0</v>
      </c>
      <c r="CG58" s="5">
        <f t="shared" si="55"/>
        <v>0</v>
      </c>
      <c r="CH58" s="5">
        <f t="shared" si="56"/>
        <v>0</v>
      </c>
      <c r="CI58" s="5">
        <f t="shared" si="57"/>
        <v>0</v>
      </c>
      <c r="CJ58" s="5"/>
      <c r="CK58" s="4">
        <f t="shared" si="76"/>
        <v>0</v>
      </c>
    </row>
    <row r="59" spans="1:89" ht="38" customHeight="1">
      <c r="A59" s="33" t="str">
        <f t="shared" si="75"/>
        <v/>
      </c>
      <c r="B59" s="10"/>
      <c r="C59" s="86"/>
      <c r="D59" s="88"/>
      <c r="E59" s="88"/>
      <c r="F59" s="44">
        <f t="shared" si="93"/>
        <v>0</v>
      </c>
      <c r="G59" s="88"/>
      <c r="H59" s="88"/>
      <c r="I59" s="44">
        <f t="shared" si="94"/>
        <v>0</v>
      </c>
      <c r="J59" s="87"/>
      <c r="K59" s="88"/>
      <c r="L59" s="44">
        <f t="shared" si="95"/>
        <v>0</v>
      </c>
      <c r="M59" s="88"/>
      <c r="N59" s="88"/>
      <c r="O59" s="44">
        <f t="shared" si="96"/>
        <v>0</v>
      </c>
      <c r="P59" s="88"/>
      <c r="Q59" s="88"/>
      <c r="R59" s="44">
        <f t="shared" si="97"/>
        <v>0</v>
      </c>
      <c r="S59" s="88"/>
      <c r="T59" s="88"/>
      <c r="U59" s="44">
        <f t="shared" si="98"/>
        <v>0</v>
      </c>
      <c r="V59" s="88"/>
      <c r="W59" s="88"/>
      <c r="X59" s="44">
        <f t="shared" si="99"/>
        <v>0</v>
      </c>
      <c r="Y59" s="44"/>
      <c r="Z59" s="44"/>
      <c r="AA59" s="44"/>
      <c r="AB59" s="44">
        <f t="shared" si="100"/>
        <v>0</v>
      </c>
      <c r="AC59" s="23"/>
      <c r="AD59" s="6"/>
      <c r="AE59" s="7">
        <f t="shared" si="108"/>
        <v>0</v>
      </c>
      <c r="AF59" s="6"/>
      <c r="AG59" s="7">
        <f t="shared" si="101"/>
        <v>0</v>
      </c>
      <c r="AH59" s="6"/>
      <c r="AI59" s="7">
        <f t="shared" si="102"/>
        <v>0</v>
      </c>
      <c r="AJ59" s="6"/>
      <c r="AK59" s="7">
        <f t="shared" si="103"/>
        <v>0</v>
      </c>
      <c r="AL59" s="6"/>
      <c r="AM59" s="7">
        <f t="shared" si="104"/>
        <v>0</v>
      </c>
      <c r="AN59" s="6"/>
      <c r="AO59" s="7">
        <f t="shared" si="105"/>
        <v>0</v>
      </c>
      <c r="AP59" s="30">
        <f t="shared" si="106"/>
        <v>0</v>
      </c>
      <c r="AQ59" s="6"/>
      <c r="AR59" s="6"/>
      <c r="AS59" s="6"/>
      <c r="AT59" s="44">
        <f t="shared" si="10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58"/>
        <v>0</v>
      </c>
      <c r="BE59" s="5">
        <f t="shared" si="28"/>
        <v>0</v>
      </c>
      <c r="BF59" s="5">
        <f t="shared" si="29"/>
        <v>0</v>
      </c>
      <c r="BG59" s="5">
        <f t="shared" si="30"/>
        <v>0</v>
      </c>
      <c r="BH59" s="5">
        <f t="shared" si="31"/>
        <v>0</v>
      </c>
      <c r="BI59" s="5">
        <f t="shared" si="32"/>
        <v>0</v>
      </c>
      <c r="BJ59" s="5">
        <f t="shared" si="33"/>
        <v>0</v>
      </c>
      <c r="BK59" s="5">
        <f t="shared" si="34"/>
        <v>0</v>
      </c>
      <c r="BL59" s="5">
        <f t="shared" si="35"/>
        <v>0</v>
      </c>
      <c r="BM59" s="5">
        <f t="shared" si="36"/>
        <v>0</v>
      </c>
      <c r="BN59" s="5">
        <f t="shared" si="37"/>
        <v>0</v>
      </c>
      <c r="BO59" s="5">
        <f t="shared" si="38"/>
        <v>0</v>
      </c>
      <c r="BP59" s="5">
        <f t="shared" si="39"/>
        <v>0</v>
      </c>
      <c r="BQ59" s="5">
        <f t="shared" si="40"/>
        <v>0</v>
      </c>
      <c r="BR59" s="5">
        <f t="shared" si="41"/>
        <v>0</v>
      </c>
      <c r="BS59" s="5">
        <f t="shared" si="42"/>
        <v>0</v>
      </c>
      <c r="BT59" s="5">
        <f t="shared" si="43"/>
        <v>0</v>
      </c>
      <c r="BU59" s="5">
        <f t="shared" si="44"/>
        <v>0</v>
      </c>
      <c r="BV59" s="5">
        <f t="shared" si="45"/>
        <v>0</v>
      </c>
      <c r="BW59" s="5">
        <f t="shared" si="46"/>
        <v>0</v>
      </c>
      <c r="BX59" s="5">
        <f t="shared" si="47"/>
        <v>0</v>
      </c>
      <c r="BY59" s="5">
        <f t="shared" si="11"/>
        <v>0</v>
      </c>
      <c r="BZ59" s="5">
        <f t="shared" si="48"/>
        <v>0</v>
      </c>
      <c r="CA59" s="5">
        <f t="shared" si="49"/>
        <v>0</v>
      </c>
      <c r="CB59" s="5">
        <f t="shared" si="50"/>
        <v>0</v>
      </c>
      <c r="CC59" s="5">
        <f t="shared" si="51"/>
        <v>0</v>
      </c>
      <c r="CD59" s="5">
        <f t="shared" si="52"/>
        <v>0</v>
      </c>
      <c r="CE59" s="5">
        <f t="shared" si="53"/>
        <v>0</v>
      </c>
      <c r="CF59" s="5">
        <f t="shared" si="54"/>
        <v>0</v>
      </c>
      <c r="CG59" s="5">
        <f t="shared" si="55"/>
        <v>0</v>
      </c>
      <c r="CH59" s="5">
        <f t="shared" si="56"/>
        <v>0</v>
      </c>
      <c r="CI59" s="5">
        <f t="shared" si="57"/>
        <v>0</v>
      </c>
      <c r="CJ59" s="5"/>
      <c r="CK59" s="4">
        <f t="shared" si="76"/>
        <v>0</v>
      </c>
    </row>
    <row r="60" spans="1:89" ht="38" customHeight="1">
      <c r="A60" s="33" t="str">
        <f t="shared" si="75"/>
        <v/>
      </c>
      <c r="B60" s="10"/>
      <c r="C60" s="86"/>
      <c r="D60" s="88"/>
      <c r="E60" s="88"/>
      <c r="F60" s="44">
        <f t="shared" si="77"/>
        <v>0</v>
      </c>
      <c r="G60" s="88"/>
      <c r="H60" s="88"/>
      <c r="I60" s="44">
        <f t="shared" si="78"/>
        <v>0</v>
      </c>
      <c r="J60" s="87"/>
      <c r="K60" s="88"/>
      <c r="L60" s="44">
        <f t="shared" si="79"/>
        <v>0</v>
      </c>
      <c r="M60" s="88"/>
      <c r="N60" s="88"/>
      <c r="O60" s="44">
        <f t="shared" si="80"/>
        <v>0</v>
      </c>
      <c r="P60" s="88"/>
      <c r="Q60" s="88"/>
      <c r="R60" s="44">
        <f t="shared" si="81"/>
        <v>0</v>
      </c>
      <c r="S60" s="88"/>
      <c r="T60" s="88"/>
      <c r="U60" s="44">
        <f t="shared" si="82"/>
        <v>0</v>
      </c>
      <c r="V60" s="88"/>
      <c r="W60" s="88"/>
      <c r="X60" s="44">
        <f t="shared" si="83"/>
        <v>0</v>
      </c>
      <c r="Y60" s="44"/>
      <c r="Z60" s="44"/>
      <c r="AA60" s="44"/>
      <c r="AB60" s="44">
        <f t="shared" si="84"/>
        <v>0</v>
      </c>
      <c r="AC60" s="23"/>
      <c r="AD60" s="6"/>
      <c r="AE60" s="7">
        <f t="shared" si="85"/>
        <v>0</v>
      </c>
      <c r="AF60" s="6"/>
      <c r="AG60" s="7">
        <f t="shared" si="86"/>
        <v>0</v>
      </c>
      <c r="AH60" s="6"/>
      <c r="AI60" s="7">
        <f t="shared" si="87"/>
        <v>0</v>
      </c>
      <c r="AJ60" s="6"/>
      <c r="AK60" s="7">
        <f t="shared" si="88"/>
        <v>0</v>
      </c>
      <c r="AL60" s="6"/>
      <c r="AM60" s="7">
        <f t="shared" si="89"/>
        <v>0</v>
      </c>
      <c r="AN60" s="6"/>
      <c r="AO60" s="7">
        <f t="shared" si="90"/>
        <v>0</v>
      </c>
      <c r="AP60" s="30">
        <f t="shared" si="91"/>
        <v>0</v>
      </c>
      <c r="AQ60" s="6"/>
      <c r="AR60" s="6"/>
      <c r="AS60" s="6"/>
      <c r="AT60" s="44">
        <f t="shared" si="92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58"/>
        <v>0</v>
      </c>
      <c r="BE60" s="5">
        <f t="shared" si="28"/>
        <v>0</v>
      </c>
      <c r="BF60" s="5">
        <f t="shared" si="29"/>
        <v>0</v>
      </c>
      <c r="BG60" s="5">
        <f t="shared" si="30"/>
        <v>0</v>
      </c>
      <c r="BH60" s="5">
        <f t="shared" si="31"/>
        <v>0</v>
      </c>
      <c r="BI60" s="5">
        <f t="shared" si="32"/>
        <v>0</v>
      </c>
      <c r="BJ60" s="5">
        <f t="shared" si="33"/>
        <v>0</v>
      </c>
      <c r="BK60" s="5">
        <f t="shared" si="34"/>
        <v>0</v>
      </c>
      <c r="BL60" s="5">
        <f t="shared" si="35"/>
        <v>0</v>
      </c>
      <c r="BM60" s="5">
        <f t="shared" si="36"/>
        <v>0</v>
      </c>
      <c r="BN60" s="5">
        <f t="shared" si="37"/>
        <v>0</v>
      </c>
      <c r="BO60" s="5">
        <f t="shared" si="38"/>
        <v>0</v>
      </c>
      <c r="BP60" s="5">
        <f t="shared" si="39"/>
        <v>0</v>
      </c>
      <c r="BQ60" s="5">
        <f t="shared" si="40"/>
        <v>0</v>
      </c>
      <c r="BR60" s="5">
        <f t="shared" si="41"/>
        <v>0</v>
      </c>
      <c r="BS60" s="5">
        <f t="shared" si="42"/>
        <v>0</v>
      </c>
      <c r="BT60" s="5">
        <f t="shared" si="43"/>
        <v>0</v>
      </c>
      <c r="BU60" s="5">
        <f t="shared" si="44"/>
        <v>0</v>
      </c>
      <c r="BV60" s="5">
        <f t="shared" si="45"/>
        <v>0</v>
      </c>
      <c r="BW60" s="5">
        <f t="shared" si="46"/>
        <v>0</v>
      </c>
      <c r="BX60" s="5">
        <f t="shared" si="47"/>
        <v>0</v>
      </c>
      <c r="BY60" s="5">
        <f t="shared" si="11"/>
        <v>0</v>
      </c>
      <c r="BZ60" s="5">
        <f t="shared" si="48"/>
        <v>0</v>
      </c>
      <c r="CA60" s="5">
        <f t="shared" si="49"/>
        <v>0</v>
      </c>
      <c r="CB60" s="5">
        <f t="shared" si="50"/>
        <v>0</v>
      </c>
      <c r="CC60" s="5">
        <f t="shared" si="51"/>
        <v>0</v>
      </c>
      <c r="CD60" s="5">
        <f t="shared" si="52"/>
        <v>0</v>
      </c>
      <c r="CE60" s="5">
        <f t="shared" si="53"/>
        <v>0</v>
      </c>
      <c r="CF60" s="5">
        <f t="shared" si="54"/>
        <v>0</v>
      </c>
      <c r="CG60" s="5">
        <f t="shared" si="55"/>
        <v>0</v>
      </c>
      <c r="CH60" s="5">
        <f t="shared" si="56"/>
        <v>0</v>
      </c>
      <c r="CI60" s="5">
        <f t="shared" si="57"/>
        <v>0</v>
      </c>
      <c r="CJ60" s="5"/>
      <c r="CK60" s="4">
        <f t="shared" si="76"/>
        <v>0</v>
      </c>
    </row>
    <row r="61" spans="1:89" ht="38" customHeight="1">
      <c r="A61" s="33" t="str">
        <f t="shared" si="75"/>
        <v/>
      </c>
      <c r="B61" s="10"/>
      <c r="C61" s="86"/>
      <c r="D61" s="88"/>
      <c r="E61" s="88"/>
      <c r="F61" s="44">
        <f t="shared" si="15"/>
        <v>0</v>
      </c>
      <c r="G61" s="88"/>
      <c r="H61" s="88"/>
      <c r="I61" s="44">
        <f t="shared" si="16"/>
        <v>0</v>
      </c>
      <c r="J61" s="87"/>
      <c r="K61" s="88"/>
      <c r="L61" s="44">
        <f t="shared" si="17"/>
        <v>0</v>
      </c>
      <c r="M61" s="88"/>
      <c r="N61" s="88"/>
      <c r="O61" s="44">
        <f t="shared" si="18"/>
        <v>0</v>
      </c>
      <c r="P61" s="88"/>
      <c r="Q61" s="88"/>
      <c r="R61" s="44">
        <f t="shared" si="19"/>
        <v>0</v>
      </c>
      <c r="S61" s="88"/>
      <c r="T61" s="88"/>
      <c r="U61" s="44">
        <f t="shared" si="20"/>
        <v>0</v>
      </c>
      <c r="V61" s="88"/>
      <c r="W61" s="88"/>
      <c r="X61" s="44">
        <f t="shared" si="21"/>
        <v>0</v>
      </c>
      <c r="Y61" s="44"/>
      <c r="Z61" s="44"/>
      <c r="AA61" s="44"/>
      <c r="AB61" s="44">
        <f t="shared" si="22"/>
        <v>0</v>
      </c>
      <c r="AC61" s="23"/>
      <c r="AD61" s="6"/>
      <c r="AE61" s="7">
        <f t="shared" ref="AE61:AE69" si="109">SUMIF($BC$1:$CI$1,AE$1,$BC61:$CI61)+AD61</f>
        <v>0</v>
      </c>
      <c r="AF61" s="6"/>
      <c r="AG61" s="7">
        <f t="shared" ref="AG61:AG69" si="110">SUMIF($BC$1:$CI$1,AG$1,$BC61:$CI61)+AF61</f>
        <v>0</v>
      </c>
      <c r="AH61" s="6"/>
      <c r="AI61" s="7">
        <f t="shared" ref="AI61:AI69" si="111">SUMIF($BC$1:$CI$1,AI$1,$BC61:$CI61)+AH61</f>
        <v>0</v>
      </c>
      <c r="AJ61" s="6"/>
      <c r="AK61" s="7">
        <f t="shared" ref="AK61:AK69" si="112">SUMIF($BC$1:$CI$1,AK$1,$BC61:$CI61)+AJ61</f>
        <v>0</v>
      </c>
      <c r="AL61" s="6"/>
      <c r="AM61" s="7">
        <f t="shared" ref="AM61:AM69" si="113">SUMIF($BC$1:$CI$1,AM$1,$BC61:$CI61)+AL61</f>
        <v>0</v>
      </c>
      <c r="AN61" s="6"/>
      <c r="AO61" s="7">
        <f t="shared" ref="AO61:AO69" si="114">SUMIF($BC$1:$CI$1,AO$1,$BC61:$CI61)+AN61</f>
        <v>0</v>
      </c>
      <c r="AP61" s="30">
        <f t="shared" si="23"/>
        <v>0</v>
      </c>
      <c r="AQ61" s="6"/>
      <c r="AR61" s="6"/>
      <c r="AS61" s="6"/>
      <c r="AT61" s="44">
        <f t="shared" si="24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58"/>
        <v>0</v>
      </c>
      <c r="BE61" s="5">
        <f t="shared" si="28"/>
        <v>0</v>
      </c>
      <c r="BF61" s="5">
        <f t="shared" si="29"/>
        <v>0</v>
      </c>
      <c r="BG61" s="5">
        <f t="shared" si="30"/>
        <v>0</v>
      </c>
      <c r="BH61" s="5">
        <f t="shared" si="31"/>
        <v>0</v>
      </c>
      <c r="BI61" s="5">
        <f t="shared" si="32"/>
        <v>0</v>
      </c>
      <c r="BJ61" s="5">
        <f t="shared" si="33"/>
        <v>0</v>
      </c>
      <c r="BK61" s="5">
        <f t="shared" si="34"/>
        <v>0</v>
      </c>
      <c r="BL61" s="5">
        <f t="shared" si="35"/>
        <v>0</v>
      </c>
      <c r="BM61" s="5">
        <f t="shared" si="36"/>
        <v>0</v>
      </c>
      <c r="BN61" s="5">
        <f t="shared" si="37"/>
        <v>0</v>
      </c>
      <c r="BO61" s="5">
        <f t="shared" si="38"/>
        <v>0</v>
      </c>
      <c r="BP61" s="5">
        <f t="shared" si="39"/>
        <v>0</v>
      </c>
      <c r="BQ61" s="5">
        <f t="shared" si="40"/>
        <v>0</v>
      </c>
      <c r="BR61" s="5">
        <f t="shared" si="41"/>
        <v>0</v>
      </c>
      <c r="BS61" s="5">
        <f t="shared" si="42"/>
        <v>0</v>
      </c>
      <c r="BT61" s="5">
        <f t="shared" si="43"/>
        <v>0</v>
      </c>
      <c r="BU61" s="5">
        <f t="shared" si="44"/>
        <v>0</v>
      </c>
      <c r="BV61" s="5">
        <f t="shared" si="45"/>
        <v>0</v>
      </c>
      <c r="BW61" s="5">
        <f t="shared" si="46"/>
        <v>0</v>
      </c>
      <c r="BX61" s="5">
        <f t="shared" si="47"/>
        <v>0</v>
      </c>
      <c r="BY61" s="5">
        <f t="shared" si="11"/>
        <v>0</v>
      </c>
      <c r="BZ61" s="5">
        <f t="shared" si="48"/>
        <v>0</v>
      </c>
      <c r="CA61" s="5">
        <f t="shared" si="49"/>
        <v>0</v>
      </c>
      <c r="CB61" s="5">
        <f t="shared" si="50"/>
        <v>0</v>
      </c>
      <c r="CC61" s="5">
        <f t="shared" si="51"/>
        <v>0</v>
      </c>
      <c r="CD61" s="5">
        <f t="shared" si="52"/>
        <v>0</v>
      </c>
      <c r="CE61" s="5">
        <f t="shared" si="53"/>
        <v>0</v>
      </c>
      <c r="CF61" s="5">
        <f t="shared" si="54"/>
        <v>0</v>
      </c>
      <c r="CG61" s="5">
        <f t="shared" si="55"/>
        <v>0</v>
      </c>
      <c r="CH61" s="5">
        <f t="shared" si="56"/>
        <v>0</v>
      </c>
      <c r="CI61" s="5">
        <f t="shared" si="57"/>
        <v>0</v>
      </c>
      <c r="CJ61" s="5"/>
      <c r="CK61" s="4">
        <f t="shared" si="76"/>
        <v>0</v>
      </c>
    </row>
    <row r="62" spans="1:89" ht="38" customHeight="1">
      <c r="A62" s="33" t="str">
        <f t="shared" si="75"/>
        <v/>
      </c>
      <c r="B62" s="10"/>
      <c r="C62" s="86"/>
      <c r="D62" s="88"/>
      <c r="E62" s="88"/>
      <c r="F62" s="44">
        <f t="shared" si="15"/>
        <v>0</v>
      </c>
      <c r="G62" s="88"/>
      <c r="H62" s="88"/>
      <c r="I62" s="44">
        <f t="shared" si="16"/>
        <v>0</v>
      </c>
      <c r="J62" s="87"/>
      <c r="K62" s="88"/>
      <c r="L62" s="44">
        <f t="shared" si="17"/>
        <v>0</v>
      </c>
      <c r="M62" s="88"/>
      <c r="N62" s="88"/>
      <c r="O62" s="44">
        <f t="shared" si="18"/>
        <v>0</v>
      </c>
      <c r="P62" s="88"/>
      <c r="Q62" s="88"/>
      <c r="R62" s="44">
        <f t="shared" si="19"/>
        <v>0</v>
      </c>
      <c r="S62" s="88"/>
      <c r="T62" s="88"/>
      <c r="U62" s="44">
        <f t="shared" si="20"/>
        <v>0</v>
      </c>
      <c r="V62" s="88"/>
      <c r="W62" s="88"/>
      <c r="X62" s="44">
        <f t="shared" si="21"/>
        <v>0</v>
      </c>
      <c r="Y62" s="44"/>
      <c r="Z62" s="44"/>
      <c r="AA62" s="44"/>
      <c r="AB62" s="44">
        <f t="shared" si="22"/>
        <v>0</v>
      </c>
      <c r="AC62" s="23"/>
      <c r="AD62" s="6"/>
      <c r="AE62" s="7">
        <f t="shared" si="109"/>
        <v>0</v>
      </c>
      <c r="AF62" s="6"/>
      <c r="AG62" s="7">
        <f t="shared" si="110"/>
        <v>0</v>
      </c>
      <c r="AH62" s="6"/>
      <c r="AI62" s="7">
        <f t="shared" si="111"/>
        <v>0</v>
      </c>
      <c r="AJ62" s="6"/>
      <c r="AK62" s="7">
        <f t="shared" si="112"/>
        <v>0</v>
      </c>
      <c r="AL62" s="6"/>
      <c r="AM62" s="7">
        <f t="shared" si="113"/>
        <v>0</v>
      </c>
      <c r="AN62" s="6"/>
      <c r="AO62" s="7">
        <f t="shared" si="114"/>
        <v>0</v>
      </c>
      <c r="AP62" s="30">
        <f t="shared" si="23"/>
        <v>0</v>
      </c>
      <c r="AQ62" s="6"/>
      <c r="AR62" s="6"/>
      <c r="AS62" s="6"/>
      <c r="AT62" s="44">
        <f t="shared" si="24"/>
        <v>0</v>
      </c>
      <c r="AU62" s="61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58"/>
        <v>0</v>
      </c>
      <c r="BE62" s="5">
        <f t="shared" si="28"/>
        <v>0</v>
      </c>
      <c r="BF62" s="5">
        <f t="shared" si="29"/>
        <v>0</v>
      </c>
      <c r="BG62" s="5">
        <f t="shared" si="30"/>
        <v>0</v>
      </c>
      <c r="BH62" s="5">
        <f t="shared" si="31"/>
        <v>0</v>
      </c>
      <c r="BI62" s="5">
        <f t="shared" si="32"/>
        <v>0</v>
      </c>
      <c r="BJ62" s="5">
        <f t="shared" si="33"/>
        <v>0</v>
      </c>
      <c r="BK62" s="5">
        <f t="shared" si="34"/>
        <v>0</v>
      </c>
      <c r="BL62" s="5">
        <f t="shared" si="35"/>
        <v>0</v>
      </c>
      <c r="BM62" s="5">
        <f t="shared" si="36"/>
        <v>0</v>
      </c>
      <c r="BN62" s="5">
        <f t="shared" si="37"/>
        <v>0</v>
      </c>
      <c r="BO62" s="5">
        <f t="shared" si="38"/>
        <v>0</v>
      </c>
      <c r="BP62" s="5">
        <f t="shared" si="39"/>
        <v>0</v>
      </c>
      <c r="BQ62" s="5">
        <f t="shared" si="40"/>
        <v>0</v>
      </c>
      <c r="BR62" s="5">
        <f t="shared" si="41"/>
        <v>0</v>
      </c>
      <c r="BS62" s="5">
        <f t="shared" si="42"/>
        <v>0</v>
      </c>
      <c r="BT62" s="5">
        <f t="shared" si="43"/>
        <v>0</v>
      </c>
      <c r="BU62" s="5">
        <f t="shared" si="44"/>
        <v>0</v>
      </c>
      <c r="BV62" s="5">
        <f t="shared" si="45"/>
        <v>0</v>
      </c>
      <c r="BW62" s="5">
        <f t="shared" si="46"/>
        <v>0</v>
      </c>
      <c r="BX62" s="5">
        <f t="shared" si="47"/>
        <v>0</v>
      </c>
      <c r="BY62" s="5">
        <f t="shared" si="11"/>
        <v>0</v>
      </c>
      <c r="BZ62" s="5">
        <f t="shared" si="48"/>
        <v>0</v>
      </c>
      <c r="CA62" s="5">
        <f t="shared" si="49"/>
        <v>0</v>
      </c>
      <c r="CB62" s="5">
        <f t="shared" si="50"/>
        <v>0</v>
      </c>
      <c r="CC62" s="5">
        <f t="shared" si="51"/>
        <v>0</v>
      </c>
      <c r="CD62" s="5">
        <f t="shared" si="52"/>
        <v>0</v>
      </c>
      <c r="CE62" s="5">
        <f t="shared" si="53"/>
        <v>0</v>
      </c>
      <c r="CF62" s="5">
        <f t="shared" si="54"/>
        <v>0</v>
      </c>
      <c r="CG62" s="5">
        <f t="shared" si="55"/>
        <v>0</v>
      </c>
      <c r="CH62" s="5">
        <f t="shared" si="56"/>
        <v>0</v>
      </c>
      <c r="CI62" s="5">
        <f t="shared" si="57"/>
        <v>0</v>
      </c>
      <c r="CJ62" s="5"/>
      <c r="CK62" s="4">
        <f t="shared" si="76"/>
        <v>0</v>
      </c>
    </row>
    <row r="63" spans="1:89" ht="38" customHeight="1">
      <c r="A63" s="33" t="str">
        <f t="shared" si="75"/>
        <v/>
      </c>
      <c r="B63" s="10"/>
      <c r="C63" s="86"/>
      <c r="D63" s="88"/>
      <c r="E63" s="88"/>
      <c r="F63" s="44">
        <f t="shared" si="15"/>
        <v>0</v>
      </c>
      <c r="G63" s="88"/>
      <c r="H63" s="88"/>
      <c r="I63" s="44">
        <f t="shared" si="16"/>
        <v>0</v>
      </c>
      <c r="J63" s="87"/>
      <c r="K63" s="88"/>
      <c r="L63" s="44">
        <f t="shared" si="17"/>
        <v>0</v>
      </c>
      <c r="M63" s="88"/>
      <c r="N63" s="88"/>
      <c r="O63" s="44">
        <f t="shared" si="18"/>
        <v>0</v>
      </c>
      <c r="P63" s="88"/>
      <c r="Q63" s="88"/>
      <c r="R63" s="44">
        <f t="shared" si="19"/>
        <v>0</v>
      </c>
      <c r="S63" s="88"/>
      <c r="T63" s="88"/>
      <c r="U63" s="44">
        <f t="shared" si="20"/>
        <v>0</v>
      </c>
      <c r="V63" s="88"/>
      <c r="W63" s="88"/>
      <c r="X63" s="44">
        <f t="shared" si="21"/>
        <v>0</v>
      </c>
      <c r="Y63" s="44"/>
      <c r="Z63" s="44"/>
      <c r="AA63" s="44"/>
      <c r="AB63" s="44">
        <f t="shared" si="22"/>
        <v>0</v>
      </c>
      <c r="AC63" s="23"/>
      <c r="AD63" s="6"/>
      <c r="AE63" s="7">
        <f t="shared" si="109"/>
        <v>0</v>
      </c>
      <c r="AF63" s="6"/>
      <c r="AG63" s="7">
        <f t="shared" si="110"/>
        <v>0</v>
      </c>
      <c r="AH63" s="6"/>
      <c r="AI63" s="7">
        <f t="shared" si="111"/>
        <v>0</v>
      </c>
      <c r="AJ63" s="6"/>
      <c r="AK63" s="7">
        <f t="shared" si="112"/>
        <v>0</v>
      </c>
      <c r="AL63" s="6"/>
      <c r="AM63" s="7">
        <f t="shared" si="113"/>
        <v>0</v>
      </c>
      <c r="AN63" s="6"/>
      <c r="AO63" s="7">
        <f t="shared" si="114"/>
        <v>0</v>
      </c>
      <c r="AP63" s="30">
        <f t="shared" si="23"/>
        <v>0</v>
      </c>
      <c r="AQ63" s="6"/>
      <c r="AR63" s="6"/>
      <c r="AS63" s="6"/>
      <c r="AT63" s="44">
        <f t="shared" si="24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58"/>
        <v>0</v>
      </c>
      <c r="BE63" s="5">
        <f t="shared" si="28"/>
        <v>0</v>
      </c>
      <c r="BF63" s="5">
        <f t="shared" si="29"/>
        <v>0</v>
      </c>
      <c r="BG63" s="5">
        <f t="shared" si="30"/>
        <v>0</v>
      </c>
      <c r="BH63" s="5">
        <f t="shared" si="31"/>
        <v>0</v>
      </c>
      <c r="BI63" s="5">
        <f t="shared" si="32"/>
        <v>0</v>
      </c>
      <c r="BJ63" s="5">
        <f t="shared" si="33"/>
        <v>0</v>
      </c>
      <c r="BK63" s="5">
        <f t="shared" si="34"/>
        <v>0</v>
      </c>
      <c r="BL63" s="5">
        <f t="shared" si="35"/>
        <v>0</v>
      </c>
      <c r="BM63" s="5">
        <f t="shared" si="36"/>
        <v>0</v>
      </c>
      <c r="BN63" s="5">
        <f t="shared" si="37"/>
        <v>0</v>
      </c>
      <c r="BO63" s="5">
        <f t="shared" si="38"/>
        <v>0</v>
      </c>
      <c r="BP63" s="5">
        <f t="shared" si="39"/>
        <v>0</v>
      </c>
      <c r="BQ63" s="5">
        <f t="shared" si="40"/>
        <v>0</v>
      </c>
      <c r="BR63" s="5">
        <f t="shared" si="41"/>
        <v>0</v>
      </c>
      <c r="BS63" s="5">
        <f t="shared" si="42"/>
        <v>0</v>
      </c>
      <c r="BT63" s="5">
        <f t="shared" si="43"/>
        <v>0</v>
      </c>
      <c r="BU63" s="5">
        <f t="shared" si="44"/>
        <v>0</v>
      </c>
      <c r="BV63" s="5">
        <f t="shared" si="45"/>
        <v>0</v>
      </c>
      <c r="BW63" s="5">
        <f t="shared" si="46"/>
        <v>0</v>
      </c>
      <c r="BX63" s="5">
        <f t="shared" si="47"/>
        <v>0</v>
      </c>
      <c r="BY63" s="5">
        <f t="shared" si="11"/>
        <v>0</v>
      </c>
      <c r="BZ63" s="5">
        <f t="shared" si="48"/>
        <v>0</v>
      </c>
      <c r="CA63" s="5">
        <f t="shared" si="49"/>
        <v>0</v>
      </c>
      <c r="CB63" s="5">
        <f t="shared" si="50"/>
        <v>0</v>
      </c>
      <c r="CC63" s="5">
        <f t="shared" si="51"/>
        <v>0</v>
      </c>
      <c r="CD63" s="5">
        <f t="shared" si="52"/>
        <v>0</v>
      </c>
      <c r="CE63" s="5">
        <f t="shared" si="53"/>
        <v>0</v>
      </c>
      <c r="CF63" s="5">
        <f t="shared" si="54"/>
        <v>0</v>
      </c>
      <c r="CG63" s="5">
        <f t="shared" si="55"/>
        <v>0</v>
      </c>
      <c r="CH63" s="5">
        <f t="shared" si="56"/>
        <v>0</v>
      </c>
      <c r="CI63" s="5">
        <f t="shared" si="57"/>
        <v>0</v>
      </c>
      <c r="CJ63" s="5"/>
      <c r="CK63" s="4">
        <f t="shared" si="76"/>
        <v>0</v>
      </c>
    </row>
    <row r="64" spans="1:89" ht="38" customHeight="1">
      <c r="A64" s="33" t="str">
        <f t="shared" si="75"/>
        <v/>
      </c>
      <c r="B64" s="10"/>
      <c r="C64" s="86"/>
      <c r="D64" s="88"/>
      <c r="E64" s="88"/>
      <c r="F64" s="44">
        <f t="shared" si="15"/>
        <v>0</v>
      </c>
      <c r="G64" s="88"/>
      <c r="H64" s="88"/>
      <c r="I64" s="44">
        <f t="shared" si="16"/>
        <v>0</v>
      </c>
      <c r="J64" s="87"/>
      <c r="K64" s="88"/>
      <c r="L64" s="44">
        <f t="shared" si="17"/>
        <v>0</v>
      </c>
      <c r="M64" s="88"/>
      <c r="N64" s="88"/>
      <c r="O64" s="44">
        <f t="shared" si="18"/>
        <v>0</v>
      </c>
      <c r="P64" s="88"/>
      <c r="Q64" s="88"/>
      <c r="R64" s="44">
        <f t="shared" si="19"/>
        <v>0</v>
      </c>
      <c r="S64" s="88"/>
      <c r="T64" s="88"/>
      <c r="U64" s="44">
        <f t="shared" si="20"/>
        <v>0</v>
      </c>
      <c r="V64" s="88"/>
      <c r="W64" s="88"/>
      <c r="X64" s="44">
        <f t="shared" si="21"/>
        <v>0</v>
      </c>
      <c r="Y64" s="44"/>
      <c r="Z64" s="44"/>
      <c r="AA64" s="44"/>
      <c r="AB64" s="44">
        <f t="shared" si="22"/>
        <v>0</v>
      </c>
      <c r="AC64" s="23"/>
      <c r="AD64" s="6"/>
      <c r="AE64" s="7">
        <f t="shared" si="109"/>
        <v>0</v>
      </c>
      <c r="AF64" s="6"/>
      <c r="AG64" s="7">
        <f t="shared" si="110"/>
        <v>0</v>
      </c>
      <c r="AH64" s="6"/>
      <c r="AI64" s="7">
        <f t="shared" si="111"/>
        <v>0</v>
      </c>
      <c r="AJ64" s="6"/>
      <c r="AK64" s="7">
        <f t="shared" si="112"/>
        <v>0</v>
      </c>
      <c r="AL64" s="6"/>
      <c r="AM64" s="7">
        <f t="shared" si="113"/>
        <v>0</v>
      </c>
      <c r="AN64" s="6"/>
      <c r="AO64" s="7">
        <f t="shared" si="114"/>
        <v>0</v>
      </c>
      <c r="AP64" s="30">
        <f t="shared" si="23"/>
        <v>0</v>
      </c>
      <c r="AQ64" s="6"/>
      <c r="AR64" s="6"/>
      <c r="AS64" s="6"/>
      <c r="AT64" s="44">
        <f t="shared" si="24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58"/>
        <v>0</v>
      </c>
      <c r="BE64" s="5">
        <f t="shared" si="28"/>
        <v>0</v>
      </c>
      <c r="BF64" s="5">
        <f t="shared" si="29"/>
        <v>0</v>
      </c>
      <c r="BG64" s="5">
        <f t="shared" si="30"/>
        <v>0</v>
      </c>
      <c r="BH64" s="5">
        <f t="shared" si="31"/>
        <v>0</v>
      </c>
      <c r="BI64" s="5">
        <f t="shared" si="32"/>
        <v>0</v>
      </c>
      <c r="BJ64" s="5">
        <f t="shared" si="33"/>
        <v>0</v>
      </c>
      <c r="BK64" s="5">
        <f t="shared" si="34"/>
        <v>0</v>
      </c>
      <c r="BL64" s="5">
        <f t="shared" si="35"/>
        <v>0</v>
      </c>
      <c r="BM64" s="5">
        <f t="shared" si="36"/>
        <v>0</v>
      </c>
      <c r="BN64" s="5">
        <f t="shared" si="37"/>
        <v>0</v>
      </c>
      <c r="BO64" s="5">
        <f t="shared" si="38"/>
        <v>0</v>
      </c>
      <c r="BP64" s="5">
        <f t="shared" si="39"/>
        <v>0</v>
      </c>
      <c r="BQ64" s="5">
        <f t="shared" si="40"/>
        <v>0</v>
      </c>
      <c r="BR64" s="5">
        <f t="shared" si="41"/>
        <v>0</v>
      </c>
      <c r="BS64" s="5">
        <f t="shared" si="42"/>
        <v>0</v>
      </c>
      <c r="BT64" s="5">
        <f t="shared" si="43"/>
        <v>0</v>
      </c>
      <c r="BU64" s="5">
        <f t="shared" si="44"/>
        <v>0</v>
      </c>
      <c r="BV64" s="5">
        <f t="shared" si="45"/>
        <v>0</v>
      </c>
      <c r="BW64" s="5">
        <f t="shared" si="46"/>
        <v>0</v>
      </c>
      <c r="BX64" s="5">
        <f t="shared" si="47"/>
        <v>0</v>
      </c>
      <c r="BY64" s="5">
        <f t="shared" si="11"/>
        <v>0</v>
      </c>
      <c r="BZ64" s="5">
        <f t="shared" si="48"/>
        <v>0</v>
      </c>
      <c r="CA64" s="5">
        <f t="shared" si="49"/>
        <v>0</v>
      </c>
      <c r="CB64" s="5">
        <f t="shared" si="50"/>
        <v>0</v>
      </c>
      <c r="CC64" s="5">
        <f t="shared" si="51"/>
        <v>0</v>
      </c>
      <c r="CD64" s="5">
        <f t="shared" si="52"/>
        <v>0</v>
      </c>
      <c r="CE64" s="5">
        <f t="shared" si="53"/>
        <v>0</v>
      </c>
      <c r="CF64" s="5">
        <f t="shared" si="54"/>
        <v>0</v>
      </c>
      <c r="CG64" s="5">
        <f t="shared" si="55"/>
        <v>0</v>
      </c>
      <c r="CH64" s="5">
        <f t="shared" si="56"/>
        <v>0</v>
      </c>
      <c r="CI64" s="5">
        <f t="shared" si="57"/>
        <v>0</v>
      </c>
      <c r="CJ64" s="5"/>
      <c r="CK64" s="4">
        <f t="shared" si="76"/>
        <v>0</v>
      </c>
    </row>
    <row r="65" spans="1:89" ht="38" customHeight="1">
      <c r="A65" s="33" t="str">
        <f t="shared" si="75"/>
        <v/>
      </c>
      <c r="B65" s="10"/>
      <c r="C65" s="86"/>
      <c r="D65" s="88"/>
      <c r="E65" s="88"/>
      <c r="F65" s="44">
        <f t="shared" si="15"/>
        <v>0</v>
      </c>
      <c r="G65" s="88"/>
      <c r="H65" s="88"/>
      <c r="I65" s="44">
        <f t="shared" si="16"/>
        <v>0</v>
      </c>
      <c r="J65" s="87"/>
      <c r="K65" s="88"/>
      <c r="L65" s="44">
        <f t="shared" si="17"/>
        <v>0</v>
      </c>
      <c r="M65" s="88"/>
      <c r="N65" s="88"/>
      <c r="O65" s="44">
        <f t="shared" si="18"/>
        <v>0</v>
      </c>
      <c r="P65" s="88"/>
      <c r="Q65" s="88"/>
      <c r="R65" s="44">
        <f t="shared" si="19"/>
        <v>0</v>
      </c>
      <c r="S65" s="88"/>
      <c r="T65" s="88"/>
      <c r="U65" s="44">
        <f t="shared" si="20"/>
        <v>0</v>
      </c>
      <c r="V65" s="88"/>
      <c r="W65" s="88"/>
      <c r="X65" s="44">
        <f t="shared" si="21"/>
        <v>0</v>
      </c>
      <c r="Y65" s="44"/>
      <c r="Z65" s="44"/>
      <c r="AA65" s="44"/>
      <c r="AB65" s="44">
        <f t="shared" si="22"/>
        <v>0</v>
      </c>
      <c r="AC65" s="23"/>
      <c r="AD65" s="6"/>
      <c r="AE65" s="7">
        <f t="shared" si="109"/>
        <v>0</v>
      </c>
      <c r="AF65" s="6"/>
      <c r="AG65" s="7">
        <f t="shared" si="110"/>
        <v>0</v>
      </c>
      <c r="AH65" s="6"/>
      <c r="AI65" s="7">
        <f t="shared" si="111"/>
        <v>0</v>
      </c>
      <c r="AJ65" s="6"/>
      <c r="AK65" s="7">
        <f t="shared" si="112"/>
        <v>0</v>
      </c>
      <c r="AL65" s="6"/>
      <c r="AM65" s="7">
        <f t="shared" si="113"/>
        <v>0</v>
      </c>
      <c r="AN65" s="6"/>
      <c r="AO65" s="7">
        <f t="shared" si="114"/>
        <v>0</v>
      </c>
      <c r="AP65" s="30">
        <f t="shared" si="23"/>
        <v>0</v>
      </c>
      <c r="AQ65" s="6"/>
      <c r="AR65" s="6"/>
      <c r="AS65" s="6"/>
      <c r="AT65" s="44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58"/>
        <v>0</v>
      </c>
      <c r="BE65" s="5">
        <f t="shared" si="28"/>
        <v>0</v>
      </c>
      <c r="BF65" s="5">
        <f t="shared" si="29"/>
        <v>0</v>
      </c>
      <c r="BG65" s="5">
        <f t="shared" si="30"/>
        <v>0</v>
      </c>
      <c r="BH65" s="5">
        <f t="shared" si="31"/>
        <v>0</v>
      </c>
      <c r="BI65" s="5">
        <f t="shared" si="32"/>
        <v>0</v>
      </c>
      <c r="BJ65" s="5">
        <f t="shared" si="33"/>
        <v>0</v>
      </c>
      <c r="BK65" s="5">
        <f t="shared" si="34"/>
        <v>0</v>
      </c>
      <c r="BL65" s="5">
        <f t="shared" si="35"/>
        <v>0</v>
      </c>
      <c r="BM65" s="5">
        <f t="shared" si="36"/>
        <v>0</v>
      </c>
      <c r="BN65" s="5">
        <f t="shared" si="37"/>
        <v>0</v>
      </c>
      <c r="BO65" s="5">
        <f t="shared" si="38"/>
        <v>0</v>
      </c>
      <c r="BP65" s="5">
        <f t="shared" si="39"/>
        <v>0</v>
      </c>
      <c r="BQ65" s="5">
        <f t="shared" si="40"/>
        <v>0</v>
      </c>
      <c r="BR65" s="5">
        <f t="shared" si="41"/>
        <v>0</v>
      </c>
      <c r="BS65" s="5">
        <f t="shared" si="42"/>
        <v>0</v>
      </c>
      <c r="BT65" s="5">
        <f t="shared" si="43"/>
        <v>0</v>
      </c>
      <c r="BU65" s="5">
        <f t="shared" si="44"/>
        <v>0</v>
      </c>
      <c r="BV65" s="5">
        <f t="shared" si="45"/>
        <v>0</v>
      </c>
      <c r="BW65" s="5">
        <f t="shared" si="46"/>
        <v>0</v>
      </c>
      <c r="BX65" s="5">
        <f t="shared" si="47"/>
        <v>0</v>
      </c>
      <c r="BY65" s="5">
        <f t="shared" si="11"/>
        <v>0</v>
      </c>
      <c r="BZ65" s="5">
        <f t="shared" si="48"/>
        <v>0</v>
      </c>
      <c r="CA65" s="5">
        <f t="shared" si="49"/>
        <v>0</v>
      </c>
      <c r="CB65" s="5">
        <f t="shared" si="50"/>
        <v>0</v>
      </c>
      <c r="CC65" s="5">
        <f t="shared" si="51"/>
        <v>0</v>
      </c>
      <c r="CD65" s="5">
        <f t="shared" si="52"/>
        <v>0</v>
      </c>
      <c r="CE65" s="5">
        <f t="shared" si="53"/>
        <v>0</v>
      </c>
      <c r="CF65" s="5">
        <f t="shared" si="54"/>
        <v>0</v>
      </c>
      <c r="CG65" s="5">
        <f t="shared" si="55"/>
        <v>0</v>
      </c>
      <c r="CH65" s="5">
        <f t="shared" si="56"/>
        <v>0</v>
      </c>
      <c r="CI65" s="5">
        <f t="shared" si="57"/>
        <v>0</v>
      </c>
      <c r="CJ65" s="5"/>
      <c r="CK65" s="4">
        <f t="shared" si="76"/>
        <v>0</v>
      </c>
    </row>
    <row r="66" spans="1:89" ht="38" customHeight="1">
      <c r="A66" s="33" t="str">
        <f t="shared" ref="A66:A100" si="115">IF(ISNA(AZ66),"",AZ66)</f>
        <v/>
      </c>
      <c r="B66" s="10"/>
      <c r="C66" s="86"/>
      <c r="D66" s="88"/>
      <c r="E66" s="88"/>
      <c r="F66" s="44">
        <f t="shared" si="15"/>
        <v>0</v>
      </c>
      <c r="G66" s="88"/>
      <c r="H66" s="88"/>
      <c r="I66" s="44">
        <f t="shared" si="16"/>
        <v>0</v>
      </c>
      <c r="J66" s="87"/>
      <c r="K66" s="88"/>
      <c r="L66" s="44">
        <f t="shared" si="17"/>
        <v>0</v>
      </c>
      <c r="M66" s="88"/>
      <c r="N66" s="88"/>
      <c r="O66" s="44">
        <f t="shared" si="18"/>
        <v>0</v>
      </c>
      <c r="P66" s="88"/>
      <c r="Q66" s="88"/>
      <c r="R66" s="44">
        <f t="shared" si="19"/>
        <v>0</v>
      </c>
      <c r="S66" s="88"/>
      <c r="T66" s="88"/>
      <c r="U66" s="44">
        <f t="shared" si="20"/>
        <v>0</v>
      </c>
      <c r="V66" s="88"/>
      <c r="W66" s="88"/>
      <c r="X66" s="44">
        <f t="shared" si="21"/>
        <v>0</v>
      </c>
      <c r="Y66" s="44"/>
      <c r="Z66" s="44"/>
      <c r="AA66" s="44"/>
      <c r="AB66" s="44">
        <f t="shared" si="22"/>
        <v>0</v>
      </c>
      <c r="AC66" s="23"/>
      <c r="AD66" s="6"/>
      <c r="AE66" s="7">
        <f t="shared" si="109"/>
        <v>0</v>
      </c>
      <c r="AF66" s="6"/>
      <c r="AG66" s="7">
        <f t="shared" si="110"/>
        <v>0</v>
      </c>
      <c r="AH66" s="6"/>
      <c r="AI66" s="7">
        <f t="shared" si="111"/>
        <v>0</v>
      </c>
      <c r="AJ66" s="6"/>
      <c r="AK66" s="7">
        <f t="shared" si="112"/>
        <v>0</v>
      </c>
      <c r="AL66" s="6"/>
      <c r="AM66" s="7">
        <f t="shared" si="113"/>
        <v>0</v>
      </c>
      <c r="AN66" s="6"/>
      <c r="AO66" s="7">
        <f t="shared" si="114"/>
        <v>0</v>
      </c>
      <c r="AP66" s="30">
        <f t="shared" si="23"/>
        <v>0</v>
      </c>
      <c r="AQ66" s="6"/>
      <c r="AR66" s="6"/>
      <c r="AS66" s="6"/>
      <c r="AT66" s="44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58"/>
        <v>0</v>
      </c>
      <c r="BE66" s="5">
        <f t="shared" si="28"/>
        <v>0</v>
      </c>
      <c r="BF66" s="5">
        <f t="shared" si="29"/>
        <v>0</v>
      </c>
      <c r="BG66" s="5">
        <f t="shared" si="30"/>
        <v>0</v>
      </c>
      <c r="BH66" s="5">
        <f t="shared" si="31"/>
        <v>0</v>
      </c>
      <c r="BI66" s="5">
        <f t="shared" si="32"/>
        <v>0</v>
      </c>
      <c r="BJ66" s="5">
        <f t="shared" si="33"/>
        <v>0</v>
      </c>
      <c r="BK66" s="5">
        <f t="shared" si="34"/>
        <v>0</v>
      </c>
      <c r="BL66" s="5">
        <f t="shared" si="35"/>
        <v>0</v>
      </c>
      <c r="BM66" s="5">
        <f t="shared" si="36"/>
        <v>0</v>
      </c>
      <c r="BN66" s="5">
        <f t="shared" si="37"/>
        <v>0</v>
      </c>
      <c r="BO66" s="5">
        <f t="shared" si="38"/>
        <v>0</v>
      </c>
      <c r="BP66" s="5">
        <f t="shared" si="39"/>
        <v>0</v>
      </c>
      <c r="BQ66" s="5">
        <f t="shared" si="40"/>
        <v>0</v>
      </c>
      <c r="BR66" s="5">
        <f t="shared" si="41"/>
        <v>0</v>
      </c>
      <c r="BS66" s="5">
        <f t="shared" si="42"/>
        <v>0</v>
      </c>
      <c r="BT66" s="5">
        <f t="shared" si="43"/>
        <v>0</v>
      </c>
      <c r="BU66" s="5">
        <f t="shared" si="44"/>
        <v>0</v>
      </c>
      <c r="BV66" s="5">
        <f t="shared" si="45"/>
        <v>0</v>
      </c>
      <c r="BW66" s="5">
        <f t="shared" si="46"/>
        <v>0</v>
      </c>
      <c r="BX66" s="5">
        <f t="shared" si="47"/>
        <v>0</v>
      </c>
      <c r="BY66" s="5">
        <f t="shared" ref="BY66:BY100" si="116">IF(Q66&gt;$AW$1,(Q66-MAX(P66,$AW$1))*24,0)</f>
        <v>0</v>
      </c>
      <c r="BZ66" s="5">
        <f t="shared" si="48"/>
        <v>0</v>
      </c>
      <c r="CA66" s="5">
        <f t="shared" si="49"/>
        <v>0</v>
      </c>
      <c r="CB66" s="5">
        <f t="shared" si="50"/>
        <v>0</v>
      </c>
      <c r="CC66" s="5">
        <f t="shared" si="51"/>
        <v>0</v>
      </c>
      <c r="CD66" s="5">
        <f t="shared" si="52"/>
        <v>0</v>
      </c>
      <c r="CE66" s="5">
        <f t="shared" si="53"/>
        <v>0</v>
      </c>
      <c r="CF66" s="5">
        <f t="shared" si="54"/>
        <v>0</v>
      </c>
      <c r="CG66" s="5">
        <f t="shared" si="55"/>
        <v>0</v>
      </c>
      <c r="CH66" s="5">
        <f t="shared" si="56"/>
        <v>0</v>
      </c>
      <c r="CI66" s="5">
        <f t="shared" si="57"/>
        <v>0</v>
      </c>
      <c r="CJ66" s="5"/>
      <c r="CK66" s="4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33" t="str">
        <f t="shared" si="115"/>
        <v/>
      </c>
      <c r="B67" s="10"/>
      <c r="C67" s="86"/>
      <c r="D67" s="88"/>
      <c r="E67" s="88"/>
      <c r="F67" s="44">
        <f t="shared" si="15"/>
        <v>0</v>
      </c>
      <c r="G67" s="88"/>
      <c r="H67" s="88"/>
      <c r="I67" s="44">
        <f t="shared" si="16"/>
        <v>0</v>
      </c>
      <c r="J67" s="87"/>
      <c r="K67" s="88"/>
      <c r="L67" s="44">
        <f t="shared" si="17"/>
        <v>0</v>
      </c>
      <c r="M67" s="88"/>
      <c r="N67" s="88"/>
      <c r="O67" s="44">
        <f t="shared" si="18"/>
        <v>0</v>
      </c>
      <c r="P67" s="88"/>
      <c r="Q67" s="88"/>
      <c r="R67" s="44">
        <f t="shared" si="19"/>
        <v>0</v>
      </c>
      <c r="S67" s="88"/>
      <c r="T67" s="88"/>
      <c r="U67" s="44">
        <f t="shared" si="20"/>
        <v>0</v>
      </c>
      <c r="V67" s="88"/>
      <c r="W67" s="88"/>
      <c r="X67" s="44">
        <f t="shared" si="21"/>
        <v>0</v>
      </c>
      <c r="Y67" s="44"/>
      <c r="Z67" s="44"/>
      <c r="AA67" s="44"/>
      <c r="AB67" s="44">
        <f t="shared" si="22"/>
        <v>0</v>
      </c>
      <c r="AC67" s="23"/>
      <c r="AD67" s="6"/>
      <c r="AE67" s="7">
        <f t="shared" si="109"/>
        <v>0</v>
      </c>
      <c r="AF67" s="6"/>
      <c r="AG67" s="7">
        <f t="shared" si="110"/>
        <v>0</v>
      </c>
      <c r="AH67" s="6"/>
      <c r="AI67" s="7">
        <f t="shared" si="111"/>
        <v>0</v>
      </c>
      <c r="AJ67" s="6"/>
      <c r="AK67" s="7">
        <f t="shared" si="112"/>
        <v>0</v>
      </c>
      <c r="AL67" s="6"/>
      <c r="AM67" s="7">
        <f t="shared" si="113"/>
        <v>0</v>
      </c>
      <c r="AN67" s="6"/>
      <c r="AO67" s="7">
        <f t="shared" si="114"/>
        <v>0</v>
      </c>
      <c r="AP67" s="30">
        <f t="shared" si="23"/>
        <v>0</v>
      </c>
      <c r="AQ67" s="6"/>
      <c r="AR67" s="6"/>
      <c r="AS67" s="6"/>
      <c r="AT67" s="44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18">IF(ISBLANK(D67),0,(E67-D67)*24)</f>
        <v>0</v>
      </c>
      <c r="BB67" s="5">
        <f t="shared" ref="BB67:BB100" si="119">IF(BA67&gt;$AY$1,1,IF(BA67&gt;=$AX$1,0.5,0))</f>
        <v>0</v>
      </c>
      <c r="BC67" s="5">
        <f t="shared" ref="BC67:BC100" si="120">BA67-BB67-BD67-BE67</f>
        <v>0</v>
      </c>
      <c r="BD67" s="5">
        <f t="shared" ref="BD67:BD100" si="121">IF(AND(E67&gt;$AV$1, D67&lt;$AW$1),(MIN(E67,$AW$1)-MAX(D67,$AV$1))*24,0)</f>
        <v>0</v>
      </c>
      <c r="BE67" s="5">
        <f t="shared" ref="BE67:BE100" si="122">IF(E67&gt;$AW$1,(E67-MAX(D67,$AW$1))*24,0)</f>
        <v>0</v>
      </c>
      <c r="BF67" s="5">
        <f t="shared" ref="BF67:BF100" si="123">IF(ISBLANK(G67),0,(H67-G67)*24)</f>
        <v>0</v>
      </c>
      <c r="BG67" s="5">
        <f t="shared" ref="BG67:BG100" si="124">IF(BF67&gt;$AY$1,1,IF(BF67&gt;=$AX$1,0.5,0))</f>
        <v>0</v>
      </c>
      <c r="BH67" s="5">
        <f t="shared" ref="BH67:BH100" si="125">BF67-BG67-BI67-BJ67</f>
        <v>0</v>
      </c>
      <c r="BI67" s="5">
        <f t="shared" ref="BI67:BI100" si="126">IF(AND(H67&gt;$AV$1,G67&lt;$AW$1),(MIN(H67,$AW$1)-MAX(G67,$AV$1))*24,0)</f>
        <v>0</v>
      </c>
      <c r="BJ67" s="5">
        <f t="shared" ref="BJ67:BJ100" si="127">IF(H67&gt;$AW$1,(H67-MAX(G67,$AW$1))*24,0)</f>
        <v>0</v>
      </c>
      <c r="BK67" s="5">
        <f t="shared" ref="BK67:BK100" si="128">IF(ISBLANK(J67),0,(K67-J67)*24)</f>
        <v>0</v>
      </c>
      <c r="BL67" s="5">
        <f t="shared" ref="BL67:BL100" si="129">IF(BK67&gt;$AY$1,1,IF(BK67&gt;=$AX$1,0.5,0))</f>
        <v>0</v>
      </c>
      <c r="BM67" s="5">
        <f t="shared" ref="BM67:BM100" si="130">BK67-BL67-BN67-BO67</f>
        <v>0</v>
      </c>
      <c r="BN67" s="5">
        <f t="shared" ref="BN67:BN100" si="131">IF(AND(K67&gt;$AV$1, J67&lt;$AW$1),(MIN(K67,$AW$1)-MAX(J67,$AV$1))*24,0)</f>
        <v>0</v>
      </c>
      <c r="BO67" s="5">
        <f t="shared" ref="BO67:BO100" si="132">IF(K67&gt;$AW$1,(K67-MAX(J67,$AW$1))*24,0)</f>
        <v>0</v>
      </c>
      <c r="BP67" s="5">
        <f t="shared" ref="BP67:BP100" si="133">IF(ISBLANK(M67),0,(N67-M67)*24)</f>
        <v>0</v>
      </c>
      <c r="BQ67" s="5">
        <f t="shared" ref="BQ67:BQ100" si="134">IF(BP67&gt;$AY$1,1,IF(BP67&gt;=$AX$1,0.5,0))</f>
        <v>0</v>
      </c>
      <c r="BR67" s="5">
        <f t="shared" ref="BR67:BR100" si="135">BP67-BQ67-BS67-BT67</f>
        <v>0</v>
      </c>
      <c r="BS67" s="5">
        <f t="shared" ref="BS67:BS100" si="136">IF(AND(N67&gt;$AV$1, M67&lt;$AW$1),(MIN(N67,$AW$1)-MAX(M67,$AV$1))*24,0)</f>
        <v>0</v>
      </c>
      <c r="BT67" s="5">
        <f t="shared" ref="BT67:BT100" si="137">IF(N67&gt;$AW$1,(N67-MAX(M67,$AW$1))*24,0)</f>
        <v>0</v>
      </c>
      <c r="BU67" s="5">
        <f t="shared" ref="BU67:BU100" si="138">IF(ISBLANK(P67),0,(Q67-P67)*24)</f>
        <v>0</v>
      </c>
      <c r="BV67" s="5">
        <f t="shared" ref="BV67:BV100" si="139">IF(BU67&gt;$AY$1,1,IF(BU67&gt;=$AX$1,0.5,0))</f>
        <v>0</v>
      </c>
      <c r="BW67" s="5">
        <f t="shared" ref="BW67:BW100" si="140">BU67-BV67-BX67-BY67</f>
        <v>0</v>
      </c>
      <c r="BX67" s="5">
        <f t="shared" ref="BX67:BX100" si="141">IF(AND(Q67&gt;$AV$1, P67&lt;$AW$1),(MIN(Q67,$AW$1)-MAX(P67,$AV$1))*24,0)</f>
        <v>0</v>
      </c>
      <c r="BY67" s="5">
        <f t="shared" si="116"/>
        <v>0</v>
      </c>
      <c r="BZ67" s="5">
        <f t="shared" ref="BZ67:BZ100" si="142">IF(ISBLANK(S67),0,(T67-S67)*24)</f>
        <v>0</v>
      </c>
      <c r="CA67" s="5">
        <f t="shared" ref="CA67:CA100" si="143">IF(BZ67&gt;$AY$1,1,IF(BZ67&gt;=$AX$1,0.5,0))</f>
        <v>0</v>
      </c>
      <c r="CB67" s="5">
        <f t="shared" ref="CB67:CB100" si="144">BZ67-CA67-CC67-CD67</f>
        <v>0</v>
      </c>
      <c r="CC67" s="5">
        <f t="shared" ref="CC67:CC100" si="145">IF(AND(T67&gt;$AV$1, S67&lt;$AW$1),(MIN(T67,$AW$1)-MAX(S67,$AV$1))*24,0)</f>
        <v>0</v>
      </c>
      <c r="CD67" s="5">
        <f t="shared" ref="CD67:CD100" si="146">IF(T67&gt;$AW$1,(T67-MAX(S67,$AW$1))*24,0)</f>
        <v>0</v>
      </c>
      <c r="CE67" s="5">
        <f t="shared" ref="CE67:CE100" si="147">IF(ISBLANK(V67),0,(W67-V67)*24)</f>
        <v>0</v>
      </c>
      <c r="CF67" s="5">
        <f t="shared" ref="CF67:CF100" si="148">IF(CE67&gt;$AY$1,1,IF(CE67&gt;=$AX$1,0.5,0))</f>
        <v>0</v>
      </c>
      <c r="CG67" s="5">
        <f t="shared" ref="CG67:CG100" si="149">CE67-CF67-CH67-CI67</f>
        <v>0</v>
      </c>
      <c r="CH67" s="5">
        <f t="shared" ref="CH67:CH100" si="150">IF(AND(W67&gt;$AV$1, V67&lt;$AW$1),(MIN(W67,$AW$1)-MAX(V67,$AV$1))*24,0)</f>
        <v>0</v>
      </c>
      <c r="CI67" s="5">
        <f t="shared" ref="CI67:CI100" si="151">IF(W67&gt;$AW$1,(W67-MAX(V67,$AW$1))*24,0)</f>
        <v>0</v>
      </c>
      <c r="CJ67" s="5"/>
      <c r="CK67" s="4">
        <f t="shared" si="117"/>
        <v>0</v>
      </c>
    </row>
    <row r="68" spans="1:89" ht="38" customHeight="1">
      <c r="A68" s="33" t="str">
        <f t="shared" si="115"/>
        <v/>
      </c>
      <c r="B68" s="10"/>
      <c r="C68" s="86"/>
      <c r="D68" s="88"/>
      <c r="E68" s="88"/>
      <c r="F68" s="44">
        <f t="shared" si="15"/>
        <v>0</v>
      </c>
      <c r="G68" s="88"/>
      <c r="H68" s="88"/>
      <c r="I68" s="44">
        <f t="shared" si="16"/>
        <v>0</v>
      </c>
      <c r="J68" s="87"/>
      <c r="K68" s="88"/>
      <c r="L68" s="44">
        <f t="shared" si="17"/>
        <v>0</v>
      </c>
      <c r="M68" s="88"/>
      <c r="N68" s="88"/>
      <c r="O68" s="44">
        <f t="shared" si="18"/>
        <v>0</v>
      </c>
      <c r="P68" s="88"/>
      <c r="Q68" s="88"/>
      <c r="R68" s="44">
        <f t="shared" si="19"/>
        <v>0</v>
      </c>
      <c r="S68" s="88"/>
      <c r="T68" s="88"/>
      <c r="U68" s="44">
        <f t="shared" si="20"/>
        <v>0</v>
      </c>
      <c r="V68" s="88"/>
      <c r="W68" s="88"/>
      <c r="X68" s="44">
        <f t="shared" si="21"/>
        <v>0</v>
      </c>
      <c r="Y68" s="44"/>
      <c r="Z68" s="44"/>
      <c r="AA68" s="44"/>
      <c r="AB68" s="44">
        <f t="shared" si="22"/>
        <v>0</v>
      </c>
      <c r="AC68" s="23"/>
      <c r="AD68" s="6"/>
      <c r="AE68" s="7">
        <f t="shared" si="109"/>
        <v>0</v>
      </c>
      <c r="AF68" s="6"/>
      <c r="AG68" s="7">
        <f t="shared" si="110"/>
        <v>0</v>
      </c>
      <c r="AH68" s="6"/>
      <c r="AI68" s="7">
        <f t="shared" si="111"/>
        <v>0</v>
      </c>
      <c r="AJ68" s="6"/>
      <c r="AK68" s="7">
        <f t="shared" si="112"/>
        <v>0</v>
      </c>
      <c r="AL68" s="6"/>
      <c r="AM68" s="7">
        <f t="shared" si="113"/>
        <v>0</v>
      </c>
      <c r="AN68" s="6"/>
      <c r="AO68" s="7">
        <f t="shared" si="114"/>
        <v>0</v>
      </c>
      <c r="AP68" s="30">
        <f t="shared" si="23"/>
        <v>0</v>
      </c>
      <c r="AQ68" s="6"/>
      <c r="AR68" s="6"/>
      <c r="AS68" s="6"/>
      <c r="AT68" s="44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18"/>
        <v>0</v>
      </c>
      <c r="BB68" s="5">
        <f t="shared" si="119"/>
        <v>0</v>
      </c>
      <c r="BC68" s="5">
        <f t="shared" si="120"/>
        <v>0</v>
      </c>
      <c r="BD68" s="5">
        <f t="shared" si="121"/>
        <v>0</v>
      </c>
      <c r="BE68" s="5">
        <f t="shared" si="122"/>
        <v>0</v>
      </c>
      <c r="BF68" s="5">
        <f t="shared" si="123"/>
        <v>0</v>
      </c>
      <c r="BG68" s="5">
        <f t="shared" si="124"/>
        <v>0</v>
      </c>
      <c r="BH68" s="5">
        <f t="shared" si="125"/>
        <v>0</v>
      </c>
      <c r="BI68" s="5">
        <f t="shared" si="126"/>
        <v>0</v>
      </c>
      <c r="BJ68" s="5">
        <f t="shared" si="127"/>
        <v>0</v>
      </c>
      <c r="BK68" s="5">
        <f t="shared" si="128"/>
        <v>0</v>
      </c>
      <c r="BL68" s="5">
        <f t="shared" si="129"/>
        <v>0</v>
      </c>
      <c r="BM68" s="5">
        <f t="shared" si="130"/>
        <v>0</v>
      </c>
      <c r="BN68" s="5">
        <f t="shared" si="131"/>
        <v>0</v>
      </c>
      <c r="BO68" s="5">
        <f t="shared" si="132"/>
        <v>0</v>
      </c>
      <c r="BP68" s="5">
        <f t="shared" si="133"/>
        <v>0</v>
      </c>
      <c r="BQ68" s="5">
        <f t="shared" si="134"/>
        <v>0</v>
      </c>
      <c r="BR68" s="5">
        <f t="shared" si="135"/>
        <v>0</v>
      </c>
      <c r="BS68" s="5">
        <f t="shared" si="136"/>
        <v>0</v>
      </c>
      <c r="BT68" s="5">
        <f t="shared" si="137"/>
        <v>0</v>
      </c>
      <c r="BU68" s="5">
        <f t="shared" si="138"/>
        <v>0</v>
      </c>
      <c r="BV68" s="5">
        <f t="shared" si="139"/>
        <v>0</v>
      </c>
      <c r="BW68" s="5">
        <f t="shared" si="140"/>
        <v>0</v>
      </c>
      <c r="BX68" s="5">
        <f t="shared" si="141"/>
        <v>0</v>
      </c>
      <c r="BY68" s="5">
        <f t="shared" si="116"/>
        <v>0</v>
      </c>
      <c r="BZ68" s="5">
        <f t="shared" si="142"/>
        <v>0</v>
      </c>
      <c r="CA68" s="5">
        <f t="shared" si="143"/>
        <v>0</v>
      </c>
      <c r="CB68" s="5">
        <f t="shared" si="144"/>
        <v>0</v>
      </c>
      <c r="CC68" s="5">
        <f t="shared" si="145"/>
        <v>0</v>
      </c>
      <c r="CD68" s="5">
        <f t="shared" si="146"/>
        <v>0</v>
      </c>
      <c r="CE68" s="5">
        <f t="shared" si="147"/>
        <v>0</v>
      </c>
      <c r="CF68" s="5">
        <f t="shared" si="148"/>
        <v>0</v>
      </c>
      <c r="CG68" s="5">
        <f t="shared" si="149"/>
        <v>0</v>
      </c>
      <c r="CH68" s="5">
        <f t="shared" si="150"/>
        <v>0</v>
      </c>
      <c r="CI68" s="5">
        <f t="shared" si="151"/>
        <v>0</v>
      </c>
      <c r="CJ68" s="5"/>
      <c r="CK68" s="4">
        <f t="shared" si="117"/>
        <v>0</v>
      </c>
    </row>
    <row r="69" spans="1:89" ht="38" customHeight="1">
      <c r="A69" s="33" t="str">
        <f t="shared" si="115"/>
        <v/>
      </c>
      <c r="B69" s="10"/>
      <c r="C69" s="86"/>
      <c r="D69" s="88"/>
      <c r="E69" s="88"/>
      <c r="F69" s="44">
        <f t="shared" si="15"/>
        <v>0</v>
      </c>
      <c r="G69" s="88"/>
      <c r="H69" s="88"/>
      <c r="I69" s="44">
        <f t="shared" si="16"/>
        <v>0</v>
      </c>
      <c r="J69" s="87"/>
      <c r="K69" s="88"/>
      <c r="L69" s="44">
        <f t="shared" si="17"/>
        <v>0</v>
      </c>
      <c r="M69" s="88"/>
      <c r="N69" s="88"/>
      <c r="O69" s="44">
        <f t="shared" si="18"/>
        <v>0</v>
      </c>
      <c r="P69" s="88"/>
      <c r="Q69" s="88"/>
      <c r="R69" s="44">
        <f t="shared" si="19"/>
        <v>0</v>
      </c>
      <c r="S69" s="88"/>
      <c r="T69" s="88"/>
      <c r="U69" s="44">
        <f t="shared" si="20"/>
        <v>0</v>
      </c>
      <c r="V69" s="88"/>
      <c r="W69" s="88"/>
      <c r="X69" s="44">
        <f t="shared" si="21"/>
        <v>0</v>
      </c>
      <c r="Y69" s="44"/>
      <c r="Z69" s="44"/>
      <c r="AA69" s="44"/>
      <c r="AB69" s="44">
        <f t="shared" si="22"/>
        <v>0</v>
      </c>
      <c r="AC69" s="23"/>
      <c r="AD69" s="6"/>
      <c r="AE69" s="7">
        <f t="shared" si="109"/>
        <v>0</v>
      </c>
      <c r="AF69" s="6"/>
      <c r="AG69" s="7">
        <f t="shared" si="110"/>
        <v>0</v>
      </c>
      <c r="AH69" s="6"/>
      <c r="AI69" s="7">
        <f t="shared" si="111"/>
        <v>0</v>
      </c>
      <c r="AJ69" s="6"/>
      <c r="AK69" s="7">
        <f t="shared" si="112"/>
        <v>0</v>
      </c>
      <c r="AL69" s="6"/>
      <c r="AM69" s="7">
        <f t="shared" si="113"/>
        <v>0</v>
      </c>
      <c r="AN69" s="6"/>
      <c r="AO69" s="7">
        <f t="shared" si="114"/>
        <v>0</v>
      </c>
      <c r="AP69" s="30">
        <f t="shared" si="23"/>
        <v>0</v>
      </c>
      <c r="AQ69" s="6"/>
      <c r="AR69" s="6"/>
      <c r="AS69" s="6"/>
      <c r="AT69" s="44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18"/>
        <v>0</v>
      </c>
      <c r="BB69" s="5">
        <f t="shared" si="119"/>
        <v>0</v>
      </c>
      <c r="BC69" s="5">
        <f t="shared" si="120"/>
        <v>0</v>
      </c>
      <c r="BD69" s="5">
        <f t="shared" si="121"/>
        <v>0</v>
      </c>
      <c r="BE69" s="5">
        <f t="shared" si="122"/>
        <v>0</v>
      </c>
      <c r="BF69" s="5">
        <f t="shared" si="123"/>
        <v>0</v>
      </c>
      <c r="BG69" s="5">
        <f t="shared" si="124"/>
        <v>0</v>
      </c>
      <c r="BH69" s="5">
        <f t="shared" si="125"/>
        <v>0</v>
      </c>
      <c r="BI69" s="5">
        <f t="shared" si="126"/>
        <v>0</v>
      </c>
      <c r="BJ69" s="5">
        <f t="shared" si="127"/>
        <v>0</v>
      </c>
      <c r="BK69" s="5">
        <f t="shared" si="128"/>
        <v>0</v>
      </c>
      <c r="BL69" s="5">
        <f t="shared" si="129"/>
        <v>0</v>
      </c>
      <c r="BM69" s="5">
        <f t="shared" si="130"/>
        <v>0</v>
      </c>
      <c r="BN69" s="5">
        <f t="shared" si="131"/>
        <v>0</v>
      </c>
      <c r="BO69" s="5">
        <f t="shared" si="132"/>
        <v>0</v>
      </c>
      <c r="BP69" s="5">
        <f t="shared" si="133"/>
        <v>0</v>
      </c>
      <c r="BQ69" s="5">
        <f t="shared" si="134"/>
        <v>0</v>
      </c>
      <c r="BR69" s="5">
        <f t="shared" si="135"/>
        <v>0</v>
      </c>
      <c r="BS69" s="5">
        <f t="shared" si="136"/>
        <v>0</v>
      </c>
      <c r="BT69" s="5">
        <f t="shared" si="137"/>
        <v>0</v>
      </c>
      <c r="BU69" s="5">
        <f t="shared" si="138"/>
        <v>0</v>
      </c>
      <c r="BV69" s="5">
        <f t="shared" si="139"/>
        <v>0</v>
      </c>
      <c r="BW69" s="5">
        <f t="shared" si="140"/>
        <v>0</v>
      </c>
      <c r="BX69" s="5">
        <f t="shared" si="141"/>
        <v>0</v>
      </c>
      <c r="BY69" s="5">
        <f t="shared" si="116"/>
        <v>0</v>
      </c>
      <c r="BZ69" s="5">
        <f t="shared" si="142"/>
        <v>0</v>
      </c>
      <c r="CA69" s="5">
        <f t="shared" si="143"/>
        <v>0</v>
      </c>
      <c r="CB69" s="5">
        <f t="shared" si="144"/>
        <v>0</v>
      </c>
      <c r="CC69" s="5">
        <f t="shared" si="145"/>
        <v>0</v>
      </c>
      <c r="CD69" s="5">
        <f t="shared" si="146"/>
        <v>0</v>
      </c>
      <c r="CE69" s="5">
        <f t="shared" si="147"/>
        <v>0</v>
      </c>
      <c r="CF69" s="5">
        <f t="shared" si="148"/>
        <v>0</v>
      </c>
      <c r="CG69" s="5">
        <f t="shared" si="149"/>
        <v>0</v>
      </c>
      <c r="CH69" s="5">
        <f t="shared" si="150"/>
        <v>0</v>
      </c>
      <c r="CI69" s="5">
        <f t="shared" si="151"/>
        <v>0</v>
      </c>
      <c r="CJ69" s="5"/>
      <c r="CK69" s="4">
        <f t="shared" si="117"/>
        <v>0</v>
      </c>
    </row>
    <row r="70" spans="1:89" ht="38" customHeight="1">
      <c r="A70" s="33" t="str">
        <f t="shared" si="115"/>
        <v/>
      </c>
      <c r="B70" s="10"/>
      <c r="C70" s="86"/>
      <c r="D70" s="88"/>
      <c r="E70" s="88"/>
      <c r="F70" s="44">
        <f t="shared" ref="F70:F100" si="152">BA70-BB70</f>
        <v>0</v>
      </c>
      <c r="G70" s="88"/>
      <c r="H70" s="88"/>
      <c r="I70" s="44">
        <f t="shared" ref="I70:I100" si="153">BF70-BG70</f>
        <v>0</v>
      </c>
      <c r="J70" s="87"/>
      <c r="K70" s="88"/>
      <c r="L70" s="44">
        <f t="shared" ref="L70:L100" si="154">BK70-BL70</f>
        <v>0</v>
      </c>
      <c r="M70" s="88"/>
      <c r="N70" s="88"/>
      <c r="O70" s="44">
        <f t="shared" ref="O70:O100" si="155">BP70-BQ70</f>
        <v>0</v>
      </c>
      <c r="P70" s="88"/>
      <c r="Q70" s="88"/>
      <c r="R70" s="44">
        <f t="shared" ref="R70:R100" si="156">BU70-BV70</f>
        <v>0</v>
      </c>
      <c r="S70" s="88"/>
      <c r="T70" s="88"/>
      <c r="U70" s="44">
        <f t="shared" ref="U70:U100" si="157">BZ70-CA70</f>
        <v>0</v>
      </c>
      <c r="V70" s="88"/>
      <c r="W70" s="88"/>
      <c r="X70" s="44">
        <f t="shared" ref="X70:X100" si="158">CE70-CF70</f>
        <v>0</v>
      </c>
      <c r="Y70" s="44"/>
      <c r="Z70" s="44"/>
      <c r="AA70" s="44"/>
      <c r="AB70" s="44">
        <f t="shared" ref="AB70:AB94" si="159">SUM(F70,I70,L70,O70,R70,U70,X70)</f>
        <v>0</v>
      </c>
      <c r="AC70" s="23"/>
      <c r="AD70" s="6"/>
      <c r="AE70" s="7">
        <f t="shared" ref="AE70:AE91" si="160">SUMIF($BC$1:$CI$1,AE$1,$BC70:$CI70)+AD70</f>
        <v>0</v>
      </c>
      <c r="AF70" s="6"/>
      <c r="AG70" s="7">
        <f t="shared" ref="AG70:AG91" si="161">SUMIF($BC$1:$CI$1,AG$1,$BC70:$CI70)+AF70</f>
        <v>0</v>
      </c>
      <c r="AH70" s="6"/>
      <c r="AI70" s="7">
        <f t="shared" ref="AI70:AI91" si="162">SUMIF($BC$1:$CI$1,AI$1,$BC70:$CI70)+AH70</f>
        <v>0</v>
      </c>
      <c r="AJ70" s="6"/>
      <c r="AK70" s="7">
        <f t="shared" ref="AK70:AK91" si="163">SUMIF($BC$1:$CI$1,AK$1,$BC70:$CI70)+AJ70</f>
        <v>0</v>
      </c>
      <c r="AL70" s="6"/>
      <c r="AM70" s="7">
        <f t="shared" ref="AM70:AM91" si="164">SUMIF($BC$1:$CI$1,AM$1,$BC70:$CI70)+AL70</f>
        <v>0</v>
      </c>
      <c r="AN70" s="6"/>
      <c r="AO70" s="7">
        <f t="shared" ref="AO70:AO91" si="165">SUMIF($BC$1:$CI$1,AO$1,$BC70:$CI70)+AN70</f>
        <v>0</v>
      </c>
      <c r="AP70" s="30">
        <f t="shared" ref="AP70:AP100" si="166">CK70</f>
        <v>0</v>
      </c>
      <c r="AQ70" s="6"/>
      <c r="AR70" s="6"/>
      <c r="AS70" s="6"/>
      <c r="AT70" s="44">
        <f t="shared" ref="AT70:AT94" si="167">AE70+AG70+AI70+AK70+AM70+AO70+SUM(AQ70:AS70)</f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18"/>
        <v>0</v>
      </c>
      <c r="BB70" s="5">
        <f t="shared" si="119"/>
        <v>0</v>
      </c>
      <c r="BC70" s="5">
        <f t="shared" si="120"/>
        <v>0</v>
      </c>
      <c r="BD70" s="5">
        <f t="shared" si="121"/>
        <v>0</v>
      </c>
      <c r="BE70" s="5">
        <f t="shared" si="122"/>
        <v>0</v>
      </c>
      <c r="BF70" s="5">
        <f t="shared" si="123"/>
        <v>0</v>
      </c>
      <c r="BG70" s="5">
        <f t="shared" si="124"/>
        <v>0</v>
      </c>
      <c r="BH70" s="5">
        <f t="shared" si="125"/>
        <v>0</v>
      </c>
      <c r="BI70" s="5">
        <f t="shared" si="126"/>
        <v>0</v>
      </c>
      <c r="BJ70" s="5">
        <f t="shared" si="127"/>
        <v>0</v>
      </c>
      <c r="BK70" s="5">
        <f t="shared" si="128"/>
        <v>0</v>
      </c>
      <c r="BL70" s="5">
        <f t="shared" si="129"/>
        <v>0</v>
      </c>
      <c r="BM70" s="5">
        <f t="shared" si="130"/>
        <v>0</v>
      </c>
      <c r="BN70" s="5">
        <f t="shared" si="131"/>
        <v>0</v>
      </c>
      <c r="BO70" s="5">
        <f t="shared" si="132"/>
        <v>0</v>
      </c>
      <c r="BP70" s="5">
        <f t="shared" si="133"/>
        <v>0</v>
      </c>
      <c r="BQ70" s="5">
        <f t="shared" si="134"/>
        <v>0</v>
      </c>
      <c r="BR70" s="5">
        <f t="shared" si="135"/>
        <v>0</v>
      </c>
      <c r="BS70" s="5">
        <f t="shared" si="136"/>
        <v>0</v>
      </c>
      <c r="BT70" s="5">
        <f t="shared" si="137"/>
        <v>0</v>
      </c>
      <c r="BU70" s="5">
        <f t="shared" si="138"/>
        <v>0</v>
      </c>
      <c r="BV70" s="5">
        <f t="shared" si="139"/>
        <v>0</v>
      </c>
      <c r="BW70" s="5">
        <f t="shared" si="140"/>
        <v>0</v>
      </c>
      <c r="BX70" s="5">
        <f t="shared" si="141"/>
        <v>0</v>
      </c>
      <c r="BY70" s="5">
        <f t="shared" si="116"/>
        <v>0</v>
      </c>
      <c r="BZ70" s="5">
        <f t="shared" si="142"/>
        <v>0</v>
      </c>
      <c r="CA70" s="5">
        <f t="shared" si="143"/>
        <v>0</v>
      </c>
      <c r="CB70" s="5">
        <f t="shared" si="144"/>
        <v>0</v>
      </c>
      <c r="CC70" s="5">
        <f t="shared" si="145"/>
        <v>0</v>
      </c>
      <c r="CD70" s="5">
        <f t="shared" si="146"/>
        <v>0</v>
      </c>
      <c r="CE70" s="5">
        <f t="shared" si="147"/>
        <v>0</v>
      </c>
      <c r="CF70" s="5">
        <f t="shared" si="148"/>
        <v>0</v>
      </c>
      <c r="CG70" s="5">
        <f t="shared" si="149"/>
        <v>0</v>
      </c>
      <c r="CH70" s="5">
        <f t="shared" si="150"/>
        <v>0</v>
      </c>
      <c r="CI70" s="5">
        <f t="shared" si="151"/>
        <v>0</v>
      </c>
      <c r="CJ70" s="5"/>
      <c r="CK70" s="4">
        <f t="shared" si="117"/>
        <v>0</v>
      </c>
    </row>
    <row r="71" spans="1:89" ht="38" customHeight="1">
      <c r="A71" s="33" t="str">
        <f t="shared" si="115"/>
        <v/>
      </c>
      <c r="B71" s="10"/>
      <c r="C71" s="86"/>
      <c r="D71" s="88"/>
      <c r="E71" s="88"/>
      <c r="F71" s="44">
        <f t="shared" si="152"/>
        <v>0</v>
      </c>
      <c r="G71" s="88"/>
      <c r="H71" s="88"/>
      <c r="I71" s="44">
        <f t="shared" si="153"/>
        <v>0</v>
      </c>
      <c r="J71" s="87"/>
      <c r="K71" s="88"/>
      <c r="L71" s="44">
        <f t="shared" si="154"/>
        <v>0</v>
      </c>
      <c r="M71" s="88"/>
      <c r="N71" s="88"/>
      <c r="O71" s="44">
        <f t="shared" si="155"/>
        <v>0</v>
      </c>
      <c r="P71" s="88"/>
      <c r="Q71" s="88"/>
      <c r="R71" s="44">
        <f t="shared" si="156"/>
        <v>0</v>
      </c>
      <c r="S71" s="88"/>
      <c r="T71" s="88"/>
      <c r="U71" s="44">
        <f t="shared" si="157"/>
        <v>0</v>
      </c>
      <c r="V71" s="88"/>
      <c r="W71" s="88"/>
      <c r="X71" s="44">
        <f t="shared" si="158"/>
        <v>0</v>
      </c>
      <c r="Y71" s="44"/>
      <c r="Z71" s="44"/>
      <c r="AA71" s="44"/>
      <c r="AB71" s="44">
        <f t="shared" si="159"/>
        <v>0</v>
      </c>
      <c r="AC71" s="23"/>
      <c r="AD71" s="6"/>
      <c r="AE71" s="7">
        <f t="shared" si="160"/>
        <v>0</v>
      </c>
      <c r="AF71" s="6"/>
      <c r="AG71" s="7">
        <f t="shared" si="161"/>
        <v>0</v>
      </c>
      <c r="AH71" s="6"/>
      <c r="AI71" s="7">
        <f t="shared" si="162"/>
        <v>0</v>
      </c>
      <c r="AJ71" s="6"/>
      <c r="AK71" s="7">
        <f t="shared" si="163"/>
        <v>0</v>
      </c>
      <c r="AL71" s="6"/>
      <c r="AM71" s="7">
        <f t="shared" si="164"/>
        <v>0</v>
      </c>
      <c r="AN71" s="6"/>
      <c r="AO71" s="7">
        <f t="shared" si="165"/>
        <v>0</v>
      </c>
      <c r="AP71" s="30">
        <f t="shared" si="166"/>
        <v>0</v>
      </c>
      <c r="AQ71" s="6"/>
      <c r="AR71" s="6"/>
      <c r="AS71" s="6"/>
      <c r="AT71" s="44">
        <f t="shared" si="167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18"/>
        <v>0</v>
      </c>
      <c r="BB71" s="5">
        <f t="shared" si="119"/>
        <v>0</v>
      </c>
      <c r="BC71" s="5">
        <f t="shared" si="120"/>
        <v>0</v>
      </c>
      <c r="BD71" s="5">
        <f t="shared" si="121"/>
        <v>0</v>
      </c>
      <c r="BE71" s="5">
        <f t="shared" si="122"/>
        <v>0</v>
      </c>
      <c r="BF71" s="5">
        <f t="shared" si="123"/>
        <v>0</v>
      </c>
      <c r="BG71" s="5">
        <f t="shared" si="124"/>
        <v>0</v>
      </c>
      <c r="BH71" s="5">
        <f t="shared" si="125"/>
        <v>0</v>
      </c>
      <c r="BI71" s="5">
        <f t="shared" si="126"/>
        <v>0</v>
      </c>
      <c r="BJ71" s="5">
        <f t="shared" si="127"/>
        <v>0</v>
      </c>
      <c r="BK71" s="5">
        <f t="shared" si="128"/>
        <v>0</v>
      </c>
      <c r="BL71" s="5">
        <f t="shared" si="129"/>
        <v>0</v>
      </c>
      <c r="BM71" s="5">
        <f t="shared" si="130"/>
        <v>0</v>
      </c>
      <c r="BN71" s="5">
        <f t="shared" si="131"/>
        <v>0</v>
      </c>
      <c r="BO71" s="5">
        <f t="shared" si="132"/>
        <v>0</v>
      </c>
      <c r="BP71" s="5">
        <f t="shared" si="133"/>
        <v>0</v>
      </c>
      <c r="BQ71" s="5">
        <f t="shared" si="134"/>
        <v>0</v>
      </c>
      <c r="BR71" s="5">
        <f t="shared" si="135"/>
        <v>0</v>
      </c>
      <c r="BS71" s="5">
        <f t="shared" si="136"/>
        <v>0</v>
      </c>
      <c r="BT71" s="5">
        <f t="shared" si="137"/>
        <v>0</v>
      </c>
      <c r="BU71" s="5">
        <f t="shared" si="138"/>
        <v>0</v>
      </c>
      <c r="BV71" s="5">
        <f t="shared" si="139"/>
        <v>0</v>
      </c>
      <c r="BW71" s="5">
        <f t="shared" si="140"/>
        <v>0</v>
      </c>
      <c r="BX71" s="5">
        <f t="shared" si="141"/>
        <v>0</v>
      </c>
      <c r="BY71" s="5">
        <f t="shared" si="116"/>
        <v>0</v>
      </c>
      <c r="BZ71" s="5">
        <f t="shared" si="142"/>
        <v>0</v>
      </c>
      <c r="CA71" s="5">
        <f t="shared" si="143"/>
        <v>0</v>
      </c>
      <c r="CB71" s="5">
        <f t="shared" si="144"/>
        <v>0</v>
      </c>
      <c r="CC71" s="5">
        <f t="shared" si="145"/>
        <v>0</v>
      </c>
      <c r="CD71" s="5">
        <f t="shared" si="146"/>
        <v>0</v>
      </c>
      <c r="CE71" s="5">
        <f t="shared" si="147"/>
        <v>0</v>
      </c>
      <c r="CF71" s="5">
        <f t="shared" si="148"/>
        <v>0</v>
      </c>
      <c r="CG71" s="5">
        <f t="shared" si="149"/>
        <v>0</v>
      </c>
      <c r="CH71" s="5">
        <f t="shared" si="150"/>
        <v>0</v>
      </c>
      <c r="CI71" s="5">
        <f t="shared" si="151"/>
        <v>0</v>
      </c>
      <c r="CJ71" s="5"/>
      <c r="CK71" s="4">
        <f t="shared" si="117"/>
        <v>0</v>
      </c>
    </row>
    <row r="72" spans="1:89" ht="38" customHeight="1">
      <c r="A72" s="33" t="str">
        <f t="shared" si="115"/>
        <v/>
      </c>
      <c r="B72" s="10"/>
      <c r="C72" s="86"/>
      <c r="D72" s="88"/>
      <c r="E72" s="88"/>
      <c r="F72" s="44">
        <f t="shared" si="152"/>
        <v>0</v>
      </c>
      <c r="G72" s="88"/>
      <c r="H72" s="88"/>
      <c r="I72" s="44">
        <f t="shared" si="153"/>
        <v>0</v>
      </c>
      <c r="J72" s="87"/>
      <c r="K72" s="88"/>
      <c r="L72" s="44">
        <f t="shared" si="154"/>
        <v>0</v>
      </c>
      <c r="M72" s="88"/>
      <c r="N72" s="88"/>
      <c r="O72" s="44">
        <f t="shared" si="155"/>
        <v>0</v>
      </c>
      <c r="P72" s="88"/>
      <c r="Q72" s="88"/>
      <c r="R72" s="44">
        <f t="shared" si="156"/>
        <v>0</v>
      </c>
      <c r="S72" s="88"/>
      <c r="T72" s="88"/>
      <c r="U72" s="44">
        <f t="shared" si="157"/>
        <v>0</v>
      </c>
      <c r="V72" s="88"/>
      <c r="W72" s="88"/>
      <c r="X72" s="44">
        <f t="shared" si="158"/>
        <v>0</v>
      </c>
      <c r="Y72" s="44"/>
      <c r="Z72" s="44"/>
      <c r="AA72" s="44"/>
      <c r="AB72" s="44">
        <f t="shared" si="159"/>
        <v>0</v>
      </c>
      <c r="AC72" s="23"/>
      <c r="AD72" s="6"/>
      <c r="AE72" s="7">
        <f t="shared" si="160"/>
        <v>0</v>
      </c>
      <c r="AF72" s="6"/>
      <c r="AG72" s="7">
        <f t="shared" si="161"/>
        <v>0</v>
      </c>
      <c r="AH72" s="6"/>
      <c r="AI72" s="7">
        <f t="shared" si="162"/>
        <v>0</v>
      </c>
      <c r="AJ72" s="6"/>
      <c r="AK72" s="7">
        <f t="shared" si="163"/>
        <v>0</v>
      </c>
      <c r="AL72" s="6"/>
      <c r="AM72" s="7">
        <f t="shared" si="164"/>
        <v>0</v>
      </c>
      <c r="AN72" s="6"/>
      <c r="AO72" s="7">
        <f t="shared" si="165"/>
        <v>0</v>
      </c>
      <c r="AP72" s="30">
        <f t="shared" si="166"/>
        <v>0</v>
      </c>
      <c r="AQ72" s="6"/>
      <c r="AR72" s="6"/>
      <c r="AS72" s="6"/>
      <c r="AT72" s="44">
        <f t="shared" si="167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18"/>
        <v>0</v>
      </c>
      <c r="BB72" s="5">
        <f t="shared" si="119"/>
        <v>0</v>
      </c>
      <c r="BC72" s="5">
        <f t="shared" si="120"/>
        <v>0</v>
      </c>
      <c r="BD72" s="5">
        <f t="shared" si="121"/>
        <v>0</v>
      </c>
      <c r="BE72" s="5">
        <f t="shared" si="122"/>
        <v>0</v>
      </c>
      <c r="BF72" s="5">
        <f t="shared" si="123"/>
        <v>0</v>
      </c>
      <c r="BG72" s="5">
        <f t="shared" si="124"/>
        <v>0</v>
      </c>
      <c r="BH72" s="5">
        <f t="shared" si="125"/>
        <v>0</v>
      </c>
      <c r="BI72" s="5">
        <f t="shared" si="126"/>
        <v>0</v>
      </c>
      <c r="BJ72" s="5">
        <f t="shared" si="127"/>
        <v>0</v>
      </c>
      <c r="BK72" s="5">
        <f t="shared" si="128"/>
        <v>0</v>
      </c>
      <c r="BL72" s="5">
        <f t="shared" si="129"/>
        <v>0</v>
      </c>
      <c r="BM72" s="5">
        <f t="shared" si="130"/>
        <v>0</v>
      </c>
      <c r="BN72" s="5">
        <f t="shared" si="131"/>
        <v>0</v>
      </c>
      <c r="BO72" s="5">
        <f t="shared" si="132"/>
        <v>0</v>
      </c>
      <c r="BP72" s="5">
        <f t="shared" si="133"/>
        <v>0</v>
      </c>
      <c r="BQ72" s="5">
        <f t="shared" si="134"/>
        <v>0</v>
      </c>
      <c r="BR72" s="5">
        <f t="shared" si="135"/>
        <v>0</v>
      </c>
      <c r="BS72" s="5">
        <f t="shared" si="136"/>
        <v>0</v>
      </c>
      <c r="BT72" s="5">
        <f t="shared" si="137"/>
        <v>0</v>
      </c>
      <c r="BU72" s="5">
        <f t="shared" si="138"/>
        <v>0</v>
      </c>
      <c r="BV72" s="5">
        <f t="shared" si="139"/>
        <v>0</v>
      </c>
      <c r="BW72" s="5">
        <f t="shared" si="140"/>
        <v>0</v>
      </c>
      <c r="BX72" s="5">
        <f t="shared" si="141"/>
        <v>0</v>
      </c>
      <c r="BY72" s="5">
        <f t="shared" si="116"/>
        <v>0</v>
      </c>
      <c r="BZ72" s="5">
        <f t="shared" si="142"/>
        <v>0</v>
      </c>
      <c r="CA72" s="5">
        <f t="shared" si="143"/>
        <v>0</v>
      </c>
      <c r="CB72" s="5">
        <f t="shared" si="144"/>
        <v>0</v>
      </c>
      <c r="CC72" s="5">
        <f t="shared" si="145"/>
        <v>0</v>
      </c>
      <c r="CD72" s="5">
        <f t="shared" si="146"/>
        <v>0</v>
      </c>
      <c r="CE72" s="5">
        <f t="shared" si="147"/>
        <v>0</v>
      </c>
      <c r="CF72" s="5">
        <f t="shared" si="148"/>
        <v>0</v>
      </c>
      <c r="CG72" s="5">
        <f t="shared" si="149"/>
        <v>0</v>
      </c>
      <c r="CH72" s="5">
        <f t="shared" si="150"/>
        <v>0</v>
      </c>
      <c r="CI72" s="5">
        <f t="shared" si="151"/>
        <v>0</v>
      </c>
      <c r="CJ72" s="5"/>
      <c r="CK72" s="4">
        <f t="shared" si="117"/>
        <v>0</v>
      </c>
    </row>
    <row r="73" spans="1:89" ht="38" customHeight="1">
      <c r="A73" s="33" t="str">
        <f t="shared" si="115"/>
        <v/>
      </c>
      <c r="B73" s="10"/>
      <c r="C73" s="86"/>
      <c r="D73" s="88"/>
      <c r="E73" s="88"/>
      <c r="F73" s="44">
        <f t="shared" si="152"/>
        <v>0</v>
      </c>
      <c r="G73" s="88"/>
      <c r="H73" s="88"/>
      <c r="I73" s="44">
        <f t="shared" si="153"/>
        <v>0</v>
      </c>
      <c r="J73" s="87"/>
      <c r="K73" s="88"/>
      <c r="L73" s="44">
        <f t="shared" si="154"/>
        <v>0</v>
      </c>
      <c r="M73" s="88"/>
      <c r="N73" s="88"/>
      <c r="O73" s="44">
        <f t="shared" si="155"/>
        <v>0</v>
      </c>
      <c r="P73" s="88"/>
      <c r="Q73" s="88"/>
      <c r="R73" s="44">
        <f t="shared" si="156"/>
        <v>0</v>
      </c>
      <c r="S73" s="88"/>
      <c r="T73" s="88"/>
      <c r="U73" s="44">
        <f t="shared" si="157"/>
        <v>0</v>
      </c>
      <c r="V73" s="88"/>
      <c r="W73" s="88"/>
      <c r="X73" s="44">
        <f t="shared" si="158"/>
        <v>0</v>
      </c>
      <c r="Y73" s="44"/>
      <c r="Z73" s="44"/>
      <c r="AA73" s="44"/>
      <c r="AB73" s="44">
        <f t="shared" si="159"/>
        <v>0</v>
      </c>
      <c r="AC73" s="23"/>
      <c r="AD73" s="6"/>
      <c r="AE73" s="7">
        <f t="shared" si="160"/>
        <v>0</v>
      </c>
      <c r="AF73" s="6"/>
      <c r="AG73" s="7">
        <f t="shared" si="161"/>
        <v>0</v>
      </c>
      <c r="AH73" s="6"/>
      <c r="AI73" s="7">
        <f t="shared" si="162"/>
        <v>0</v>
      </c>
      <c r="AJ73" s="6"/>
      <c r="AK73" s="7">
        <f t="shared" si="163"/>
        <v>0</v>
      </c>
      <c r="AL73" s="6"/>
      <c r="AM73" s="7">
        <f t="shared" si="164"/>
        <v>0</v>
      </c>
      <c r="AN73" s="6"/>
      <c r="AO73" s="7">
        <f t="shared" si="165"/>
        <v>0</v>
      </c>
      <c r="AP73" s="30">
        <f t="shared" si="166"/>
        <v>0</v>
      </c>
      <c r="AQ73" s="6"/>
      <c r="AR73" s="6"/>
      <c r="AS73" s="6"/>
      <c r="AT73" s="44">
        <f t="shared" si="167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18"/>
        <v>0</v>
      </c>
      <c r="BB73" s="5">
        <f t="shared" si="119"/>
        <v>0</v>
      </c>
      <c r="BC73" s="5">
        <f t="shared" si="120"/>
        <v>0</v>
      </c>
      <c r="BD73" s="5">
        <f t="shared" si="121"/>
        <v>0</v>
      </c>
      <c r="BE73" s="5">
        <f t="shared" si="122"/>
        <v>0</v>
      </c>
      <c r="BF73" s="5">
        <f t="shared" si="123"/>
        <v>0</v>
      </c>
      <c r="BG73" s="5">
        <f t="shared" si="124"/>
        <v>0</v>
      </c>
      <c r="BH73" s="5">
        <f t="shared" si="125"/>
        <v>0</v>
      </c>
      <c r="BI73" s="5">
        <f t="shared" si="126"/>
        <v>0</v>
      </c>
      <c r="BJ73" s="5">
        <f t="shared" si="127"/>
        <v>0</v>
      </c>
      <c r="BK73" s="5">
        <f t="shared" si="128"/>
        <v>0</v>
      </c>
      <c r="BL73" s="5">
        <f t="shared" si="129"/>
        <v>0</v>
      </c>
      <c r="BM73" s="5">
        <f t="shared" si="130"/>
        <v>0</v>
      </c>
      <c r="BN73" s="5">
        <f t="shared" si="131"/>
        <v>0</v>
      </c>
      <c r="BO73" s="5">
        <f t="shared" si="132"/>
        <v>0</v>
      </c>
      <c r="BP73" s="5">
        <f t="shared" si="133"/>
        <v>0</v>
      </c>
      <c r="BQ73" s="5">
        <f t="shared" si="134"/>
        <v>0</v>
      </c>
      <c r="BR73" s="5">
        <f t="shared" si="135"/>
        <v>0</v>
      </c>
      <c r="BS73" s="5">
        <f t="shared" si="136"/>
        <v>0</v>
      </c>
      <c r="BT73" s="5">
        <f t="shared" si="137"/>
        <v>0</v>
      </c>
      <c r="BU73" s="5">
        <f t="shared" si="138"/>
        <v>0</v>
      </c>
      <c r="BV73" s="5">
        <f t="shared" si="139"/>
        <v>0</v>
      </c>
      <c r="BW73" s="5">
        <f t="shared" si="140"/>
        <v>0</v>
      </c>
      <c r="BX73" s="5">
        <f t="shared" si="141"/>
        <v>0</v>
      </c>
      <c r="BY73" s="5">
        <f t="shared" si="116"/>
        <v>0</v>
      </c>
      <c r="BZ73" s="5">
        <f t="shared" si="142"/>
        <v>0</v>
      </c>
      <c r="CA73" s="5">
        <f t="shared" si="143"/>
        <v>0</v>
      </c>
      <c r="CB73" s="5">
        <f t="shared" si="144"/>
        <v>0</v>
      </c>
      <c r="CC73" s="5">
        <f t="shared" si="145"/>
        <v>0</v>
      </c>
      <c r="CD73" s="5">
        <f t="shared" si="146"/>
        <v>0</v>
      </c>
      <c r="CE73" s="5">
        <f t="shared" si="147"/>
        <v>0</v>
      </c>
      <c r="CF73" s="5">
        <f t="shared" si="148"/>
        <v>0</v>
      </c>
      <c r="CG73" s="5">
        <f t="shared" si="149"/>
        <v>0</v>
      </c>
      <c r="CH73" s="5">
        <f t="shared" si="150"/>
        <v>0</v>
      </c>
      <c r="CI73" s="5">
        <f t="shared" si="151"/>
        <v>0</v>
      </c>
      <c r="CJ73" s="5"/>
      <c r="CK73" s="4">
        <f t="shared" si="117"/>
        <v>0</v>
      </c>
    </row>
    <row r="74" spans="1:89" ht="38" customHeight="1">
      <c r="A74" s="33" t="str">
        <f t="shared" si="115"/>
        <v/>
      </c>
      <c r="B74" s="10"/>
      <c r="C74" s="86"/>
      <c r="D74" s="88"/>
      <c r="E74" s="88"/>
      <c r="F74" s="44">
        <f t="shared" si="152"/>
        <v>0</v>
      </c>
      <c r="G74" s="88"/>
      <c r="H74" s="88"/>
      <c r="I74" s="44">
        <f t="shared" si="153"/>
        <v>0</v>
      </c>
      <c r="J74" s="87"/>
      <c r="K74" s="88"/>
      <c r="L74" s="44">
        <f t="shared" si="154"/>
        <v>0</v>
      </c>
      <c r="M74" s="88"/>
      <c r="N74" s="88"/>
      <c r="O74" s="44">
        <f t="shared" si="155"/>
        <v>0</v>
      </c>
      <c r="P74" s="88"/>
      <c r="Q74" s="88"/>
      <c r="R74" s="44">
        <f t="shared" si="156"/>
        <v>0</v>
      </c>
      <c r="S74" s="88"/>
      <c r="T74" s="88"/>
      <c r="U74" s="44">
        <f t="shared" si="157"/>
        <v>0</v>
      </c>
      <c r="V74" s="88"/>
      <c r="W74" s="88"/>
      <c r="X74" s="44">
        <f t="shared" si="158"/>
        <v>0</v>
      </c>
      <c r="Y74" s="44"/>
      <c r="Z74" s="44"/>
      <c r="AA74" s="44"/>
      <c r="AB74" s="44">
        <f t="shared" si="159"/>
        <v>0</v>
      </c>
      <c r="AC74" s="23"/>
      <c r="AD74" s="6"/>
      <c r="AE74" s="7">
        <f t="shared" si="160"/>
        <v>0</v>
      </c>
      <c r="AF74" s="6"/>
      <c r="AG74" s="7">
        <f t="shared" si="161"/>
        <v>0</v>
      </c>
      <c r="AH74" s="6"/>
      <c r="AI74" s="7">
        <f t="shared" si="162"/>
        <v>0</v>
      </c>
      <c r="AJ74" s="6"/>
      <c r="AK74" s="7">
        <f t="shared" si="163"/>
        <v>0</v>
      </c>
      <c r="AL74" s="6"/>
      <c r="AM74" s="7">
        <f t="shared" si="164"/>
        <v>0</v>
      </c>
      <c r="AN74" s="6"/>
      <c r="AO74" s="7">
        <f t="shared" si="165"/>
        <v>0</v>
      </c>
      <c r="AP74" s="30">
        <f t="shared" si="166"/>
        <v>0</v>
      </c>
      <c r="AQ74" s="6"/>
      <c r="AR74" s="6"/>
      <c r="AS74" s="6"/>
      <c r="AT74" s="44">
        <f t="shared" si="167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18"/>
        <v>0</v>
      </c>
      <c r="BB74" s="5">
        <f t="shared" si="119"/>
        <v>0</v>
      </c>
      <c r="BC74" s="5">
        <f t="shared" si="120"/>
        <v>0</v>
      </c>
      <c r="BD74" s="5">
        <f t="shared" si="121"/>
        <v>0</v>
      </c>
      <c r="BE74" s="5">
        <f t="shared" si="122"/>
        <v>0</v>
      </c>
      <c r="BF74" s="5">
        <f t="shared" si="123"/>
        <v>0</v>
      </c>
      <c r="BG74" s="5">
        <f t="shared" si="124"/>
        <v>0</v>
      </c>
      <c r="BH74" s="5">
        <f t="shared" si="125"/>
        <v>0</v>
      </c>
      <c r="BI74" s="5">
        <f t="shared" si="126"/>
        <v>0</v>
      </c>
      <c r="BJ74" s="5">
        <f t="shared" si="127"/>
        <v>0</v>
      </c>
      <c r="BK74" s="5">
        <f t="shared" si="128"/>
        <v>0</v>
      </c>
      <c r="BL74" s="5">
        <f t="shared" si="129"/>
        <v>0</v>
      </c>
      <c r="BM74" s="5">
        <f t="shared" si="130"/>
        <v>0</v>
      </c>
      <c r="BN74" s="5">
        <f t="shared" si="131"/>
        <v>0</v>
      </c>
      <c r="BO74" s="5">
        <f t="shared" si="132"/>
        <v>0</v>
      </c>
      <c r="BP74" s="5">
        <f t="shared" si="133"/>
        <v>0</v>
      </c>
      <c r="BQ74" s="5">
        <f t="shared" si="134"/>
        <v>0</v>
      </c>
      <c r="BR74" s="5">
        <f t="shared" si="135"/>
        <v>0</v>
      </c>
      <c r="BS74" s="5">
        <f t="shared" si="136"/>
        <v>0</v>
      </c>
      <c r="BT74" s="5">
        <f t="shared" si="137"/>
        <v>0</v>
      </c>
      <c r="BU74" s="5">
        <f t="shared" si="138"/>
        <v>0</v>
      </c>
      <c r="BV74" s="5">
        <f t="shared" si="139"/>
        <v>0</v>
      </c>
      <c r="BW74" s="5">
        <f t="shared" si="140"/>
        <v>0</v>
      </c>
      <c r="BX74" s="5">
        <f t="shared" si="141"/>
        <v>0</v>
      </c>
      <c r="BY74" s="5">
        <f t="shared" si="116"/>
        <v>0</v>
      </c>
      <c r="BZ74" s="5">
        <f t="shared" si="142"/>
        <v>0</v>
      </c>
      <c r="CA74" s="5">
        <f t="shared" si="143"/>
        <v>0</v>
      </c>
      <c r="CB74" s="5">
        <f t="shared" si="144"/>
        <v>0</v>
      </c>
      <c r="CC74" s="5">
        <f t="shared" si="145"/>
        <v>0</v>
      </c>
      <c r="CD74" s="5">
        <f t="shared" si="146"/>
        <v>0</v>
      </c>
      <c r="CE74" s="5">
        <f t="shared" si="147"/>
        <v>0</v>
      </c>
      <c r="CF74" s="5">
        <f t="shared" si="148"/>
        <v>0</v>
      </c>
      <c r="CG74" s="5">
        <f t="shared" si="149"/>
        <v>0</v>
      </c>
      <c r="CH74" s="5">
        <f t="shared" si="150"/>
        <v>0</v>
      </c>
      <c r="CI74" s="5">
        <f t="shared" si="151"/>
        <v>0</v>
      </c>
      <c r="CJ74" s="5"/>
      <c r="CK74" s="4">
        <f t="shared" si="117"/>
        <v>0</v>
      </c>
    </row>
    <row r="75" spans="1:89" ht="38" customHeight="1">
      <c r="A75" s="33" t="str">
        <f t="shared" si="115"/>
        <v/>
      </c>
      <c r="B75" s="10"/>
      <c r="C75" s="86"/>
      <c r="D75" s="88"/>
      <c r="E75" s="88"/>
      <c r="F75" s="44">
        <f t="shared" si="152"/>
        <v>0</v>
      </c>
      <c r="G75" s="88"/>
      <c r="H75" s="88"/>
      <c r="I75" s="44">
        <f t="shared" si="153"/>
        <v>0</v>
      </c>
      <c r="J75" s="87"/>
      <c r="K75" s="88"/>
      <c r="L75" s="44">
        <f t="shared" si="154"/>
        <v>0</v>
      </c>
      <c r="M75" s="88"/>
      <c r="N75" s="88"/>
      <c r="O75" s="44">
        <f t="shared" si="155"/>
        <v>0</v>
      </c>
      <c r="P75" s="88"/>
      <c r="Q75" s="88"/>
      <c r="R75" s="44">
        <f t="shared" si="156"/>
        <v>0</v>
      </c>
      <c r="S75" s="88"/>
      <c r="T75" s="88"/>
      <c r="U75" s="44">
        <f t="shared" si="157"/>
        <v>0</v>
      </c>
      <c r="V75" s="88"/>
      <c r="W75" s="88"/>
      <c r="X75" s="44">
        <f t="shared" si="158"/>
        <v>0</v>
      </c>
      <c r="Y75" s="44"/>
      <c r="Z75" s="44"/>
      <c r="AA75" s="44"/>
      <c r="AB75" s="44">
        <f t="shared" si="159"/>
        <v>0</v>
      </c>
      <c r="AC75" s="23"/>
      <c r="AD75" s="6"/>
      <c r="AE75" s="7">
        <f t="shared" si="160"/>
        <v>0</v>
      </c>
      <c r="AF75" s="6"/>
      <c r="AG75" s="7">
        <f t="shared" si="161"/>
        <v>0</v>
      </c>
      <c r="AH75" s="6"/>
      <c r="AI75" s="7">
        <f t="shared" si="162"/>
        <v>0</v>
      </c>
      <c r="AJ75" s="6"/>
      <c r="AK75" s="7">
        <f t="shared" si="163"/>
        <v>0</v>
      </c>
      <c r="AL75" s="6"/>
      <c r="AM75" s="7">
        <f t="shared" si="164"/>
        <v>0</v>
      </c>
      <c r="AN75" s="6"/>
      <c r="AO75" s="7">
        <f t="shared" si="165"/>
        <v>0</v>
      </c>
      <c r="AP75" s="30">
        <f t="shared" si="166"/>
        <v>0</v>
      </c>
      <c r="AQ75" s="6"/>
      <c r="AR75" s="6"/>
      <c r="AS75" s="6"/>
      <c r="AT75" s="44">
        <f t="shared" si="167"/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18"/>
        <v>0</v>
      </c>
      <c r="BB75" s="5">
        <f t="shared" si="119"/>
        <v>0</v>
      </c>
      <c r="BC75" s="5">
        <f t="shared" si="120"/>
        <v>0</v>
      </c>
      <c r="BD75" s="5">
        <f t="shared" si="121"/>
        <v>0</v>
      </c>
      <c r="BE75" s="5">
        <f t="shared" si="122"/>
        <v>0</v>
      </c>
      <c r="BF75" s="5">
        <f t="shared" si="123"/>
        <v>0</v>
      </c>
      <c r="BG75" s="5">
        <f t="shared" si="124"/>
        <v>0</v>
      </c>
      <c r="BH75" s="5">
        <f t="shared" si="125"/>
        <v>0</v>
      </c>
      <c r="BI75" s="5">
        <f t="shared" si="126"/>
        <v>0</v>
      </c>
      <c r="BJ75" s="5">
        <f t="shared" si="127"/>
        <v>0</v>
      </c>
      <c r="BK75" s="5">
        <f t="shared" si="128"/>
        <v>0</v>
      </c>
      <c r="BL75" s="5">
        <f t="shared" si="129"/>
        <v>0</v>
      </c>
      <c r="BM75" s="5">
        <f t="shared" si="130"/>
        <v>0</v>
      </c>
      <c r="BN75" s="5">
        <f t="shared" si="131"/>
        <v>0</v>
      </c>
      <c r="BO75" s="5">
        <f t="shared" si="132"/>
        <v>0</v>
      </c>
      <c r="BP75" s="5">
        <f t="shared" si="133"/>
        <v>0</v>
      </c>
      <c r="BQ75" s="5">
        <f t="shared" si="134"/>
        <v>0</v>
      </c>
      <c r="BR75" s="5">
        <f t="shared" si="135"/>
        <v>0</v>
      </c>
      <c r="BS75" s="5">
        <f t="shared" si="136"/>
        <v>0</v>
      </c>
      <c r="BT75" s="5">
        <f t="shared" si="137"/>
        <v>0</v>
      </c>
      <c r="BU75" s="5">
        <f t="shared" si="138"/>
        <v>0</v>
      </c>
      <c r="BV75" s="5">
        <f t="shared" si="139"/>
        <v>0</v>
      </c>
      <c r="BW75" s="5">
        <f t="shared" si="140"/>
        <v>0</v>
      </c>
      <c r="BX75" s="5">
        <f t="shared" si="141"/>
        <v>0</v>
      </c>
      <c r="BY75" s="5">
        <f t="shared" si="116"/>
        <v>0</v>
      </c>
      <c r="BZ75" s="5">
        <f t="shared" si="142"/>
        <v>0</v>
      </c>
      <c r="CA75" s="5">
        <f t="shared" si="143"/>
        <v>0</v>
      </c>
      <c r="CB75" s="5">
        <f t="shared" si="144"/>
        <v>0</v>
      </c>
      <c r="CC75" s="5">
        <f t="shared" si="145"/>
        <v>0</v>
      </c>
      <c r="CD75" s="5">
        <f t="shared" si="146"/>
        <v>0</v>
      </c>
      <c r="CE75" s="5">
        <f t="shared" si="147"/>
        <v>0</v>
      </c>
      <c r="CF75" s="5">
        <f t="shared" si="148"/>
        <v>0</v>
      </c>
      <c r="CG75" s="5">
        <f t="shared" si="149"/>
        <v>0</v>
      </c>
      <c r="CH75" s="5">
        <f t="shared" si="150"/>
        <v>0</v>
      </c>
      <c r="CI75" s="5">
        <f t="shared" si="151"/>
        <v>0</v>
      </c>
      <c r="CJ75" s="5"/>
      <c r="CK75" s="4">
        <f t="shared" si="117"/>
        <v>0</v>
      </c>
    </row>
    <row r="76" spans="1:89" ht="38" customHeight="1">
      <c r="A76" s="33" t="str">
        <f t="shared" si="115"/>
        <v/>
      </c>
      <c r="B76" s="10"/>
      <c r="C76" s="86"/>
      <c r="D76" s="88"/>
      <c r="E76" s="88"/>
      <c r="F76" s="44">
        <f t="shared" si="152"/>
        <v>0</v>
      </c>
      <c r="G76" s="88"/>
      <c r="H76" s="88"/>
      <c r="I76" s="44">
        <f t="shared" si="153"/>
        <v>0</v>
      </c>
      <c r="J76" s="87"/>
      <c r="K76" s="88"/>
      <c r="L76" s="44">
        <f t="shared" si="154"/>
        <v>0</v>
      </c>
      <c r="M76" s="88"/>
      <c r="N76" s="88"/>
      <c r="O76" s="44">
        <f t="shared" si="155"/>
        <v>0</v>
      </c>
      <c r="P76" s="88"/>
      <c r="Q76" s="88"/>
      <c r="R76" s="44">
        <f t="shared" si="156"/>
        <v>0</v>
      </c>
      <c r="S76" s="88"/>
      <c r="T76" s="88"/>
      <c r="U76" s="44">
        <f t="shared" si="157"/>
        <v>0</v>
      </c>
      <c r="V76" s="88"/>
      <c r="W76" s="88"/>
      <c r="X76" s="44">
        <f t="shared" si="158"/>
        <v>0</v>
      </c>
      <c r="Y76" s="44"/>
      <c r="Z76" s="44"/>
      <c r="AA76" s="44"/>
      <c r="AB76" s="44">
        <f t="shared" si="159"/>
        <v>0</v>
      </c>
      <c r="AC76" s="23"/>
      <c r="AD76" s="6"/>
      <c r="AE76" s="7">
        <f t="shared" si="160"/>
        <v>0</v>
      </c>
      <c r="AF76" s="6"/>
      <c r="AG76" s="7">
        <f t="shared" si="161"/>
        <v>0</v>
      </c>
      <c r="AH76" s="6"/>
      <c r="AI76" s="7">
        <f t="shared" si="162"/>
        <v>0</v>
      </c>
      <c r="AJ76" s="6"/>
      <c r="AK76" s="7">
        <f t="shared" si="163"/>
        <v>0</v>
      </c>
      <c r="AL76" s="6"/>
      <c r="AM76" s="7">
        <f t="shared" si="164"/>
        <v>0</v>
      </c>
      <c r="AN76" s="6"/>
      <c r="AO76" s="7">
        <f t="shared" si="165"/>
        <v>0</v>
      </c>
      <c r="AP76" s="30">
        <f t="shared" si="166"/>
        <v>0</v>
      </c>
      <c r="AQ76" s="6"/>
      <c r="AR76" s="6"/>
      <c r="AS76" s="6"/>
      <c r="AT76" s="44">
        <f t="shared" si="167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18"/>
        <v>0</v>
      </c>
      <c r="BB76" s="5">
        <f t="shared" si="119"/>
        <v>0</v>
      </c>
      <c r="BC76" s="5">
        <f t="shared" si="120"/>
        <v>0</v>
      </c>
      <c r="BD76" s="5">
        <f t="shared" si="121"/>
        <v>0</v>
      </c>
      <c r="BE76" s="5">
        <f t="shared" si="122"/>
        <v>0</v>
      </c>
      <c r="BF76" s="5">
        <f t="shared" si="123"/>
        <v>0</v>
      </c>
      <c r="BG76" s="5">
        <f t="shared" si="124"/>
        <v>0</v>
      </c>
      <c r="BH76" s="5">
        <f t="shared" si="125"/>
        <v>0</v>
      </c>
      <c r="BI76" s="5">
        <f t="shared" si="126"/>
        <v>0</v>
      </c>
      <c r="BJ76" s="5">
        <f t="shared" si="127"/>
        <v>0</v>
      </c>
      <c r="BK76" s="5">
        <f t="shared" si="128"/>
        <v>0</v>
      </c>
      <c r="BL76" s="5">
        <f t="shared" si="129"/>
        <v>0</v>
      </c>
      <c r="BM76" s="5">
        <f t="shared" si="130"/>
        <v>0</v>
      </c>
      <c r="BN76" s="5">
        <f t="shared" si="131"/>
        <v>0</v>
      </c>
      <c r="BO76" s="5">
        <f t="shared" si="132"/>
        <v>0</v>
      </c>
      <c r="BP76" s="5">
        <f t="shared" si="133"/>
        <v>0</v>
      </c>
      <c r="BQ76" s="5">
        <f t="shared" si="134"/>
        <v>0</v>
      </c>
      <c r="BR76" s="5">
        <f t="shared" si="135"/>
        <v>0</v>
      </c>
      <c r="BS76" s="5">
        <f t="shared" si="136"/>
        <v>0</v>
      </c>
      <c r="BT76" s="5">
        <f t="shared" si="137"/>
        <v>0</v>
      </c>
      <c r="BU76" s="5">
        <f t="shared" si="138"/>
        <v>0</v>
      </c>
      <c r="BV76" s="5">
        <f t="shared" si="139"/>
        <v>0</v>
      </c>
      <c r="BW76" s="5">
        <f t="shared" si="140"/>
        <v>0</v>
      </c>
      <c r="BX76" s="5">
        <f t="shared" si="141"/>
        <v>0</v>
      </c>
      <c r="BY76" s="5">
        <f t="shared" si="116"/>
        <v>0</v>
      </c>
      <c r="BZ76" s="5">
        <f t="shared" si="142"/>
        <v>0</v>
      </c>
      <c r="CA76" s="5">
        <f t="shared" si="143"/>
        <v>0</v>
      </c>
      <c r="CB76" s="5">
        <f t="shared" si="144"/>
        <v>0</v>
      </c>
      <c r="CC76" s="5">
        <f t="shared" si="145"/>
        <v>0</v>
      </c>
      <c r="CD76" s="5">
        <f t="shared" si="146"/>
        <v>0</v>
      </c>
      <c r="CE76" s="5">
        <f t="shared" si="147"/>
        <v>0</v>
      </c>
      <c r="CF76" s="5">
        <f t="shared" si="148"/>
        <v>0</v>
      </c>
      <c r="CG76" s="5">
        <f t="shared" si="149"/>
        <v>0</v>
      </c>
      <c r="CH76" s="5">
        <f t="shared" si="150"/>
        <v>0</v>
      </c>
      <c r="CI76" s="5">
        <f t="shared" si="151"/>
        <v>0</v>
      </c>
      <c r="CJ76" s="5"/>
      <c r="CK76" s="4">
        <f t="shared" si="117"/>
        <v>0</v>
      </c>
    </row>
    <row r="77" spans="1:89" ht="38" customHeight="1">
      <c r="A77" s="33" t="str">
        <f t="shared" si="115"/>
        <v/>
      </c>
      <c r="B77" s="10"/>
      <c r="C77" s="86"/>
      <c r="D77" s="88"/>
      <c r="E77" s="88"/>
      <c r="F77" s="44">
        <f t="shared" si="152"/>
        <v>0</v>
      </c>
      <c r="G77" s="88"/>
      <c r="H77" s="88"/>
      <c r="I77" s="44">
        <f t="shared" si="153"/>
        <v>0</v>
      </c>
      <c r="J77" s="87"/>
      <c r="K77" s="88"/>
      <c r="L77" s="44">
        <f t="shared" si="154"/>
        <v>0</v>
      </c>
      <c r="M77" s="88"/>
      <c r="N77" s="88"/>
      <c r="O77" s="44">
        <f t="shared" si="155"/>
        <v>0</v>
      </c>
      <c r="P77" s="88"/>
      <c r="Q77" s="88"/>
      <c r="R77" s="44">
        <f t="shared" si="156"/>
        <v>0</v>
      </c>
      <c r="S77" s="88"/>
      <c r="T77" s="88"/>
      <c r="U77" s="44">
        <f t="shared" si="157"/>
        <v>0</v>
      </c>
      <c r="V77" s="88"/>
      <c r="W77" s="88"/>
      <c r="X77" s="44">
        <f t="shared" si="158"/>
        <v>0</v>
      </c>
      <c r="Y77" s="44"/>
      <c r="Z77" s="44"/>
      <c r="AA77" s="44"/>
      <c r="AB77" s="44">
        <f t="shared" si="159"/>
        <v>0</v>
      </c>
      <c r="AC77" s="23"/>
      <c r="AD77" s="6"/>
      <c r="AE77" s="7">
        <f t="shared" si="160"/>
        <v>0</v>
      </c>
      <c r="AF77" s="6"/>
      <c r="AG77" s="7">
        <f t="shared" si="161"/>
        <v>0</v>
      </c>
      <c r="AH77" s="6"/>
      <c r="AI77" s="7">
        <f t="shared" si="162"/>
        <v>0</v>
      </c>
      <c r="AJ77" s="6"/>
      <c r="AK77" s="7">
        <f t="shared" si="163"/>
        <v>0</v>
      </c>
      <c r="AL77" s="6"/>
      <c r="AM77" s="7">
        <f t="shared" si="164"/>
        <v>0</v>
      </c>
      <c r="AN77" s="6"/>
      <c r="AO77" s="7">
        <f t="shared" si="165"/>
        <v>0</v>
      </c>
      <c r="AP77" s="30">
        <f t="shared" si="166"/>
        <v>0</v>
      </c>
      <c r="AQ77" s="6"/>
      <c r="AR77" s="6"/>
      <c r="AS77" s="6"/>
      <c r="AT77" s="44">
        <f t="shared" si="167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18"/>
        <v>0</v>
      </c>
      <c r="BB77" s="5">
        <f t="shared" si="119"/>
        <v>0</v>
      </c>
      <c r="BC77" s="5">
        <f t="shared" si="120"/>
        <v>0</v>
      </c>
      <c r="BD77" s="5">
        <f t="shared" si="121"/>
        <v>0</v>
      </c>
      <c r="BE77" s="5">
        <f t="shared" si="122"/>
        <v>0</v>
      </c>
      <c r="BF77" s="5">
        <f t="shared" si="123"/>
        <v>0</v>
      </c>
      <c r="BG77" s="5">
        <f t="shared" si="124"/>
        <v>0</v>
      </c>
      <c r="BH77" s="5">
        <f t="shared" si="125"/>
        <v>0</v>
      </c>
      <c r="BI77" s="5">
        <f t="shared" si="126"/>
        <v>0</v>
      </c>
      <c r="BJ77" s="5">
        <f t="shared" si="127"/>
        <v>0</v>
      </c>
      <c r="BK77" s="5">
        <f t="shared" si="128"/>
        <v>0</v>
      </c>
      <c r="BL77" s="5">
        <f t="shared" si="129"/>
        <v>0</v>
      </c>
      <c r="BM77" s="5">
        <f t="shared" si="130"/>
        <v>0</v>
      </c>
      <c r="BN77" s="5">
        <f t="shared" si="131"/>
        <v>0</v>
      </c>
      <c r="BO77" s="5">
        <f t="shared" si="132"/>
        <v>0</v>
      </c>
      <c r="BP77" s="5">
        <f t="shared" si="133"/>
        <v>0</v>
      </c>
      <c r="BQ77" s="5">
        <f t="shared" si="134"/>
        <v>0</v>
      </c>
      <c r="BR77" s="5">
        <f t="shared" si="135"/>
        <v>0</v>
      </c>
      <c r="BS77" s="5">
        <f t="shared" si="136"/>
        <v>0</v>
      </c>
      <c r="BT77" s="5">
        <f t="shared" si="137"/>
        <v>0</v>
      </c>
      <c r="BU77" s="5">
        <f t="shared" si="138"/>
        <v>0</v>
      </c>
      <c r="BV77" s="5">
        <f t="shared" si="139"/>
        <v>0</v>
      </c>
      <c r="BW77" s="5">
        <f t="shared" si="140"/>
        <v>0</v>
      </c>
      <c r="BX77" s="5">
        <f t="shared" si="141"/>
        <v>0</v>
      </c>
      <c r="BY77" s="5">
        <f t="shared" si="116"/>
        <v>0</v>
      </c>
      <c r="BZ77" s="5">
        <f t="shared" si="142"/>
        <v>0</v>
      </c>
      <c r="CA77" s="5">
        <f t="shared" si="143"/>
        <v>0</v>
      </c>
      <c r="CB77" s="5">
        <f t="shared" si="144"/>
        <v>0</v>
      </c>
      <c r="CC77" s="5">
        <f t="shared" si="145"/>
        <v>0</v>
      </c>
      <c r="CD77" s="5">
        <f t="shared" si="146"/>
        <v>0</v>
      </c>
      <c r="CE77" s="5">
        <f t="shared" si="147"/>
        <v>0</v>
      </c>
      <c r="CF77" s="5">
        <f t="shared" si="148"/>
        <v>0</v>
      </c>
      <c r="CG77" s="5">
        <f t="shared" si="149"/>
        <v>0</v>
      </c>
      <c r="CH77" s="5">
        <f t="shared" si="150"/>
        <v>0</v>
      </c>
      <c r="CI77" s="5">
        <f t="shared" si="151"/>
        <v>0</v>
      </c>
      <c r="CJ77" s="5"/>
      <c r="CK77" s="4">
        <f t="shared" si="117"/>
        <v>0</v>
      </c>
    </row>
    <row r="78" spans="1:89" ht="38" customHeight="1">
      <c r="A78" s="33" t="str">
        <f t="shared" si="115"/>
        <v/>
      </c>
      <c r="B78" s="10"/>
      <c r="C78" s="86"/>
      <c r="D78" s="88"/>
      <c r="E78" s="88"/>
      <c r="F78" s="44">
        <f t="shared" si="152"/>
        <v>0</v>
      </c>
      <c r="G78" s="88"/>
      <c r="H78" s="88"/>
      <c r="I78" s="44">
        <f t="shared" si="153"/>
        <v>0</v>
      </c>
      <c r="J78" s="87"/>
      <c r="K78" s="88"/>
      <c r="L78" s="44">
        <f t="shared" si="154"/>
        <v>0</v>
      </c>
      <c r="M78" s="88"/>
      <c r="N78" s="88"/>
      <c r="O78" s="44">
        <f t="shared" si="155"/>
        <v>0</v>
      </c>
      <c r="P78" s="88"/>
      <c r="Q78" s="88"/>
      <c r="R78" s="44">
        <f t="shared" si="156"/>
        <v>0</v>
      </c>
      <c r="S78" s="88"/>
      <c r="T78" s="88"/>
      <c r="U78" s="44">
        <f t="shared" si="157"/>
        <v>0</v>
      </c>
      <c r="V78" s="88"/>
      <c r="W78" s="88"/>
      <c r="X78" s="44">
        <f t="shared" si="158"/>
        <v>0</v>
      </c>
      <c r="Y78" s="44"/>
      <c r="Z78" s="44"/>
      <c r="AA78" s="44"/>
      <c r="AB78" s="44">
        <f t="shared" si="159"/>
        <v>0</v>
      </c>
      <c r="AC78" s="23"/>
      <c r="AD78" s="6"/>
      <c r="AE78" s="7">
        <f t="shared" si="160"/>
        <v>0</v>
      </c>
      <c r="AF78" s="6"/>
      <c r="AG78" s="7">
        <f t="shared" si="161"/>
        <v>0</v>
      </c>
      <c r="AH78" s="6"/>
      <c r="AI78" s="7">
        <f t="shared" si="162"/>
        <v>0</v>
      </c>
      <c r="AJ78" s="6"/>
      <c r="AK78" s="7">
        <f t="shared" si="163"/>
        <v>0</v>
      </c>
      <c r="AL78" s="6"/>
      <c r="AM78" s="7">
        <f t="shared" si="164"/>
        <v>0</v>
      </c>
      <c r="AN78" s="6"/>
      <c r="AO78" s="7">
        <f t="shared" si="165"/>
        <v>0</v>
      </c>
      <c r="AP78" s="30">
        <f t="shared" si="166"/>
        <v>0</v>
      </c>
      <c r="AQ78" s="6"/>
      <c r="AR78" s="6"/>
      <c r="AS78" s="6"/>
      <c r="AT78" s="44">
        <f t="shared" si="167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18"/>
        <v>0</v>
      </c>
      <c r="BB78" s="5">
        <f t="shared" si="119"/>
        <v>0</v>
      </c>
      <c r="BC78" s="5">
        <f t="shared" si="120"/>
        <v>0</v>
      </c>
      <c r="BD78" s="5">
        <f t="shared" si="121"/>
        <v>0</v>
      </c>
      <c r="BE78" s="5">
        <f t="shared" si="122"/>
        <v>0</v>
      </c>
      <c r="BF78" s="5">
        <f t="shared" si="123"/>
        <v>0</v>
      </c>
      <c r="BG78" s="5">
        <f t="shared" si="124"/>
        <v>0</v>
      </c>
      <c r="BH78" s="5">
        <f t="shared" si="125"/>
        <v>0</v>
      </c>
      <c r="BI78" s="5">
        <f t="shared" si="126"/>
        <v>0</v>
      </c>
      <c r="BJ78" s="5">
        <f t="shared" si="127"/>
        <v>0</v>
      </c>
      <c r="BK78" s="5">
        <f t="shared" si="128"/>
        <v>0</v>
      </c>
      <c r="BL78" s="5">
        <f t="shared" si="129"/>
        <v>0</v>
      </c>
      <c r="BM78" s="5">
        <f t="shared" si="130"/>
        <v>0</v>
      </c>
      <c r="BN78" s="5">
        <f t="shared" si="131"/>
        <v>0</v>
      </c>
      <c r="BO78" s="5">
        <f t="shared" si="132"/>
        <v>0</v>
      </c>
      <c r="BP78" s="5">
        <f t="shared" si="133"/>
        <v>0</v>
      </c>
      <c r="BQ78" s="5">
        <f t="shared" si="134"/>
        <v>0</v>
      </c>
      <c r="BR78" s="5">
        <f t="shared" si="135"/>
        <v>0</v>
      </c>
      <c r="BS78" s="5">
        <f t="shared" si="136"/>
        <v>0</v>
      </c>
      <c r="BT78" s="5">
        <f t="shared" si="137"/>
        <v>0</v>
      </c>
      <c r="BU78" s="5">
        <f t="shared" si="138"/>
        <v>0</v>
      </c>
      <c r="BV78" s="5">
        <f t="shared" si="139"/>
        <v>0</v>
      </c>
      <c r="BW78" s="5">
        <f t="shared" si="140"/>
        <v>0</v>
      </c>
      <c r="BX78" s="5">
        <f t="shared" si="141"/>
        <v>0</v>
      </c>
      <c r="BY78" s="5">
        <f t="shared" si="116"/>
        <v>0</v>
      </c>
      <c r="BZ78" s="5">
        <f t="shared" si="142"/>
        <v>0</v>
      </c>
      <c r="CA78" s="5">
        <f t="shared" si="143"/>
        <v>0</v>
      </c>
      <c r="CB78" s="5">
        <f t="shared" si="144"/>
        <v>0</v>
      </c>
      <c r="CC78" s="5">
        <f t="shared" si="145"/>
        <v>0</v>
      </c>
      <c r="CD78" s="5">
        <f t="shared" si="146"/>
        <v>0</v>
      </c>
      <c r="CE78" s="5">
        <f t="shared" si="147"/>
        <v>0</v>
      </c>
      <c r="CF78" s="5">
        <f t="shared" si="148"/>
        <v>0</v>
      </c>
      <c r="CG78" s="5">
        <f t="shared" si="149"/>
        <v>0</v>
      </c>
      <c r="CH78" s="5">
        <f t="shared" si="150"/>
        <v>0</v>
      </c>
      <c r="CI78" s="5">
        <f t="shared" si="151"/>
        <v>0</v>
      </c>
      <c r="CJ78" s="5"/>
      <c r="CK78" s="4">
        <f t="shared" si="117"/>
        <v>0</v>
      </c>
    </row>
    <row r="79" spans="1:89" ht="38" customHeight="1">
      <c r="A79" s="33" t="str">
        <f t="shared" si="115"/>
        <v/>
      </c>
      <c r="B79" s="10"/>
      <c r="C79" s="86"/>
      <c r="D79" s="88"/>
      <c r="E79" s="88"/>
      <c r="F79" s="44">
        <f t="shared" si="152"/>
        <v>0</v>
      </c>
      <c r="G79" s="88"/>
      <c r="H79" s="88"/>
      <c r="I79" s="44">
        <f t="shared" si="153"/>
        <v>0</v>
      </c>
      <c r="J79" s="87"/>
      <c r="K79" s="88"/>
      <c r="L79" s="44">
        <f t="shared" si="154"/>
        <v>0</v>
      </c>
      <c r="M79" s="88"/>
      <c r="N79" s="88"/>
      <c r="O79" s="44">
        <f t="shared" si="155"/>
        <v>0</v>
      </c>
      <c r="P79" s="88"/>
      <c r="Q79" s="88"/>
      <c r="R79" s="44">
        <f t="shared" si="156"/>
        <v>0</v>
      </c>
      <c r="S79" s="88"/>
      <c r="T79" s="88"/>
      <c r="U79" s="44">
        <f t="shared" si="157"/>
        <v>0</v>
      </c>
      <c r="V79" s="88"/>
      <c r="W79" s="88"/>
      <c r="X79" s="44">
        <f t="shared" si="158"/>
        <v>0</v>
      </c>
      <c r="Y79" s="44"/>
      <c r="Z79" s="44"/>
      <c r="AA79" s="44"/>
      <c r="AB79" s="44">
        <f t="shared" si="159"/>
        <v>0</v>
      </c>
      <c r="AC79" s="23"/>
      <c r="AD79" s="6"/>
      <c r="AE79" s="7">
        <f t="shared" si="160"/>
        <v>0</v>
      </c>
      <c r="AF79" s="6"/>
      <c r="AG79" s="7">
        <f t="shared" si="161"/>
        <v>0</v>
      </c>
      <c r="AH79" s="6"/>
      <c r="AI79" s="7">
        <f t="shared" si="162"/>
        <v>0</v>
      </c>
      <c r="AJ79" s="6"/>
      <c r="AK79" s="7">
        <f t="shared" si="163"/>
        <v>0</v>
      </c>
      <c r="AL79" s="6"/>
      <c r="AM79" s="7">
        <f t="shared" si="164"/>
        <v>0</v>
      </c>
      <c r="AN79" s="6"/>
      <c r="AO79" s="7">
        <f t="shared" si="165"/>
        <v>0</v>
      </c>
      <c r="AP79" s="30">
        <f t="shared" si="166"/>
        <v>0</v>
      </c>
      <c r="AQ79" s="6"/>
      <c r="AR79" s="6"/>
      <c r="AS79" s="6"/>
      <c r="AT79" s="44">
        <f t="shared" si="167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18"/>
        <v>0</v>
      </c>
      <c r="BB79" s="5">
        <f t="shared" si="119"/>
        <v>0</v>
      </c>
      <c r="BC79" s="5">
        <f t="shared" si="120"/>
        <v>0</v>
      </c>
      <c r="BD79" s="5">
        <f t="shared" si="121"/>
        <v>0</v>
      </c>
      <c r="BE79" s="5">
        <f t="shared" si="122"/>
        <v>0</v>
      </c>
      <c r="BF79" s="5">
        <f t="shared" si="123"/>
        <v>0</v>
      </c>
      <c r="BG79" s="5">
        <f t="shared" si="124"/>
        <v>0</v>
      </c>
      <c r="BH79" s="5">
        <f t="shared" si="125"/>
        <v>0</v>
      </c>
      <c r="BI79" s="5">
        <f t="shared" si="126"/>
        <v>0</v>
      </c>
      <c r="BJ79" s="5">
        <f t="shared" si="127"/>
        <v>0</v>
      </c>
      <c r="BK79" s="5">
        <f t="shared" si="128"/>
        <v>0</v>
      </c>
      <c r="BL79" s="5">
        <f t="shared" si="129"/>
        <v>0</v>
      </c>
      <c r="BM79" s="5">
        <f t="shared" si="130"/>
        <v>0</v>
      </c>
      <c r="BN79" s="5">
        <f t="shared" si="131"/>
        <v>0</v>
      </c>
      <c r="BO79" s="5">
        <f t="shared" si="132"/>
        <v>0</v>
      </c>
      <c r="BP79" s="5">
        <f t="shared" si="133"/>
        <v>0</v>
      </c>
      <c r="BQ79" s="5">
        <f t="shared" si="134"/>
        <v>0</v>
      </c>
      <c r="BR79" s="5">
        <f t="shared" si="135"/>
        <v>0</v>
      </c>
      <c r="BS79" s="5">
        <f t="shared" si="136"/>
        <v>0</v>
      </c>
      <c r="BT79" s="5">
        <f t="shared" si="137"/>
        <v>0</v>
      </c>
      <c r="BU79" s="5">
        <f t="shared" si="138"/>
        <v>0</v>
      </c>
      <c r="BV79" s="5">
        <f t="shared" si="139"/>
        <v>0</v>
      </c>
      <c r="BW79" s="5">
        <f t="shared" si="140"/>
        <v>0</v>
      </c>
      <c r="BX79" s="5">
        <f t="shared" si="141"/>
        <v>0</v>
      </c>
      <c r="BY79" s="5">
        <f t="shared" si="116"/>
        <v>0</v>
      </c>
      <c r="BZ79" s="5">
        <f t="shared" si="142"/>
        <v>0</v>
      </c>
      <c r="CA79" s="5">
        <f t="shared" si="143"/>
        <v>0</v>
      </c>
      <c r="CB79" s="5">
        <f t="shared" si="144"/>
        <v>0</v>
      </c>
      <c r="CC79" s="5">
        <f t="shared" si="145"/>
        <v>0</v>
      </c>
      <c r="CD79" s="5">
        <f t="shared" si="146"/>
        <v>0</v>
      </c>
      <c r="CE79" s="5">
        <f t="shared" si="147"/>
        <v>0</v>
      </c>
      <c r="CF79" s="5">
        <f t="shared" si="148"/>
        <v>0</v>
      </c>
      <c r="CG79" s="5">
        <f t="shared" si="149"/>
        <v>0</v>
      </c>
      <c r="CH79" s="5">
        <f t="shared" si="150"/>
        <v>0</v>
      </c>
      <c r="CI79" s="5">
        <f t="shared" si="151"/>
        <v>0</v>
      </c>
      <c r="CJ79" s="5"/>
      <c r="CK79" s="4">
        <f t="shared" si="117"/>
        <v>0</v>
      </c>
    </row>
    <row r="80" spans="1:89" ht="38" customHeight="1">
      <c r="A80" s="33" t="str">
        <f t="shared" si="115"/>
        <v/>
      </c>
      <c r="B80" s="10"/>
      <c r="C80" s="86"/>
      <c r="D80" s="88"/>
      <c r="E80" s="88"/>
      <c r="F80" s="44">
        <f t="shared" si="152"/>
        <v>0</v>
      </c>
      <c r="G80" s="88"/>
      <c r="H80" s="88"/>
      <c r="I80" s="44">
        <f t="shared" si="153"/>
        <v>0</v>
      </c>
      <c r="J80" s="87"/>
      <c r="K80" s="88"/>
      <c r="L80" s="44">
        <f t="shared" si="154"/>
        <v>0</v>
      </c>
      <c r="M80" s="88"/>
      <c r="N80" s="88"/>
      <c r="O80" s="44">
        <f t="shared" si="155"/>
        <v>0</v>
      </c>
      <c r="P80" s="88"/>
      <c r="Q80" s="88"/>
      <c r="R80" s="44">
        <f t="shared" si="156"/>
        <v>0</v>
      </c>
      <c r="S80" s="88"/>
      <c r="T80" s="88"/>
      <c r="U80" s="44">
        <f t="shared" si="157"/>
        <v>0</v>
      </c>
      <c r="V80" s="88"/>
      <c r="W80" s="88"/>
      <c r="X80" s="44">
        <f t="shared" si="158"/>
        <v>0</v>
      </c>
      <c r="Y80" s="44"/>
      <c r="Z80" s="44"/>
      <c r="AA80" s="44"/>
      <c r="AB80" s="44">
        <f t="shared" si="159"/>
        <v>0</v>
      </c>
      <c r="AC80" s="23"/>
      <c r="AD80" s="6"/>
      <c r="AE80" s="7">
        <f t="shared" si="160"/>
        <v>0</v>
      </c>
      <c r="AF80" s="6"/>
      <c r="AG80" s="7">
        <f t="shared" si="161"/>
        <v>0</v>
      </c>
      <c r="AH80" s="6"/>
      <c r="AI80" s="7">
        <f t="shared" si="162"/>
        <v>0</v>
      </c>
      <c r="AJ80" s="6"/>
      <c r="AK80" s="7">
        <f t="shared" si="163"/>
        <v>0</v>
      </c>
      <c r="AL80" s="6"/>
      <c r="AM80" s="7">
        <f t="shared" si="164"/>
        <v>0</v>
      </c>
      <c r="AN80" s="6"/>
      <c r="AO80" s="7">
        <f t="shared" si="165"/>
        <v>0</v>
      </c>
      <c r="AP80" s="30">
        <f t="shared" si="166"/>
        <v>0</v>
      </c>
      <c r="AQ80" s="6"/>
      <c r="AR80" s="6"/>
      <c r="AS80" s="6"/>
      <c r="AT80" s="44">
        <f t="shared" si="167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18"/>
        <v>0</v>
      </c>
      <c r="BB80" s="5">
        <f t="shared" si="119"/>
        <v>0</v>
      </c>
      <c r="BC80" s="5">
        <f t="shared" si="120"/>
        <v>0</v>
      </c>
      <c r="BD80" s="5">
        <f t="shared" si="121"/>
        <v>0</v>
      </c>
      <c r="BE80" s="5">
        <f t="shared" si="122"/>
        <v>0</v>
      </c>
      <c r="BF80" s="5">
        <f t="shared" si="123"/>
        <v>0</v>
      </c>
      <c r="BG80" s="5">
        <f t="shared" si="124"/>
        <v>0</v>
      </c>
      <c r="BH80" s="5">
        <f t="shared" si="125"/>
        <v>0</v>
      </c>
      <c r="BI80" s="5">
        <f t="shared" si="126"/>
        <v>0</v>
      </c>
      <c r="BJ80" s="5">
        <f t="shared" si="127"/>
        <v>0</v>
      </c>
      <c r="BK80" s="5">
        <f t="shared" si="128"/>
        <v>0</v>
      </c>
      <c r="BL80" s="5">
        <f t="shared" si="129"/>
        <v>0</v>
      </c>
      <c r="BM80" s="5">
        <f t="shared" si="130"/>
        <v>0</v>
      </c>
      <c r="BN80" s="5">
        <f t="shared" si="131"/>
        <v>0</v>
      </c>
      <c r="BO80" s="5">
        <f t="shared" si="132"/>
        <v>0</v>
      </c>
      <c r="BP80" s="5">
        <f t="shared" si="133"/>
        <v>0</v>
      </c>
      <c r="BQ80" s="5">
        <f t="shared" si="134"/>
        <v>0</v>
      </c>
      <c r="BR80" s="5">
        <f t="shared" si="135"/>
        <v>0</v>
      </c>
      <c r="BS80" s="5">
        <f t="shared" si="136"/>
        <v>0</v>
      </c>
      <c r="BT80" s="5">
        <f t="shared" si="137"/>
        <v>0</v>
      </c>
      <c r="BU80" s="5">
        <f t="shared" si="138"/>
        <v>0</v>
      </c>
      <c r="BV80" s="5">
        <f t="shared" si="139"/>
        <v>0</v>
      </c>
      <c r="BW80" s="5">
        <f t="shared" si="140"/>
        <v>0</v>
      </c>
      <c r="BX80" s="5">
        <f t="shared" si="141"/>
        <v>0</v>
      </c>
      <c r="BY80" s="5">
        <f t="shared" si="116"/>
        <v>0</v>
      </c>
      <c r="BZ80" s="5">
        <f t="shared" si="142"/>
        <v>0</v>
      </c>
      <c r="CA80" s="5">
        <f t="shared" si="143"/>
        <v>0</v>
      </c>
      <c r="CB80" s="5">
        <f t="shared" si="144"/>
        <v>0</v>
      </c>
      <c r="CC80" s="5">
        <f t="shared" si="145"/>
        <v>0</v>
      </c>
      <c r="CD80" s="5">
        <f t="shared" si="146"/>
        <v>0</v>
      </c>
      <c r="CE80" s="5">
        <f t="shared" si="147"/>
        <v>0</v>
      </c>
      <c r="CF80" s="5">
        <f t="shared" si="148"/>
        <v>0</v>
      </c>
      <c r="CG80" s="5">
        <f t="shared" si="149"/>
        <v>0</v>
      </c>
      <c r="CH80" s="5">
        <f t="shared" si="150"/>
        <v>0</v>
      </c>
      <c r="CI80" s="5">
        <f t="shared" si="151"/>
        <v>0</v>
      </c>
      <c r="CJ80" s="5"/>
      <c r="CK80" s="4">
        <f t="shared" si="117"/>
        <v>0</v>
      </c>
    </row>
    <row r="81" spans="1:89" ht="38" customHeight="1">
      <c r="A81" s="33" t="str">
        <f t="shared" si="115"/>
        <v/>
      </c>
      <c r="B81" s="10"/>
      <c r="C81" s="86"/>
      <c r="D81" s="88"/>
      <c r="E81" s="88"/>
      <c r="F81" s="44">
        <f t="shared" si="152"/>
        <v>0</v>
      </c>
      <c r="G81" s="88"/>
      <c r="H81" s="88"/>
      <c r="I81" s="44">
        <f t="shared" si="153"/>
        <v>0</v>
      </c>
      <c r="J81" s="87"/>
      <c r="K81" s="88"/>
      <c r="L81" s="44">
        <f t="shared" si="154"/>
        <v>0</v>
      </c>
      <c r="M81" s="88"/>
      <c r="N81" s="88"/>
      <c r="O81" s="44">
        <f t="shared" si="155"/>
        <v>0</v>
      </c>
      <c r="P81" s="88"/>
      <c r="Q81" s="88"/>
      <c r="R81" s="44">
        <f t="shared" si="156"/>
        <v>0</v>
      </c>
      <c r="S81" s="88"/>
      <c r="T81" s="88"/>
      <c r="U81" s="44">
        <f t="shared" si="157"/>
        <v>0</v>
      </c>
      <c r="V81" s="88"/>
      <c r="W81" s="88"/>
      <c r="X81" s="44">
        <f t="shared" si="158"/>
        <v>0</v>
      </c>
      <c r="Y81" s="44"/>
      <c r="Z81" s="44"/>
      <c r="AA81" s="44"/>
      <c r="AB81" s="44">
        <f t="shared" si="159"/>
        <v>0</v>
      </c>
      <c r="AC81" s="23"/>
      <c r="AD81" s="6"/>
      <c r="AE81" s="7">
        <f t="shared" si="160"/>
        <v>0</v>
      </c>
      <c r="AF81" s="6"/>
      <c r="AG81" s="7">
        <f t="shared" si="161"/>
        <v>0</v>
      </c>
      <c r="AH81" s="6"/>
      <c r="AI81" s="7">
        <f t="shared" si="162"/>
        <v>0</v>
      </c>
      <c r="AJ81" s="6"/>
      <c r="AK81" s="7">
        <f t="shared" si="163"/>
        <v>0</v>
      </c>
      <c r="AL81" s="6"/>
      <c r="AM81" s="7">
        <f t="shared" si="164"/>
        <v>0</v>
      </c>
      <c r="AN81" s="6"/>
      <c r="AO81" s="7">
        <f t="shared" si="165"/>
        <v>0</v>
      </c>
      <c r="AP81" s="30">
        <f t="shared" si="166"/>
        <v>0</v>
      </c>
      <c r="AQ81" s="6"/>
      <c r="AR81" s="6"/>
      <c r="AS81" s="6"/>
      <c r="AT81" s="44">
        <f t="shared" si="167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18"/>
        <v>0</v>
      </c>
      <c r="BB81" s="5">
        <f t="shared" si="119"/>
        <v>0</v>
      </c>
      <c r="BC81" s="5">
        <f t="shared" si="120"/>
        <v>0</v>
      </c>
      <c r="BD81" s="5">
        <f t="shared" si="121"/>
        <v>0</v>
      </c>
      <c r="BE81" s="5">
        <f t="shared" si="122"/>
        <v>0</v>
      </c>
      <c r="BF81" s="5">
        <f t="shared" si="123"/>
        <v>0</v>
      </c>
      <c r="BG81" s="5">
        <f t="shared" si="124"/>
        <v>0</v>
      </c>
      <c r="BH81" s="5">
        <f t="shared" si="125"/>
        <v>0</v>
      </c>
      <c r="BI81" s="5">
        <f t="shared" si="126"/>
        <v>0</v>
      </c>
      <c r="BJ81" s="5">
        <f t="shared" si="127"/>
        <v>0</v>
      </c>
      <c r="BK81" s="5">
        <f t="shared" si="128"/>
        <v>0</v>
      </c>
      <c r="BL81" s="5">
        <f t="shared" si="129"/>
        <v>0</v>
      </c>
      <c r="BM81" s="5">
        <f t="shared" si="130"/>
        <v>0</v>
      </c>
      <c r="BN81" s="5">
        <f t="shared" si="131"/>
        <v>0</v>
      </c>
      <c r="BO81" s="5">
        <f t="shared" si="132"/>
        <v>0</v>
      </c>
      <c r="BP81" s="5">
        <f t="shared" si="133"/>
        <v>0</v>
      </c>
      <c r="BQ81" s="5">
        <f t="shared" si="134"/>
        <v>0</v>
      </c>
      <c r="BR81" s="5">
        <f t="shared" si="135"/>
        <v>0</v>
      </c>
      <c r="BS81" s="5">
        <f t="shared" si="136"/>
        <v>0</v>
      </c>
      <c r="BT81" s="5">
        <f t="shared" si="137"/>
        <v>0</v>
      </c>
      <c r="BU81" s="5">
        <f t="shared" si="138"/>
        <v>0</v>
      </c>
      <c r="BV81" s="5">
        <f t="shared" si="139"/>
        <v>0</v>
      </c>
      <c r="BW81" s="5">
        <f t="shared" si="140"/>
        <v>0</v>
      </c>
      <c r="BX81" s="5">
        <f t="shared" si="141"/>
        <v>0</v>
      </c>
      <c r="BY81" s="5">
        <f t="shared" si="116"/>
        <v>0</v>
      </c>
      <c r="BZ81" s="5">
        <f t="shared" si="142"/>
        <v>0</v>
      </c>
      <c r="CA81" s="5">
        <f t="shared" si="143"/>
        <v>0</v>
      </c>
      <c r="CB81" s="5">
        <f t="shared" si="144"/>
        <v>0</v>
      </c>
      <c r="CC81" s="5">
        <f t="shared" si="145"/>
        <v>0</v>
      </c>
      <c r="CD81" s="5">
        <f t="shared" si="146"/>
        <v>0</v>
      </c>
      <c r="CE81" s="5">
        <f t="shared" si="147"/>
        <v>0</v>
      </c>
      <c r="CF81" s="5">
        <f t="shared" si="148"/>
        <v>0</v>
      </c>
      <c r="CG81" s="5">
        <f t="shared" si="149"/>
        <v>0</v>
      </c>
      <c r="CH81" s="5">
        <f t="shared" si="150"/>
        <v>0</v>
      </c>
      <c r="CI81" s="5">
        <f t="shared" si="151"/>
        <v>0</v>
      </c>
      <c r="CJ81" s="5"/>
      <c r="CK81" s="4">
        <f t="shared" si="117"/>
        <v>0</v>
      </c>
    </row>
    <row r="82" spans="1:89" ht="38" customHeight="1">
      <c r="A82" s="33" t="str">
        <f t="shared" si="115"/>
        <v/>
      </c>
      <c r="B82" s="10"/>
      <c r="C82" s="86"/>
      <c r="D82" s="88"/>
      <c r="E82" s="88"/>
      <c r="F82" s="44">
        <f t="shared" si="152"/>
        <v>0</v>
      </c>
      <c r="G82" s="88"/>
      <c r="H82" s="88"/>
      <c r="I82" s="44">
        <f t="shared" si="153"/>
        <v>0</v>
      </c>
      <c r="J82" s="87"/>
      <c r="K82" s="88"/>
      <c r="L82" s="44">
        <f t="shared" si="154"/>
        <v>0</v>
      </c>
      <c r="M82" s="88"/>
      <c r="N82" s="88"/>
      <c r="O82" s="44">
        <f t="shared" si="155"/>
        <v>0</v>
      </c>
      <c r="P82" s="88"/>
      <c r="Q82" s="88"/>
      <c r="R82" s="44">
        <f t="shared" si="156"/>
        <v>0</v>
      </c>
      <c r="S82" s="88"/>
      <c r="T82" s="88"/>
      <c r="U82" s="44">
        <f t="shared" si="157"/>
        <v>0</v>
      </c>
      <c r="V82" s="88"/>
      <c r="W82" s="88"/>
      <c r="X82" s="44">
        <f t="shared" si="158"/>
        <v>0</v>
      </c>
      <c r="Y82" s="44"/>
      <c r="Z82" s="44"/>
      <c r="AA82" s="44"/>
      <c r="AB82" s="44">
        <f t="shared" si="159"/>
        <v>0</v>
      </c>
      <c r="AC82" s="23"/>
      <c r="AD82" s="6"/>
      <c r="AE82" s="7">
        <f t="shared" si="160"/>
        <v>0</v>
      </c>
      <c r="AF82" s="6"/>
      <c r="AG82" s="7">
        <f t="shared" si="161"/>
        <v>0</v>
      </c>
      <c r="AH82" s="6"/>
      <c r="AI82" s="7">
        <f t="shared" si="162"/>
        <v>0</v>
      </c>
      <c r="AJ82" s="6"/>
      <c r="AK82" s="7">
        <f t="shared" si="163"/>
        <v>0</v>
      </c>
      <c r="AL82" s="6"/>
      <c r="AM82" s="7">
        <f t="shared" si="164"/>
        <v>0</v>
      </c>
      <c r="AN82" s="6"/>
      <c r="AO82" s="7">
        <f t="shared" si="165"/>
        <v>0</v>
      </c>
      <c r="AP82" s="30">
        <f t="shared" si="166"/>
        <v>0</v>
      </c>
      <c r="AQ82" s="6"/>
      <c r="AR82" s="6"/>
      <c r="AS82" s="6"/>
      <c r="AT82" s="44">
        <f t="shared" si="167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18"/>
        <v>0</v>
      </c>
      <c r="BB82" s="5">
        <f t="shared" si="119"/>
        <v>0</v>
      </c>
      <c r="BC82" s="5">
        <f t="shared" si="120"/>
        <v>0</v>
      </c>
      <c r="BD82" s="5">
        <f t="shared" si="121"/>
        <v>0</v>
      </c>
      <c r="BE82" s="5">
        <f t="shared" si="122"/>
        <v>0</v>
      </c>
      <c r="BF82" s="5">
        <f t="shared" si="123"/>
        <v>0</v>
      </c>
      <c r="BG82" s="5">
        <f t="shared" si="124"/>
        <v>0</v>
      </c>
      <c r="BH82" s="5">
        <f t="shared" si="125"/>
        <v>0</v>
      </c>
      <c r="BI82" s="5">
        <f t="shared" si="126"/>
        <v>0</v>
      </c>
      <c r="BJ82" s="5">
        <f t="shared" si="127"/>
        <v>0</v>
      </c>
      <c r="BK82" s="5">
        <f t="shared" si="128"/>
        <v>0</v>
      </c>
      <c r="BL82" s="5">
        <f t="shared" si="129"/>
        <v>0</v>
      </c>
      <c r="BM82" s="5">
        <f t="shared" si="130"/>
        <v>0</v>
      </c>
      <c r="BN82" s="5">
        <f t="shared" si="131"/>
        <v>0</v>
      </c>
      <c r="BO82" s="5">
        <f t="shared" si="132"/>
        <v>0</v>
      </c>
      <c r="BP82" s="5">
        <f t="shared" si="133"/>
        <v>0</v>
      </c>
      <c r="BQ82" s="5">
        <f t="shared" si="134"/>
        <v>0</v>
      </c>
      <c r="BR82" s="5">
        <f t="shared" si="135"/>
        <v>0</v>
      </c>
      <c r="BS82" s="5">
        <f t="shared" si="136"/>
        <v>0</v>
      </c>
      <c r="BT82" s="5">
        <f t="shared" si="137"/>
        <v>0</v>
      </c>
      <c r="BU82" s="5">
        <f t="shared" si="138"/>
        <v>0</v>
      </c>
      <c r="BV82" s="5">
        <f t="shared" si="139"/>
        <v>0</v>
      </c>
      <c r="BW82" s="5">
        <f t="shared" si="140"/>
        <v>0</v>
      </c>
      <c r="BX82" s="5">
        <f t="shared" si="141"/>
        <v>0</v>
      </c>
      <c r="BY82" s="5">
        <f t="shared" si="116"/>
        <v>0</v>
      </c>
      <c r="BZ82" s="5">
        <f t="shared" si="142"/>
        <v>0</v>
      </c>
      <c r="CA82" s="5">
        <f t="shared" si="143"/>
        <v>0</v>
      </c>
      <c r="CB82" s="5">
        <f t="shared" si="144"/>
        <v>0</v>
      </c>
      <c r="CC82" s="5">
        <f t="shared" si="145"/>
        <v>0</v>
      </c>
      <c r="CD82" s="5">
        <f t="shared" si="146"/>
        <v>0</v>
      </c>
      <c r="CE82" s="5">
        <f t="shared" si="147"/>
        <v>0</v>
      </c>
      <c r="CF82" s="5">
        <f t="shared" si="148"/>
        <v>0</v>
      </c>
      <c r="CG82" s="5">
        <f t="shared" si="149"/>
        <v>0</v>
      </c>
      <c r="CH82" s="5">
        <f t="shared" si="150"/>
        <v>0</v>
      </c>
      <c r="CI82" s="5">
        <f t="shared" si="151"/>
        <v>0</v>
      </c>
      <c r="CJ82" s="5"/>
      <c r="CK82" s="4">
        <f t="shared" si="117"/>
        <v>0</v>
      </c>
    </row>
    <row r="83" spans="1:89" ht="38" customHeight="1">
      <c r="A83" s="33" t="str">
        <f t="shared" si="115"/>
        <v/>
      </c>
      <c r="B83" s="10"/>
      <c r="C83" s="86"/>
      <c r="D83" s="88"/>
      <c r="E83" s="88"/>
      <c r="F83" s="44">
        <f t="shared" si="152"/>
        <v>0</v>
      </c>
      <c r="G83" s="88"/>
      <c r="H83" s="88"/>
      <c r="I83" s="44">
        <f t="shared" si="153"/>
        <v>0</v>
      </c>
      <c r="J83" s="87"/>
      <c r="K83" s="88"/>
      <c r="L83" s="44">
        <f t="shared" si="154"/>
        <v>0</v>
      </c>
      <c r="M83" s="88"/>
      <c r="N83" s="88"/>
      <c r="O83" s="44">
        <f t="shared" si="155"/>
        <v>0</v>
      </c>
      <c r="P83" s="88"/>
      <c r="Q83" s="88"/>
      <c r="R83" s="44">
        <f t="shared" si="156"/>
        <v>0</v>
      </c>
      <c r="S83" s="88"/>
      <c r="T83" s="88"/>
      <c r="U83" s="44">
        <f t="shared" si="157"/>
        <v>0</v>
      </c>
      <c r="V83" s="88"/>
      <c r="W83" s="88"/>
      <c r="X83" s="44">
        <f t="shared" si="158"/>
        <v>0</v>
      </c>
      <c r="Y83" s="44"/>
      <c r="Z83" s="44"/>
      <c r="AA83" s="44"/>
      <c r="AB83" s="44">
        <f t="shared" si="159"/>
        <v>0</v>
      </c>
      <c r="AC83" s="23"/>
      <c r="AD83" s="6"/>
      <c r="AE83" s="7">
        <f t="shared" si="160"/>
        <v>0</v>
      </c>
      <c r="AF83" s="6"/>
      <c r="AG83" s="7">
        <f t="shared" si="161"/>
        <v>0</v>
      </c>
      <c r="AH83" s="6"/>
      <c r="AI83" s="7">
        <f t="shared" si="162"/>
        <v>0</v>
      </c>
      <c r="AJ83" s="6"/>
      <c r="AK83" s="7">
        <f t="shared" si="163"/>
        <v>0</v>
      </c>
      <c r="AL83" s="6"/>
      <c r="AM83" s="7">
        <f t="shared" si="164"/>
        <v>0</v>
      </c>
      <c r="AN83" s="6"/>
      <c r="AO83" s="7">
        <f t="shared" si="165"/>
        <v>0</v>
      </c>
      <c r="AP83" s="30">
        <f t="shared" si="166"/>
        <v>0</v>
      </c>
      <c r="AQ83" s="6"/>
      <c r="AR83" s="6"/>
      <c r="AS83" s="6"/>
      <c r="AT83" s="44">
        <f t="shared" si="167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18"/>
        <v>0</v>
      </c>
      <c r="BB83" s="5">
        <f t="shared" si="119"/>
        <v>0</v>
      </c>
      <c r="BC83" s="5">
        <f t="shared" si="120"/>
        <v>0</v>
      </c>
      <c r="BD83" s="5">
        <f t="shared" si="121"/>
        <v>0</v>
      </c>
      <c r="BE83" s="5">
        <f t="shared" si="122"/>
        <v>0</v>
      </c>
      <c r="BF83" s="5">
        <f t="shared" si="123"/>
        <v>0</v>
      </c>
      <c r="BG83" s="5">
        <f t="shared" si="124"/>
        <v>0</v>
      </c>
      <c r="BH83" s="5">
        <f t="shared" si="125"/>
        <v>0</v>
      </c>
      <c r="BI83" s="5">
        <f t="shared" si="126"/>
        <v>0</v>
      </c>
      <c r="BJ83" s="5">
        <f t="shared" si="127"/>
        <v>0</v>
      </c>
      <c r="BK83" s="5">
        <f t="shared" si="128"/>
        <v>0</v>
      </c>
      <c r="BL83" s="5">
        <f t="shared" si="129"/>
        <v>0</v>
      </c>
      <c r="BM83" s="5">
        <f t="shared" si="130"/>
        <v>0</v>
      </c>
      <c r="BN83" s="5">
        <f t="shared" si="131"/>
        <v>0</v>
      </c>
      <c r="BO83" s="5">
        <f t="shared" si="132"/>
        <v>0</v>
      </c>
      <c r="BP83" s="5">
        <f t="shared" si="133"/>
        <v>0</v>
      </c>
      <c r="BQ83" s="5">
        <f t="shared" si="134"/>
        <v>0</v>
      </c>
      <c r="BR83" s="5">
        <f t="shared" si="135"/>
        <v>0</v>
      </c>
      <c r="BS83" s="5">
        <f t="shared" si="136"/>
        <v>0</v>
      </c>
      <c r="BT83" s="5">
        <f t="shared" si="137"/>
        <v>0</v>
      </c>
      <c r="BU83" s="5">
        <f t="shared" si="138"/>
        <v>0</v>
      </c>
      <c r="BV83" s="5">
        <f t="shared" si="139"/>
        <v>0</v>
      </c>
      <c r="BW83" s="5">
        <f t="shared" si="140"/>
        <v>0</v>
      </c>
      <c r="BX83" s="5">
        <f t="shared" si="141"/>
        <v>0</v>
      </c>
      <c r="BY83" s="5">
        <f t="shared" si="116"/>
        <v>0</v>
      </c>
      <c r="BZ83" s="5">
        <f t="shared" si="142"/>
        <v>0</v>
      </c>
      <c r="CA83" s="5">
        <f t="shared" si="143"/>
        <v>0</v>
      </c>
      <c r="CB83" s="5">
        <f t="shared" si="144"/>
        <v>0</v>
      </c>
      <c r="CC83" s="5">
        <f t="shared" si="145"/>
        <v>0</v>
      </c>
      <c r="CD83" s="5">
        <f t="shared" si="146"/>
        <v>0</v>
      </c>
      <c r="CE83" s="5">
        <f t="shared" si="147"/>
        <v>0</v>
      </c>
      <c r="CF83" s="5">
        <f t="shared" si="148"/>
        <v>0</v>
      </c>
      <c r="CG83" s="5">
        <f t="shared" si="149"/>
        <v>0</v>
      </c>
      <c r="CH83" s="5">
        <f t="shared" si="150"/>
        <v>0</v>
      </c>
      <c r="CI83" s="5">
        <f t="shared" si="151"/>
        <v>0</v>
      </c>
      <c r="CJ83" s="5"/>
      <c r="CK83" s="4">
        <f t="shared" si="117"/>
        <v>0</v>
      </c>
    </row>
    <row r="84" spans="1:89" ht="38" customHeight="1">
      <c r="A84" s="33" t="str">
        <f t="shared" si="115"/>
        <v/>
      </c>
      <c r="B84" s="10"/>
      <c r="C84" s="86"/>
      <c r="D84" s="88"/>
      <c r="E84" s="88"/>
      <c r="F84" s="44">
        <f t="shared" si="152"/>
        <v>0</v>
      </c>
      <c r="G84" s="88"/>
      <c r="H84" s="88"/>
      <c r="I84" s="44">
        <f t="shared" si="153"/>
        <v>0</v>
      </c>
      <c r="J84" s="87"/>
      <c r="K84" s="88"/>
      <c r="L84" s="44">
        <f t="shared" si="154"/>
        <v>0</v>
      </c>
      <c r="M84" s="88"/>
      <c r="N84" s="88"/>
      <c r="O84" s="44">
        <f t="shared" si="155"/>
        <v>0</v>
      </c>
      <c r="P84" s="88"/>
      <c r="Q84" s="88"/>
      <c r="R84" s="44">
        <f t="shared" si="156"/>
        <v>0</v>
      </c>
      <c r="S84" s="88"/>
      <c r="T84" s="88"/>
      <c r="U84" s="44">
        <f t="shared" si="157"/>
        <v>0</v>
      </c>
      <c r="V84" s="88"/>
      <c r="W84" s="88"/>
      <c r="X84" s="44">
        <f t="shared" si="158"/>
        <v>0</v>
      </c>
      <c r="Y84" s="44"/>
      <c r="Z84" s="44"/>
      <c r="AA84" s="44"/>
      <c r="AB84" s="44">
        <f t="shared" si="159"/>
        <v>0</v>
      </c>
      <c r="AC84" s="23"/>
      <c r="AD84" s="6"/>
      <c r="AE84" s="7">
        <f t="shared" si="160"/>
        <v>0</v>
      </c>
      <c r="AF84" s="6"/>
      <c r="AG84" s="7">
        <f t="shared" si="161"/>
        <v>0</v>
      </c>
      <c r="AH84" s="6"/>
      <c r="AI84" s="7">
        <f t="shared" si="162"/>
        <v>0</v>
      </c>
      <c r="AJ84" s="6"/>
      <c r="AK84" s="7">
        <f t="shared" si="163"/>
        <v>0</v>
      </c>
      <c r="AL84" s="6"/>
      <c r="AM84" s="7">
        <f t="shared" si="164"/>
        <v>0</v>
      </c>
      <c r="AN84" s="6"/>
      <c r="AO84" s="7">
        <f t="shared" si="165"/>
        <v>0</v>
      </c>
      <c r="AP84" s="30">
        <f t="shared" si="166"/>
        <v>0</v>
      </c>
      <c r="AQ84" s="6"/>
      <c r="AR84" s="6"/>
      <c r="AS84" s="6"/>
      <c r="AT84" s="44">
        <f t="shared" si="167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18"/>
        <v>0</v>
      </c>
      <c r="BB84" s="5">
        <f t="shared" si="119"/>
        <v>0</v>
      </c>
      <c r="BC84" s="5">
        <f t="shared" si="120"/>
        <v>0</v>
      </c>
      <c r="BD84" s="5">
        <f t="shared" si="121"/>
        <v>0</v>
      </c>
      <c r="BE84" s="5">
        <f t="shared" si="122"/>
        <v>0</v>
      </c>
      <c r="BF84" s="5">
        <f t="shared" si="123"/>
        <v>0</v>
      </c>
      <c r="BG84" s="5">
        <f t="shared" si="124"/>
        <v>0</v>
      </c>
      <c r="BH84" s="5">
        <f t="shared" si="125"/>
        <v>0</v>
      </c>
      <c r="BI84" s="5">
        <f t="shared" si="126"/>
        <v>0</v>
      </c>
      <c r="BJ84" s="5">
        <f t="shared" si="127"/>
        <v>0</v>
      </c>
      <c r="BK84" s="5">
        <f t="shared" si="128"/>
        <v>0</v>
      </c>
      <c r="BL84" s="5">
        <f t="shared" si="129"/>
        <v>0</v>
      </c>
      <c r="BM84" s="5">
        <f t="shared" si="130"/>
        <v>0</v>
      </c>
      <c r="BN84" s="5">
        <f t="shared" si="131"/>
        <v>0</v>
      </c>
      <c r="BO84" s="5">
        <f t="shared" si="132"/>
        <v>0</v>
      </c>
      <c r="BP84" s="5">
        <f t="shared" si="133"/>
        <v>0</v>
      </c>
      <c r="BQ84" s="5">
        <f t="shared" si="134"/>
        <v>0</v>
      </c>
      <c r="BR84" s="5">
        <f t="shared" si="135"/>
        <v>0</v>
      </c>
      <c r="BS84" s="5">
        <f t="shared" si="136"/>
        <v>0</v>
      </c>
      <c r="BT84" s="5">
        <f t="shared" si="137"/>
        <v>0</v>
      </c>
      <c r="BU84" s="5">
        <f t="shared" si="138"/>
        <v>0</v>
      </c>
      <c r="BV84" s="5">
        <f t="shared" si="139"/>
        <v>0</v>
      </c>
      <c r="BW84" s="5">
        <f t="shared" si="140"/>
        <v>0</v>
      </c>
      <c r="BX84" s="5">
        <f t="shared" si="141"/>
        <v>0</v>
      </c>
      <c r="BY84" s="5">
        <f t="shared" si="116"/>
        <v>0</v>
      </c>
      <c r="BZ84" s="5">
        <f t="shared" si="142"/>
        <v>0</v>
      </c>
      <c r="CA84" s="5">
        <f t="shared" si="143"/>
        <v>0</v>
      </c>
      <c r="CB84" s="5">
        <f t="shared" si="144"/>
        <v>0</v>
      </c>
      <c r="CC84" s="5">
        <f t="shared" si="145"/>
        <v>0</v>
      </c>
      <c r="CD84" s="5">
        <f t="shared" si="146"/>
        <v>0</v>
      </c>
      <c r="CE84" s="5">
        <f t="shared" si="147"/>
        <v>0</v>
      </c>
      <c r="CF84" s="5">
        <f t="shared" si="148"/>
        <v>0</v>
      </c>
      <c r="CG84" s="5">
        <f t="shared" si="149"/>
        <v>0</v>
      </c>
      <c r="CH84" s="5">
        <f t="shared" si="150"/>
        <v>0</v>
      </c>
      <c r="CI84" s="5">
        <f t="shared" si="151"/>
        <v>0</v>
      </c>
      <c r="CJ84" s="5"/>
      <c r="CK84" s="4">
        <f t="shared" si="117"/>
        <v>0</v>
      </c>
    </row>
    <row r="85" spans="1:89" ht="38" customHeight="1">
      <c r="A85" s="33" t="str">
        <f t="shared" si="115"/>
        <v/>
      </c>
      <c r="B85" s="10"/>
      <c r="C85" s="86"/>
      <c r="D85" s="88"/>
      <c r="E85" s="88"/>
      <c r="F85" s="44">
        <f t="shared" si="152"/>
        <v>0</v>
      </c>
      <c r="G85" s="88"/>
      <c r="H85" s="88"/>
      <c r="I85" s="44">
        <f t="shared" si="153"/>
        <v>0</v>
      </c>
      <c r="J85" s="87"/>
      <c r="K85" s="88"/>
      <c r="L85" s="44">
        <f t="shared" si="154"/>
        <v>0</v>
      </c>
      <c r="M85" s="88"/>
      <c r="N85" s="88"/>
      <c r="O85" s="44">
        <f t="shared" si="155"/>
        <v>0</v>
      </c>
      <c r="P85" s="88"/>
      <c r="Q85" s="88"/>
      <c r="R85" s="44">
        <f t="shared" si="156"/>
        <v>0</v>
      </c>
      <c r="S85" s="88"/>
      <c r="T85" s="88"/>
      <c r="U85" s="44">
        <f t="shared" si="157"/>
        <v>0</v>
      </c>
      <c r="V85" s="88"/>
      <c r="W85" s="88"/>
      <c r="X85" s="44">
        <f t="shared" si="158"/>
        <v>0</v>
      </c>
      <c r="Y85" s="44"/>
      <c r="Z85" s="44"/>
      <c r="AA85" s="44"/>
      <c r="AB85" s="44">
        <f t="shared" si="159"/>
        <v>0</v>
      </c>
      <c r="AC85" s="23"/>
      <c r="AD85" s="6"/>
      <c r="AE85" s="7">
        <f t="shared" si="160"/>
        <v>0</v>
      </c>
      <c r="AF85" s="6"/>
      <c r="AG85" s="7">
        <f t="shared" si="161"/>
        <v>0</v>
      </c>
      <c r="AH85" s="6"/>
      <c r="AI85" s="7">
        <f t="shared" si="162"/>
        <v>0</v>
      </c>
      <c r="AJ85" s="6"/>
      <c r="AK85" s="7">
        <f t="shared" si="163"/>
        <v>0</v>
      </c>
      <c r="AL85" s="6"/>
      <c r="AM85" s="7">
        <f t="shared" si="164"/>
        <v>0</v>
      </c>
      <c r="AN85" s="6"/>
      <c r="AO85" s="7">
        <f t="shared" si="165"/>
        <v>0</v>
      </c>
      <c r="AP85" s="30">
        <f t="shared" si="166"/>
        <v>0</v>
      </c>
      <c r="AQ85" s="6"/>
      <c r="AR85" s="6"/>
      <c r="AS85" s="6"/>
      <c r="AT85" s="44">
        <f t="shared" si="167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18"/>
        <v>0</v>
      </c>
      <c r="BB85" s="5">
        <f t="shared" si="119"/>
        <v>0</v>
      </c>
      <c r="BC85" s="5">
        <f t="shared" si="120"/>
        <v>0</v>
      </c>
      <c r="BD85" s="5">
        <f t="shared" si="121"/>
        <v>0</v>
      </c>
      <c r="BE85" s="5">
        <f t="shared" si="122"/>
        <v>0</v>
      </c>
      <c r="BF85" s="5">
        <f t="shared" si="123"/>
        <v>0</v>
      </c>
      <c r="BG85" s="5">
        <f t="shared" si="124"/>
        <v>0</v>
      </c>
      <c r="BH85" s="5">
        <f t="shared" si="125"/>
        <v>0</v>
      </c>
      <c r="BI85" s="5">
        <f t="shared" si="126"/>
        <v>0</v>
      </c>
      <c r="BJ85" s="5">
        <f t="shared" si="127"/>
        <v>0</v>
      </c>
      <c r="BK85" s="5">
        <f t="shared" si="128"/>
        <v>0</v>
      </c>
      <c r="BL85" s="5">
        <f t="shared" si="129"/>
        <v>0</v>
      </c>
      <c r="BM85" s="5">
        <f t="shared" si="130"/>
        <v>0</v>
      </c>
      <c r="BN85" s="5">
        <f t="shared" si="131"/>
        <v>0</v>
      </c>
      <c r="BO85" s="5">
        <f t="shared" si="132"/>
        <v>0</v>
      </c>
      <c r="BP85" s="5">
        <f t="shared" si="133"/>
        <v>0</v>
      </c>
      <c r="BQ85" s="5">
        <f t="shared" si="134"/>
        <v>0</v>
      </c>
      <c r="BR85" s="5">
        <f t="shared" si="135"/>
        <v>0</v>
      </c>
      <c r="BS85" s="5">
        <f t="shared" si="136"/>
        <v>0</v>
      </c>
      <c r="BT85" s="5">
        <f t="shared" si="137"/>
        <v>0</v>
      </c>
      <c r="BU85" s="5">
        <f t="shared" si="138"/>
        <v>0</v>
      </c>
      <c r="BV85" s="5">
        <f t="shared" si="139"/>
        <v>0</v>
      </c>
      <c r="BW85" s="5">
        <f t="shared" si="140"/>
        <v>0</v>
      </c>
      <c r="BX85" s="5">
        <f t="shared" si="141"/>
        <v>0</v>
      </c>
      <c r="BY85" s="5">
        <f t="shared" si="116"/>
        <v>0</v>
      </c>
      <c r="BZ85" s="5">
        <f t="shared" si="142"/>
        <v>0</v>
      </c>
      <c r="CA85" s="5">
        <f t="shared" si="143"/>
        <v>0</v>
      </c>
      <c r="CB85" s="5">
        <f t="shared" si="144"/>
        <v>0</v>
      </c>
      <c r="CC85" s="5">
        <f t="shared" si="145"/>
        <v>0</v>
      </c>
      <c r="CD85" s="5">
        <f t="shared" si="146"/>
        <v>0</v>
      </c>
      <c r="CE85" s="5">
        <f t="shared" si="147"/>
        <v>0</v>
      </c>
      <c r="CF85" s="5">
        <f t="shared" si="148"/>
        <v>0</v>
      </c>
      <c r="CG85" s="5">
        <f t="shared" si="149"/>
        <v>0</v>
      </c>
      <c r="CH85" s="5">
        <f t="shared" si="150"/>
        <v>0</v>
      </c>
      <c r="CI85" s="5">
        <f t="shared" si="151"/>
        <v>0</v>
      </c>
      <c r="CJ85" s="5"/>
      <c r="CK85" s="4">
        <f t="shared" si="117"/>
        <v>0</v>
      </c>
    </row>
    <row r="86" spans="1:89" ht="38" customHeight="1">
      <c r="A86" s="33" t="str">
        <f t="shared" si="115"/>
        <v/>
      </c>
      <c r="B86" s="10"/>
      <c r="C86" s="86"/>
      <c r="D86" s="88"/>
      <c r="E86" s="88"/>
      <c r="F86" s="44">
        <f t="shared" si="152"/>
        <v>0</v>
      </c>
      <c r="G86" s="88"/>
      <c r="H86" s="88"/>
      <c r="I86" s="44">
        <f t="shared" si="153"/>
        <v>0</v>
      </c>
      <c r="J86" s="87"/>
      <c r="K86" s="88"/>
      <c r="L86" s="44">
        <f t="shared" si="154"/>
        <v>0</v>
      </c>
      <c r="M86" s="88"/>
      <c r="N86" s="88"/>
      <c r="O86" s="44">
        <f t="shared" si="155"/>
        <v>0</v>
      </c>
      <c r="P86" s="88"/>
      <c r="Q86" s="88"/>
      <c r="R86" s="44">
        <f t="shared" si="156"/>
        <v>0</v>
      </c>
      <c r="S86" s="88"/>
      <c r="T86" s="88"/>
      <c r="U86" s="44">
        <f t="shared" si="157"/>
        <v>0</v>
      </c>
      <c r="V86" s="88"/>
      <c r="W86" s="88"/>
      <c r="X86" s="44">
        <f t="shared" si="158"/>
        <v>0</v>
      </c>
      <c r="Y86" s="44"/>
      <c r="Z86" s="44"/>
      <c r="AA86" s="44"/>
      <c r="AB86" s="44">
        <f t="shared" si="159"/>
        <v>0</v>
      </c>
      <c r="AC86" s="23"/>
      <c r="AD86" s="6"/>
      <c r="AE86" s="7">
        <f t="shared" si="160"/>
        <v>0</v>
      </c>
      <c r="AF86" s="6"/>
      <c r="AG86" s="7">
        <f t="shared" si="161"/>
        <v>0</v>
      </c>
      <c r="AH86" s="6"/>
      <c r="AI86" s="7">
        <f t="shared" si="162"/>
        <v>0</v>
      </c>
      <c r="AJ86" s="6"/>
      <c r="AK86" s="7">
        <f t="shared" si="163"/>
        <v>0</v>
      </c>
      <c r="AL86" s="6"/>
      <c r="AM86" s="7">
        <f t="shared" si="164"/>
        <v>0</v>
      </c>
      <c r="AN86" s="6"/>
      <c r="AO86" s="7">
        <f t="shared" si="165"/>
        <v>0</v>
      </c>
      <c r="AP86" s="30">
        <f t="shared" si="166"/>
        <v>0</v>
      </c>
      <c r="AQ86" s="6"/>
      <c r="AR86" s="6"/>
      <c r="AS86" s="6"/>
      <c r="AT86" s="44">
        <f t="shared" si="167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18"/>
        <v>0</v>
      </c>
      <c r="BB86" s="5">
        <f t="shared" si="119"/>
        <v>0</v>
      </c>
      <c r="BC86" s="5">
        <f t="shared" si="120"/>
        <v>0</v>
      </c>
      <c r="BD86" s="5">
        <f t="shared" si="121"/>
        <v>0</v>
      </c>
      <c r="BE86" s="5">
        <f t="shared" si="122"/>
        <v>0</v>
      </c>
      <c r="BF86" s="5">
        <f t="shared" si="123"/>
        <v>0</v>
      </c>
      <c r="BG86" s="5">
        <f t="shared" si="124"/>
        <v>0</v>
      </c>
      <c r="BH86" s="5">
        <f t="shared" si="125"/>
        <v>0</v>
      </c>
      <c r="BI86" s="5">
        <f t="shared" si="126"/>
        <v>0</v>
      </c>
      <c r="BJ86" s="5">
        <f t="shared" si="127"/>
        <v>0</v>
      </c>
      <c r="BK86" s="5">
        <f t="shared" si="128"/>
        <v>0</v>
      </c>
      <c r="BL86" s="5">
        <f t="shared" si="129"/>
        <v>0</v>
      </c>
      <c r="BM86" s="5">
        <f t="shared" si="130"/>
        <v>0</v>
      </c>
      <c r="BN86" s="5">
        <f t="shared" si="131"/>
        <v>0</v>
      </c>
      <c r="BO86" s="5">
        <f t="shared" si="132"/>
        <v>0</v>
      </c>
      <c r="BP86" s="5">
        <f t="shared" si="133"/>
        <v>0</v>
      </c>
      <c r="BQ86" s="5">
        <f t="shared" si="134"/>
        <v>0</v>
      </c>
      <c r="BR86" s="5">
        <f t="shared" si="135"/>
        <v>0</v>
      </c>
      <c r="BS86" s="5">
        <f t="shared" si="136"/>
        <v>0</v>
      </c>
      <c r="BT86" s="5">
        <f t="shared" si="137"/>
        <v>0</v>
      </c>
      <c r="BU86" s="5">
        <f t="shared" si="138"/>
        <v>0</v>
      </c>
      <c r="BV86" s="5">
        <f t="shared" si="139"/>
        <v>0</v>
      </c>
      <c r="BW86" s="5">
        <f t="shared" si="140"/>
        <v>0</v>
      </c>
      <c r="BX86" s="5">
        <f t="shared" si="141"/>
        <v>0</v>
      </c>
      <c r="BY86" s="5">
        <f t="shared" si="116"/>
        <v>0</v>
      </c>
      <c r="BZ86" s="5">
        <f t="shared" si="142"/>
        <v>0</v>
      </c>
      <c r="CA86" s="5">
        <f t="shared" si="143"/>
        <v>0</v>
      </c>
      <c r="CB86" s="5">
        <f t="shared" si="144"/>
        <v>0</v>
      </c>
      <c r="CC86" s="5">
        <f t="shared" si="145"/>
        <v>0</v>
      </c>
      <c r="CD86" s="5">
        <f t="shared" si="146"/>
        <v>0</v>
      </c>
      <c r="CE86" s="5">
        <f t="shared" si="147"/>
        <v>0</v>
      </c>
      <c r="CF86" s="5">
        <f t="shared" si="148"/>
        <v>0</v>
      </c>
      <c r="CG86" s="5">
        <f t="shared" si="149"/>
        <v>0</v>
      </c>
      <c r="CH86" s="5">
        <f t="shared" si="150"/>
        <v>0</v>
      </c>
      <c r="CI86" s="5">
        <f t="shared" si="151"/>
        <v>0</v>
      </c>
      <c r="CJ86" s="5"/>
      <c r="CK86" s="4">
        <f t="shared" si="117"/>
        <v>0</v>
      </c>
    </row>
    <row r="87" spans="1:89" ht="38" customHeight="1">
      <c r="A87" s="33" t="str">
        <f t="shared" si="115"/>
        <v/>
      </c>
      <c r="B87" s="10"/>
      <c r="C87" s="86"/>
      <c r="D87" s="88"/>
      <c r="E87" s="88"/>
      <c r="F87" s="44">
        <f t="shared" si="152"/>
        <v>0</v>
      </c>
      <c r="G87" s="88"/>
      <c r="H87" s="88"/>
      <c r="I87" s="44">
        <f t="shared" si="153"/>
        <v>0</v>
      </c>
      <c r="J87" s="87"/>
      <c r="K87" s="88"/>
      <c r="L87" s="44">
        <f t="shared" si="154"/>
        <v>0</v>
      </c>
      <c r="M87" s="88"/>
      <c r="N87" s="88"/>
      <c r="O87" s="44">
        <f t="shared" si="155"/>
        <v>0</v>
      </c>
      <c r="P87" s="88"/>
      <c r="Q87" s="88"/>
      <c r="R87" s="44">
        <f t="shared" si="156"/>
        <v>0</v>
      </c>
      <c r="S87" s="88"/>
      <c r="T87" s="88"/>
      <c r="U87" s="44">
        <f t="shared" si="157"/>
        <v>0</v>
      </c>
      <c r="V87" s="88"/>
      <c r="W87" s="88"/>
      <c r="X87" s="44">
        <f t="shared" si="158"/>
        <v>0</v>
      </c>
      <c r="Y87" s="44"/>
      <c r="Z87" s="44"/>
      <c r="AA87" s="44"/>
      <c r="AB87" s="44">
        <f t="shared" si="159"/>
        <v>0</v>
      </c>
      <c r="AC87" s="23"/>
      <c r="AD87" s="6"/>
      <c r="AE87" s="7">
        <f t="shared" si="160"/>
        <v>0</v>
      </c>
      <c r="AF87" s="6"/>
      <c r="AG87" s="7">
        <f t="shared" si="161"/>
        <v>0</v>
      </c>
      <c r="AH87" s="6"/>
      <c r="AI87" s="7">
        <f t="shared" si="162"/>
        <v>0</v>
      </c>
      <c r="AJ87" s="6"/>
      <c r="AK87" s="7">
        <f t="shared" si="163"/>
        <v>0</v>
      </c>
      <c r="AL87" s="6"/>
      <c r="AM87" s="7">
        <f t="shared" si="164"/>
        <v>0</v>
      </c>
      <c r="AN87" s="6"/>
      <c r="AO87" s="7">
        <f t="shared" si="165"/>
        <v>0</v>
      </c>
      <c r="AP87" s="30">
        <f t="shared" si="166"/>
        <v>0</v>
      </c>
      <c r="AQ87" s="6"/>
      <c r="AR87" s="6"/>
      <c r="AS87" s="6"/>
      <c r="AT87" s="44">
        <f t="shared" si="167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18"/>
        <v>0</v>
      </c>
      <c r="BB87" s="5">
        <f t="shared" si="119"/>
        <v>0</v>
      </c>
      <c r="BC87" s="5">
        <f t="shared" si="120"/>
        <v>0</v>
      </c>
      <c r="BD87" s="5">
        <f t="shared" si="121"/>
        <v>0</v>
      </c>
      <c r="BE87" s="5">
        <f t="shared" si="122"/>
        <v>0</v>
      </c>
      <c r="BF87" s="5">
        <f t="shared" si="123"/>
        <v>0</v>
      </c>
      <c r="BG87" s="5">
        <f t="shared" si="124"/>
        <v>0</v>
      </c>
      <c r="BH87" s="5">
        <f t="shared" si="125"/>
        <v>0</v>
      </c>
      <c r="BI87" s="5">
        <f t="shared" si="126"/>
        <v>0</v>
      </c>
      <c r="BJ87" s="5">
        <f t="shared" si="127"/>
        <v>0</v>
      </c>
      <c r="BK87" s="5">
        <f t="shared" si="128"/>
        <v>0</v>
      </c>
      <c r="BL87" s="5">
        <f t="shared" si="129"/>
        <v>0</v>
      </c>
      <c r="BM87" s="5">
        <f t="shared" si="130"/>
        <v>0</v>
      </c>
      <c r="BN87" s="5">
        <f t="shared" si="131"/>
        <v>0</v>
      </c>
      <c r="BO87" s="5">
        <f t="shared" si="132"/>
        <v>0</v>
      </c>
      <c r="BP87" s="5">
        <f t="shared" si="133"/>
        <v>0</v>
      </c>
      <c r="BQ87" s="5">
        <f t="shared" si="134"/>
        <v>0</v>
      </c>
      <c r="BR87" s="5">
        <f t="shared" si="135"/>
        <v>0</v>
      </c>
      <c r="BS87" s="5">
        <f t="shared" si="136"/>
        <v>0</v>
      </c>
      <c r="BT87" s="5">
        <f t="shared" si="137"/>
        <v>0</v>
      </c>
      <c r="BU87" s="5">
        <f t="shared" si="138"/>
        <v>0</v>
      </c>
      <c r="BV87" s="5">
        <f t="shared" si="139"/>
        <v>0</v>
      </c>
      <c r="BW87" s="5">
        <f t="shared" si="140"/>
        <v>0</v>
      </c>
      <c r="BX87" s="5">
        <f t="shared" si="141"/>
        <v>0</v>
      </c>
      <c r="BY87" s="5">
        <f t="shared" si="116"/>
        <v>0</v>
      </c>
      <c r="BZ87" s="5">
        <f t="shared" si="142"/>
        <v>0</v>
      </c>
      <c r="CA87" s="5">
        <f t="shared" si="143"/>
        <v>0</v>
      </c>
      <c r="CB87" s="5">
        <f t="shared" si="144"/>
        <v>0</v>
      </c>
      <c r="CC87" s="5">
        <f t="shared" si="145"/>
        <v>0</v>
      </c>
      <c r="CD87" s="5">
        <f t="shared" si="146"/>
        <v>0</v>
      </c>
      <c r="CE87" s="5">
        <f t="shared" si="147"/>
        <v>0</v>
      </c>
      <c r="CF87" s="5">
        <f t="shared" si="148"/>
        <v>0</v>
      </c>
      <c r="CG87" s="5">
        <f t="shared" si="149"/>
        <v>0</v>
      </c>
      <c r="CH87" s="5">
        <f t="shared" si="150"/>
        <v>0</v>
      </c>
      <c r="CI87" s="5">
        <f t="shared" si="151"/>
        <v>0</v>
      </c>
      <c r="CJ87" s="5"/>
      <c r="CK87" s="4">
        <f t="shared" si="117"/>
        <v>0</v>
      </c>
    </row>
    <row r="88" spans="1:89" ht="38" customHeight="1">
      <c r="A88" s="33" t="str">
        <f t="shared" si="115"/>
        <v/>
      </c>
      <c r="B88" s="10"/>
      <c r="C88" s="86"/>
      <c r="D88" s="88"/>
      <c r="E88" s="88"/>
      <c r="F88" s="44">
        <f t="shared" si="152"/>
        <v>0</v>
      </c>
      <c r="G88" s="88"/>
      <c r="H88" s="88"/>
      <c r="I88" s="44">
        <f t="shared" si="153"/>
        <v>0</v>
      </c>
      <c r="J88" s="87"/>
      <c r="K88" s="88"/>
      <c r="L88" s="44">
        <f t="shared" si="154"/>
        <v>0</v>
      </c>
      <c r="M88" s="88"/>
      <c r="N88" s="88"/>
      <c r="O88" s="44">
        <f t="shared" si="155"/>
        <v>0</v>
      </c>
      <c r="P88" s="88"/>
      <c r="Q88" s="88"/>
      <c r="R88" s="44">
        <f t="shared" si="156"/>
        <v>0</v>
      </c>
      <c r="S88" s="88"/>
      <c r="T88" s="88"/>
      <c r="U88" s="44">
        <f t="shared" si="157"/>
        <v>0</v>
      </c>
      <c r="V88" s="88"/>
      <c r="W88" s="88"/>
      <c r="X88" s="44">
        <f t="shared" si="158"/>
        <v>0</v>
      </c>
      <c r="Y88" s="44"/>
      <c r="Z88" s="44"/>
      <c r="AA88" s="44"/>
      <c r="AB88" s="44">
        <f t="shared" si="159"/>
        <v>0</v>
      </c>
      <c r="AC88" s="23"/>
      <c r="AD88" s="6"/>
      <c r="AE88" s="7">
        <f t="shared" si="160"/>
        <v>0</v>
      </c>
      <c r="AF88" s="6"/>
      <c r="AG88" s="7">
        <f t="shared" si="161"/>
        <v>0</v>
      </c>
      <c r="AH88" s="6"/>
      <c r="AI88" s="7">
        <f t="shared" si="162"/>
        <v>0</v>
      </c>
      <c r="AJ88" s="6"/>
      <c r="AK88" s="7">
        <f t="shared" si="163"/>
        <v>0</v>
      </c>
      <c r="AL88" s="6"/>
      <c r="AM88" s="7">
        <f t="shared" si="164"/>
        <v>0</v>
      </c>
      <c r="AN88" s="6"/>
      <c r="AO88" s="7">
        <f t="shared" si="165"/>
        <v>0</v>
      </c>
      <c r="AP88" s="30">
        <f t="shared" si="166"/>
        <v>0</v>
      </c>
      <c r="AQ88" s="6"/>
      <c r="AR88" s="6"/>
      <c r="AS88" s="6"/>
      <c r="AT88" s="44">
        <f t="shared" si="167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18"/>
        <v>0</v>
      </c>
      <c r="BB88" s="5">
        <f t="shared" si="119"/>
        <v>0</v>
      </c>
      <c r="BC88" s="5">
        <f t="shared" si="120"/>
        <v>0</v>
      </c>
      <c r="BD88" s="5">
        <f t="shared" si="121"/>
        <v>0</v>
      </c>
      <c r="BE88" s="5">
        <f t="shared" si="122"/>
        <v>0</v>
      </c>
      <c r="BF88" s="5">
        <f t="shared" si="123"/>
        <v>0</v>
      </c>
      <c r="BG88" s="5">
        <f t="shared" si="124"/>
        <v>0</v>
      </c>
      <c r="BH88" s="5">
        <f t="shared" si="125"/>
        <v>0</v>
      </c>
      <c r="BI88" s="5">
        <f t="shared" si="126"/>
        <v>0</v>
      </c>
      <c r="BJ88" s="5">
        <f t="shared" si="127"/>
        <v>0</v>
      </c>
      <c r="BK88" s="5">
        <f t="shared" si="128"/>
        <v>0</v>
      </c>
      <c r="BL88" s="5">
        <f t="shared" si="129"/>
        <v>0</v>
      </c>
      <c r="BM88" s="5">
        <f t="shared" si="130"/>
        <v>0</v>
      </c>
      <c r="BN88" s="5">
        <f t="shared" si="131"/>
        <v>0</v>
      </c>
      <c r="BO88" s="5">
        <f t="shared" si="132"/>
        <v>0</v>
      </c>
      <c r="BP88" s="5">
        <f t="shared" si="133"/>
        <v>0</v>
      </c>
      <c r="BQ88" s="5">
        <f t="shared" si="134"/>
        <v>0</v>
      </c>
      <c r="BR88" s="5">
        <f t="shared" si="135"/>
        <v>0</v>
      </c>
      <c r="BS88" s="5">
        <f t="shared" si="136"/>
        <v>0</v>
      </c>
      <c r="BT88" s="5">
        <f t="shared" si="137"/>
        <v>0</v>
      </c>
      <c r="BU88" s="5">
        <f t="shared" si="138"/>
        <v>0</v>
      </c>
      <c r="BV88" s="5">
        <f t="shared" si="139"/>
        <v>0</v>
      </c>
      <c r="BW88" s="5">
        <f t="shared" si="140"/>
        <v>0</v>
      </c>
      <c r="BX88" s="5">
        <f t="shared" si="141"/>
        <v>0</v>
      </c>
      <c r="BY88" s="5">
        <f t="shared" si="116"/>
        <v>0</v>
      </c>
      <c r="BZ88" s="5">
        <f t="shared" si="142"/>
        <v>0</v>
      </c>
      <c r="CA88" s="5">
        <f t="shared" si="143"/>
        <v>0</v>
      </c>
      <c r="CB88" s="5">
        <f t="shared" si="144"/>
        <v>0</v>
      </c>
      <c r="CC88" s="5">
        <f t="shared" si="145"/>
        <v>0</v>
      </c>
      <c r="CD88" s="5">
        <f t="shared" si="146"/>
        <v>0</v>
      </c>
      <c r="CE88" s="5">
        <f t="shared" si="147"/>
        <v>0</v>
      </c>
      <c r="CF88" s="5">
        <f t="shared" si="148"/>
        <v>0</v>
      </c>
      <c r="CG88" s="5">
        <f t="shared" si="149"/>
        <v>0</v>
      </c>
      <c r="CH88" s="5">
        <f t="shared" si="150"/>
        <v>0</v>
      </c>
      <c r="CI88" s="5">
        <f t="shared" si="151"/>
        <v>0</v>
      </c>
      <c r="CJ88" s="5"/>
      <c r="CK88" s="4">
        <f t="shared" si="117"/>
        <v>0</v>
      </c>
    </row>
    <row r="89" spans="1:89" ht="38" customHeight="1">
      <c r="A89" s="33" t="str">
        <f t="shared" si="115"/>
        <v/>
      </c>
      <c r="B89" s="10"/>
      <c r="C89" s="86"/>
      <c r="D89" s="88"/>
      <c r="E89" s="88"/>
      <c r="F89" s="44">
        <f t="shared" si="152"/>
        <v>0</v>
      </c>
      <c r="G89" s="88"/>
      <c r="H89" s="88"/>
      <c r="I89" s="44">
        <f t="shared" si="153"/>
        <v>0</v>
      </c>
      <c r="J89" s="87"/>
      <c r="K89" s="88"/>
      <c r="L89" s="44">
        <f t="shared" si="154"/>
        <v>0</v>
      </c>
      <c r="M89" s="88"/>
      <c r="N89" s="88"/>
      <c r="O89" s="44">
        <f t="shared" si="155"/>
        <v>0</v>
      </c>
      <c r="P89" s="88"/>
      <c r="Q89" s="88"/>
      <c r="R89" s="44">
        <f t="shared" si="156"/>
        <v>0</v>
      </c>
      <c r="S89" s="88"/>
      <c r="T89" s="88"/>
      <c r="U89" s="44">
        <f t="shared" si="157"/>
        <v>0</v>
      </c>
      <c r="V89" s="88"/>
      <c r="W89" s="88"/>
      <c r="X89" s="44">
        <f t="shared" si="158"/>
        <v>0</v>
      </c>
      <c r="Y89" s="44"/>
      <c r="Z89" s="44"/>
      <c r="AA89" s="44"/>
      <c r="AB89" s="44">
        <f t="shared" si="159"/>
        <v>0</v>
      </c>
      <c r="AC89" s="23"/>
      <c r="AD89" s="6"/>
      <c r="AE89" s="7">
        <f t="shared" si="160"/>
        <v>0</v>
      </c>
      <c r="AF89" s="6"/>
      <c r="AG89" s="7">
        <f t="shared" si="161"/>
        <v>0</v>
      </c>
      <c r="AH89" s="6"/>
      <c r="AI89" s="7">
        <f t="shared" si="162"/>
        <v>0</v>
      </c>
      <c r="AJ89" s="6"/>
      <c r="AK89" s="7">
        <f t="shared" si="163"/>
        <v>0</v>
      </c>
      <c r="AL89" s="6"/>
      <c r="AM89" s="7">
        <f t="shared" si="164"/>
        <v>0</v>
      </c>
      <c r="AN89" s="6"/>
      <c r="AO89" s="7">
        <f t="shared" si="165"/>
        <v>0</v>
      </c>
      <c r="AP89" s="30">
        <f t="shared" si="166"/>
        <v>0</v>
      </c>
      <c r="AQ89" s="6"/>
      <c r="AR89" s="6"/>
      <c r="AS89" s="6"/>
      <c r="AT89" s="44">
        <f t="shared" si="167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18"/>
        <v>0</v>
      </c>
      <c r="BB89" s="5">
        <f t="shared" si="119"/>
        <v>0</v>
      </c>
      <c r="BC89" s="5">
        <f t="shared" si="120"/>
        <v>0</v>
      </c>
      <c r="BD89" s="5">
        <f t="shared" si="121"/>
        <v>0</v>
      </c>
      <c r="BE89" s="5">
        <f t="shared" si="122"/>
        <v>0</v>
      </c>
      <c r="BF89" s="5">
        <f t="shared" si="123"/>
        <v>0</v>
      </c>
      <c r="BG89" s="5">
        <f t="shared" si="124"/>
        <v>0</v>
      </c>
      <c r="BH89" s="5">
        <f t="shared" si="125"/>
        <v>0</v>
      </c>
      <c r="BI89" s="5">
        <f t="shared" si="126"/>
        <v>0</v>
      </c>
      <c r="BJ89" s="5">
        <f t="shared" si="127"/>
        <v>0</v>
      </c>
      <c r="BK89" s="5">
        <f t="shared" si="128"/>
        <v>0</v>
      </c>
      <c r="BL89" s="5">
        <f t="shared" si="129"/>
        <v>0</v>
      </c>
      <c r="BM89" s="5">
        <f t="shared" si="130"/>
        <v>0</v>
      </c>
      <c r="BN89" s="5">
        <f t="shared" si="131"/>
        <v>0</v>
      </c>
      <c r="BO89" s="5">
        <f t="shared" si="132"/>
        <v>0</v>
      </c>
      <c r="BP89" s="5">
        <f t="shared" si="133"/>
        <v>0</v>
      </c>
      <c r="BQ89" s="5">
        <f t="shared" si="134"/>
        <v>0</v>
      </c>
      <c r="BR89" s="5">
        <f t="shared" si="135"/>
        <v>0</v>
      </c>
      <c r="BS89" s="5">
        <f t="shared" si="136"/>
        <v>0</v>
      </c>
      <c r="BT89" s="5">
        <f t="shared" si="137"/>
        <v>0</v>
      </c>
      <c r="BU89" s="5">
        <f t="shared" si="138"/>
        <v>0</v>
      </c>
      <c r="BV89" s="5">
        <f t="shared" si="139"/>
        <v>0</v>
      </c>
      <c r="BW89" s="5">
        <f t="shared" si="140"/>
        <v>0</v>
      </c>
      <c r="BX89" s="5">
        <f t="shared" si="141"/>
        <v>0</v>
      </c>
      <c r="BY89" s="5">
        <f t="shared" si="116"/>
        <v>0</v>
      </c>
      <c r="BZ89" s="5">
        <f t="shared" si="142"/>
        <v>0</v>
      </c>
      <c r="CA89" s="5">
        <f t="shared" si="143"/>
        <v>0</v>
      </c>
      <c r="CB89" s="5">
        <f t="shared" si="144"/>
        <v>0</v>
      </c>
      <c r="CC89" s="5">
        <f t="shared" si="145"/>
        <v>0</v>
      </c>
      <c r="CD89" s="5">
        <f t="shared" si="146"/>
        <v>0</v>
      </c>
      <c r="CE89" s="5">
        <f t="shared" si="147"/>
        <v>0</v>
      </c>
      <c r="CF89" s="5">
        <f t="shared" si="148"/>
        <v>0</v>
      </c>
      <c r="CG89" s="5">
        <f t="shared" si="149"/>
        <v>0</v>
      </c>
      <c r="CH89" s="5">
        <f t="shared" si="150"/>
        <v>0</v>
      </c>
      <c r="CI89" s="5">
        <f t="shared" si="151"/>
        <v>0</v>
      </c>
      <c r="CJ89" s="5"/>
      <c r="CK89" s="4">
        <f t="shared" si="117"/>
        <v>0</v>
      </c>
    </row>
    <row r="90" spans="1:89" ht="38" customHeight="1">
      <c r="A90" s="33" t="str">
        <f t="shared" si="115"/>
        <v/>
      </c>
      <c r="B90" s="10"/>
      <c r="C90" s="86"/>
      <c r="D90" s="88"/>
      <c r="E90" s="88"/>
      <c r="F90" s="44">
        <f t="shared" si="152"/>
        <v>0</v>
      </c>
      <c r="G90" s="88"/>
      <c r="H90" s="88"/>
      <c r="I90" s="44">
        <f t="shared" si="153"/>
        <v>0</v>
      </c>
      <c r="J90" s="87"/>
      <c r="K90" s="88"/>
      <c r="L90" s="44">
        <f t="shared" si="154"/>
        <v>0</v>
      </c>
      <c r="M90" s="88"/>
      <c r="N90" s="88"/>
      <c r="O90" s="44">
        <f t="shared" si="155"/>
        <v>0</v>
      </c>
      <c r="P90" s="88"/>
      <c r="Q90" s="88"/>
      <c r="R90" s="44">
        <f t="shared" si="156"/>
        <v>0</v>
      </c>
      <c r="S90" s="88"/>
      <c r="T90" s="88"/>
      <c r="U90" s="44">
        <f t="shared" si="157"/>
        <v>0</v>
      </c>
      <c r="V90" s="88"/>
      <c r="W90" s="88"/>
      <c r="X90" s="44">
        <f t="shared" si="158"/>
        <v>0</v>
      </c>
      <c r="Y90" s="44"/>
      <c r="Z90" s="44"/>
      <c r="AA90" s="44"/>
      <c r="AB90" s="44">
        <f t="shared" si="159"/>
        <v>0</v>
      </c>
      <c r="AC90" s="23"/>
      <c r="AD90" s="6"/>
      <c r="AE90" s="7">
        <f t="shared" si="160"/>
        <v>0</v>
      </c>
      <c r="AF90" s="6"/>
      <c r="AG90" s="7">
        <f t="shared" si="161"/>
        <v>0</v>
      </c>
      <c r="AH90" s="6"/>
      <c r="AI90" s="7">
        <f t="shared" si="162"/>
        <v>0</v>
      </c>
      <c r="AJ90" s="6"/>
      <c r="AK90" s="7">
        <f t="shared" si="163"/>
        <v>0</v>
      </c>
      <c r="AL90" s="6"/>
      <c r="AM90" s="7">
        <f t="shared" si="164"/>
        <v>0</v>
      </c>
      <c r="AN90" s="6"/>
      <c r="AO90" s="7">
        <f t="shared" si="165"/>
        <v>0</v>
      </c>
      <c r="AP90" s="30">
        <f t="shared" si="166"/>
        <v>0</v>
      </c>
      <c r="AQ90" s="6"/>
      <c r="AR90" s="6"/>
      <c r="AS90" s="6"/>
      <c r="AT90" s="44">
        <f t="shared" si="167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18"/>
        <v>0</v>
      </c>
      <c r="BB90" s="5">
        <f t="shared" si="119"/>
        <v>0</v>
      </c>
      <c r="BC90" s="5">
        <f t="shared" si="120"/>
        <v>0</v>
      </c>
      <c r="BD90" s="5">
        <f t="shared" si="121"/>
        <v>0</v>
      </c>
      <c r="BE90" s="5">
        <f t="shared" si="122"/>
        <v>0</v>
      </c>
      <c r="BF90" s="5">
        <f t="shared" si="123"/>
        <v>0</v>
      </c>
      <c r="BG90" s="5">
        <f t="shared" si="124"/>
        <v>0</v>
      </c>
      <c r="BH90" s="5">
        <f t="shared" si="125"/>
        <v>0</v>
      </c>
      <c r="BI90" s="5">
        <f t="shared" si="126"/>
        <v>0</v>
      </c>
      <c r="BJ90" s="5">
        <f t="shared" si="127"/>
        <v>0</v>
      </c>
      <c r="BK90" s="5">
        <f t="shared" si="128"/>
        <v>0</v>
      </c>
      <c r="BL90" s="5">
        <f t="shared" si="129"/>
        <v>0</v>
      </c>
      <c r="BM90" s="5">
        <f t="shared" si="130"/>
        <v>0</v>
      </c>
      <c r="BN90" s="5">
        <f t="shared" si="131"/>
        <v>0</v>
      </c>
      <c r="BO90" s="5">
        <f t="shared" si="132"/>
        <v>0</v>
      </c>
      <c r="BP90" s="5">
        <f t="shared" si="133"/>
        <v>0</v>
      </c>
      <c r="BQ90" s="5">
        <f t="shared" si="134"/>
        <v>0</v>
      </c>
      <c r="BR90" s="5">
        <f t="shared" si="135"/>
        <v>0</v>
      </c>
      <c r="BS90" s="5">
        <f t="shared" si="136"/>
        <v>0</v>
      </c>
      <c r="BT90" s="5">
        <f t="shared" si="137"/>
        <v>0</v>
      </c>
      <c r="BU90" s="5">
        <f t="shared" si="138"/>
        <v>0</v>
      </c>
      <c r="BV90" s="5">
        <f t="shared" si="139"/>
        <v>0</v>
      </c>
      <c r="BW90" s="5">
        <f t="shared" si="140"/>
        <v>0</v>
      </c>
      <c r="BX90" s="5">
        <f t="shared" si="141"/>
        <v>0</v>
      </c>
      <c r="BY90" s="5">
        <f t="shared" si="116"/>
        <v>0</v>
      </c>
      <c r="BZ90" s="5">
        <f t="shared" si="142"/>
        <v>0</v>
      </c>
      <c r="CA90" s="5">
        <f t="shared" si="143"/>
        <v>0</v>
      </c>
      <c r="CB90" s="5">
        <f t="shared" si="144"/>
        <v>0</v>
      </c>
      <c r="CC90" s="5">
        <f t="shared" si="145"/>
        <v>0</v>
      </c>
      <c r="CD90" s="5">
        <f t="shared" si="146"/>
        <v>0</v>
      </c>
      <c r="CE90" s="5">
        <f t="shared" si="147"/>
        <v>0</v>
      </c>
      <c r="CF90" s="5">
        <f t="shared" si="148"/>
        <v>0</v>
      </c>
      <c r="CG90" s="5">
        <f t="shared" si="149"/>
        <v>0</v>
      </c>
      <c r="CH90" s="5">
        <f t="shared" si="150"/>
        <v>0</v>
      </c>
      <c r="CI90" s="5">
        <f t="shared" si="151"/>
        <v>0</v>
      </c>
      <c r="CJ90" s="5"/>
      <c r="CK90" s="4">
        <f t="shared" si="117"/>
        <v>0</v>
      </c>
    </row>
    <row r="91" spans="1:89" ht="38" customHeight="1">
      <c r="A91" s="33" t="str">
        <f t="shared" si="115"/>
        <v/>
      </c>
      <c r="B91" s="10"/>
      <c r="C91" s="86"/>
      <c r="D91" s="88"/>
      <c r="E91" s="88"/>
      <c r="F91" s="44">
        <f t="shared" si="152"/>
        <v>0</v>
      </c>
      <c r="G91" s="88"/>
      <c r="H91" s="88"/>
      <c r="I91" s="44">
        <f t="shared" si="153"/>
        <v>0</v>
      </c>
      <c r="J91" s="87"/>
      <c r="K91" s="88"/>
      <c r="L91" s="44">
        <f t="shared" si="154"/>
        <v>0</v>
      </c>
      <c r="M91" s="88"/>
      <c r="N91" s="88"/>
      <c r="O91" s="44">
        <f t="shared" si="155"/>
        <v>0</v>
      </c>
      <c r="P91" s="88"/>
      <c r="Q91" s="88"/>
      <c r="R91" s="44">
        <f t="shared" si="156"/>
        <v>0</v>
      </c>
      <c r="S91" s="88"/>
      <c r="T91" s="88"/>
      <c r="U91" s="44">
        <f t="shared" si="157"/>
        <v>0</v>
      </c>
      <c r="V91" s="88"/>
      <c r="W91" s="88"/>
      <c r="X91" s="44">
        <f t="shared" si="158"/>
        <v>0</v>
      </c>
      <c r="Y91" s="44"/>
      <c r="Z91" s="44"/>
      <c r="AA91" s="44"/>
      <c r="AB91" s="44">
        <f t="shared" si="159"/>
        <v>0</v>
      </c>
      <c r="AC91" s="23"/>
      <c r="AD91" s="6"/>
      <c r="AE91" s="7">
        <f t="shared" si="160"/>
        <v>0</v>
      </c>
      <c r="AF91" s="6"/>
      <c r="AG91" s="7">
        <f t="shared" si="161"/>
        <v>0</v>
      </c>
      <c r="AH91" s="6"/>
      <c r="AI91" s="7">
        <f t="shared" si="162"/>
        <v>0</v>
      </c>
      <c r="AJ91" s="6"/>
      <c r="AK91" s="7">
        <f t="shared" si="163"/>
        <v>0</v>
      </c>
      <c r="AL91" s="6"/>
      <c r="AM91" s="7">
        <f t="shared" si="164"/>
        <v>0</v>
      </c>
      <c r="AN91" s="6"/>
      <c r="AO91" s="7">
        <f t="shared" si="165"/>
        <v>0</v>
      </c>
      <c r="AP91" s="30">
        <f t="shared" si="166"/>
        <v>0</v>
      </c>
      <c r="AQ91" s="6"/>
      <c r="AR91" s="6"/>
      <c r="AS91" s="6"/>
      <c r="AT91" s="44">
        <f t="shared" si="167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18"/>
        <v>0</v>
      </c>
      <c r="BB91" s="5">
        <f t="shared" si="119"/>
        <v>0</v>
      </c>
      <c r="BC91" s="5">
        <f t="shared" si="120"/>
        <v>0</v>
      </c>
      <c r="BD91" s="5">
        <f t="shared" si="121"/>
        <v>0</v>
      </c>
      <c r="BE91" s="5">
        <f t="shared" si="122"/>
        <v>0</v>
      </c>
      <c r="BF91" s="5">
        <f t="shared" si="123"/>
        <v>0</v>
      </c>
      <c r="BG91" s="5">
        <f t="shared" si="124"/>
        <v>0</v>
      </c>
      <c r="BH91" s="5">
        <f t="shared" si="125"/>
        <v>0</v>
      </c>
      <c r="BI91" s="5">
        <f t="shared" si="126"/>
        <v>0</v>
      </c>
      <c r="BJ91" s="5">
        <f t="shared" si="127"/>
        <v>0</v>
      </c>
      <c r="BK91" s="5">
        <f t="shared" si="128"/>
        <v>0</v>
      </c>
      <c r="BL91" s="5">
        <f t="shared" si="129"/>
        <v>0</v>
      </c>
      <c r="BM91" s="5">
        <f t="shared" si="130"/>
        <v>0</v>
      </c>
      <c r="BN91" s="5">
        <f t="shared" si="131"/>
        <v>0</v>
      </c>
      <c r="BO91" s="5">
        <f t="shared" si="132"/>
        <v>0</v>
      </c>
      <c r="BP91" s="5">
        <f t="shared" si="133"/>
        <v>0</v>
      </c>
      <c r="BQ91" s="5">
        <f t="shared" si="134"/>
        <v>0</v>
      </c>
      <c r="BR91" s="5">
        <f t="shared" si="135"/>
        <v>0</v>
      </c>
      <c r="BS91" s="5">
        <f t="shared" si="136"/>
        <v>0</v>
      </c>
      <c r="BT91" s="5">
        <f t="shared" si="137"/>
        <v>0</v>
      </c>
      <c r="BU91" s="5">
        <f t="shared" si="138"/>
        <v>0</v>
      </c>
      <c r="BV91" s="5">
        <f t="shared" si="139"/>
        <v>0</v>
      </c>
      <c r="BW91" s="5">
        <f t="shared" si="140"/>
        <v>0</v>
      </c>
      <c r="BX91" s="5">
        <f t="shared" si="141"/>
        <v>0</v>
      </c>
      <c r="BY91" s="5">
        <f t="shared" si="116"/>
        <v>0</v>
      </c>
      <c r="BZ91" s="5">
        <f t="shared" si="142"/>
        <v>0</v>
      </c>
      <c r="CA91" s="5">
        <f t="shared" si="143"/>
        <v>0</v>
      </c>
      <c r="CB91" s="5">
        <f t="shared" si="144"/>
        <v>0</v>
      </c>
      <c r="CC91" s="5">
        <f t="shared" si="145"/>
        <v>0</v>
      </c>
      <c r="CD91" s="5">
        <f t="shared" si="146"/>
        <v>0</v>
      </c>
      <c r="CE91" s="5">
        <f t="shared" si="147"/>
        <v>0</v>
      </c>
      <c r="CF91" s="5">
        <f t="shared" si="148"/>
        <v>0</v>
      </c>
      <c r="CG91" s="5">
        <f t="shared" si="149"/>
        <v>0</v>
      </c>
      <c r="CH91" s="5">
        <f t="shared" si="150"/>
        <v>0</v>
      </c>
      <c r="CI91" s="5">
        <f t="shared" si="151"/>
        <v>0</v>
      </c>
      <c r="CJ91" s="5"/>
      <c r="CK91" s="4">
        <f t="shared" si="117"/>
        <v>0</v>
      </c>
    </row>
    <row r="92" spans="1:89" ht="38" customHeight="1">
      <c r="A92" s="33" t="str">
        <f t="shared" si="115"/>
        <v/>
      </c>
      <c r="B92" s="10"/>
      <c r="C92" s="86"/>
      <c r="D92" s="88"/>
      <c r="E92" s="88"/>
      <c r="F92" s="44">
        <f t="shared" si="152"/>
        <v>0</v>
      </c>
      <c r="G92" s="88"/>
      <c r="H92" s="88"/>
      <c r="I92" s="44">
        <f t="shared" si="153"/>
        <v>0</v>
      </c>
      <c r="J92" s="87"/>
      <c r="K92" s="88"/>
      <c r="L92" s="44">
        <f t="shared" si="154"/>
        <v>0</v>
      </c>
      <c r="M92" s="88"/>
      <c r="N92" s="88"/>
      <c r="O92" s="44">
        <f t="shared" si="155"/>
        <v>0</v>
      </c>
      <c r="P92" s="88"/>
      <c r="Q92" s="88"/>
      <c r="R92" s="44">
        <f t="shared" si="156"/>
        <v>0</v>
      </c>
      <c r="S92" s="88"/>
      <c r="T92" s="88"/>
      <c r="U92" s="44">
        <f t="shared" si="157"/>
        <v>0</v>
      </c>
      <c r="V92" s="88"/>
      <c r="W92" s="88"/>
      <c r="X92" s="44">
        <f t="shared" si="158"/>
        <v>0</v>
      </c>
      <c r="Y92" s="44"/>
      <c r="Z92" s="44"/>
      <c r="AA92" s="44"/>
      <c r="AB92" s="44">
        <f t="shared" si="159"/>
        <v>0</v>
      </c>
      <c r="AC92" s="23"/>
      <c r="AD92" s="6"/>
      <c r="AE92" s="7">
        <f t="shared" ref="AE92:AE100" si="168">SUMIF($BC$1:$CI$1,AE$1,$BC92:$CI92)+AD92</f>
        <v>0</v>
      </c>
      <c r="AF92" s="6"/>
      <c r="AG92" s="7">
        <f t="shared" ref="AG92:AG100" si="169">SUMIF($BC$1:$CI$1,AG$1,$BC92:$CI92)+AF92</f>
        <v>0</v>
      </c>
      <c r="AH92" s="6"/>
      <c r="AI92" s="7">
        <f t="shared" ref="AI92:AI100" si="170">SUMIF($BC$1:$CI$1,AI$1,$BC92:$CI92)+AH92</f>
        <v>0</v>
      </c>
      <c r="AJ92" s="6"/>
      <c r="AK92" s="7">
        <f t="shared" ref="AK92:AK100" si="171">SUMIF($BC$1:$CI$1,AK$1,$BC92:$CI92)+AJ92</f>
        <v>0</v>
      </c>
      <c r="AL92" s="6"/>
      <c r="AM92" s="7">
        <f t="shared" ref="AM92:AM100" si="172">SUMIF($BC$1:$CI$1,AM$1,$BC92:$CI92)+AL92</f>
        <v>0</v>
      </c>
      <c r="AN92" s="6"/>
      <c r="AO92" s="7">
        <f t="shared" ref="AO92:AO100" si="173">SUMIF($BC$1:$CI$1,AO$1,$BC92:$CI92)+AN92</f>
        <v>0</v>
      </c>
      <c r="AP92" s="30">
        <f t="shared" si="166"/>
        <v>0</v>
      </c>
      <c r="AQ92" s="6"/>
      <c r="AR92" s="6"/>
      <c r="AS92" s="6"/>
      <c r="AT92" s="44">
        <f t="shared" si="167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18"/>
        <v>0</v>
      </c>
      <c r="BB92" s="5">
        <f t="shared" si="119"/>
        <v>0</v>
      </c>
      <c r="BC92" s="5">
        <f t="shared" si="120"/>
        <v>0</v>
      </c>
      <c r="BD92" s="5">
        <f t="shared" si="121"/>
        <v>0</v>
      </c>
      <c r="BE92" s="5">
        <f t="shared" si="122"/>
        <v>0</v>
      </c>
      <c r="BF92" s="5">
        <f t="shared" si="123"/>
        <v>0</v>
      </c>
      <c r="BG92" s="5">
        <f t="shared" si="124"/>
        <v>0</v>
      </c>
      <c r="BH92" s="5">
        <f t="shared" si="125"/>
        <v>0</v>
      </c>
      <c r="BI92" s="5">
        <f t="shared" si="126"/>
        <v>0</v>
      </c>
      <c r="BJ92" s="5">
        <f t="shared" si="127"/>
        <v>0</v>
      </c>
      <c r="BK92" s="5">
        <f t="shared" si="128"/>
        <v>0</v>
      </c>
      <c r="BL92" s="5">
        <f t="shared" si="129"/>
        <v>0</v>
      </c>
      <c r="BM92" s="5">
        <f t="shared" si="130"/>
        <v>0</v>
      </c>
      <c r="BN92" s="5">
        <f t="shared" si="131"/>
        <v>0</v>
      </c>
      <c r="BO92" s="5">
        <f t="shared" si="132"/>
        <v>0</v>
      </c>
      <c r="BP92" s="5">
        <f t="shared" si="133"/>
        <v>0</v>
      </c>
      <c r="BQ92" s="5">
        <f t="shared" si="134"/>
        <v>0</v>
      </c>
      <c r="BR92" s="5">
        <f t="shared" si="135"/>
        <v>0</v>
      </c>
      <c r="BS92" s="5">
        <f t="shared" si="136"/>
        <v>0</v>
      </c>
      <c r="BT92" s="5">
        <f t="shared" si="137"/>
        <v>0</v>
      </c>
      <c r="BU92" s="5">
        <f t="shared" si="138"/>
        <v>0</v>
      </c>
      <c r="BV92" s="5">
        <f t="shared" si="139"/>
        <v>0</v>
      </c>
      <c r="BW92" s="5">
        <f t="shared" si="140"/>
        <v>0</v>
      </c>
      <c r="BX92" s="5">
        <f t="shared" si="141"/>
        <v>0</v>
      </c>
      <c r="BY92" s="5">
        <f t="shared" si="116"/>
        <v>0</v>
      </c>
      <c r="BZ92" s="5">
        <f t="shared" si="142"/>
        <v>0</v>
      </c>
      <c r="CA92" s="5">
        <f t="shared" si="143"/>
        <v>0</v>
      </c>
      <c r="CB92" s="5">
        <f t="shared" si="144"/>
        <v>0</v>
      </c>
      <c r="CC92" s="5">
        <f t="shared" si="145"/>
        <v>0</v>
      </c>
      <c r="CD92" s="5">
        <f t="shared" si="146"/>
        <v>0</v>
      </c>
      <c r="CE92" s="5">
        <f t="shared" si="147"/>
        <v>0</v>
      </c>
      <c r="CF92" s="5">
        <f t="shared" si="148"/>
        <v>0</v>
      </c>
      <c r="CG92" s="5">
        <f t="shared" si="149"/>
        <v>0</v>
      </c>
      <c r="CH92" s="5">
        <f t="shared" si="150"/>
        <v>0</v>
      </c>
      <c r="CI92" s="5">
        <f t="shared" si="151"/>
        <v>0</v>
      </c>
      <c r="CJ92" s="5"/>
      <c r="CK92" s="4">
        <f t="shared" si="117"/>
        <v>0</v>
      </c>
    </row>
    <row r="93" spans="1:89" ht="38" customHeight="1">
      <c r="A93" s="33" t="str">
        <f t="shared" si="115"/>
        <v/>
      </c>
      <c r="B93" s="10"/>
      <c r="C93" s="86"/>
      <c r="D93" s="88"/>
      <c r="E93" s="88"/>
      <c r="F93" s="44">
        <f t="shared" si="152"/>
        <v>0</v>
      </c>
      <c r="G93" s="88"/>
      <c r="H93" s="88"/>
      <c r="I93" s="44">
        <f t="shared" si="153"/>
        <v>0</v>
      </c>
      <c r="J93" s="87"/>
      <c r="K93" s="88"/>
      <c r="L93" s="44">
        <f t="shared" si="154"/>
        <v>0</v>
      </c>
      <c r="M93" s="88"/>
      <c r="N93" s="88"/>
      <c r="O93" s="44">
        <f t="shared" si="155"/>
        <v>0</v>
      </c>
      <c r="P93" s="88"/>
      <c r="Q93" s="88"/>
      <c r="R93" s="44">
        <f t="shared" si="156"/>
        <v>0</v>
      </c>
      <c r="S93" s="88"/>
      <c r="T93" s="88"/>
      <c r="U93" s="44">
        <f t="shared" si="157"/>
        <v>0</v>
      </c>
      <c r="V93" s="88"/>
      <c r="W93" s="88"/>
      <c r="X93" s="44">
        <f t="shared" si="158"/>
        <v>0</v>
      </c>
      <c r="Y93" s="44"/>
      <c r="Z93" s="44"/>
      <c r="AA93" s="44"/>
      <c r="AB93" s="44">
        <f t="shared" si="159"/>
        <v>0</v>
      </c>
      <c r="AC93" s="23"/>
      <c r="AD93" s="6"/>
      <c r="AE93" s="7">
        <f t="shared" si="168"/>
        <v>0</v>
      </c>
      <c r="AF93" s="6"/>
      <c r="AG93" s="7">
        <f t="shared" si="169"/>
        <v>0</v>
      </c>
      <c r="AH93" s="6"/>
      <c r="AI93" s="7">
        <f t="shared" si="170"/>
        <v>0</v>
      </c>
      <c r="AJ93" s="6"/>
      <c r="AK93" s="7">
        <f t="shared" si="171"/>
        <v>0</v>
      </c>
      <c r="AL93" s="6"/>
      <c r="AM93" s="7">
        <f t="shared" si="172"/>
        <v>0</v>
      </c>
      <c r="AN93" s="6"/>
      <c r="AO93" s="7">
        <f t="shared" si="173"/>
        <v>0</v>
      </c>
      <c r="AP93" s="30">
        <f t="shared" si="166"/>
        <v>0</v>
      </c>
      <c r="AQ93" s="6"/>
      <c r="AR93" s="6"/>
      <c r="AS93" s="6"/>
      <c r="AT93" s="44">
        <f t="shared" si="167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18"/>
        <v>0</v>
      </c>
      <c r="BB93" s="5">
        <f t="shared" si="119"/>
        <v>0</v>
      </c>
      <c r="BC93" s="5">
        <f t="shared" si="120"/>
        <v>0</v>
      </c>
      <c r="BD93" s="5">
        <f t="shared" si="121"/>
        <v>0</v>
      </c>
      <c r="BE93" s="5">
        <f t="shared" si="122"/>
        <v>0</v>
      </c>
      <c r="BF93" s="5">
        <f t="shared" si="123"/>
        <v>0</v>
      </c>
      <c r="BG93" s="5">
        <f t="shared" si="124"/>
        <v>0</v>
      </c>
      <c r="BH93" s="5">
        <f t="shared" si="125"/>
        <v>0</v>
      </c>
      <c r="BI93" s="5">
        <f t="shared" si="126"/>
        <v>0</v>
      </c>
      <c r="BJ93" s="5">
        <f t="shared" si="127"/>
        <v>0</v>
      </c>
      <c r="BK93" s="5">
        <f t="shared" si="128"/>
        <v>0</v>
      </c>
      <c r="BL93" s="5">
        <f t="shared" si="129"/>
        <v>0</v>
      </c>
      <c r="BM93" s="5">
        <f t="shared" si="130"/>
        <v>0</v>
      </c>
      <c r="BN93" s="5">
        <f t="shared" si="131"/>
        <v>0</v>
      </c>
      <c r="BO93" s="5">
        <f t="shared" si="132"/>
        <v>0</v>
      </c>
      <c r="BP93" s="5">
        <f t="shared" si="133"/>
        <v>0</v>
      </c>
      <c r="BQ93" s="5">
        <f t="shared" si="134"/>
        <v>0</v>
      </c>
      <c r="BR93" s="5">
        <f t="shared" si="135"/>
        <v>0</v>
      </c>
      <c r="BS93" s="5">
        <f t="shared" si="136"/>
        <v>0</v>
      </c>
      <c r="BT93" s="5">
        <f t="shared" si="137"/>
        <v>0</v>
      </c>
      <c r="BU93" s="5">
        <f t="shared" si="138"/>
        <v>0</v>
      </c>
      <c r="BV93" s="5">
        <f t="shared" si="139"/>
        <v>0</v>
      </c>
      <c r="BW93" s="5">
        <f t="shared" si="140"/>
        <v>0</v>
      </c>
      <c r="BX93" s="5">
        <f t="shared" si="141"/>
        <v>0</v>
      </c>
      <c r="BY93" s="5">
        <f t="shared" si="116"/>
        <v>0</v>
      </c>
      <c r="BZ93" s="5">
        <f t="shared" si="142"/>
        <v>0</v>
      </c>
      <c r="CA93" s="5">
        <f t="shared" si="143"/>
        <v>0</v>
      </c>
      <c r="CB93" s="5">
        <f t="shared" si="144"/>
        <v>0</v>
      </c>
      <c r="CC93" s="5">
        <f t="shared" si="145"/>
        <v>0</v>
      </c>
      <c r="CD93" s="5">
        <f t="shared" si="146"/>
        <v>0</v>
      </c>
      <c r="CE93" s="5">
        <f t="shared" si="147"/>
        <v>0</v>
      </c>
      <c r="CF93" s="5">
        <f t="shared" si="148"/>
        <v>0</v>
      </c>
      <c r="CG93" s="5">
        <f t="shared" si="149"/>
        <v>0</v>
      </c>
      <c r="CH93" s="5">
        <f t="shared" si="150"/>
        <v>0</v>
      </c>
      <c r="CI93" s="5">
        <f t="shared" si="151"/>
        <v>0</v>
      </c>
      <c r="CJ93" s="5"/>
      <c r="CK93" s="4">
        <f t="shared" si="117"/>
        <v>0</v>
      </c>
    </row>
    <row r="94" spans="1:89" ht="38" customHeight="1">
      <c r="A94" s="33" t="str">
        <f t="shared" si="115"/>
        <v/>
      </c>
      <c r="B94" s="10"/>
      <c r="C94" s="86"/>
      <c r="D94" s="88"/>
      <c r="E94" s="88"/>
      <c r="F94" s="44">
        <f t="shared" si="152"/>
        <v>0</v>
      </c>
      <c r="G94" s="88"/>
      <c r="H94" s="88"/>
      <c r="I94" s="44">
        <f t="shared" si="153"/>
        <v>0</v>
      </c>
      <c r="J94" s="87"/>
      <c r="K94" s="88"/>
      <c r="L94" s="44">
        <f t="shared" si="154"/>
        <v>0</v>
      </c>
      <c r="M94" s="88"/>
      <c r="N94" s="88"/>
      <c r="O94" s="44">
        <f t="shared" si="155"/>
        <v>0</v>
      </c>
      <c r="P94" s="88"/>
      <c r="Q94" s="88"/>
      <c r="R94" s="44">
        <f t="shared" si="156"/>
        <v>0</v>
      </c>
      <c r="S94" s="88"/>
      <c r="T94" s="88"/>
      <c r="U94" s="44">
        <f t="shared" si="157"/>
        <v>0</v>
      </c>
      <c r="V94" s="88"/>
      <c r="W94" s="88"/>
      <c r="X94" s="44">
        <f t="shared" si="158"/>
        <v>0</v>
      </c>
      <c r="Y94" s="44"/>
      <c r="Z94" s="44"/>
      <c r="AA94" s="44"/>
      <c r="AB94" s="44">
        <f t="shared" si="159"/>
        <v>0</v>
      </c>
      <c r="AC94" s="23"/>
      <c r="AD94" s="6"/>
      <c r="AE94" s="7">
        <f t="shared" si="168"/>
        <v>0</v>
      </c>
      <c r="AF94" s="6"/>
      <c r="AG94" s="7">
        <f t="shared" si="169"/>
        <v>0</v>
      </c>
      <c r="AH94" s="6"/>
      <c r="AI94" s="7">
        <f t="shared" si="170"/>
        <v>0</v>
      </c>
      <c r="AJ94" s="6"/>
      <c r="AK94" s="7">
        <f t="shared" si="171"/>
        <v>0</v>
      </c>
      <c r="AL94" s="6"/>
      <c r="AM94" s="7">
        <f t="shared" si="172"/>
        <v>0</v>
      </c>
      <c r="AN94" s="6"/>
      <c r="AO94" s="7">
        <f t="shared" si="173"/>
        <v>0</v>
      </c>
      <c r="AP94" s="30">
        <f t="shared" si="166"/>
        <v>0</v>
      </c>
      <c r="AQ94" s="6"/>
      <c r="AR94" s="6"/>
      <c r="AS94" s="6"/>
      <c r="AT94" s="44">
        <f t="shared" si="167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18"/>
        <v>0</v>
      </c>
      <c r="BB94" s="5">
        <f t="shared" si="119"/>
        <v>0</v>
      </c>
      <c r="BC94" s="5">
        <f t="shared" si="120"/>
        <v>0</v>
      </c>
      <c r="BD94" s="5">
        <f t="shared" si="121"/>
        <v>0</v>
      </c>
      <c r="BE94" s="5">
        <f t="shared" si="122"/>
        <v>0</v>
      </c>
      <c r="BF94" s="5">
        <f t="shared" si="123"/>
        <v>0</v>
      </c>
      <c r="BG94" s="5">
        <f t="shared" si="124"/>
        <v>0</v>
      </c>
      <c r="BH94" s="5">
        <f t="shared" si="125"/>
        <v>0</v>
      </c>
      <c r="BI94" s="5">
        <f t="shared" si="126"/>
        <v>0</v>
      </c>
      <c r="BJ94" s="5">
        <f t="shared" si="127"/>
        <v>0</v>
      </c>
      <c r="BK94" s="5">
        <f t="shared" si="128"/>
        <v>0</v>
      </c>
      <c r="BL94" s="5">
        <f t="shared" si="129"/>
        <v>0</v>
      </c>
      <c r="BM94" s="5">
        <f t="shared" si="130"/>
        <v>0</v>
      </c>
      <c r="BN94" s="5">
        <f t="shared" si="131"/>
        <v>0</v>
      </c>
      <c r="BO94" s="5">
        <f t="shared" si="132"/>
        <v>0</v>
      </c>
      <c r="BP94" s="5">
        <f t="shared" si="133"/>
        <v>0</v>
      </c>
      <c r="BQ94" s="5">
        <f t="shared" si="134"/>
        <v>0</v>
      </c>
      <c r="BR94" s="5">
        <f t="shared" si="135"/>
        <v>0</v>
      </c>
      <c r="BS94" s="5">
        <f t="shared" si="136"/>
        <v>0</v>
      </c>
      <c r="BT94" s="5">
        <f t="shared" si="137"/>
        <v>0</v>
      </c>
      <c r="BU94" s="5">
        <f t="shared" si="138"/>
        <v>0</v>
      </c>
      <c r="BV94" s="5">
        <f t="shared" si="139"/>
        <v>0</v>
      </c>
      <c r="BW94" s="5">
        <f t="shared" si="140"/>
        <v>0</v>
      </c>
      <c r="BX94" s="5">
        <f t="shared" si="141"/>
        <v>0</v>
      </c>
      <c r="BY94" s="5">
        <f t="shared" si="116"/>
        <v>0</v>
      </c>
      <c r="BZ94" s="5">
        <f t="shared" si="142"/>
        <v>0</v>
      </c>
      <c r="CA94" s="5">
        <f t="shared" si="143"/>
        <v>0</v>
      </c>
      <c r="CB94" s="5">
        <f t="shared" si="144"/>
        <v>0</v>
      </c>
      <c r="CC94" s="5">
        <f t="shared" si="145"/>
        <v>0</v>
      </c>
      <c r="CD94" s="5">
        <f t="shared" si="146"/>
        <v>0</v>
      </c>
      <c r="CE94" s="5">
        <f t="shared" si="147"/>
        <v>0</v>
      </c>
      <c r="CF94" s="5">
        <f t="shared" si="148"/>
        <v>0</v>
      </c>
      <c r="CG94" s="5">
        <f t="shared" si="149"/>
        <v>0</v>
      </c>
      <c r="CH94" s="5">
        <f t="shared" si="150"/>
        <v>0</v>
      </c>
      <c r="CI94" s="5">
        <f t="shared" si="151"/>
        <v>0</v>
      </c>
      <c r="CJ94" s="5"/>
      <c r="CK94" s="4">
        <f t="shared" si="117"/>
        <v>0</v>
      </c>
    </row>
    <row r="95" spans="1:89" ht="38" customHeight="1">
      <c r="A95" s="33" t="str">
        <f t="shared" si="115"/>
        <v/>
      </c>
      <c r="B95" s="10"/>
      <c r="C95" s="86"/>
      <c r="D95" s="88"/>
      <c r="E95" s="88"/>
      <c r="F95" s="44">
        <f t="shared" si="152"/>
        <v>0</v>
      </c>
      <c r="G95" s="88"/>
      <c r="H95" s="88"/>
      <c r="I95" s="44">
        <f t="shared" si="153"/>
        <v>0</v>
      </c>
      <c r="J95" s="87"/>
      <c r="K95" s="88"/>
      <c r="L95" s="44">
        <f t="shared" si="154"/>
        <v>0</v>
      </c>
      <c r="M95" s="88"/>
      <c r="N95" s="88"/>
      <c r="O95" s="44">
        <f t="shared" si="155"/>
        <v>0</v>
      </c>
      <c r="P95" s="88"/>
      <c r="Q95" s="88"/>
      <c r="R95" s="44">
        <f t="shared" si="156"/>
        <v>0</v>
      </c>
      <c r="S95" s="88"/>
      <c r="T95" s="88"/>
      <c r="U95" s="44">
        <f t="shared" si="157"/>
        <v>0</v>
      </c>
      <c r="V95" s="88"/>
      <c r="W95" s="88"/>
      <c r="X95" s="44">
        <f t="shared" si="158"/>
        <v>0</v>
      </c>
      <c r="Y95" s="44"/>
      <c r="Z95" s="44"/>
      <c r="AA95" s="44"/>
      <c r="AB95" s="44">
        <f t="shared" ref="AB95:AB100" si="174">SUM(F95,I95,L95,O95,R95,U95,X95)</f>
        <v>0</v>
      </c>
      <c r="AC95" s="23"/>
      <c r="AD95" s="6"/>
      <c r="AE95" s="7">
        <f t="shared" si="168"/>
        <v>0</v>
      </c>
      <c r="AF95" s="6"/>
      <c r="AG95" s="7">
        <f t="shared" si="169"/>
        <v>0</v>
      </c>
      <c r="AH95" s="6"/>
      <c r="AI95" s="7">
        <f t="shared" si="170"/>
        <v>0</v>
      </c>
      <c r="AJ95" s="6"/>
      <c r="AK95" s="7">
        <f t="shared" si="171"/>
        <v>0</v>
      </c>
      <c r="AL95" s="6"/>
      <c r="AM95" s="7">
        <f t="shared" si="172"/>
        <v>0</v>
      </c>
      <c r="AN95" s="6"/>
      <c r="AO95" s="7">
        <f t="shared" si="173"/>
        <v>0</v>
      </c>
      <c r="AP95" s="30">
        <f t="shared" si="166"/>
        <v>0</v>
      </c>
      <c r="AQ95" s="6"/>
      <c r="AR95" s="6"/>
      <c r="AS95" s="6"/>
      <c r="AT95" s="44">
        <f t="shared" ref="AT95:AT100" si="175">AE95+AG95+AI95+AK95+AM95+AO95+SUM(AQ95:AS95)</f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18"/>
        <v>0</v>
      </c>
      <c r="BB95" s="5">
        <f t="shared" si="119"/>
        <v>0</v>
      </c>
      <c r="BC95" s="5">
        <f t="shared" si="120"/>
        <v>0</v>
      </c>
      <c r="BD95" s="5">
        <f t="shared" si="121"/>
        <v>0</v>
      </c>
      <c r="BE95" s="5">
        <f t="shared" si="122"/>
        <v>0</v>
      </c>
      <c r="BF95" s="5">
        <f t="shared" si="123"/>
        <v>0</v>
      </c>
      <c r="BG95" s="5">
        <f t="shared" si="124"/>
        <v>0</v>
      </c>
      <c r="BH95" s="5">
        <f t="shared" si="125"/>
        <v>0</v>
      </c>
      <c r="BI95" s="5">
        <f t="shared" si="126"/>
        <v>0</v>
      </c>
      <c r="BJ95" s="5">
        <f t="shared" si="127"/>
        <v>0</v>
      </c>
      <c r="BK95" s="5">
        <f t="shared" si="128"/>
        <v>0</v>
      </c>
      <c r="BL95" s="5">
        <f t="shared" si="129"/>
        <v>0</v>
      </c>
      <c r="BM95" s="5">
        <f t="shared" si="130"/>
        <v>0</v>
      </c>
      <c r="BN95" s="5">
        <f t="shared" si="131"/>
        <v>0</v>
      </c>
      <c r="BO95" s="5">
        <f t="shared" si="132"/>
        <v>0</v>
      </c>
      <c r="BP95" s="5">
        <f t="shared" si="133"/>
        <v>0</v>
      </c>
      <c r="BQ95" s="5">
        <f t="shared" si="134"/>
        <v>0</v>
      </c>
      <c r="BR95" s="5">
        <f t="shared" si="135"/>
        <v>0</v>
      </c>
      <c r="BS95" s="5">
        <f t="shared" si="136"/>
        <v>0</v>
      </c>
      <c r="BT95" s="5">
        <f t="shared" si="137"/>
        <v>0</v>
      </c>
      <c r="BU95" s="5">
        <f t="shared" si="138"/>
        <v>0</v>
      </c>
      <c r="BV95" s="5">
        <f t="shared" si="139"/>
        <v>0</v>
      </c>
      <c r="BW95" s="5">
        <f t="shared" si="140"/>
        <v>0</v>
      </c>
      <c r="BX95" s="5">
        <f t="shared" si="141"/>
        <v>0</v>
      </c>
      <c r="BY95" s="5">
        <f t="shared" si="116"/>
        <v>0</v>
      </c>
      <c r="BZ95" s="5">
        <f t="shared" si="142"/>
        <v>0</v>
      </c>
      <c r="CA95" s="5">
        <f t="shared" si="143"/>
        <v>0</v>
      </c>
      <c r="CB95" s="5">
        <f t="shared" si="144"/>
        <v>0</v>
      </c>
      <c r="CC95" s="5">
        <f t="shared" si="145"/>
        <v>0</v>
      </c>
      <c r="CD95" s="5">
        <f t="shared" si="146"/>
        <v>0</v>
      </c>
      <c r="CE95" s="5">
        <f t="shared" si="147"/>
        <v>0</v>
      </c>
      <c r="CF95" s="5">
        <f t="shared" si="148"/>
        <v>0</v>
      </c>
      <c r="CG95" s="5">
        <f t="shared" si="149"/>
        <v>0</v>
      </c>
      <c r="CH95" s="5">
        <f t="shared" si="150"/>
        <v>0</v>
      </c>
      <c r="CI95" s="5">
        <f t="shared" si="151"/>
        <v>0</v>
      </c>
      <c r="CJ95" s="5"/>
      <c r="CK95" s="4">
        <f t="shared" si="117"/>
        <v>0</v>
      </c>
    </row>
    <row r="96" spans="1:89" ht="38" customHeight="1">
      <c r="A96" s="33" t="str">
        <f t="shared" si="115"/>
        <v/>
      </c>
      <c r="B96" s="10"/>
      <c r="C96" s="86"/>
      <c r="D96" s="88"/>
      <c r="E96" s="88"/>
      <c r="F96" s="44">
        <f t="shared" si="152"/>
        <v>0</v>
      </c>
      <c r="G96" s="88"/>
      <c r="H96" s="88"/>
      <c r="I96" s="44">
        <f t="shared" si="153"/>
        <v>0</v>
      </c>
      <c r="J96" s="87"/>
      <c r="K96" s="88"/>
      <c r="L96" s="44">
        <f t="shared" si="154"/>
        <v>0</v>
      </c>
      <c r="M96" s="88"/>
      <c r="N96" s="88"/>
      <c r="O96" s="44">
        <f t="shared" si="155"/>
        <v>0</v>
      </c>
      <c r="P96" s="88"/>
      <c r="Q96" s="88"/>
      <c r="R96" s="44">
        <f t="shared" si="156"/>
        <v>0</v>
      </c>
      <c r="S96" s="88"/>
      <c r="T96" s="88"/>
      <c r="U96" s="44">
        <f t="shared" si="157"/>
        <v>0</v>
      </c>
      <c r="V96" s="88"/>
      <c r="W96" s="88"/>
      <c r="X96" s="44">
        <f t="shared" si="158"/>
        <v>0</v>
      </c>
      <c r="Y96" s="44"/>
      <c r="Z96" s="44"/>
      <c r="AA96" s="44"/>
      <c r="AB96" s="44">
        <f t="shared" si="174"/>
        <v>0</v>
      </c>
      <c r="AC96" s="23"/>
      <c r="AD96" s="6"/>
      <c r="AE96" s="7">
        <f t="shared" si="168"/>
        <v>0</v>
      </c>
      <c r="AF96" s="6"/>
      <c r="AG96" s="7">
        <f t="shared" si="169"/>
        <v>0</v>
      </c>
      <c r="AH96" s="6"/>
      <c r="AI96" s="7">
        <f t="shared" si="170"/>
        <v>0</v>
      </c>
      <c r="AJ96" s="6"/>
      <c r="AK96" s="7">
        <f t="shared" si="171"/>
        <v>0</v>
      </c>
      <c r="AL96" s="6"/>
      <c r="AM96" s="7">
        <f t="shared" si="172"/>
        <v>0</v>
      </c>
      <c r="AN96" s="6"/>
      <c r="AO96" s="7">
        <f t="shared" si="173"/>
        <v>0</v>
      </c>
      <c r="AP96" s="30">
        <f t="shared" si="166"/>
        <v>0</v>
      </c>
      <c r="AQ96" s="6"/>
      <c r="AR96" s="6"/>
      <c r="AS96" s="6"/>
      <c r="AT96" s="44">
        <f t="shared" si="175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18"/>
        <v>0</v>
      </c>
      <c r="BB96" s="5">
        <f t="shared" si="119"/>
        <v>0</v>
      </c>
      <c r="BC96" s="5">
        <f t="shared" si="120"/>
        <v>0</v>
      </c>
      <c r="BD96" s="5">
        <f t="shared" si="121"/>
        <v>0</v>
      </c>
      <c r="BE96" s="5">
        <f t="shared" si="122"/>
        <v>0</v>
      </c>
      <c r="BF96" s="5">
        <f t="shared" si="123"/>
        <v>0</v>
      </c>
      <c r="BG96" s="5">
        <f t="shared" si="124"/>
        <v>0</v>
      </c>
      <c r="BH96" s="5">
        <f t="shared" si="125"/>
        <v>0</v>
      </c>
      <c r="BI96" s="5">
        <f t="shared" si="126"/>
        <v>0</v>
      </c>
      <c r="BJ96" s="5">
        <f t="shared" si="127"/>
        <v>0</v>
      </c>
      <c r="BK96" s="5">
        <f t="shared" si="128"/>
        <v>0</v>
      </c>
      <c r="BL96" s="5">
        <f t="shared" si="129"/>
        <v>0</v>
      </c>
      <c r="BM96" s="5">
        <f t="shared" si="130"/>
        <v>0</v>
      </c>
      <c r="BN96" s="5">
        <f t="shared" si="131"/>
        <v>0</v>
      </c>
      <c r="BO96" s="5">
        <f t="shared" si="132"/>
        <v>0</v>
      </c>
      <c r="BP96" s="5">
        <f t="shared" si="133"/>
        <v>0</v>
      </c>
      <c r="BQ96" s="5">
        <f t="shared" si="134"/>
        <v>0</v>
      </c>
      <c r="BR96" s="5">
        <f t="shared" si="135"/>
        <v>0</v>
      </c>
      <c r="BS96" s="5">
        <f t="shared" si="136"/>
        <v>0</v>
      </c>
      <c r="BT96" s="5">
        <f t="shared" si="137"/>
        <v>0</v>
      </c>
      <c r="BU96" s="5">
        <f t="shared" si="138"/>
        <v>0</v>
      </c>
      <c r="BV96" s="5">
        <f t="shared" si="139"/>
        <v>0</v>
      </c>
      <c r="BW96" s="5">
        <f t="shared" si="140"/>
        <v>0</v>
      </c>
      <c r="BX96" s="5">
        <f t="shared" si="141"/>
        <v>0</v>
      </c>
      <c r="BY96" s="5">
        <f t="shared" si="116"/>
        <v>0</v>
      </c>
      <c r="BZ96" s="5">
        <f t="shared" si="142"/>
        <v>0</v>
      </c>
      <c r="CA96" s="5">
        <f t="shared" si="143"/>
        <v>0</v>
      </c>
      <c r="CB96" s="5">
        <f t="shared" si="144"/>
        <v>0</v>
      </c>
      <c r="CC96" s="5">
        <f t="shared" si="145"/>
        <v>0</v>
      </c>
      <c r="CD96" s="5">
        <f t="shared" si="146"/>
        <v>0</v>
      </c>
      <c r="CE96" s="5">
        <f t="shared" si="147"/>
        <v>0</v>
      </c>
      <c r="CF96" s="5">
        <f t="shared" si="148"/>
        <v>0</v>
      </c>
      <c r="CG96" s="5">
        <f t="shared" si="149"/>
        <v>0</v>
      </c>
      <c r="CH96" s="5">
        <f t="shared" si="150"/>
        <v>0</v>
      </c>
      <c r="CI96" s="5">
        <f t="shared" si="151"/>
        <v>0</v>
      </c>
      <c r="CJ96" s="5"/>
      <c r="CK96" s="4">
        <f t="shared" si="117"/>
        <v>0</v>
      </c>
    </row>
    <row r="97" spans="1:89" ht="38" customHeight="1">
      <c r="A97" s="33" t="str">
        <f t="shared" si="115"/>
        <v/>
      </c>
      <c r="B97" s="10"/>
      <c r="C97" s="86"/>
      <c r="D97" s="88"/>
      <c r="E97" s="88"/>
      <c r="F97" s="44">
        <f t="shared" si="152"/>
        <v>0</v>
      </c>
      <c r="G97" s="88"/>
      <c r="H97" s="88"/>
      <c r="I97" s="44">
        <f t="shared" si="153"/>
        <v>0</v>
      </c>
      <c r="J97" s="87"/>
      <c r="K97" s="88"/>
      <c r="L97" s="44">
        <f t="shared" si="154"/>
        <v>0</v>
      </c>
      <c r="M97" s="88"/>
      <c r="N97" s="88"/>
      <c r="O97" s="44">
        <f t="shared" si="155"/>
        <v>0</v>
      </c>
      <c r="P97" s="88"/>
      <c r="Q97" s="88"/>
      <c r="R97" s="44">
        <f t="shared" si="156"/>
        <v>0</v>
      </c>
      <c r="S97" s="88"/>
      <c r="T97" s="88"/>
      <c r="U97" s="44">
        <f t="shared" si="157"/>
        <v>0</v>
      </c>
      <c r="V97" s="88"/>
      <c r="W97" s="88"/>
      <c r="X97" s="44">
        <f t="shared" si="158"/>
        <v>0</v>
      </c>
      <c r="Y97" s="44"/>
      <c r="Z97" s="44"/>
      <c r="AA97" s="44"/>
      <c r="AB97" s="44">
        <f t="shared" si="174"/>
        <v>0</v>
      </c>
      <c r="AC97" s="23"/>
      <c r="AD97" s="6"/>
      <c r="AE97" s="7">
        <f t="shared" si="168"/>
        <v>0</v>
      </c>
      <c r="AF97" s="6"/>
      <c r="AG97" s="7">
        <f t="shared" si="169"/>
        <v>0</v>
      </c>
      <c r="AH97" s="6"/>
      <c r="AI97" s="7">
        <f t="shared" si="170"/>
        <v>0</v>
      </c>
      <c r="AJ97" s="6"/>
      <c r="AK97" s="7">
        <f t="shared" si="171"/>
        <v>0</v>
      </c>
      <c r="AL97" s="6"/>
      <c r="AM97" s="7">
        <f t="shared" si="172"/>
        <v>0</v>
      </c>
      <c r="AN97" s="6"/>
      <c r="AO97" s="7">
        <f t="shared" si="173"/>
        <v>0</v>
      </c>
      <c r="AP97" s="30">
        <f t="shared" si="166"/>
        <v>0</v>
      </c>
      <c r="AQ97" s="6"/>
      <c r="AR97" s="6"/>
      <c r="AS97" s="6"/>
      <c r="AT97" s="44">
        <f t="shared" si="175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18"/>
        <v>0</v>
      </c>
      <c r="BB97" s="5">
        <f t="shared" si="119"/>
        <v>0</v>
      </c>
      <c r="BC97" s="5">
        <f t="shared" si="120"/>
        <v>0</v>
      </c>
      <c r="BD97" s="5">
        <f t="shared" si="121"/>
        <v>0</v>
      </c>
      <c r="BE97" s="5">
        <f t="shared" si="122"/>
        <v>0</v>
      </c>
      <c r="BF97" s="5">
        <f t="shared" si="123"/>
        <v>0</v>
      </c>
      <c r="BG97" s="5">
        <f t="shared" si="124"/>
        <v>0</v>
      </c>
      <c r="BH97" s="5">
        <f t="shared" si="125"/>
        <v>0</v>
      </c>
      <c r="BI97" s="5">
        <f t="shared" si="126"/>
        <v>0</v>
      </c>
      <c r="BJ97" s="5">
        <f t="shared" si="127"/>
        <v>0</v>
      </c>
      <c r="BK97" s="5">
        <f t="shared" si="128"/>
        <v>0</v>
      </c>
      <c r="BL97" s="5">
        <f t="shared" si="129"/>
        <v>0</v>
      </c>
      <c r="BM97" s="5">
        <f t="shared" si="130"/>
        <v>0</v>
      </c>
      <c r="BN97" s="5">
        <f t="shared" si="131"/>
        <v>0</v>
      </c>
      <c r="BO97" s="5">
        <f t="shared" si="132"/>
        <v>0</v>
      </c>
      <c r="BP97" s="5">
        <f t="shared" si="133"/>
        <v>0</v>
      </c>
      <c r="BQ97" s="5">
        <f t="shared" si="134"/>
        <v>0</v>
      </c>
      <c r="BR97" s="5">
        <f t="shared" si="135"/>
        <v>0</v>
      </c>
      <c r="BS97" s="5">
        <f t="shared" si="136"/>
        <v>0</v>
      </c>
      <c r="BT97" s="5">
        <f t="shared" si="137"/>
        <v>0</v>
      </c>
      <c r="BU97" s="5">
        <f t="shared" si="138"/>
        <v>0</v>
      </c>
      <c r="BV97" s="5">
        <f t="shared" si="139"/>
        <v>0</v>
      </c>
      <c r="BW97" s="5">
        <f t="shared" si="140"/>
        <v>0</v>
      </c>
      <c r="BX97" s="5">
        <f t="shared" si="141"/>
        <v>0</v>
      </c>
      <c r="BY97" s="5">
        <f t="shared" si="116"/>
        <v>0</v>
      </c>
      <c r="BZ97" s="5">
        <f t="shared" si="142"/>
        <v>0</v>
      </c>
      <c r="CA97" s="5">
        <f t="shared" si="143"/>
        <v>0</v>
      </c>
      <c r="CB97" s="5">
        <f t="shared" si="144"/>
        <v>0</v>
      </c>
      <c r="CC97" s="5">
        <f t="shared" si="145"/>
        <v>0</v>
      </c>
      <c r="CD97" s="5">
        <f t="shared" si="146"/>
        <v>0</v>
      </c>
      <c r="CE97" s="5">
        <f t="shared" si="147"/>
        <v>0</v>
      </c>
      <c r="CF97" s="5">
        <f t="shared" si="148"/>
        <v>0</v>
      </c>
      <c r="CG97" s="5">
        <f t="shared" si="149"/>
        <v>0</v>
      </c>
      <c r="CH97" s="5">
        <f t="shared" si="150"/>
        <v>0</v>
      </c>
      <c r="CI97" s="5">
        <f t="shared" si="151"/>
        <v>0</v>
      </c>
      <c r="CJ97" s="5"/>
      <c r="CK97" s="4">
        <f t="shared" si="117"/>
        <v>0</v>
      </c>
    </row>
    <row r="98" spans="1:89" ht="38" customHeight="1">
      <c r="A98" s="33" t="str">
        <f t="shared" si="115"/>
        <v/>
      </c>
      <c r="B98" s="10"/>
      <c r="C98" s="86"/>
      <c r="D98" s="88"/>
      <c r="E98" s="88"/>
      <c r="F98" s="44">
        <f t="shared" si="152"/>
        <v>0</v>
      </c>
      <c r="G98" s="88"/>
      <c r="H98" s="88"/>
      <c r="I98" s="44">
        <f t="shared" si="153"/>
        <v>0</v>
      </c>
      <c r="J98" s="87"/>
      <c r="K98" s="88"/>
      <c r="L98" s="44">
        <f t="shared" si="154"/>
        <v>0</v>
      </c>
      <c r="M98" s="88"/>
      <c r="N98" s="88"/>
      <c r="O98" s="44">
        <f t="shared" si="155"/>
        <v>0</v>
      </c>
      <c r="P98" s="88"/>
      <c r="Q98" s="88"/>
      <c r="R98" s="44">
        <f t="shared" si="156"/>
        <v>0</v>
      </c>
      <c r="S98" s="88"/>
      <c r="T98" s="88"/>
      <c r="U98" s="44">
        <f t="shared" si="157"/>
        <v>0</v>
      </c>
      <c r="V98" s="88"/>
      <c r="W98" s="88"/>
      <c r="X98" s="44">
        <f t="shared" si="158"/>
        <v>0</v>
      </c>
      <c r="Y98" s="44"/>
      <c r="Z98" s="44"/>
      <c r="AA98" s="44"/>
      <c r="AB98" s="44">
        <f t="shared" si="174"/>
        <v>0</v>
      </c>
      <c r="AC98" s="23"/>
      <c r="AD98" s="6"/>
      <c r="AE98" s="7">
        <f t="shared" si="168"/>
        <v>0</v>
      </c>
      <c r="AF98" s="6"/>
      <c r="AG98" s="7">
        <f t="shared" si="169"/>
        <v>0</v>
      </c>
      <c r="AH98" s="6"/>
      <c r="AI98" s="7">
        <f t="shared" si="170"/>
        <v>0</v>
      </c>
      <c r="AJ98" s="6"/>
      <c r="AK98" s="7">
        <f t="shared" si="171"/>
        <v>0</v>
      </c>
      <c r="AL98" s="6"/>
      <c r="AM98" s="7">
        <f t="shared" si="172"/>
        <v>0</v>
      </c>
      <c r="AN98" s="6"/>
      <c r="AO98" s="7">
        <f t="shared" si="173"/>
        <v>0</v>
      </c>
      <c r="AP98" s="30">
        <f t="shared" si="166"/>
        <v>0</v>
      </c>
      <c r="AQ98" s="6"/>
      <c r="AR98" s="6"/>
      <c r="AS98" s="6"/>
      <c r="AT98" s="44">
        <f t="shared" si="175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18"/>
        <v>0</v>
      </c>
      <c r="BB98" s="5">
        <f t="shared" si="119"/>
        <v>0</v>
      </c>
      <c r="BC98" s="5">
        <f t="shared" si="120"/>
        <v>0</v>
      </c>
      <c r="BD98" s="5">
        <f t="shared" si="121"/>
        <v>0</v>
      </c>
      <c r="BE98" s="5">
        <f t="shared" si="122"/>
        <v>0</v>
      </c>
      <c r="BF98" s="5">
        <f t="shared" si="123"/>
        <v>0</v>
      </c>
      <c r="BG98" s="5">
        <f t="shared" si="124"/>
        <v>0</v>
      </c>
      <c r="BH98" s="5">
        <f t="shared" si="125"/>
        <v>0</v>
      </c>
      <c r="BI98" s="5">
        <f t="shared" si="126"/>
        <v>0</v>
      </c>
      <c r="BJ98" s="5">
        <f t="shared" si="127"/>
        <v>0</v>
      </c>
      <c r="BK98" s="5">
        <f t="shared" si="128"/>
        <v>0</v>
      </c>
      <c r="BL98" s="5">
        <f t="shared" si="129"/>
        <v>0</v>
      </c>
      <c r="BM98" s="5">
        <f t="shared" si="130"/>
        <v>0</v>
      </c>
      <c r="BN98" s="5">
        <f t="shared" si="131"/>
        <v>0</v>
      </c>
      <c r="BO98" s="5">
        <f t="shared" si="132"/>
        <v>0</v>
      </c>
      <c r="BP98" s="5">
        <f t="shared" si="133"/>
        <v>0</v>
      </c>
      <c r="BQ98" s="5">
        <f t="shared" si="134"/>
        <v>0</v>
      </c>
      <c r="BR98" s="5">
        <f t="shared" si="135"/>
        <v>0</v>
      </c>
      <c r="BS98" s="5">
        <f t="shared" si="136"/>
        <v>0</v>
      </c>
      <c r="BT98" s="5">
        <f t="shared" si="137"/>
        <v>0</v>
      </c>
      <c r="BU98" s="5">
        <f t="shared" si="138"/>
        <v>0</v>
      </c>
      <c r="BV98" s="5">
        <f t="shared" si="139"/>
        <v>0</v>
      </c>
      <c r="BW98" s="5">
        <f t="shared" si="140"/>
        <v>0</v>
      </c>
      <c r="BX98" s="5">
        <f t="shared" si="141"/>
        <v>0</v>
      </c>
      <c r="BY98" s="5">
        <f t="shared" si="116"/>
        <v>0</v>
      </c>
      <c r="BZ98" s="5">
        <f t="shared" si="142"/>
        <v>0</v>
      </c>
      <c r="CA98" s="5">
        <f t="shared" si="143"/>
        <v>0</v>
      </c>
      <c r="CB98" s="5">
        <f t="shared" si="144"/>
        <v>0</v>
      </c>
      <c r="CC98" s="5">
        <f t="shared" si="145"/>
        <v>0</v>
      </c>
      <c r="CD98" s="5">
        <f t="shared" si="146"/>
        <v>0</v>
      </c>
      <c r="CE98" s="5">
        <f t="shared" si="147"/>
        <v>0</v>
      </c>
      <c r="CF98" s="5">
        <f t="shared" si="148"/>
        <v>0</v>
      </c>
      <c r="CG98" s="5">
        <f t="shared" si="149"/>
        <v>0</v>
      </c>
      <c r="CH98" s="5">
        <f t="shared" si="150"/>
        <v>0</v>
      </c>
      <c r="CI98" s="5">
        <f t="shared" si="151"/>
        <v>0</v>
      </c>
      <c r="CJ98" s="5"/>
      <c r="CK98" s="4">
        <f t="shared" si="117"/>
        <v>0</v>
      </c>
    </row>
    <row r="99" spans="1:89" ht="38" customHeight="1">
      <c r="A99" s="33" t="str">
        <f t="shared" si="115"/>
        <v/>
      </c>
      <c r="B99" s="10"/>
      <c r="C99" s="86"/>
      <c r="D99" s="88"/>
      <c r="E99" s="88"/>
      <c r="F99" s="44">
        <f t="shared" si="152"/>
        <v>0</v>
      </c>
      <c r="G99" s="88"/>
      <c r="H99" s="88"/>
      <c r="I99" s="44">
        <f t="shared" si="153"/>
        <v>0</v>
      </c>
      <c r="J99" s="87"/>
      <c r="K99" s="88"/>
      <c r="L99" s="44">
        <f t="shared" si="154"/>
        <v>0</v>
      </c>
      <c r="M99" s="88"/>
      <c r="N99" s="88"/>
      <c r="O99" s="44">
        <f t="shared" si="155"/>
        <v>0</v>
      </c>
      <c r="P99" s="88"/>
      <c r="Q99" s="88"/>
      <c r="R99" s="44">
        <f t="shared" si="156"/>
        <v>0</v>
      </c>
      <c r="S99" s="88"/>
      <c r="T99" s="88"/>
      <c r="U99" s="44">
        <f t="shared" si="157"/>
        <v>0</v>
      </c>
      <c r="V99" s="88"/>
      <c r="W99" s="88"/>
      <c r="X99" s="44">
        <f t="shared" si="158"/>
        <v>0</v>
      </c>
      <c r="Y99" s="44"/>
      <c r="Z99" s="44"/>
      <c r="AA99" s="44"/>
      <c r="AB99" s="44">
        <f t="shared" si="174"/>
        <v>0</v>
      </c>
      <c r="AC99" s="23"/>
      <c r="AD99" s="6"/>
      <c r="AE99" s="7">
        <f t="shared" si="168"/>
        <v>0</v>
      </c>
      <c r="AF99" s="6"/>
      <c r="AG99" s="7">
        <f t="shared" si="169"/>
        <v>0</v>
      </c>
      <c r="AH99" s="6"/>
      <c r="AI99" s="7">
        <f t="shared" si="170"/>
        <v>0</v>
      </c>
      <c r="AJ99" s="6"/>
      <c r="AK99" s="7">
        <f t="shared" si="171"/>
        <v>0</v>
      </c>
      <c r="AL99" s="6"/>
      <c r="AM99" s="7">
        <f t="shared" si="172"/>
        <v>0</v>
      </c>
      <c r="AN99" s="6"/>
      <c r="AO99" s="7">
        <f t="shared" si="173"/>
        <v>0</v>
      </c>
      <c r="AP99" s="30">
        <f t="shared" si="166"/>
        <v>0</v>
      </c>
      <c r="AQ99" s="6"/>
      <c r="AR99" s="6"/>
      <c r="AS99" s="6"/>
      <c r="AT99" s="44">
        <f t="shared" si="175"/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18"/>
        <v>0</v>
      </c>
      <c r="BB99" s="5">
        <f t="shared" si="119"/>
        <v>0</v>
      </c>
      <c r="BC99" s="5">
        <f t="shared" si="120"/>
        <v>0</v>
      </c>
      <c r="BD99" s="5">
        <f t="shared" si="121"/>
        <v>0</v>
      </c>
      <c r="BE99" s="5">
        <f t="shared" si="122"/>
        <v>0</v>
      </c>
      <c r="BF99" s="5">
        <f t="shared" si="123"/>
        <v>0</v>
      </c>
      <c r="BG99" s="5">
        <f t="shared" si="124"/>
        <v>0</v>
      </c>
      <c r="BH99" s="5">
        <f t="shared" si="125"/>
        <v>0</v>
      </c>
      <c r="BI99" s="5">
        <f t="shared" si="126"/>
        <v>0</v>
      </c>
      <c r="BJ99" s="5">
        <f t="shared" si="127"/>
        <v>0</v>
      </c>
      <c r="BK99" s="5">
        <f t="shared" si="128"/>
        <v>0</v>
      </c>
      <c r="BL99" s="5">
        <f t="shared" si="129"/>
        <v>0</v>
      </c>
      <c r="BM99" s="5">
        <f t="shared" si="130"/>
        <v>0</v>
      </c>
      <c r="BN99" s="5">
        <f t="shared" si="131"/>
        <v>0</v>
      </c>
      <c r="BO99" s="5">
        <f t="shared" si="132"/>
        <v>0</v>
      </c>
      <c r="BP99" s="5">
        <f t="shared" si="133"/>
        <v>0</v>
      </c>
      <c r="BQ99" s="5">
        <f t="shared" si="134"/>
        <v>0</v>
      </c>
      <c r="BR99" s="5">
        <f t="shared" si="135"/>
        <v>0</v>
      </c>
      <c r="BS99" s="5">
        <f t="shared" si="136"/>
        <v>0</v>
      </c>
      <c r="BT99" s="5">
        <f t="shared" si="137"/>
        <v>0</v>
      </c>
      <c r="BU99" s="5">
        <f t="shared" si="138"/>
        <v>0</v>
      </c>
      <c r="BV99" s="5">
        <f t="shared" si="139"/>
        <v>0</v>
      </c>
      <c r="BW99" s="5">
        <f t="shared" si="140"/>
        <v>0</v>
      </c>
      <c r="BX99" s="5">
        <f t="shared" si="141"/>
        <v>0</v>
      </c>
      <c r="BY99" s="5">
        <f t="shared" si="116"/>
        <v>0</v>
      </c>
      <c r="BZ99" s="5">
        <f t="shared" si="142"/>
        <v>0</v>
      </c>
      <c r="CA99" s="5">
        <f t="shared" si="143"/>
        <v>0</v>
      </c>
      <c r="CB99" s="5">
        <f t="shared" si="144"/>
        <v>0</v>
      </c>
      <c r="CC99" s="5">
        <f t="shared" si="145"/>
        <v>0</v>
      </c>
      <c r="CD99" s="5">
        <f t="shared" si="146"/>
        <v>0</v>
      </c>
      <c r="CE99" s="5">
        <f t="shared" si="147"/>
        <v>0</v>
      </c>
      <c r="CF99" s="5">
        <f t="shared" si="148"/>
        <v>0</v>
      </c>
      <c r="CG99" s="5">
        <f t="shared" si="149"/>
        <v>0</v>
      </c>
      <c r="CH99" s="5">
        <f t="shared" si="150"/>
        <v>0</v>
      </c>
      <c r="CI99" s="5">
        <f t="shared" si="151"/>
        <v>0</v>
      </c>
      <c r="CJ99" s="5"/>
      <c r="CK99" s="4">
        <f t="shared" si="117"/>
        <v>0</v>
      </c>
    </row>
    <row r="100" spans="1:89" ht="38" customHeight="1">
      <c r="A100" s="33" t="str">
        <f t="shared" si="115"/>
        <v/>
      </c>
      <c r="B100" s="10"/>
      <c r="C100" s="86"/>
      <c r="D100" s="88"/>
      <c r="E100" s="88"/>
      <c r="F100" s="44">
        <f t="shared" si="152"/>
        <v>0</v>
      </c>
      <c r="G100" s="88"/>
      <c r="H100" s="88"/>
      <c r="I100" s="44">
        <f t="shared" si="153"/>
        <v>0</v>
      </c>
      <c r="J100" s="87"/>
      <c r="K100" s="88"/>
      <c r="L100" s="44">
        <f t="shared" si="154"/>
        <v>0</v>
      </c>
      <c r="M100" s="88"/>
      <c r="N100" s="88"/>
      <c r="O100" s="44">
        <f t="shared" si="155"/>
        <v>0</v>
      </c>
      <c r="P100" s="88"/>
      <c r="Q100" s="88"/>
      <c r="R100" s="44">
        <f t="shared" si="156"/>
        <v>0</v>
      </c>
      <c r="S100" s="88"/>
      <c r="T100" s="88"/>
      <c r="U100" s="44">
        <f t="shared" si="157"/>
        <v>0</v>
      </c>
      <c r="V100" s="88"/>
      <c r="W100" s="88"/>
      <c r="X100" s="44">
        <f t="shared" si="158"/>
        <v>0</v>
      </c>
      <c r="Y100" s="44"/>
      <c r="Z100" s="44"/>
      <c r="AA100" s="44"/>
      <c r="AB100" s="44">
        <f t="shared" si="174"/>
        <v>0</v>
      </c>
      <c r="AC100" s="23"/>
      <c r="AD100" s="6"/>
      <c r="AE100" s="7">
        <f t="shared" si="168"/>
        <v>0</v>
      </c>
      <c r="AF100" s="6"/>
      <c r="AG100" s="7">
        <f t="shared" si="169"/>
        <v>0</v>
      </c>
      <c r="AH100" s="6"/>
      <c r="AI100" s="7">
        <f t="shared" si="170"/>
        <v>0</v>
      </c>
      <c r="AJ100" s="6"/>
      <c r="AK100" s="7">
        <f t="shared" si="171"/>
        <v>0</v>
      </c>
      <c r="AL100" s="6"/>
      <c r="AM100" s="7">
        <f t="shared" si="172"/>
        <v>0</v>
      </c>
      <c r="AN100" s="6"/>
      <c r="AO100" s="7">
        <f t="shared" si="173"/>
        <v>0</v>
      </c>
      <c r="AP100" s="30">
        <f t="shared" si="166"/>
        <v>0</v>
      </c>
      <c r="AQ100" s="6"/>
      <c r="AR100" s="6"/>
      <c r="AS100" s="6"/>
      <c r="AT100" s="44">
        <f t="shared" si="175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18"/>
        <v>0</v>
      </c>
      <c r="BB100" s="5">
        <f t="shared" si="119"/>
        <v>0</v>
      </c>
      <c r="BC100" s="5">
        <f t="shared" si="120"/>
        <v>0</v>
      </c>
      <c r="BD100" s="5">
        <f t="shared" si="121"/>
        <v>0</v>
      </c>
      <c r="BE100" s="5">
        <f t="shared" si="122"/>
        <v>0</v>
      </c>
      <c r="BF100" s="5">
        <f t="shared" si="123"/>
        <v>0</v>
      </c>
      <c r="BG100" s="5">
        <f t="shared" si="124"/>
        <v>0</v>
      </c>
      <c r="BH100" s="5">
        <f t="shared" si="125"/>
        <v>0</v>
      </c>
      <c r="BI100" s="5">
        <f t="shared" si="126"/>
        <v>0</v>
      </c>
      <c r="BJ100" s="5">
        <f t="shared" si="127"/>
        <v>0</v>
      </c>
      <c r="BK100" s="5">
        <f t="shared" si="128"/>
        <v>0</v>
      </c>
      <c r="BL100" s="5">
        <f t="shared" si="129"/>
        <v>0</v>
      </c>
      <c r="BM100" s="5">
        <f t="shared" si="130"/>
        <v>0</v>
      </c>
      <c r="BN100" s="5">
        <f t="shared" si="131"/>
        <v>0</v>
      </c>
      <c r="BO100" s="5">
        <f t="shared" si="132"/>
        <v>0</v>
      </c>
      <c r="BP100" s="5">
        <f t="shared" si="133"/>
        <v>0</v>
      </c>
      <c r="BQ100" s="5">
        <f t="shared" si="134"/>
        <v>0</v>
      </c>
      <c r="BR100" s="5">
        <f t="shared" si="135"/>
        <v>0</v>
      </c>
      <c r="BS100" s="5">
        <f t="shared" si="136"/>
        <v>0</v>
      </c>
      <c r="BT100" s="5">
        <f t="shared" si="137"/>
        <v>0</v>
      </c>
      <c r="BU100" s="5">
        <f t="shared" si="138"/>
        <v>0</v>
      </c>
      <c r="BV100" s="5">
        <f t="shared" si="139"/>
        <v>0</v>
      </c>
      <c r="BW100" s="5">
        <f t="shared" si="140"/>
        <v>0</v>
      </c>
      <c r="BX100" s="5">
        <f t="shared" si="141"/>
        <v>0</v>
      </c>
      <c r="BY100" s="5">
        <f t="shared" si="116"/>
        <v>0</v>
      </c>
      <c r="BZ100" s="5">
        <f t="shared" si="142"/>
        <v>0</v>
      </c>
      <c r="CA100" s="5">
        <f t="shared" si="143"/>
        <v>0</v>
      </c>
      <c r="CB100" s="5">
        <f t="shared" si="144"/>
        <v>0</v>
      </c>
      <c r="CC100" s="5">
        <f t="shared" si="145"/>
        <v>0</v>
      </c>
      <c r="CD100" s="5">
        <f t="shared" si="146"/>
        <v>0</v>
      </c>
      <c r="CE100" s="5">
        <f t="shared" si="147"/>
        <v>0</v>
      </c>
      <c r="CF100" s="5">
        <f t="shared" si="148"/>
        <v>0</v>
      </c>
      <c r="CG100" s="5">
        <f t="shared" si="149"/>
        <v>0</v>
      </c>
      <c r="CH100" s="5">
        <f t="shared" si="150"/>
        <v>0</v>
      </c>
      <c r="CI100" s="5">
        <f t="shared" si="151"/>
        <v>0</v>
      </c>
      <c r="CJ100" s="5"/>
      <c r="CK100" s="4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dataConsolidate/>
  <phoneticPr fontId="2" type="noConversion"/>
  <conditionalFormatting sqref="D1:AB1">
    <cfRule type="cellIs" dxfId="19" priority="696" operator="equal">
      <formula>"Pub"</formula>
    </cfRule>
  </conditionalFormatting>
  <conditionalFormatting sqref="F2:F100 I2:I100 L2:L100 O2:O100 R2:R100 U2:U100 X2:AB100 AT2:AT100">
    <cfRule type="cellIs" dxfId="18" priority="698" operator="lessThan">
      <formula>0</formula>
    </cfRule>
    <cfRule type="cellIs" dxfId="17" priority="699" operator="between">
      <formula>3</formula>
      <formula>0.01</formula>
    </cfRule>
    <cfRule type="cellIs" dxfId="16" priority="771" operator="lessThan">
      <formula>SUMIF($C:$C,$C2,F:F)</formula>
    </cfRule>
  </conditionalFormatting>
  <conditionalFormatting sqref="AD2:AD100">
    <cfRule type="notContainsBlanks" dxfId="15" priority="1">
      <formula>LEN(TRIM(AD2))&gt;0</formula>
    </cfRule>
  </conditionalFormatting>
  <conditionalFormatting sqref="AF2:AF100 AJ2:AJ100 AL2:AL100 AN2:AN100 AQ2:AS100">
    <cfRule type="notContainsBlanks" dxfId="14" priority="772">
      <formula>LEN(TRIM(AF2))&gt;0</formula>
    </cfRule>
  </conditionalFormatting>
  <conditionalFormatting sqref="AH2:AH100">
    <cfRule type="notContainsBlanks" dxfId="13" priority="2">
      <formula>LEN(TRIM(AH2))&gt;0</formula>
    </cfRule>
  </conditionalFormatting>
  <conditionalFormatting sqref="AT1">
    <cfRule type="cellIs" dxfId="12" priority="691" operator="equal">
      <formula>"Pub"</formula>
    </cfRule>
  </conditionalFormatting>
  <pageMargins left="0.7" right="0.7" top="0.75" bottom="0.75" header="0" footer="0"/>
  <pageSetup paperSize="9" orientation="landscape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6BDE87-2E5F-EF42-BAC0-65B01E6E8206}">
          <x14:formula1>
            <xm:f>Stores!$A$2:$A$40</xm:f>
          </x14:formula1>
          <xm:sqref>B2:B100</xm:sqref>
        </x14:dataValidation>
        <x14:dataValidation type="list" allowBlank="1" showInputMessage="1" showErrorMessage="1" xr:uid="{37B6E53A-4C23-3F41-90B7-5807903B413D}">
          <x14:formula1>
            <xm:f>Employees!$A:$A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7007-DF16-4C40-85CF-130DFB1A35D3}">
  <sheetPr codeName="Sheet2">
    <pageSetUpPr fitToPage="1"/>
  </sheetPr>
  <dimension ref="A1:CK100"/>
  <sheetViews>
    <sheetView zoomScale="60" zoomScaleNormal="60" workbookViewId="0">
      <pane xSplit="3" ySplit="1" topLeftCell="F2" activePane="bottomRight" state="frozen"/>
      <selection pane="topRight" activeCell="D1" sqref="D1"/>
      <selection pane="bottomLeft" activeCell="A2" sqref="A2"/>
      <selection pane="bottomRight" activeCell="E11" sqref="E11"/>
    </sheetView>
  </sheetViews>
  <sheetFormatPr baseColWidth="10" defaultColWidth="14.5" defaultRowHeight="15" customHeight="1"/>
  <cols>
    <col min="1" max="1" width="21" style="47" customWidth="1"/>
    <col min="2" max="2" width="30.83203125" style="3" customWidth="1"/>
    <col min="3" max="3" width="40.6640625" style="3" customWidth="1"/>
    <col min="4" max="5" width="15.83203125" style="51" customWidth="1"/>
    <col min="6" max="6" width="10.83203125" style="47" customWidth="1"/>
    <col min="7" max="8" width="15.83203125" style="51" customWidth="1"/>
    <col min="9" max="9" width="10.83203125" style="47" customWidth="1"/>
    <col min="10" max="11" width="15.83203125" style="51" customWidth="1"/>
    <col min="12" max="12" width="10.83203125" style="47" customWidth="1"/>
    <col min="13" max="13" width="15.5" style="51" customWidth="1"/>
    <col min="14" max="14" width="15.83203125" style="51" customWidth="1"/>
    <col min="15" max="15" width="10.83203125" style="47" customWidth="1"/>
    <col min="16" max="17" width="15.83203125" style="51" customWidth="1"/>
    <col min="18" max="18" width="10.83203125" style="47" customWidth="1"/>
    <col min="19" max="20" width="15.83203125" style="51" customWidth="1"/>
    <col min="21" max="21" width="10.83203125" style="47" customWidth="1"/>
    <col min="22" max="23" width="15.83203125" style="51" customWidth="1"/>
    <col min="24" max="24" width="10.83203125" style="47" customWidth="1"/>
    <col min="25" max="25" width="22.6640625" style="47" hidden="1" customWidth="1"/>
    <col min="26" max="26" width="18.33203125" style="47" hidden="1" customWidth="1"/>
    <col min="27" max="27" width="1.83203125" style="47" hidden="1" customWidth="1"/>
    <col min="28" max="28" width="17.6640625" style="64" customWidth="1"/>
    <col min="29" max="29" width="3.5" style="48" customWidth="1"/>
    <col min="30" max="30" width="10.83203125" style="56" customWidth="1"/>
    <col min="31" max="31" width="10.83203125" style="49" customWidth="1"/>
    <col min="32" max="32" width="11" style="56" customWidth="1"/>
    <col min="33" max="33" width="11" style="49" customWidth="1"/>
    <col min="34" max="34" width="11" style="56" customWidth="1"/>
    <col min="35" max="35" width="10.83203125" style="49" customWidth="1"/>
    <col min="36" max="36" width="10.6640625" style="56" customWidth="1"/>
    <col min="37" max="37" width="11" style="49" customWidth="1"/>
    <col min="38" max="38" width="10.66406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7.6640625" style="64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47" customHeight="1">
      <c r="A1" s="19" t="s">
        <v>0</v>
      </c>
      <c r="B1" s="19" t="s">
        <v>1</v>
      </c>
      <c r="C1" s="19" t="s">
        <v>2</v>
      </c>
      <c r="D1" s="71">
        <f>'Week 1 Roster'!V1+1</f>
        <v>46048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Pub</v>
      </c>
      <c r="G1" s="71">
        <f>D1+1</f>
        <v>46049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46050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46051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46052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46053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46054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46055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62" t="s">
        <v>3</v>
      </c>
      <c r="AD1" s="11" t="s">
        <v>4</v>
      </c>
      <c r="AE1" s="20" t="s">
        <v>5</v>
      </c>
      <c r="AF1" s="11" t="s">
        <v>4</v>
      </c>
      <c r="AG1" s="20" t="s">
        <v>6</v>
      </c>
      <c r="AH1" s="11" t="s">
        <v>4</v>
      </c>
      <c r="AI1" s="20" t="s">
        <v>7</v>
      </c>
      <c r="AJ1" s="11" t="s">
        <v>4</v>
      </c>
      <c r="AK1" s="20" t="s">
        <v>8</v>
      </c>
      <c r="AL1" s="11" t="s">
        <v>4</v>
      </c>
      <c r="AM1" s="20" t="s">
        <v>9</v>
      </c>
      <c r="AN1" s="11" t="s">
        <v>4</v>
      </c>
      <c r="AO1" s="20" t="s">
        <v>10</v>
      </c>
      <c r="AP1" s="29" t="s">
        <v>11</v>
      </c>
      <c r="AQ1" s="11" t="s">
        <v>12</v>
      </c>
      <c r="AR1" s="11" t="s">
        <v>13</v>
      </c>
      <c r="AS1" s="11" t="s">
        <v>14</v>
      </c>
      <c r="AT1" s="62" t="s">
        <v>15</v>
      </c>
      <c r="AU1" s="19" t="s">
        <v>16</v>
      </c>
      <c r="AV1" s="34">
        <v>0.91666666666666663</v>
      </c>
      <c r="AW1" s="35">
        <v>1</v>
      </c>
      <c r="AX1" s="41">
        <v>5.5</v>
      </c>
      <c r="AY1" s="41">
        <v>9</v>
      </c>
      <c r="AZ1" s="22" t="s">
        <v>0</v>
      </c>
      <c r="BA1" s="35" t="s">
        <v>17</v>
      </c>
      <c r="BB1" s="35" t="s">
        <v>18</v>
      </c>
      <c r="BC1" s="36" t="str">
        <f>F1</f>
        <v>Pub</v>
      </c>
      <c r="BD1" s="36" t="str">
        <f>IF(BC1="Ord","Eve 1", BC1)</f>
        <v>Pub</v>
      </c>
      <c r="BE1" s="36" t="str">
        <f>IF(BH1="Ord","Eve 2",BH1)</f>
        <v>Eve 2</v>
      </c>
      <c r="BF1" s="36" t="s">
        <v>19</v>
      </c>
      <c r="BG1" s="36" t="s">
        <v>20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21</v>
      </c>
      <c r="BL1" s="36" t="s">
        <v>22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23</v>
      </c>
      <c r="BQ1" s="36" t="s">
        <v>24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25</v>
      </c>
      <c r="BV1" s="36" t="s">
        <v>26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27</v>
      </c>
      <c r="CA1" s="36" t="s">
        <v>28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29</v>
      </c>
      <c r="CF1" s="36" t="s">
        <v>30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21" t="s">
        <v>11</v>
      </c>
    </row>
    <row r="2" spans="1:89" ht="47" customHeight="1">
      <c r="A2" s="74" t="str">
        <f t="shared" ref="A2:A33" si="0">IF(ISNA(AZ2),"",AZ2)</f>
        <v/>
      </c>
      <c r="B2" s="80"/>
      <c r="C2" s="89"/>
      <c r="D2" s="75"/>
      <c r="E2" s="75"/>
      <c r="F2" s="90">
        <f>BA2-BB2</f>
        <v>0</v>
      </c>
      <c r="G2" s="75"/>
      <c r="H2" s="100"/>
      <c r="I2" s="90">
        <f>BF2-BG2</f>
        <v>0</v>
      </c>
      <c r="J2" s="75"/>
      <c r="K2" s="100"/>
      <c r="L2" s="90">
        <f>BK2-BL2</f>
        <v>0</v>
      </c>
      <c r="M2" s="75"/>
      <c r="N2" s="100"/>
      <c r="O2" s="90">
        <f>BP2-BQ2</f>
        <v>0</v>
      </c>
      <c r="P2" s="75"/>
      <c r="Q2" s="100"/>
      <c r="R2" s="90">
        <f>BU2-BV2</f>
        <v>0</v>
      </c>
      <c r="S2" s="75"/>
      <c r="T2" s="75"/>
      <c r="U2" s="90">
        <f>BZ2-CA2</f>
        <v>0</v>
      </c>
      <c r="V2" s="75"/>
      <c r="W2" s="100"/>
      <c r="X2" s="90">
        <f>CE2-CF2</f>
        <v>0</v>
      </c>
      <c r="Y2" s="90"/>
      <c r="Z2" s="90"/>
      <c r="AA2" s="90"/>
      <c r="AB2" s="94">
        <f>SUM(F2,I2,L2,O2,R2,U2,X2)</f>
        <v>0</v>
      </c>
      <c r="AC2" s="91"/>
      <c r="AD2" s="77"/>
      <c r="AE2" s="92">
        <f>SUMIF($BC$1:$CI$1,AE$1,$BC2:$CI2)+AD2</f>
        <v>0</v>
      </c>
      <c r="AF2" s="77"/>
      <c r="AG2" s="92">
        <f>SUMIF($BC$1:$CI$1,AG$1,$BC2:$CI2)+AF2</f>
        <v>0</v>
      </c>
      <c r="AH2" s="77"/>
      <c r="AI2" s="92">
        <f>SUMIF($BC$1:$CI$1,AI$1,$BC2:$CI2)+AH2</f>
        <v>0</v>
      </c>
      <c r="AJ2" s="76"/>
      <c r="AK2" s="92">
        <f>SUMIF($BC$1:$CI$1,AK$1,$BC2:$CI2)+AJ2</f>
        <v>0</v>
      </c>
      <c r="AL2" s="77"/>
      <c r="AM2" s="92">
        <f>SUMIF($BC$1:$CI$1,AM$1,$BC2:$CI2)+AL2</f>
        <v>0</v>
      </c>
      <c r="AN2" s="76"/>
      <c r="AO2" s="92">
        <f>SUMIF($BC$1:$CI$1,AO$1,$BC2:$CI2)+AN2</f>
        <v>0</v>
      </c>
      <c r="AP2" s="93">
        <f>CK2</f>
        <v>0</v>
      </c>
      <c r="AQ2" s="76"/>
      <c r="AR2" s="76"/>
      <c r="AS2" s="76"/>
      <c r="AT2" s="63">
        <f>AE2+AG2+AI2+AK2+AM2+AO2+SUM(AQ2:AS2)</f>
        <v>0</v>
      </c>
      <c r="AU2" s="77"/>
      <c r="AV2" s="5"/>
      <c r="AW2" s="5"/>
      <c r="AX2" s="5"/>
      <c r="AY2" s="5"/>
      <c r="AZ2" s="24" t="e">
        <f>VLOOKUP(C2,Employees!D:I,6,FALSE)</f>
        <v>#N/A</v>
      </c>
      <c r="BA2" s="5">
        <f>IF(ISBLANK(D2),0,(E2-D2)*24)</f>
        <v>0</v>
      </c>
      <c r="BB2" s="5">
        <f>IF(BA2&gt;$AY$1,1,IF(BA2&gt;=$AX$1,0.5,0))</f>
        <v>0</v>
      </c>
      <c r="BC2" s="5">
        <f>BA2-BB2-BD2-BE2</f>
        <v>0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1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2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3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4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" si="5">IF(Q2&gt;$AW$1,(Q2-MAX(P2,$AW$1))*24,0)</f>
        <v>0</v>
      </c>
      <c r="BZ2" s="5">
        <f t="shared" ref="BZ2" si="6">IF(ISBLANK(S2),0,(T2-S2)*24)</f>
        <v>0</v>
      </c>
      <c r="CA2" s="5">
        <f>IF(BZ2&gt;$AY$1,1,IF(BZ2&gt;=$AX$1,0.5,0))</f>
        <v>0</v>
      </c>
      <c r="CB2" s="5">
        <f>BZ2-CA2-CC2-CD2</f>
        <v>0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7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8">SUM(IF(F2&gt;0,1,0),IF(I2&gt;0,1,0),IF(L2&gt;0,1,0),IF(O2&gt;0,1,0),IF(R2&gt;0,1,0),IF(U2&gt;0,1,0),IF(X2&gt;0,1,0))</f>
        <v>0</v>
      </c>
    </row>
    <row r="3" spans="1:89" ht="47" customHeight="1">
      <c r="A3" s="74" t="str">
        <f t="shared" si="0"/>
        <v/>
      </c>
      <c r="B3" s="80"/>
      <c r="C3" s="89"/>
      <c r="D3" s="75"/>
      <c r="E3" s="75"/>
      <c r="F3" s="90">
        <f t="shared" ref="F3:F74" si="9">BA3-BB3</f>
        <v>0</v>
      </c>
      <c r="G3" s="75"/>
      <c r="H3" s="75"/>
      <c r="I3" s="90">
        <f t="shared" ref="I3:I74" si="10">BF3-BG3</f>
        <v>0</v>
      </c>
      <c r="J3" s="75"/>
      <c r="K3" s="75"/>
      <c r="L3" s="90">
        <f t="shared" ref="L3:L74" si="11">BK3-BL3</f>
        <v>0</v>
      </c>
      <c r="M3" s="75"/>
      <c r="N3" s="75"/>
      <c r="O3" s="90">
        <f t="shared" ref="O3:O74" si="12">BP3-BQ3</f>
        <v>0</v>
      </c>
      <c r="P3" s="83"/>
      <c r="Q3" s="83"/>
      <c r="R3" s="90">
        <f t="shared" ref="R3:R74" si="13">BU3-BV3</f>
        <v>0</v>
      </c>
      <c r="S3" s="83"/>
      <c r="T3" s="83"/>
      <c r="U3" s="90">
        <f t="shared" ref="U3:U74" si="14">BZ3-CA3</f>
        <v>0</v>
      </c>
      <c r="V3" s="75"/>
      <c r="W3" s="75"/>
      <c r="X3" s="90">
        <f t="shared" ref="X3:X74" si="15">CE3-CF3</f>
        <v>0</v>
      </c>
      <c r="Y3" s="90"/>
      <c r="Z3" s="90"/>
      <c r="AA3" s="90"/>
      <c r="AB3" s="94">
        <f t="shared" ref="AB3:AB74" si="16">SUM(F3,I3,L3,O3,R3,U3,X3)</f>
        <v>0</v>
      </c>
      <c r="AC3" s="91"/>
      <c r="AD3" s="77"/>
      <c r="AE3" s="92">
        <f t="shared" ref="AE3:AE74" si="17">SUMIF($BC$1:$CI$1,AE$1,$BC3:$CI3)+AD3</f>
        <v>0</v>
      </c>
      <c r="AF3" s="77"/>
      <c r="AG3" s="92">
        <f t="shared" ref="AG3:AG74" si="18">SUMIF($BC$1:$CI$1,AG$1,$BC3:$CI3)+AF3</f>
        <v>0</v>
      </c>
      <c r="AH3" s="77"/>
      <c r="AI3" s="92">
        <f t="shared" ref="AI3:AI74" si="19">SUMIF($BC$1:$CI$1,AI$1,$BC3:$CI3)+AH3</f>
        <v>0</v>
      </c>
      <c r="AJ3" s="76"/>
      <c r="AK3" s="92">
        <f t="shared" ref="AK3:AK74" si="20">SUMIF($BC$1:$CI$1,AK$1,$BC3:$CI3)+AJ3</f>
        <v>0</v>
      </c>
      <c r="AL3" s="77"/>
      <c r="AM3" s="92">
        <f t="shared" ref="AM3:AM74" si="21">SUMIF($BC$1:$CI$1,AM$1,$BC3:$CI3)+AL3</f>
        <v>0</v>
      </c>
      <c r="AN3" s="76"/>
      <c r="AO3" s="92">
        <f t="shared" ref="AO3:AO74" si="22">SUMIF($BC$1:$CI$1,AO$1,$BC3:$CI3)+AN3</f>
        <v>0</v>
      </c>
      <c r="AP3" s="93">
        <f t="shared" ref="AP3:AP74" si="23">CK3</f>
        <v>0</v>
      </c>
      <c r="AQ3" s="76"/>
      <c r="AR3" s="76"/>
      <c r="AS3" s="76"/>
      <c r="AT3" s="63">
        <f t="shared" ref="AT3:AT74" si="24">AE3+AG3+AI3+AK3+AM3+AO3+SUM(AQ3:AS3)</f>
        <v>0</v>
      </c>
      <c r="AU3" s="77"/>
      <c r="AV3" s="5"/>
      <c r="AW3" s="5"/>
      <c r="AX3" s="5"/>
      <c r="AY3" s="5"/>
      <c r="AZ3" s="24" t="e">
        <f>VLOOKUP(C3,Employees!D:I,6,FALSE)</f>
        <v>#N/A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 t="shared" ref="BD3:BD66" si="28">IF(AND(E3&gt;$AV$1, D3&lt;$AW$1),(MIN(E3,$AW$1)-MAX(D3,$AV$1))*24,0)</f>
        <v>0</v>
      </c>
      <c r="BE3" s="5">
        <f t="shared" ref="BE3:BE66" si="29">IF(E3&gt;$AW$1,(E3-MAX(D3,$AW$1))*24,0)</f>
        <v>0</v>
      </c>
      <c r="BF3" s="5">
        <f t="shared" ref="BF3:BF66" si="30">IF(ISBLANK(G3),0,(H3-G3)*24)</f>
        <v>0</v>
      </c>
      <c r="BG3" s="5">
        <f t="shared" ref="BG3:BG66" si="31">IF(BF3&gt;$AY$1,1,IF(BF3&gt;=$AX$1,0.5,0))</f>
        <v>0</v>
      </c>
      <c r="BH3" s="5">
        <f t="shared" ref="BH3:BH66" si="32">BF3-BG3-BI3-BJ3</f>
        <v>0</v>
      </c>
      <c r="BI3" s="5">
        <f t="shared" ref="BI3:BI66" si="33">IF(AND(H3&gt;$AV$1,G3&lt;$AW$1),(MIN(H3,$AW$1)-MAX(G3,$AV$1))*24,0)</f>
        <v>0</v>
      </c>
      <c r="BJ3" s="5">
        <f t="shared" ref="BJ3:BJ66" si="34">IF(H3&gt;$AW$1,(H3-MAX(G3,$AW$1))*24,0)</f>
        <v>0</v>
      </c>
      <c r="BK3" s="5">
        <f t="shared" ref="BK3:BK66" si="35">IF(ISBLANK(J3),0,(K3-J3)*24)</f>
        <v>0</v>
      </c>
      <c r="BL3" s="5">
        <f t="shared" ref="BL3:BL66" si="36">IF(BK3&gt;$AY$1,1,IF(BK3&gt;=$AX$1,0.5,0))</f>
        <v>0</v>
      </c>
      <c r="BM3" s="5">
        <f t="shared" ref="BM3:BM66" si="37">BK3-BL3-BN3-BO3</f>
        <v>0</v>
      </c>
      <c r="BN3" s="5">
        <f t="shared" ref="BN3:BN66" si="38">IF(AND(K3&gt;$AV$1, J3&lt;$AW$1),(MIN(K3,$AW$1)-MAX(J3,$AV$1))*24,0)</f>
        <v>0</v>
      </c>
      <c r="BO3" s="5">
        <f t="shared" ref="BO3:BO66" si="39">IF(K3&gt;$AW$1,(K3-MAX(J3,$AW$1))*24,0)</f>
        <v>0</v>
      </c>
      <c r="BP3" s="5">
        <f t="shared" ref="BP3:BP66" si="40">IF(ISBLANK(M3),0,(N3-M3)*24)</f>
        <v>0</v>
      </c>
      <c r="BQ3" s="5">
        <f t="shared" ref="BQ3:BQ66" si="41">IF(BP3&gt;$AY$1,1,IF(BP3&gt;=$AX$1,0.5,0))</f>
        <v>0</v>
      </c>
      <c r="BR3" s="5">
        <f t="shared" ref="BR3:BR66" si="42">BP3-BQ3-BS3-BT3</f>
        <v>0</v>
      </c>
      <c r="BS3" s="5">
        <f t="shared" ref="BS3:BS66" si="43">IF(AND(N3&gt;$AV$1, M3&lt;$AW$1),(MIN(N3,$AW$1)-MAX(M3,$AV$1))*24,0)</f>
        <v>0</v>
      </c>
      <c r="BT3" s="5">
        <f t="shared" ref="BT3:BT66" si="44">IF(N3&gt;$AW$1,(N3-MAX(M3,$AW$1))*24,0)</f>
        <v>0</v>
      </c>
      <c r="BU3" s="5">
        <f t="shared" ref="BU3:BU66" si="45">IF(ISBLANK(P3),0,(Q3-P3)*24)</f>
        <v>0</v>
      </c>
      <c r="BV3" s="5">
        <f t="shared" ref="BV3:BV66" si="46">IF(BU3&gt;$AY$1,1,IF(BU3&gt;=$AX$1,0.5,0))</f>
        <v>0</v>
      </c>
      <c r="BW3" s="5">
        <f t="shared" ref="BW3:BW66" si="47">BU3-BV3-BX3-BY3</f>
        <v>0</v>
      </c>
      <c r="BX3" s="5">
        <f t="shared" ref="BX3:BX66" si="48">IF(AND(Q3&gt;$AV$1, P3&lt;$AW$1),(MIN(Q3,$AW$1)-MAX(P3,$AV$1))*24,0)</f>
        <v>0</v>
      </c>
      <c r="BY3" s="5">
        <f t="shared" ref="BY3:BY66" si="49">IF(Q3&gt;$AW$1,(Q3-MAX(P3,$AW$1))*24,0)</f>
        <v>0</v>
      </c>
      <c r="BZ3" s="5">
        <f t="shared" ref="BZ3:BZ66" si="50">IF(ISBLANK(S3),0,(T3-S3)*24)</f>
        <v>0</v>
      </c>
      <c r="CA3" s="5">
        <f t="shared" ref="CA3:CA66" si="51">IF(BZ3&gt;$AY$1,1,IF(BZ3&gt;=$AX$1,0.5,0))</f>
        <v>0</v>
      </c>
      <c r="CB3" s="5">
        <f t="shared" ref="CB3:CB66" si="52">BZ3-CA3-CC3-CD3</f>
        <v>0</v>
      </c>
      <c r="CC3" s="5">
        <f t="shared" ref="CC3:CC66" si="53">IF(AND(T3&gt;$AV$1, S3&lt;$AW$1),(MIN(T3,$AW$1)-MAX(S3,$AV$1))*24,0)</f>
        <v>0</v>
      </c>
      <c r="CD3" s="5">
        <f t="shared" ref="CD3:CD66" si="54">IF(T3&gt;$AW$1,(T3-MAX(S3,$AW$1))*24,0)</f>
        <v>0</v>
      </c>
      <c r="CE3" s="5">
        <f t="shared" ref="CE3:CE66" si="55">IF(ISBLANK(V3),0,(W3-V3)*24)</f>
        <v>0</v>
      </c>
      <c r="CF3" s="5">
        <f t="shared" ref="CF3:CF66" si="56">IF(CE3&gt;$AY$1,1,IF(CE3&gt;=$AX$1,0.5,0))</f>
        <v>0</v>
      </c>
      <c r="CG3" s="5">
        <f t="shared" ref="CG3:CG66" si="57">CE3-CF3-CH3-CI3</f>
        <v>0</v>
      </c>
      <c r="CH3" s="5">
        <f t="shared" ref="CH3:CH66" si="58">IF(AND(W3&gt;$AV$1, V3&lt;$AW$1),(MIN(W3,$AW$1)-MAX(V3,$AV$1))*24,0)</f>
        <v>0</v>
      </c>
      <c r="CI3" s="5">
        <f t="shared" ref="CI3:CI66" si="59">IF(W3&gt;$AW$1,(W3-MAX(V3,$AW$1))*24,0)</f>
        <v>0</v>
      </c>
      <c r="CJ3" s="5"/>
      <c r="CK3" s="4">
        <f t="shared" si="8"/>
        <v>0</v>
      </c>
    </row>
    <row r="4" spans="1:89" ht="47" customHeight="1">
      <c r="A4" s="74" t="str">
        <f t="shared" si="0"/>
        <v/>
      </c>
      <c r="B4" s="80"/>
      <c r="C4" s="84"/>
      <c r="D4" s="75"/>
      <c r="E4" s="75"/>
      <c r="F4" s="90">
        <f t="shared" si="9"/>
        <v>0</v>
      </c>
      <c r="G4" s="75"/>
      <c r="H4" s="75"/>
      <c r="I4" s="90">
        <f t="shared" si="10"/>
        <v>0</v>
      </c>
      <c r="J4" s="75"/>
      <c r="K4" s="75"/>
      <c r="L4" s="90">
        <f t="shared" si="11"/>
        <v>0</v>
      </c>
      <c r="M4" s="75"/>
      <c r="N4" s="75"/>
      <c r="O4" s="90">
        <f t="shared" si="12"/>
        <v>0</v>
      </c>
      <c r="P4" s="75"/>
      <c r="Q4" s="75"/>
      <c r="R4" s="90">
        <f t="shared" si="13"/>
        <v>0</v>
      </c>
      <c r="S4" s="75"/>
      <c r="T4" s="75"/>
      <c r="U4" s="90">
        <f t="shared" si="14"/>
        <v>0</v>
      </c>
      <c r="V4" s="75"/>
      <c r="W4" s="75"/>
      <c r="X4" s="90">
        <f t="shared" si="15"/>
        <v>0</v>
      </c>
      <c r="Y4" s="90"/>
      <c r="Z4" s="90"/>
      <c r="AA4" s="90"/>
      <c r="AB4" s="94">
        <f t="shared" si="16"/>
        <v>0</v>
      </c>
      <c r="AC4" s="91"/>
      <c r="AD4" s="77"/>
      <c r="AE4" s="92">
        <f t="shared" si="17"/>
        <v>0</v>
      </c>
      <c r="AF4" s="77"/>
      <c r="AG4" s="92">
        <f t="shared" si="18"/>
        <v>0</v>
      </c>
      <c r="AH4" s="77"/>
      <c r="AI4" s="92">
        <f t="shared" si="19"/>
        <v>0</v>
      </c>
      <c r="AJ4" s="76"/>
      <c r="AK4" s="92">
        <f t="shared" si="20"/>
        <v>0</v>
      </c>
      <c r="AL4" s="77"/>
      <c r="AM4" s="92">
        <f t="shared" si="21"/>
        <v>0</v>
      </c>
      <c r="AN4" s="76"/>
      <c r="AO4" s="92">
        <f t="shared" si="22"/>
        <v>0</v>
      </c>
      <c r="AP4" s="93">
        <f t="shared" si="23"/>
        <v>0</v>
      </c>
      <c r="AQ4" s="76"/>
      <c r="AR4" s="76"/>
      <c r="AS4" s="76"/>
      <c r="AT4" s="63">
        <f t="shared" si="24"/>
        <v>0</v>
      </c>
      <c r="AU4" s="77"/>
      <c r="AV4" s="5"/>
      <c r="AW4" s="5"/>
      <c r="AX4" s="5"/>
      <c r="AY4" s="5"/>
      <c r="AZ4" s="24" t="e">
        <f>VLOOKUP(C4,Employees!D:I,6,FALSE)</f>
        <v>#N/A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si="28"/>
        <v>0</v>
      </c>
      <c r="BE4" s="5">
        <f t="shared" si="29"/>
        <v>0</v>
      </c>
      <c r="BF4" s="5">
        <f t="shared" si="30"/>
        <v>0</v>
      </c>
      <c r="BG4" s="5">
        <f t="shared" si="31"/>
        <v>0</v>
      </c>
      <c r="BH4" s="5">
        <f t="shared" si="32"/>
        <v>0</v>
      </c>
      <c r="BI4" s="5">
        <f t="shared" si="33"/>
        <v>0</v>
      </c>
      <c r="BJ4" s="5">
        <f t="shared" si="34"/>
        <v>0</v>
      </c>
      <c r="BK4" s="5">
        <f t="shared" si="35"/>
        <v>0</v>
      </c>
      <c r="BL4" s="5">
        <f t="shared" si="36"/>
        <v>0</v>
      </c>
      <c r="BM4" s="5">
        <f t="shared" si="37"/>
        <v>0</v>
      </c>
      <c r="BN4" s="5">
        <f t="shared" si="38"/>
        <v>0</v>
      </c>
      <c r="BO4" s="5">
        <f t="shared" si="39"/>
        <v>0</v>
      </c>
      <c r="BP4" s="5">
        <f t="shared" si="40"/>
        <v>0</v>
      </c>
      <c r="BQ4" s="5">
        <f t="shared" si="41"/>
        <v>0</v>
      </c>
      <c r="BR4" s="5">
        <f t="shared" si="42"/>
        <v>0</v>
      </c>
      <c r="BS4" s="5">
        <f t="shared" si="43"/>
        <v>0</v>
      </c>
      <c r="BT4" s="5">
        <f t="shared" si="44"/>
        <v>0</v>
      </c>
      <c r="BU4" s="5">
        <f t="shared" si="45"/>
        <v>0</v>
      </c>
      <c r="BV4" s="5">
        <f t="shared" si="46"/>
        <v>0</v>
      </c>
      <c r="BW4" s="5">
        <f t="shared" si="47"/>
        <v>0</v>
      </c>
      <c r="BX4" s="5">
        <f t="shared" si="48"/>
        <v>0</v>
      </c>
      <c r="BY4" s="5">
        <f t="shared" si="49"/>
        <v>0</v>
      </c>
      <c r="BZ4" s="5">
        <f t="shared" si="50"/>
        <v>0</v>
      </c>
      <c r="CA4" s="5">
        <f t="shared" si="51"/>
        <v>0</v>
      </c>
      <c r="CB4" s="5">
        <f t="shared" si="52"/>
        <v>0</v>
      </c>
      <c r="CC4" s="5">
        <f t="shared" si="53"/>
        <v>0</v>
      </c>
      <c r="CD4" s="5">
        <f t="shared" si="54"/>
        <v>0</v>
      </c>
      <c r="CE4" s="5">
        <f t="shared" si="55"/>
        <v>0</v>
      </c>
      <c r="CF4" s="5">
        <f t="shared" si="56"/>
        <v>0</v>
      </c>
      <c r="CG4" s="5">
        <f t="shared" si="57"/>
        <v>0</v>
      </c>
      <c r="CH4" s="5">
        <f t="shared" si="58"/>
        <v>0</v>
      </c>
      <c r="CI4" s="5">
        <f t="shared" si="59"/>
        <v>0</v>
      </c>
      <c r="CJ4" s="5"/>
      <c r="CK4" s="4">
        <f t="shared" si="8"/>
        <v>0</v>
      </c>
    </row>
    <row r="5" spans="1:89" ht="47" customHeight="1">
      <c r="A5" s="74" t="str">
        <f t="shared" si="0"/>
        <v/>
      </c>
      <c r="B5" s="80"/>
      <c r="C5" s="84"/>
      <c r="D5" s="100"/>
      <c r="E5" s="75"/>
      <c r="F5" s="90">
        <f t="shared" si="9"/>
        <v>0</v>
      </c>
      <c r="G5" s="75"/>
      <c r="H5" s="100"/>
      <c r="I5" s="90">
        <f t="shared" si="10"/>
        <v>0</v>
      </c>
      <c r="J5" s="100"/>
      <c r="K5" s="100"/>
      <c r="L5" s="90">
        <f t="shared" si="11"/>
        <v>0</v>
      </c>
      <c r="M5" s="75"/>
      <c r="N5" s="75"/>
      <c r="O5" s="90">
        <f t="shared" si="12"/>
        <v>0</v>
      </c>
      <c r="P5" s="75"/>
      <c r="Q5" s="75"/>
      <c r="R5" s="90">
        <f t="shared" si="13"/>
        <v>0</v>
      </c>
      <c r="S5" s="100"/>
      <c r="T5" s="75"/>
      <c r="U5" s="90">
        <f t="shared" si="14"/>
        <v>0</v>
      </c>
      <c r="V5" s="75"/>
      <c r="W5" s="100"/>
      <c r="X5" s="90">
        <f t="shared" si="15"/>
        <v>0</v>
      </c>
      <c r="Y5" s="90"/>
      <c r="Z5" s="90"/>
      <c r="AA5" s="90"/>
      <c r="AB5" s="94">
        <f t="shared" si="16"/>
        <v>0</v>
      </c>
      <c r="AC5" s="91"/>
      <c r="AD5" s="77"/>
      <c r="AE5" s="92">
        <f t="shared" si="17"/>
        <v>0</v>
      </c>
      <c r="AF5" s="77"/>
      <c r="AG5" s="92">
        <f t="shared" si="18"/>
        <v>0</v>
      </c>
      <c r="AH5" s="77"/>
      <c r="AI5" s="92">
        <f t="shared" si="19"/>
        <v>0</v>
      </c>
      <c r="AJ5" s="76"/>
      <c r="AK5" s="92">
        <f t="shared" si="20"/>
        <v>0</v>
      </c>
      <c r="AL5" s="77"/>
      <c r="AM5" s="92">
        <f t="shared" si="21"/>
        <v>0</v>
      </c>
      <c r="AN5" s="76"/>
      <c r="AO5" s="92">
        <f t="shared" si="22"/>
        <v>0</v>
      </c>
      <c r="AP5" s="93">
        <f t="shared" si="23"/>
        <v>0</v>
      </c>
      <c r="AQ5" s="76"/>
      <c r="AR5" s="76"/>
      <c r="AS5" s="76"/>
      <c r="AT5" s="63">
        <f t="shared" si="24"/>
        <v>0</v>
      </c>
      <c r="AU5" s="77"/>
      <c r="AV5" s="5"/>
      <c r="AW5" s="5"/>
      <c r="AX5" s="5"/>
      <c r="AY5" s="5"/>
      <c r="AZ5" s="24" t="e">
        <f>VLOOKUP(C5,Employees!D:I,6,FALSE)</f>
        <v>#N/A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28"/>
        <v>0</v>
      </c>
      <c r="BE5" s="5">
        <f t="shared" si="29"/>
        <v>0</v>
      </c>
      <c r="BF5" s="5">
        <f t="shared" si="30"/>
        <v>0</v>
      </c>
      <c r="BG5" s="5">
        <f t="shared" si="31"/>
        <v>0</v>
      </c>
      <c r="BH5" s="5">
        <f t="shared" si="32"/>
        <v>0</v>
      </c>
      <c r="BI5" s="5">
        <f t="shared" si="33"/>
        <v>0</v>
      </c>
      <c r="BJ5" s="5">
        <f t="shared" si="34"/>
        <v>0</v>
      </c>
      <c r="BK5" s="5">
        <f t="shared" si="35"/>
        <v>0</v>
      </c>
      <c r="BL5" s="5">
        <f t="shared" si="36"/>
        <v>0</v>
      </c>
      <c r="BM5" s="5">
        <f t="shared" si="37"/>
        <v>0</v>
      </c>
      <c r="BN5" s="5">
        <f t="shared" si="38"/>
        <v>0</v>
      </c>
      <c r="BO5" s="5">
        <f t="shared" si="39"/>
        <v>0</v>
      </c>
      <c r="BP5" s="5">
        <f t="shared" si="40"/>
        <v>0</v>
      </c>
      <c r="BQ5" s="5">
        <f t="shared" si="41"/>
        <v>0</v>
      </c>
      <c r="BR5" s="5">
        <f t="shared" si="42"/>
        <v>0</v>
      </c>
      <c r="BS5" s="5">
        <f t="shared" si="43"/>
        <v>0</v>
      </c>
      <c r="BT5" s="5">
        <f t="shared" si="44"/>
        <v>0</v>
      </c>
      <c r="BU5" s="5">
        <f t="shared" si="45"/>
        <v>0</v>
      </c>
      <c r="BV5" s="5">
        <f t="shared" si="46"/>
        <v>0</v>
      </c>
      <c r="BW5" s="5">
        <f t="shared" si="47"/>
        <v>0</v>
      </c>
      <c r="BX5" s="5">
        <f t="shared" si="48"/>
        <v>0</v>
      </c>
      <c r="BY5" s="5">
        <f t="shared" si="49"/>
        <v>0</v>
      </c>
      <c r="BZ5" s="5">
        <f t="shared" si="50"/>
        <v>0</v>
      </c>
      <c r="CA5" s="5">
        <f t="shared" si="51"/>
        <v>0</v>
      </c>
      <c r="CB5" s="5">
        <f t="shared" si="52"/>
        <v>0</v>
      </c>
      <c r="CC5" s="5">
        <f t="shared" si="53"/>
        <v>0</v>
      </c>
      <c r="CD5" s="5">
        <f t="shared" si="54"/>
        <v>0</v>
      </c>
      <c r="CE5" s="5">
        <f t="shared" si="55"/>
        <v>0</v>
      </c>
      <c r="CF5" s="5">
        <f t="shared" si="56"/>
        <v>0</v>
      </c>
      <c r="CG5" s="5">
        <f t="shared" si="57"/>
        <v>0</v>
      </c>
      <c r="CH5" s="5">
        <f t="shared" si="58"/>
        <v>0</v>
      </c>
      <c r="CI5" s="5">
        <f t="shared" si="59"/>
        <v>0</v>
      </c>
      <c r="CJ5" s="5"/>
      <c r="CK5" s="4">
        <f t="shared" si="8"/>
        <v>0</v>
      </c>
    </row>
    <row r="6" spans="1:89" ht="47" customHeight="1">
      <c r="A6" s="74" t="str">
        <f t="shared" si="0"/>
        <v/>
      </c>
      <c r="B6" s="80"/>
      <c r="C6" s="84"/>
      <c r="D6" s="100"/>
      <c r="E6" s="75"/>
      <c r="F6" s="90">
        <f t="shared" si="9"/>
        <v>0</v>
      </c>
      <c r="G6" s="75"/>
      <c r="H6" s="100"/>
      <c r="I6" s="90">
        <f t="shared" si="10"/>
        <v>0</v>
      </c>
      <c r="J6" s="100"/>
      <c r="K6" s="100"/>
      <c r="L6" s="90">
        <f t="shared" si="11"/>
        <v>0</v>
      </c>
      <c r="M6" s="100"/>
      <c r="N6" s="100"/>
      <c r="O6" s="90">
        <f t="shared" si="12"/>
        <v>0</v>
      </c>
      <c r="P6" s="100"/>
      <c r="Q6" s="75"/>
      <c r="R6" s="90">
        <f t="shared" si="13"/>
        <v>0</v>
      </c>
      <c r="S6" s="75"/>
      <c r="T6" s="75"/>
      <c r="U6" s="90">
        <f t="shared" si="14"/>
        <v>0</v>
      </c>
      <c r="V6" s="75"/>
      <c r="W6" s="100"/>
      <c r="X6" s="90">
        <f t="shared" si="15"/>
        <v>0</v>
      </c>
      <c r="Y6" s="90"/>
      <c r="Z6" s="90"/>
      <c r="AA6" s="90"/>
      <c r="AB6" s="94">
        <f t="shared" si="16"/>
        <v>0</v>
      </c>
      <c r="AC6" s="91"/>
      <c r="AD6" s="77"/>
      <c r="AE6" s="92">
        <f t="shared" si="17"/>
        <v>0</v>
      </c>
      <c r="AF6" s="77"/>
      <c r="AG6" s="92">
        <f t="shared" si="18"/>
        <v>0</v>
      </c>
      <c r="AH6" s="77"/>
      <c r="AI6" s="92">
        <f t="shared" si="19"/>
        <v>0</v>
      </c>
      <c r="AJ6" s="76"/>
      <c r="AK6" s="92">
        <f t="shared" si="20"/>
        <v>0</v>
      </c>
      <c r="AL6" s="77"/>
      <c r="AM6" s="92">
        <f t="shared" si="21"/>
        <v>0</v>
      </c>
      <c r="AN6" s="76"/>
      <c r="AO6" s="92">
        <f t="shared" si="22"/>
        <v>0</v>
      </c>
      <c r="AP6" s="93">
        <f t="shared" si="23"/>
        <v>0</v>
      </c>
      <c r="AQ6" s="76"/>
      <c r="AR6" s="76"/>
      <c r="AS6" s="76"/>
      <c r="AT6" s="63">
        <f t="shared" si="24"/>
        <v>0</v>
      </c>
      <c r="AU6" s="77"/>
      <c r="AV6" s="5"/>
      <c r="AW6" s="5"/>
      <c r="AX6" s="5"/>
      <c r="AY6" s="5"/>
      <c r="AZ6" s="24" t="e">
        <f>VLOOKUP(C6,Employees!D:I,6,FALSE)</f>
        <v>#N/A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28"/>
        <v>0</v>
      </c>
      <c r="BE6" s="5">
        <f t="shared" si="29"/>
        <v>0</v>
      </c>
      <c r="BF6" s="5">
        <f t="shared" si="30"/>
        <v>0</v>
      </c>
      <c r="BG6" s="5">
        <f t="shared" si="31"/>
        <v>0</v>
      </c>
      <c r="BH6" s="5">
        <f t="shared" si="32"/>
        <v>0</v>
      </c>
      <c r="BI6" s="5">
        <f t="shared" si="33"/>
        <v>0</v>
      </c>
      <c r="BJ6" s="5">
        <f t="shared" si="34"/>
        <v>0</v>
      </c>
      <c r="BK6" s="5">
        <f t="shared" si="35"/>
        <v>0</v>
      </c>
      <c r="BL6" s="5">
        <f t="shared" si="36"/>
        <v>0</v>
      </c>
      <c r="BM6" s="5">
        <f t="shared" si="37"/>
        <v>0</v>
      </c>
      <c r="BN6" s="5">
        <f t="shared" si="38"/>
        <v>0</v>
      </c>
      <c r="BO6" s="5">
        <f t="shared" si="39"/>
        <v>0</v>
      </c>
      <c r="BP6" s="5">
        <f t="shared" si="40"/>
        <v>0</v>
      </c>
      <c r="BQ6" s="5">
        <f t="shared" si="41"/>
        <v>0</v>
      </c>
      <c r="BR6" s="5">
        <f t="shared" si="42"/>
        <v>0</v>
      </c>
      <c r="BS6" s="5">
        <f t="shared" si="43"/>
        <v>0</v>
      </c>
      <c r="BT6" s="5">
        <f t="shared" si="44"/>
        <v>0</v>
      </c>
      <c r="BU6" s="5">
        <f t="shared" si="45"/>
        <v>0</v>
      </c>
      <c r="BV6" s="5">
        <f t="shared" si="46"/>
        <v>0</v>
      </c>
      <c r="BW6" s="5">
        <f t="shared" si="47"/>
        <v>0</v>
      </c>
      <c r="BX6" s="5">
        <f t="shared" si="48"/>
        <v>0</v>
      </c>
      <c r="BY6" s="5">
        <f t="shared" si="49"/>
        <v>0</v>
      </c>
      <c r="BZ6" s="5">
        <f t="shared" si="50"/>
        <v>0</v>
      </c>
      <c r="CA6" s="5">
        <f t="shared" si="51"/>
        <v>0</v>
      </c>
      <c r="CB6" s="5">
        <f t="shared" si="52"/>
        <v>0</v>
      </c>
      <c r="CC6" s="5">
        <f t="shared" si="53"/>
        <v>0</v>
      </c>
      <c r="CD6" s="5">
        <f t="shared" si="54"/>
        <v>0</v>
      </c>
      <c r="CE6" s="5">
        <f t="shared" si="55"/>
        <v>0</v>
      </c>
      <c r="CF6" s="5">
        <f t="shared" si="56"/>
        <v>0</v>
      </c>
      <c r="CG6" s="5">
        <f t="shared" si="57"/>
        <v>0</v>
      </c>
      <c r="CH6" s="5">
        <f t="shared" si="58"/>
        <v>0</v>
      </c>
      <c r="CI6" s="5">
        <f t="shared" si="59"/>
        <v>0</v>
      </c>
      <c r="CJ6" s="5"/>
      <c r="CK6" s="4">
        <f t="shared" si="8"/>
        <v>0</v>
      </c>
    </row>
    <row r="7" spans="1:89" ht="47" customHeight="1">
      <c r="A7" s="74">
        <f t="shared" si="0"/>
        <v>10059</v>
      </c>
      <c r="B7" s="80" t="s">
        <v>1489</v>
      </c>
      <c r="C7" s="102" t="s">
        <v>31</v>
      </c>
      <c r="D7" s="100"/>
      <c r="E7" s="100"/>
      <c r="F7" s="90">
        <f t="shared" si="9"/>
        <v>0</v>
      </c>
      <c r="G7" s="100">
        <v>0.375</v>
      </c>
      <c r="H7" s="100">
        <v>0.625</v>
      </c>
      <c r="I7" s="90">
        <f t="shared" si="10"/>
        <v>5.5</v>
      </c>
      <c r="J7" s="100"/>
      <c r="K7" s="100"/>
      <c r="L7" s="90">
        <f t="shared" si="11"/>
        <v>0</v>
      </c>
      <c r="M7" s="100">
        <v>0.375</v>
      </c>
      <c r="N7" s="100">
        <v>0.8125</v>
      </c>
      <c r="O7" s="90">
        <f t="shared" si="12"/>
        <v>9.5</v>
      </c>
      <c r="P7" s="100">
        <v>0.375</v>
      </c>
      <c r="Q7" s="75">
        <v>0.8125</v>
      </c>
      <c r="R7" s="90">
        <f t="shared" si="13"/>
        <v>9.5</v>
      </c>
      <c r="S7" s="100"/>
      <c r="T7" s="75"/>
      <c r="U7" s="90">
        <f t="shared" si="14"/>
        <v>0</v>
      </c>
      <c r="V7" s="75"/>
      <c r="W7" s="100"/>
      <c r="X7" s="90">
        <f t="shared" si="15"/>
        <v>0</v>
      </c>
      <c r="Y7" s="90"/>
      <c r="Z7" s="90"/>
      <c r="AA7" s="90"/>
      <c r="AB7" s="94">
        <f t="shared" si="16"/>
        <v>24.5</v>
      </c>
      <c r="AC7" s="91"/>
      <c r="AD7" s="77">
        <v>3.5</v>
      </c>
      <c r="AE7" s="92">
        <f t="shared" si="17"/>
        <v>28</v>
      </c>
      <c r="AF7" s="76"/>
      <c r="AG7" s="92">
        <f t="shared" si="18"/>
        <v>0</v>
      </c>
      <c r="AH7" s="77"/>
      <c r="AI7" s="92">
        <f t="shared" si="19"/>
        <v>0</v>
      </c>
      <c r="AJ7" s="76"/>
      <c r="AK7" s="92">
        <f t="shared" si="20"/>
        <v>0</v>
      </c>
      <c r="AL7" s="77"/>
      <c r="AM7" s="92">
        <f t="shared" si="21"/>
        <v>0</v>
      </c>
      <c r="AN7" s="76"/>
      <c r="AO7" s="92">
        <f t="shared" si="22"/>
        <v>0</v>
      </c>
      <c r="AP7" s="93">
        <f t="shared" si="23"/>
        <v>3</v>
      </c>
      <c r="AQ7" s="76"/>
      <c r="AR7" s="76"/>
      <c r="AS7" s="76"/>
      <c r="AT7" s="63">
        <f t="shared" si="24"/>
        <v>28</v>
      </c>
      <c r="AU7" s="77" t="s">
        <v>36</v>
      </c>
      <c r="AV7" s="5"/>
      <c r="AW7" s="5"/>
      <c r="AX7" s="5"/>
      <c r="AY7" s="5"/>
      <c r="AZ7" s="24">
        <f>VLOOKUP(C7,Employees!D:I,6,FALSE)</f>
        <v>10059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28"/>
        <v>0</v>
      </c>
      <c r="BE7" s="5">
        <f t="shared" si="29"/>
        <v>0</v>
      </c>
      <c r="BF7" s="5">
        <f t="shared" si="30"/>
        <v>6</v>
      </c>
      <c r="BG7" s="5">
        <f t="shared" si="31"/>
        <v>0.5</v>
      </c>
      <c r="BH7" s="5">
        <f t="shared" si="32"/>
        <v>5.5</v>
      </c>
      <c r="BI7" s="5">
        <f t="shared" si="33"/>
        <v>0</v>
      </c>
      <c r="BJ7" s="5">
        <f t="shared" si="34"/>
        <v>0</v>
      </c>
      <c r="BK7" s="5">
        <f t="shared" si="35"/>
        <v>0</v>
      </c>
      <c r="BL7" s="5">
        <f t="shared" si="36"/>
        <v>0</v>
      </c>
      <c r="BM7" s="5">
        <f t="shared" si="37"/>
        <v>0</v>
      </c>
      <c r="BN7" s="5">
        <f t="shared" si="38"/>
        <v>0</v>
      </c>
      <c r="BO7" s="5">
        <f t="shared" si="39"/>
        <v>0</v>
      </c>
      <c r="BP7" s="5">
        <f t="shared" si="40"/>
        <v>10.5</v>
      </c>
      <c r="BQ7" s="5">
        <f t="shared" si="41"/>
        <v>1</v>
      </c>
      <c r="BR7" s="5">
        <f t="shared" si="42"/>
        <v>9.5</v>
      </c>
      <c r="BS7" s="5">
        <f t="shared" si="43"/>
        <v>0</v>
      </c>
      <c r="BT7" s="5">
        <f t="shared" si="44"/>
        <v>0</v>
      </c>
      <c r="BU7" s="5">
        <f t="shared" si="45"/>
        <v>10.5</v>
      </c>
      <c r="BV7" s="5">
        <f t="shared" si="46"/>
        <v>1</v>
      </c>
      <c r="BW7" s="5">
        <f t="shared" si="47"/>
        <v>9.5</v>
      </c>
      <c r="BX7" s="5">
        <f t="shared" si="48"/>
        <v>0</v>
      </c>
      <c r="BY7" s="5">
        <f t="shared" si="49"/>
        <v>0</v>
      </c>
      <c r="BZ7" s="5">
        <f t="shared" si="50"/>
        <v>0</v>
      </c>
      <c r="CA7" s="5">
        <f t="shared" si="51"/>
        <v>0</v>
      </c>
      <c r="CB7" s="5">
        <f t="shared" si="52"/>
        <v>0</v>
      </c>
      <c r="CC7" s="5">
        <f t="shared" si="53"/>
        <v>0</v>
      </c>
      <c r="CD7" s="5">
        <f t="shared" si="54"/>
        <v>0</v>
      </c>
      <c r="CE7" s="5">
        <f t="shared" si="55"/>
        <v>0</v>
      </c>
      <c r="CF7" s="5">
        <f t="shared" si="56"/>
        <v>0</v>
      </c>
      <c r="CG7" s="5">
        <f t="shared" si="57"/>
        <v>0</v>
      </c>
      <c r="CH7" s="5">
        <f t="shared" si="58"/>
        <v>0</v>
      </c>
      <c r="CI7" s="5">
        <f t="shared" si="59"/>
        <v>0</v>
      </c>
      <c r="CJ7" s="5"/>
      <c r="CK7" s="4">
        <f t="shared" si="8"/>
        <v>3</v>
      </c>
    </row>
    <row r="8" spans="1:89" ht="47" customHeight="1">
      <c r="A8" s="74">
        <f t="shared" si="0"/>
        <v>210527</v>
      </c>
      <c r="B8" s="80" t="s">
        <v>1489</v>
      </c>
      <c r="C8" s="103" t="s">
        <v>34</v>
      </c>
      <c r="D8" s="100"/>
      <c r="E8" s="100"/>
      <c r="F8" s="90">
        <f t="shared" si="9"/>
        <v>0</v>
      </c>
      <c r="G8" s="100">
        <v>0.58333333333333337</v>
      </c>
      <c r="H8" s="75">
        <v>0.8125</v>
      </c>
      <c r="I8" s="90">
        <f t="shared" si="10"/>
        <v>4.9999999999999991</v>
      </c>
      <c r="J8" s="100">
        <v>0.375</v>
      </c>
      <c r="K8" s="75">
        <v>0.8125</v>
      </c>
      <c r="L8" s="90">
        <f t="shared" si="11"/>
        <v>9.5</v>
      </c>
      <c r="M8" s="100"/>
      <c r="N8" s="75"/>
      <c r="O8" s="90">
        <f t="shared" si="12"/>
        <v>0</v>
      </c>
      <c r="P8" s="100"/>
      <c r="Q8" s="100"/>
      <c r="R8" s="90">
        <f t="shared" si="13"/>
        <v>0</v>
      </c>
      <c r="S8" s="100"/>
      <c r="T8" s="100"/>
      <c r="U8" s="90">
        <f t="shared" si="14"/>
        <v>0</v>
      </c>
      <c r="V8" s="100"/>
      <c r="W8" s="100"/>
      <c r="X8" s="90">
        <f t="shared" si="15"/>
        <v>0</v>
      </c>
      <c r="Y8" s="90"/>
      <c r="Z8" s="90"/>
      <c r="AA8" s="90"/>
      <c r="AB8" s="94">
        <f t="shared" si="16"/>
        <v>14.5</v>
      </c>
      <c r="AC8" s="91"/>
      <c r="AD8" s="77">
        <v>1.5</v>
      </c>
      <c r="AE8" s="92">
        <f t="shared" si="17"/>
        <v>16</v>
      </c>
      <c r="AF8" s="76"/>
      <c r="AG8" s="92">
        <f t="shared" si="18"/>
        <v>0</v>
      </c>
      <c r="AH8" s="77"/>
      <c r="AI8" s="92">
        <f t="shared" si="19"/>
        <v>0</v>
      </c>
      <c r="AJ8" s="76"/>
      <c r="AK8" s="92">
        <f t="shared" si="20"/>
        <v>0</v>
      </c>
      <c r="AL8" s="77"/>
      <c r="AM8" s="92">
        <f t="shared" si="21"/>
        <v>0</v>
      </c>
      <c r="AN8" s="76"/>
      <c r="AO8" s="92">
        <f t="shared" si="22"/>
        <v>0</v>
      </c>
      <c r="AP8" s="93">
        <f t="shared" si="23"/>
        <v>2</v>
      </c>
      <c r="AQ8" s="76"/>
      <c r="AR8" s="76"/>
      <c r="AS8" s="76"/>
      <c r="AT8" s="63">
        <f t="shared" si="24"/>
        <v>16</v>
      </c>
      <c r="AU8" s="77" t="s">
        <v>35</v>
      </c>
      <c r="AV8" s="5"/>
      <c r="AW8" s="5"/>
      <c r="AX8" s="5"/>
      <c r="AY8" s="5"/>
      <c r="AZ8" s="24">
        <f>VLOOKUP(C8,Employees!D:I,6,FALSE)</f>
        <v>210527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28"/>
        <v>0</v>
      </c>
      <c r="BE8" s="5">
        <f t="shared" si="29"/>
        <v>0</v>
      </c>
      <c r="BF8" s="5">
        <f t="shared" si="30"/>
        <v>5.4999999999999991</v>
      </c>
      <c r="BG8" s="5">
        <f t="shared" si="31"/>
        <v>0.5</v>
      </c>
      <c r="BH8" s="5">
        <f t="shared" si="32"/>
        <v>4.9999999999999991</v>
      </c>
      <c r="BI8" s="5">
        <f t="shared" si="33"/>
        <v>0</v>
      </c>
      <c r="BJ8" s="5">
        <f t="shared" si="34"/>
        <v>0</v>
      </c>
      <c r="BK8" s="5">
        <f t="shared" si="35"/>
        <v>10.5</v>
      </c>
      <c r="BL8" s="5">
        <f t="shared" si="36"/>
        <v>1</v>
      </c>
      <c r="BM8" s="5">
        <f t="shared" si="37"/>
        <v>9.5</v>
      </c>
      <c r="BN8" s="5">
        <f t="shared" si="38"/>
        <v>0</v>
      </c>
      <c r="BO8" s="5">
        <f t="shared" si="39"/>
        <v>0</v>
      </c>
      <c r="BP8" s="5">
        <f t="shared" si="40"/>
        <v>0</v>
      </c>
      <c r="BQ8" s="5">
        <f t="shared" si="41"/>
        <v>0</v>
      </c>
      <c r="BR8" s="5">
        <f t="shared" si="42"/>
        <v>0</v>
      </c>
      <c r="BS8" s="5">
        <f t="shared" si="43"/>
        <v>0</v>
      </c>
      <c r="BT8" s="5">
        <f t="shared" si="44"/>
        <v>0</v>
      </c>
      <c r="BU8" s="5">
        <f t="shared" si="45"/>
        <v>0</v>
      </c>
      <c r="BV8" s="5">
        <f t="shared" si="46"/>
        <v>0</v>
      </c>
      <c r="BW8" s="5">
        <f t="shared" si="47"/>
        <v>0</v>
      </c>
      <c r="BX8" s="5">
        <f t="shared" si="48"/>
        <v>0</v>
      </c>
      <c r="BY8" s="5">
        <f t="shared" si="49"/>
        <v>0</v>
      </c>
      <c r="BZ8" s="5">
        <f t="shared" si="50"/>
        <v>0</v>
      </c>
      <c r="CA8" s="5">
        <f t="shared" si="51"/>
        <v>0</v>
      </c>
      <c r="CB8" s="5">
        <f t="shared" si="52"/>
        <v>0</v>
      </c>
      <c r="CC8" s="5">
        <f t="shared" si="53"/>
        <v>0</v>
      </c>
      <c r="CD8" s="5">
        <f t="shared" si="54"/>
        <v>0</v>
      </c>
      <c r="CE8" s="5">
        <f t="shared" si="55"/>
        <v>0</v>
      </c>
      <c r="CF8" s="5">
        <f t="shared" si="56"/>
        <v>0</v>
      </c>
      <c r="CG8" s="5">
        <f t="shared" si="57"/>
        <v>0</v>
      </c>
      <c r="CH8" s="5">
        <f t="shared" si="58"/>
        <v>0</v>
      </c>
      <c r="CI8" s="5">
        <f t="shared" si="59"/>
        <v>0</v>
      </c>
      <c r="CJ8" s="5"/>
      <c r="CK8" s="4">
        <f t="shared" si="8"/>
        <v>2</v>
      </c>
    </row>
    <row r="9" spans="1:89" ht="47" customHeight="1">
      <c r="A9" s="74" t="str">
        <f t="shared" si="0"/>
        <v/>
      </c>
      <c r="B9" s="80"/>
      <c r="C9" s="84"/>
      <c r="D9" s="100"/>
      <c r="E9" s="75"/>
      <c r="F9" s="90">
        <f t="shared" si="9"/>
        <v>0</v>
      </c>
      <c r="G9" s="75"/>
      <c r="H9" s="100"/>
      <c r="I9" s="90">
        <f t="shared" si="10"/>
        <v>0</v>
      </c>
      <c r="J9" s="100"/>
      <c r="K9" s="100"/>
      <c r="L9" s="90">
        <f t="shared" si="11"/>
        <v>0</v>
      </c>
      <c r="M9" s="75"/>
      <c r="N9" s="75"/>
      <c r="O9" s="90">
        <f t="shared" si="12"/>
        <v>0</v>
      </c>
      <c r="P9" s="100"/>
      <c r="Q9" s="75"/>
      <c r="R9" s="90">
        <f t="shared" si="13"/>
        <v>0</v>
      </c>
      <c r="S9" s="100"/>
      <c r="T9" s="75"/>
      <c r="U9" s="90">
        <f t="shared" si="14"/>
        <v>0</v>
      </c>
      <c r="V9" s="75"/>
      <c r="W9" s="100"/>
      <c r="X9" s="90">
        <f t="shared" si="15"/>
        <v>0</v>
      </c>
      <c r="Y9" s="90"/>
      <c r="Z9" s="90"/>
      <c r="AA9" s="90"/>
      <c r="AB9" s="94">
        <f t="shared" si="16"/>
        <v>0</v>
      </c>
      <c r="AC9" s="91"/>
      <c r="AD9" s="77"/>
      <c r="AE9" s="92">
        <f t="shared" si="17"/>
        <v>0</v>
      </c>
      <c r="AF9" s="76"/>
      <c r="AG9" s="92">
        <f t="shared" si="18"/>
        <v>0</v>
      </c>
      <c r="AH9" s="77"/>
      <c r="AI9" s="92">
        <f t="shared" si="19"/>
        <v>0</v>
      </c>
      <c r="AJ9" s="76"/>
      <c r="AK9" s="92">
        <f t="shared" si="20"/>
        <v>0</v>
      </c>
      <c r="AL9" s="77"/>
      <c r="AM9" s="92">
        <f t="shared" si="21"/>
        <v>0</v>
      </c>
      <c r="AN9" s="76"/>
      <c r="AO9" s="92">
        <f t="shared" si="22"/>
        <v>0</v>
      </c>
      <c r="AP9" s="93">
        <f t="shared" si="23"/>
        <v>0</v>
      </c>
      <c r="AQ9" s="76"/>
      <c r="AR9" s="76"/>
      <c r="AS9" s="76"/>
      <c r="AT9" s="63">
        <f t="shared" si="24"/>
        <v>0</v>
      </c>
      <c r="AU9" s="77"/>
      <c r="AV9" s="5"/>
      <c r="AW9" s="5"/>
      <c r="AX9" s="5"/>
      <c r="AY9" s="5"/>
      <c r="AZ9" s="24" t="e">
        <f>VLOOKUP(C9,Employees!D:I,6,FALSE)</f>
        <v>#N/A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28"/>
        <v>0</v>
      </c>
      <c r="BE9" s="5">
        <f t="shared" si="29"/>
        <v>0</v>
      </c>
      <c r="BF9" s="5">
        <f t="shared" si="30"/>
        <v>0</v>
      </c>
      <c r="BG9" s="5">
        <f t="shared" si="31"/>
        <v>0</v>
      </c>
      <c r="BH9" s="5">
        <f t="shared" si="32"/>
        <v>0</v>
      </c>
      <c r="BI9" s="5">
        <f t="shared" si="33"/>
        <v>0</v>
      </c>
      <c r="BJ9" s="5">
        <f t="shared" si="34"/>
        <v>0</v>
      </c>
      <c r="BK9" s="5">
        <f t="shared" si="35"/>
        <v>0</v>
      </c>
      <c r="BL9" s="5">
        <f t="shared" si="36"/>
        <v>0</v>
      </c>
      <c r="BM9" s="5">
        <f t="shared" si="37"/>
        <v>0</v>
      </c>
      <c r="BN9" s="5">
        <f t="shared" si="38"/>
        <v>0</v>
      </c>
      <c r="BO9" s="5">
        <f t="shared" si="39"/>
        <v>0</v>
      </c>
      <c r="BP9" s="5">
        <f t="shared" si="40"/>
        <v>0</v>
      </c>
      <c r="BQ9" s="5">
        <f t="shared" si="41"/>
        <v>0</v>
      </c>
      <c r="BR9" s="5">
        <f t="shared" si="42"/>
        <v>0</v>
      </c>
      <c r="BS9" s="5">
        <f t="shared" si="43"/>
        <v>0</v>
      </c>
      <c r="BT9" s="5">
        <f t="shared" si="44"/>
        <v>0</v>
      </c>
      <c r="BU9" s="5">
        <f t="shared" si="45"/>
        <v>0</v>
      </c>
      <c r="BV9" s="5">
        <f t="shared" si="46"/>
        <v>0</v>
      </c>
      <c r="BW9" s="5">
        <f t="shared" si="47"/>
        <v>0</v>
      </c>
      <c r="BX9" s="5">
        <f t="shared" si="48"/>
        <v>0</v>
      </c>
      <c r="BY9" s="5">
        <f t="shared" si="49"/>
        <v>0</v>
      </c>
      <c r="BZ9" s="5">
        <f t="shared" si="50"/>
        <v>0</v>
      </c>
      <c r="CA9" s="5">
        <f t="shared" si="51"/>
        <v>0</v>
      </c>
      <c r="CB9" s="5">
        <f t="shared" si="52"/>
        <v>0</v>
      </c>
      <c r="CC9" s="5">
        <f t="shared" si="53"/>
        <v>0</v>
      </c>
      <c r="CD9" s="5">
        <f t="shared" si="54"/>
        <v>0</v>
      </c>
      <c r="CE9" s="5">
        <f t="shared" si="55"/>
        <v>0</v>
      </c>
      <c r="CF9" s="5">
        <f t="shared" si="56"/>
        <v>0</v>
      </c>
      <c r="CG9" s="5">
        <f t="shared" si="57"/>
        <v>0</v>
      </c>
      <c r="CH9" s="5">
        <f t="shared" si="58"/>
        <v>0</v>
      </c>
      <c r="CI9" s="5">
        <f t="shared" si="59"/>
        <v>0</v>
      </c>
      <c r="CJ9" s="5"/>
      <c r="CK9" s="4">
        <f t="shared" si="8"/>
        <v>0</v>
      </c>
    </row>
    <row r="10" spans="1:89" ht="47" customHeight="1">
      <c r="A10" s="74" t="str">
        <f t="shared" si="0"/>
        <v/>
      </c>
      <c r="B10" s="80"/>
      <c r="C10" s="84"/>
      <c r="D10" s="100"/>
      <c r="E10" s="75"/>
      <c r="F10" s="90">
        <f t="shared" si="9"/>
        <v>0</v>
      </c>
      <c r="G10" s="75"/>
      <c r="H10" s="100"/>
      <c r="I10" s="90">
        <f t="shared" si="10"/>
        <v>0</v>
      </c>
      <c r="J10" s="100"/>
      <c r="K10" s="100"/>
      <c r="L10" s="90">
        <f t="shared" si="11"/>
        <v>0</v>
      </c>
      <c r="M10" s="75"/>
      <c r="N10" s="75"/>
      <c r="O10" s="90">
        <f t="shared" si="12"/>
        <v>0</v>
      </c>
      <c r="P10" s="100"/>
      <c r="Q10" s="75"/>
      <c r="R10" s="90">
        <f t="shared" si="13"/>
        <v>0</v>
      </c>
      <c r="S10" s="100"/>
      <c r="T10" s="75"/>
      <c r="U10" s="90">
        <f t="shared" si="14"/>
        <v>0</v>
      </c>
      <c r="V10" s="75"/>
      <c r="W10" s="100"/>
      <c r="X10" s="90">
        <f t="shared" si="15"/>
        <v>0</v>
      </c>
      <c r="Y10" s="90"/>
      <c r="Z10" s="90"/>
      <c r="AA10" s="90"/>
      <c r="AB10" s="94">
        <f t="shared" si="16"/>
        <v>0</v>
      </c>
      <c r="AC10" s="91"/>
      <c r="AD10" s="77"/>
      <c r="AE10" s="92">
        <f t="shared" si="17"/>
        <v>0</v>
      </c>
      <c r="AF10" s="76"/>
      <c r="AG10" s="92">
        <f t="shared" si="18"/>
        <v>0</v>
      </c>
      <c r="AH10" s="77"/>
      <c r="AI10" s="92">
        <f t="shared" si="19"/>
        <v>0</v>
      </c>
      <c r="AJ10" s="76"/>
      <c r="AK10" s="92">
        <f t="shared" si="20"/>
        <v>0</v>
      </c>
      <c r="AL10" s="77"/>
      <c r="AM10" s="92">
        <f t="shared" si="21"/>
        <v>0</v>
      </c>
      <c r="AN10" s="76"/>
      <c r="AO10" s="92">
        <f t="shared" si="22"/>
        <v>0</v>
      </c>
      <c r="AP10" s="93">
        <f t="shared" si="23"/>
        <v>0</v>
      </c>
      <c r="AQ10" s="76"/>
      <c r="AR10" s="76"/>
      <c r="AS10" s="76"/>
      <c r="AT10" s="63">
        <f t="shared" si="24"/>
        <v>0</v>
      </c>
      <c r="AU10" s="77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28"/>
        <v>0</v>
      </c>
      <c r="BE10" s="5">
        <f t="shared" si="29"/>
        <v>0</v>
      </c>
      <c r="BF10" s="5">
        <f t="shared" si="30"/>
        <v>0</v>
      </c>
      <c r="BG10" s="5">
        <f t="shared" si="31"/>
        <v>0</v>
      </c>
      <c r="BH10" s="5">
        <f t="shared" si="32"/>
        <v>0</v>
      </c>
      <c r="BI10" s="5">
        <f t="shared" si="33"/>
        <v>0</v>
      </c>
      <c r="BJ10" s="5">
        <f t="shared" si="34"/>
        <v>0</v>
      </c>
      <c r="BK10" s="5">
        <f t="shared" si="35"/>
        <v>0</v>
      </c>
      <c r="BL10" s="5">
        <f t="shared" si="36"/>
        <v>0</v>
      </c>
      <c r="BM10" s="5">
        <f t="shared" si="37"/>
        <v>0</v>
      </c>
      <c r="BN10" s="5">
        <f t="shared" si="38"/>
        <v>0</v>
      </c>
      <c r="BO10" s="5">
        <f t="shared" si="39"/>
        <v>0</v>
      </c>
      <c r="BP10" s="5">
        <f t="shared" si="40"/>
        <v>0</v>
      </c>
      <c r="BQ10" s="5">
        <f t="shared" si="41"/>
        <v>0</v>
      </c>
      <c r="BR10" s="5">
        <f t="shared" si="42"/>
        <v>0</v>
      </c>
      <c r="BS10" s="5">
        <f t="shared" si="43"/>
        <v>0</v>
      </c>
      <c r="BT10" s="5">
        <f t="shared" si="44"/>
        <v>0</v>
      </c>
      <c r="BU10" s="5">
        <f t="shared" si="45"/>
        <v>0</v>
      </c>
      <c r="BV10" s="5">
        <f t="shared" si="46"/>
        <v>0</v>
      </c>
      <c r="BW10" s="5">
        <f t="shared" si="47"/>
        <v>0</v>
      </c>
      <c r="BX10" s="5">
        <f t="shared" si="48"/>
        <v>0</v>
      </c>
      <c r="BY10" s="5">
        <f t="shared" si="49"/>
        <v>0</v>
      </c>
      <c r="BZ10" s="5">
        <f t="shared" si="50"/>
        <v>0</v>
      </c>
      <c r="CA10" s="5">
        <f t="shared" si="51"/>
        <v>0</v>
      </c>
      <c r="CB10" s="5">
        <f t="shared" si="52"/>
        <v>0</v>
      </c>
      <c r="CC10" s="5">
        <f t="shared" si="53"/>
        <v>0</v>
      </c>
      <c r="CD10" s="5">
        <f t="shared" si="54"/>
        <v>0</v>
      </c>
      <c r="CE10" s="5">
        <f t="shared" si="55"/>
        <v>0</v>
      </c>
      <c r="CF10" s="5">
        <f t="shared" si="56"/>
        <v>0</v>
      </c>
      <c r="CG10" s="5">
        <f t="shared" si="57"/>
        <v>0</v>
      </c>
      <c r="CH10" s="5">
        <f t="shared" si="58"/>
        <v>0</v>
      </c>
      <c r="CI10" s="5">
        <f t="shared" si="59"/>
        <v>0</v>
      </c>
      <c r="CJ10" s="5"/>
      <c r="CK10" s="4">
        <f t="shared" si="8"/>
        <v>0</v>
      </c>
    </row>
    <row r="11" spans="1:89" ht="47" customHeight="1">
      <c r="A11" s="74" t="str">
        <f t="shared" si="0"/>
        <v/>
      </c>
      <c r="B11" s="80"/>
      <c r="C11" s="84"/>
      <c r="D11" s="100"/>
      <c r="E11" s="75"/>
      <c r="F11" s="90">
        <f t="shared" si="9"/>
        <v>0</v>
      </c>
      <c r="G11" s="75"/>
      <c r="H11" s="100"/>
      <c r="I11" s="90">
        <f t="shared" si="10"/>
        <v>0</v>
      </c>
      <c r="J11" s="100"/>
      <c r="K11" s="100"/>
      <c r="L11" s="90">
        <f t="shared" si="11"/>
        <v>0</v>
      </c>
      <c r="M11" s="75"/>
      <c r="N11" s="75"/>
      <c r="O11" s="90">
        <f t="shared" si="12"/>
        <v>0</v>
      </c>
      <c r="P11" s="100"/>
      <c r="Q11" s="75"/>
      <c r="R11" s="90">
        <f t="shared" si="13"/>
        <v>0</v>
      </c>
      <c r="S11" s="100"/>
      <c r="T11" s="75"/>
      <c r="U11" s="90">
        <f t="shared" si="14"/>
        <v>0</v>
      </c>
      <c r="V11" s="75"/>
      <c r="W11" s="100"/>
      <c r="X11" s="90">
        <f t="shared" si="15"/>
        <v>0</v>
      </c>
      <c r="Y11" s="90"/>
      <c r="Z11" s="90"/>
      <c r="AA11" s="90"/>
      <c r="AB11" s="94">
        <f t="shared" si="16"/>
        <v>0</v>
      </c>
      <c r="AC11" s="91"/>
      <c r="AD11" s="77"/>
      <c r="AE11" s="92">
        <f t="shared" si="17"/>
        <v>0</v>
      </c>
      <c r="AF11" s="76"/>
      <c r="AG11" s="92">
        <f t="shared" si="18"/>
        <v>0</v>
      </c>
      <c r="AH11" s="77"/>
      <c r="AI11" s="92">
        <f t="shared" si="19"/>
        <v>0</v>
      </c>
      <c r="AJ11" s="76"/>
      <c r="AK11" s="92">
        <f t="shared" si="20"/>
        <v>0</v>
      </c>
      <c r="AL11" s="77"/>
      <c r="AM11" s="92">
        <f t="shared" si="21"/>
        <v>0</v>
      </c>
      <c r="AN11" s="76"/>
      <c r="AO11" s="92">
        <f t="shared" si="22"/>
        <v>0</v>
      </c>
      <c r="AP11" s="93">
        <f t="shared" si="23"/>
        <v>0</v>
      </c>
      <c r="AQ11" s="76"/>
      <c r="AR11" s="76"/>
      <c r="AS11" s="76"/>
      <c r="AT11" s="63">
        <f t="shared" si="24"/>
        <v>0</v>
      </c>
      <c r="AU11" s="77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28"/>
        <v>0</v>
      </c>
      <c r="BE11" s="5">
        <f t="shared" si="29"/>
        <v>0</v>
      </c>
      <c r="BF11" s="5">
        <f t="shared" si="30"/>
        <v>0</v>
      </c>
      <c r="BG11" s="5">
        <f t="shared" si="31"/>
        <v>0</v>
      </c>
      <c r="BH11" s="5">
        <f t="shared" si="32"/>
        <v>0</v>
      </c>
      <c r="BI11" s="5">
        <f t="shared" si="33"/>
        <v>0</v>
      </c>
      <c r="BJ11" s="5">
        <f t="shared" si="34"/>
        <v>0</v>
      </c>
      <c r="BK11" s="5">
        <f t="shared" si="35"/>
        <v>0</v>
      </c>
      <c r="BL11" s="5">
        <f t="shared" si="36"/>
        <v>0</v>
      </c>
      <c r="BM11" s="5">
        <f t="shared" si="37"/>
        <v>0</v>
      </c>
      <c r="BN11" s="5">
        <f t="shared" si="38"/>
        <v>0</v>
      </c>
      <c r="BO11" s="5">
        <f t="shared" si="39"/>
        <v>0</v>
      </c>
      <c r="BP11" s="5">
        <f t="shared" si="40"/>
        <v>0</v>
      </c>
      <c r="BQ11" s="5">
        <f t="shared" si="41"/>
        <v>0</v>
      </c>
      <c r="BR11" s="5">
        <f t="shared" si="42"/>
        <v>0</v>
      </c>
      <c r="BS11" s="5">
        <f t="shared" si="43"/>
        <v>0</v>
      </c>
      <c r="BT11" s="5">
        <f t="shared" si="44"/>
        <v>0</v>
      </c>
      <c r="BU11" s="5">
        <f t="shared" si="45"/>
        <v>0</v>
      </c>
      <c r="BV11" s="5">
        <f t="shared" si="46"/>
        <v>0</v>
      </c>
      <c r="BW11" s="5">
        <f t="shared" si="47"/>
        <v>0</v>
      </c>
      <c r="BX11" s="5">
        <f t="shared" si="48"/>
        <v>0</v>
      </c>
      <c r="BY11" s="5">
        <f t="shared" si="49"/>
        <v>0</v>
      </c>
      <c r="BZ11" s="5">
        <f t="shared" si="50"/>
        <v>0</v>
      </c>
      <c r="CA11" s="5">
        <f t="shared" si="51"/>
        <v>0</v>
      </c>
      <c r="CB11" s="5">
        <f t="shared" si="52"/>
        <v>0</v>
      </c>
      <c r="CC11" s="5">
        <f t="shared" si="53"/>
        <v>0</v>
      </c>
      <c r="CD11" s="5">
        <f t="shared" si="54"/>
        <v>0</v>
      </c>
      <c r="CE11" s="5">
        <f t="shared" si="55"/>
        <v>0</v>
      </c>
      <c r="CF11" s="5">
        <f t="shared" si="56"/>
        <v>0</v>
      </c>
      <c r="CG11" s="5">
        <f t="shared" si="57"/>
        <v>0</v>
      </c>
      <c r="CH11" s="5">
        <f t="shared" si="58"/>
        <v>0</v>
      </c>
      <c r="CI11" s="5">
        <f t="shared" si="59"/>
        <v>0</v>
      </c>
      <c r="CJ11" s="5"/>
      <c r="CK11" s="4">
        <f t="shared" si="8"/>
        <v>0</v>
      </c>
    </row>
    <row r="12" spans="1:89" ht="47" customHeight="1">
      <c r="A12" s="74" t="str">
        <f t="shared" si="0"/>
        <v/>
      </c>
      <c r="B12" s="80"/>
      <c r="C12" s="84"/>
      <c r="D12" s="100"/>
      <c r="E12" s="75"/>
      <c r="F12" s="90">
        <f t="shared" si="9"/>
        <v>0</v>
      </c>
      <c r="G12" s="75"/>
      <c r="H12" s="100"/>
      <c r="I12" s="90">
        <f t="shared" si="10"/>
        <v>0</v>
      </c>
      <c r="J12" s="100"/>
      <c r="K12" s="100"/>
      <c r="L12" s="90">
        <f t="shared" si="11"/>
        <v>0</v>
      </c>
      <c r="M12" s="75"/>
      <c r="N12" s="75"/>
      <c r="O12" s="90">
        <f t="shared" si="12"/>
        <v>0</v>
      </c>
      <c r="P12" s="100"/>
      <c r="Q12" s="75"/>
      <c r="R12" s="90">
        <f t="shared" si="13"/>
        <v>0</v>
      </c>
      <c r="S12" s="100"/>
      <c r="T12" s="75"/>
      <c r="U12" s="90">
        <f t="shared" si="14"/>
        <v>0</v>
      </c>
      <c r="V12" s="75"/>
      <c r="W12" s="100"/>
      <c r="X12" s="90">
        <f t="shared" si="15"/>
        <v>0</v>
      </c>
      <c r="Y12" s="90"/>
      <c r="Z12" s="90"/>
      <c r="AA12" s="90"/>
      <c r="AB12" s="94">
        <f t="shared" si="16"/>
        <v>0</v>
      </c>
      <c r="AC12" s="91"/>
      <c r="AD12" s="77"/>
      <c r="AE12" s="92">
        <f t="shared" si="17"/>
        <v>0</v>
      </c>
      <c r="AF12" s="76"/>
      <c r="AG12" s="92">
        <f t="shared" si="18"/>
        <v>0</v>
      </c>
      <c r="AH12" s="76"/>
      <c r="AI12" s="92">
        <f t="shared" si="19"/>
        <v>0</v>
      </c>
      <c r="AJ12" s="76"/>
      <c r="AK12" s="92">
        <f t="shared" si="20"/>
        <v>0</v>
      </c>
      <c r="AL12" s="77"/>
      <c r="AM12" s="92">
        <f t="shared" si="21"/>
        <v>0</v>
      </c>
      <c r="AN12" s="76"/>
      <c r="AO12" s="92">
        <f t="shared" si="22"/>
        <v>0</v>
      </c>
      <c r="AP12" s="93">
        <f t="shared" si="23"/>
        <v>0</v>
      </c>
      <c r="AQ12" s="76"/>
      <c r="AR12" s="76"/>
      <c r="AS12" s="76"/>
      <c r="AT12" s="63">
        <f t="shared" si="24"/>
        <v>0</v>
      </c>
      <c r="AU12" s="77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28"/>
        <v>0</v>
      </c>
      <c r="BE12" s="5">
        <f t="shared" si="29"/>
        <v>0</v>
      </c>
      <c r="BF12" s="5">
        <f t="shared" si="30"/>
        <v>0</v>
      </c>
      <c r="BG12" s="5">
        <f t="shared" si="31"/>
        <v>0</v>
      </c>
      <c r="BH12" s="5">
        <f t="shared" si="32"/>
        <v>0</v>
      </c>
      <c r="BI12" s="5">
        <f t="shared" si="33"/>
        <v>0</v>
      </c>
      <c r="BJ12" s="5">
        <f t="shared" si="34"/>
        <v>0</v>
      </c>
      <c r="BK12" s="5">
        <f t="shared" si="35"/>
        <v>0</v>
      </c>
      <c r="BL12" s="5">
        <f t="shared" si="36"/>
        <v>0</v>
      </c>
      <c r="BM12" s="5">
        <f t="shared" si="37"/>
        <v>0</v>
      </c>
      <c r="BN12" s="5">
        <f t="shared" si="38"/>
        <v>0</v>
      </c>
      <c r="BO12" s="5">
        <f t="shared" si="39"/>
        <v>0</v>
      </c>
      <c r="BP12" s="5">
        <f t="shared" si="40"/>
        <v>0</v>
      </c>
      <c r="BQ12" s="5">
        <f t="shared" si="41"/>
        <v>0</v>
      </c>
      <c r="BR12" s="5">
        <f t="shared" si="42"/>
        <v>0</v>
      </c>
      <c r="BS12" s="5">
        <f t="shared" si="43"/>
        <v>0</v>
      </c>
      <c r="BT12" s="5">
        <f t="shared" si="44"/>
        <v>0</v>
      </c>
      <c r="BU12" s="5">
        <f t="shared" si="45"/>
        <v>0</v>
      </c>
      <c r="BV12" s="5">
        <f t="shared" si="46"/>
        <v>0</v>
      </c>
      <c r="BW12" s="5">
        <f t="shared" si="47"/>
        <v>0</v>
      </c>
      <c r="BX12" s="5">
        <f t="shared" si="48"/>
        <v>0</v>
      </c>
      <c r="BY12" s="5">
        <f t="shared" si="49"/>
        <v>0</v>
      </c>
      <c r="BZ12" s="5">
        <f t="shared" si="50"/>
        <v>0</v>
      </c>
      <c r="CA12" s="5">
        <f t="shared" si="51"/>
        <v>0</v>
      </c>
      <c r="CB12" s="5">
        <f t="shared" si="52"/>
        <v>0</v>
      </c>
      <c r="CC12" s="5">
        <f t="shared" si="53"/>
        <v>0</v>
      </c>
      <c r="CD12" s="5">
        <f t="shared" si="54"/>
        <v>0</v>
      </c>
      <c r="CE12" s="5">
        <f t="shared" si="55"/>
        <v>0</v>
      </c>
      <c r="CF12" s="5">
        <f t="shared" si="56"/>
        <v>0</v>
      </c>
      <c r="CG12" s="5">
        <f t="shared" si="57"/>
        <v>0</v>
      </c>
      <c r="CH12" s="5">
        <f t="shared" si="58"/>
        <v>0</v>
      </c>
      <c r="CI12" s="5">
        <f t="shared" si="59"/>
        <v>0</v>
      </c>
      <c r="CJ12" s="5"/>
      <c r="CK12" s="4">
        <f t="shared" si="8"/>
        <v>0</v>
      </c>
    </row>
    <row r="13" spans="1:89" ht="47" customHeight="1">
      <c r="A13" s="74" t="str">
        <f t="shared" si="0"/>
        <v/>
      </c>
      <c r="B13" s="80"/>
      <c r="C13" s="84"/>
      <c r="D13" s="100"/>
      <c r="E13" s="75"/>
      <c r="F13" s="90">
        <f t="shared" si="9"/>
        <v>0</v>
      </c>
      <c r="G13" s="75"/>
      <c r="H13" s="100"/>
      <c r="I13" s="90">
        <f t="shared" si="10"/>
        <v>0</v>
      </c>
      <c r="J13" s="100"/>
      <c r="K13" s="100"/>
      <c r="L13" s="90">
        <f t="shared" si="11"/>
        <v>0</v>
      </c>
      <c r="M13" s="75"/>
      <c r="N13" s="75"/>
      <c r="O13" s="90">
        <f t="shared" si="12"/>
        <v>0</v>
      </c>
      <c r="P13" s="100"/>
      <c r="Q13" s="75"/>
      <c r="R13" s="90">
        <f t="shared" si="13"/>
        <v>0</v>
      </c>
      <c r="S13" s="100"/>
      <c r="T13" s="75"/>
      <c r="U13" s="90">
        <f t="shared" si="14"/>
        <v>0</v>
      </c>
      <c r="V13" s="75"/>
      <c r="W13" s="100"/>
      <c r="X13" s="90">
        <f t="shared" si="15"/>
        <v>0</v>
      </c>
      <c r="Y13" s="90"/>
      <c r="Z13" s="90"/>
      <c r="AA13" s="90"/>
      <c r="AB13" s="94">
        <f t="shared" si="16"/>
        <v>0</v>
      </c>
      <c r="AC13" s="91"/>
      <c r="AD13" s="76"/>
      <c r="AE13" s="92">
        <f t="shared" si="17"/>
        <v>0</v>
      </c>
      <c r="AF13" s="76"/>
      <c r="AG13" s="92">
        <f t="shared" si="18"/>
        <v>0</v>
      </c>
      <c r="AH13" s="76"/>
      <c r="AI13" s="92">
        <f t="shared" si="19"/>
        <v>0</v>
      </c>
      <c r="AJ13" s="76"/>
      <c r="AK13" s="92">
        <f t="shared" si="20"/>
        <v>0</v>
      </c>
      <c r="AL13" s="77"/>
      <c r="AM13" s="92">
        <f t="shared" si="21"/>
        <v>0</v>
      </c>
      <c r="AN13" s="76"/>
      <c r="AO13" s="92">
        <f t="shared" si="22"/>
        <v>0</v>
      </c>
      <c r="AP13" s="93">
        <f t="shared" si="23"/>
        <v>0</v>
      </c>
      <c r="AQ13" s="76"/>
      <c r="AR13" s="76"/>
      <c r="AS13" s="76"/>
      <c r="AT13" s="63">
        <f t="shared" si="24"/>
        <v>0</v>
      </c>
      <c r="AU13" s="76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28"/>
        <v>0</v>
      </c>
      <c r="BE13" s="5">
        <f t="shared" si="29"/>
        <v>0</v>
      </c>
      <c r="BF13" s="5">
        <f t="shared" si="30"/>
        <v>0</v>
      </c>
      <c r="BG13" s="5">
        <f t="shared" si="31"/>
        <v>0</v>
      </c>
      <c r="BH13" s="5">
        <f t="shared" si="32"/>
        <v>0</v>
      </c>
      <c r="BI13" s="5">
        <f t="shared" si="33"/>
        <v>0</v>
      </c>
      <c r="BJ13" s="5">
        <f t="shared" si="34"/>
        <v>0</v>
      </c>
      <c r="BK13" s="5">
        <f t="shared" si="35"/>
        <v>0</v>
      </c>
      <c r="BL13" s="5">
        <f t="shared" si="36"/>
        <v>0</v>
      </c>
      <c r="BM13" s="5">
        <f t="shared" si="37"/>
        <v>0</v>
      </c>
      <c r="BN13" s="5">
        <f t="shared" si="38"/>
        <v>0</v>
      </c>
      <c r="BO13" s="5">
        <f t="shared" si="39"/>
        <v>0</v>
      </c>
      <c r="BP13" s="5">
        <f t="shared" si="40"/>
        <v>0</v>
      </c>
      <c r="BQ13" s="5">
        <f t="shared" si="41"/>
        <v>0</v>
      </c>
      <c r="BR13" s="5">
        <f t="shared" si="42"/>
        <v>0</v>
      </c>
      <c r="BS13" s="5">
        <f t="shared" si="43"/>
        <v>0</v>
      </c>
      <c r="BT13" s="5">
        <f t="shared" si="44"/>
        <v>0</v>
      </c>
      <c r="BU13" s="5">
        <f t="shared" si="45"/>
        <v>0</v>
      </c>
      <c r="BV13" s="5">
        <f t="shared" si="46"/>
        <v>0</v>
      </c>
      <c r="BW13" s="5">
        <f t="shared" si="47"/>
        <v>0</v>
      </c>
      <c r="BX13" s="5">
        <f t="shared" si="48"/>
        <v>0</v>
      </c>
      <c r="BY13" s="5">
        <f t="shared" si="49"/>
        <v>0</v>
      </c>
      <c r="BZ13" s="5">
        <f t="shared" si="50"/>
        <v>0</v>
      </c>
      <c r="CA13" s="5">
        <f t="shared" si="51"/>
        <v>0</v>
      </c>
      <c r="CB13" s="5">
        <f t="shared" si="52"/>
        <v>0</v>
      </c>
      <c r="CC13" s="5">
        <f t="shared" si="53"/>
        <v>0</v>
      </c>
      <c r="CD13" s="5">
        <f t="shared" si="54"/>
        <v>0</v>
      </c>
      <c r="CE13" s="5">
        <f t="shared" si="55"/>
        <v>0</v>
      </c>
      <c r="CF13" s="5">
        <f t="shared" si="56"/>
        <v>0</v>
      </c>
      <c r="CG13" s="5">
        <f t="shared" si="57"/>
        <v>0</v>
      </c>
      <c r="CH13" s="5">
        <f t="shared" si="58"/>
        <v>0</v>
      </c>
      <c r="CI13" s="5">
        <f t="shared" si="59"/>
        <v>0</v>
      </c>
      <c r="CJ13" s="5"/>
      <c r="CK13" s="4">
        <f t="shared" si="8"/>
        <v>0</v>
      </c>
    </row>
    <row r="14" spans="1:89" ht="47" customHeight="1">
      <c r="A14" s="74" t="str">
        <f t="shared" si="0"/>
        <v/>
      </c>
      <c r="B14" s="80"/>
      <c r="C14" s="84"/>
      <c r="D14" s="100"/>
      <c r="E14" s="75"/>
      <c r="F14" s="90">
        <f t="shared" si="9"/>
        <v>0</v>
      </c>
      <c r="G14" s="75"/>
      <c r="H14" s="100"/>
      <c r="I14" s="90">
        <f t="shared" si="10"/>
        <v>0</v>
      </c>
      <c r="J14" s="100"/>
      <c r="K14" s="100"/>
      <c r="L14" s="90">
        <f t="shared" si="11"/>
        <v>0</v>
      </c>
      <c r="M14" s="75"/>
      <c r="N14" s="75"/>
      <c r="O14" s="90">
        <f t="shared" si="12"/>
        <v>0</v>
      </c>
      <c r="P14" s="100"/>
      <c r="Q14" s="75"/>
      <c r="R14" s="90">
        <f t="shared" si="13"/>
        <v>0</v>
      </c>
      <c r="S14" s="100"/>
      <c r="T14" s="75"/>
      <c r="U14" s="90">
        <f t="shared" si="14"/>
        <v>0</v>
      </c>
      <c r="V14" s="75"/>
      <c r="W14" s="100"/>
      <c r="X14" s="90">
        <f t="shared" si="15"/>
        <v>0</v>
      </c>
      <c r="Y14" s="90"/>
      <c r="Z14" s="90"/>
      <c r="AA14" s="90"/>
      <c r="AB14" s="94">
        <f t="shared" si="16"/>
        <v>0</v>
      </c>
      <c r="AC14" s="91"/>
      <c r="AD14" s="76"/>
      <c r="AE14" s="92">
        <f t="shared" si="17"/>
        <v>0</v>
      </c>
      <c r="AF14" s="76"/>
      <c r="AG14" s="92">
        <f t="shared" si="18"/>
        <v>0</v>
      </c>
      <c r="AH14" s="76"/>
      <c r="AI14" s="92">
        <f t="shared" si="19"/>
        <v>0</v>
      </c>
      <c r="AJ14" s="76"/>
      <c r="AK14" s="92">
        <f t="shared" si="20"/>
        <v>0</v>
      </c>
      <c r="AL14" s="77"/>
      <c r="AM14" s="92">
        <f t="shared" si="21"/>
        <v>0</v>
      </c>
      <c r="AN14" s="76"/>
      <c r="AO14" s="92">
        <f t="shared" si="22"/>
        <v>0</v>
      </c>
      <c r="AP14" s="93">
        <f t="shared" si="23"/>
        <v>0</v>
      </c>
      <c r="AQ14" s="76"/>
      <c r="AR14" s="76"/>
      <c r="AS14" s="76"/>
      <c r="AT14" s="63">
        <f t="shared" si="24"/>
        <v>0</v>
      </c>
      <c r="AU14" s="76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28"/>
        <v>0</v>
      </c>
      <c r="BE14" s="5">
        <f t="shared" si="29"/>
        <v>0</v>
      </c>
      <c r="BF14" s="5">
        <f t="shared" si="30"/>
        <v>0</v>
      </c>
      <c r="BG14" s="5">
        <f t="shared" si="31"/>
        <v>0</v>
      </c>
      <c r="BH14" s="5">
        <f t="shared" si="32"/>
        <v>0</v>
      </c>
      <c r="BI14" s="5">
        <f t="shared" si="33"/>
        <v>0</v>
      </c>
      <c r="BJ14" s="5">
        <f t="shared" si="34"/>
        <v>0</v>
      </c>
      <c r="BK14" s="5">
        <f t="shared" si="35"/>
        <v>0</v>
      </c>
      <c r="BL14" s="5">
        <f t="shared" si="36"/>
        <v>0</v>
      </c>
      <c r="BM14" s="5">
        <f t="shared" si="37"/>
        <v>0</v>
      </c>
      <c r="BN14" s="5">
        <f t="shared" si="38"/>
        <v>0</v>
      </c>
      <c r="BO14" s="5">
        <f t="shared" si="39"/>
        <v>0</v>
      </c>
      <c r="BP14" s="5">
        <f t="shared" si="40"/>
        <v>0</v>
      </c>
      <c r="BQ14" s="5">
        <f t="shared" si="41"/>
        <v>0</v>
      </c>
      <c r="BR14" s="5">
        <f t="shared" si="42"/>
        <v>0</v>
      </c>
      <c r="BS14" s="5">
        <f t="shared" si="43"/>
        <v>0</v>
      </c>
      <c r="BT14" s="5">
        <f t="shared" si="44"/>
        <v>0</v>
      </c>
      <c r="BU14" s="5">
        <f t="shared" si="45"/>
        <v>0</v>
      </c>
      <c r="BV14" s="5">
        <f t="shared" si="46"/>
        <v>0</v>
      </c>
      <c r="BW14" s="5">
        <f t="shared" si="47"/>
        <v>0</v>
      </c>
      <c r="BX14" s="5">
        <f t="shared" si="48"/>
        <v>0</v>
      </c>
      <c r="BY14" s="5">
        <f t="shared" si="49"/>
        <v>0</v>
      </c>
      <c r="BZ14" s="5">
        <f t="shared" si="50"/>
        <v>0</v>
      </c>
      <c r="CA14" s="5">
        <f t="shared" si="51"/>
        <v>0</v>
      </c>
      <c r="CB14" s="5">
        <f t="shared" si="52"/>
        <v>0</v>
      </c>
      <c r="CC14" s="5">
        <f t="shared" si="53"/>
        <v>0</v>
      </c>
      <c r="CD14" s="5">
        <f t="shared" si="54"/>
        <v>0</v>
      </c>
      <c r="CE14" s="5">
        <f t="shared" si="55"/>
        <v>0</v>
      </c>
      <c r="CF14" s="5">
        <f t="shared" si="56"/>
        <v>0</v>
      </c>
      <c r="CG14" s="5">
        <f t="shared" si="57"/>
        <v>0</v>
      </c>
      <c r="CH14" s="5">
        <f t="shared" si="58"/>
        <v>0</v>
      </c>
      <c r="CI14" s="5">
        <f t="shared" si="59"/>
        <v>0</v>
      </c>
      <c r="CJ14" s="5"/>
      <c r="CK14" s="4">
        <f t="shared" si="8"/>
        <v>0</v>
      </c>
    </row>
    <row r="15" spans="1:89" ht="47" customHeight="1">
      <c r="A15" s="74" t="str">
        <f t="shared" si="0"/>
        <v/>
      </c>
      <c r="B15" s="73"/>
      <c r="C15" s="85"/>
      <c r="D15" s="100"/>
      <c r="E15" s="75"/>
      <c r="F15" s="90">
        <f t="shared" si="9"/>
        <v>0</v>
      </c>
      <c r="G15" s="75"/>
      <c r="H15" s="100"/>
      <c r="I15" s="90">
        <f t="shared" si="10"/>
        <v>0</v>
      </c>
      <c r="J15" s="100"/>
      <c r="K15" s="100"/>
      <c r="L15" s="90">
        <f t="shared" si="11"/>
        <v>0</v>
      </c>
      <c r="M15" s="75"/>
      <c r="N15" s="75"/>
      <c r="O15" s="90">
        <f t="shared" si="12"/>
        <v>0</v>
      </c>
      <c r="P15" s="100"/>
      <c r="Q15" s="75"/>
      <c r="R15" s="90">
        <f t="shared" si="13"/>
        <v>0</v>
      </c>
      <c r="S15" s="100"/>
      <c r="T15" s="75"/>
      <c r="U15" s="90">
        <f t="shared" si="14"/>
        <v>0</v>
      </c>
      <c r="V15" s="75"/>
      <c r="W15" s="100"/>
      <c r="X15" s="90">
        <f t="shared" si="15"/>
        <v>0</v>
      </c>
      <c r="Y15" s="90"/>
      <c r="Z15" s="90"/>
      <c r="AA15" s="90"/>
      <c r="AB15" s="94">
        <f t="shared" si="16"/>
        <v>0</v>
      </c>
      <c r="AC15" s="91"/>
      <c r="AD15" s="76"/>
      <c r="AE15" s="92">
        <f t="shared" si="17"/>
        <v>0</v>
      </c>
      <c r="AF15" s="76"/>
      <c r="AG15" s="92">
        <f t="shared" si="18"/>
        <v>0</v>
      </c>
      <c r="AH15" s="76"/>
      <c r="AI15" s="92">
        <f t="shared" si="19"/>
        <v>0</v>
      </c>
      <c r="AJ15" s="76"/>
      <c r="AK15" s="92">
        <f t="shared" si="20"/>
        <v>0</v>
      </c>
      <c r="AL15" s="77"/>
      <c r="AM15" s="92">
        <f t="shared" si="21"/>
        <v>0</v>
      </c>
      <c r="AN15" s="76"/>
      <c r="AO15" s="92">
        <f t="shared" si="22"/>
        <v>0</v>
      </c>
      <c r="AP15" s="93">
        <f t="shared" si="23"/>
        <v>0</v>
      </c>
      <c r="AQ15" s="76"/>
      <c r="AR15" s="76"/>
      <c r="AS15" s="76"/>
      <c r="AT15" s="63">
        <f t="shared" si="24"/>
        <v>0</v>
      </c>
      <c r="AU15" s="76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28"/>
        <v>0</v>
      </c>
      <c r="BE15" s="5">
        <f t="shared" si="29"/>
        <v>0</v>
      </c>
      <c r="BF15" s="5">
        <f t="shared" si="30"/>
        <v>0</v>
      </c>
      <c r="BG15" s="5">
        <f t="shared" si="31"/>
        <v>0</v>
      </c>
      <c r="BH15" s="5">
        <f t="shared" si="32"/>
        <v>0</v>
      </c>
      <c r="BI15" s="5">
        <f t="shared" si="33"/>
        <v>0</v>
      </c>
      <c r="BJ15" s="5">
        <f t="shared" si="34"/>
        <v>0</v>
      </c>
      <c r="BK15" s="5">
        <f t="shared" si="35"/>
        <v>0</v>
      </c>
      <c r="BL15" s="5">
        <f t="shared" si="36"/>
        <v>0</v>
      </c>
      <c r="BM15" s="5">
        <f t="shared" si="37"/>
        <v>0</v>
      </c>
      <c r="BN15" s="5">
        <f t="shared" si="38"/>
        <v>0</v>
      </c>
      <c r="BO15" s="5">
        <f t="shared" si="39"/>
        <v>0</v>
      </c>
      <c r="BP15" s="5">
        <f t="shared" si="40"/>
        <v>0</v>
      </c>
      <c r="BQ15" s="5">
        <f t="shared" si="41"/>
        <v>0</v>
      </c>
      <c r="BR15" s="5">
        <f t="shared" si="42"/>
        <v>0</v>
      </c>
      <c r="BS15" s="5">
        <f t="shared" si="43"/>
        <v>0</v>
      </c>
      <c r="BT15" s="5">
        <f t="shared" si="44"/>
        <v>0</v>
      </c>
      <c r="BU15" s="5">
        <f t="shared" si="45"/>
        <v>0</v>
      </c>
      <c r="BV15" s="5">
        <f t="shared" si="46"/>
        <v>0</v>
      </c>
      <c r="BW15" s="5">
        <f t="shared" si="47"/>
        <v>0</v>
      </c>
      <c r="BX15" s="5">
        <f t="shared" si="48"/>
        <v>0</v>
      </c>
      <c r="BY15" s="5">
        <f t="shared" si="49"/>
        <v>0</v>
      </c>
      <c r="BZ15" s="5">
        <f t="shared" si="50"/>
        <v>0</v>
      </c>
      <c r="CA15" s="5">
        <f t="shared" si="51"/>
        <v>0</v>
      </c>
      <c r="CB15" s="5">
        <f t="shared" si="52"/>
        <v>0</v>
      </c>
      <c r="CC15" s="5">
        <f t="shared" si="53"/>
        <v>0</v>
      </c>
      <c r="CD15" s="5">
        <f t="shared" si="54"/>
        <v>0</v>
      </c>
      <c r="CE15" s="5">
        <f t="shared" si="55"/>
        <v>0</v>
      </c>
      <c r="CF15" s="5">
        <f t="shared" si="56"/>
        <v>0</v>
      </c>
      <c r="CG15" s="5">
        <f t="shared" si="57"/>
        <v>0</v>
      </c>
      <c r="CH15" s="5">
        <f t="shared" si="58"/>
        <v>0</v>
      </c>
      <c r="CI15" s="5">
        <f t="shared" si="59"/>
        <v>0</v>
      </c>
      <c r="CJ15" s="5"/>
      <c r="CK15" s="4">
        <f t="shared" si="8"/>
        <v>0</v>
      </c>
    </row>
    <row r="16" spans="1:89" ht="47" customHeight="1">
      <c r="A16" s="74" t="str">
        <f t="shared" si="0"/>
        <v/>
      </c>
      <c r="B16" s="73"/>
      <c r="C16" s="85"/>
      <c r="D16" s="100"/>
      <c r="E16" s="75"/>
      <c r="F16" s="90">
        <f t="shared" si="9"/>
        <v>0</v>
      </c>
      <c r="G16" s="75"/>
      <c r="H16" s="100"/>
      <c r="I16" s="90">
        <f>BF16-BG16</f>
        <v>0</v>
      </c>
      <c r="J16" s="100"/>
      <c r="K16" s="100"/>
      <c r="L16" s="90">
        <f t="shared" si="11"/>
        <v>0</v>
      </c>
      <c r="M16" s="75"/>
      <c r="N16" s="75"/>
      <c r="O16" s="90">
        <f t="shared" si="12"/>
        <v>0</v>
      </c>
      <c r="P16" s="100"/>
      <c r="Q16" s="75"/>
      <c r="R16" s="90">
        <f t="shared" si="13"/>
        <v>0</v>
      </c>
      <c r="S16" s="100"/>
      <c r="T16" s="75"/>
      <c r="U16" s="90">
        <f t="shared" si="14"/>
        <v>0</v>
      </c>
      <c r="V16" s="75"/>
      <c r="W16" s="100"/>
      <c r="X16" s="90">
        <f t="shared" si="15"/>
        <v>0</v>
      </c>
      <c r="Y16" s="90"/>
      <c r="Z16" s="90"/>
      <c r="AA16" s="90"/>
      <c r="AB16" s="94">
        <f t="shared" si="16"/>
        <v>0</v>
      </c>
      <c r="AC16" s="91"/>
      <c r="AD16" s="76"/>
      <c r="AE16" s="92">
        <f t="shared" si="17"/>
        <v>0</v>
      </c>
      <c r="AF16" s="76"/>
      <c r="AG16" s="92">
        <f t="shared" si="18"/>
        <v>0</v>
      </c>
      <c r="AH16" s="76"/>
      <c r="AI16" s="92">
        <f t="shared" si="19"/>
        <v>0</v>
      </c>
      <c r="AJ16" s="76"/>
      <c r="AK16" s="92">
        <f t="shared" si="20"/>
        <v>0</v>
      </c>
      <c r="AL16" s="77"/>
      <c r="AM16" s="92">
        <f t="shared" si="21"/>
        <v>0</v>
      </c>
      <c r="AN16" s="76"/>
      <c r="AO16" s="92">
        <f t="shared" si="22"/>
        <v>0</v>
      </c>
      <c r="AP16" s="93">
        <f t="shared" si="23"/>
        <v>0</v>
      </c>
      <c r="AQ16" s="76"/>
      <c r="AR16" s="76"/>
      <c r="AS16" s="76"/>
      <c r="AT16" s="63">
        <f t="shared" si="24"/>
        <v>0</v>
      </c>
      <c r="AU16" s="76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28"/>
        <v>0</v>
      </c>
      <c r="BE16" s="5">
        <f t="shared" si="29"/>
        <v>0</v>
      </c>
      <c r="BF16" s="5">
        <f t="shared" si="30"/>
        <v>0</v>
      </c>
      <c r="BG16" s="5">
        <f t="shared" si="31"/>
        <v>0</v>
      </c>
      <c r="BH16" s="5">
        <f t="shared" si="32"/>
        <v>0</v>
      </c>
      <c r="BI16" s="5">
        <f t="shared" si="33"/>
        <v>0</v>
      </c>
      <c r="BJ16" s="5">
        <f t="shared" si="34"/>
        <v>0</v>
      </c>
      <c r="BK16" s="5">
        <f t="shared" si="35"/>
        <v>0</v>
      </c>
      <c r="BL16" s="5">
        <f t="shared" si="36"/>
        <v>0</v>
      </c>
      <c r="BM16" s="5">
        <f t="shared" si="37"/>
        <v>0</v>
      </c>
      <c r="BN16" s="5">
        <f t="shared" si="38"/>
        <v>0</v>
      </c>
      <c r="BO16" s="5">
        <f t="shared" si="39"/>
        <v>0</v>
      </c>
      <c r="BP16" s="5">
        <f t="shared" si="40"/>
        <v>0</v>
      </c>
      <c r="BQ16" s="5">
        <f t="shared" si="41"/>
        <v>0</v>
      </c>
      <c r="BR16" s="5">
        <f t="shared" si="42"/>
        <v>0</v>
      </c>
      <c r="BS16" s="5">
        <f t="shared" si="43"/>
        <v>0</v>
      </c>
      <c r="BT16" s="5">
        <f t="shared" si="44"/>
        <v>0</v>
      </c>
      <c r="BU16" s="5">
        <f t="shared" si="45"/>
        <v>0</v>
      </c>
      <c r="BV16" s="5">
        <f t="shared" si="46"/>
        <v>0</v>
      </c>
      <c r="BW16" s="5">
        <f t="shared" si="47"/>
        <v>0</v>
      </c>
      <c r="BX16" s="5">
        <f t="shared" si="48"/>
        <v>0</v>
      </c>
      <c r="BY16" s="5">
        <f t="shared" si="49"/>
        <v>0</v>
      </c>
      <c r="BZ16" s="5">
        <f t="shared" si="50"/>
        <v>0</v>
      </c>
      <c r="CA16" s="5">
        <f t="shared" si="51"/>
        <v>0</v>
      </c>
      <c r="CB16" s="5">
        <f t="shared" si="52"/>
        <v>0</v>
      </c>
      <c r="CC16" s="5">
        <f t="shared" si="53"/>
        <v>0</v>
      </c>
      <c r="CD16" s="5">
        <f t="shared" si="54"/>
        <v>0</v>
      </c>
      <c r="CE16" s="5">
        <f t="shared" si="55"/>
        <v>0</v>
      </c>
      <c r="CF16" s="5">
        <f t="shared" si="56"/>
        <v>0</v>
      </c>
      <c r="CG16" s="5">
        <f t="shared" si="57"/>
        <v>0</v>
      </c>
      <c r="CH16" s="5">
        <f t="shared" si="58"/>
        <v>0</v>
      </c>
      <c r="CI16" s="5">
        <f t="shared" si="59"/>
        <v>0</v>
      </c>
      <c r="CJ16" s="5"/>
      <c r="CK16" s="4">
        <f t="shared" si="8"/>
        <v>0</v>
      </c>
    </row>
    <row r="17" spans="1:89" ht="47" customHeight="1">
      <c r="A17" s="74" t="str">
        <f t="shared" si="0"/>
        <v/>
      </c>
      <c r="B17" s="73"/>
      <c r="C17" s="72"/>
      <c r="D17" s="100"/>
      <c r="E17" s="75"/>
      <c r="F17" s="90">
        <f t="shared" si="9"/>
        <v>0</v>
      </c>
      <c r="G17" s="75"/>
      <c r="H17" s="100"/>
      <c r="I17" s="90">
        <f t="shared" si="10"/>
        <v>0</v>
      </c>
      <c r="J17" s="100"/>
      <c r="K17" s="100"/>
      <c r="L17" s="90">
        <f t="shared" si="11"/>
        <v>0</v>
      </c>
      <c r="M17" s="75"/>
      <c r="N17" s="75"/>
      <c r="O17" s="90">
        <f t="shared" si="12"/>
        <v>0</v>
      </c>
      <c r="P17" s="100"/>
      <c r="Q17" s="75"/>
      <c r="R17" s="90">
        <f t="shared" si="13"/>
        <v>0</v>
      </c>
      <c r="S17" s="100"/>
      <c r="T17" s="75"/>
      <c r="U17" s="90">
        <f t="shared" si="14"/>
        <v>0</v>
      </c>
      <c r="V17" s="75"/>
      <c r="W17" s="100"/>
      <c r="X17" s="90">
        <f t="shared" si="15"/>
        <v>0</v>
      </c>
      <c r="Y17" s="90"/>
      <c r="Z17" s="90"/>
      <c r="AA17" s="90"/>
      <c r="AB17" s="94">
        <f t="shared" si="16"/>
        <v>0</v>
      </c>
      <c r="AC17" s="91"/>
      <c r="AD17" s="76"/>
      <c r="AE17" s="92">
        <f t="shared" si="17"/>
        <v>0</v>
      </c>
      <c r="AF17" s="76"/>
      <c r="AG17" s="92">
        <f t="shared" si="18"/>
        <v>0</v>
      </c>
      <c r="AH17" s="76"/>
      <c r="AI17" s="92">
        <f t="shared" si="19"/>
        <v>0</v>
      </c>
      <c r="AJ17" s="76"/>
      <c r="AK17" s="92">
        <f t="shared" si="20"/>
        <v>0</v>
      </c>
      <c r="AL17" s="77"/>
      <c r="AM17" s="92">
        <f t="shared" si="21"/>
        <v>0</v>
      </c>
      <c r="AN17" s="76"/>
      <c r="AO17" s="92">
        <f t="shared" si="22"/>
        <v>0</v>
      </c>
      <c r="AP17" s="93">
        <f t="shared" si="23"/>
        <v>0</v>
      </c>
      <c r="AQ17" s="76"/>
      <c r="AR17" s="76"/>
      <c r="AS17" s="76"/>
      <c r="AT17" s="63">
        <f t="shared" si="24"/>
        <v>0</v>
      </c>
      <c r="AU17" s="76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28"/>
        <v>0</v>
      </c>
      <c r="BE17" s="5">
        <f t="shared" si="29"/>
        <v>0</v>
      </c>
      <c r="BF17" s="5">
        <f t="shared" si="30"/>
        <v>0</v>
      </c>
      <c r="BG17" s="5">
        <f t="shared" si="31"/>
        <v>0</v>
      </c>
      <c r="BH17" s="5">
        <f t="shared" si="32"/>
        <v>0</v>
      </c>
      <c r="BI17" s="5">
        <f t="shared" si="33"/>
        <v>0</v>
      </c>
      <c r="BJ17" s="5">
        <f t="shared" si="34"/>
        <v>0</v>
      </c>
      <c r="BK17" s="5">
        <f t="shared" si="35"/>
        <v>0</v>
      </c>
      <c r="BL17" s="5">
        <f t="shared" si="36"/>
        <v>0</v>
      </c>
      <c r="BM17" s="5">
        <f t="shared" si="37"/>
        <v>0</v>
      </c>
      <c r="BN17" s="5">
        <f t="shared" si="38"/>
        <v>0</v>
      </c>
      <c r="BO17" s="5">
        <f t="shared" si="39"/>
        <v>0</v>
      </c>
      <c r="BP17" s="5">
        <f t="shared" si="40"/>
        <v>0</v>
      </c>
      <c r="BQ17" s="5">
        <f t="shared" si="41"/>
        <v>0</v>
      </c>
      <c r="BR17" s="5">
        <f t="shared" si="42"/>
        <v>0</v>
      </c>
      <c r="BS17" s="5">
        <f t="shared" si="43"/>
        <v>0</v>
      </c>
      <c r="BT17" s="5">
        <f t="shared" si="44"/>
        <v>0</v>
      </c>
      <c r="BU17" s="5">
        <f t="shared" si="45"/>
        <v>0</v>
      </c>
      <c r="BV17" s="5">
        <f t="shared" si="46"/>
        <v>0</v>
      </c>
      <c r="BW17" s="5">
        <f t="shared" si="47"/>
        <v>0</v>
      </c>
      <c r="BX17" s="5">
        <f t="shared" si="48"/>
        <v>0</v>
      </c>
      <c r="BY17" s="5">
        <f t="shared" si="49"/>
        <v>0</v>
      </c>
      <c r="BZ17" s="5">
        <f t="shared" si="50"/>
        <v>0</v>
      </c>
      <c r="CA17" s="5">
        <f t="shared" si="51"/>
        <v>0</v>
      </c>
      <c r="CB17" s="5">
        <f t="shared" si="52"/>
        <v>0</v>
      </c>
      <c r="CC17" s="5">
        <f t="shared" si="53"/>
        <v>0</v>
      </c>
      <c r="CD17" s="5">
        <f t="shared" si="54"/>
        <v>0</v>
      </c>
      <c r="CE17" s="5">
        <f t="shared" si="55"/>
        <v>0</v>
      </c>
      <c r="CF17" s="5">
        <f t="shared" si="56"/>
        <v>0</v>
      </c>
      <c r="CG17" s="5">
        <f t="shared" si="57"/>
        <v>0</v>
      </c>
      <c r="CH17" s="5">
        <f t="shared" si="58"/>
        <v>0</v>
      </c>
      <c r="CI17" s="5">
        <f t="shared" si="59"/>
        <v>0</v>
      </c>
      <c r="CJ17" s="5"/>
      <c r="CK17" s="4">
        <f t="shared" si="8"/>
        <v>0</v>
      </c>
    </row>
    <row r="18" spans="1:89" ht="47" customHeight="1">
      <c r="A18" s="74" t="str">
        <f t="shared" si="0"/>
        <v/>
      </c>
      <c r="B18" s="73"/>
      <c r="C18" s="72"/>
      <c r="D18" s="100"/>
      <c r="E18" s="75"/>
      <c r="F18" s="90">
        <f t="shared" si="9"/>
        <v>0</v>
      </c>
      <c r="G18" s="75"/>
      <c r="H18" s="100"/>
      <c r="I18" s="90">
        <f t="shared" si="10"/>
        <v>0</v>
      </c>
      <c r="J18" s="100"/>
      <c r="K18" s="100"/>
      <c r="L18" s="90">
        <f t="shared" si="11"/>
        <v>0</v>
      </c>
      <c r="M18" s="75"/>
      <c r="N18" s="75"/>
      <c r="O18" s="90">
        <f t="shared" si="12"/>
        <v>0</v>
      </c>
      <c r="P18" s="100"/>
      <c r="Q18" s="75"/>
      <c r="R18" s="90">
        <f t="shared" si="13"/>
        <v>0</v>
      </c>
      <c r="S18" s="100"/>
      <c r="T18" s="75"/>
      <c r="U18" s="90">
        <f t="shared" si="14"/>
        <v>0</v>
      </c>
      <c r="V18" s="75"/>
      <c r="W18" s="100"/>
      <c r="X18" s="90">
        <f t="shared" si="15"/>
        <v>0</v>
      </c>
      <c r="Y18" s="90"/>
      <c r="Z18" s="90"/>
      <c r="AA18" s="90"/>
      <c r="AB18" s="94">
        <f t="shared" si="16"/>
        <v>0</v>
      </c>
      <c r="AC18" s="91"/>
      <c r="AD18" s="76"/>
      <c r="AE18" s="92">
        <f t="shared" si="17"/>
        <v>0</v>
      </c>
      <c r="AF18" s="76"/>
      <c r="AG18" s="92">
        <f t="shared" si="18"/>
        <v>0</v>
      </c>
      <c r="AH18" s="76"/>
      <c r="AI18" s="92">
        <f t="shared" si="19"/>
        <v>0</v>
      </c>
      <c r="AJ18" s="76"/>
      <c r="AK18" s="92">
        <f t="shared" si="20"/>
        <v>0</v>
      </c>
      <c r="AL18" s="77"/>
      <c r="AM18" s="92">
        <f t="shared" si="21"/>
        <v>0</v>
      </c>
      <c r="AN18" s="76"/>
      <c r="AO18" s="92">
        <f t="shared" si="22"/>
        <v>0</v>
      </c>
      <c r="AP18" s="93">
        <f t="shared" si="23"/>
        <v>0</v>
      </c>
      <c r="AQ18" s="76"/>
      <c r="AR18" s="76"/>
      <c r="AS18" s="76"/>
      <c r="AT18" s="63">
        <f t="shared" si="24"/>
        <v>0</v>
      </c>
      <c r="AU18" s="76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28"/>
        <v>0</v>
      </c>
      <c r="BE18" s="5">
        <f t="shared" si="29"/>
        <v>0</v>
      </c>
      <c r="BF18" s="5">
        <f t="shared" si="30"/>
        <v>0</v>
      </c>
      <c r="BG18" s="5">
        <f t="shared" si="31"/>
        <v>0</v>
      </c>
      <c r="BH18" s="5">
        <f t="shared" si="32"/>
        <v>0</v>
      </c>
      <c r="BI18" s="5">
        <f t="shared" si="33"/>
        <v>0</v>
      </c>
      <c r="BJ18" s="5">
        <f t="shared" si="34"/>
        <v>0</v>
      </c>
      <c r="BK18" s="5">
        <f t="shared" si="35"/>
        <v>0</v>
      </c>
      <c r="BL18" s="5">
        <f t="shared" si="36"/>
        <v>0</v>
      </c>
      <c r="BM18" s="5">
        <f t="shared" si="37"/>
        <v>0</v>
      </c>
      <c r="BN18" s="5">
        <f t="shared" si="38"/>
        <v>0</v>
      </c>
      <c r="BO18" s="5">
        <f t="shared" si="39"/>
        <v>0</v>
      </c>
      <c r="BP18" s="5">
        <f t="shared" si="40"/>
        <v>0</v>
      </c>
      <c r="BQ18" s="5">
        <f t="shared" si="41"/>
        <v>0</v>
      </c>
      <c r="BR18" s="5">
        <f t="shared" si="42"/>
        <v>0</v>
      </c>
      <c r="BS18" s="5">
        <f t="shared" si="43"/>
        <v>0</v>
      </c>
      <c r="BT18" s="5">
        <f t="shared" si="44"/>
        <v>0</v>
      </c>
      <c r="BU18" s="5">
        <f t="shared" si="45"/>
        <v>0</v>
      </c>
      <c r="BV18" s="5">
        <f t="shared" si="46"/>
        <v>0</v>
      </c>
      <c r="BW18" s="5">
        <f t="shared" si="47"/>
        <v>0</v>
      </c>
      <c r="BX18" s="5">
        <f t="shared" si="48"/>
        <v>0</v>
      </c>
      <c r="BY18" s="5">
        <f t="shared" si="49"/>
        <v>0</v>
      </c>
      <c r="BZ18" s="5">
        <f t="shared" si="50"/>
        <v>0</v>
      </c>
      <c r="CA18" s="5">
        <f t="shared" si="51"/>
        <v>0</v>
      </c>
      <c r="CB18" s="5">
        <f t="shared" si="52"/>
        <v>0</v>
      </c>
      <c r="CC18" s="5">
        <f t="shared" si="53"/>
        <v>0</v>
      </c>
      <c r="CD18" s="5">
        <f t="shared" si="54"/>
        <v>0</v>
      </c>
      <c r="CE18" s="5">
        <f t="shared" si="55"/>
        <v>0</v>
      </c>
      <c r="CF18" s="5">
        <f t="shared" si="56"/>
        <v>0</v>
      </c>
      <c r="CG18" s="5">
        <f t="shared" si="57"/>
        <v>0</v>
      </c>
      <c r="CH18" s="5">
        <f t="shared" si="58"/>
        <v>0</v>
      </c>
      <c r="CI18" s="5">
        <f t="shared" si="59"/>
        <v>0</v>
      </c>
      <c r="CJ18" s="5"/>
      <c r="CK18" s="4">
        <f t="shared" si="8"/>
        <v>0</v>
      </c>
    </row>
    <row r="19" spans="1:89" ht="47" customHeight="1">
      <c r="A19" s="74" t="str">
        <f t="shared" si="0"/>
        <v/>
      </c>
      <c r="B19" s="73"/>
      <c r="C19" s="72"/>
      <c r="D19" s="100"/>
      <c r="E19" s="75"/>
      <c r="F19" s="90">
        <f t="shared" si="9"/>
        <v>0</v>
      </c>
      <c r="G19" s="75"/>
      <c r="H19" s="100"/>
      <c r="I19" s="90">
        <f t="shared" si="10"/>
        <v>0</v>
      </c>
      <c r="J19" s="100"/>
      <c r="K19" s="100"/>
      <c r="L19" s="90">
        <f t="shared" si="11"/>
        <v>0</v>
      </c>
      <c r="M19" s="75"/>
      <c r="N19" s="75"/>
      <c r="O19" s="90">
        <f t="shared" si="12"/>
        <v>0</v>
      </c>
      <c r="P19" s="100"/>
      <c r="Q19" s="75"/>
      <c r="R19" s="90">
        <f t="shared" si="13"/>
        <v>0</v>
      </c>
      <c r="S19" s="100"/>
      <c r="T19" s="75"/>
      <c r="U19" s="90">
        <f t="shared" si="14"/>
        <v>0</v>
      </c>
      <c r="V19" s="75"/>
      <c r="W19" s="100"/>
      <c r="X19" s="90">
        <f t="shared" si="15"/>
        <v>0</v>
      </c>
      <c r="Y19" s="90"/>
      <c r="Z19" s="90"/>
      <c r="AA19" s="90"/>
      <c r="AB19" s="94">
        <f t="shared" si="16"/>
        <v>0</v>
      </c>
      <c r="AC19" s="91"/>
      <c r="AD19" s="76"/>
      <c r="AE19" s="92">
        <f t="shared" si="17"/>
        <v>0</v>
      </c>
      <c r="AF19" s="76"/>
      <c r="AG19" s="92">
        <f t="shared" si="18"/>
        <v>0</v>
      </c>
      <c r="AH19" s="76"/>
      <c r="AI19" s="92">
        <f t="shared" si="19"/>
        <v>0</v>
      </c>
      <c r="AJ19" s="76"/>
      <c r="AK19" s="92">
        <f t="shared" si="20"/>
        <v>0</v>
      </c>
      <c r="AL19" s="77"/>
      <c r="AM19" s="92">
        <f t="shared" si="21"/>
        <v>0</v>
      </c>
      <c r="AN19" s="76"/>
      <c r="AO19" s="92">
        <f t="shared" si="22"/>
        <v>0</v>
      </c>
      <c r="AP19" s="93">
        <f t="shared" si="23"/>
        <v>0</v>
      </c>
      <c r="AQ19" s="76"/>
      <c r="AR19" s="76"/>
      <c r="AS19" s="76"/>
      <c r="AT19" s="63">
        <f t="shared" si="24"/>
        <v>0</v>
      </c>
      <c r="AU19" s="76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28"/>
        <v>0</v>
      </c>
      <c r="BE19" s="5">
        <f t="shared" si="29"/>
        <v>0</v>
      </c>
      <c r="BF19" s="5">
        <f t="shared" si="30"/>
        <v>0</v>
      </c>
      <c r="BG19" s="5">
        <f t="shared" si="31"/>
        <v>0</v>
      </c>
      <c r="BH19" s="5">
        <f t="shared" si="32"/>
        <v>0</v>
      </c>
      <c r="BI19" s="5">
        <f t="shared" si="33"/>
        <v>0</v>
      </c>
      <c r="BJ19" s="5">
        <f t="shared" si="34"/>
        <v>0</v>
      </c>
      <c r="BK19" s="5">
        <f t="shared" si="35"/>
        <v>0</v>
      </c>
      <c r="BL19" s="5">
        <f t="shared" si="36"/>
        <v>0</v>
      </c>
      <c r="BM19" s="5">
        <f t="shared" si="37"/>
        <v>0</v>
      </c>
      <c r="BN19" s="5">
        <f t="shared" si="38"/>
        <v>0</v>
      </c>
      <c r="BO19" s="5">
        <f t="shared" si="39"/>
        <v>0</v>
      </c>
      <c r="BP19" s="5">
        <f t="shared" si="40"/>
        <v>0</v>
      </c>
      <c r="BQ19" s="5">
        <f t="shared" si="41"/>
        <v>0</v>
      </c>
      <c r="BR19" s="5">
        <f t="shared" si="42"/>
        <v>0</v>
      </c>
      <c r="BS19" s="5">
        <f t="shared" si="43"/>
        <v>0</v>
      </c>
      <c r="BT19" s="5">
        <f t="shared" si="44"/>
        <v>0</v>
      </c>
      <c r="BU19" s="5">
        <f t="shared" si="45"/>
        <v>0</v>
      </c>
      <c r="BV19" s="5">
        <f t="shared" si="46"/>
        <v>0</v>
      </c>
      <c r="BW19" s="5">
        <f t="shared" si="47"/>
        <v>0</v>
      </c>
      <c r="BX19" s="5">
        <f t="shared" si="48"/>
        <v>0</v>
      </c>
      <c r="BY19" s="5">
        <f t="shared" si="49"/>
        <v>0</v>
      </c>
      <c r="BZ19" s="5">
        <f t="shared" si="50"/>
        <v>0</v>
      </c>
      <c r="CA19" s="5">
        <f t="shared" si="51"/>
        <v>0</v>
      </c>
      <c r="CB19" s="5">
        <f t="shared" si="52"/>
        <v>0</v>
      </c>
      <c r="CC19" s="5">
        <f t="shared" si="53"/>
        <v>0</v>
      </c>
      <c r="CD19" s="5">
        <f t="shared" si="54"/>
        <v>0</v>
      </c>
      <c r="CE19" s="5">
        <f t="shared" si="55"/>
        <v>0</v>
      </c>
      <c r="CF19" s="5">
        <f t="shared" si="56"/>
        <v>0</v>
      </c>
      <c r="CG19" s="5">
        <f t="shared" si="57"/>
        <v>0</v>
      </c>
      <c r="CH19" s="5">
        <f t="shared" si="58"/>
        <v>0</v>
      </c>
      <c r="CI19" s="5">
        <f t="shared" si="59"/>
        <v>0</v>
      </c>
      <c r="CJ19" s="5"/>
      <c r="CK19" s="4">
        <f t="shared" si="8"/>
        <v>0</v>
      </c>
    </row>
    <row r="20" spans="1:89" ht="47" customHeight="1">
      <c r="A20" s="74" t="str">
        <f t="shared" si="0"/>
        <v/>
      </c>
      <c r="B20" s="73"/>
      <c r="C20" s="72"/>
      <c r="D20" s="100"/>
      <c r="E20" s="75"/>
      <c r="F20" s="90">
        <f t="shared" si="9"/>
        <v>0</v>
      </c>
      <c r="G20" s="75"/>
      <c r="H20" s="100"/>
      <c r="I20" s="90">
        <f t="shared" si="10"/>
        <v>0</v>
      </c>
      <c r="J20" s="100"/>
      <c r="K20" s="100"/>
      <c r="L20" s="90">
        <f t="shared" si="11"/>
        <v>0</v>
      </c>
      <c r="M20" s="75"/>
      <c r="N20" s="75"/>
      <c r="O20" s="90">
        <f t="shared" si="12"/>
        <v>0</v>
      </c>
      <c r="P20" s="100"/>
      <c r="Q20" s="75"/>
      <c r="R20" s="90">
        <f t="shared" si="13"/>
        <v>0</v>
      </c>
      <c r="S20" s="100"/>
      <c r="T20" s="75"/>
      <c r="U20" s="90">
        <f t="shared" si="14"/>
        <v>0</v>
      </c>
      <c r="V20" s="75"/>
      <c r="W20" s="100"/>
      <c r="X20" s="90">
        <f t="shared" si="15"/>
        <v>0</v>
      </c>
      <c r="Y20" s="90"/>
      <c r="Z20" s="90"/>
      <c r="AA20" s="90"/>
      <c r="AB20" s="94">
        <f t="shared" si="16"/>
        <v>0</v>
      </c>
      <c r="AC20" s="91"/>
      <c r="AD20" s="76"/>
      <c r="AE20" s="92">
        <f t="shared" si="17"/>
        <v>0</v>
      </c>
      <c r="AF20" s="76"/>
      <c r="AG20" s="92">
        <f t="shared" si="18"/>
        <v>0</v>
      </c>
      <c r="AH20" s="76"/>
      <c r="AI20" s="92">
        <f t="shared" si="19"/>
        <v>0</v>
      </c>
      <c r="AJ20" s="76"/>
      <c r="AK20" s="92">
        <f t="shared" si="20"/>
        <v>0</v>
      </c>
      <c r="AL20" s="77"/>
      <c r="AM20" s="92">
        <f t="shared" si="21"/>
        <v>0</v>
      </c>
      <c r="AN20" s="76"/>
      <c r="AO20" s="92">
        <f t="shared" si="22"/>
        <v>0</v>
      </c>
      <c r="AP20" s="93">
        <f t="shared" si="23"/>
        <v>0</v>
      </c>
      <c r="AQ20" s="76"/>
      <c r="AR20" s="76"/>
      <c r="AS20" s="76"/>
      <c r="AT20" s="63">
        <f t="shared" si="24"/>
        <v>0</v>
      </c>
      <c r="AU20" s="76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28"/>
        <v>0</v>
      </c>
      <c r="BE20" s="5">
        <f t="shared" si="29"/>
        <v>0</v>
      </c>
      <c r="BF20" s="5">
        <f t="shared" si="30"/>
        <v>0</v>
      </c>
      <c r="BG20" s="5">
        <f t="shared" si="31"/>
        <v>0</v>
      </c>
      <c r="BH20" s="5">
        <f t="shared" si="32"/>
        <v>0</v>
      </c>
      <c r="BI20" s="5">
        <f t="shared" si="33"/>
        <v>0</v>
      </c>
      <c r="BJ20" s="5">
        <f t="shared" si="34"/>
        <v>0</v>
      </c>
      <c r="BK20" s="5">
        <f t="shared" si="35"/>
        <v>0</v>
      </c>
      <c r="BL20" s="5">
        <f t="shared" si="36"/>
        <v>0</v>
      </c>
      <c r="BM20" s="5">
        <f t="shared" si="37"/>
        <v>0</v>
      </c>
      <c r="BN20" s="5">
        <f t="shared" si="38"/>
        <v>0</v>
      </c>
      <c r="BO20" s="5">
        <f t="shared" si="39"/>
        <v>0</v>
      </c>
      <c r="BP20" s="5">
        <f t="shared" si="40"/>
        <v>0</v>
      </c>
      <c r="BQ20" s="5">
        <f t="shared" si="41"/>
        <v>0</v>
      </c>
      <c r="BR20" s="5">
        <f t="shared" si="42"/>
        <v>0</v>
      </c>
      <c r="BS20" s="5">
        <f t="shared" si="43"/>
        <v>0</v>
      </c>
      <c r="BT20" s="5">
        <f t="shared" si="44"/>
        <v>0</v>
      </c>
      <c r="BU20" s="5">
        <f t="shared" si="45"/>
        <v>0</v>
      </c>
      <c r="BV20" s="5">
        <f t="shared" si="46"/>
        <v>0</v>
      </c>
      <c r="BW20" s="5">
        <f t="shared" si="47"/>
        <v>0</v>
      </c>
      <c r="BX20" s="5">
        <f t="shared" si="48"/>
        <v>0</v>
      </c>
      <c r="BY20" s="5">
        <f t="shared" si="49"/>
        <v>0</v>
      </c>
      <c r="BZ20" s="5">
        <f t="shared" si="50"/>
        <v>0</v>
      </c>
      <c r="CA20" s="5">
        <f t="shared" si="51"/>
        <v>0</v>
      </c>
      <c r="CB20" s="5">
        <f t="shared" si="52"/>
        <v>0</v>
      </c>
      <c r="CC20" s="5">
        <f t="shared" si="53"/>
        <v>0</v>
      </c>
      <c r="CD20" s="5">
        <f t="shared" si="54"/>
        <v>0</v>
      </c>
      <c r="CE20" s="5">
        <f t="shared" si="55"/>
        <v>0</v>
      </c>
      <c r="CF20" s="5">
        <f t="shared" si="56"/>
        <v>0</v>
      </c>
      <c r="CG20" s="5">
        <f t="shared" si="57"/>
        <v>0</v>
      </c>
      <c r="CH20" s="5">
        <f t="shared" si="58"/>
        <v>0</v>
      </c>
      <c r="CI20" s="5">
        <f t="shared" si="59"/>
        <v>0</v>
      </c>
      <c r="CJ20" s="5"/>
      <c r="CK20" s="4">
        <f t="shared" si="8"/>
        <v>0</v>
      </c>
    </row>
    <row r="21" spans="1:89" ht="47" customHeight="1">
      <c r="A21" s="74" t="str">
        <f t="shared" si="0"/>
        <v/>
      </c>
      <c r="B21" s="73"/>
      <c r="C21" s="72"/>
      <c r="D21" s="100"/>
      <c r="E21" s="75"/>
      <c r="F21" s="90">
        <f t="shared" ref="F21:F29" si="60">BA21-BB21</f>
        <v>0</v>
      </c>
      <c r="G21" s="75"/>
      <c r="H21" s="100"/>
      <c r="I21" s="90">
        <f t="shared" ref="I21:I29" si="61">BF21-BG21</f>
        <v>0</v>
      </c>
      <c r="J21" s="100"/>
      <c r="K21" s="100"/>
      <c r="L21" s="90">
        <f t="shared" ref="L21:L29" si="62">BK21-BL21</f>
        <v>0</v>
      </c>
      <c r="M21" s="75"/>
      <c r="N21" s="75"/>
      <c r="O21" s="90">
        <f t="shared" ref="O21:O29" si="63">BP21-BQ21</f>
        <v>0</v>
      </c>
      <c r="P21" s="100"/>
      <c r="Q21" s="75"/>
      <c r="R21" s="90">
        <f t="shared" ref="R21:R29" si="64">BU21-BV21</f>
        <v>0</v>
      </c>
      <c r="S21" s="100"/>
      <c r="T21" s="100"/>
      <c r="U21" s="90">
        <f t="shared" ref="U21:U29" si="65">BZ21-CA21</f>
        <v>0</v>
      </c>
      <c r="V21" s="75"/>
      <c r="W21" s="100"/>
      <c r="X21" s="90">
        <f t="shared" ref="X21:X29" si="66">CE21-CF21</f>
        <v>0</v>
      </c>
      <c r="Y21" s="90"/>
      <c r="Z21" s="90"/>
      <c r="AA21" s="90"/>
      <c r="AB21" s="94">
        <f t="shared" ref="AB21:AB29" si="67">SUM(F21,I21,L21,O21,R21,U21,X21)</f>
        <v>0</v>
      </c>
      <c r="AC21" s="91"/>
      <c r="AD21" s="76"/>
      <c r="AE21" s="92">
        <f t="shared" ref="AE21:AE29" si="68">SUMIF($BC$1:$CI$1,AE$1,$BC21:$CI21)+AD21</f>
        <v>0</v>
      </c>
      <c r="AF21" s="76"/>
      <c r="AG21" s="92">
        <f t="shared" ref="AG21:AG29" si="69">SUMIF($BC$1:$CI$1,AG$1,$BC21:$CI21)+AF21</f>
        <v>0</v>
      </c>
      <c r="AH21" s="76"/>
      <c r="AI21" s="92">
        <f t="shared" ref="AI21:AI29" si="70">SUMIF($BC$1:$CI$1,AI$1,$BC21:$CI21)+AH21</f>
        <v>0</v>
      </c>
      <c r="AJ21" s="76"/>
      <c r="AK21" s="92">
        <f t="shared" ref="AK21:AK29" si="71">SUMIF($BC$1:$CI$1,AK$1,$BC21:$CI21)+AJ21</f>
        <v>0</v>
      </c>
      <c r="AL21" s="77"/>
      <c r="AM21" s="92">
        <f t="shared" ref="AM21:AM29" si="72">SUMIF($BC$1:$CI$1,AM$1,$BC21:$CI21)+AL21</f>
        <v>0</v>
      </c>
      <c r="AN21" s="76"/>
      <c r="AO21" s="92">
        <f t="shared" ref="AO21:AO29" si="73">SUMIF($BC$1:$CI$1,AO$1,$BC21:$CI21)+AN21</f>
        <v>0</v>
      </c>
      <c r="AP21" s="93">
        <f t="shared" ref="AP21:AP29" si="74">CK21</f>
        <v>0</v>
      </c>
      <c r="AQ21" s="76"/>
      <c r="AR21" s="76"/>
      <c r="AS21" s="76"/>
      <c r="AT21" s="63">
        <f t="shared" ref="AT21:AT29" si="75">AE21+AG21+AI21+AK21+AM21+AO21+SUM(AQ21:AS21)</f>
        <v>0</v>
      </c>
      <c r="AU21" s="76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28"/>
        <v>0</v>
      </c>
      <c r="BE21" s="5">
        <f t="shared" si="29"/>
        <v>0</v>
      </c>
      <c r="BF21" s="5">
        <f t="shared" si="30"/>
        <v>0</v>
      </c>
      <c r="BG21" s="5">
        <f t="shared" si="31"/>
        <v>0</v>
      </c>
      <c r="BH21" s="5">
        <f t="shared" si="32"/>
        <v>0</v>
      </c>
      <c r="BI21" s="5">
        <f t="shared" si="33"/>
        <v>0</v>
      </c>
      <c r="BJ21" s="5">
        <f t="shared" si="34"/>
        <v>0</v>
      </c>
      <c r="BK21" s="5">
        <f t="shared" si="35"/>
        <v>0</v>
      </c>
      <c r="BL21" s="5">
        <f t="shared" si="36"/>
        <v>0</v>
      </c>
      <c r="BM21" s="5">
        <f t="shared" si="37"/>
        <v>0</v>
      </c>
      <c r="BN21" s="5">
        <f t="shared" si="38"/>
        <v>0</v>
      </c>
      <c r="BO21" s="5">
        <f t="shared" si="39"/>
        <v>0</v>
      </c>
      <c r="BP21" s="5">
        <f t="shared" si="40"/>
        <v>0</v>
      </c>
      <c r="BQ21" s="5">
        <f t="shared" si="41"/>
        <v>0</v>
      </c>
      <c r="BR21" s="5">
        <f t="shared" si="42"/>
        <v>0</v>
      </c>
      <c r="BS21" s="5">
        <f t="shared" si="43"/>
        <v>0</v>
      </c>
      <c r="BT21" s="5">
        <f t="shared" si="44"/>
        <v>0</v>
      </c>
      <c r="BU21" s="5">
        <f t="shared" si="45"/>
        <v>0</v>
      </c>
      <c r="BV21" s="5">
        <f t="shared" si="46"/>
        <v>0</v>
      </c>
      <c r="BW21" s="5">
        <f t="shared" si="47"/>
        <v>0</v>
      </c>
      <c r="BX21" s="5">
        <f t="shared" si="48"/>
        <v>0</v>
      </c>
      <c r="BY21" s="5">
        <f t="shared" si="49"/>
        <v>0</v>
      </c>
      <c r="BZ21" s="5">
        <f t="shared" si="50"/>
        <v>0</v>
      </c>
      <c r="CA21" s="5">
        <f t="shared" si="51"/>
        <v>0</v>
      </c>
      <c r="CB21" s="5">
        <f t="shared" si="52"/>
        <v>0</v>
      </c>
      <c r="CC21" s="5">
        <f t="shared" si="53"/>
        <v>0</v>
      </c>
      <c r="CD21" s="5">
        <f t="shared" si="54"/>
        <v>0</v>
      </c>
      <c r="CE21" s="5">
        <f t="shared" si="55"/>
        <v>0</v>
      </c>
      <c r="CF21" s="5">
        <f t="shared" si="56"/>
        <v>0</v>
      </c>
      <c r="CG21" s="5">
        <f t="shared" si="57"/>
        <v>0</v>
      </c>
      <c r="CH21" s="5">
        <f t="shared" si="58"/>
        <v>0</v>
      </c>
      <c r="CI21" s="5">
        <f t="shared" si="59"/>
        <v>0</v>
      </c>
      <c r="CJ21" s="5"/>
      <c r="CK21" s="4">
        <f t="shared" si="8"/>
        <v>0</v>
      </c>
    </row>
    <row r="22" spans="1:89" ht="47" customHeight="1">
      <c r="A22" s="74" t="str">
        <f t="shared" si="0"/>
        <v/>
      </c>
      <c r="B22" s="73"/>
      <c r="C22" s="72"/>
      <c r="D22" s="100"/>
      <c r="E22" s="75"/>
      <c r="F22" s="90">
        <f t="shared" si="60"/>
        <v>0</v>
      </c>
      <c r="G22" s="75"/>
      <c r="H22" s="100"/>
      <c r="I22" s="90">
        <f t="shared" si="61"/>
        <v>0</v>
      </c>
      <c r="J22" s="100"/>
      <c r="K22" s="100"/>
      <c r="L22" s="90">
        <f t="shared" si="62"/>
        <v>0</v>
      </c>
      <c r="M22" s="75"/>
      <c r="N22" s="75"/>
      <c r="O22" s="90">
        <f t="shared" si="63"/>
        <v>0</v>
      </c>
      <c r="P22" s="100"/>
      <c r="Q22" s="75"/>
      <c r="R22" s="90">
        <f t="shared" si="64"/>
        <v>0</v>
      </c>
      <c r="S22" s="100"/>
      <c r="T22" s="100"/>
      <c r="U22" s="90">
        <f t="shared" si="65"/>
        <v>0</v>
      </c>
      <c r="V22" s="75"/>
      <c r="W22" s="100"/>
      <c r="X22" s="90">
        <f t="shared" si="66"/>
        <v>0</v>
      </c>
      <c r="Y22" s="90"/>
      <c r="Z22" s="90"/>
      <c r="AA22" s="90"/>
      <c r="AB22" s="94">
        <f t="shared" si="67"/>
        <v>0</v>
      </c>
      <c r="AC22" s="91"/>
      <c r="AD22" s="76"/>
      <c r="AE22" s="92">
        <f t="shared" si="68"/>
        <v>0</v>
      </c>
      <c r="AF22" s="76"/>
      <c r="AG22" s="92">
        <f t="shared" si="69"/>
        <v>0</v>
      </c>
      <c r="AH22" s="76"/>
      <c r="AI22" s="92">
        <f t="shared" si="70"/>
        <v>0</v>
      </c>
      <c r="AJ22" s="76"/>
      <c r="AK22" s="92">
        <f t="shared" si="71"/>
        <v>0</v>
      </c>
      <c r="AL22" s="77"/>
      <c r="AM22" s="92">
        <f t="shared" si="72"/>
        <v>0</v>
      </c>
      <c r="AN22" s="76"/>
      <c r="AO22" s="92">
        <f t="shared" si="73"/>
        <v>0</v>
      </c>
      <c r="AP22" s="93">
        <f t="shared" si="74"/>
        <v>0</v>
      </c>
      <c r="AQ22" s="76"/>
      <c r="AR22" s="76"/>
      <c r="AS22" s="76"/>
      <c r="AT22" s="63">
        <f t="shared" si="75"/>
        <v>0</v>
      </c>
      <c r="AU22" s="76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28"/>
        <v>0</v>
      </c>
      <c r="BE22" s="5">
        <f t="shared" si="29"/>
        <v>0</v>
      </c>
      <c r="BF22" s="5">
        <f t="shared" si="30"/>
        <v>0</v>
      </c>
      <c r="BG22" s="5">
        <f t="shared" si="31"/>
        <v>0</v>
      </c>
      <c r="BH22" s="5">
        <f t="shared" si="32"/>
        <v>0</v>
      </c>
      <c r="BI22" s="5">
        <f t="shared" si="33"/>
        <v>0</v>
      </c>
      <c r="BJ22" s="5">
        <f t="shared" si="34"/>
        <v>0</v>
      </c>
      <c r="BK22" s="5">
        <f t="shared" si="35"/>
        <v>0</v>
      </c>
      <c r="BL22" s="5">
        <f t="shared" si="36"/>
        <v>0</v>
      </c>
      <c r="BM22" s="5">
        <f t="shared" si="37"/>
        <v>0</v>
      </c>
      <c r="BN22" s="5">
        <f t="shared" si="38"/>
        <v>0</v>
      </c>
      <c r="BO22" s="5">
        <f t="shared" si="39"/>
        <v>0</v>
      </c>
      <c r="BP22" s="5">
        <f t="shared" si="40"/>
        <v>0</v>
      </c>
      <c r="BQ22" s="5">
        <f t="shared" si="41"/>
        <v>0</v>
      </c>
      <c r="BR22" s="5">
        <f t="shared" si="42"/>
        <v>0</v>
      </c>
      <c r="BS22" s="5">
        <f t="shared" si="43"/>
        <v>0</v>
      </c>
      <c r="BT22" s="5">
        <f t="shared" si="44"/>
        <v>0</v>
      </c>
      <c r="BU22" s="5">
        <f t="shared" si="45"/>
        <v>0</v>
      </c>
      <c r="BV22" s="5">
        <f t="shared" si="46"/>
        <v>0</v>
      </c>
      <c r="BW22" s="5">
        <f t="shared" si="47"/>
        <v>0</v>
      </c>
      <c r="BX22" s="5">
        <f t="shared" si="48"/>
        <v>0</v>
      </c>
      <c r="BY22" s="5">
        <f t="shared" si="49"/>
        <v>0</v>
      </c>
      <c r="BZ22" s="5">
        <f t="shared" si="50"/>
        <v>0</v>
      </c>
      <c r="CA22" s="5">
        <f t="shared" si="51"/>
        <v>0</v>
      </c>
      <c r="CB22" s="5">
        <f t="shared" si="52"/>
        <v>0</v>
      </c>
      <c r="CC22" s="5">
        <f t="shared" si="53"/>
        <v>0</v>
      </c>
      <c r="CD22" s="5">
        <f t="shared" si="54"/>
        <v>0</v>
      </c>
      <c r="CE22" s="5">
        <f t="shared" si="55"/>
        <v>0</v>
      </c>
      <c r="CF22" s="5">
        <f t="shared" si="56"/>
        <v>0</v>
      </c>
      <c r="CG22" s="5">
        <f t="shared" si="57"/>
        <v>0</v>
      </c>
      <c r="CH22" s="5">
        <f t="shared" si="58"/>
        <v>0</v>
      </c>
      <c r="CI22" s="5">
        <f t="shared" si="59"/>
        <v>0</v>
      </c>
      <c r="CJ22" s="5"/>
      <c r="CK22" s="4">
        <f t="shared" si="8"/>
        <v>0</v>
      </c>
    </row>
    <row r="23" spans="1:89" ht="47" customHeight="1">
      <c r="A23" s="74" t="str">
        <f t="shared" si="0"/>
        <v/>
      </c>
      <c r="B23" s="73"/>
      <c r="C23" s="72"/>
      <c r="D23" s="100"/>
      <c r="E23" s="75"/>
      <c r="F23" s="90">
        <f t="shared" si="60"/>
        <v>0</v>
      </c>
      <c r="G23" s="75"/>
      <c r="H23" s="100"/>
      <c r="I23" s="90">
        <f t="shared" si="61"/>
        <v>0</v>
      </c>
      <c r="J23" s="100"/>
      <c r="K23" s="100"/>
      <c r="L23" s="90">
        <f t="shared" si="62"/>
        <v>0</v>
      </c>
      <c r="M23" s="75"/>
      <c r="N23" s="75"/>
      <c r="O23" s="90">
        <f t="shared" si="63"/>
        <v>0</v>
      </c>
      <c r="P23" s="100"/>
      <c r="Q23" s="75"/>
      <c r="R23" s="90">
        <f t="shared" si="64"/>
        <v>0</v>
      </c>
      <c r="S23" s="100"/>
      <c r="T23" s="100"/>
      <c r="U23" s="90">
        <f t="shared" si="65"/>
        <v>0</v>
      </c>
      <c r="V23" s="75"/>
      <c r="W23" s="100"/>
      <c r="X23" s="90">
        <f t="shared" si="66"/>
        <v>0</v>
      </c>
      <c r="Y23" s="90"/>
      <c r="Z23" s="90"/>
      <c r="AA23" s="90"/>
      <c r="AB23" s="94">
        <f t="shared" si="67"/>
        <v>0</v>
      </c>
      <c r="AC23" s="91"/>
      <c r="AD23" s="76"/>
      <c r="AE23" s="92">
        <f t="shared" si="68"/>
        <v>0</v>
      </c>
      <c r="AF23" s="76"/>
      <c r="AG23" s="92">
        <f t="shared" si="69"/>
        <v>0</v>
      </c>
      <c r="AH23" s="76"/>
      <c r="AI23" s="92">
        <f t="shared" si="70"/>
        <v>0</v>
      </c>
      <c r="AJ23" s="76"/>
      <c r="AK23" s="92">
        <f t="shared" si="71"/>
        <v>0</v>
      </c>
      <c r="AL23" s="77"/>
      <c r="AM23" s="92">
        <f t="shared" si="72"/>
        <v>0</v>
      </c>
      <c r="AN23" s="76"/>
      <c r="AO23" s="92">
        <f t="shared" si="73"/>
        <v>0</v>
      </c>
      <c r="AP23" s="93">
        <f t="shared" si="74"/>
        <v>0</v>
      </c>
      <c r="AQ23" s="76"/>
      <c r="AR23" s="76"/>
      <c r="AS23" s="76"/>
      <c r="AT23" s="63">
        <f t="shared" si="75"/>
        <v>0</v>
      </c>
      <c r="AU23" s="76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28"/>
        <v>0</v>
      </c>
      <c r="BE23" s="5">
        <f t="shared" si="29"/>
        <v>0</v>
      </c>
      <c r="BF23" s="5">
        <f t="shared" si="30"/>
        <v>0</v>
      </c>
      <c r="BG23" s="5">
        <f t="shared" si="31"/>
        <v>0</v>
      </c>
      <c r="BH23" s="5">
        <f t="shared" si="32"/>
        <v>0</v>
      </c>
      <c r="BI23" s="5">
        <f t="shared" si="33"/>
        <v>0</v>
      </c>
      <c r="BJ23" s="5">
        <f t="shared" si="34"/>
        <v>0</v>
      </c>
      <c r="BK23" s="5">
        <f t="shared" si="35"/>
        <v>0</v>
      </c>
      <c r="BL23" s="5">
        <f t="shared" si="36"/>
        <v>0</v>
      </c>
      <c r="BM23" s="5">
        <f t="shared" si="37"/>
        <v>0</v>
      </c>
      <c r="BN23" s="5">
        <f t="shared" si="38"/>
        <v>0</v>
      </c>
      <c r="BO23" s="5">
        <f t="shared" si="39"/>
        <v>0</v>
      </c>
      <c r="BP23" s="5">
        <f t="shared" si="40"/>
        <v>0</v>
      </c>
      <c r="BQ23" s="5">
        <f t="shared" si="41"/>
        <v>0</v>
      </c>
      <c r="BR23" s="5">
        <f t="shared" si="42"/>
        <v>0</v>
      </c>
      <c r="BS23" s="5">
        <f t="shared" si="43"/>
        <v>0</v>
      </c>
      <c r="BT23" s="5">
        <f t="shared" si="44"/>
        <v>0</v>
      </c>
      <c r="BU23" s="5">
        <f t="shared" si="45"/>
        <v>0</v>
      </c>
      <c r="BV23" s="5">
        <f t="shared" si="46"/>
        <v>0</v>
      </c>
      <c r="BW23" s="5">
        <f t="shared" si="47"/>
        <v>0</v>
      </c>
      <c r="BX23" s="5">
        <f t="shared" si="48"/>
        <v>0</v>
      </c>
      <c r="BY23" s="5">
        <f t="shared" si="49"/>
        <v>0</v>
      </c>
      <c r="BZ23" s="5">
        <f t="shared" si="50"/>
        <v>0</v>
      </c>
      <c r="CA23" s="5">
        <f t="shared" si="51"/>
        <v>0</v>
      </c>
      <c r="CB23" s="5">
        <f t="shared" si="52"/>
        <v>0</v>
      </c>
      <c r="CC23" s="5">
        <f t="shared" si="53"/>
        <v>0</v>
      </c>
      <c r="CD23" s="5">
        <f t="shared" si="54"/>
        <v>0</v>
      </c>
      <c r="CE23" s="5">
        <f t="shared" si="55"/>
        <v>0</v>
      </c>
      <c r="CF23" s="5">
        <f t="shared" si="56"/>
        <v>0</v>
      </c>
      <c r="CG23" s="5">
        <f t="shared" si="57"/>
        <v>0</v>
      </c>
      <c r="CH23" s="5">
        <f t="shared" si="58"/>
        <v>0</v>
      </c>
      <c r="CI23" s="5">
        <f t="shared" si="59"/>
        <v>0</v>
      </c>
      <c r="CJ23" s="5"/>
      <c r="CK23" s="4">
        <f t="shared" si="8"/>
        <v>0</v>
      </c>
    </row>
    <row r="24" spans="1:89" ht="47" customHeight="1">
      <c r="A24" s="74" t="str">
        <f t="shared" si="0"/>
        <v/>
      </c>
      <c r="B24" s="73"/>
      <c r="C24" s="72"/>
      <c r="D24" s="100"/>
      <c r="E24" s="75"/>
      <c r="F24" s="90">
        <f t="shared" si="60"/>
        <v>0</v>
      </c>
      <c r="G24" s="75"/>
      <c r="H24" s="100"/>
      <c r="I24" s="90">
        <f t="shared" si="61"/>
        <v>0</v>
      </c>
      <c r="J24" s="100"/>
      <c r="K24" s="100"/>
      <c r="L24" s="90">
        <f t="shared" si="62"/>
        <v>0</v>
      </c>
      <c r="M24" s="75"/>
      <c r="N24" s="75"/>
      <c r="O24" s="90">
        <f t="shared" si="63"/>
        <v>0</v>
      </c>
      <c r="P24" s="100"/>
      <c r="Q24" s="100"/>
      <c r="R24" s="90">
        <f t="shared" si="64"/>
        <v>0</v>
      </c>
      <c r="S24" s="100"/>
      <c r="T24" s="100"/>
      <c r="U24" s="90">
        <f t="shared" si="65"/>
        <v>0</v>
      </c>
      <c r="V24" s="75"/>
      <c r="W24" s="100"/>
      <c r="X24" s="90">
        <f t="shared" si="66"/>
        <v>0</v>
      </c>
      <c r="Y24" s="90"/>
      <c r="Z24" s="90"/>
      <c r="AA24" s="90"/>
      <c r="AB24" s="94">
        <f t="shared" si="67"/>
        <v>0</v>
      </c>
      <c r="AC24" s="91"/>
      <c r="AD24" s="76"/>
      <c r="AE24" s="92">
        <f t="shared" si="68"/>
        <v>0</v>
      </c>
      <c r="AF24" s="76"/>
      <c r="AG24" s="92">
        <f t="shared" si="69"/>
        <v>0</v>
      </c>
      <c r="AH24" s="76"/>
      <c r="AI24" s="92">
        <f t="shared" si="70"/>
        <v>0</v>
      </c>
      <c r="AJ24" s="76"/>
      <c r="AK24" s="92">
        <f t="shared" si="71"/>
        <v>0</v>
      </c>
      <c r="AL24" s="77"/>
      <c r="AM24" s="92">
        <f t="shared" si="72"/>
        <v>0</v>
      </c>
      <c r="AN24" s="76"/>
      <c r="AO24" s="92">
        <f t="shared" si="73"/>
        <v>0</v>
      </c>
      <c r="AP24" s="93">
        <f t="shared" si="74"/>
        <v>0</v>
      </c>
      <c r="AQ24" s="76"/>
      <c r="AR24" s="76"/>
      <c r="AS24" s="76"/>
      <c r="AT24" s="63">
        <f t="shared" si="75"/>
        <v>0</v>
      </c>
      <c r="AU24" s="76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28"/>
        <v>0</v>
      </c>
      <c r="BE24" s="5">
        <f t="shared" si="29"/>
        <v>0</v>
      </c>
      <c r="BF24" s="5">
        <f t="shared" si="30"/>
        <v>0</v>
      </c>
      <c r="BG24" s="5">
        <f t="shared" si="31"/>
        <v>0</v>
      </c>
      <c r="BH24" s="5">
        <f t="shared" si="32"/>
        <v>0</v>
      </c>
      <c r="BI24" s="5">
        <f t="shared" si="33"/>
        <v>0</v>
      </c>
      <c r="BJ24" s="5">
        <f t="shared" si="34"/>
        <v>0</v>
      </c>
      <c r="BK24" s="5">
        <f t="shared" si="35"/>
        <v>0</v>
      </c>
      <c r="BL24" s="5">
        <f t="shared" si="36"/>
        <v>0</v>
      </c>
      <c r="BM24" s="5">
        <f t="shared" si="37"/>
        <v>0</v>
      </c>
      <c r="BN24" s="5">
        <f t="shared" si="38"/>
        <v>0</v>
      </c>
      <c r="BO24" s="5">
        <f t="shared" si="39"/>
        <v>0</v>
      </c>
      <c r="BP24" s="5">
        <f t="shared" si="40"/>
        <v>0</v>
      </c>
      <c r="BQ24" s="5">
        <f t="shared" si="41"/>
        <v>0</v>
      </c>
      <c r="BR24" s="5">
        <f t="shared" si="42"/>
        <v>0</v>
      </c>
      <c r="BS24" s="5">
        <f t="shared" si="43"/>
        <v>0</v>
      </c>
      <c r="BT24" s="5">
        <f t="shared" si="44"/>
        <v>0</v>
      </c>
      <c r="BU24" s="5">
        <f t="shared" si="45"/>
        <v>0</v>
      </c>
      <c r="BV24" s="5">
        <f t="shared" si="46"/>
        <v>0</v>
      </c>
      <c r="BW24" s="5">
        <f t="shared" si="47"/>
        <v>0</v>
      </c>
      <c r="BX24" s="5">
        <f t="shared" si="48"/>
        <v>0</v>
      </c>
      <c r="BY24" s="5">
        <f t="shared" si="49"/>
        <v>0</v>
      </c>
      <c r="BZ24" s="5">
        <f t="shared" si="50"/>
        <v>0</v>
      </c>
      <c r="CA24" s="5">
        <f t="shared" si="51"/>
        <v>0</v>
      </c>
      <c r="CB24" s="5">
        <f t="shared" si="52"/>
        <v>0</v>
      </c>
      <c r="CC24" s="5">
        <f t="shared" si="53"/>
        <v>0</v>
      </c>
      <c r="CD24" s="5">
        <f t="shared" si="54"/>
        <v>0</v>
      </c>
      <c r="CE24" s="5">
        <f t="shared" si="55"/>
        <v>0</v>
      </c>
      <c r="CF24" s="5">
        <f t="shared" si="56"/>
        <v>0</v>
      </c>
      <c r="CG24" s="5">
        <f t="shared" si="57"/>
        <v>0</v>
      </c>
      <c r="CH24" s="5">
        <f t="shared" si="58"/>
        <v>0</v>
      </c>
      <c r="CI24" s="5">
        <f t="shared" si="59"/>
        <v>0</v>
      </c>
      <c r="CJ24" s="5"/>
      <c r="CK24" s="4">
        <f t="shared" si="8"/>
        <v>0</v>
      </c>
    </row>
    <row r="25" spans="1:89" ht="47" customHeight="1">
      <c r="A25" s="74" t="str">
        <f t="shared" si="0"/>
        <v/>
      </c>
      <c r="B25" s="73"/>
      <c r="C25" s="72"/>
      <c r="D25" s="100"/>
      <c r="E25" s="75"/>
      <c r="F25" s="90">
        <f t="shared" si="60"/>
        <v>0</v>
      </c>
      <c r="G25" s="75"/>
      <c r="H25" s="100"/>
      <c r="I25" s="90">
        <f t="shared" si="61"/>
        <v>0</v>
      </c>
      <c r="J25" s="100"/>
      <c r="K25" s="100"/>
      <c r="L25" s="90">
        <f t="shared" si="62"/>
        <v>0</v>
      </c>
      <c r="M25" s="75"/>
      <c r="N25" s="75"/>
      <c r="O25" s="90">
        <f t="shared" si="63"/>
        <v>0</v>
      </c>
      <c r="P25" s="100"/>
      <c r="Q25" s="100"/>
      <c r="R25" s="90">
        <f t="shared" si="64"/>
        <v>0</v>
      </c>
      <c r="S25" s="100"/>
      <c r="T25" s="100"/>
      <c r="U25" s="90">
        <f t="shared" si="65"/>
        <v>0</v>
      </c>
      <c r="V25" s="75"/>
      <c r="W25" s="100"/>
      <c r="X25" s="90">
        <f t="shared" si="66"/>
        <v>0</v>
      </c>
      <c r="Y25" s="90"/>
      <c r="Z25" s="90"/>
      <c r="AA25" s="90"/>
      <c r="AB25" s="94">
        <f t="shared" si="67"/>
        <v>0</v>
      </c>
      <c r="AC25" s="91"/>
      <c r="AD25" s="76"/>
      <c r="AE25" s="92">
        <f t="shared" si="68"/>
        <v>0</v>
      </c>
      <c r="AF25" s="76"/>
      <c r="AG25" s="92">
        <f t="shared" si="69"/>
        <v>0</v>
      </c>
      <c r="AH25" s="76"/>
      <c r="AI25" s="92">
        <f t="shared" si="70"/>
        <v>0</v>
      </c>
      <c r="AJ25" s="76"/>
      <c r="AK25" s="92">
        <f t="shared" si="71"/>
        <v>0</v>
      </c>
      <c r="AL25" s="77"/>
      <c r="AM25" s="92">
        <f t="shared" si="72"/>
        <v>0</v>
      </c>
      <c r="AN25" s="76"/>
      <c r="AO25" s="92">
        <f t="shared" si="73"/>
        <v>0</v>
      </c>
      <c r="AP25" s="93">
        <f t="shared" si="74"/>
        <v>0</v>
      </c>
      <c r="AQ25" s="76"/>
      <c r="AR25" s="76"/>
      <c r="AS25" s="76"/>
      <c r="AT25" s="63">
        <f t="shared" si="75"/>
        <v>0</v>
      </c>
      <c r="AU25" s="76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28"/>
        <v>0</v>
      </c>
      <c r="BE25" s="5">
        <f t="shared" si="29"/>
        <v>0</v>
      </c>
      <c r="BF25" s="5">
        <f t="shared" si="30"/>
        <v>0</v>
      </c>
      <c r="BG25" s="5">
        <f t="shared" si="31"/>
        <v>0</v>
      </c>
      <c r="BH25" s="5">
        <f t="shared" si="32"/>
        <v>0</v>
      </c>
      <c r="BI25" s="5">
        <f t="shared" si="33"/>
        <v>0</v>
      </c>
      <c r="BJ25" s="5">
        <f t="shared" si="34"/>
        <v>0</v>
      </c>
      <c r="BK25" s="5">
        <f t="shared" si="35"/>
        <v>0</v>
      </c>
      <c r="BL25" s="5">
        <f t="shared" si="36"/>
        <v>0</v>
      </c>
      <c r="BM25" s="5">
        <f t="shared" si="37"/>
        <v>0</v>
      </c>
      <c r="BN25" s="5">
        <f t="shared" si="38"/>
        <v>0</v>
      </c>
      <c r="BO25" s="5">
        <f t="shared" si="39"/>
        <v>0</v>
      </c>
      <c r="BP25" s="5">
        <f t="shared" si="40"/>
        <v>0</v>
      </c>
      <c r="BQ25" s="5">
        <f t="shared" si="41"/>
        <v>0</v>
      </c>
      <c r="BR25" s="5">
        <f t="shared" si="42"/>
        <v>0</v>
      </c>
      <c r="BS25" s="5">
        <f t="shared" si="43"/>
        <v>0</v>
      </c>
      <c r="BT25" s="5">
        <f t="shared" si="44"/>
        <v>0</v>
      </c>
      <c r="BU25" s="5">
        <f t="shared" si="45"/>
        <v>0</v>
      </c>
      <c r="BV25" s="5">
        <f t="shared" si="46"/>
        <v>0</v>
      </c>
      <c r="BW25" s="5">
        <f t="shared" si="47"/>
        <v>0</v>
      </c>
      <c r="BX25" s="5">
        <f t="shared" si="48"/>
        <v>0</v>
      </c>
      <c r="BY25" s="5">
        <f t="shared" si="49"/>
        <v>0</v>
      </c>
      <c r="BZ25" s="5">
        <f t="shared" si="50"/>
        <v>0</v>
      </c>
      <c r="CA25" s="5">
        <f t="shared" si="51"/>
        <v>0</v>
      </c>
      <c r="CB25" s="5">
        <f t="shared" si="52"/>
        <v>0</v>
      </c>
      <c r="CC25" s="5">
        <f t="shared" si="53"/>
        <v>0</v>
      </c>
      <c r="CD25" s="5">
        <f t="shared" si="54"/>
        <v>0</v>
      </c>
      <c r="CE25" s="5">
        <f t="shared" si="55"/>
        <v>0</v>
      </c>
      <c r="CF25" s="5">
        <f t="shared" si="56"/>
        <v>0</v>
      </c>
      <c r="CG25" s="5">
        <f t="shared" si="57"/>
        <v>0</v>
      </c>
      <c r="CH25" s="5">
        <f t="shared" si="58"/>
        <v>0</v>
      </c>
      <c r="CI25" s="5">
        <f t="shared" si="59"/>
        <v>0</v>
      </c>
      <c r="CJ25" s="5"/>
      <c r="CK25" s="4">
        <f t="shared" si="8"/>
        <v>0</v>
      </c>
    </row>
    <row r="26" spans="1:89" ht="47" customHeight="1">
      <c r="A26" s="74" t="str">
        <f t="shared" si="0"/>
        <v/>
      </c>
      <c r="B26" s="73"/>
      <c r="C26" s="72"/>
      <c r="D26" s="100"/>
      <c r="E26" s="75"/>
      <c r="F26" s="90">
        <f t="shared" si="60"/>
        <v>0</v>
      </c>
      <c r="G26" s="75"/>
      <c r="H26" s="100"/>
      <c r="I26" s="90">
        <f t="shared" si="61"/>
        <v>0</v>
      </c>
      <c r="J26" s="100"/>
      <c r="K26" s="100"/>
      <c r="L26" s="90">
        <f t="shared" si="62"/>
        <v>0</v>
      </c>
      <c r="M26" s="75"/>
      <c r="N26" s="75"/>
      <c r="O26" s="90">
        <f t="shared" si="63"/>
        <v>0</v>
      </c>
      <c r="P26" s="100"/>
      <c r="Q26" s="100"/>
      <c r="R26" s="90">
        <f t="shared" si="64"/>
        <v>0</v>
      </c>
      <c r="S26" s="100"/>
      <c r="T26" s="100"/>
      <c r="U26" s="90">
        <f t="shared" si="65"/>
        <v>0</v>
      </c>
      <c r="V26" s="75"/>
      <c r="W26" s="100"/>
      <c r="X26" s="90">
        <f t="shared" si="66"/>
        <v>0</v>
      </c>
      <c r="Y26" s="90"/>
      <c r="Z26" s="90"/>
      <c r="AA26" s="90"/>
      <c r="AB26" s="94">
        <f t="shared" si="67"/>
        <v>0</v>
      </c>
      <c r="AC26" s="91"/>
      <c r="AD26" s="76"/>
      <c r="AE26" s="92">
        <f t="shared" si="68"/>
        <v>0</v>
      </c>
      <c r="AF26" s="76"/>
      <c r="AG26" s="92">
        <f t="shared" si="69"/>
        <v>0</v>
      </c>
      <c r="AH26" s="76"/>
      <c r="AI26" s="92">
        <f t="shared" si="70"/>
        <v>0</v>
      </c>
      <c r="AJ26" s="76"/>
      <c r="AK26" s="92">
        <f t="shared" si="71"/>
        <v>0</v>
      </c>
      <c r="AL26" s="77"/>
      <c r="AM26" s="92">
        <f t="shared" si="72"/>
        <v>0</v>
      </c>
      <c r="AN26" s="76"/>
      <c r="AO26" s="92">
        <f t="shared" si="73"/>
        <v>0</v>
      </c>
      <c r="AP26" s="93">
        <f t="shared" si="74"/>
        <v>0</v>
      </c>
      <c r="AQ26" s="76"/>
      <c r="AR26" s="76"/>
      <c r="AS26" s="76"/>
      <c r="AT26" s="63">
        <f t="shared" si="75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28"/>
        <v>0</v>
      </c>
      <c r="BE26" s="5">
        <f t="shared" si="29"/>
        <v>0</v>
      </c>
      <c r="BF26" s="5">
        <f t="shared" si="30"/>
        <v>0</v>
      </c>
      <c r="BG26" s="5">
        <f t="shared" si="31"/>
        <v>0</v>
      </c>
      <c r="BH26" s="5">
        <f t="shared" si="32"/>
        <v>0</v>
      </c>
      <c r="BI26" s="5">
        <f t="shared" si="33"/>
        <v>0</v>
      </c>
      <c r="BJ26" s="5">
        <f t="shared" si="34"/>
        <v>0</v>
      </c>
      <c r="BK26" s="5">
        <f t="shared" si="35"/>
        <v>0</v>
      </c>
      <c r="BL26" s="5">
        <f t="shared" si="36"/>
        <v>0</v>
      </c>
      <c r="BM26" s="5">
        <f t="shared" si="37"/>
        <v>0</v>
      </c>
      <c r="BN26" s="5">
        <f t="shared" si="38"/>
        <v>0</v>
      </c>
      <c r="BO26" s="5">
        <f t="shared" si="39"/>
        <v>0</v>
      </c>
      <c r="BP26" s="5">
        <f t="shared" si="40"/>
        <v>0</v>
      </c>
      <c r="BQ26" s="5">
        <f t="shared" si="41"/>
        <v>0</v>
      </c>
      <c r="BR26" s="5">
        <f t="shared" si="42"/>
        <v>0</v>
      </c>
      <c r="BS26" s="5">
        <f t="shared" si="43"/>
        <v>0</v>
      </c>
      <c r="BT26" s="5">
        <f t="shared" si="44"/>
        <v>0</v>
      </c>
      <c r="BU26" s="5">
        <f t="shared" si="45"/>
        <v>0</v>
      </c>
      <c r="BV26" s="5">
        <f t="shared" si="46"/>
        <v>0</v>
      </c>
      <c r="BW26" s="5">
        <f t="shared" si="47"/>
        <v>0</v>
      </c>
      <c r="BX26" s="5">
        <f t="shared" si="48"/>
        <v>0</v>
      </c>
      <c r="BY26" s="5">
        <f t="shared" si="49"/>
        <v>0</v>
      </c>
      <c r="BZ26" s="5">
        <f t="shared" si="50"/>
        <v>0</v>
      </c>
      <c r="CA26" s="5">
        <f t="shared" si="51"/>
        <v>0</v>
      </c>
      <c r="CB26" s="5">
        <f t="shared" si="52"/>
        <v>0</v>
      </c>
      <c r="CC26" s="5">
        <f t="shared" si="53"/>
        <v>0</v>
      </c>
      <c r="CD26" s="5">
        <f t="shared" si="54"/>
        <v>0</v>
      </c>
      <c r="CE26" s="5">
        <f t="shared" si="55"/>
        <v>0</v>
      </c>
      <c r="CF26" s="5">
        <f t="shared" si="56"/>
        <v>0</v>
      </c>
      <c r="CG26" s="5">
        <f t="shared" si="57"/>
        <v>0</v>
      </c>
      <c r="CH26" s="5">
        <f t="shared" si="58"/>
        <v>0</v>
      </c>
      <c r="CI26" s="5">
        <f t="shared" si="59"/>
        <v>0</v>
      </c>
      <c r="CJ26" s="5"/>
      <c r="CK26" s="4">
        <f t="shared" si="8"/>
        <v>0</v>
      </c>
    </row>
    <row r="27" spans="1:89" ht="47" customHeight="1">
      <c r="A27" s="74" t="str">
        <f t="shared" si="0"/>
        <v/>
      </c>
      <c r="B27" s="73"/>
      <c r="C27" s="72"/>
      <c r="D27" s="100"/>
      <c r="E27" s="75"/>
      <c r="F27" s="90">
        <f t="shared" si="60"/>
        <v>0</v>
      </c>
      <c r="G27" s="75"/>
      <c r="H27" s="100"/>
      <c r="I27" s="90">
        <f t="shared" si="61"/>
        <v>0</v>
      </c>
      <c r="J27" s="100"/>
      <c r="K27" s="100"/>
      <c r="L27" s="90">
        <f t="shared" si="62"/>
        <v>0</v>
      </c>
      <c r="M27" s="75"/>
      <c r="N27" s="75"/>
      <c r="O27" s="90">
        <f t="shared" si="63"/>
        <v>0</v>
      </c>
      <c r="P27" s="100"/>
      <c r="Q27" s="100"/>
      <c r="R27" s="90">
        <f t="shared" si="64"/>
        <v>0</v>
      </c>
      <c r="S27" s="100"/>
      <c r="T27" s="100"/>
      <c r="U27" s="90">
        <f t="shared" si="65"/>
        <v>0</v>
      </c>
      <c r="V27" s="75"/>
      <c r="W27" s="100"/>
      <c r="X27" s="90">
        <f t="shared" si="66"/>
        <v>0</v>
      </c>
      <c r="Y27" s="90"/>
      <c r="Z27" s="90"/>
      <c r="AA27" s="90"/>
      <c r="AB27" s="94">
        <f t="shared" si="67"/>
        <v>0</v>
      </c>
      <c r="AC27" s="91"/>
      <c r="AD27" s="76"/>
      <c r="AE27" s="92">
        <f t="shared" si="68"/>
        <v>0</v>
      </c>
      <c r="AF27" s="76"/>
      <c r="AG27" s="92">
        <f t="shared" si="69"/>
        <v>0</v>
      </c>
      <c r="AH27" s="76"/>
      <c r="AI27" s="92">
        <f t="shared" si="70"/>
        <v>0</v>
      </c>
      <c r="AJ27" s="76"/>
      <c r="AK27" s="92">
        <f t="shared" si="71"/>
        <v>0</v>
      </c>
      <c r="AL27" s="77"/>
      <c r="AM27" s="92">
        <f t="shared" si="72"/>
        <v>0</v>
      </c>
      <c r="AN27" s="76"/>
      <c r="AO27" s="92">
        <f t="shared" si="73"/>
        <v>0</v>
      </c>
      <c r="AP27" s="93">
        <f t="shared" si="74"/>
        <v>0</v>
      </c>
      <c r="AQ27" s="76"/>
      <c r="AR27" s="76"/>
      <c r="AS27" s="76"/>
      <c r="AT27" s="63">
        <f t="shared" si="75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28"/>
        <v>0</v>
      </c>
      <c r="BE27" s="5">
        <f t="shared" si="29"/>
        <v>0</v>
      </c>
      <c r="BF27" s="5">
        <f t="shared" si="30"/>
        <v>0</v>
      </c>
      <c r="BG27" s="5">
        <f t="shared" si="31"/>
        <v>0</v>
      </c>
      <c r="BH27" s="5">
        <f t="shared" si="32"/>
        <v>0</v>
      </c>
      <c r="BI27" s="5">
        <f t="shared" si="33"/>
        <v>0</v>
      </c>
      <c r="BJ27" s="5">
        <f t="shared" si="34"/>
        <v>0</v>
      </c>
      <c r="BK27" s="5">
        <f t="shared" si="35"/>
        <v>0</v>
      </c>
      <c r="BL27" s="5">
        <f t="shared" si="36"/>
        <v>0</v>
      </c>
      <c r="BM27" s="5">
        <f t="shared" si="37"/>
        <v>0</v>
      </c>
      <c r="BN27" s="5">
        <f t="shared" si="38"/>
        <v>0</v>
      </c>
      <c r="BO27" s="5">
        <f t="shared" si="39"/>
        <v>0</v>
      </c>
      <c r="BP27" s="5">
        <f t="shared" si="40"/>
        <v>0</v>
      </c>
      <c r="BQ27" s="5">
        <f t="shared" si="41"/>
        <v>0</v>
      </c>
      <c r="BR27" s="5">
        <f t="shared" si="42"/>
        <v>0</v>
      </c>
      <c r="BS27" s="5">
        <f t="shared" si="43"/>
        <v>0</v>
      </c>
      <c r="BT27" s="5">
        <f t="shared" si="44"/>
        <v>0</v>
      </c>
      <c r="BU27" s="5">
        <f t="shared" si="45"/>
        <v>0</v>
      </c>
      <c r="BV27" s="5">
        <f t="shared" si="46"/>
        <v>0</v>
      </c>
      <c r="BW27" s="5">
        <f t="shared" si="47"/>
        <v>0</v>
      </c>
      <c r="BX27" s="5">
        <f t="shared" si="48"/>
        <v>0</v>
      </c>
      <c r="BY27" s="5">
        <f t="shared" si="49"/>
        <v>0</v>
      </c>
      <c r="BZ27" s="5">
        <f t="shared" si="50"/>
        <v>0</v>
      </c>
      <c r="CA27" s="5">
        <f t="shared" si="51"/>
        <v>0</v>
      </c>
      <c r="CB27" s="5">
        <f t="shared" si="52"/>
        <v>0</v>
      </c>
      <c r="CC27" s="5">
        <f t="shared" si="53"/>
        <v>0</v>
      </c>
      <c r="CD27" s="5">
        <f t="shared" si="54"/>
        <v>0</v>
      </c>
      <c r="CE27" s="5">
        <f t="shared" si="55"/>
        <v>0</v>
      </c>
      <c r="CF27" s="5">
        <f t="shared" si="56"/>
        <v>0</v>
      </c>
      <c r="CG27" s="5">
        <f t="shared" si="57"/>
        <v>0</v>
      </c>
      <c r="CH27" s="5">
        <f t="shared" si="58"/>
        <v>0</v>
      </c>
      <c r="CI27" s="5">
        <f t="shared" si="59"/>
        <v>0</v>
      </c>
      <c r="CJ27" s="5"/>
      <c r="CK27" s="4">
        <f t="shared" si="8"/>
        <v>0</v>
      </c>
    </row>
    <row r="28" spans="1:89" ht="47" customHeight="1">
      <c r="A28" s="74" t="str">
        <f t="shared" si="0"/>
        <v/>
      </c>
      <c r="B28" s="73"/>
      <c r="C28" s="72"/>
      <c r="D28" s="100"/>
      <c r="E28" s="75"/>
      <c r="F28" s="90">
        <f t="shared" si="60"/>
        <v>0</v>
      </c>
      <c r="G28" s="75"/>
      <c r="H28" s="100"/>
      <c r="I28" s="90">
        <f t="shared" si="61"/>
        <v>0</v>
      </c>
      <c r="J28" s="100"/>
      <c r="K28" s="100"/>
      <c r="L28" s="90">
        <f t="shared" si="62"/>
        <v>0</v>
      </c>
      <c r="M28" s="75"/>
      <c r="N28" s="75"/>
      <c r="O28" s="90">
        <f t="shared" si="63"/>
        <v>0</v>
      </c>
      <c r="P28" s="100"/>
      <c r="Q28" s="100"/>
      <c r="R28" s="90">
        <f t="shared" si="64"/>
        <v>0</v>
      </c>
      <c r="S28" s="100"/>
      <c r="T28" s="100"/>
      <c r="U28" s="90">
        <f t="shared" si="65"/>
        <v>0</v>
      </c>
      <c r="V28" s="75"/>
      <c r="W28" s="100"/>
      <c r="X28" s="90">
        <f t="shared" si="66"/>
        <v>0</v>
      </c>
      <c r="Y28" s="90"/>
      <c r="Z28" s="90"/>
      <c r="AA28" s="90"/>
      <c r="AB28" s="94">
        <f t="shared" si="67"/>
        <v>0</v>
      </c>
      <c r="AC28" s="91"/>
      <c r="AD28" s="76"/>
      <c r="AE28" s="92">
        <f t="shared" si="68"/>
        <v>0</v>
      </c>
      <c r="AF28" s="76"/>
      <c r="AG28" s="92">
        <f t="shared" si="69"/>
        <v>0</v>
      </c>
      <c r="AH28" s="76"/>
      <c r="AI28" s="92">
        <f t="shared" si="70"/>
        <v>0</v>
      </c>
      <c r="AJ28" s="76"/>
      <c r="AK28" s="92">
        <f t="shared" si="71"/>
        <v>0</v>
      </c>
      <c r="AL28" s="77"/>
      <c r="AM28" s="92">
        <f t="shared" si="72"/>
        <v>0</v>
      </c>
      <c r="AN28" s="76"/>
      <c r="AO28" s="92">
        <f t="shared" si="73"/>
        <v>0</v>
      </c>
      <c r="AP28" s="93">
        <f t="shared" si="74"/>
        <v>0</v>
      </c>
      <c r="AQ28" s="76"/>
      <c r="AR28" s="76"/>
      <c r="AS28" s="76"/>
      <c r="AT28" s="63">
        <f t="shared" si="75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28"/>
        <v>0</v>
      </c>
      <c r="BE28" s="5">
        <f t="shared" si="29"/>
        <v>0</v>
      </c>
      <c r="BF28" s="5">
        <f t="shared" si="30"/>
        <v>0</v>
      </c>
      <c r="BG28" s="5">
        <f t="shared" si="31"/>
        <v>0</v>
      </c>
      <c r="BH28" s="5">
        <f t="shared" si="32"/>
        <v>0</v>
      </c>
      <c r="BI28" s="5">
        <f t="shared" si="33"/>
        <v>0</v>
      </c>
      <c r="BJ28" s="5">
        <f t="shared" si="34"/>
        <v>0</v>
      </c>
      <c r="BK28" s="5">
        <f t="shared" si="35"/>
        <v>0</v>
      </c>
      <c r="BL28" s="5">
        <f t="shared" si="36"/>
        <v>0</v>
      </c>
      <c r="BM28" s="5">
        <f t="shared" si="37"/>
        <v>0</v>
      </c>
      <c r="BN28" s="5">
        <f t="shared" si="38"/>
        <v>0</v>
      </c>
      <c r="BO28" s="5">
        <f t="shared" si="39"/>
        <v>0</v>
      </c>
      <c r="BP28" s="5">
        <f t="shared" si="40"/>
        <v>0</v>
      </c>
      <c r="BQ28" s="5">
        <f t="shared" si="41"/>
        <v>0</v>
      </c>
      <c r="BR28" s="5">
        <f t="shared" si="42"/>
        <v>0</v>
      </c>
      <c r="BS28" s="5">
        <f t="shared" si="43"/>
        <v>0</v>
      </c>
      <c r="BT28" s="5">
        <f t="shared" si="44"/>
        <v>0</v>
      </c>
      <c r="BU28" s="5">
        <f t="shared" si="45"/>
        <v>0</v>
      </c>
      <c r="BV28" s="5">
        <f t="shared" si="46"/>
        <v>0</v>
      </c>
      <c r="BW28" s="5">
        <f t="shared" si="47"/>
        <v>0</v>
      </c>
      <c r="BX28" s="5">
        <f t="shared" si="48"/>
        <v>0</v>
      </c>
      <c r="BY28" s="5">
        <f t="shared" si="49"/>
        <v>0</v>
      </c>
      <c r="BZ28" s="5">
        <f t="shared" si="50"/>
        <v>0</v>
      </c>
      <c r="CA28" s="5">
        <f t="shared" si="51"/>
        <v>0</v>
      </c>
      <c r="CB28" s="5">
        <f t="shared" si="52"/>
        <v>0</v>
      </c>
      <c r="CC28" s="5">
        <f t="shared" si="53"/>
        <v>0</v>
      </c>
      <c r="CD28" s="5">
        <f t="shared" si="54"/>
        <v>0</v>
      </c>
      <c r="CE28" s="5">
        <f t="shared" si="55"/>
        <v>0</v>
      </c>
      <c r="CF28" s="5">
        <f t="shared" si="56"/>
        <v>0</v>
      </c>
      <c r="CG28" s="5">
        <f t="shared" si="57"/>
        <v>0</v>
      </c>
      <c r="CH28" s="5">
        <f t="shared" si="58"/>
        <v>0</v>
      </c>
      <c r="CI28" s="5">
        <f t="shared" si="59"/>
        <v>0</v>
      </c>
      <c r="CJ28" s="5"/>
      <c r="CK28" s="4">
        <f t="shared" si="8"/>
        <v>0</v>
      </c>
    </row>
    <row r="29" spans="1:89" ht="47" customHeight="1">
      <c r="A29" s="74" t="str">
        <f t="shared" si="0"/>
        <v/>
      </c>
      <c r="B29" s="73"/>
      <c r="C29" s="72"/>
      <c r="D29" s="100"/>
      <c r="E29" s="75"/>
      <c r="F29" s="90">
        <f t="shared" si="60"/>
        <v>0</v>
      </c>
      <c r="G29" s="75"/>
      <c r="H29" s="100"/>
      <c r="I29" s="90">
        <f t="shared" si="61"/>
        <v>0</v>
      </c>
      <c r="J29" s="100"/>
      <c r="K29" s="100"/>
      <c r="L29" s="90">
        <f t="shared" si="62"/>
        <v>0</v>
      </c>
      <c r="M29" s="75"/>
      <c r="N29" s="75"/>
      <c r="O29" s="90">
        <f t="shared" si="63"/>
        <v>0</v>
      </c>
      <c r="P29" s="100"/>
      <c r="Q29" s="100"/>
      <c r="R29" s="90">
        <f t="shared" si="64"/>
        <v>0</v>
      </c>
      <c r="S29" s="100"/>
      <c r="T29" s="100"/>
      <c r="U29" s="90">
        <f t="shared" si="65"/>
        <v>0</v>
      </c>
      <c r="V29" s="75"/>
      <c r="W29" s="100"/>
      <c r="X29" s="90">
        <f t="shared" si="66"/>
        <v>0</v>
      </c>
      <c r="Y29" s="90"/>
      <c r="Z29" s="90"/>
      <c r="AA29" s="90"/>
      <c r="AB29" s="94">
        <f t="shared" si="67"/>
        <v>0</v>
      </c>
      <c r="AC29" s="91"/>
      <c r="AD29" s="76"/>
      <c r="AE29" s="92">
        <f t="shared" si="68"/>
        <v>0</v>
      </c>
      <c r="AF29" s="76"/>
      <c r="AG29" s="92">
        <f t="shared" si="69"/>
        <v>0</v>
      </c>
      <c r="AH29" s="76"/>
      <c r="AI29" s="92">
        <f t="shared" si="70"/>
        <v>0</v>
      </c>
      <c r="AJ29" s="76"/>
      <c r="AK29" s="92">
        <f t="shared" si="71"/>
        <v>0</v>
      </c>
      <c r="AL29" s="77"/>
      <c r="AM29" s="92">
        <f t="shared" si="72"/>
        <v>0</v>
      </c>
      <c r="AN29" s="76"/>
      <c r="AO29" s="92">
        <f t="shared" si="73"/>
        <v>0</v>
      </c>
      <c r="AP29" s="93">
        <f t="shared" si="74"/>
        <v>0</v>
      </c>
      <c r="AQ29" s="76"/>
      <c r="AR29" s="76"/>
      <c r="AS29" s="76"/>
      <c r="AT29" s="63">
        <f t="shared" si="75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28"/>
        <v>0</v>
      </c>
      <c r="BE29" s="5">
        <f t="shared" si="29"/>
        <v>0</v>
      </c>
      <c r="BF29" s="5">
        <f t="shared" si="30"/>
        <v>0</v>
      </c>
      <c r="BG29" s="5">
        <f t="shared" si="31"/>
        <v>0</v>
      </c>
      <c r="BH29" s="5">
        <f t="shared" si="32"/>
        <v>0</v>
      </c>
      <c r="BI29" s="5">
        <f t="shared" si="33"/>
        <v>0</v>
      </c>
      <c r="BJ29" s="5">
        <f t="shared" si="34"/>
        <v>0</v>
      </c>
      <c r="BK29" s="5">
        <f t="shared" si="35"/>
        <v>0</v>
      </c>
      <c r="BL29" s="5">
        <f t="shared" si="36"/>
        <v>0</v>
      </c>
      <c r="BM29" s="5">
        <f t="shared" si="37"/>
        <v>0</v>
      </c>
      <c r="BN29" s="5">
        <f t="shared" si="38"/>
        <v>0</v>
      </c>
      <c r="BO29" s="5">
        <f t="shared" si="39"/>
        <v>0</v>
      </c>
      <c r="BP29" s="5">
        <f t="shared" si="40"/>
        <v>0</v>
      </c>
      <c r="BQ29" s="5">
        <f t="shared" si="41"/>
        <v>0</v>
      </c>
      <c r="BR29" s="5">
        <f t="shared" si="42"/>
        <v>0</v>
      </c>
      <c r="BS29" s="5">
        <f t="shared" si="43"/>
        <v>0</v>
      </c>
      <c r="BT29" s="5">
        <f t="shared" si="44"/>
        <v>0</v>
      </c>
      <c r="BU29" s="5">
        <f t="shared" si="45"/>
        <v>0</v>
      </c>
      <c r="BV29" s="5">
        <f t="shared" si="46"/>
        <v>0</v>
      </c>
      <c r="BW29" s="5">
        <f t="shared" si="47"/>
        <v>0</v>
      </c>
      <c r="BX29" s="5">
        <f t="shared" si="48"/>
        <v>0</v>
      </c>
      <c r="BY29" s="5">
        <f t="shared" si="49"/>
        <v>0</v>
      </c>
      <c r="BZ29" s="5">
        <f t="shared" si="50"/>
        <v>0</v>
      </c>
      <c r="CA29" s="5">
        <f t="shared" si="51"/>
        <v>0</v>
      </c>
      <c r="CB29" s="5">
        <f t="shared" si="52"/>
        <v>0</v>
      </c>
      <c r="CC29" s="5">
        <f t="shared" si="53"/>
        <v>0</v>
      </c>
      <c r="CD29" s="5">
        <f t="shared" si="54"/>
        <v>0</v>
      </c>
      <c r="CE29" s="5">
        <f t="shared" si="55"/>
        <v>0</v>
      </c>
      <c r="CF29" s="5">
        <f t="shared" si="56"/>
        <v>0</v>
      </c>
      <c r="CG29" s="5">
        <f t="shared" si="57"/>
        <v>0</v>
      </c>
      <c r="CH29" s="5">
        <f t="shared" si="58"/>
        <v>0</v>
      </c>
      <c r="CI29" s="5">
        <f t="shared" si="59"/>
        <v>0</v>
      </c>
      <c r="CJ29" s="5"/>
      <c r="CK29" s="4">
        <f t="shared" si="8"/>
        <v>0</v>
      </c>
    </row>
    <row r="30" spans="1:89" ht="47" customHeight="1">
      <c r="A30" s="74" t="str">
        <f t="shared" si="0"/>
        <v/>
      </c>
      <c r="B30" s="73"/>
      <c r="C30" s="72"/>
      <c r="D30" s="100"/>
      <c r="E30" s="75"/>
      <c r="F30" s="90">
        <f t="shared" si="9"/>
        <v>0</v>
      </c>
      <c r="G30" s="75"/>
      <c r="H30" s="100"/>
      <c r="I30" s="90">
        <f t="shared" si="10"/>
        <v>0</v>
      </c>
      <c r="J30" s="100"/>
      <c r="K30" s="100"/>
      <c r="L30" s="90">
        <f t="shared" si="11"/>
        <v>0</v>
      </c>
      <c r="M30" s="75"/>
      <c r="N30" s="75"/>
      <c r="O30" s="90">
        <f t="shared" si="12"/>
        <v>0</v>
      </c>
      <c r="P30" s="100"/>
      <c r="Q30" s="100"/>
      <c r="R30" s="90">
        <f t="shared" si="13"/>
        <v>0</v>
      </c>
      <c r="S30" s="100"/>
      <c r="T30" s="100"/>
      <c r="U30" s="90">
        <f t="shared" si="14"/>
        <v>0</v>
      </c>
      <c r="V30" s="75"/>
      <c r="W30" s="100"/>
      <c r="X30" s="90">
        <f t="shared" si="15"/>
        <v>0</v>
      </c>
      <c r="Y30" s="90"/>
      <c r="Z30" s="90"/>
      <c r="AA30" s="90"/>
      <c r="AB30" s="94">
        <f t="shared" si="16"/>
        <v>0</v>
      </c>
      <c r="AC30" s="91"/>
      <c r="AD30" s="76"/>
      <c r="AE30" s="92">
        <f t="shared" si="17"/>
        <v>0</v>
      </c>
      <c r="AF30" s="76"/>
      <c r="AG30" s="92">
        <f t="shared" si="18"/>
        <v>0</v>
      </c>
      <c r="AH30" s="76"/>
      <c r="AI30" s="92">
        <f t="shared" si="19"/>
        <v>0</v>
      </c>
      <c r="AJ30" s="76"/>
      <c r="AK30" s="92">
        <f t="shared" si="20"/>
        <v>0</v>
      </c>
      <c r="AL30" s="77"/>
      <c r="AM30" s="92">
        <f t="shared" si="21"/>
        <v>0</v>
      </c>
      <c r="AN30" s="76"/>
      <c r="AO30" s="92">
        <f t="shared" si="22"/>
        <v>0</v>
      </c>
      <c r="AP30" s="93">
        <f t="shared" si="23"/>
        <v>0</v>
      </c>
      <c r="AQ30" s="76"/>
      <c r="AR30" s="76"/>
      <c r="AS30" s="76"/>
      <c r="AT30" s="63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28"/>
        <v>0</v>
      </c>
      <c r="BE30" s="5">
        <f t="shared" si="29"/>
        <v>0</v>
      </c>
      <c r="BF30" s="5">
        <f t="shared" si="30"/>
        <v>0</v>
      </c>
      <c r="BG30" s="5">
        <f t="shared" si="31"/>
        <v>0</v>
      </c>
      <c r="BH30" s="5">
        <f t="shared" si="32"/>
        <v>0</v>
      </c>
      <c r="BI30" s="5">
        <f t="shared" si="33"/>
        <v>0</v>
      </c>
      <c r="BJ30" s="5">
        <f t="shared" si="34"/>
        <v>0</v>
      </c>
      <c r="BK30" s="5">
        <f t="shared" si="35"/>
        <v>0</v>
      </c>
      <c r="BL30" s="5">
        <f t="shared" si="36"/>
        <v>0</v>
      </c>
      <c r="BM30" s="5">
        <f t="shared" si="37"/>
        <v>0</v>
      </c>
      <c r="BN30" s="5">
        <f t="shared" si="38"/>
        <v>0</v>
      </c>
      <c r="BO30" s="5">
        <f t="shared" si="39"/>
        <v>0</v>
      </c>
      <c r="BP30" s="5">
        <f t="shared" si="40"/>
        <v>0</v>
      </c>
      <c r="BQ30" s="5">
        <f t="shared" si="41"/>
        <v>0</v>
      </c>
      <c r="BR30" s="5">
        <f t="shared" si="42"/>
        <v>0</v>
      </c>
      <c r="BS30" s="5">
        <f t="shared" si="43"/>
        <v>0</v>
      </c>
      <c r="BT30" s="5">
        <f t="shared" si="44"/>
        <v>0</v>
      </c>
      <c r="BU30" s="5">
        <f t="shared" si="45"/>
        <v>0</v>
      </c>
      <c r="BV30" s="5">
        <f t="shared" si="46"/>
        <v>0</v>
      </c>
      <c r="BW30" s="5">
        <f t="shared" si="47"/>
        <v>0</v>
      </c>
      <c r="BX30" s="5">
        <f t="shared" si="48"/>
        <v>0</v>
      </c>
      <c r="BY30" s="5">
        <f t="shared" si="49"/>
        <v>0</v>
      </c>
      <c r="BZ30" s="5">
        <f t="shared" si="50"/>
        <v>0</v>
      </c>
      <c r="CA30" s="5">
        <f t="shared" si="51"/>
        <v>0</v>
      </c>
      <c r="CB30" s="5">
        <f t="shared" si="52"/>
        <v>0</v>
      </c>
      <c r="CC30" s="5">
        <f t="shared" si="53"/>
        <v>0</v>
      </c>
      <c r="CD30" s="5">
        <f t="shared" si="54"/>
        <v>0</v>
      </c>
      <c r="CE30" s="5">
        <f t="shared" si="55"/>
        <v>0</v>
      </c>
      <c r="CF30" s="5">
        <f t="shared" si="56"/>
        <v>0</v>
      </c>
      <c r="CG30" s="5">
        <f t="shared" si="57"/>
        <v>0</v>
      </c>
      <c r="CH30" s="5">
        <f t="shared" si="58"/>
        <v>0</v>
      </c>
      <c r="CI30" s="5">
        <f t="shared" si="59"/>
        <v>0</v>
      </c>
      <c r="CJ30" s="5"/>
      <c r="CK30" s="4">
        <f t="shared" si="8"/>
        <v>0</v>
      </c>
    </row>
    <row r="31" spans="1:89" ht="47" customHeight="1">
      <c r="A31" s="74" t="str">
        <f t="shared" si="0"/>
        <v/>
      </c>
      <c r="B31" s="73"/>
      <c r="C31" s="72"/>
      <c r="D31" s="100"/>
      <c r="E31" s="75"/>
      <c r="F31" s="90">
        <f t="shared" si="9"/>
        <v>0</v>
      </c>
      <c r="G31" s="75"/>
      <c r="H31" s="100"/>
      <c r="I31" s="90">
        <f t="shared" si="10"/>
        <v>0</v>
      </c>
      <c r="J31" s="100"/>
      <c r="K31" s="100"/>
      <c r="L31" s="90">
        <f t="shared" si="11"/>
        <v>0</v>
      </c>
      <c r="M31" s="75"/>
      <c r="N31" s="75"/>
      <c r="O31" s="90">
        <f t="shared" si="12"/>
        <v>0</v>
      </c>
      <c r="P31" s="100"/>
      <c r="Q31" s="100"/>
      <c r="R31" s="90">
        <f t="shared" si="13"/>
        <v>0</v>
      </c>
      <c r="S31" s="100"/>
      <c r="T31" s="100"/>
      <c r="U31" s="90">
        <f t="shared" si="14"/>
        <v>0</v>
      </c>
      <c r="V31" s="75"/>
      <c r="W31" s="100"/>
      <c r="X31" s="90">
        <f t="shared" si="15"/>
        <v>0</v>
      </c>
      <c r="Y31" s="90"/>
      <c r="Z31" s="90"/>
      <c r="AA31" s="90"/>
      <c r="AB31" s="94">
        <f t="shared" si="16"/>
        <v>0</v>
      </c>
      <c r="AC31" s="91"/>
      <c r="AD31" s="76"/>
      <c r="AE31" s="92">
        <f t="shared" si="17"/>
        <v>0</v>
      </c>
      <c r="AF31" s="76"/>
      <c r="AG31" s="92">
        <f t="shared" si="18"/>
        <v>0</v>
      </c>
      <c r="AH31" s="76"/>
      <c r="AI31" s="92">
        <f t="shared" si="19"/>
        <v>0</v>
      </c>
      <c r="AJ31" s="76"/>
      <c r="AK31" s="92">
        <f t="shared" si="20"/>
        <v>0</v>
      </c>
      <c r="AL31" s="77"/>
      <c r="AM31" s="92">
        <f t="shared" si="21"/>
        <v>0</v>
      </c>
      <c r="AN31" s="76"/>
      <c r="AO31" s="92">
        <f t="shared" si="22"/>
        <v>0</v>
      </c>
      <c r="AP31" s="93">
        <f t="shared" si="23"/>
        <v>0</v>
      </c>
      <c r="AQ31" s="76"/>
      <c r="AR31" s="76"/>
      <c r="AS31" s="76"/>
      <c r="AT31" s="63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28"/>
        <v>0</v>
      </c>
      <c r="BE31" s="5">
        <f t="shared" si="29"/>
        <v>0</v>
      </c>
      <c r="BF31" s="5">
        <f t="shared" si="30"/>
        <v>0</v>
      </c>
      <c r="BG31" s="5">
        <f t="shared" si="31"/>
        <v>0</v>
      </c>
      <c r="BH31" s="5">
        <f t="shared" si="32"/>
        <v>0</v>
      </c>
      <c r="BI31" s="5">
        <f t="shared" si="33"/>
        <v>0</v>
      </c>
      <c r="BJ31" s="5">
        <f t="shared" si="34"/>
        <v>0</v>
      </c>
      <c r="BK31" s="5">
        <f t="shared" si="35"/>
        <v>0</v>
      </c>
      <c r="BL31" s="5">
        <f t="shared" si="36"/>
        <v>0</v>
      </c>
      <c r="BM31" s="5">
        <f t="shared" si="37"/>
        <v>0</v>
      </c>
      <c r="BN31" s="5">
        <f t="shared" si="38"/>
        <v>0</v>
      </c>
      <c r="BO31" s="5">
        <f t="shared" si="39"/>
        <v>0</v>
      </c>
      <c r="BP31" s="5">
        <f t="shared" si="40"/>
        <v>0</v>
      </c>
      <c r="BQ31" s="5">
        <f t="shared" si="41"/>
        <v>0</v>
      </c>
      <c r="BR31" s="5">
        <f t="shared" si="42"/>
        <v>0</v>
      </c>
      <c r="BS31" s="5">
        <f t="shared" si="43"/>
        <v>0</v>
      </c>
      <c r="BT31" s="5">
        <f t="shared" si="44"/>
        <v>0</v>
      </c>
      <c r="BU31" s="5">
        <f t="shared" si="45"/>
        <v>0</v>
      </c>
      <c r="BV31" s="5">
        <f t="shared" si="46"/>
        <v>0</v>
      </c>
      <c r="BW31" s="5">
        <f t="shared" si="47"/>
        <v>0</v>
      </c>
      <c r="BX31" s="5">
        <f t="shared" si="48"/>
        <v>0</v>
      </c>
      <c r="BY31" s="5">
        <f t="shared" si="49"/>
        <v>0</v>
      </c>
      <c r="BZ31" s="5">
        <f t="shared" si="50"/>
        <v>0</v>
      </c>
      <c r="CA31" s="5">
        <f t="shared" si="51"/>
        <v>0</v>
      </c>
      <c r="CB31" s="5">
        <f t="shared" si="52"/>
        <v>0</v>
      </c>
      <c r="CC31" s="5">
        <f t="shared" si="53"/>
        <v>0</v>
      </c>
      <c r="CD31" s="5">
        <f t="shared" si="54"/>
        <v>0</v>
      </c>
      <c r="CE31" s="5">
        <f t="shared" si="55"/>
        <v>0</v>
      </c>
      <c r="CF31" s="5">
        <f t="shared" si="56"/>
        <v>0</v>
      </c>
      <c r="CG31" s="5">
        <f t="shared" si="57"/>
        <v>0</v>
      </c>
      <c r="CH31" s="5">
        <f t="shared" si="58"/>
        <v>0</v>
      </c>
      <c r="CI31" s="5">
        <f t="shared" si="59"/>
        <v>0</v>
      </c>
      <c r="CJ31" s="5"/>
      <c r="CK31" s="4">
        <f t="shared" si="8"/>
        <v>0</v>
      </c>
    </row>
    <row r="32" spans="1:89" ht="47" customHeight="1">
      <c r="A32" s="74" t="str">
        <f t="shared" si="0"/>
        <v/>
      </c>
      <c r="B32" s="73"/>
      <c r="C32" s="72"/>
      <c r="D32" s="100"/>
      <c r="E32" s="75"/>
      <c r="F32" s="90">
        <f t="shared" ref="F32" si="76">BA32-BB32</f>
        <v>0</v>
      </c>
      <c r="G32" s="75"/>
      <c r="H32" s="100"/>
      <c r="I32" s="90">
        <f t="shared" ref="I32" si="77">BF32-BG32</f>
        <v>0</v>
      </c>
      <c r="J32" s="100"/>
      <c r="K32" s="100"/>
      <c r="L32" s="90">
        <f t="shared" ref="L32" si="78">BK32-BL32</f>
        <v>0</v>
      </c>
      <c r="M32" s="75"/>
      <c r="N32" s="75"/>
      <c r="O32" s="90">
        <f t="shared" ref="O32" si="79">BP32-BQ32</f>
        <v>0</v>
      </c>
      <c r="P32" s="100"/>
      <c r="Q32" s="100"/>
      <c r="R32" s="90">
        <f t="shared" ref="R32" si="80">BU32-BV32</f>
        <v>0</v>
      </c>
      <c r="S32" s="100"/>
      <c r="T32" s="100"/>
      <c r="U32" s="90">
        <f t="shared" ref="U32" si="81">BZ32-CA32</f>
        <v>0</v>
      </c>
      <c r="V32" s="75"/>
      <c r="W32" s="100"/>
      <c r="X32" s="90">
        <f t="shared" ref="X32" si="82">CE32-CF32</f>
        <v>0</v>
      </c>
      <c r="Y32" s="90"/>
      <c r="Z32" s="90"/>
      <c r="AA32" s="90"/>
      <c r="AB32" s="94">
        <f t="shared" ref="AB32" si="83">SUM(F32,I32,L32,O32,R32,U32,X32)</f>
        <v>0</v>
      </c>
      <c r="AC32" s="91"/>
      <c r="AD32" s="76"/>
      <c r="AE32" s="92">
        <f t="shared" ref="AE32" si="84">SUMIF($BC$1:$CI$1,AE$1,$BC32:$CI32)+AD32</f>
        <v>0</v>
      </c>
      <c r="AF32" s="76"/>
      <c r="AG32" s="92">
        <f t="shared" ref="AG32" si="85">SUMIF($BC$1:$CI$1,AG$1,$BC32:$CI32)+AF32</f>
        <v>0</v>
      </c>
      <c r="AH32" s="76"/>
      <c r="AI32" s="92">
        <f t="shared" ref="AI32" si="86">SUMIF($BC$1:$CI$1,AI$1,$BC32:$CI32)+AH32</f>
        <v>0</v>
      </c>
      <c r="AJ32" s="76"/>
      <c r="AK32" s="92">
        <f t="shared" ref="AK32" si="87">SUMIF($BC$1:$CI$1,AK$1,$BC32:$CI32)+AJ32</f>
        <v>0</v>
      </c>
      <c r="AL32" s="77"/>
      <c r="AM32" s="92">
        <f t="shared" ref="AM32" si="88">SUMIF($BC$1:$CI$1,AM$1,$BC32:$CI32)+AL32</f>
        <v>0</v>
      </c>
      <c r="AN32" s="76"/>
      <c r="AO32" s="92">
        <f t="shared" ref="AO32" si="89">SUMIF($BC$1:$CI$1,AO$1,$BC32:$CI32)+AN32</f>
        <v>0</v>
      </c>
      <c r="AP32" s="93">
        <f t="shared" ref="AP32" si="90">CK32</f>
        <v>0</v>
      </c>
      <c r="AQ32" s="76"/>
      <c r="AR32" s="76"/>
      <c r="AS32" s="76"/>
      <c r="AT32" s="63">
        <f t="shared" ref="AT32" si="91">AE32+AG32+AI32+AK32+AM32+AO32+SUM(AQ32:AS32)</f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28"/>
        <v>0</v>
      </c>
      <c r="BE32" s="5">
        <f t="shared" si="29"/>
        <v>0</v>
      </c>
      <c r="BF32" s="5">
        <f t="shared" si="30"/>
        <v>0</v>
      </c>
      <c r="BG32" s="5">
        <f t="shared" si="31"/>
        <v>0</v>
      </c>
      <c r="BH32" s="5">
        <f t="shared" si="32"/>
        <v>0</v>
      </c>
      <c r="BI32" s="5">
        <f t="shared" si="33"/>
        <v>0</v>
      </c>
      <c r="BJ32" s="5">
        <f t="shared" si="34"/>
        <v>0</v>
      </c>
      <c r="BK32" s="5">
        <f t="shared" si="35"/>
        <v>0</v>
      </c>
      <c r="BL32" s="5">
        <f t="shared" si="36"/>
        <v>0</v>
      </c>
      <c r="BM32" s="5">
        <f t="shared" si="37"/>
        <v>0</v>
      </c>
      <c r="BN32" s="5">
        <f t="shared" si="38"/>
        <v>0</v>
      </c>
      <c r="BO32" s="5">
        <f t="shared" si="39"/>
        <v>0</v>
      </c>
      <c r="BP32" s="5">
        <f t="shared" si="40"/>
        <v>0</v>
      </c>
      <c r="BQ32" s="5">
        <f t="shared" si="41"/>
        <v>0</v>
      </c>
      <c r="BR32" s="5">
        <f t="shared" si="42"/>
        <v>0</v>
      </c>
      <c r="BS32" s="5">
        <f t="shared" si="43"/>
        <v>0</v>
      </c>
      <c r="BT32" s="5">
        <f t="shared" si="44"/>
        <v>0</v>
      </c>
      <c r="BU32" s="5">
        <f t="shared" si="45"/>
        <v>0</v>
      </c>
      <c r="BV32" s="5">
        <f t="shared" si="46"/>
        <v>0</v>
      </c>
      <c r="BW32" s="5">
        <f t="shared" si="47"/>
        <v>0</v>
      </c>
      <c r="BX32" s="5">
        <f t="shared" si="48"/>
        <v>0</v>
      </c>
      <c r="BY32" s="5">
        <f t="shared" si="49"/>
        <v>0</v>
      </c>
      <c r="BZ32" s="5">
        <f t="shared" si="50"/>
        <v>0</v>
      </c>
      <c r="CA32" s="5">
        <f t="shared" si="51"/>
        <v>0</v>
      </c>
      <c r="CB32" s="5">
        <f t="shared" si="52"/>
        <v>0</v>
      </c>
      <c r="CC32" s="5">
        <f t="shared" si="53"/>
        <v>0</v>
      </c>
      <c r="CD32" s="5">
        <f t="shared" si="54"/>
        <v>0</v>
      </c>
      <c r="CE32" s="5">
        <f t="shared" si="55"/>
        <v>0</v>
      </c>
      <c r="CF32" s="5">
        <f t="shared" si="56"/>
        <v>0</v>
      </c>
      <c r="CG32" s="5">
        <f t="shared" si="57"/>
        <v>0</v>
      </c>
      <c r="CH32" s="5">
        <f t="shared" si="58"/>
        <v>0</v>
      </c>
      <c r="CI32" s="5">
        <f t="shared" si="59"/>
        <v>0</v>
      </c>
      <c r="CJ32" s="5"/>
      <c r="CK32" s="4">
        <f t="shared" si="8"/>
        <v>0</v>
      </c>
    </row>
    <row r="33" spans="1:89" ht="47" customHeight="1">
      <c r="A33" s="74" t="str">
        <f t="shared" si="0"/>
        <v/>
      </c>
      <c r="B33" s="73"/>
      <c r="C33" s="72"/>
      <c r="D33" s="100"/>
      <c r="E33" s="75"/>
      <c r="F33" s="90">
        <f t="shared" si="9"/>
        <v>0</v>
      </c>
      <c r="G33" s="75"/>
      <c r="H33" s="100"/>
      <c r="I33" s="90">
        <f t="shared" si="10"/>
        <v>0</v>
      </c>
      <c r="J33" s="100"/>
      <c r="K33" s="75"/>
      <c r="L33" s="90">
        <f t="shared" si="11"/>
        <v>0</v>
      </c>
      <c r="M33" s="100"/>
      <c r="N33" s="75"/>
      <c r="O33" s="90">
        <f t="shared" si="12"/>
        <v>0</v>
      </c>
      <c r="P33" s="100"/>
      <c r="Q33" s="75"/>
      <c r="R33" s="90">
        <f t="shared" si="13"/>
        <v>0</v>
      </c>
      <c r="S33" s="100"/>
      <c r="T33" s="100"/>
      <c r="U33" s="90">
        <f t="shared" si="14"/>
        <v>0</v>
      </c>
      <c r="V33" s="75"/>
      <c r="W33" s="100"/>
      <c r="X33" s="90">
        <f t="shared" si="15"/>
        <v>0</v>
      </c>
      <c r="Y33" s="90"/>
      <c r="Z33" s="90"/>
      <c r="AA33" s="90"/>
      <c r="AB33" s="94">
        <f t="shared" si="16"/>
        <v>0</v>
      </c>
      <c r="AC33" s="91"/>
      <c r="AD33" s="76"/>
      <c r="AE33" s="92">
        <f t="shared" si="17"/>
        <v>0</v>
      </c>
      <c r="AF33" s="76"/>
      <c r="AG33" s="92">
        <f t="shared" si="18"/>
        <v>0</v>
      </c>
      <c r="AH33" s="76"/>
      <c r="AI33" s="92">
        <f t="shared" si="19"/>
        <v>0</v>
      </c>
      <c r="AJ33" s="76"/>
      <c r="AK33" s="92">
        <f t="shared" si="20"/>
        <v>0</v>
      </c>
      <c r="AL33" s="77"/>
      <c r="AM33" s="92">
        <f t="shared" si="21"/>
        <v>0</v>
      </c>
      <c r="AN33" s="76"/>
      <c r="AO33" s="92">
        <f t="shared" si="22"/>
        <v>0</v>
      </c>
      <c r="AP33" s="93">
        <f t="shared" si="23"/>
        <v>0</v>
      </c>
      <c r="AQ33" s="76"/>
      <c r="AR33" s="76"/>
      <c r="AS33" s="76"/>
      <c r="AT33" s="63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28"/>
        <v>0</v>
      </c>
      <c r="BE33" s="5">
        <f t="shared" si="29"/>
        <v>0</v>
      </c>
      <c r="BF33" s="5">
        <f t="shared" si="30"/>
        <v>0</v>
      </c>
      <c r="BG33" s="5">
        <f t="shared" si="31"/>
        <v>0</v>
      </c>
      <c r="BH33" s="5">
        <f t="shared" si="32"/>
        <v>0</v>
      </c>
      <c r="BI33" s="5">
        <f t="shared" si="33"/>
        <v>0</v>
      </c>
      <c r="BJ33" s="5">
        <f t="shared" si="34"/>
        <v>0</v>
      </c>
      <c r="BK33" s="5">
        <f t="shared" si="35"/>
        <v>0</v>
      </c>
      <c r="BL33" s="5">
        <f t="shared" si="36"/>
        <v>0</v>
      </c>
      <c r="BM33" s="5">
        <f t="shared" si="37"/>
        <v>0</v>
      </c>
      <c r="BN33" s="5">
        <f t="shared" si="38"/>
        <v>0</v>
      </c>
      <c r="BO33" s="5">
        <f t="shared" si="39"/>
        <v>0</v>
      </c>
      <c r="BP33" s="5">
        <f t="shared" si="40"/>
        <v>0</v>
      </c>
      <c r="BQ33" s="5">
        <f t="shared" si="41"/>
        <v>0</v>
      </c>
      <c r="BR33" s="5">
        <f t="shared" si="42"/>
        <v>0</v>
      </c>
      <c r="BS33" s="5">
        <f t="shared" si="43"/>
        <v>0</v>
      </c>
      <c r="BT33" s="5">
        <f t="shared" si="44"/>
        <v>0</v>
      </c>
      <c r="BU33" s="5">
        <f t="shared" si="45"/>
        <v>0</v>
      </c>
      <c r="BV33" s="5">
        <f t="shared" si="46"/>
        <v>0</v>
      </c>
      <c r="BW33" s="5">
        <f t="shared" si="47"/>
        <v>0</v>
      </c>
      <c r="BX33" s="5">
        <f t="shared" si="48"/>
        <v>0</v>
      </c>
      <c r="BY33" s="5">
        <f t="shared" si="49"/>
        <v>0</v>
      </c>
      <c r="BZ33" s="5">
        <f t="shared" si="50"/>
        <v>0</v>
      </c>
      <c r="CA33" s="5">
        <f t="shared" si="51"/>
        <v>0</v>
      </c>
      <c r="CB33" s="5">
        <f t="shared" si="52"/>
        <v>0</v>
      </c>
      <c r="CC33" s="5">
        <f t="shared" si="53"/>
        <v>0</v>
      </c>
      <c r="CD33" s="5">
        <f t="shared" si="54"/>
        <v>0</v>
      </c>
      <c r="CE33" s="5">
        <f t="shared" si="55"/>
        <v>0</v>
      </c>
      <c r="CF33" s="5">
        <f t="shared" si="56"/>
        <v>0</v>
      </c>
      <c r="CG33" s="5">
        <f t="shared" si="57"/>
        <v>0</v>
      </c>
      <c r="CH33" s="5">
        <f t="shared" si="58"/>
        <v>0</v>
      </c>
      <c r="CI33" s="5">
        <f t="shared" si="59"/>
        <v>0</v>
      </c>
      <c r="CJ33" s="5"/>
      <c r="CK33" s="4">
        <f t="shared" si="8"/>
        <v>0</v>
      </c>
    </row>
    <row r="34" spans="1:89" ht="47" customHeight="1">
      <c r="A34" s="74" t="str">
        <f t="shared" ref="A34:A65" si="92">IF(ISNA(AZ34),"",AZ34)</f>
        <v/>
      </c>
      <c r="B34" s="73"/>
      <c r="C34" s="72"/>
      <c r="D34" s="100"/>
      <c r="E34" s="75"/>
      <c r="F34" s="90">
        <f t="shared" si="9"/>
        <v>0</v>
      </c>
      <c r="G34" s="75"/>
      <c r="H34" s="100"/>
      <c r="I34" s="90">
        <f t="shared" si="10"/>
        <v>0</v>
      </c>
      <c r="J34" s="100"/>
      <c r="K34" s="100"/>
      <c r="L34" s="90">
        <f t="shared" si="11"/>
        <v>0</v>
      </c>
      <c r="M34" s="75"/>
      <c r="N34" s="75"/>
      <c r="O34" s="90">
        <f t="shared" si="12"/>
        <v>0</v>
      </c>
      <c r="P34" s="100"/>
      <c r="Q34" s="100"/>
      <c r="R34" s="90">
        <f t="shared" si="13"/>
        <v>0</v>
      </c>
      <c r="S34" s="100"/>
      <c r="T34" s="100"/>
      <c r="U34" s="90">
        <f t="shared" si="14"/>
        <v>0</v>
      </c>
      <c r="V34" s="75"/>
      <c r="W34" s="100"/>
      <c r="X34" s="90">
        <f t="shared" si="15"/>
        <v>0</v>
      </c>
      <c r="Y34" s="90"/>
      <c r="Z34" s="90"/>
      <c r="AA34" s="90"/>
      <c r="AB34" s="94">
        <f t="shared" si="16"/>
        <v>0</v>
      </c>
      <c r="AC34" s="91"/>
      <c r="AD34" s="76"/>
      <c r="AE34" s="92">
        <f t="shared" si="17"/>
        <v>0</v>
      </c>
      <c r="AF34" s="76"/>
      <c r="AG34" s="92">
        <f t="shared" si="18"/>
        <v>0</v>
      </c>
      <c r="AH34" s="76"/>
      <c r="AI34" s="92">
        <f t="shared" si="19"/>
        <v>0</v>
      </c>
      <c r="AJ34" s="76"/>
      <c r="AK34" s="92">
        <f t="shared" si="20"/>
        <v>0</v>
      </c>
      <c r="AL34" s="77"/>
      <c r="AM34" s="92">
        <f t="shared" si="21"/>
        <v>0</v>
      </c>
      <c r="AN34" s="76"/>
      <c r="AO34" s="92">
        <f t="shared" si="22"/>
        <v>0</v>
      </c>
      <c r="AP34" s="93">
        <f t="shared" si="23"/>
        <v>0</v>
      </c>
      <c r="AQ34" s="76"/>
      <c r="AR34" s="76"/>
      <c r="AS34" s="76"/>
      <c r="AT34" s="63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28"/>
        <v>0</v>
      </c>
      <c r="BE34" s="5">
        <f t="shared" si="29"/>
        <v>0</v>
      </c>
      <c r="BF34" s="5">
        <f t="shared" si="30"/>
        <v>0</v>
      </c>
      <c r="BG34" s="5">
        <f t="shared" si="31"/>
        <v>0</v>
      </c>
      <c r="BH34" s="5">
        <f t="shared" si="32"/>
        <v>0</v>
      </c>
      <c r="BI34" s="5">
        <f t="shared" si="33"/>
        <v>0</v>
      </c>
      <c r="BJ34" s="5">
        <f t="shared" si="34"/>
        <v>0</v>
      </c>
      <c r="BK34" s="5">
        <f t="shared" si="35"/>
        <v>0</v>
      </c>
      <c r="BL34" s="5">
        <f t="shared" si="36"/>
        <v>0</v>
      </c>
      <c r="BM34" s="5">
        <f t="shared" si="37"/>
        <v>0</v>
      </c>
      <c r="BN34" s="5">
        <f t="shared" si="38"/>
        <v>0</v>
      </c>
      <c r="BO34" s="5">
        <f t="shared" si="39"/>
        <v>0</v>
      </c>
      <c r="BP34" s="5">
        <f t="shared" si="40"/>
        <v>0</v>
      </c>
      <c r="BQ34" s="5">
        <f t="shared" si="41"/>
        <v>0</v>
      </c>
      <c r="BR34" s="5">
        <f t="shared" si="42"/>
        <v>0</v>
      </c>
      <c r="BS34" s="5">
        <f t="shared" si="43"/>
        <v>0</v>
      </c>
      <c r="BT34" s="5">
        <f t="shared" si="44"/>
        <v>0</v>
      </c>
      <c r="BU34" s="5">
        <f t="shared" si="45"/>
        <v>0</v>
      </c>
      <c r="BV34" s="5">
        <f t="shared" si="46"/>
        <v>0</v>
      </c>
      <c r="BW34" s="5">
        <f t="shared" si="47"/>
        <v>0</v>
      </c>
      <c r="BX34" s="5">
        <f t="shared" si="48"/>
        <v>0</v>
      </c>
      <c r="BY34" s="5">
        <f t="shared" si="49"/>
        <v>0</v>
      </c>
      <c r="BZ34" s="5">
        <f t="shared" si="50"/>
        <v>0</v>
      </c>
      <c r="CA34" s="5">
        <f t="shared" si="51"/>
        <v>0</v>
      </c>
      <c r="CB34" s="5">
        <f t="shared" si="52"/>
        <v>0</v>
      </c>
      <c r="CC34" s="5">
        <f t="shared" si="53"/>
        <v>0</v>
      </c>
      <c r="CD34" s="5">
        <f t="shared" si="54"/>
        <v>0</v>
      </c>
      <c r="CE34" s="5">
        <f t="shared" si="55"/>
        <v>0</v>
      </c>
      <c r="CF34" s="5">
        <f t="shared" si="56"/>
        <v>0</v>
      </c>
      <c r="CG34" s="5">
        <f t="shared" si="57"/>
        <v>0</v>
      </c>
      <c r="CH34" s="5">
        <f t="shared" si="58"/>
        <v>0</v>
      </c>
      <c r="CI34" s="5">
        <f t="shared" si="59"/>
        <v>0</v>
      </c>
      <c r="CJ34" s="5"/>
      <c r="CK34" s="4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74" t="str">
        <f t="shared" si="92"/>
        <v/>
      </c>
      <c r="B35" s="73"/>
      <c r="C35" s="72"/>
      <c r="D35" s="100"/>
      <c r="E35" s="75"/>
      <c r="F35" s="90">
        <f t="shared" si="9"/>
        <v>0</v>
      </c>
      <c r="G35" s="75"/>
      <c r="H35" s="100"/>
      <c r="I35" s="90">
        <f t="shared" si="10"/>
        <v>0</v>
      </c>
      <c r="J35" s="100"/>
      <c r="K35" s="100"/>
      <c r="L35" s="90">
        <f t="shared" si="11"/>
        <v>0</v>
      </c>
      <c r="M35" s="75"/>
      <c r="N35" s="75"/>
      <c r="O35" s="90">
        <f t="shared" si="12"/>
        <v>0</v>
      </c>
      <c r="P35" s="100"/>
      <c r="Q35" s="100"/>
      <c r="R35" s="90">
        <f t="shared" si="13"/>
        <v>0</v>
      </c>
      <c r="S35" s="100"/>
      <c r="T35" s="100"/>
      <c r="U35" s="90">
        <f t="shared" si="14"/>
        <v>0</v>
      </c>
      <c r="V35" s="75"/>
      <c r="W35" s="100"/>
      <c r="X35" s="90">
        <f t="shared" si="15"/>
        <v>0</v>
      </c>
      <c r="Y35" s="90"/>
      <c r="Z35" s="90"/>
      <c r="AA35" s="90"/>
      <c r="AB35" s="94">
        <f t="shared" si="16"/>
        <v>0</v>
      </c>
      <c r="AC35" s="91"/>
      <c r="AD35" s="76"/>
      <c r="AE35" s="92">
        <f t="shared" si="17"/>
        <v>0</v>
      </c>
      <c r="AF35" s="76"/>
      <c r="AG35" s="92">
        <f t="shared" si="18"/>
        <v>0</v>
      </c>
      <c r="AH35" s="76"/>
      <c r="AI35" s="92">
        <f t="shared" si="19"/>
        <v>0</v>
      </c>
      <c r="AJ35" s="76"/>
      <c r="AK35" s="92">
        <f t="shared" si="20"/>
        <v>0</v>
      </c>
      <c r="AL35" s="77"/>
      <c r="AM35" s="92">
        <f t="shared" si="21"/>
        <v>0</v>
      </c>
      <c r="AN35" s="76"/>
      <c r="AO35" s="92">
        <f t="shared" si="22"/>
        <v>0</v>
      </c>
      <c r="AP35" s="93">
        <f t="shared" si="23"/>
        <v>0</v>
      </c>
      <c r="AQ35" s="76"/>
      <c r="AR35" s="76"/>
      <c r="AS35" s="76"/>
      <c r="AT35" s="63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28"/>
        <v>0</v>
      </c>
      <c r="BE35" s="5">
        <f t="shared" si="29"/>
        <v>0</v>
      </c>
      <c r="BF35" s="5">
        <f t="shared" si="30"/>
        <v>0</v>
      </c>
      <c r="BG35" s="5">
        <f t="shared" si="31"/>
        <v>0</v>
      </c>
      <c r="BH35" s="5">
        <f t="shared" si="32"/>
        <v>0</v>
      </c>
      <c r="BI35" s="5">
        <f t="shared" si="33"/>
        <v>0</v>
      </c>
      <c r="BJ35" s="5">
        <f t="shared" si="34"/>
        <v>0</v>
      </c>
      <c r="BK35" s="5">
        <f t="shared" si="35"/>
        <v>0</v>
      </c>
      <c r="BL35" s="5">
        <f t="shared" si="36"/>
        <v>0</v>
      </c>
      <c r="BM35" s="5">
        <f t="shared" si="37"/>
        <v>0</v>
      </c>
      <c r="BN35" s="5">
        <f t="shared" si="38"/>
        <v>0</v>
      </c>
      <c r="BO35" s="5">
        <f t="shared" si="39"/>
        <v>0</v>
      </c>
      <c r="BP35" s="5">
        <f t="shared" si="40"/>
        <v>0</v>
      </c>
      <c r="BQ35" s="5">
        <f t="shared" si="41"/>
        <v>0</v>
      </c>
      <c r="BR35" s="5">
        <f t="shared" si="42"/>
        <v>0</v>
      </c>
      <c r="BS35" s="5">
        <f t="shared" si="43"/>
        <v>0</v>
      </c>
      <c r="BT35" s="5">
        <f t="shared" si="44"/>
        <v>0</v>
      </c>
      <c r="BU35" s="5">
        <f t="shared" si="45"/>
        <v>0</v>
      </c>
      <c r="BV35" s="5">
        <f t="shared" si="46"/>
        <v>0</v>
      </c>
      <c r="BW35" s="5">
        <f t="shared" si="47"/>
        <v>0</v>
      </c>
      <c r="BX35" s="5">
        <f t="shared" si="48"/>
        <v>0</v>
      </c>
      <c r="BY35" s="5">
        <f t="shared" si="49"/>
        <v>0</v>
      </c>
      <c r="BZ35" s="5">
        <f t="shared" si="50"/>
        <v>0</v>
      </c>
      <c r="CA35" s="5">
        <f t="shared" si="51"/>
        <v>0</v>
      </c>
      <c r="CB35" s="5">
        <f t="shared" si="52"/>
        <v>0</v>
      </c>
      <c r="CC35" s="5">
        <f t="shared" si="53"/>
        <v>0</v>
      </c>
      <c r="CD35" s="5">
        <f t="shared" si="54"/>
        <v>0</v>
      </c>
      <c r="CE35" s="5">
        <f t="shared" si="55"/>
        <v>0</v>
      </c>
      <c r="CF35" s="5">
        <f t="shared" si="56"/>
        <v>0</v>
      </c>
      <c r="CG35" s="5">
        <f t="shared" si="57"/>
        <v>0</v>
      </c>
      <c r="CH35" s="5">
        <f t="shared" si="58"/>
        <v>0</v>
      </c>
      <c r="CI35" s="5">
        <f t="shared" si="59"/>
        <v>0</v>
      </c>
      <c r="CJ35" s="5"/>
      <c r="CK35" s="4">
        <f t="shared" si="93"/>
        <v>0</v>
      </c>
    </row>
    <row r="36" spans="1:89" ht="47" customHeight="1">
      <c r="A36" s="33" t="str">
        <f t="shared" si="92"/>
        <v/>
      </c>
      <c r="B36" s="10"/>
      <c r="C36" s="57"/>
      <c r="D36" s="55"/>
      <c r="E36" s="53"/>
      <c r="F36" s="44">
        <f t="shared" si="9"/>
        <v>0</v>
      </c>
      <c r="G36" s="53"/>
      <c r="H36" s="55"/>
      <c r="I36" s="44">
        <f t="shared" si="10"/>
        <v>0</v>
      </c>
      <c r="J36" s="55"/>
      <c r="K36" s="55"/>
      <c r="L36" s="44">
        <f t="shared" si="11"/>
        <v>0</v>
      </c>
      <c r="M36" s="53"/>
      <c r="N36" s="53"/>
      <c r="O36" s="44">
        <f t="shared" si="12"/>
        <v>0</v>
      </c>
      <c r="P36" s="55"/>
      <c r="Q36" s="55"/>
      <c r="R36" s="44">
        <f t="shared" si="13"/>
        <v>0</v>
      </c>
      <c r="S36" s="55"/>
      <c r="T36" s="55"/>
      <c r="U36" s="44">
        <f t="shared" si="14"/>
        <v>0</v>
      </c>
      <c r="V36" s="53"/>
      <c r="W36" s="55"/>
      <c r="X36" s="44">
        <f t="shared" si="15"/>
        <v>0</v>
      </c>
      <c r="Y36" s="44"/>
      <c r="Z36" s="44"/>
      <c r="AA36" s="44"/>
      <c r="AB36" s="63">
        <f t="shared" si="16"/>
        <v>0</v>
      </c>
      <c r="AC36" s="23"/>
      <c r="AD36" s="6"/>
      <c r="AE36" s="7">
        <f t="shared" si="17"/>
        <v>0</v>
      </c>
      <c r="AF36" s="6"/>
      <c r="AG36" s="7">
        <f t="shared" si="18"/>
        <v>0</v>
      </c>
      <c r="AH36" s="6"/>
      <c r="AI36" s="7">
        <f t="shared" si="19"/>
        <v>0</v>
      </c>
      <c r="AJ36" s="6"/>
      <c r="AK36" s="7">
        <f t="shared" si="20"/>
        <v>0</v>
      </c>
      <c r="AL36" s="43"/>
      <c r="AM36" s="7">
        <f t="shared" si="21"/>
        <v>0</v>
      </c>
      <c r="AN36" s="6"/>
      <c r="AO36" s="7">
        <f t="shared" si="22"/>
        <v>0</v>
      </c>
      <c r="AP36" s="30">
        <f t="shared" si="23"/>
        <v>0</v>
      </c>
      <c r="AQ36" s="6"/>
      <c r="AR36" s="6"/>
      <c r="AS36" s="6"/>
      <c r="AT36" s="63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28"/>
        <v>0</v>
      </c>
      <c r="BE36" s="5">
        <f t="shared" si="29"/>
        <v>0</v>
      </c>
      <c r="BF36" s="5">
        <f t="shared" si="30"/>
        <v>0</v>
      </c>
      <c r="BG36" s="5">
        <f t="shared" si="31"/>
        <v>0</v>
      </c>
      <c r="BH36" s="5">
        <f t="shared" si="32"/>
        <v>0</v>
      </c>
      <c r="BI36" s="5">
        <f t="shared" si="33"/>
        <v>0</v>
      </c>
      <c r="BJ36" s="5">
        <f t="shared" si="34"/>
        <v>0</v>
      </c>
      <c r="BK36" s="5">
        <f t="shared" si="35"/>
        <v>0</v>
      </c>
      <c r="BL36" s="5">
        <f t="shared" si="36"/>
        <v>0</v>
      </c>
      <c r="BM36" s="5">
        <f t="shared" si="37"/>
        <v>0</v>
      </c>
      <c r="BN36" s="5">
        <f t="shared" si="38"/>
        <v>0</v>
      </c>
      <c r="BO36" s="5">
        <f t="shared" si="39"/>
        <v>0</v>
      </c>
      <c r="BP36" s="5">
        <f t="shared" si="40"/>
        <v>0</v>
      </c>
      <c r="BQ36" s="5">
        <f t="shared" si="41"/>
        <v>0</v>
      </c>
      <c r="BR36" s="5">
        <f t="shared" si="42"/>
        <v>0</v>
      </c>
      <c r="BS36" s="5">
        <f t="shared" si="43"/>
        <v>0</v>
      </c>
      <c r="BT36" s="5">
        <f t="shared" si="44"/>
        <v>0</v>
      </c>
      <c r="BU36" s="5">
        <f t="shared" si="45"/>
        <v>0</v>
      </c>
      <c r="BV36" s="5">
        <f t="shared" si="46"/>
        <v>0</v>
      </c>
      <c r="BW36" s="5">
        <f t="shared" si="47"/>
        <v>0</v>
      </c>
      <c r="BX36" s="5">
        <f t="shared" si="48"/>
        <v>0</v>
      </c>
      <c r="BY36" s="5">
        <f t="shared" si="49"/>
        <v>0</v>
      </c>
      <c r="BZ36" s="5">
        <f t="shared" si="50"/>
        <v>0</v>
      </c>
      <c r="CA36" s="5">
        <f t="shared" si="51"/>
        <v>0</v>
      </c>
      <c r="CB36" s="5">
        <f t="shared" si="52"/>
        <v>0</v>
      </c>
      <c r="CC36" s="5">
        <f t="shared" si="53"/>
        <v>0</v>
      </c>
      <c r="CD36" s="5">
        <f t="shared" si="54"/>
        <v>0</v>
      </c>
      <c r="CE36" s="5">
        <f t="shared" si="55"/>
        <v>0</v>
      </c>
      <c r="CF36" s="5">
        <f t="shared" si="56"/>
        <v>0</v>
      </c>
      <c r="CG36" s="5">
        <f t="shared" si="57"/>
        <v>0</v>
      </c>
      <c r="CH36" s="5">
        <f t="shared" si="58"/>
        <v>0</v>
      </c>
      <c r="CI36" s="5">
        <f t="shared" si="59"/>
        <v>0</v>
      </c>
      <c r="CJ36" s="5"/>
      <c r="CK36" s="4">
        <f t="shared" si="93"/>
        <v>0</v>
      </c>
    </row>
    <row r="37" spans="1:89" ht="47" customHeight="1">
      <c r="A37" s="33" t="str">
        <f t="shared" si="92"/>
        <v/>
      </c>
      <c r="B37" s="10"/>
      <c r="C37" s="57"/>
      <c r="D37" s="55"/>
      <c r="E37" s="53"/>
      <c r="F37" s="44">
        <f t="shared" si="9"/>
        <v>0</v>
      </c>
      <c r="G37" s="53"/>
      <c r="H37" s="55"/>
      <c r="I37" s="44">
        <f t="shared" si="10"/>
        <v>0</v>
      </c>
      <c r="J37" s="55"/>
      <c r="K37" s="55"/>
      <c r="L37" s="44">
        <f t="shared" si="11"/>
        <v>0</v>
      </c>
      <c r="M37" s="53"/>
      <c r="N37" s="53"/>
      <c r="O37" s="44">
        <f t="shared" si="12"/>
        <v>0</v>
      </c>
      <c r="P37" s="55"/>
      <c r="Q37" s="55"/>
      <c r="R37" s="44">
        <f t="shared" si="13"/>
        <v>0</v>
      </c>
      <c r="S37" s="55"/>
      <c r="T37" s="55"/>
      <c r="U37" s="44">
        <f t="shared" si="14"/>
        <v>0</v>
      </c>
      <c r="V37" s="53"/>
      <c r="W37" s="55"/>
      <c r="X37" s="44">
        <f t="shared" si="15"/>
        <v>0</v>
      </c>
      <c r="Y37" s="44"/>
      <c r="Z37" s="44"/>
      <c r="AA37" s="44"/>
      <c r="AB37" s="63">
        <f t="shared" si="16"/>
        <v>0</v>
      </c>
      <c r="AC37" s="23"/>
      <c r="AD37" s="6"/>
      <c r="AE37" s="7">
        <f t="shared" si="17"/>
        <v>0</v>
      </c>
      <c r="AF37" s="6"/>
      <c r="AG37" s="7">
        <f t="shared" si="18"/>
        <v>0</v>
      </c>
      <c r="AH37" s="6"/>
      <c r="AI37" s="7">
        <f t="shared" si="19"/>
        <v>0</v>
      </c>
      <c r="AJ37" s="6"/>
      <c r="AK37" s="7">
        <f t="shared" si="20"/>
        <v>0</v>
      </c>
      <c r="AL37" s="43"/>
      <c r="AM37" s="7">
        <f t="shared" si="21"/>
        <v>0</v>
      </c>
      <c r="AN37" s="6"/>
      <c r="AO37" s="7">
        <f t="shared" si="22"/>
        <v>0</v>
      </c>
      <c r="AP37" s="30">
        <f t="shared" si="23"/>
        <v>0</v>
      </c>
      <c r="AQ37" s="6"/>
      <c r="AR37" s="6"/>
      <c r="AS37" s="6"/>
      <c r="AT37" s="63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28"/>
        <v>0</v>
      </c>
      <c r="BE37" s="5">
        <f t="shared" si="29"/>
        <v>0</v>
      </c>
      <c r="BF37" s="5">
        <f t="shared" si="30"/>
        <v>0</v>
      </c>
      <c r="BG37" s="5">
        <f t="shared" si="31"/>
        <v>0</v>
      </c>
      <c r="BH37" s="5">
        <f t="shared" si="32"/>
        <v>0</v>
      </c>
      <c r="BI37" s="5">
        <f t="shared" si="33"/>
        <v>0</v>
      </c>
      <c r="BJ37" s="5">
        <f t="shared" si="34"/>
        <v>0</v>
      </c>
      <c r="BK37" s="5">
        <f t="shared" si="35"/>
        <v>0</v>
      </c>
      <c r="BL37" s="5">
        <f t="shared" si="36"/>
        <v>0</v>
      </c>
      <c r="BM37" s="5">
        <f t="shared" si="37"/>
        <v>0</v>
      </c>
      <c r="BN37" s="5">
        <f t="shared" si="38"/>
        <v>0</v>
      </c>
      <c r="BO37" s="5">
        <f t="shared" si="39"/>
        <v>0</v>
      </c>
      <c r="BP37" s="5">
        <f t="shared" si="40"/>
        <v>0</v>
      </c>
      <c r="BQ37" s="5">
        <f t="shared" si="41"/>
        <v>0</v>
      </c>
      <c r="BR37" s="5">
        <f t="shared" si="42"/>
        <v>0</v>
      </c>
      <c r="BS37" s="5">
        <f t="shared" si="43"/>
        <v>0</v>
      </c>
      <c r="BT37" s="5">
        <f t="shared" si="44"/>
        <v>0</v>
      </c>
      <c r="BU37" s="5">
        <f t="shared" si="45"/>
        <v>0</v>
      </c>
      <c r="BV37" s="5">
        <f t="shared" si="46"/>
        <v>0</v>
      </c>
      <c r="BW37" s="5">
        <f t="shared" si="47"/>
        <v>0</v>
      </c>
      <c r="BX37" s="5">
        <f t="shared" si="48"/>
        <v>0</v>
      </c>
      <c r="BY37" s="5">
        <f t="shared" si="49"/>
        <v>0</v>
      </c>
      <c r="BZ37" s="5">
        <f t="shared" si="50"/>
        <v>0</v>
      </c>
      <c r="CA37" s="5">
        <f t="shared" si="51"/>
        <v>0</v>
      </c>
      <c r="CB37" s="5">
        <f t="shared" si="52"/>
        <v>0</v>
      </c>
      <c r="CC37" s="5">
        <f t="shared" si="53"/>
        <v>0</v>
      </c>
      <c r="CD37" s="5">
        <f t="shared" si="54"/>
        <v>0</v>
      </c>
      <c r="CE37" s="5">
        <f t="shared" si="55"/>
        <v>0</v>
      </c>
      <c r="CF37" s="5">
        <f t="shared" si="56"/>
        <v>0</v>
      </c>
      <c r="CG37" s="5">
        <f t="shared" si="57"/>
        <v>0</v>
      </c>
      <c r="CH37" s="5">
        <f t="shared" si="58"/>
        <v>0</v>
      </c>
      <c r="CI37" s="5">
        <f t="shared" si="59"/>
        <v>0</v>
      </c>
      <c r="CJ37" s="5"/>
      <c r="CK37" s="4">
        <f t="shared" si="93"/>
        <v>0</v>
      </c>
    </row>
    <row r="38" spans="1:89" ht="47" customHeight="1">
      <c r="A38" s="33" t="str">
        <f t="shared" si="92"/>
        <v/>
      </c>
      <c r="B38" s="10"/>
      <c r="C38" s="57"/>
      <c r="D38" s="55"/>
      <c r="E38" s="53"/>
      <c r="F38" s="44">
        <f t="shared" si="9"/>
        <v>0</v>
      </c>
      <c r="G38" s="53"/>
      <c r="H38" s="55"/>
      <c r="I38" s="44">
        <f t="shared" si="10"/>
        <v>0</v>
      </c>
      <c r="J38" s="55"/>
      <c r="K38" s="55"/>
      <c r="L38" s="44">
        <f t="shared" si="11"/>
        <v>0</v>
      </c>
      <c r="M38" s="53"/>
      <c r="N38" s="53"/>
      <c r="O38" s="44">
        <f t="shared" si="12"/>
        <v>0</v>
      </c>
      <c r="P38" s="55"/>
      <c r="Q38" s="55"/>
      <c r="R38" s="44">
        <f t="shared" si="13"/>
        <v>0</v>
      </c>
      <c r="S38" s="55"/>
      <c r="T38" s="55"/>
      <c r="U38" s="44">
        <f t="shared" si="14"/>
        <v>0</v>
      </c>
      <c r="V38" s="53"/>
      <c r="W38" s="55"/>
      <c r="X38" s="44">
        <f t="shared" si="15"/>
        <v>0</v>
      </c>
      <c r="Y38" s="44"/>
      <c r="Z38" s="44"/>
      <c r="AA38" s="44"/>
      <c r="AB38" s="63">
        <f t="shared" si="16"/>
        <v>0</v>
      </c>
      <c r="AC38" s="23"/>
      <c r="AD38" s="6"/>
      <c r="AE38" s="7">
        <f t="shared" si="17"/>
        <v>0</v>
      </c>
      <c r="AF38" s="6"/>
      <c r="AG38" s="7">
        <f t="shared" si="18"/>
        <v>0</v>
      </c>
      <c r="AH38" s="6"/>
      <c r="AI38" s="7">
        <f t="shared" si="19"/>
        <v>0</v>
      </c>
      <c r="AJ38" s="6"/>
      <c r="AK38" s="7">
        <f t="shared" si="20"/>
        <v>0</v>
      </c>
      <c r="AL38" s="43"/>
      <c r="AM38" s="7">
        <f t="shared" si="21"/>
        <v>0</v>
      </c>
      <c r="AN38" s="6"/>
      <c r="AO38" s="7">
        <f t="shared" si="22"/>
        <v>0</v>
      </c>
      <c r="AP38" s="30">
        <f t="shared" si="23"/>
        <v>0</v>
      </c>
      <c r="AQ38" s="6"/>
      <c r="AR38" s="6"/>
      <c r="AS38" s="6"/>
      <c r="AT38" s="63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28"/>
        <v>0</v>
      </c>
      <c r="BE38" s="5">
        <f t="shared" si="29"/>
        <v>0</v>
      </c>
      <c r="BF38" s="5">
        <f t="shared" si="30"/>
        <v>0</v>
      </c>
      <c r="BG38" s="5">
        <f t="shared" si="31"/>
        <v>0</v>
      </c>
      <c r="BH38" s="5">
        <f t="shared" si="32"/>
        <v>0</v>
      </c>
      <c r="BI38" s="5">
        <f t="shared" si="33"/>
        <v>0</v>
      </c>
      <c r="BJ38" s="5">
        <f t="shared" si="34"/>
        <v>0</v>
      </c>
      <c r="BK38" s="5">
        <f t="shared" si="35"/>
        <v>0</v>
      </c>
      <c r="BL38" s="5">
        <f t="shared" si="36"/>
        <v>0</v>
      </c>
      <c r="BM38" s="5">
        <f t="shared" si="37"/>
        <v>0</v>
      </c>
      <c r="BN38" s="5">
        <f t="shared" si="38"/>
        <v>0</v>
      </c>
      <c r="BO38" s="5">
        <f t="shared" si="39"/>
        <v>0</v>
      </c>
      <c r="BP38" s="5">
        <f t="shared" si="40"/>
        <v>0</v>
      </c>
      <c r="BQ38" s="5">
        <f t="shared" si="41"/>
        <v>0</v>
      </c>
      <c r="BR38" s="5">
        <f t="shared" si="42"/>
        <v>0</v>
      </c>
      <c r="BS38" s="5">
        <f t="shared" si="43"/>
        <v>0</v>
      </c>
      <c r="BT38" s="5">
        <f t="shared" si="44"/>
        <v>0</v>
      </c>
      <c r="BU38" s="5">
        <f t="shared" si="45"/>
        <v>0</v>
      </c>
      <c r="BV38" s="5">
        <f t="shared" si="46"/>
        <v>0</v>
      </c>
      <c r="BW38" s="5">
        <f t="shared" si="47"/>
        <v>0</v>
      </c>
      <c r="BX38" s="5">
        <f t="shared" si="48"/>
        <v>0</v>
      </c>
      <c r="BY38" s="5">
        <f t="shared" si="49"/>
        <v>0</v>
      </c>
      <c r="BZ38" s="5">
        <f t="shared" si="50"/>
        <v>0</v>
      </c>
      <c r="CA38" s="5">
        <f t="shared" si="51"/>
        <v>0</v>
      </c>
      <c r="CB38" s="5">
        <f t="shared" si="52"/>
        <v>0</v>
      </c>
      <c r="CC38" s="5">
        <f t="shared" si="53"/>
        <v>0</v>
      </c>
      <c r="CD38" s="5">
        <f t="shared" si="54"/>
        <v>0</v>
      </c>
      <c r="CE38" s="5">
        <f t="shared" si="55"/>
        <v>0</v>
      </c>
      <c r="CF38" s="5">
        <f t="shared" si="56"/>
        <v>0</v>
      </c>
      <c r="CG38" s="5">
        <f t="shared" si="57"/>
        <v>0</v>
      </c>
      <c r="CH38" s="5">
        <f t="shared" si="58"/>
        <v>0</v>
      </c>
      <c r="CI38" s="5">
        <f t="shared" si="59"/>
        <v>0</v>
      </c>
      <c r="CJ38" s="5"/>
      <c r="CK38" s="4">
        <f t="shared" si="93"/>
        <v>0</v>
      </c>
    </row>
    <row r="39" spans="1:89" ht="47" customHeight="1">
      <c r="A39" s="33" t="str">
        <f t="shared" si="92"/>
        <v/>
      </c>
      <c r="B39" s="10"/>
      <c r="C39" s="57"/>
      <c r="D39" s="55"/>
      <c r="E39" s="53"/>
      <c r="F39" s="44">
        <f t="shared" si="9"/>
        <v>0</v>
      </c>
      <c r="G39" s="53"/>
      <c r="H39" s="55"/>
      <c r="I39" s="44">
        <f t="shared" si="10"/>
        <v>0</v>
      </c>
      <c r="J39" s="55"/>
      <c r="K39" s="55"/>
      <c r="L39" s="44">
        <f t="shared" si="11"/>
        <v>0</v>
      </c>
      <c r="M39" s="53"/>
      <c r="N39" s="53"/>
      <c r="O39" s="44">
        <f t="shared" si="12"/>
        <v>0</v>
      </c>
      <c r="P39" s="55"/>
      <c r="Q39" s="55"/>
      <c r="R39" s="44">
        <f t="shared" si="13"/>
        <v>0</v>
      </c>
      <c r="S39" s="55"/>
      <c r="T39" s="55"/>
      <c r="U39" s="44">
        <f t="shared" si="14"/>
        <v>0</v>
      </c>
      <c r="V39" s="53"/>
      <c r="W39" s="55"/>
      <c r="X39" s="44">
        <f t="shared" si="15"/>
        <v>0</v>
      </c>
      <c r="Y39" s="44"/>
      <c r="Z39" s="44"/>
      <c r="AA39" s="44"/>
      <c r="AB39" s="63">
        <f t="shared" si="16"/>
        <v>0</v>
      </c>
      <c r="AC39" s="23"/>
      <c r="AD39" s="6"/>
      <c r="AE39" s="7">
        <f t="shared" si="17"/>
        <v>0</v>
      </c>
      <c r="AF39" s="6"/>
      <c r="AG39" s="7">
        <f t="shared" si="18"/>
        <v>0</v>
      </c>
      <c r="AH39" s="6"/>
      <c r="AI39" s="7">
        <f t="shared" si="19"/>
        <v>0</v>
      </c>
      <c r="AJ39" s="6"/>
      <c r="AK39" s="7">
        <f t="shared" si="20"/>
        <v>0</v>
      </c>
      <c r="AL39" s="43"/>
      <c r="AM39" s="7">
        <f t="shared" si="21"/>
        <v>0</v>
      </c>
      <c r="AN39" s="6"/>
      <c r="AO39" s="7">
        <f t="shared" si="22"/>
        <v>0</v>
      </c>
      <c r="AP39" s="30">
        <f t="shared" si="23"/>
        <v>0</v>
      </c>
      <c r="AQ39" s="6"/>
      <c r="AR39" s="6"/>
      <c r="AS39" s="6"/>
      <c r="AT39" s="63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28"/>
        <v>0</v>
      </c>
      <c r="BE39" s="5">
        <f t="shared" si="29"/>
        <v>0</v>
      </c>
      <c r="BF39" s="5">
        <f t="shared" si="30"/>
        <v>0</v>
      </c>
      <c r="BG39" s="5">
        <f t="shared" si="31"/>
        <v>0</v>
      </c>
      <c r="BH39" s="5">
        <f t="shared" si="32"/>
        <v>0</v>
      </c>
      <c r="BI39" s="5">
        <f t="shared" si="33"/>
        <v>0</v>
      </c>
      <c r="BJ39" s="5">
        <f t="shared" si="34"/>
        <v>0</v>
      </c>
      <c r="BK39" s="5">
        <f t="shared" si="35"/>
        <v>0</v>
      </c>
      <c r="BL39" s="5">
        <f t="shared" si="36"/>
        <v>0</v>
      </c>
      <c r="BM39" s="5">
        <f t="shared" si="37"/>
        <v>0</v>
      </c>
      <c r="BN39" s="5">
        <f t="shared" si="38"/>
        <v>0</v>
      </c>
      <c r="BO39" s="5">
        <f t="shared" si="39"/>
        <v>0</v>
      </c>
      <c r="BP39" s="5">
        <f t="shared" si="40"/>
        <v>0</v>
      </c>
      <c r="BQ39" s="5">
        <f t="shared" si="41"/>
        <v>0</v>
      </c>
      <c r="BR39" s="5">
        <f t="shared" si="42"/>
        <v>0</v>
      </c>
      <c r="BS39" s="5">
        <f t="shared" si="43"/>
        <v>0</v>
      </c>
      <c r="BT39" s="5">
        <f t="shared" si="44"/>
        <v>0</v>
      </c>
      <c r="BU39" s="5">
        <f t="shared" si="45"/>
        <v>0</v>
      </c>
      <c r="BV39" s="5">
        <f t="shared" si="46"/>
        <v>0</v>
      </c>
      <c r="BW39" s="5">
        <f t="shared" si="47"/>
        <v>0</v>
      </c>
      <c r="BX39" s="5">
        <f t="shared" si="48"/>
        <v>0</v>
      </c>
      <c r="BY39" s="5">
        <f t="shared" si="49"/>
        <v>0</v>
      </c>
      <c r="BZ39" s="5">
        <f t="shared" si="50"/>
        <v>0</v>
      </c>
      <c r="CA39" s="5">
        <f t="shared" si="51"/>
        <v>0</v>
      </c>
      <c r="CB39" s="5">
        <f t="shared" si="52"/>
        <v>0</v>
      </c>
      <c r="CC39" s="5">
        <f t="shared" si="53"/>
        <v>0</v>
      </c>
      <c r="CD39" s="5">
        <f t="shared" si="54"/>
        <v>0</v>
      </c>
      <c r="CE39" s="5">
        <f t="shared" si="55"/>
        <v>0</v>
      </c>
      <c r="CF39" s="5">
        <f t="shared" si="56"/>
        <v>0</v>
      </c>
      <c r="CG39" s="5">
        <f t="shared" si="57"/>
        <v>0</v>
      </c>
      <c r="CH39" s="5">
        <f t="shared" si="58"/>
        <v>0</v>
      </c>
      <c r="CI39" s="5">
        <f t="shared" si="59"/>
        <v>0</v>
      </c>
      <c r="CJ39" s="5"/>
      <c r="CK39" s="4">
        <f t="shared" si="93"/>
        <v>0</v>
      </c>
    </row>
    <row r="40" spans="1:89" ht="47" customHeight="1">
      <c r="A40" s="33" t="str">
        <f t="shared" si="92"/>
        <v/>
      </c>
      <c r="B40" s="10"/>
      <c r="C40" s="57"/>
      <c r="D40" s="55"/>
      <c r="E40" s="53"/>
      <c r="F40" s="44">
        <f t="shared" si="9"/>
        <v>0</v>
      </c>
      <c r="G40" s="53"/>
      <c r="H40" s="55"/>
      <c r="I40" s="44">
        <f t="shared" si="10"/>
        <v>0</v>
      </c>
      <c r="J40" s="55"/>
      <c r="K40" s="55"/>
      <c r="L40" s="44">
        <f t="shared" si="11"/>
        <v>0</v>
      </c>
      <c r="M40" s="53"/>
      <c r="N40" s="53"/>
      <c r="O40" s="44">
        <f t="shared" si="12"/>
        <v>0</v>
      </c>
      <c r="P40" s="55"/>
      <c r="Q40" s="55"/>
      <c r="R40" s="44">
        <f t="shared" si="13"/>
        <v>0</v>
      </c>
      <c r="S40" s="55"/>
      <c r="T40" s="55"/>
      <c r="U40" s="44">
        <f t="shared" si="14"/>
        <v>0</v>
      </c>
      <c r="V40" s="53"/>
      <c r="W40" s="55"/>
      <c r="X40" s="44">
        <f t="shared" si="15"/>
        <v>0</v>
      </c>
      <c r="Y40" s="44"/>
      <c r="Z40" s="44"/>
      <c r="AA40" s="44"/>
      <c r="AB40" s="63">
        <f t="shared" si="16"/>
        <v>0</v>
      </c>
      <c r="AC40" s="23"/>
      <c r="AD40" s="6"/>
      <c r="AE40" s="7">
        <f t="shared" si="17"/>
        <v>0</v>
      </c>
      <c r="AF40" s="6"/>
      <c r="AG40" s="7">
        <f t="shared" si="18"/>
        <v>0</v>
      </c>
      <c r="AH40" s="6"/>
      <c r="AI40" s="7">
        <f t="shared" si="19"/>
        <v>0</v>
      </c>
      <c r="AJ40" s="6"/>
      <c r="AK40" s="7">
        <f t="shared" si="20"/>
        <v>0</v>
      </c>
      <c r="AL40" s="43"/>
      <c r="AM40" s="7">
        <f t="shared" si="21"/>
        <v>0</v>
      </c>
      <c r="AN40" s="6"/>
      <c r="AO40" s="7">
        <f t="shared" si="22"/>
        <v>0</v>
      </c>
      <c r="AP40" s="30">
        <f t="shared" si="23"/>
        <v>0</v>
      </c>
      <c r="AQ40" s="6"/>
      <c r="AR40" s="6"/>
      <c r="AS40" s="6"/>
      <c r="AT40" s="63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28"/>
        <v>0</v>
      </c>
      <c r="BE40" s="5">
        <f t="shared" si="29"/>
        <v>0</v>
      </c>
      <c r="BF40" s="5">
        <f t="shared" si="30"/>
        <v>0</v>
      </c>
      <c r="BG40" s="5">
        <f t="shared" si="31"/>
        <v>0</v>
      </c>
      <c r="BH40" s="5">
        <f t="shared" si="32"/>
        <v>0</v>
      </c>
      <c r="BI40" s="5">
        <f t="shared" si="33"/>
        <v>0</v>
      </c>
      <c r="BJ40" s="5">
        <f t="shared" si="34"/>
        <v>0</v>
      </c>
      <c r="BK40" s="5">
        <f t="shared" si="35"/>
        <v>0</v>
      </c>
      <c r="BL40" s="5">
        <f t="shared" si="36"/>
        <v>0</v>
      </c>
      <c r="BM40" s="5">
        <f t="shared" si="37"/>
        <v>0</v>
      </c>
      <c r="BN40" s="5">
        <f t="shared" si="38"/>
        <v>0</v>
      </c>
      <c r="BO40" s="5">
        <f t="shared" si="39"/>
        <v>0</v>
      </c>
      <c r="BP40" s="5">
        <f t="shared" si="40"/>
        <v>0</v>
      </c>
      <c r="BQ40" s="5">
        <f t="shared" si="41"/>
        <v>0</v>
      </c>
      <c r="BR40" s="5">
        <f t="shared" si="42"/>
        <v>0</v>
      </c>
      <c r="BS40" s="5">
        <f t="shared" si="43"/>
        <v>0</v>
      </c>
      <c r="BT40" s="5">
        <f t="shared" si="44"/>
        <v>0</v>
      </c>
      <c r="BU40" s="5">
        <f t="shared" si="45"/>
        <v>0</v>
      </c>
      <c r="BV40" s="5">
        <f t="shared" si="46"/>
        <v>0</v>
      </c>
      <c r="BW40" s="5">
        <f t="shared" si="47"/>
        <v>0</v>
      </c>
      <c r="BX40" s="5">
        <f t="shared" si="48"/>
        <v>0</v>
      </c>
      <c r="BY40" s="5">
        <f t="shared" si="49"/>
        <v>0</v>
      </c>
      <c r="BZ40" s="5">
        <f t="shared" si="50"/>
        <v>0</v>
      </c>
      <c r="CA40" s="5">
        <f t="shared" si="51"/>
        <v>0</v>
      </c>
      <c r="CB40" s="5">
        <f t="shared" si="52"/>
        <v>0</v>
      </c>
      <c r="CC40" s="5">
        <f t="shared" si="53"/>
        <v>0</v>
      </c>
      <c r="CD40" s="5">
        <f t="shared" si="54"/>
        <v>0</v>
      </c>
      <c r="CE40" s="5">
        <f t="shared" si="55"/>
        <v>0</v>
      </c>
      <c r="CF40" s="5">
        <f t="shared" si="56"/>
        <v>0</v>
      </c>
      <c r="CG40" s="5">
        <f t="shared" si="57"/>
        <v>0</v>
      </c>
      <c r="CH40" s="5">
        <f t="shared" si="58"/>
        <v>0</v>
      </c>
      <c r="CI40" s="5">
        <f t="shared" si="59"/>
        <v>0</v>
      </c>
      <c r="CJ40" s="5"/>
      <c r="CK40" s="4">
        <f t="shared" si="93"/>
        <v>0</v>
      </c>
    </row>
    <row r="41" spans="1:89" ht="47" customHeight="1">
      <c r="A41" s="33" t="str">
        <f t="shared" si="92"/>
        <v/>
      </c>
      <c r="B41" s="10"/>
      <c r="C41" s="57"/>
      <c r="D41" s="55"/>
      <c r="E41" s="53"/>
      <c r="F41" s="44">
        <f t="shared" ref="F41" si="94">BA41-BB41</f>
        <v>0</v>
      </c>
      <c r="G41" s="53"/>
      <c r="H41" s="55"/>
      <c r="I41" s="44">
        <f t="shared" ref="I41" si="95">BF41-BG41</f>
        <v>0</v>
      </c>
      <c r="J41" s="55"/>
      <c r="K41" s="55"/>
      <c r="L41" s="44">
        <f t="shared" ref="L41" si="96">BK41-BL41</f>
        <v>0</v>
      </c>
      <c r="M41" s="53"/>
      <c r="N41" s="53"/>
      <c r="O41" s="44">
        <f t="shared" ref="O41" si="97">BP41-BQ41</f>
        <v>0</v>
      </c>
      <c r="P41" s="55"/>
      <c r="Q41" s="55"/>
      <c r="R41" s="44">
        <f t="shared" ref="R41" si="98">BU41-BV41</f>
        <v>0</v>
      </c>
      <c r="S41" s="55"/>
      <c r="T41" s="55"/>
      <c r="U41" s="44">
        <f t="shared" ref="U41" si="99">BZ41-CA41</f>
        <v>0</v>
      </c>
      <c r="V41" s="53"/>
      <c r="W41" s="55"/>
      <c r="X41" s="44">
        <f t="shared" ref="X41" si="100">CE41-CF41</f>
        <v>0</v>
      </c>
      <c r="Y41" s="44"/>
      <c r="Z41" s="44"/>
      <c r="AA41" s="44"/>
      <c r="AB41" s="63">
        <f t="shared" ref="AB41" si="101">SUM(F41,I41,L41,O41,R41,U41,X41)</f>
        <v>0</v>
      </c>
      <c r="AC41" s="23"/>
      <c r="AD41" s="6"/>
      <c r="AE41" s="7">
        <f t="shared" ref="AE41" si="102">SUMIF($BC$1:$CI$1,AE$1,$BC41:$CI41)+AD41</f>
        <v>0</v>
      </c>
      <c r="AF41" s="6"/>
      <c r="AG41" s="7">
        <f t="shared" ref="AG41" si="103">SUMIF($BC$1:$CI$1,AG$1,$BC41:$CI41)+AF41</f>
        <v>0</v>
      </c>
      <c r="AH41" s="6"/>
      <c r="AI41" s="7">
        <f t="shared" ref="AI41" si="104">SUMIF($BC$1:$CI$1,AI$1,$BC41:$CI41)+AH41</f>
        <v>0</v>
      </c>
      <c r="AJ41" s="6"/>
      <c r="AK41" s="7">
        <f t="shared" ref="AK41" si="105">SUMIF($BC$1:$CI$1,AK$1,$BC41:$CI41)+AJ41</f>
        <v>0</v>
      </c>
      <c r="AL41" s="43"/>
      <c r="AM41" s="7">
        <f t="shared" ref="AM41" si="106">SUMIF($BC$1:$CI$1,AM$1,$BC41:$CI41)+AL41</f>
        <v>0</v>
      </c>
      <c r="AN41" s="6"/>
      <c r="AO41" s="7">
        <f t="shared" ref="AO41" si="107">SUMIF($BC$1:$CI$1,AO$1,$BC41:$CI41)+AN41</f>
        <v>0</v>
      </c>
      <c r="AP41" s="30">
        <f t="shared" ref="AP41" si="108">CK41</f>
        <v>0</v>
      </c>
      <c r="AQ41" s="6"/>
      <c r="AR41" s="6"/>
      <c r="AS41" s="6"/>
      <c r="AT41" s="63">
        <f t="shared" ref="AT41" si="109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28"/>
        <v>0</v>
      </c>
      <c r="BE41" s="5">
        <f t="shared" si="29"/>
        <v>0</v>
      </c>
      <c r="BF41" s="5">
        <f t="shared" si="30"/>
        <v>0</v>
      </c>
      <c r="BG41" s="5">
        <f t="shared" si="31"/>
        <v>0</v>
      </c>
      <c r="BH41" s="5">
        <f t="shared" si="32"/>
        <v>0</v>
      </c>
      <c r="BI41" s="5">
        <f t="shared" si="33"/>
        <v>0</v>
      </c>
      <c r="BJ41" s="5">
        <f t="shared" si="34"/>
        <v>0</v>
      </c>
      <c r="BK41" s="5">
        <f t="shared" si="35"/>
        <v>0</v>
      </c>
      <c r="BL41" s="5">
        <f t="shared" si="36"/>
        <v>0</v>
      </c>
      <c r="BM41" s="5">
        <f t="shared" si="37"/>
        <v>0</v>
      </c>
      <c r="BN41" s="5">
        <f t="shared" si="38"/>
        <v>0</v>
      </c>
      <c r="BO41" s="5">
        <f t="shared" si="39"/>
        <v>0</v>
      </c>
      <c r="BP41" s="5">
        <f t="shared" si="40"/>
        <v>0</v>
      </c>
      <c r="BQ41" s="5">
        <f t="shared" si="41"/>
        <v>0</v>
      </c>
      <c r="BR41" s="5">
        <f t="shared" si="42"/>
        <v>0</v>
      </c>
      <c r="BS41" s="5">
        <f t="shared" si="43"/>
        <v>0</v>
      </c>
      <c r="BT41" s="5">
        <f t="shared" si="44"/>
        <v>0</v>
      </c>
      <c r="BU41" s="5">
        <f t="shared" si="45"/>
        <v>0</v>
      </c>
      <c r="BV41" s="5">
        <f t="shared" si="46"/>
        <v>0</v>
      </c>
      <c r="BW41" s="5">
        <f t="shared" si="47"/>
        <v>0</v>
      </c>
      <c r="BX41" s="5">
        <f t="shared" si="48"/>
        <v>0</v>
      </c>
      <c r="BY41" s="5">
        <f t="shared" si="49"/>
        <v>0</v>
      </c>
      <c r="BZ41" s="5">
        <f t="shared" si="50"/>
        <v>0</v>
      </c>
      <c r="CA41" s="5">
        <f t="shared" si="51"/>
        <v>0</v>
      </c>
      <c r="CB41" s="5">
        <f t="shared" si="52"/>
        <v>0</v>
      </c>
      <c r="CC41" s="5">
        <f t="shared" si="53"/>
        <v>0</v>
      </c>
      <c r="CD41" s="5">
        <f t="shared" si="54"/>
        <v>0</v>
      </c>
      <c r="CE41" s="5">
        <f t="shared" si="55"/>
        <v>0</v>
      </c>
      <c r="CF41" s="5">
        <f t="shared" si="56"/>
        <v>0</v>
      </c>
      <c r="CG41" s="5">
        <f t="shared" si="57"/>
        <v>0</v>
      </c>
      <c r="CH41" s="5">
        <f t="shared" si="58"/>
        <v>0</v>
      </c>
      <c r="CI41" s="5">
        <f t="shared" si="59"/>
        <v>0</v>
      </c>
      <c r="CJ41" s="5"/>
      <c r="CK41" s="4">
        <f t="shared" si="93"/>
        <v>0</v>
      </c>
    </row>
    <row r="42" spans="1:89" ht="47" customHeight="1">
      <c r="A42" s="33" t="str">
        <f t="shared" si="92"/>
        <v/>
      </c>
      <c r="B42" s="10"/>
      <c r="C42" s="57"/>
      <c r="D42" s="55"/>
      <c r="E42" s="53"/>
      <c r="F42" s="44">
        <f t="shared" ref="F42:F43" si="110">BA42-BB42</f>
        <v>0</v>
      </c>
      <c r="G42" s="53"/>
      <c r="H42" s="55"/>
      <c r="I42" s="44">
        <f t="shared" ref="I42:I43" si="111">BF42-BG42</f>
        <v>0</v>
      </c>
      <c r="J42" s="55"/>
      <c r="K42" s="55"/>
      <c r="L42" s="44">
        <f t="shared" ref="L42:L43" si="112">BK42-BL42</f>
        <v>0</v>
      </c>
      <c r="M42" s="53"/>
      <c r="N42" s="53"/>
      <c r="O42" s="44">
        <f t="shared" ref="O42:O43" si="113">BP42-BQ42</f>
        <v>0</v>
      </c>
      <c r="P42" s="55"/>
      <c r="Q42" s="55"/>
      <c r="R42" s="44">
        <f t="shared" ref="R42:R43" si="114">BU42-BV42</f>
        <v>0</v>
      </c>
      <c r="S42" s="55"/>
      <c r="T42" s="55"/>
      <c r="U42" s="44">
        <f t="shared" ref="U42:U43" si="115">BZ42-CA42</f>
        <v>0</v>
      </c>
      <c r="V42" s="53"/>
      <c r="W42" s="55"/>
      <c r="X42" s="44">
        <f t="shared" ref="X42:X43" si="116">CE42-CF42</f>
        <v>0</v>
      </c>
      <c r="Y42" s="44"/>
      <c r="Z42" s="44"/>
      <c r="AA42" s="44"/>
      <c r="AB42" s="63">
        <f t="shared" ref="AB42:AB43" si="117">SUM(F42,I42,L42,O42,R42,U42,X42)</f>
        <v>0</v>
      </c>
      <c r="AC42" s="23"/>
      <c r="AD42" s="6"/>
      <c r="AE42" s="7">
        <f t="shared" ref="AE42:AE43" si="118">SUMIF($BC$1:$CI$1,AE$1,$BC42:$CI42)+AD42</f>
        <v>0</v>
      </c>
      <c r="AF42" s="6"/>
      <c r="AG42" s="7">
        <f t="shared" ref="AG42:AG43" si="119">SUMIF($BC$1:$CI$1,AG$1,$BC42:$CI42)+AF42</f>
        <v>0</v>
      </c>
      <c r="AH42" s="6"/>
      <c r="AI42" s="7">
        <f t="shared" ref="AI42:AI43" si="120">SUMIF($BC$1:$CI$1,AI$1,$BC42:$CI42)+AH42</f>
        <v>0</v>
      </c>
      <c r="AJ42" s="6"/>
      <c r="AK42" s="7">
        <f t="shared" ref="AK42:AK43" si="121">SUMIF($BC$1:$CI$1,AK$1,$BC42:$CI42)+AJ42</f>
        <v>0</v>
      </c>
      <c r="AL42" s="43"/>
      <c r="AM42" s="7">
        <f t="shared" ref="AM42:AM43" si="122">SUMIF($BC$1:$CI$1,AM$1,$BC42:$CI42)+AL42</f>
        <v>0</v>
      </c>
      <c r="AN42" s="6"/>
      <c r="AO42" s="7">
        <f t="shared" ref="AO42:AO43" si="123">SUMIF($BC$1:$CI$1,AO$1,$BC42:$CI42)+AN42</f>
        <v>0</v>
      </c>
      <c r="AP42" s="30">
        <f t="shared" ref="AP42:AP43" si="124">CK42</f>
        <v>0</v>
      </c>
      <c r="AQ42" s="6"/>
      <c r="AR42" s="6"/>
      <c r="AS42" s="6"/>
      <c r="AT42" s="63">
        <f t="shared" ref="AT42:AT43" si="125">AE42+AG42+AI42+AK42+AM42+AO42+SUM(AQ42:AS42)</f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28"/>
        <v>0</v>
      </c>
      <c r="BE42" s="5">
        <f t="shared" si="29"/>
        <v>0</v>
      </c>
      <c r="BF42" s="5">
        <f t="shared" si="30"/>
        <v>0</v>
      </c>
      <c r="BG42" s="5">
        <f t="shared" si="31"/>
        <v>0</v>
      </c>
      <c r="BH42" s="5">
        <f t="shared" si="32"/>
        <v>0</v>
      </c>
      <c r="BI42" s="5">
        <f t="shared" si="33"/>
        <v>0</v>
      </c>
      <c r="BJ42" s="5">
        <f t="shared" si="34"/>
        <v>0</v>
      </c>
      <c r="BK42" s="5">
        <f t="shared" si="35"/>
        <v>0</v>
      </c>
      <c r="BL42" s="5">
        <f t="shared" si="36"/>
        <v>0</v>
      </c>
      <c r="BM42" s="5">
        <f t="shared" si="37"/>
        <v>0</v>
      </c>
      <c r="BN42" s="5">
        <f t="shared" si="38"/>
        <v>0</v>
      </c>
      <c r="BO42" s="5">
        <f t="shared" si="39"/>
        <v>0</v>
      </c>
      <c r="BP42" s="5">
        <f t="shared" si="40"/>
        <v>0</v>
      </c>
      <c r="BQ42" s="5">
        <f t="shared" si="41"/>
        <v>0</v>
      </c>
      <c r="BR42" s="5">
        <f t="shared" si="42"/>
        <v>0</v>
      </c>
      <c r="BS42" s="5">
        <f t="shared" si="43"/>
        <v>0</v>
      </c>
      <c r="BT42" s="5">
        <f t="shared" si="44"/>
        <v>0</v>
      </c>
      <c r="BU42" s="5">
        <f t="shared" si="45"/>
        <v>0</v>
      </c>
      <c r="BV42" s="5">
        <f t="shared" si="46"/>
        <v>0</v>
      </c>
      <c r="BW42" s="5">
        <f t="shared" si="47"/>
        <v>0</v>
      </c>
      <c r="BX42" s="5">
        <f t="shared" si="48"/>
        <v>0</v>
      </c>
      <c r="BY42" s="5">
        <f t="shared" si="49"/>
        <v>0</v>
      </c>
      <c r="BZ42" s="5">
        <f t="shared" si="50"/>
        <v>0</v>
      </c>
      <c r="CA42" s="5">
        <f t="shared" si="51"/>
        <v>0</v>
      </c>
      <c r="CB42" s="5">
        <f t="shared" si="52"/>
        <v>0</v>
      </c>
      <c r="CC42" s="5">
        <f t="shared" si="53"/>
        <v>0</v>
      </c>
      <c r="CD42" s="5">
        <f t="shared" si="54"/>
        <v>0</v>
      </c>
      <c r="CE42" s="5">
        <f t="shared" si="55"/>
        <v>0</v>
      </c>
      <c r="CF42" s="5">
        <f t="shared" si="56"/>
        <v>0</v>
      </c>
      <c r="CG42" s="5">
        <f t="shared" si="57"/>
        <v>0</v>
      </c>
      <c r="CH42" s="5">
        <f t="shared" si="58"/>
        <v>0</v>
      </c>
      <c r="CI42" s="5">
        <f t="shared" si="59"/>
        <v>0</v>
      </c>
      <c r="CJ42" s="5"/>
      <c r="CK42" s="4">
        <f t="shared" si="93"/>
        <v>0</v>
      </c>
    </row>
    <row r="43" spans="1:89" ht="47" customHeight="1">
      <c r="A43" s="33" t="str">
        <f t="shared" si="92"/>
        <v/>
      </c>
      <c r="B43" s="10"/>
      <c r="C43" s="57"/>
      <c r="D43" s="55"/>
      <c r="E43" s="53"/>
      <c r="F43" s="44">
        <f t="shared" si="110"/>
        <v>0</v>
      </c>
      <c r="G43" s="53"/>
      <c r="H43" s="55"/>
      <c r="I43" s="44">
        <f t="shared" si="111"/>
        <v>0</v>
      </c>
      <c r="J43" s="55"/>
      <c r="K43" s="55"/>
      <c r="L43" s="44">
        <f t="shared" si="112"/>
        <v>0</v>
      </c>
      <c r="M43" s="53"/>
      <c r="N43" s="53"/>
      <c r="O43" s="44">
        <f t="shared" si="113"/>
        <v>0</v>
      </c>
      <c r="P43" s="55"/>
      <c r="Q43" s="55"/>
      <c r="R43" s="44">
        <f t="shared" si="114"/>
        <v>0</v>
      </c>
      <c r="S43" s="55"/>
      <c r="T43" s="55"/>
      <c r="U43" s="44">
        <f t="shared" si="115"/>
        <v>0</v>
      </c>
      <c r="V43" s="53"/>
      <c r="W43" s="55"/>
      <c r="X43" s="44">
        <f t="shared" si="116"/>
        <v>0</v>
      </c>
      <c r="Y43" s="44"/>
      <c r="Z43" s="44"/>
      <c r="AA43" s="44"/>
      <c r="AB43" s="63">
        <f t="shared" si="117"/>
        <v>0</v>
      </c>
      <c r="AC43" s="23"/>
      <c r="AD43" s="6"/>
      <c r="AE43" s="7">
        <f t="shared" si="118"/>
        <v>0</v>
      </c>
      <c r="AF43" s="6"/>
      <c r="AG43" s="7">
        <f t="shared" si="119"/>
        <v>0</v>
      </c>
      <c r="AH43" s="6"/>
      <c r="AI43" s="7">
        <f t="shared" si="120"/>
        <v>0</v>
      </c>
      <c r="AJ43" s="6"/>
      <c r="AK43" s="7">
        <f t="shared" si="121"/>
        <v>0</v>
      </c>
      <c r="AL43" s="43"/>
      <c r="AM43" s="7">
        <f t="shared" si="122"/>
        <v>0</v>
      </c>
      <c r="AN43" s="6"/>
      <c r="AO43" s="7">
        <f t="shared" si="123"/>
        <v>0</v>
      </c>
      <c r="AP43" s="30">
        <f t="shared" si="124"/>
        <v>0</v>
      </c>
      <c r="AQ43" s="6"/>
      <c r="AR43" s="6"/>
      <c r="AS43" s="6"/>
      <c r="AT43" s="63">
        <f t="shared" si="125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28"/>
        <v>0</v>
      </c>
      <c r="BE43" s="5">
        <f t="shared" si="29"/>
        <v>0</v>
      </c>
      <c r="BF43" s="5">
        <f t="shared" si="30"/>
        <v>0</v>
      </c>
      <c r="BG43" s="5">
        <f t="shared" si="31"/>
        <v>0</v>
      </c>
      <c r="BH43" s="5">
        <f t="shared" si="32"/>
        <v>0</v>
      </c>
      <c r="BI43" s="5">
        <f t="shared" si="33"/>
        <v>0</v>
      </c>
      <c r="BJ43" s="5">
        <f t="shared" si="34"/>
        <v>0</v>
      </c>
      <c r="BK43" s="5">
        <f t="shared" si="35"/>
        <v>0</v>
      </c>
      <c r="BL43" s="5">
        <f t="shared" si="36"/>
        <v>0</v>
      </c>
      <c r="BM43" s="5">
        <f t="shared" si="37"/>
        <v>0</v>
      </c>
      <c r="BN43" s="5">
        <f t="shared" si="38"/>
        <v>0</v>
      </c>
      <c r="BO43" s="5">
        <f t="shared" si="39"/>
        <v>0</v>
      </c>
      <c r="BP43" s="5">
        <f t="shared" si="40"/>
        <v>0</v>
      </c>
      <c r="BQ43" s="5">
        <f t="shared" si="41"/>
        <v>0</v>
      </c>
      <c r="BR43" s="5">
        <f t="shared" si="42"/>
        <v>0</v>
      </c>
      <c r="BS43" s="5">
        <f t="shared" si="43"/>
        <v>0</v>
      </c>
      <c r="BT43" s="5">
        <f t="shared" si="44"/>
        <v>0</v>
      </c>
      <c r="BU43" s="5">
        <f t="shared" si="45"/>
        <v>0</v>
      </c>
      <c r="BV43" s="5">
        <f t="shared" si="46"/>
        <v>0</v>
      </c>
      <c r="BW43" s="5">
        <f t="shared" si="47"/>
        <v>0</v>
      </c>
      <c r="BX43" s="5">
        <f t="shared" si="48"/>
        <v>0</v>
      </c>
      <c r="BY43" s="5">
        <f t="shared" si="49"/>
        <v>0</v>
      </c>
      <c r="BZ43" s="5">
        <f t="shared" si="50"/>
        <v>0</v>
      </c>
      <c r="CA43" s="5">
        <f t="shared" si="51"/>
        <v>0</v>
      </c>
      <c r="CB43" s="5">
        <f t="shared" si="52"/>
        <v>0</v>
      </c>
      <c r="CC43" s="5">
        <f t="shared" si="53"/>
        <v>0</v>
      </c>
      <c r="CD43" s="5">
        <f t="shared" si="54"/>
        <v>0</v>
      </c>
      <c r="CE43" s="5">
        <f t="shared" si="55"/>
        <v>0</v>
      </c>
      <c r="CF43" s="5">
        <f t="shared" si="56"/>
        <v>0</v>
      </c>
      <c r="CG43" s="5">
        <f t="shared" si="57"/>
        <v>0</v>
      </c>
      <c r="CH43" s="5">
        <f t="shared" si="58"/>
        <v>0</v>
      </c>
      <c r="CI43" s="5">
        <f t="shared" si="59"/>
        <v>0</v>
      </c>
      <c r="CJ43" s="5"/>
      <c r="CK43" s="4">
        <f t="shared" si="93"/>
        <v>0</v>
      </c>
    </row>
    <row r="44" spans="1:89" ht="47" customHeight="1">
      <c r="A44" s="33" t="str">
        <f t="shared" si="92"/>
        <v/>
      </c>
      <c r="B44" s="10"/>
      <c r="C44" s="57"/>
      <c r="D44" s="55"/>
      <c r="E44" s="53"/>
      <c r="F44" s="44">
        <f t="shared" si="9"/>
        <v>0</v>
      </c>
      <c r="G44" s="53"/>
      <c r="H44" s="55"/>
      <c r="I44" s="44">
        <f t="shared" si="10"/>
        <v>0</v>
      </c>
      <c r="J44" s="55"/>
      <c r="K44" s="55"/>
      <c r="L44" s="44">
        <f t="shared" si="11"/>
        <v>0</v>
      </c>
      <c r="M44" s="53"/>
      <c r="N44" s="53"/>
      <c r="O44" s="44">
        <f t="shared" si="12"/>
        <v>0</v>
      </c>
      <c r="P44" s="55"/>
      <c r="Q44" s="55"/>
      <c r="R44" s="44">
        <f t="shared" si="13"/>
        <v>0</v>
      </c>
      <c r="S44" s="55"/>
      <c r="T44" s="55"/>
      <c r="U44" s="44">
        <f t="shared" si="14"/>
        <v>0</v>
      </c>
      <c r="V44" s="53"/>
      <c r="W44" s="55"/>
      <c r="X44" s="44">
        <f t="shared" si="15"/>
        <v>0</v>
      </c>
      <c r="Y44" s="44"/>
      <c r="Z44" s="44"/>
      <c r="AA44" s="44"/>
      <c r="AB44" s="63">
        <f t="shared" si="16"/>
        <v>0</v>
      </c>
      <c r="AC44" s="23"/>
      <c r="AD44" s="6"/>
      <c r="AE44" s="7">
        <f>SUMIF($BC$1:$CI$1,AE$1,$BC44:$CI44)+AD44</f>
        <v>0</v>
      </c>
      <c r="AF44" s="6"/>
      <c r="AG44" s="7">
        <f t="shared" si="18"/>
        <v>0</v>
      </c>
      <c r="AH44" s="6"/>
      <c r="AI44" s="7">
        <f t="shared" si="19"/>
        <v>0</v>
      </c>
      <c r="AJ44" s="6"/>
      <c r="AK44" s="7">
        <f t="shared" si="20"/>
        <v>0</v>
      </c>
      <c r="AL44" s="43"/>
      <c r="AM44" s="7">
        <f t="shared" si="21"/>
        <v>0</v>
      </c>
      <c r="AN44" s="6"/>
      <c r="AO44" s="7">
        <f t="shared" si="22"/>
        <v>0</v>
      </c>
      <c r="AP44" s="30">
        <f t="shared" si="23"/>
        <v>0</v>
      </c>
      <c r="AQ44" s="6"/>
      <c r="AR44" s="6"/>
      <c r="AS44" s="6"/>
      <c r="AT44" s="63">
        <f t="shared" si="24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28"/>
        <v>0</v>
      </c>
      <c r="BE44" s="5">
        <f t="shared" si="29"/>
        <v>0</v>
      </c>
      <c r="BF44" s="5">
        <f t="shared" si="30"/>
        <v>0</v>
      </c>
      <c r="BG44" s="5">
        <f t="shared" si="31"/>
        <v>0</v>
      </c>
      <c r="BH44" s="5">
        <f t="shared" si="32"/>
        <v>0</v>
      </c>
      <c r="BI44" s="5">
        <f t="shared" si="33"/>
        <v>0</v>
      </c>
      <c r="BJ44" s="5">
        <f t="shared" si="34"/>
        <v>0</v>
      </c>
      <c r="BK44" s="5">
        <f t="shared" si="35"/>
        <v>0</v>
      </c>
      <c r="BL44" s="5">
        <f t="shared" si="36"/>
        <v>0</v>
      </c>
      <c r="BM44" s="5">
        <f t="shared" si="37"/>
        <v>0</v>
      </c>
      <c r="BN44" s="5">
        <f t="shared" si="38"/>
        <v>0</v>
      </c>
      <c r="BO44" s="5">
        <f t="shared" si="39"/>
        <v>0</v>
      </c>
      <c r="BP44" s="5">
        <f t="shared" si="40"/>
        <v>0</v>
      </c>
      <c r="BQ44" s="5">
        <f t="shared" si="41"/>
        <v>0</v>
      </c>
      <c r="BR44" s="5">
        <f t="shared" si="42"/>
        <v>0</v>
      </c>
      <c r="BS44" s="5">
        <f t="shared" si="43"/>
        <v>0</v>
      </c>
      <c r="BT44" s="5">
        <f t="shared" si="44"/>
        <v>0</v>
      </c>
      <c r="BU44" s="5">
        <f t="shared" si="45"/>
        <v>0</v>
      </c>
      <c r="BV44" s="5">
        <f t="shared" si="46"/>
        <v>0</v>
      </c>
      <c r="BW44" s="5">
        <f t="shared" si="47"/>
        <v>0</v>
      </c>
      <c r="BX44" s="5">
        <f t="shared" si="48"/>
        <v>0</v>
      </c>
      <c r="BY44" s="5">
        <f t="shared" si="49"/>
        <v>0</v>
      </c>
      <c r="BZ44" s="5">
        <f t="shared" si="50"/>
        <v>0</v>
      </c>
      <c r="CA44" s="5">
        <f t="shared" si="51"/>
        <v>0</v>
      </c>
      <c r="CB44" s="5">
        <f t="shared" si="52"/>
        <v>0</v>
      </c>
      <c r="CC44" s="5">
        <f t="shared" si="53"/>
        <v>0</v>
      </c>
      <c r="CD44" s="5">
        <f t="shared" si="54"/>
        <v>0</v>
      </c>
      <c r="CE44" s="5">
        <f t="shared" si="55"/>
        <v>0</v>
      </c>
      <c r="CF44" s="5">
        <f t="shared" si="56"/>
        <v>0</v>
      </c>
      <c r="CG44" s="5">
        <f t="shared" si="57"/>
        <v>0</v>
      </c>
      <c r="CH44" s="5">
        <f t="shared" si="58"/>
        <v>0</v>
      </c>
      <c r="CI44" s="5">
        <f t="shared" si="59"/>
        <v>0</v>
      </c>
      <c r="CJ44" s="5"/>
      <c r="CK44" s="4">
        <f t="shared" si="93"/>
        <v>0</v>
      </c>
    </row>
    <row r="45" spans="1:89" ht="47" customHeight="1">
      <c r="A45" s="33" t="str">
        <f t="shared" si="92"/>
        <v/>
      </c>
      <c r="B45" s="10"/>
      <c r="C45" s="57"/>
      <c r="D45" s="55"/>
      <c r="E45" s="53"/>
      <c r="F45" s="44">
        <f t="shared" ref="F45:F64" si="126">BA45-BB45</f>
        <v>0</v>
      </c>
      <c r="G45" s="53"/>
      <c r="H45" s="55"/>
      <c r="I45" s="44">
        <f t="shared" ref="I45:I64" si="127">BF45-BG45</f>
        <v>0</v>
      </c>
      <c r="J45" s="55"/>
      <c r="K45" s="55"/>
      <c r="L45" s="44">
        <f t="shared" ref="L45:L64" si="128">BK45-BL45</f>
        <v>0</v>
      </c>
      <c r="M45" s="53"/>
      <c r="N45" s="53"/>
      <c r="O45" s="44">
        <f t="shared" ref="O45:O64" si="129">BP45-BQ45</f>
        <v>0</v>
      </c>
      <c r="P45" s="55"/>
      <c r="Q45" s="55"/>
      <c r="R45" s="44">
        <f t="shared" ref="R45:R64" si="130">BU45-BV45</f>
        <v>0</v>
      </c>
      <c r="S45" s="55"/>
      <c r="T45" s="55"/>
      <c r="U45" s="44">
        <f t="shared" ref="U45:U64" si="131">BZ45-CA45</f>
        <v>0</v>
      </c>
      <c r="V45" s="53"/>
      <c r="W45" s="55"/>
      <c r="X45" s="44">
        <f t="shared" ref="X45:X64" si="132">CE45-CF45</f>
        <v>0</v>
      </c>
      <c r="Y45" s="44"/>
      <c r="Z45" s="44"/>
      <c r="AA45" s="44"/>
      <c r="AB45" s="63">
        <f t="shared" ref="AB45:AB64" si="133">SUM(F45,I45,L45,O45,R45,U45,X45)</f>
        <v>0</v>
      </c>
      <c r="AC45" s="23"/>
      <c r="AD45" s="6"/>
      <c r="AE45" s="7">
        <f t="shared" ref="AE45:AE64" si="134">SUMIF($BC$1:$CI$1,AE$1,$BC45:$CI45)+AD45</f>
        <v>0</v>
      </c>
      <c r="AF45" s="6"/>
      <c r="AG45" s="7">
        <f t="shared" ref="AG45:AG64" si="135">SUMIF($BC$1:$CI$1,AG$1,$BC45:$CI45)+AF45</f>
        <v>0</v>
      </c>
      <c r="AH45" s="6"/>
      <c r="AI45" s="7">
        <f t="shared" ref="AI45:AI64" si="136">SUMIF($BC$1:$CI$1,AI$1,$BC45:$CI45)+AH45</f>
        <v>0</v>
      </c>
      <c r="AJ45" s="6"/>
      <c r="AK45" s="7">
        <f t="shared" ref="AK45:AK64" si="137">SUMIF($BC$1:$CI$1,AK$1,$BC45:$CI45)+AJ45</f>
        <v>0</v>
      </c>
      <c r="AL45" s="43"/>
      <c r="AM45" s="7">
        <f t="shared" ref="AM45:AM64" si="138">SUMIF($BC$1:$CI$1,AM$1,$BC45:$CI45)+AL45</f>
        <v>0</v>
      </c>
      <c r="AN45" s="6"/>
      <c r="AO45" s="7">
        <f t="shared" ref="AO45:AO64" si="139">SUMIF($BC$1:$CI$1,AO$1,$BC45:$CI45)+AN45</f>
        <v>0</v>
      </c>
      <c r="AP45" s="30">
        <f t="shared" ref="AP45:AP64" si="140">CK45</f>
        <v>0</v>
      </c>
      <c r="AQ45" s="6"/>
      <c r="AR45" s="6"/>
      <c r="AS45" s="6"/>
      <c r="AT45" s="63">
        <f t="shared" ref="AT45:AT64" si="141">AE45+AG45+AI45+AK45+AM45+AO45+SUM(AQ45:AS45)</f>
        <v>0</v>
      </c>
      <c r="AU45" s="60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28"/>
        <v>0</v>
      </c>
      <c r="BE45" s="5">
        <f t="shared" si="29"/>
        <v>0</v>
      </c>
      <c r="BF45" s="5">
        <f t="shared" si="30"/>
        <v>0</v>
      </c>
      <c r="BG45" s="5">
        <f t="shared" si="31"/>
        <v>0</v>
      </c>
      <c r="BH45" s="5">
        <f t="shared" si="32"/>
        <v>0</v>
      </c>
      <c r="BI45" s="5">
        <f t="shared" si="33"/>
        <v>0</v>
      </c>
      <c r="BJ45" s="5">
        <f t="shared" si="34"/>
        <v>0</v>
      </c>
      <c r="BK45" s="5">
        <f t="shared" si="35"/>
        <v>0</v>
      </c>
      <c r="BL45" s="5">
        <f t="shared" si="36"/>
        <v>0</v>
      </c>
      <c r="BM45" s="5">
        <f t="shared" si="37"/>
        <v>0</v>
      </c>
      <c r="BN45" s="5">
        <f t="shared" si="38"/>
        <v>0</v>
      </c>
      <c r="BO45" s="5">
        <f t="shared" si="39"/>
        <v>0</v>
      </c>
      <c r="BP45" s="5">
        <f t="shared" si="40"/>
        <v>0</v>
      </c>
      <c r="BQ45" s="5">
        <f t="shared" si="41"/>
        <v>0</v>
      </c>
      <c r="BR45" s="5">
        <f t="shared" si="42"/>
        <v>0</v>
      </c>
      <c r="BS45" s="5">
        <f t="shared" si="43"/>
        <v>0</v>
      </c>
      <c r="BT45" s="5">
        <f t="shared" si="44"/>
        <v>0</v>
      </c>
      <c r="BU45" s="5">
        <f t="shared" si="45"/>
        <v>0</v>
      </c>
      <c r="BV45" s="5">
        <f t="shared" si="46"/>
        <v>0</v>
      </c>
      <c r="BW45" s="5">
        <f t="shared" si="47"/>
        <v>0</v>
      </c>
      <c r="BX45" s="5">
        <f t="shared" si="48"/>
        <v>0</v>
      </c>
      <c r="BY45" s="5">
        <f t="shared" si="49"/>
        <v>0</v>
      </c>
      <c r="BZ45" s="5">
        <f t="shared" si="50"/>
        <v>0</v>
      </c>
      <c r="CA45" s="5">
        <f t="shared" si="51"/>
        <v>0</v>
      </c>
      <c r="CB45" s="5">
        <f t="shared" si="52"/>
        <v>0</v>
      </c>
      <c r="CC45" s="5">
        <f t="shared" si="53"/>
        <v>0</v>
      </c>
      <c r="CD45" s="5">
        <f t="shared" si="54"/>
        <v>0</v>
      </c>
      <c r="CE45" s="5">
        <f t="shared" si="55"/>
        <v>0</v>
      </c>
      <c r="CF45" s="5">
        <f t="shared" si="56"/>
        <v>0</v>
      </c>
      <c r="CG45" s="5">
        <f t="shared" si="57"/>
        <v>0</v>
      </c>
      <c r="CH45" s="5">
        <f t="shared" si="58"/>
        <v>0</v>
      </c>
      <c r="CI45" s="5">
        <f t="shared" si="59"/>
        <v>0</v>
      </c>
      <c r="CJ45" s="5"/>
      <c r="CK45" s="4">
        <f t="shared" si="93"/>
        <v>0</v>
      </c>
    </row>
    <row r="46" spans="1:89" ht="47" customHeight="1">
      <c r="A46" s="33" t="str">
        <f t="shared" si="92"/>
        <v/>
      </c>
      <c r="B46" s="10"/>
      <c r="C46" s="57"/>
      <c r="D46" s="55"/>
      <c r="E46" s="53"/>
      <c r="F46" s="44">
        <f t="shared" si="126"/>
        <v>0</v>
      </c>
      <c r="G46" s="53"/>
      <c r="H46" s="55"/>
      <c r="I46" s="44">
        <f t="shared" si="127"/>
        <v>0</v>
      </c>
      <c r="J46" s="55"/>
      <c r="K46" s="55"/>
      <c r="L46" s="44">
        <f t="shared" si="128"/>
        <v>0</v>
      </c>
      <c r="M46" s="53"/>
      <c r="N46" s="53"/>
      <c r="O46" s="44">
        <f t="shared" si="129"/>
        <v>0</v>
      </c>
      <c r="P46" s="55"/>
      <c r="Q46" s="55"/>
      <c r="R46" s="44">
        <f t="shared" si="130"/>
        <v>0</v>
      </c>
      <c r="S46" s="55"/>
      <c r="T46" s="55"/>
      <c r="U46" s="44">
        <f t="shared" si="131"/>
        <v>0</v>
      </c>
      <c r="V46" s="53"/>
      <c r="W46" s="55"/>
      <c r="X46" s="44">
        <f t="shared" si="132"/>
        <v>0</v>
      </c>
      <c r="Y46" s="44"/>
      <c r="Z46" s="44"/>
      <c r="AA46" s="44"/>
      <c r="AB46" s="63">
        <f t="shared" si="133"/>
        <v>0</v>
      </c>
      <c r="AC46" s="23"/>
      <c r="AD46" s="6"/>
      <c r="AE46" s="7">
        <f t="shared" si="134"/>
        <v>0</v>
      </c>
      <c r="AF46" s="6"/>
      <c r="AG46" s="7">
        <f t="shared" si="135"/>
        <v>0</v>
      </c>
      <c r="AH46" s="6"/>
      <c r="AI46" s="7">
        <f t="shared" si="136"/>
        <v>0</v>
      </c>
      <c r="AJ46" s="6"/>
      <c r="AK46" s="7">
        <f t="shared" si="137"/>
        <v>0</v>
      </c>
      <c r="AL46" s="43"/>
      <c r="AM46" s="7">
        <f t="shared" si="138"/>
        <v>0</v>
      </c>
      <c r="AN46" s="6"/>
      <c r="AO46" s="7">
        <f t="shared" si="139"/>
        <v>0</v>
      </c>
      <c r="AP46" s="30">
        <f t="shared" si="140"/>
        <v>0</v>
      </c>
      <c r="AQ46" s="6"/>
      <c r="AR46" s="6"/>
      <c r="AS46" s="6"/>
      <c r="AT46" s="63">
        <f t="shared" si="141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28"/>
        <v>0</v>
      </c>
      <c r="BE46" s="5">
        <f t="shared" si="29"/>
        <v>0</v>
      </c>
      <c r="BF46" s="5">
        <f t="shared" si="30"/>
        <v>0</v>
      </c>
      <c r="BG46" s="5">
        <f t="shared" si="31"/>
        <v>0</v>
      </c>
      <c r="BH46" s="5">
        <f t="shared" si="32"/>
        <v>0</v>
      </c>
      <c r="BI46" s="5">
        <f t="shared" si="33"/>
        <v>0</v>
      </c>
      <c r="BJ46" s="5">
        <f t="shared" si="34"/>
        <v>0</v>
      </c>
      <c r="BK46" s="5">
        <f t="shared" si="35"/>
        <v>0</v>
      </c>
      <c r="BL46" s="5">
        <f t="shared" si="36"/>
        <v>0</v>
      </c>
      <c r="BM46" s="5">
        <f t="shared" si="37"/>
        <v>0</v>
      </c>
      <c r="BN46" s="5">
        <f t="shared" si="38"/>
        <v>0</v>
      </c>
      <c r="BO46" s="5">
        <f t="shared" si="39"/>
        <v>0</v>
      </c>
      <c r="BP46" s="5">
        <f t="shared" si="40"/>
        <v>0</v>
      </c>
      <c r="BQ46" s="5">
        <f t="shared" si="41"/>
        <v>0</v>
      </c>
      <c r="BR46" s="5">
        <f t="shared" si="42"/>
        <v>0</v>
      </c>
      <c r="BS46" s="5">
        <f t="shared" si="43"/>
        <v>0</v>
      </c>
      <c r="BT46" s="5">
        <f t="shared" si="44"/>
        <v>0</v>
      </c>
      <c r="BU46" s="5">
        <f t="shared" si="45"/>
        <v>0</v>
      </c>
      <c r="BV46" s="5">
        <f t="shared" si="46"/>
        <v>0</v>
      </c>
      <c r="BW46" s="5">
        <f t="shared" si="47"/>
        <v>0</v>
      </c>
      <c r="BX46" s="5">
        <f t="shared" si="48"/>
        <v>0</v>
      </c>
      <c r="BY46" s="5">
        <f t="shared" si="49"/>
        <v>0</v>
      </c>
      <c r="BZ46" s="5">
        <f t="shared" si="50"/>
        <v>0</v>
      </c>
      <c r="CA46" s="5">
        <f t="shared" si="51"/>
        <v>0</v>
      </c>
      <c r="CB46" s="5">
        <f t="shared" si="52"/>
        <v>0</v>
      </c>
      <c r="CC46" s="5">
        <f t="shared" si="53"/>
        <v>0</v>
      </c>
      <c r="CD46" s="5">
        <f t="shared" si="54"/>
        <v>0</v>
      </c>
      <c r="CE46" s="5">
        <f t="shared" si="55"/>
        <v>0</v>
      </c>
      <c r="CF46" s="5">
        <f t="shared" si="56"/>
        <v>0</v>
      </c>
      <c r="CG46" s="5">
        <f t="shared" si="57"/>
        <v>0</v>
      </c>
      <c r="CH46" s="5">
        <f t="shared" si="58"/>
        <v>0</v>
      </c>
      <c r="CI46" s="5">
        <f t="shared" si="59"/>
        <v>0</v>
      </c>
      <c r="CJ46" s="5"/>
      <c r="CK46" s="4">
        <f t="shared" si="93"/>
        <v>0</v>
      </c>
    </row>
    <row r="47" spans="1:89" ht="47" customHeight="1">
      <c r="A47" s="33" t="str">
        <f t="shared" si="92"/>
        <v/>
      </c>
      <c r="B47" s="10"/>
      <c r="C47" s="57"/>
      <c r="D47" s="55"/>
      <c r="E47" s="53"/>
      <c r="F47" s="44">
        <f t="shared" si="126"/>
        <v>0</v>
      </c>
      <c r="G47" s="53"/>
      <c r="H47" s="55"/>
      <c r="I47" s="44">
        <f t="shared" si="127"/>
        <v>0</v>
      </c>
      <c r="J47" s="55"/>
      <c r="K47" s="55"/>
      <c r="L47" s="44">
        <f t="shared" si="128"/>
        <v>0</v>
      </c>
      <c r="M47" s="53"/>
      <c r="N47" s="53"/>
      <c r="O47" s="44">
        <f t="shared" si="129"/>
        <v>0</v>
      </c>
      <c r="P47" s="55"/>
      <c r="Q47" s="55"/>
      <c r="R47" s="44">
        <f t="shared" si="130"/>
        <v>0</v>
      </c>
      <c r="S47" s="55"/>
      <c r="T47" s="55"/>
      <c r="U47" s="44">
        <f t="shared" si="131"/>
        <v>0</v>
      </c>
      <c r="V47" s="53"/>
      <c r="W47" s="55"/>
      <c r="X47" s="44">
        <f t="shared" si="132"/>
        <v>0</v>
      </c>
      <c r="Y47" s="44"/>
      <c r="Z47" s="44"/>
      <c r="AA47" s="44"/>
      <c r="AB47" s="63">
        <f t="shared" si="133"/>
        <v>0</v>
      </c>
      <c r="AC47" s="23"/>
      <c r="AD47" s="6"/>
      <c r="AE47" s="7">
        <f t="shared" si="134"/>
        <v>0</v>
      </c>
      <c r="AF47" s="6"/>
      <c r="AG47" s="7">
        <f t="shared" si="135"/>
        <v>0</v>
      </c>
      <c r="AH47" s="6"/>
      <c r="AI47" s="7">
        <f t="shared" si="136"/>
        <v>0</v>
      </c>
      <c r="AJ47" s="6"/>
      <c r="AK47" s="7">
        <f t="shared" si="137"/>
        <v>0</v>
      </c>
      <c r="AL47" s="43"/>
      <c r="AM47" s="7">
        <f t="shared" si="138"/>
        <v>0</v>
      </c>
      <c r="AN47" s="6"/>
      <c r="AO47" s="7">
        <f t="shared" si="139"/>
        <v>0</v>
      </c>
      <c r="AP47" s="30">
        <f t="shared" si="140"/>
        <v>0</v>
      </c>
      <c r="AQ47" s="6"/>
      <c r="AR47" s="6"/>
      <c r="AS47" s="6"/>
      <c r="AT47" s="63">
        <f t="shared" si="141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28"/>
        <v>0</v>
      </c>
      <c r="BE47" s="5">
        <f t="shared" si="29"/>
        <v>0</v>
      </c>
      <c r="BF47" s="5">
        <f t="shared" si="30"/>
        <v>0</v>
      </c>
      <c r="BG47" s="5">
        <f t="shared" si="31"/>
        <v>0</v>
      </c>
      <c r="BH47" s="5">
        <f t="shared" si="32"/>
        <v>0</v>
      </c>
      <c r="BI47" s="5">
        <f t="shared" si="33"/>
        <v>0</v>
      </c>
      <c r="BJ47" s="5">
        <f t="shared" si="34"/>
        <v>0</v>
      </c>
      <c r="BK47" s="5">
        <f t="shared" si="35"/>
        <v>0</v>
      </c>
      <c r="BL47" s="5">
        <f t="shared" si="36"/>
        <v>0</v>
      </c>
      <c r="BM47" s="5">
        <f t="shared" si="37"/>
        <v>0</v>
      </c>
      <c r="BN47" s="5">
        <f t="shared" si="38"/>
        <v>0</v>
      </c>
      <c r="BO47" s="5">
        <f t="shared" si="39"/>
        <v>0</v>
      </c>
      <c r="BP47" s="5">
        <f t="shared" si="40"/>
        <v>0</v>
      </c>
      <c r="BQ47" s="5">
        <f t="shared" si="41"/>
        <v>0</v>
      </c>
      <c r="BR47" s="5">
        <f t="shared" si="42"/>
        <v>0</v>
      </c>
      <c r="BS47" s="5">
        <f t="shared" si="43"/>
        <v>0</v>
      </c>
      <c r="BT47" s="5">
        <f t="shared" si="44"/>
        <v>0</v>
      </c>
      <c r="BU47" s="5">
        <f t="shared" si="45"/>
        <v>0</v>
      </c>
      <c r="BV47" s="5">
        <f t="shared" si="46"/>
        <v>0</v>
      </c>
      <c r="BW47" s="5">
        <f t="shared" si="47"/>
        <v>0</v>
      </c>
      <c r="BX47" s="5">
        <f t="shared" si="48"/>
        <v>0</v>
      </c>
      <c r="BY47" s="5">
        <f t="shared" si="49"/>
        <v>0</v>
      </c>
      <c r="BZ47" s="5">
        <f t="shared" si="50"/>
        <v>0</v>
      </c>
      <c r="CA47" s="5">
        <f t="shared" si="51"/>
        <v>0</v>
      </c>
      <c r="CB47" s="5">
        <f t="shared" si="52"/>
        <v>0</v>
      </c>
      <c r="CC47" s="5">
        <f t="shared" si="53"/>
        <v>0</v>
      </c>
      <c r="CD47" s="5">
        <f t="shared" si="54"/>
        <v>0</v>
      </c>
      <c r="CE47" s="5">
        <f t="shared" si="55"/>
        <v>0</v>
      </c>
      <c r="CF47" s="5">
        <f t="shared" si="56"/>
        <v>0</v>
      </c>
      <c r="CG47" s="5">
        <f t="shared" si="57"/>
        <v>0</v>
      </c>
      <c r="CH47" s="5">
        <f t="shared" si="58"/>
        <v>0</v>
      </c>
      <c r="CI47" s="5">
        <f t="shared" si="59"/>
        <v>0</v>
      </c>
      <c r="CJ47" s="5"/>
      <c r="CK47" s="4">
        <f t="shared" si="93"/>
        <v>0</v>
      </c>
    </row>
    <row r="48" spans="1:89" ht="47" customHeight="1">
      <c r="A48" s="33" t="str">
        <f t="shared" si="92"/>
        <v/>
      </c>
      <c r="B48" s="10"/>
      <c r="C48" s="57"/>
      <c r="D48" s="55"/>
      <c r="E48" s="53"/>
      <c r="F48" s="44">
        <f t="shared" si="126"/>
        <v>0</v>
      </c>
      <c r="G48" s="53"/>
      <c r="H48" s="55"/>
      <c r="I48" s="44">
        <f t="shared" si="127"/>
        <v>0</v>
      </c>
      <c r="J48" s="55"/>
      <c r="K48" s="55"/>
      <c r="L48" s="44">
        <f t="shared" si="128"/>
        <v>0</v>
      </c>
      <c r="M48" s="53"/>
      <c r="N48" s="53"/>
      <c r="O48" s="44">
        <f t="shared" si="129"/>
        <v>0</v>
      </c>
      <c r="P48" s="55"/>
      <c r="Q48" s="55"/>
      <c r="R48" s="44">
        <f t="shared" si="130"/>
        <v>0</v>
      </c>
      <c r="S48" s="55"/>
      <c r="T48" s="55"/>
      <c r="U48" s="44">
        <f t="shared" si="131"/>
        <v>0</v>
      </c>
      <c r="V48" s="53"/>
      <c r="W48" s="55"/>
      <c r="X48" s="44">
        <f t="shared" si="132"/>
        <v>0</v>
      </c>
      <c r="Y48" s="44"/>
      <c r="Z48" s="44"/>
      <c r="AA48" s="44"/>
      <c r="AB48" s="63">
        <f t="shared" si="133"/>
        <v>0</v>
      </c>
      <c r="AC48" s="23"/>
      <c r="AD48" s="6"/>
      <c r="AE48" s="7">
        <f t="shared" si="134"/>
        <v>0</v>
      </c>
      <c r="AF48" s="6"/>
      <c r="AG48" s="7">
        <f t="shared" si="135"/>
        <v>0</v>
      </c>
      <c r="AH48" s="6"/>
      <c r="AI48" s="7">
        <f t="shared" si="136"/>
        <v>0</v>
      </c>
      <c r="AJ48" s="6"/>
      <c r="AK48" s="7">
        <f t="shared" si="137"/>
        <v>0</v>
      </c>
      <c r="AL48" s="43"/>
      <c r="AM48" s="7">
        <f t="shared" si="138"/>
        <v>0</v>
      </c>
      <c r="AN48" s="6"/>
      <c r="AO48" s="7">
        <f t="shared" si="139"/>
        <v>0</v>
      </c>
      <c r="AP48" s="30">
        <f t="shared" si="140"/>
        <v>0</v>
      </c>
      <c r="AQ48" s="6"/>
      <c r="AR48" s="6"/>
      <c r="AS48" s="6"/>
      <c r="AT48" s="63">
        <f t="shared" si="141"/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28"/>
        <v>0</v>
      </c>
      <c r="BE48" s="5">
        <f t="shared" si="29"/>
        <v>0</v>
      </c>
      <c r="BF48" s="5">
        <f t="shared" si="30"/>
        <v>0</v>
      </c>
      <c r="BG48" s="5">
        <f t="shared" si="31"/>
        <v>0</v>
      </c>
      <c r="BH48" s="5">
        <f t="shared" si="32"/>
        <v>0</v>
      </c>
      <c r="BI48" s="5">
        <f t="shared" si="33"/>
        <v>0</v>
      </c>
      <c r="BJ48" s="5">
        <f t="shared" si="34"/>
        <v>0</v>
      </c>
      <c r="BK48" s="5">
        <f t="shared" si="35"/>
        <v>0</v>
      </c>
      <c r="BL48" s="5">
        <f t="shared" si="36"/>
        <v>0</v>
      </c>
      <c r="BM48" s="5">
        <f t="shared" si="37"/>
        <v>0</v>
      </c>
      <c r="BN48" s="5">
        <f t="shared" si="38"/>
        <v>0</v>
      </c>
      <c r="BO48" s="5">
        <f t="shared" si="39"/>
        <v>0</v>
      </c>
      <c r="BP48" s="5">
        <f t="shared" si="40"/>
        <v>0</v>
      </c>
      <c r="BQ48" s="5">
        <f t="shared" si="41"/>
        <v>0</v>
      </c>
      <c r="BR48" s="5">
        <f t="shared" si="42"/>
        <v>0</v>
      </c>
      <c r="BS48" s="5">
        <f t="shared" si="43"/>
        <v>0</v>
      </c>
      <c r="BT48" s="5">
        <f t="shared" si="44"/>
        <v>0</v>
      </c>
      <c r="BU48" s="5">
        <f t="shared" si="45"/>
        <v>0</v>
      </c>
      <c r="BV48" s="5">
        <f t="shared" si="46"/>
        <v>0</v>
      </c>
      <c r="BW48" s="5">
        <f t="shared" si="47"/>
        <v>0</v>
      </c>
      <c r="BX48" s="5">
        <f t="shared" si="48"/>
        <v>0</v>
      </c>
      <c r="BY48" s="5">
        <f t="shared" si="49"/>
        <v>0</v>
      </c>
      <c r="BZ48" s="5">
        <f t="shared" si="50"/>
        <v>0</v>
      </c>
      <c r="CA48" s="5">
        <f t="shared" si="51"/>
        <v>0</v>
      </c>
      <c r="CB48" s="5">
        <f t="shared" si="52"/>
        <v>0</v>
      </c>
      <c r="CC48" s="5">
        <f t="shared" si="53"/>
        <v>0</v>
      </c>
      <c r="CD48" s="5">
        <f t="shared" si="54"/>
        <v>0</v>
      </c>
      <c r="CE48" s="5">
        <f t="shared" si="55"/>
        <v>0</v>
      </c>
      <c r="CF48" s="5">
        <f t="shared" si="56"/>
        <v>0</v>
      </c>
      <c r="CG48" s="5">
        <f t="shared" si="57"/>
        <v>0</v>
      </c>
      <c r="CH48" s="5">
        <f t="shared" si="58"/>
        <v>0</v>
      </c>
      <c r="CI48" s="5">
        <f t="shared" si="59"/>
        <v>0</v>
      </c>
      <c r="CJ48" s="5"/>
      <c r="CK48" s="4">
        <f t="shared" si="93"/>
        <v>0</v>
      </c>
    </row>
    <row r="49" spans="1:89" ht="47" customHeight="1">
      <c r="A49" s="33" t="str">
        <f t="shared" si="92"/>
        <v/>
      </c>
      <c r="B49" s="10"/>
      <c r="C49" s="57"/>
      <c r="D49" s="55"/>
      <c r="E49" s="53"/>
      <c r="F49" s="44">
        <f t="shared" si="126"/>
        <v>0</v>
      </c>
      <c r="G49" s="53"/>
      <c r="H49" s="55"/>
      <c r="I49" s="44">
        <f t="shared" si="127"/>
        <v>0</v>
      </c>
      <c r="J49" s="55"/>
      <c r="K49" s="55"/>
      <c r="L49" s="44">
        <f t="shared" si="128"/>
        <v>0</v>
      </c>
      <c r="M49" s="53"/>
      <c r="N49" s="53"/>
      <c r="O49" s="44">
        <f t="shared" si="129"/>
        <v>0</v>
      </c>
      <c r="P49" s="55"/>
      <c r="Q49" s="55"/>
      <c r="R49" s="44">
        <f t="shared" si="130"/>
        <v>0</v>
      </c>
      <c r="S49" s="55"/>
      <c r="T49" s="55"/>
      <c r="U49" s="44">
        <f t="shared" si="131"/>
        <v>0</v>
      </c>
      <c r="V49" s="53"/>
      <c r="W49" s="55"/>
      <c r="X49" s="44">
        <f t="shared" si="132"/>
        <v>0</v>
      </c>
      <c r="Y49" s="44"/>
      <c r="Z49" s="44"/>
      <c r="AA49" s="44"/>
      <c r="AB49" s="63">
        <f t="shared" si="133"/>
        <v>0</v>
      </c>
      <c r="AC49" s="23"/>
      <c r="AD49" s="6"/>
      <c r="AE49" s="7">
        <f t="shared" si="134"/>
        <v>0</v>
      </c>
      <c r="AF49" s="6"/>
      <c r="AG49" s="7">
        <f t="shared" si="135"/>
        <v>0</v>
      </c>
      <c r="AH49" s="6"/>
      <c r="AI49" s="7">
        <f t="shared" si="136"/>
        <v>0</v>
      </c>
      <c r="AJ49" s="6"/>
      <c r="AK49" s="7">
        <f t="shared" si="137"/>
        <v>0</v>
      </c>
      <c r="AL49" s="43"/>
      <c r="AM49" s="7">
        <f t="shared" si="138"/>
        <v>0</v>
      </c>
      <c r="AN49" s="6"/>
      <c r="AO49" s="7">
        <f t="shared" si="139"/>
        <v>0</v>
      </c>
      <c r="AP49" s="30">
        <f t="shared" si="140"/>
        <v>0</v>
      </c>
      <c r="AQ49" s="6"/>
      <c r="AR49" s="6"/>
      <c r="AS49" s="6"/>
      <c r="AT49" s="63">
        <f t="shared" si="141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28"/>
        <v>0</v>
      </c>
      <c r="BE49" s="5">
        <f t="shared" si="29"/>
        <v>0</v>
      </c>
      <c r="BF49" s="5">
        <f t="shared" si="30"/>
        <v>0</v>
      </c>
      <c r="BG49" s="5">
        <f t="shared" si="31"/>
        <v>0</v>
      </c>
      <c r="BH49" s="5">
        <f t="shared" si="32"/>
        <v>0</v>
      </c>
      <c r="BI49" s="5">
        <f t="shared" si="33"/>
        <v>0</v>
      </c>
      <c r="BJ49" s="5">
        <f t="shared" si="34"/>
        <v>0</v>
      </c>
      <c r="BK49" s="5">
        <f t="shared" si="35"/>
        <v>0</v>
      </c>
      <c r="BL49" s="5">
        <f t="shared" si="36"/>
        <v>0</v>
      </c>
      <c r="BM49" s="5">
        <f t="shared" si="37"/>
        <v>0</v>
      </c>
      <c r="BN49" s="5">
        <f t="shared" si="38"/>
        <v>0</v>
      </c>
      <c r="BO49" s="5">
        <f t="shared" si="39"/>
        <v>0</v>
      </c>
      <c r="BP49" s="5">
        <f t="shared" si="40"/>
        <v>0</v>
      </c>
      <c r="BQ49" s="5">
        <f t="shared" si="41"/>
        <v>0</v>
      </c>
      <c r="BR49" s="5">
        <f t="shared" si="42"/>
        <v>0</v>
      </c>
      <c r="BS49" s="5">
        <f t="shared" si="43"/>
        <v>0</v>
      </c>
      <c r="BT49" s="5">
        <f t="shared" si="44"/>
        <v>0</v>
      </c>
      <c r="BU49" s="5">
        <f t="shared" si="45"/>
        <v>0</v>
      </c>
      <c r="BV49" s="5">
        <f t="shared" si="46"/>
        <v>0</v>
      </c>
      <c r="BW49" s="5">
        <f t="shared" si="47"/>
        <v>0</v>
      </c>
      <c r="BX49" s="5">
        <f t="shared" si="48"/>
        <v>0</v>
      </c>
      <c r="BY49" s="5">
        <f t="shared" si="49"/>
        <v>0</v>
      </c>
      <c r="BZ49" s="5">
        <f t="shared" si="50"/>
        <v>0</v>
      </c>
      <c r="CA49" s="5">
        <f t="shared" si="51"/>
        <v>0</v>
      </c>
      <c r="CB49" s="5">
        <f t="shared" si="52"/>
        <v>0</v>
      </c>
      <c r="CC49" s="5">
        <f t="shared" si="53"/>
        <v>0</v>
      </c>
      <c r="CD49" s="5">
        <f t="shared" si="54"/>
        <v>0</v>
      </c>
      <c r="CE49" s="5">
        <f t="shared" si="55"/>
        <v>0</v>
      </c>
      <c r="CF49" s="5">
        <f t="shared" si="56"/>
        <v>0</v>
      </c>
      <c r="CG49" s="5">
        <f t="shared" si="57"/>
        <v>0</v>
      </c>
      <c r="CH49" s="5">
        <f t="shared" si="58"/>
        <v>0</v>
      </c>
      <c r="CI49" s="5">
        <f t="shared" si="59"/>
        <v>0</v>
      </c>
      <c r="CJ49" s="5"/>
      <c r="CK49" s="4">
        <f t="shared" si="93"/>
        <v>0</v>
      </c>
    </row>
    <row r="50" spans="1:89" ht="47" customHeight="1">
      <c r="A50" s="33" t="str">
        <f t="shared" si="92"/>
        <v/>
      </c>
      <c r="B50" s="10"/>
      <c r="C50" s="57"/>
      <c r="D50" s="55"/>
      <c r="E50" s="53"/>
      <c r="F50" s="44">
        <f t="shared" si="126"/>
        <v>0</v>
      </c>
      <c r="G50" s="53"/>
      <c r="H50" s="55"/>
      <c r="I50" s="44">
        <f t="shared" si="127"/>
        <v>0</v>
      </c>
      <c r="J50" s="55"/>
      <c r="K50" s="55"/>
      <c r="L50" s="44">
        <f t="shared" si="128"/>
        <v>0</v>
      </c>
      <c r="M50" s="53"/>
      <c r="N50" s="53"/>
      <c r="O50" s="44">
        <f t="shared" si="129"/>
        <v>0</v>
      </c>
      <c r="P50" s="55"/>
      <c r="Q50" s="55"/>
      <c r="R50" s="44">
        <f t="shared" si="130"/>
        <v>0</v>
      </c>
      <c r="S50" s="55"/>
      <c r="T50" s="55"/>
      <c r="U50" s="44">
        <f t="shared" si="131"/>
        <v>0</v>
      </c>
      <c r="V50" s="53"/>
      <c r="W50" s="55"/>
      <c r="X50" s="44">
        <f t="shared" si="132"/>
        <v>0</v>
      </c>
      <c r="Y50" s="44"/>
      <c r="Z50" s="44"/>
      <c r="AA50" s="44"/>
      <c r="AB50" s="63">
        <f t="shared" si="133"/>
        <v>0</v>
      </c>
      <c r="AC50" s="23"/>
      <c r="AD50" s="6"/>
      <c r="AE50" s="7">
        <f t="shared" si="134"/>
        <v>0</v>
      </c>
      <c r="AF50" s="6"/>
      <c r="AG50" s="7">
        <f t="shared" si="135"/>
        <v>0</v>
      </c>
      <c r="AH50" s="6"/>
      <c r="AI50" s="7">
        <f t="shared" si="136"/>
        <v>0</v>
      </c>
      <c r="AJ50" s="6"/>
      <c r="AK50" s="7">
        <f t="shared" si="137"/>
        <v>0</v>
      </c>
      <c r="AL50" s="43"/>
      <c r="AM50" s="7">
        <f t="shared" si="138"/>
        <v>0</v>
      </c>
      <c r="AN50" s="6"/>
      <c r="AO50" s="7">
        <f t="shared" si="139"/>
        <v>0</v>
      </c>
      <c r="AP50" s="30">
        <f t="shared" si="140"/>
        <v>0</v>
      </c>
      <c r="AQ50" s="6"/>
      <c r="AR50" s="6"/>
      <c r="AS50" s="6"/>
      <c r="AT50" s="63">
        <f t="shared" si="141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28"/>
        <v>0</v>
      </c>
      <c r="BE50" s="5">
        <f t="shared" si="29"/>
        <v>0</v>
      </c>
      <c r="BF50" s="5">
        <f t="shared" si="30"/>
        <v>0</v>
      </c>
      <c r="BG50" s="5">
        <f t="shared" si="31"/>
        <v>0</v>
      </c>
      <c r="BH50" s="5">
        <f t="shared" si="32"/>
        <v>0</v>
      </c>
      <c r="BI50" s="5">
        <f t="shared" si="33"/>
        <v>0</v>
      </c>
      <c r="BJ50" s="5">
        <f t="shared" si="34"/>
        <v>0</v>
      </c>
      <c r="BK50" s="5">
        <f t="shared" si="35"/>
        <v>0</v>
      </c>
      <c r="BL50" s="5">
        <f t="shared" si="36"/>
        <v>0</v>
      </c>
      <c r="BM50" s="5">
        <f t="shared" si="37"/>
        <v>0</v>
      </c>
      <c r="BN50" s="5">
        <f t="shared" si="38"/>
        <v>0</v>
      </c>
      <c r="BO50" s="5">
        <f t="shared" si="39"/>
        <v>0</v>
      </c>
      <c r="BP50" s="5">
        <f t="shared" si="40"/>
        <v>0</v>
      </c>
      <c r="BQ50" s="5">
        <f t="shared" si="41"/>
        <v>0</v>
      </c>
      <c r="BR50" s="5">
        <f t="shared" si="42"/>
        <v>0</v>
      </c>
      <c r="BS50" s="5">
        <f t="shared" si="43"/>
        <v>0</v>
      </c>
      <c r="BT50" s="5">
        <f t="shared" si="44"/>
        <v>0</v>
      </c>
      <c r="BU50" s="5">
        <f t="shared" si="45"/>
        <v>0</v>
      </c>
      <c r="BV50" s="5">
        <f t="shared" si="46"/>
        <v>0</v>
      </c>
      <c r="BW50" s="5">
        <f t="shared" si="47"/>
        <v>0</v>
      </c>
      <c r="BX50" s="5">
        <f t="shared" si="48"/>
        <v>0</v>
      </c>
      <c r="BY50" s="5">
        <f t="shared" si="49"/>
        <v>0</v>
      </c>
      <c r="BZ50" s="5">
        <f t="shared" si="50"/>
        <v>0</v>
      </c>
      <c r="CA50" s="5">
        <f t="shared" si="51"/>
        <v>0</v>
      </c>
      <c r="CB50" s="5">
        <f t="shared" si="52"/>
        <v>0</v>
      </c>
      <c r="CC50" s="5">
        <f t="shared" si="53"/>
        <v>0</v>
      </c>
      <c r="CD50" s="5">
        <f t="shared" si="54"/>
        <v>0</v>
      </c>
      <c r="CE50" s="5">
        <f t="shared" si="55"/>
        <v>0</v>
      </c>
      <c r="CF50" s="5">
        <f t="shared" si="56"/>
        <v>0</v>
      </c>
      <c r="CG50" s="5">
        <f t="shared" si="57"/>
        <v>0</v>
      </c>
      <c r="CH50" s="5">
        <f t="shared" si="58"/>
        <v>0</v>
      </c>
      <c r="CI50" s="5">
        <f t="shared" si="59"/>
        <v>0</v>
      </c>
      <c r="CJ50" s="5"/>
      <c r="CK50" s="4">
        <f t="shared" si="93"/>
        <v>0</v>
      </c>
    </row>
    <row r="51" spans="1:89" ht="47" customHeight="1">
      <c r="A51" s="33" t="str">
        <f t="shared" si="92"/>
        <v/>
      </c>
      <c r="B51" s="10"/>
      <c r="C51" s="57"/>
      <c r="D51" s="55"/>
      <c r="E51" s="53"/>
      <c r="F51" s="44">
        <f t="shared" si="126"/>
        <v>0</v>
      </c>
      <c r="G51" s="53"/>
      <c r="H51" s="55"/>
      <c r="I51" s="44">
        <f t="shared" si="127"/>
        <v>0</v>
      </c>
      <c r="J51" s="55"/>
      <c r="K51" s="55"/>
      <c r="L51" s="44">
        <f t="shared" si="128"/>
        <v>0</v>
      </c>
      <c r="M51" s="53"/>
      <c r="N51" s="53"/>
      <c r="O51" s="44">
        <f t="shared" si="129"/>
        <v>0</v>
      </c>
      <c r="P51" s="55"/>
      <c r="Q51" s="55"/>
      <c r="R51" s="44">
        <f t="shared" si="130"/>
        <v>0</v>
      </c>
      <c r="S51" s="55"/>
      <c r="T51" s="55"/>
      <c r="U51" s="44">
        <f t="shared" si="131"/>
        <v>0</v>
      </c>
      <c r="V51" s="53"/>
      <c r="W51" s="55"/>
      <c r="X51" s="44">
        <f t="shared" si="132"/>
        <v>0</v>
      </c>
      <c r="Y51" s="44"/>
      <c r="Z51" s="44"/>
      <c r="AA51" s="44"/>
      <c r="AB51" s="63">
        <f t="shared" si="133"/>
        <v>0</v>
      </c>
      <c r="AC51" s="23"/>
      <c r="AD51" s="6"/>
      <c r="AE51" s="7">
        <f t="shared" si="134"/>
        <v>0</v>
      </c>
      <c r="AF51" s="6"/>
      <c r="AG51" s="7">
        <f t="shared" si="135"/>
        <v>0</v>
      </c>
      <c r="AH51" s="6"/>
      <c r="AI51" s="7">
        <f t="shared" si="136"/>
        <v>0</v>
      </c>
      <c r="AJ51" s="6"/>
      <c r="AK51" s="7">
        <f t="shared" si="137"/>
        <v>0</v>
      </c>
      <c r="AL51" s="43"/>
      <c r="AM51" s="7">
        <f t="shared" si="138"/>
        <v>0</v>
      </c>
      <c r="AN51" s="6"/>
      <c r="AO51" s="7">
        <f t="shared" si="139"/>
        <v>0</v>
      </c>
      <c r="AP51" s="30">
        <f t="shared" si="140"/>
        <v>0</v>
      </c>
      <c r="AQ51" s="6"/>
      <c r="AR51" s="6"/>
      <c r="AS51" s="6"/>
      <c r="AT51" s="63">
        <f t="shared" si="141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28"/>
        <v>0</v>
      </c>
      <c r="BE51" s="5">
        <f t="shared" si="29"/>
        <v>0</v>
      </c>
      <c r="BF51" s="5">
        <f t="shared" si="30"/>
        <v>0</v>
      </c>
      <c r="BG51" s="5">
        <f t="shared" si="31"/>
        <v>0</v>
      </c>
      <c r="BH51" s="5">
        <f t="shared" si="32"/>
        <v>0</v>
      </c>
      <c r="BI51" s="5">
        <f t="shared" si="33"/>
        <v>0</v>
      </c>
      <c r="BJ51" s="5">
        <f t="shared" si="34"/>
        <v>0</v>
      </c>
      <c r="BK51" s="5">
        <f t="shared" si="35"/>
        <v>0</v>
      </c>
      <c r="BL51" s="5">
        <f t="shared" si="36"/>
        <v>0</v>
      </c>
      <c r="BM51" s="5">
        <f t="shared" si="37"/>
        <v>0</v>
      </c>
      <c r="BN51" s="5">
        <f t="shared" si="38"/>
        <v>0</v>
      </c>
      <c r="BO51" s="5">
        <f t="shared" si="39"/>
        <v>0</v>
      </c>
      <c r="BP51" s="5">
        <f t="shared" si="40"/>
        <v>0</v>
      </c>
      <c r="BQ51" s="5">
        <f t="shared" si="41"/>
        <v>0</v>
      </c>
      <c r="BR51" s="5">
        <f t="shared" si="42"/>
        <v>0</v>
      </c>
      <c r="BS51" s="5">
        <f t="shared" si="43"/>
        <v>0</v>
      </c>
      <c r="BT51" s="5">
        <f t="shared" si="44"/>
        <v>0</v>
      </c>
      <c r="BU51" s="5">
        <f t="shared" si="45"/>
        <v>0</v>
      </c>
      <c r="BV51" s="5">
        <f t="shared" si="46"/>
        <v>0</v>
      </c>
      <c r="BW51" s="5">
        <f t="shared" si="47"/>
        <v>0</v>
      </c>
      <c r="BX51" s="5">
        <f t="shared" si="48"/>
        <v>0</v>
      </c>
      <c r="BY51" s="5">
        <f t="shared" si="49"/>
        <v>0</v>
      </c>
      <c r="BZ51" s="5">
        <f t="shared" si="50"/>
        <v>0</v>
      </c>
      <c r="CA51" s="5">
        <f t="shared" si="51"/>
        <v>0</v>
      </c>
      <c r="CB51" s="5">
        <f t="shared" si="52"/>
        <v>0</v>
      </c>
      <c r="CC51" s="5">
        <f t="shared" si="53"/>
        <v>0</v>
      </c>
      <c r="CD51" s="5">
        <f t="shared" si="54"/>
        <v>0</v>
      </c>
      <c r="CE51" s="5">
        <f t="shared" si="55"/>
        <v>0</v>
      </c>
      <c r="CF51" s="5">
        <f t="shared" si="56"/>
        <v>0</v>
      </c>
      <c r="CG51" s="5">
        <f t="shared" si="57"/>
        <v>0</v>
      </c>
      <c r="CH51" s="5">
        <f t="shared" si="58"/>
        <v>0</v>
      </c>
      <c r="CI51" s="5">
        <f t="shared" si="59"/>
        <v>0</v>
      </c>
      <c r="CJ51" s="5"/>
      <c r="CK51" s="4">
        <f t="shared" si="93"/>
        <v>0</v>
      </c>
    </row>
    <row r="52" spans="1:89" ht="47" customHeight="1">
      <c r="A52" s="33" t="str">
        <f t="shared" si="92"/>
        <v/>
      </c>
      <c r="B52" s="10"/>
      <c r="C52" s="57"/>
      <c r="D52" s="55"/>
      <c r="E52" s="53"/>
      <c r="F52" s="44">
        <f t="shared" ref="F52:F63" si="142">BA52-BB52</f>
        <v>0</v>
      </c>
      <c r="G52" s="53"/>
      <c r="H52" s="55"/>
      <c r="I52" s="44">
        <f t="shared" ref="I52:I63" si="143">BF52-BG52</f>
        <v>0</v>
      </c>
      <c r="J52" s="55"/>
      <c r="K52" s="55"/>
      <c r="L52" s="44">
        <f t="shared" ref="L52:L63" si="144">BK52-BL52</f>
        <v>0</v>
      </c>
      <c r="M52" s="53"/>
      <c r="N52" s="53"/>
      <c r="O52" s="44">
        <f t="shared" ref="O52:O63" si="145">BP52-BQ52</f>
        <v>0</v>
      </c>
      <c r="P52" s="55"/>
      <c r="Q52" s="55"/>
      <c r="R52" s="44">
        <f t="shared" ref="R52:R63" si="146">BU52-BV52</f>
        <v>0</v>
      </c>
      <c r="S52" s="55"/>
      <c r="T52" s="55"/>
      <c r="U52" s="44">
        <f t="shared" ref="U52:U63" si="147">BZ52-CA52</f>
        <v>0</v>
      </c>
      <c r="V52" s="53"/>
      <c r="W52" s="55"/>
      <c r="X52" s="44">
        <f t="shared" ref="X52:X63" si="148">CE52-CF52</f>
        <v>0</v>
      </c>
      <c r="Y52" s="44"/>
      <c r="Z52" s="44"/>
      <c r="AA52" s="44"/>
      <c r="AB52" s="63">
        <f t="shared" ref="AB52:AB63" si="149">SUM(F52,I52,L52,O52,R52,U52,X52)</f>
        <v>0</v>
      </c>
      <c r="AC52" s="23"/>
      <c r="AD52" s="6"/>
      <c r="AE52" s="7">
        <f t="shared" ref="AE52:AE63" si="150">SUMIF($BC$1:$CI$1,AE$1,$BC52:$CI52)+AD52</f>
        <v>0</v>
      </c>
      <c r="AF52" s="6"/>
      <c r="AG52" s="7">
        <f t="shared" ref="AG52:AG63" si="151">SUMIF($BC$1:$CI$1,AG$1,$BC52:$CI52)+AF52</f>
        <v>0</v>
      </c>
      <c r="AH52" s="6"/>
      <c r="AI52" s="7">
        <f t="shared" ref="AI52:AI63" si="152">SUMIF($BC$1:$CI$1,AI$1,$BC52:$CI52)+AH52</f>
        <v>0</v>
      </c>
      <c r="AJ52" s="6"/>
      <c r="AK52" s="7">
        <f t="shared" ref="AK52:AK63" si="153">SUMIF($BC$1:$CI$1,AK$1,$BC52:$CI52)+AJ52</f>
        <v>0</v>
      </c>
      <c r="AL52" s="43"/>
      <c r="AM52" s="7">
        <f t="shared" ref="AM52:AM63" si="154">SUMIF($BC$1:$CI$1,AM$1,$BC52:$CI52)+AL52</f>
        <v>0</v>
      </c>
      <c r="AN52" s="6"/>
      <c r="AO52" s="7">
        <f t="shared" ref="AO52:AO63" si="155">SUMIF($BC$1:$CI$1,AO$1,$BC52:$CI52)+AN52</f>
        <v>0</v>
      </c>
      <c r="AP52" s="30">
        <f t="shared" ref="AP52:AP63" si="156">CK52</f>
        <v>0</v>
      </c>
      <c r="AQ52" s="6"/>
      <c r="AR52" s="6"/>
      <c r="AS52" s="6"/>
      <c r="AT52" s="63">
        <f t="shared" ref="AT52:AT63" si="157">AE52+AG52+AI52+AK52+AM52+AO52+SUM(AQ52:AS52)</f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28"/>
        <v>0</v>
      </c>
      <c r="BE52" s="5">
        <f t="shared" si="29"/>
        <v>0</v>
      </c>
      <c r="BF52" s="5">
        <f t="shared" si="30"/>
        <v>0</v>
      </c>
      <c r="BG52" s="5">
        <f t="shared" si="31"/>
        <v>0</v>
      </c>
      <c r="BH52" s="5">
        <f t="shared" si="32"/>
        <v>0</v>
      </c>
      <c r="BI52" s="5">
        <f t="shared" si="33"/>
        <v>0</v>
      </c>
      <c r="BJ52" s="5">
        <f t="shared" si="34"/>
        <v>0</v>
      </c>
      <c r="BK52" s="5">
        <f t="shared" si="35"/>
        <v>0</v>
      </c>
      <c r="BL52" s="5">
        <f t="shared" si="36"/>
        <v>0</v>
      </c>
      <c r="BM52" s="5">
        <f t="shared" si="37"/>
        <v>0</v>
      </c>
      <c r="BN52" s="5">
        <f t="shared" si="38"/>
        <v>0</v>
      </c>
      <c r="BO52" s="5">
        <f t="shared" si="39"/>
        <v>0</v>
      </c>
      <c r="BP52" s="5">
        <f t="shared" si="40"/>
        <v>0</v>
      </c>
      <c r="BQ52" s="5">
        <f t="shared" si="41"/>
        <v>0</v>
      </c>
      <c r="BR52" s="5">
        <f t="shared" si="42"/>
        <v>0</v>
      </c>
      <c r="BS52" s="5">
        <f t="shared" si="43"/>
        <v>0</v>
      </c>
      <c r="BT52" s="5">
        <f t="shared" si="44"/>
        <v>0</v>
      </c>
      <c r="BU52" s="5">
        <f t="shared" si="45"/>
        <v>0</v>
      </c>
      <c r="BV52" s="5">
        <f t="shared" si="46"/>
        <v>0</v>
      </c>
      <c r="BW52" s="5">
        <f t="shared" si="47"/>
        <v>0</v>
      </c>
      <c r="BX52" s="5">
        <f t="shared" si="48"/>
        <v>0</v>
      </c>
      <c r="BY52" s="5">
        <f t="shared" si="49"/>
        <v>0</v>
      </c>
      <c r="BZ52" s="5">
        <f t="shared" si="50"/>
        <v>0</v>
      </c>
      <c r="CA52" s="5">
        <f t="shared" si="51"/>
        <v>0</v>
      </c>
      <c r="CB52" s="5">
        <f t="shared" si="52"/>
        <v>0</v>
      </c>
      <c r="CC52" s="5">
        <f t="shared" si="53"/>
        <v>0</v>
      </c>
      <c r="CD52" s="5">
        <f t="shared" si="54"/>
        <v>0</v>
      </c>
      <c r="CE52" s="5">
        <f t="shared" si="55"/>
        <v>0</v>
      </c>
      <c r="CF52" s="5">
        <f t="shared" si="56"/>
        <v>0</v>
      </c>
      <c r="CG52" s="5">
        <f t="shared" si="57"/>
        <v>0</v>
      </c>
      <c r="CH52" s="5">
        <f t="shared" si="58"/>
        <v>0</v>
      </c>
      <c r="CI52" s="5">
        <f t="shared" si="59"/>
        <v>0</v>
      </c>
      <c r="CJ52" s="5"/>
      <c r="CK52" s="4">
        <f t="shared" si="93"/>
        <v>0</v>
      </c>
    </row>
    <row r="53" spans="1:89" ht="47" customHeight="1">
      <c r="A53" s="33" t="str">
        <f t="shared" si="92"/>
        <v/>
      </c>
      <c r="B53" s="10"/>
      <c r="C53" s="57"/>
      <c r="D53" s="55"/>
      <c r="E53" s="53"/>
      <c r="F53" s="44">
        <f t="shared" si="142"/>
        <v>0</v>
      </c>
      <c r="G53" s="53"/>
      <c r="H53" s="55"/>
      <c r="I53" s="44">
        <f t="shared" si="143"/>
        <v>0</v>
      </c>
      <c r="J53" s="55"/>
      <c r="K53" s="55"/>
      <c r="L53" s="44">
        <f t="shared" si="144"/>
        <v>0</v>
      </c>
      <c r="M53" s="53"/>
      <c r="N53" s="53"/>
      <c r="O53" s="44">
        <f t="shared" si="145"/>
        <v>0</v>
      </c>
      <c r="P53" s="55"/>
      <c r="Q53" s="55"/>
      <c r="R53" s="44">
        <f t="shared" si="146"/>
        <v>0</v>
      </c>
      <c r="S53" s="55"/>
      <c r="T53" s="55"/>
      <c r="U53" s="44">
        <f t="shared" si="147"/>
        <v>0</v>
      </c>
      <c r="V53" s="53"/>
      <c r="W53" s="55"/>
      <c r="X53" s="44">
        <f t="shared" si="148"/>
        <v>0</v>
      </c>
      <c r="Y53" s="44"/>
      <c r="Z53" s="44"/>
      <c r="AA53" s="44"/>
      <c r="AB53" s="63">
        <f t="shared" si="149"/>
        <v>0</v>
      </c>
      <c r="AC53" s="23"/>
      <c r="AD53" s="6"/>
      <c r="AE53" s="7">
        <f t="shared" si="150"/>
        <v>0</v>
      </c>
      <c r="AF53" s="6"/>
      <c r="AG53" s="7">
        <f t="shared" si="151"/>
        <v>0</v>
      </c>
      <c r="AH53" s="6"/>
      <c r="AI53" s="7">
        <f t="shared" si="152"/>
        <v>0</v>
      </c>
      <c r="AJ53" s="6"/>
      <c r="AK53" s="7">
        <f t="shared" si="153"/>
        <v>0</v>
      </c>
      <c r="AL53" s="43"/>
      <c r="AM53" s="7">
        <f t="shared" si="154"/>
        <v>0</v>
      </c>
      <c r="AN53" s="6"/>
      <c r="AO53" s="7">
        <f t="shared" si="155"/>
        <v>0</v>
      </c>
      <c r="AP53" s="30">
        <f t="shared" si="156"/>
        <v>0</v>
      </c>
      <c r="AQ53" s="6"/>
      <c r="AR53" s="6"/>
      <c r="AS53" s="6"/>
      <c r="AT53" s="63">
        <f t="shared" si="15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28"/>
        <v>0</v>
      </c>
      <c r="BE53" s="5">
        <f t="shared" si="29"/>
        <v>0</v>
      </c>
      <c r="BF53" s="5">
        <f t="shared" si="30"/>
        <v>0</v>
      </c>
      <c r="BG53" s="5">
        <f t="shared" si="31"/>
        <v>0</v>
      </c>
      <c r="BH53" s="5">
        <f t="shared" si="32"/>
        <v>0</v>
      </c>
      <c r="BI53" s="5">
        <f t="shared" si="33"/>
        <v>0</v>
      </c>
      <c r="BJ53" s="5">
        <f t="shared" si="34"/>
        <v>0</v>
      </c>
      <c r="BK53" s="5">
        <f t="shared" si="35"/>
        <v>0</v>
      </c>
      <c r="BL53" s="5">
        <f t="shared" si="36"/>
        <v>0</v>
      </c>
      <c r="BM53" s="5">
        <f t="shared" si="37"/>
        <v>0</v>
      </c>
      <c r="BN53" s="5">
        <f t="shared" si="38"/>
        <v>0</v>
      </c>
      <c r="BO53" s="5">
        <f t="shared" si="39"/>
        <v>0</v>
      </c>
      <c r="BP53" s="5">
        <f t="shared" si="40"/>
        <v>0</v>
      </c>
      <c r="BQ53" s="5">
        <f t="shared" si="41"/>
        <v>0</v>
      </c>
      <c r="BR53" s="5">
        <f t="shared" si="42"/>
        <v>0</v>
      </c>
      <c r="BS53" s="5">
        <f t="shared" si="43"/>
        <v>0</v>
      </c>
      <c r="BT53" s="5">
        <f t="shared" si="44"/>
        <v>0</v>
      </c>
      <c r="BU53" s="5">
        <f t="shared" si="45"/>
        <v>0</v>
      </c>
      <c r="BV53" s="5">
        <f t="shared" si="46"/>
        <v>0</v>
      </c>
      <c r="BW53" s="5">
        <f t="shared" si="47"/>
        <v>0</v>
      </c>
      <c r="BX53" s="5">
        <f t="shared" si="48"/>
        <v>0</v>
      </c>
      <c r="BY53" s="5">
        <f t="shared" si="49"/>
        <v>0</v>
      </c>
      <c r="BZ53" s="5">
        <f t="shared" si="50"/>
        <v>0</v>
      </c>
      <c r="CA53" s="5">
        <f t="shared" si="51"/>
        <v>0</v>
      </c>
      <c r="CB53" s="5">
        <f t="shared" si="52"/>
        <v>0</v>
      </c>
      <c r="CC53" s="5">
        <f t="shared" si="53"/>
        <v>0</v>
      </c>
      <c r="CD53" s="5">
        <f t="shared" si="54"/>
        <v>0</v>
      </c>
      <c r="CE53" s="5">
        <f t="shared" si="55"/>
        <v>0</v>
      </c>
      <c r="CF53" s="5">
        <f t="shared" si="56"/>
        <v>0</v>
      </c>
      <c r="CG53" s="5">
        <f t="shared" si="57"/>
        <v>0</v>
      </c>
      <c r="CH53" s="5">
        <f t="shared" si="58"/>
        <v>0</v>
      </c>
      <c r="CI53" s="5">
        <f t="shared" si="59"/>
        <v>0</v>
      </c>
      <c r="CJ53" s="5"/>
      <c r="CK53" s="4">
        <f t="shared" si="93"/>
        <v>0</v>
      </c>
    </row>
    <row r="54" spans="1:89" ht="47" customHeight="1">
      <c r="A54" s="33" t="str">
        <f t="shared" si="92"/>
        <v/>
      </c>
      <c r="B54" s="10"/>
      <c r="C54" s="57"/>
      <c r="D54" s="55"/>
      <c r="E54" s="53"/>
      <c r="F54" s="44">
        <f t="shared" si="142"/>
        <v>0</v>
      </c>
      <c r="G54" s="53"/>
      <c r="H54" s="55"/>
      <c r="I54" s="44">
        <f t="shared" si="143"/>
        <v>0</v>
      </c>
      <c r="J54" s="55"/>
      <c r="K54" s="55"/>
      <c r="L54" s="44">
        <f t="shared" si="144"/>
        <v>0</v>
      </c>
      <c r="M54" s="53"/>
      <c r="N54" s="53"/>
      <c r="O54" s="44">
        <f t="shared" si="145"/>
        <v>0</v>
      </c>
      <c r="P54" s="55"/>
      <c r="Q54" s="55"/>
      <c r="R54" s="44">
        <f t="shared" si="146"/>
        <v>0</v>
      </c>
      <c r="S54" s="55"/>
      <c r="T54" s="55"/>
      <c r="U54" s="44">
        <f t="shared" si="147"/>
        <v>0</v>
      </c>
      <c r="V54" s="53"/>
      <c r="W54" s="55"/>
      <c r="X54" s="44">
        <f t="shared" si="148"/>
        <v>0</v>
      </c>
      <c r="Y54" s="44"/>
      <c r="Z54" s="44"/>
      <c r="AA54" s="44"/>
      <c r="AB54" s="63">
        <f t="shared" si="149"/>
        <v>0</v>
      </c>
      <c r="AC54" s="23"/>
      <c r="AD54" s="6"/>
      <c r="AE54" s="7">
        <f t="shared" si="150"/>
        <v>0</v>
      </c>
      <c r="AF54" s="6"/>
      <c r="AG54" s="7">
        <f t="shared" si="151"/>
        <v>0</v>
      </c>
      <c r="AH54" s="6"/>
      <c r="AI54" s="7">
        <f t="shared" si="152"/>
        <v>0</v>
      </c>
      <c r="AJ54" s="6"/>
      <c r="AK54" s="7">
        <f t="shared" si="153"/>
        <v>0</v>
      </c>
      <c r="AL54" s="43"/>
      <c r="AM54" s="7">
        <f t="shared" si="154"/>
        <v>0</v>
      </c>
      <c r="AN54" s="6"/>
      <c r="AO54" s="7">
        <f t="shared" si="155"/>
        <v>0</v>
      </c>
      <c r="AP54" s="30">
        <f t="shared" si="156"/>
        <v>0</v>
      </c>
      <c r="AQ54" s="6"/>
      <c r="AR54" s="6"/>
      <c r="AS54" s="6"/>
      <c r="AT54" s="63">
        <f t="shared" si="15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28"/>
        <v>0</v>
      </c>
      <c r="BE54" s="5">
        <f t="shared" si="29"/>
        <v>0</v>
      </c>
      <c r="BF54" s="5">
        <f t="shared" si="30"/>
        <v>0</v>
      </c>
      <c r="BG54" s="5">
        <f t="shared" si="31"/>
        <v>0</v>
      </c>
      <c r="BH54" s="5">
        <f t="shared" si="32"/>
        <v>0</v>
      </c>
      <c r="BI54" s="5">
        <f t="shared" si="33"/>
        <v>0</v>
      </c>
      <c r="BJ54" s="5">
        <f t="shared" si="34"/>
        <v>0</v>
      </c>
      <c r="BK54" s="5">
        <f t="shared" si="35"/>
        <v>0</v>
      </c>
      <c r="BL54" s="5">
        <f t="shared" si="36"/>
        <v>0</v>
      </c>
      <c r="BM54" s="5">
        <f t="shared" si="37"/>
        <v>0</v>
      </c>
      <c r="BN54" s="5">
        <f t="shared" si="38"/>
        <v>0</v>
      </c>
      <c r="BO54" s="5">
        <f t="shared" si="39"/>
        <v>0</v>
      </c>
      <c r="BP54" s="5">
        <f t="shared" si="40"/>
        <v>0</v>
      </c>
      <c r="BQ54" s="5">
        <f t="shared" si="41"/>
        <v>0</v>
      </c>
      <c r="BR54" s="5">
        <f t="shared" si="42"/>
        <v>0</v>
      </c>
      <c r="BS54" s="5">
        <f t="shared" si="43"/>
        <v>0</v>
      </c>
      <c r="BT54" s="5">
        <f t="shared" si="44"/>
        <v>0</v>
      </c>
      <c r="BU54" s="5">
        <f t="shared" si="45"/>
        <v>0</v>
      </c>
      <c r="BV54" s="5">
        <f t="shared" si="46"/>
        <v>0</v>
      </c>
      <c r="BW54" s="5">
        <f t="shared" si="47"/>
        <v>0</v>
      </c>
      <c r="BX54" s="5">
        <f t="shared" si="48"/>
        <v>0</v>
      </c>
      <c r="BY54" s="5">
        <f t="shared" si="49"/>
        <v>0</v>
      </c>
      <c r="BZ54" s="5">
        <f t="shared" si="50"/>
        <v>0</v>
      </c>
      <c r="CA54" s="5">
        <f t="shared" si="51"/>
        <v>0</v>
      </c>
      <c r="CB54" s="5">
        <f t="shared" si="52"/>
        <v>0</v>
      </c>
      <c r="CC54" s="5">
        <f t="shared" si="53"/>
        <v>0</v>
      </c>
      <c r="CD54" s="5">
        <f t="shared" si="54"/>
        <v>0</v>
      </c>
      <c r="CE54" s="5">
        <f t="shared" si="55"/>
        <v>0</v>
      </c>
      <c r="CF54" s="5">
        <f t="shared" si="56"/>
        <v>0</v>
      </c>
      <c r="CG54" s="5">
        <f t="shared" si="57"/>
        <v>0</v>
      </c>
      <c r="CH54" s="5">
        <f t="shared" si="58"/>
        <v>0</v>
      </c>
      <c r="CI54" s="5">
        <f t="shared" si="59"/>
        <v>0</v>
      </c>
      <c r="CJ54" s="5"/>
      <c r="CK54" s="4">
        <f t="shared" si="93"/>
        <v>0</v>
      </c>
    </row>
    <row r="55" spans="1:89" ht="47" customHeight="1">
      <c r="A55" s="33" t="str">
        <f t="shared" si="92"/>
        <v/>
      </c>
      <c r="B55" s="10"/>
      <c r="C55" s="57"/>
      <c r="D55" s="55"/>
      <c r="E55" s="53"/>
      <c r="F55" s="44">
        <f t="shared" si="142"/>
        <v>0</v>
      </c>
      <c r="G55" s="53"/>
      <c r="H55" s="55"/>
      <c r="I55" s="44">
        <f t="shared" si="143"/>
        <v>0</v>
      </c>
      <c r="J55" s="55"/>
      <c r="K55" s="55"/>
      <c r="L55" s="44">
        <f t="shared" si="144"/>
        <v>0</v>
      </c>
      <c r="M55" s="53"/>
      <c r="N55" s="53"/>
      <c r="O55" s="44">
        <f t="shared" si="145"/>
        <v>0</v>
      </c>
      <c r="P55" s="55"/>
      <c r="Q55" s="55"/>
      <c r="R55" s="44">
        <f t="shared" si="146"/>
        <v>0</v>
      </c>
      <c r="S55" s="55"/>
      <c r="T55" s="55"/>
      <c r="U55" s="44">
        <f t="shared" si="147"/>
        <v>0</v>
      </c>
      <c r="V55" s="53"/>
      <c r="W55" s="55"/>
      <c r="X55" s="44">
        <f t="shared" si="148"/>
        <v>0</v>
      </c>
      <c r="Y55" s="44"/>
      <c r="Z55" s="44"/>
      <c r="AA55" s="44"/>
      <c r="AB55" s="63">
        <f t="shared" si="149"/>
        <v>0</v>
      </c>
      <c r="AC55" s="23"/>
      <c r="AD55" s="6"/>
      <c r="AE55" s="7">
        <f t="shared" si="150"/>
        <v>0</v>
      </c>
      <c r="AF55" s="6"/>
      <c r="AG55" s="7">
        <f t="shared" si="151"/>
        <v>0</v>
      </c>
      <c r="AH55" s="6"/>
      <c r="AI55" s="7">
        <f t="shared" si="152"/>
        <v>0</v>
      </c>
      <c r="AJ55" s="6"/>
      <c r="AK55" s="7">
        <f t="shared" si="153"/>
        <v>0</v>
      </c>
      <c r="AL55" s="43"/>
      <c r="AM55" s="7">
        <f t="shared" si="154"/>
        <v>0</v>
      </c>
      <c r="AN55" s="6"/>
      <c r="AO55" s="7">
        <f t="shared" si="155"/>
        <v>0</v>
      </c>
      <c r="AP55" s="30">
        <f t="shared" si="156"/>
        <v>0</v>
      </c>
      <c r="AQ55" s="6"/>
      <c r="AR55" s="6"/>
      <c r="AS55" s="6"/>
      <c r="AT55" s="63">
        <f t="shared" si="15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28"/>
        <v>0</v>
      </c>
      <c r="BE55" s="5">
        <f t="shared" si="29"/>
        <v>0</v>
      </c>
      <c r="BF55" s="5">
        <f t="shared" si="30"/>
        <v>0</v>
      </c>
      <c r="BG55" s="5">
        <f t="shared" si="31"/>
        <v>0</v>
      </c>
      <c r="BH55" s="5">
        <f t="shared" si="32"/>
        <v>0</v>
      </c>
      <c r="BI55" s="5">
        <f t="shared" si="33"/>
        <v>0</v>
      </c>
      <c r="BJ55" s="5">
        <f t="shared" si="34"/>
        <v>0</v>
      </c>
      <c r="BK55" s="5">
        <f t="shared" si="35"/>
        <v>0</v>
      </c>
      <c r="BL55" s="5">
        <f t="shared" si="36"/>
        <v>0</v>
      </c>
      <c r="BM55" s="5">
        <f t="shared" si="37"/>
        <v>0</v>
      </c>
      <c r="BN55" s="5">
        <f t="shared" si="38"/>
        <v>0</v>
      </c>
      <c r="BO55" s="5">
        <f t="shared" si="39"/>
        <v>0</v>
      </c>
      <c r="BP55" s="5">
        <f t="shared" si="40"/>
        <v>0</v>
      </c>
      <c r="BQ55" s="5">
        <f t="shared" si="41"/>
        <v>0</v>
      </c>
      <c r="BR55" s="5">
        <f t="shared" si="42"/>
        <v>0</v>
      </c>
      <c r="BS55" s="5">
        <f t="shared" si="43"/>
        <v>0</v>
      </c>
      <c r="BT55" s="5">
        <f t="shared" si="44"/>
        <v>0</v>
      </c>
      <c r="BU55" s="5">
        <f t="shared" si="45"/>
        <v>0</v>
      </c>
      <c r="BV55" s="5">
        <f t="shared" si="46"/>
        <v>0</v>
      </c>
      <c r="BW55" s="5">
        <f t="shared" si="47"/>
        <v>0</v>
      </c>
      <c r="BX55" s="5">
        <f t="shared" si="48"/>
        <v>0</v>
      </c>
      <c r="BY55" s="5">
        <f t="shared" si="49"/>
        <v>0</v>
      </c>
      <c r="BZ55" s="5">
        <f t="shared" si="50"/>
        <v>0</v>
      </c>
      <c r="CA55" s="5">
        <f t="shared" si="51"/>
        <v>0</v>
      </c>
      <c r="CB55" s="5">
        <f t="shared" si="52"/>
        <v>0</v>
      </c>
      <c r="CC55" s="5">
        <f t="shared" si="53"/>
        <v>0</v>
      </c>
      <c r="CD55" s="5">
        <f t="shared" si="54"/>
        <v>0</v>
      </c>
      <c r="CE55" s="5">
        <f t="shared" si="55"/>
        <v>0</v>
      </c>
      <c r="CF55" s="5">
        <f t="shared" si="56"/>
        <v>0</v>
      </c>
      <c r="CG55" s="5">
        <f t="shared" si="57"/>
        <v>0</v>
      </c>
      <c r="CH55" s="5">
        <f t="shared" si="58"/>
        <v>0</v>
      </c>
      <c r="CI55" s="5">
        <f t="shared" si="59"/>
        <v>0</v>
      </c>
      <c r="CJ55" s="5"/>
      <c r="CK55" s="4">
        <f t="shared" si="93"/>
        <v>0</v>
      </c>
    </row>
    <row r="56" spans="1:89" ht="47" customHeight="1">
      <c r="A56" s="33" t="str">
        <f t="shared" si="92"/>
        <v/>
      </c>
      <c r="B56" s="10"/>
      <c r="C56" s="57"/>
      <c r="D56" s="55"/>
      <c r="E56" s="53"/>
      <c r="F56" s="44">
        <f t="shared" si="142"/>
        <v>0</v>
      </c>
      <c r="G56" s="53"/>
      <c r="H56" s="55"/>
      <c r="I56" s="44">
        <f t="shared" si="143"/>
        <v>0</v>
      </c>
      <c r="J56" s="55"/>
      <c r="K56" s="55"/>
      <c r="L56" s="44">
        <f t="shared" si="144"/>
        <v>0</v>
      </c>
      <c r="M56" s="53"/>
      <c r="N56" s="53"/>
      <c r="O56" s="44">
        <f t="shared" si="145"/>
        <v>0</v>
      </c>
      <c r="P56" s="55"/>
      <c r="Q56" s="55"/>
      <c r="R56" s="44">
        <f t="shared" si="146"/>
        <v>0</v>
      </c>
      <c r="S56" s="55"/>
      <c r="T56" s="55"/>
      <c r="U56" s="44">
        <f t="shared" si="147"/>
        <v>0</v>
      </c>
      <c r="V56" s="53"/>
      <c r="W56" s="55"/>
      <c r="X56" s="44">
        <f t="shared" si="148"/>
        <v>0</v>
      </c>
      <c r="Y56" s="44"/>
      <c r="Z56" s="44"/>
      <c r="AA56" s="44"/>
      <c r="AB56" s="63">
        <f t="shared" si="149"/>
        <v>0</v>
      </c>
      <c r="AC56" s="23"/>
      <c r="AD56" s="6"/>
      <c r="AE56" s="7">
        <f t="shared" si="150"/>
        <v>0</v>
      </c>
      <c r="AF56" s="6"/>
      <c r="AG56" s="7">
        <f t="shared" si="151"/>
        <v>0</v>
      </c>
      <c r="AH56" s="6"/>
      <c r="AI56" s="7">
        <f t="shared" si="152"/>
        <v>0</v>
      </c>
      <c r="AJ56" s="6"/>
      <c r="AK56" s="7">
        <f t="shared" si="153"/>
        <v>0</v>
      </c>
      <c r="AL56" s="43"/>
      <c r="AM56" s="7">
        <f t="shared" si="154"/>
        <v>0</v>
      </c>
      <c r="AN56" s="6"/>
      <c r="AO56" s="7">
        <f t="shared" si="155"/>
        <v>0</v>
      </c>
      <c r="AP56" s="30">
        <f t="shared" si="156"/>
        <v>0</v>
      </c>
      <c r="AQ56" s="6"/>
      <c r="AR56" s="6"/>
      <c r="AS56" s="6"/>
      <c r="AT56" s="63">
        <f t="shared" si="15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28"/>
        <v>0</v>
      </c>
      <c r="BE56" s="5">
        <f t="shared" si="29"/>
        <v>0</v>
      </c>
      <c r="BF56" s="5">
        <f t="shared" si="30"/>
        <v>0</v>
      </c>
      <c r="BG56" s="5">
        <f t="shared" si="31"/>
        <v>0</v>
      </c>
      <c r="BH56" s="5">
        <f t="shared" si="32"/>
        <v>0</v>
      </c>
      <c r="BI56" s="5">
        <f t="shared" si="33"/>
        <v>0</v>
      </c>
      <c r="BJ56" s="5">
        <f t="shared" si="34"/>
        <v>0</v>
      </c>
      <c r="BK56" s="5">
        <f t="shared" si="35"/>
        <v>0</v>
      </c>
      <c r="BL56" s="5">
        <f t="shared" si="36"/>
        <v>0</v>
      </c>
      <c r="BM56" s="5">
        <f t="shared" si="37"/>
        <v>0</v>
      </c>
      <c r="BN56" s="5">
        <f t="shared" si="38"/>
        <v>0</v>
      </c>
      <c r="BO56" s="5">
        <f t="shared" si="39"/>
        <v>0</v>
      </c>
      <c r="BP56" s="5">
        <f t="shared" si="40"/>
        <v>0</v>
      </c>
      <c r="BQ56" s="5">
        <f t="shared" si="41"/>
        <v>0</v>
      </c>
      <c r="BR56" s="5">
        <f t="shared" si="42"/>
        <v>0</v>
      </c>
      <c r="BS56" s="5">
        <f t="shared" si="43"/>
        <v>0</v>
      </c>
      <c r="BT56" s="5">
        <f t="shared" si="44"/>
        <v>0</v>
      </c>
      <c r="BU56" s="5">
        <f t="shared" si="45"/>
        <v>0</v>
      </c>
      <c r="BV56" s="5">
        <f t="shared" si="46"/>
        <v>0</v>
      </c>
      <c r="BW56" s="5">
        <f t="shared" si="47"/>
        <v>0</v>
      </c>
      <c r="BX56" s="5">
        <f t="shared" si="48"/>
        <v>0</v>
      </c>
      <c r="BY56" s="5">
        <f t="shared" si="49"/>
        <v>0</v>
      </c>
      <c r="BZ56" s="5">
        <f t="shared" si="50"/>
        <v>0</v>
      </c>
      <c r="CA56" s="5">
        <f t="shared" si="51"/>
        <v>0</v>
      </c>
      <c r="CB56" s="5">
        <f t="shared" si="52"/>
        <v>0</v>
      </c>
      <c r="CC56" s="5">
        <f t="shared" si="53"/>
        <v>0</v>
      </c>
      <c r="CD56" s="5">
        <f t="shared" si="54"/>
        <v>0</v>
      </c>
      <c r="CE56" s="5">
        <f t="shared" si="55"/>
        <v>0</v>
      </c>
      <c r="CF56" s="5">
        <f t="shared" si="56"/>
        <v>0</v>
      </c>
      <c r="CG56" s="5">
        <f t="shared" si="57"/>
        <v>0</v>
      </c>
      <c r="CH56" s="5">
        <f t="shared" si="58"/>
        <v>0</v>
      </c>
      <c r="CI56" s="5">
        <f t="shared" si="59"/>
        <v>0</v>
      </c>
      <c r="CJ56" s="5"/>
      <c r="CK56" s="4">
        <f t="shared" si="93"/>
        <v>0</v>
      </c>
    </row>
    <row r="57" spans="1:89" ht="47" customHeight="1">
      <c r="A57" s="33" t="str">
        <f t="shared" si="92"/>
        <v/>
      </c>
      <c r="B57" s="10"/>
      <c r="C57" s="57"/>
      <c r="D57" s="55"/>
      <c r="E57" s="53"/>
      <c r="F57" s="44">
        <f t="shared" si="142"/>
        <v>0</v>
      </c>
      <c r="G57" s="53"/>
      <c r="H57" s="55"/>
      <c r="I57" s="44">
        <f t="shared" si="143"/>
        <v>0</v>
      </c>
      <c r="J57" s="55"/>
      <c r="K57" s="55"/>
      <c r="L57" s="44">
        <f t="shared" si="144"/>
        <v>0</v>
      </c>
      <c r="M57" s="53"/>
      <c r="N57" s="53"/>
      <c r="O57" s="44">
        <f t="shared" si="145"/>
        <v>0</v>
      </c>
      <c r="P57" s="55"/>
      <c r="Q57" s="55"/>
      <c r="R57" s="44">
        <f t="shared" si="146"/>
        <v>0</v>
      </c>
      <c r="S57" s="55"/>
      <c r="T57" s="55"/>
      <c r="U57" s="44">
        <f t="shared" si="147"/>
        <v>0</v>
      </c>
      <c r="V57" s="53"/>
      <c r="W57" s="55"/>
      <c r="X57" s="44">
        <f t="shared" si="148"/>
        <v>0</v>
      </c>
      <c r="Y57" s="44"/>
      <c r="Z57" s="44"/>
      <c r="AA57" s="44"/>
      <c r="AB57" s="63">
        <f t="shared" si="149"/>
        <v>0</v>
      </c>
      <c r="AC57" s="23"/>
      <c r="AD57" s="6"/>
      <c r="AE57" s="7">
        <f t="shared" si="150"/>
        <v>0</v>
      </c>
      <c r="AF57" s="6"/>
      <c r="AG57" s="7">
        <f t="shared" si="151"/>
        <v>0</v>
      </c>
      <c r="AH57" s="6"/>
      <c r="AI57" s="7">
        <f t="shared" si="152"/>
        <v>0</v>
      </c>
      <c r="AJ57" s="6"/>
      <c r="AK57" s="7">
        <f t="shared" si="153"/>
        <v>0</v>
      </c>
      <c r="AL57" s="43"/>
      <c r="AM57" s="7">
        <f t="shared" si="154"/>
        <v>0</v>
      </c>
      <c r="AN57" s="6"/>
      <c r="AO57" s="7">
        <f t="shared" si="155"/>
        <v>0</v>
      </c>
      <c r="AP57" s="30">
        <f t="shared" si="156"/>
        <v>0</v>
      </c>
      <c r="AQ57" s="6"/>
      <c r="AR57" s="6"/>
      <c r="AS57" s="6"/>
      <c r="AT57" s="63">
        <f t="shared" si="15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28"/>
        <v>0</v>
      </c>
      <c r="BE57" s="5">
        <f t="shared" si="29"/>
        <v>0</v>
      </c>
      <c r="BF57" s="5">
        <f t="shared" si="30"/>
        <v>0</v>
      </c>
      <c r="BG57" s="5">
        <f t="shared" si="31"/>
        <v>0</v>
      </c>
      <c r="BH57" s="5">
        <f t="shared" si="32"/>
        <v>0</v>
      </c>
      <c r="BI57" s="5">
        <f t="shared" si="33"/>
        <v>0</v>
      </c>
      <c r="BJ57" s="5">
        <f t="shared" si="34"/>
        <v>0</v>
      </c>
      <c r="BK57" s="5">
        <f t="shared" si="35"/>
        <v>0</v>
      </c>
      <c r="BL57" s="5">
        <f t="shared" si="36"/>
        <v>0</v>
      </c>
      <c r="BM57" s="5">
        <f t="shared" si="37"/>
        <v>0</v>
      </c>
      <c r="BN57" s="5">
        <f t="shared" si="38"/>
        <v>0</v>
      </c>
      <c r="BO57" s="5">
        <f t="shared" si="39"/>
        <v>0</v>
      </c>
      <c r="BP57" s="5">
        <f t="shared" si="40"/>
        <v>0</v>
      </c>
      <c r="BQ57" s="5">
        <f t="shared" si="41"/>
        <v>0</v>
      </c>
      <c r="BR57" s="5">
        <f t="shared" si="42"/>
        <v>0</v>
      </c>
      <c r="BS57" s="5">
        <f t="shared" si="43"/>
        <v>0</v>
      </c>
      <c r="BT57" s="5">
        <f t="shared" si="44"/>
        <v>0</v>
      </c>
      <c r="BU57" s="5">
        <f t="shared" si="45"/>
        <v>0</v>
      </c>
      <c r="BV57" s="5">
        <f t="shared" si="46"/>
        <v>0</v>
      </c>
      <c r="BW57" s="5">
        <f t="shared" si="47"/>
        <v>0</v>
      </c>
      <c r="BX57" s="5">
        <f t="shared" si="48"/>
        <v>0</v>
      </c>
      <c r="BY57" s="5">
        <f t="shared" si="49"/>
        <v>0</v>
      </c>
      <c r="BZ57" s="5">
        <f t="shared" si="50"/>
        <v>0</v>
      </c>
      <c r="CA57" s="5">
        <f t="shared" si="51"/>
        <v>0</v>
      </c>
      <c r="CB57" s="5">
        <f t="shared" si="52"/>
        <v>0</v>
      </c>
      <c r="CC57" s="5">
        <f t="shared" si="53"/>
        <v>0</v>
      </c>
      <c r="CD57" s="5">
        <f t="shared" si="54"/>
        <v>0</v>
      </c>
      <c r="CE57" s="5">
        <f t="shared" si="55"/>
        <v>0</v>
      </c>
      <c r="CF57" s="5">
        <f t="shared" si="56"/>
        <v>0</v>
      </c>
      <c r="CG57" s="5">
        <f t="shared" si="57"/>
        <v>0</v>
      </c>
      <c r="CH57" s="5">
        <f t="shared" si="58"/>
        <v>0</v>
      </c>
      <c r="CI57" s="5">
        <f t="shared" si="59"/>
        <v>0</v>
      </c>
      <c r="CJ57" s="5"/>
      <c r="CK57" s="4">
        <f t="shared" si="93"/>
        <v>0</v>
      </c>
    </row>
    <row r="58" spans="1:89" ht="47" customHeight="1">
      <c r="A58" s="33" t="str">
        <f t="shared" si="92"/>
        <v/>
      </c>
      <c r="B58" s="10"/>
      <c r="C58" s="57"/>
      <c r="D58" s="55"/>
      <c r="E58" s="53"/>
      <c r="F58" s="44">
        <f t="shared" si="142"/>
        <v>0</v>
      </c>
      <c r="G58" s="53"/>
      <c r="H58" s="55"/>
      <c r="I58" s="44">
        <f t="shared" si="143"/>
        <v>0</v>
      </c>
      <c r="J58" s="55"/>
      <c r="K58" s="55"/>
      <c r="L58" s="44">
        <f t="shared" si="144"/>
        <v>0</v>
      </c>
      <c r="M58" s="53"/>
      <c r="N58" s="53"/>
      <c r="O58" s="44">
        <f t="shared" si="145"/>
        <v>0</v>
      </c>
      <c r="P58" s="55"/>
      <c r="Q58" s="55"/>
      <c r="R58" s="44">
        <f t="shared" si="146"/>
        <v>0</v>
      </c>
      <c r="S58" s="55"/>
      <c r="T58" s="55"/>
      <c r="U58" s="44">
        <f t="shared" si="147"/>
        <v>0</v>
      </c>
      <c r="V58" s="53"/>
      <c r="W58" s="55"/>
      <c r="X58" s="44">
        <f t="shared" si="148"/>
        <v>0</v>
      </c>
      <c r="Y58" s="44"/>
      <c r="Z58" s="44"/>
      <c r="AA58" s="44"/>
      <c r="AB58" s="63">
        <f t="shared" si="149"/>
        <v>0</v>
      </c>
      <c r="AC58" s="23"/>
      <c r="AD58" s="6"/>
      <c r="AE58" s="7">
        <f t="shared" si="150"/>
        <v>0</v>
      </c>
      <c r="AF58" s="6"/>
      <c r="AG58" s="7">
        <f t="shared" si="151"/>
        <v>0</v>
      </c>
      <c r="AH58" s="6"/>
      <c r="AI58" s="7">
        <f t="shared" si="152"/>
        <v>0</v>
      </c>
      <c r="AJ58" s="6"/>
      <c r="AK58" s="7">
        <f t="shared" si="153"/>
        <v>0</v>
      </c>
      <c r="AL58" s="43"/>
      <c r="AM58" s="7">
        <f t="shared" si="154"/>
        <v>0</v>
      </c>
      <c r="AN58" s="6"/>
      <c r="AO58" s="7">
        <f t="shared" si="155"/>
        <v>0</v>
      </c>
      <c r="AP58" s="30">
        <f t="shared" si="156"/>
        <v>0</v>
      </c>
      <c r="AQ58" s="6"/>
      <c r="AR58" s="6"/>
      <c r="AS58" s="6"/>
      <c r="AT58" s="63">
        <f t="shared" si="15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28"/>
        <v>0</v>
      </c>
      <c r="BE58" s="5">
        <f t="shared" si="29"/>
        <v>0</v>
      </c>
      <c r="BF58" s="5">
        <f t="shared" si="30"/>
        <v>0</v>
      </c>
      <c r="BG58" s="5">
        <f t="shared" si="31"/>
        <v>0</v>
      </c>
      <c r="BH58" s="5">
        <f t="shared" si="32"/>
        <v>0</v>
      </c>
      <c r="BI58" s="5">
        <f t="shared" si="33"/>
        <v>0</v>
      </c>
      <c r="BJ58" s="5">
        <f t="shared" si="34"/>
        <v>0</v>
      </c>
      <c r="BK58" s="5">
        <f t="shared" si="35"/>
        <v>0</v>
      </c>
      <c r="BL58" s="5">
        <f t="shared" si="36"/>
        <v>0</v>
      </c>
      <c r="BM58" s="5">
        <f t="shared" si="37"/>
        <v>0</v>
      </c>
      <c r="BN58" s="5">
        <f t="shared" si="38"/>
        <v>0</v>
      </c>
      <c r="BO58" s="5">
        <f t="shared" si="39"/>
        <v>0</v>
      </c>
      <c r="BP58" s="5">
        <f t="shared" si="40"/>
        <v>0</v>
      </c>
      <c r="BQ58" s="5">
        <f t="shared" si="41"/>
        <v>0</v>
      </c>
      <c r="BR58" s="5">
        <f t="shared" si="42"/>
        <v>0</v>
      </c>
      <c r="BS58" s="5">
        <f t="shared" si="43"/>
        <v>0</v>
      </c>
      <c r="BT58" s="5">
        <f t="shared" si="44"/>
        <v>0</v>
      </c>
      <c r="BU58" s="5">
        <f t="shared" si="45"/>
        <v>0</v>
      </c>
      <c r="BV58" s="5">
        <f t="shared" si="46"/>
        <v>0</v>
      </c>
      <c r="BW58" s="5">
        <f t="shared" si="47"/>
        <v>0</v>
      </c>
      <c r="BX58" s="5">
        <f t="shared" si="48"/>
        <v>0</v>
      </c>
      <c r="BY58" s="5">
        <f t="shared" si="49"/>
        <v>0</v>
      </c>
      <c r="BZ58" s="5">
        <f t="shared" si="50"/>
        <v>0</v>
      </c>
      <c r="CA58" s="5">
        <f t="shared" si="51"/>
        <v>0</v>
      </c>
      <c r="CB58" s="5">
        <f t="shared" si="52"/>
        <v>0</v>
      </c>
      <c r="CC58" s="5">
        <f t="shared" si="53"/>
        <v>0</v>
      </c>
      <c r="CD58" s="5">
        <f t="shared" si="54"/>
        <v>0</v>
      </c>
      <c r="CE58" s="5">
        <f t="shared" si="55"/>
        <v>0</v>
      </c>
      <c r="CF58" s="5">
        <f t="shared" si="56"/>
        <v>0</v>
      </c>
      <c r="CG58" s="5">
        <f t="shared" si="57"/>
        <v>0</v>
      </c>
      <c r="CH58" s="5">
        <f t="shared" si="58"/>
        <v>0</v>
      </c>
      <c r="CI58" s="5">
        <f t="shared" si="59"/>
        <v>0</v>
      </c>
      <c r="CJ58" s="5"/>
      <c r="CK58" s="4">
        <f t="shared" si="93"/>
        <v>0</v>
      </c>
    </row>
    <row r="59" spans="1:89" ht="47" customHeight="1">
      <c r="A59" s="33" t="str">
        <f t="shared" si="92"/>
        <v/>
      </c>
      <c r="B59" s="10"/>
      <c r="C59" s="57"/>
      <c r="D59" s="55"/>
      <c r="E59" s="53"/>
      <c r="F59" s="44">
        <f t="shared" si="142"/>
        <v>0</v>
      </c>
      <c r="G59" s="53"/>
      <c r="H59" s="55"/>
      <c r="I59" s="44">
        <f t="shared" si="143"/>
        <v>0</v>
      </c>
      <c r="J59" s="55"/>
      <c r="K59" s="55"/>
      <c r="L59" s="44">
        <f t="shared" si="144"/>
        <v>0</v>
      </c>
      <c r="M59" s="53"/>
      <c r="N59" s="53"/>
      <c r="O59" s="44">
        <f t="shared" si="145"/>
        <v>0</v>
      </c>
      <c r="P59" s="55"/>
      <c r="Q59" s="55"/>
      <c r="R59" s="44">
        <f t="shared" si="146"/>
        <v>0</v>
      </c>
      <c r="S59" s="55"/>
      <c r="T59" s="55"/>
      <c r="U59" s="44">
        <f t="shared" si="147"/>
        <v>0</v>
      </c>
      <c r="V59" s="53"/>
      <c r="W59" s="55"/>
      <c r="X59" s="44">
        <f t="shared" si="148"/>
        <v>0</v>
      </c>
      <c r="Y59" s="44"/>
      <c r="Z59" s="44"/>
      <c r="AA59" s="44"/>
      <c r="AB59" s="63">
        <f t="shared" si="149"/>
        <v>0</v>
      </c>
      <c r="AC59" s="23"/>
      <c r="AD59" s="6"/>
      <c r="AE59" s="7">
        <f t="shared" si="150"/>
        <v>0</v>
      </c>
      <c r="AF59" s="6"/>
      <c r="AG59" s="7">
        <f t="shared" si="151"/>
        <v>0</v>
      </c>
      <c r="AH59" s="6"/>
      <c r="AI59" s="7">
        <f t="shared" si="152"/>
        <v>0</v>
      </c>
      <c r="AJ59" s="6"/>
      <c r="AK59" s="7">
        <f t="shared" si="153"/>
        <v>0</v>
      </c>
      <c r="AL59" s="43"/>
      <c r="AM59" s="7">
        <f t="shared" si="154"/>
        <v>0</v>
      </c>
      <c r="AN59" s="6"/>
      <c r="AO59" s="7">
        <f t="shared" si="155"/>
        <v>0</v>
      </c>
      <c r="AP59" s="30">
        <f t="shared" si="156"/>
        <v>0</v>
      </c>
      <c r="AQ59" s="6"/>
      <c r="AR59" s="6"/>
      <c r="AS59" s="6"/>
      <c r="AT59" s="63">
        <f t="shared" si="15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28"/>
        <v>0</v>
      </c>
      <c r="BE59" s="5">
        <f t="shared" si="29"/>
        <v>0</v>
      </c>
      <c r="BF59" s="5">
        <f t="shared" si="30"/>
        <v>0</v>
      </c>
      <c r="BG59" s="5">
        <f t="shared" si="31"/>
        <v>0</v>
      </c>
      <c r="BH59" s="5">
        <f t="shared" si="32"/>
        <v>0</v>
      </c>
      <c r="BI59" s="5">
        <f t="shared" si="33"/>
        <v>0</v>
      </c>
      <c r="BJ59" s="5">
        <f t="shared" si="34"/>
        <v>0</v>
      </c>
      <c r="BK59" s="5">
        <f t="shared" si="35"/>
        <v>0</v>
      </c>
      <c r="BL59" s="5">
        <f t="shared" si="36"/>
        <v>0</v>
      </c>
      <c r="BM59" s="5">
        <f t="shared" si="37"/>
        <v>0</v>
      </c>
      <c r="BN59" s="5">
        <f t="shared" si="38"/>
        <v>0</v>
      </c>
      <c r="BO59" s="5">
        <f t="shared" si="39"/>
        <v>0</v>
      </c>
      <c r="BP59" s="5">
        <f t="shared" si="40"/>
        <v>0</v>
      </c>
      <c r="BQ59" s="5">
        <f t="shared" si="41"/>
        <v>0</v>
      </c>
      <c r="BR59" s="5">
        <f t="shared" si="42"/>
        <v>0</v>
      </c>
      <c r="BS59" s="5">
        <f t="shared" si="43"/>
        <v>0</v>
      </c>
      <c r="BT59" s="5">
        <f t="shared" si="44"/>
        <v>0</v>
      </c>
      <c r="BU59" s="5">
        <f t="shared" si="45"/>
        <v>0</v>
      </c>
      <c r="BV59" s="5">
        <f t="shared" si="46"/>
        <v>0</v>
      </c>
      <c r="BW59" s="5">
        <f t="shared" si="47"/>
        <v>0</v>
      </c>
      <c r="BX59" s="5">
        <f t="shared" si="48"/>
        <v>0</v>
      </c>
      <c r="BY59" s="5">
        <f t="shared" si="49"/>
        <v>0</v>
      </c>
      <c r="BZ59" s="5">
        <f t="shared" si="50"/>
        <v>0</v>
      </c>
      <c r="CA59" s="5">
        <f t="shared" si="51"/>
        <v>0</v>
      </c>
      <c r="CB59" s="5">
        <f t="shared" si="52"/>
        <v>0</v>
      </c>
      <c r="CC59" s="5">
        <f t="shared" si="53"/>
        <v>0</v>
      </c>
      <c r="CD59" s="5">
        <f t="shared" si="54"/>
        <v>0</v>
      </c>
      <c r="CE59" s="5">
        <f t="shared" si="55"/>
        <v>0</v>
      </c>
      <c r="CF59" s="5">
        <f t="shared" si="56"/>
        <v>0</v>
      </c>
      <c r="CG59" s="5">
        <f t="shared" si="57"/>
        <v>0</v>
      </c>
      <c r="CH59" s="5">
        <f t="shared" si="58"/>
        <v>0</v>
      </c>
      <c r="CI59" s="5">
        <f t="shared" si="59"/>
        <v>0</v>
      </c>
      <c r="CJ59" s="5"/>
      <c r="CK59" s="4">
        <f t="shared" si="93"/>
        <v>0</v>
      </c>
    </row>
    <row r="60" spans="1:89" ht="47" customHeight="1">
      <c r="A60" s="33" t="str">
        <f t="shared" si="92"/>
        <v/>
      </c>
      <c r="B60" s="10"/>
      <c r="C60" s="57"/>
      <c r="D60" s="55"/>
      <c r="E60" s="53"/>
      <c r="F60" s="44">
        <f t="shared" si="142"/>
        <v>0</v>
      </c>
      <c r="G60" s="53"/>
      <c r="H60" s="55"/>
      <c r="I60" s="44">
        <f t="shared" si="143"/>
        <v>0</v>
      </c>
      <c r="J60" s="55"/>
      <c r="K60" s="55"/>
      <c r="L60" s="44">
        <f t="shared" si="144"/>
        <v>0</v>
      </c>
      <c r="M60" s="53"/>
      <c r="N60" s="53"/>
      <c r="O60" s="44">
        <f t="shared" si="145"/>
        <v>0</v>
      </c>
      <c r="P60" s="55"/>
      <c r="Q60" s="55"/>
      <c r="R60" s="44">
        <f t="shared" si="146"/>
        <v>0</v>
      </c>
      <c r="S60" s="55"/>
      <c r="T60" s="55"/>
      <c r="U60" s="44">
        <f t="shared" si="147"/>
        <v>0</v>
      </c>
      <c r="V60" s="53"/>
      <c r="W60" s="55"/>
      <c r="X60" s="44">
        <f t="shared" si="148"/>
        <v>0</v>
      </c>
      <c r="Y60" s="44"/>
      <c r="Z60" s="44"/>
      <c r="AA60" s="44"/>
      <c r="AB60" s="63">
        <f t="shared" si="149"/>
        <v>0</v>
      </c>
      <c r="AC60" s="23"/>
      <c r="AD60" s="6"/>
      <c r="AE60" s="7">
        <f t="shared" si="150"/>
        <v>0</v>
      </c>
      <c r="AF60" s="6"/>
      <c r="AG60" s="7">
        <f t="shared" si="151"/>
        <v>0</v>
      </c>
      <c r="AH60" s="6"/>
      <c r="AI60" s="7">
        <f t="shared" si="152"/>
        <v>0</v>
      </c>
      <c r="AJ60" s="6"/>
      <c r="AK60" s="7">
        <f t="shared" si="153"/>
        <v>0</v>
      </c>
      <c r="AL60" s="43"/>
      <c r="AM60" s="7">
        <f t="shared" si="154"/>
        <v>0</v>
      </c>
      <c r="AN60" s="6"/>
      <c r="AO60" s="7">
        <f t="shared" si="155"/>
        <v>0</v>
      </c>
      <c r="AP60" s="30">
        <f t="shared" si="156"/>
        <v>0</v>
      </c>
      <c r="AQ60" s="6"/>
      <c r="AR60" s="6"/>
      <c r="AS60" s="6"/>
      <c r="AT60" s="63">
        <f t="shared" si="157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28"/>
        <v>0</v>
      </c>
      <c r="BE60" s="5">
        <f t="shared" si="29"/>
        <v>0</v>
      </c>
      <c r="BF60" s="5">
        <f t="shared" si="30"/>
        <v>0</v>
      </c>
      <c r="BG60" s="5">
        <f t="shared" si="31"/>
        <v>0</v>
      </c>
      <c r="BH60" s="5">
        <f t="shared" si="32"/>
        <v>0</v>
      </c>
      <c r="BI60" s="5">
        <f t="shared" si="33"/>
        <v>0</v>
      </c>
      <c r="BJ60" s="5">
        <f t="shared" si="34"/>
        <v>0</v>
      </c>
      <c r="BK60" s="5">
        <f t="shared" si="35"/>
        <v>0</v>
      </c>
      <c r="BL60" s="5">
        <f t="shared" si="36"/>
        <v>0</v>
      </c>
      <c r="BM60" s="5">
        <f t="shared" si="37"/>
        <v>0</v>
      </c>
      <c r="BN60" s="5">
        <f t="shared" si="38"/>
        <v>0</v>
      </c>
      <c r="BO60" s="5">
        <f t="shared" si="39"/>
        <v>0</v>
      </c>
      <c r="BP60" s="5">
        <f t="shared" si="40"/>
        <v>0</v>
      </c>
      <c r="BQ60" s="5">
        <f t="shared" si="41"/>
        <v>0</v>
      </c>
      <c r="BR60" s="5">
        <f t="shared" si="42"/>
        <v>0</v>
      </c>
      <c r="BS60" s="5">
        <f t="shared" si="43"/>
        <v>0</v>
      </c>
      <c r="BT60" s="5">
        <f t="shared" si="44"/>
        <v>0</v>
      </c>
      <c r="BU60" s="5">
        <f t="shared" si="45"/>
        <v>0</v>
      </c>
      <c r="BV60" s="5">
        <f t="shared" si="46"/>
        <v>0</v>
      </c>
      <c r="BW60" s="5">
        <f t="shared" si="47"/>
        <v>0</v>
      </c>
      <c r="BX60" s="5">
        <f t="shared" si="48"/>
        <v>0</v>
      </c>
      <c r="BY60" s="5">
        <f t="shared" si="49"/>
        <v>0</v>
      </c>
      <c r="BZ60" s="5">
        <f t="shared" si="50"/>
        <v>0</v>
      </c>
      <c r="CA60" s="5">
        <f t="shared" si="51"/>
        <v>0</v>
      </c>
      <c r="CB60" s="5">
        <f t="shared" si="52"/>
        <v>0</v>
      </c>
      <c r="CC60" s="5">
        <f t="shared" si="53"/>
        <v>0</v>
      </c>
      <c r="CD60" s="5">
        <f t="shared" si="54"/>
        <v>0</v>
      </c>
      <c r="CE60" s="5">
        <f t="shared" si="55"/>
        <v>0</v>
      </c>
      <c r="CF60" s="5">
        <f t="shared" si="56"/>
        <v>0</v>
      </c>
      <c r="CG60" s="5">
        <f t="shared" si="57"/>
        <v>0</v>
      </c>
      <c r="CH60" s="5">
        <f t="shared" si="58"/>
        <v>0</v>
      </c>
      <c r="CI60" s="5">
        <f t="shared" si="59"/>
        <v>0</v>
      </c>
      <c r="CJ60" s="5"/>
      <c r="CK60" s="4">
        <f t="shared" si="93"/>
        <v>0</v>
      </c>
    </row>
    <row r="61" spans="1:89" ht="47" customHeight="1">
      <c r="A61" s="33" t="str">
        <f t="shared" si="92"/>
        <v/>
      </c>
      <c r="B61" s="10"/>
      <c r="C61" s="57"/>
      <c r="D61" s="55"/>
      <c r="E61" s="53"/>
      <c r="F61" s="44">
        <f t="shared" si="142"/>
        <v>0</v>
      </c>
      <c r="G61" s="53"/>
      <c r="H61" s="55"/>
      <c r="I61" s="44">
        <f t="shared" si="143"/>
        <v>0</v>
      </c>
      <c r="J61" s="55"/>
      <c r="K61" s="55"/>
      <c r="L61" s="44">
        <f t="shared" si="144"/>
        <v>0</v>
      </c>
      <c r="M61" s="53"/>
      <c r="N61" s="53"/>
      <c r="O61" s="44">
        <f t="shared" si="145"/>
        <v>0</v>
      </c>
      <c r="P61" s="55"/>
      <c r="Q61" s="55"/>
      <c r="R61" s="44">
        <f t="shared" si="146"/>
        <v>0</v>
      </c>
      <c r="S61" s="55"/>
      <c r="T61" s="55"/>
      <c r="U61" s="44">
        <f t="shared" si="147"/>
        <v>0</v>
      </c>
      <c r="V61" s="53"/>
      <c r="W61" s="55"/>
      <c r="X61" s="44">
        <f t="shared" si="148"/>
        <v>0</v>
      </c>
      <c r="Y61" s="44"/>
      <c r="Z61" s="44"/>
      <c r="AA61" s="44"/>
      <c r="AB61" s="63">
        <f t="shared" si="149"/>
        <v>0</v>
      </c>
      <c r="AC61" s="23"/>
      <c r="AD61" s="6"/>
      <c r="AE61" s="7">
        <f t="shared" si="150"/>
        <v>0</v>
      </c>
      <c r="AF61" s="6"/>
      <c r="AG61" s="7">
        <f t="shared" si="151"/>
        <v>0</v>
      </c>
      <c r="AH61" s="6"/>
      <c r="AI61" s="7">
        <f t="shared" si="152"/>
        <v>0</v>
      </c>
      <c r="AJ61" s="6"/>
      <c r="AK61" s="7">
        <f t="shared" si="153"/>
        <v>0</v>
      </c>
      <c r="AL61" s="43"/>
      <c r="AM61" s="7">
        <f t="shared" si="154"/>
        <v>0</v>
      </c>
      <c r="AN61" s="6"/>
      <c r="AO61" s="7">
        <f t="shared" si="155"/>
        <v>0</v>
      </c>
      <c r="AP61" s="30">
        <f t="shared" si="156"/>
        <v>0</v>
      </c>
      <c r="AQ61" s="6"/>
      <c r="AR61" s="6"/>
      <c r="AS61" s="6"/>
      <c r="AT61" s="63">
        <f t="shared" si="157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28"/>
        <v>0</v>
      </c>
      <c r="BE61" s="5">
        <f t="shared" si="29"/>
        <v>0</v>
      </c>
      <c r="BF61" s="5">
        <f t="shared" si="30"/>
        <v>0</v>
      </c>
      <c r="BG61" s="5">
        <f t="shared" si="31"/>
        <v>0</v>
      </c>
      <c r="BH61" s="5">
        <f t="shared" si="32"/>
        <v>0</v>
      </c>
      <c r="BI61" s="5">
        <f t="shared" si="33"/>
        <v>0</v>
      </c>
      <c r="BJ61" s="5">
        <f t="shared" si="34"/>
        <v>0</v>
      </c>
      <c r="BK61" s="5">
        <f t="shared" si="35"/>
        <v>0</v>
      </c>
      <c r="BL61" s="5">
        <f t="shared" si="36"/>
        <v>0</v>
      </c>
      <c r="BM61" s="5">
        <f t="shared" si="37"/>
        <v>0</v>
      </c>
      <c r="BN61" s="5">
        <f t="shared" si="38"/>
        <v>0</v>
      </c>
      <c r="BO61" s="5">
        <f t="shared" si="39"/>
        <v>0</v>
      </c>
      <c r="BP61" s="5">
        <f t="shared" si="40"/>
        <v>0</v>
      </c>
      <c r="BQ61" s="5">
        <f t="shared" si="41"/>
        <v>0</v>
      </c>
      <c r="BR61" s="5">
        <f t="shared" si="42"/>
        <v>0</v>
      </c>
      <c r="BS61" s="5">
        <f t="shared" si="43"/>
        <v>0</v>
      </c>
      <c r="BT61" s="5">
        <f t="shared" si="44"/>
        <v>0</v>
      </c>
      <c r="BU61" s="5">
        <f t="shared" si="45"/>
        <v>0</v>
      </c>
      <c r="BV61" s="5">
        <f t="shared" si="46"/>
        <v>0</v>
      </c>
      <c r="BW61" s="5">
        <f t="shared" si="47"/>
        <v>0</v>
      </c>
      <c r="BX61" s="5">
        <f t="shared" si="48"/>
        <v>0</v>
      </c>
      <c r="BY61" s="5">
        <f t="shared" si="49"/>
        <v>0</v>
      </c>
      <c r="BZ61" s="5">
        <f t="shared" si="50"/>
        <v>0</v>
      </c>
      <c r="CA61" s="5">
        <f t="shared" si="51"/>
        <v>0</v>
      </c>
      <c r="CB61" s="5">
        <f t="shared" si="52"/>
        <v>0</v>
      </c>
      <c r="CC61" s="5">
        <f t="shared" si="53"/>
        <v>0</v>
      </c>
      <c r="CD61" s="5">
        <f t="shared" si="54"/>
        <v>0</v>
      </c>
      <c r="CE61" s="5">
        <f t="shared" si="55"/>
        <v>0</v>
      </c>
      <c r="CF61" s="5">
        <f t="shared" si="56"/>
        <v>0</v>
      </c>
      <c r="CG61" s="5">
        <f t="shared" si="57"/>
        <v>0</v>
      </c>
      <c r="CH61" s="5">
        <f t="shared" si="58"/>
        <v>0</v>
      </c>
      <c r="CI61" s="5">
        <f t="shared" si="59"/>
        <v>0</v>
      </c>
      <c r="CJ61" s="5"/>
      <c r="CK61" s="4">
        <f t="shared" si="93"/>
        <v>0</v>
      </c>
    </row>
    <row r="62" spans="1:89" ht="47" customHeight="1">
      <c r="A62" s="33" t="str">
        <f t="shared" si="92"/>
        <v/>
      </c>
      <c r="B62" s="10"/>
      <c r="C62" s="57"/>
      <c r="D62" s="55"/>
      <c r="E62" s="53"/>
      <c r="F62" s="44">
        <f t="shared" si="142"/>
        <v>0</v>
      </c>
      <c r="G62" s="53"/>
      <c r="H62" s="55"/>
      <c r="I62" s="44">
        <f t="shared" si="143"/>
        <v>0</v>
      </c>
      <c r="J62" s="55"/>
      <c r="K62" s="55"/>
      <c r="L62" s="44">
        <f t="shared" si="144"/>
        <v>0</v>
      </c>
      <c r="M62" s="53"/>
      <c r="N62" s="53"/>
      <c r="O62" s="44">
        <f t="shared" si="145"/>
        <v>0</v>
      </c>
      <c r="P62" s="55"/>
      <c r="Q62" s="55"/>
      <c r="R62" s="44">
        <f t="shared" si="146"/>
        <v>0</v>
      </c>
      <c r="S62" s="55"/>
      <c r="T62" s="55"/>
      <c r="U62" s="44">
        <f t="shared" si="147"/>
        <v>0</v>
      </c>
      <c r="V62" s="53"/>
      <c r="W62" s="55"/>
      <c r="X62" s="44">
        <f t="shared" si="148"/>
        <v>0</v>
      </c>
      <c r="Y62" s="44"/>
      <c r="Z62" s="44"/>
      <c r="AA62" s="44"/>
      <c r="AB62" s="63">
        <f t="shared" si="149"/>
        <v>0</v>
      </c>
      <c r="AC62" s="23"/>
      <c r="AD62" s="6"/>
      <c r="AE62" s="7">
        <f t="shared" si="150"/>
        <v>0</v>
      </c>
      <c r="AF62" s="6"/>
      <c r="AG62" s="7">
        <f t="shared" si="151"/>
        <v>0</v>
      </c>
      <c r="AH62" s="6"/>
      <c r="AI62" s="7">
        <f t="shared" si="152"/>
        <v>0</v>
      </c>
      <c r="AJ62" s="6"/>
      <c r="AK62" s="7">
        <f t="shared" si="153"/>
        <v>0</v>
      </c>
      <c r="AL62" s="43"/>
      <c r="AM62" s="7">
        <f t="shared" si="154"/>
        <v>0</v>
      </c>
      <c r="AN62" s="6"/>
      <c r="AO62" s="7">
        <f t="shared" si="155"/>
        <v>0</v>
      </c>
      <c r="AP62" s="30">
        <f t="shared" si="156"/>
        <v>0</v>
      </c>
      <c r="AQ62" s="6"/>
      <c r="AR62" s="6"/>
      <c r="AS62" s="6"/>
      <c r="AT62" s="63">
        <f t="shared" si="157"/>
        <v>0</v>
      </c>
      <c r="AU62" s="59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28"/>
        <v>0</v>
      </c>
      <c r="BE62" s="5">
        <f t="shared" si="29"/>
        <v>0</v>
      </c>
      <c r="BF62" s="5">
        <f t="shared" si="30"/>
        <v>0</v>
      </c>
      <c r="BG62" s="5">
        <f t="shared" si="31"/>
        <v>0</v>
      </c>
      <c r="BH62" s="5">
        <f t="shared" si="32"/>
        <v>0</v>
      </c>
      <c r="BI62" s="5">
        <f t="shared" si="33"/>
        <v>0</v>
      </c>
      <c r="BJ62" s="5">
        <f t="shared" si="34"/>
        <v>0</v>
      </c>
      <c r="BK62" s="5">
        <f t="shared" si="35"/>
        <v>0</v>
      </c>
      <c r="BL62" s="5">
        <f t="shared" si="36"/>
        <v>0</v>
      </c>
      <c r="BM62" s="5">
        <f t="shared" si="37"/>
        <v>0</v>
      </c>
      <c r="BN62" s="5">
        <f t="shared" si="38"/>
        <v>0</v>
      </c>
      <c r="BO62" s="5">
        <f t="shared" si="39"/>
        <v>0</v>
      </c>
      <c r="BP62" s="5">
        <f t="shared" si="40"/>
        <v>0</v>
      </c>
      <c r="BQ62" s="5">
        <f t="shared" si="41"/>
        <v>0</v>
      </c>
      <c r="BR62" s="5">
        <f t="shared" si="42"/>
        <v>0</v>
      </c>
      <c r="BS62" s="5">
        <f t="shared" si="43"/>
        <v>0</v>
      </c>
      <c r="BT62" s="5">
        <f t="shared" si="44"/>
        <v>0</v>
      </c>
      <c r="BU62" s="5">
        <f t="shared" si="45"/>
        <v>0</v>
      </c>
      <c r="BV62" s="5">
        <f t="shared" si="46"/>
        <v>0</v>
      </c>
      <c r="BW62" s="5">
        <f t="shared" si="47"/>
        <v>0</v>
      </c>
      <c r="BX62" s="5">
        <f t="shared" si="48"/>
        <v>0</v>
      </c>
      <c r="BY62" s="5">
        <f t="shared" si="49"/>
        <v>0</v>
      </c>
      <c r="BZ62" s="5">
        <f t="shared" si="50"/>
        <v>0</v>
      </c>
      <c r="CA62" s="5">
        <f t="shared" si="51"/>
        <v>0</v>
      </c>
      <c r="CB62" s="5">
        <f t="shared" si="52"/>
        <v>0</v>
      </c>
      <c r="CC62" s="5">
        <f t="shared" si="53"/>
        <v>0</v>
      </c>
      <c r="CD62" s="5">
        <f t="shared" si="54"/>
        <v>0</v>
      </c>
      <c r="CE62" s="5">
        <f t="shared" si="55"/>
        <v>0</v>
      </c>
      <c r="CF62" s="5">
        <f t="shared" si="56"/>
        <v>0</v>
      </c>
      <c r="CG62" s="5">
        <f t="shared" si="57"/>
        <v>0</v>
      </c>
      <c r="CH62" s="5">
        <f t="shared" si="58"/>
        <v>0</v>
      </c>
      <c r="CI62" s="5">
        <f t="shared" si="59"/>
        <v>0</v>
      </c>
      <c r="CJ62" s="5"/>
      <c r="CK62" s="4">
        <f t="shared" si="93"/>
        <v>0</v>
      </c>
    </row>
    <row r="63" spans="1:89" ht="47" customHeight="1">
      <c r="A63" s="33" t="str">
        <f t="shared" si="92"/>
        <v/>
      </c>
      <c r="B63" s="10"/>
      <c r="C63" s="57"/>
      <c r="D63" s="55"/>
      <c r="E63" s="53"/>
      <c r="F63" s="44">
        <f t="shared" si="142"/>
        <v>0</v>
      </c>
      <c r="G63" s="53"/>
      <c r="H63" s="55"/>
      <c r="I63" s="44">
        <f t="shared" si="143"/>
        <v>0</v>
      </c>
      <c r="J63" s="55"/>
      <c r="K63" s="55"/>
      <c r="L63" s="44">
        <f t="shared" si="144"/>
        <v>0</v>
      </c>
      <c r="M63" s="53"/>
      <c r="N63" s="53"/>
      <c r="O63" s="44">
        <f t="shared" si="145"/>
        <v>0</v>
      </c>
      <c r="P63" s="55"/>
      <c r="Q63" s="55"/>
      <c r="R63" s="44">
        <f t="shared" si="146"/>
        <v>0</v>
      </c>
      <c r="S63" s="55"/>
      <c r="T63" s="55"/>
      <c r="U63" s="44">
        <f t="shared" si="147"/>
        <v>0</v>
      </c>
      <c r="V63" s="53"/>
      <c r="W63" s="55"/>
      <c r="X63" s="44">
        <f t="shared" si="148"/>
        <v>0</v>
      </c>
      <c r="Y63" s="44"/>
      <c r="Z63" s="44"/>
      <c r="AA63" s="44"/>
      <c r="AB63" s="63">
        <f t="shared" si="149"/>
        <v>0</v>
      </c>
      <c r="AC63" s="23"/>
      <c r="AD63" s="6"/>
      <c r="AE63" s="7">
        <f t="shared" si="150"/>
        <v>0</v>
      </c>
      <c r="AF63" s="6"/>
      <c r="AG63" s="7">
        <f t="shared" si="151"/>
        <v>0</v>
      </c>
      <c r="AH63" s="6"/>
      <c r="AI63" s="7">
        <f t="shared" si="152"/>
        <v>0</v>
      </c>
      <c r="AJ63" s="6"/>
      <c r="AK63" s="7">
        <f t="shared" si="153"/>
        <v>0</v>
      </c>
      <c r="AL63" s="43"/>
      <c r="AM63" s="7">
        <f t="shared" si="154"/>
        <v>0</v>
      </c>
      <c r="AN63" s="6"/>
      <c r="AO63" s="7">
        <f t="shared" si="155"/>
        <v>0</v>
      </c>
      <c r="AP63" s="30">
        <f t="shared" si="156"/>
        <v>0</v>
      </c>
      <c r="AQ63" s="6"/>
      <c r="AR63" s="6"/>
      <c r="AS63" s="6"/>
      <c r="AT63" s="63">
        <f t="shared" si="157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28"/>
        <v>0</v>
      </c>
      <c r="BE63" s="5">
        <f t="shared" si="29"/>
        <v>0</v>
      </c>
      <c r="BF63" s="5">
        <f t="shared" si="30"/>
        <v>0</v>
      </c>
      <c r="BG63" s="5">
        <f t="shared" si="31"/>
        <v>0</v>
      </c>
      <c r="BH63" s="5">
        <f t="shared" si="32"/>
        <v>0</v>
      </c>
      <c r="BI63" s="5">
        <f t="shared" si="33"/>
        <v>0</v>
      </c>
      <c r="BJ63" s="5">
        <f t="shared" si="34"/>
        <v>0</v>
      </c>
      <c r="BK63" s="5">
        <f t="shared" si="35"/>
        <v>0</v>
      </c>
      <c r="BL63" s="5">
        <f t="shared" si="36"/>
        <v>0</v>
      </c>
      <c r="BM63" s="5">
        <f t="shared" si="37"/>
        <v>0</v>
      </c>
      <c r="BN63" s="5">
        <f t="shared" si="38"/>
        <v>0</v>
      </c>
      <c r="BO63" s="5">
        <f t="shared" si="39"/>
        <v>0</v>
      </c>
      <c r="BP63" s="5">
        <f t="shared" si="40"/>
        <v>0</v>
      </c>
      <c r="BQ63" s="5">
        <f t="shared" si="41"/>
        <v>0</v>
      </c>
      <c r="BR63" s="5">
        <f t="shared" si="42"/>
        <v>0</v>
      </c>
      <c r="BS63" s="5">
        <f t="shared" si="43"/>
        <v>0</v>
      </c>
      <c r="BT63" s="5">
        <f t="shared" si="44"/>
        <v>0</v>
      </c>
      <c r="BU63" s="5">
        <f t="shared" si="45"/>
        <v>0</v>
      </c>
      <c r="BV63" s="5">
        <f t="shared" si="46"/>
        <v>0</v>
      </c>
      <c r="BW63" s="5">
        <f t="shared" si="47"/>
        <v>0</v>
      </c>
      <c r="BX63" s="5">
        <f t="shared" si="48"/>
        <v>0</v>
      </c>
      <c r="BY63" s="5">
        <f t="shared" si="49"/>
        <v>0</v>
      </c>
      <c r="BZ63" s="5">
        <f t="shared" si="50"/>
        <v>0</v>
      </c>
      <c r="CA63" s="5">
        <f t="shared" si="51"/>
        <v>0</v>
      </c>
      <c r="CB63" s="5">
        <f t="shared" si="52"/>
        <v>0</v>
      </c>
      <c r="CC63" s="5">
        <f t="shared" si="53"/>
        <v>0</v>
      </c>
      <c r="CD63" s="5">
        <f t="shared" si="54"/>
        <v>0</v>
      </c>
      <c r="CE63" s="5">
        <f t="shared" si="55"/>
        <v>0</v>
      </c>
      <c r="CF63" s="5">
        <f t="shared" si="56"/>
        <v>0</v>
      </c>
      <c r="CG63" s="5">
        <f t="shared" si="57"/>
        <v>0</v>
      </c>
      <c r="CH63" s="5">
        <f t="shared" si="58"/>
        <v>0</v>
      </c>
      <c r="CI63" s="5">
        <f t="shared" si="59"/>
        <v>0</v>
      </c>
      <c r="CJ63" s="5"/>
      <c r="CK63" s="4">
        <f t="shared" si="93"/>
        <v>0</v>
      </c>
    </row>
    <row r="64" spans="1:89" ht="47" customHeight="1">
      <c r="A64" s="33" t="str">
        <f t="shared" si="92"/>
        <v/>
      </c>
      <c r="B64" s="10"/>
      <c r="C64" s="57"/>
      <c r="D64" s="55"/>
      <c r="E64" s="53"/>
      <c r="F64" s="44">
        <f t="shared" si="126"/>
        <v>0</v>
      </c>
      <c r="G64" s="53"/>
      <c r="H64" s="55"/>
      <c r="I64" s="44">
        <f t="shared" si="127"/>
        <v>0</v>
      </c>
      <c r="J64" s="55"/>
      <c r="K64" s="55"/>
      <c r="L64" s="44">
        <f t="shared" si="128"/>
        <v>0</v>
      </c>
      <c r="M64" s="53"/>
      <c r="N64" s="53"/>
      <c r="O64" s="44">
        <f t="shared" si="129"/>
        <v>0</v>
      </c>
      <c r="P64" s="55"/>
      <c r="Q64" s="55"/>
      <c r="R64" s="44">
        <f t="shared" si="130"/>
        <v>0</v>
      </c>
      <c r="S64" s="55"/>
      <c r="T64" s="55"/>
      <c r="U64" s="44">
        <f t="shared" si="131"/>
        <v>0</v>
      </c>
      <c r="V64" s="53"/>
      <c r="W64" s="55"/>
      <c r="X64" s="44">
        <f t="shared" si="132"/>
        <v>0</v>
      </c>
      <c r="Y64" s="44"/>
      <c r="Z64" s="44"/>
      <c r="AA64" s="44"/>
      <c r="AB64" s="63">
        <f t="shared" si="133"/>
        <v>0</v>
      </c>
      <c r="AC64" s="23"/>
      <c r="AD64" s="6"/>
      <c r="AE64" s="7">
        <f t="shared" si="134"/>
        <v>0</v>
      </c>
      <c r="AF64" s="6"/>
      <c r="AG64" s="7">
        <f t="shared" si="135"/>
        <v>0</v>
      </c>
      <c r="AH64" s="6"/>
      <c r="AI64" s="7">
        <f t="shared" si="136"/>
        <v>0</v>
      </c>
      <c r="AJ64" s="6"/>
      <c r="AK64" s="7">
        <f t="shared" si="137"/>
        <v>0</v>
      </c>
      <c r="AL64" s="43"/>
      <c r="AM64" s="7">
        <f t="shared" si="138"/>
        <v>0</v>
      </c>
      <c r="AN64" s="6"/>
      <c r="AO64" s="7">
        <f t="shared" si="139"/>
        <v>0</v>
      </c>
      <c r="AP64" s="30">
        <f t="shared" si="140"/>
        <v>0</v>
      </c>
      <c r="AQ64" s="6"/>
      <c r="AR64" s="6"/>
      <c r="AS64" s="6"/>
      <c r="AT64" s="63">
        <f t="shared" si="141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28"/>
        <v>0</v>
      </c>
      <c r="BE64" s="5">
        <f t="shared" si="29"/>
        <v>0</v>
      </c>
      <c r="BF64" s="5">
        <f t="shared" si="30"/>
        <v>0</v>
      </c>
      <c r="BG64" s="5">
        <f t="shared" si="31"/>
        <v>0</v>
      </c>
      <c r="BH64" s="5">
        <f t="shared" si="32"/>
        <v>0</v>
      </c>
      <c r="BI64" s="5">
        <f t="shared" si="33"/>
        <v>0</v>
      </c>
      <c r="BJ64" s="5">
        <f t="shared" si="34"/>
        <v>0</v>
      </c>
      <c r="BK64" s="5">
        <f t="shared" si="35"/>
        <v>0</v>
      </c>
      <c r="BL64" s="5">
        <f t="shared" si="36"/>
        <v>0</v>
      </c>
      <c r="BM64" s="5">
        <f t="shared" si="37"/>
        <v>0</v>
      </c>
      <c r="BN64" s="5">
        <f t="shared" si="38"/>
        <v>0</v>
      </c>
      <c r="BO64" s="5">
        <f t="shared" si="39"/>
        <v>0</v>
      </c>
      <c r="BP64" s="5">
        <f t="shared" si="40"/>
        <v>0</v>
      </c>
      <c r="BQ64" s="5">
        <f t="shared" si="41"/>
        <v>0</v>
      </c>
      <c r="BR64" s="5">
        <f t="shared" si="42"/>
        <v>0</v>
      </c>
      <c r="BS64" s="5">
        <f t="shared" si="43"/>
        <v>0</v>
      </c>
      <c r="BT64" s="5">
        <f t="shared" si="44"/>
        <v>0</v>
      </c>
      <c r="BU64" s="5">
        <f t="shared" si="45"/>
        <v>0</v>
      </c>
      <c r="BV64" s="5">
        <f t="shared" si="46"/>
        <v>0</v>
      </c>
      <c r="BW64" s="5">
        <f t="shared" si="47"/>
        <v>0</v>
      </c>
      <c r="BX64" s="5">
        <f t="shared" si="48"/>
        <v>0</v>
      </c>
      <c r="BY64" s="5">
        <f t="shared" si="49"/>
        <v>0</v>
      </c>
      <c r="BZ64" s="5">
        <f t="shared" si="50"/>
        <v>0</v>
      </c>
      <c r="CA64" s="5">
        <f t="shared" si="51"/>
        <v>0</v>
      </c>
      <c r="CB64" s="5">
        <f t="shared" si="52"/>
        <v>0</v>
      </c>
      <c r="CC64" s="5">
        <f t="shared" si="53"/>
        <v>0</v>
      </c>
      <c r="CD64" s="5">
        <f t="shared" si="54"/>
        <v>0</v>
      </c>
      <c r="CE64" s="5">
        <f t="shared" si="55"/>
        <v>0</v>
      </c>
      <c r="CF64" s="5">
        <f t="shared" si="56"/>
        <v>0</v>
      </c>
      <c r="CG64" s="5">
        <f t="shared" si="57"/>
        <v>0</v>
      </c>
      <c r="CH64" s="5">
        <f t="shared" si="58"/>
        <v>0</v>
      </c>
      <c r="CI64" s="5">
        <f t="shared" si="59"/>
        <v>0</v>
      </c>
      <c r="CJ64" s="5"/>
      <c r="CK64" s="4">
        <f t="shared" si="93"/>
        <v>0</v>
      </c>
    </row>
    <row r="65" spans="1:89" ht="47" customHeight="1">
      <c r="A65" s="33" t="str">
        <f t="shared" si="92"/>
        <v/>
      </c>
      <c r="B65" s="10"/>
      <c r="C65" s="57"/>
      <c r="D65" s="55"/>
      <c r="E65" s="53"/>
      <c r="F65" s="44">
        <f t="shared" si="9"/>
        <v>0</v>
      </c>
      <c r="G65" s="53"/>
      <c r="H65" s="55"/>
      <c r="I65" s="44">
        <f t="shared" si="10"/>
        <v>0</v>
      </c>
      <c r="J65" s="55"/>
      <c r="K65" s="55"/>
      <c r="L65" s="44">
        <f t="shared" si="11"/>
        <v>0</v>
      </c>
      <c r="M65" s="53"/>
      <c r="N65" s="53"/>
      <c r="O65" s="44">
        <f t="shared" si="12"/>
        <v>0</v>
      </c>
      <c r="P65" s="55"/>
      <c r="Q65" s="55"/>
      <c r="R65" s="44">
        <f t="shared" si="13"/>
        <v>0</v>
      </c>
      <c r="S65" s="55"/>
      <c r="T65" s="55"/>
      <c r="U65" s="44">
        <f t="shared" si="14"/>
        <v>0</v>
      </c>
      <c r="V65" s="53"/>
      <c r="W65" s="55"/>
      <c r="X65" s="44">
        <f t="shared" si="15"/>
        <v>0</v>
      </c>
      <c r="Y65" s="44"/>
      <c r="Z65" s="44"/>
      <c r="AA65" s="44"/>
      <c r="AB65" s="63">
        <f t="shared" si="16"/>
        <v>0</v>
      </c>
      <c r="AC65" s="23"/>
      <c r="AD65" s="6"/>
      <c r="AE65" s="7">
        <f t="shared" si="17"/>
        <v>0</v>
      </c>
      <c r="AF65" s="6"/>
      <c r="AG65" s="7">
        <f t="shared" si="18"/>
        <v>0</v>
      </c>
      <c r="AH65" s="6"/>
      <c r="AI65" s="7">
        <f t="shared" si="19"/>
        <v>0</v>
      </c>
      <c r="AJ65" s="6"/>
      <c r="AK65" s="7">
        <f t="shared" si="20"/>
        <v>0</v>
      </c>
      <c r="AL65" s="43"/>
      <c r="AM65" s="7">
        <f t="shared" si="21"/>
        <v>0</v>
      </c>
      <c r="AN65" s="6"/>
      <c r="AO65" s="7">
        <f t="shared" si="22"/>
        <v>0</v>
      </c>
      <c r="AP65" s="30">
        <f t="shared" si="23"/>
        <v>0</v>
      </c>
      <c r="AQ65" s="6"/>
      <c r="AR65" s="6"/>
      <c r="AS65" s="6"/>
      <c r="AT65" s="63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28"/>
        <v>0</v>
      </c>
      <c r="BE65" s="5">
        <f t="shared" si="29"/>
        <v>0</v>
      </c>
      <c r="BF65" s="5">
        <f t="shared" si="30"/>
        <v>0</v>
      </c>
      <c r="BG65" s="5">
        <f t="shared" si="31"/>
        <v>0</v>
      </c>
      <c r="BH65" s="5">
        <f t="shared" si="32"/>
        <v>0</v>
      </c>
      <c r="BI65" s="5">
        <f t="shared" si="33"/>
        <v>0</v>
      </c>
      <c r="BJ65" s="5">
        <f t="shared" si="34"/>
        <v>0</v>
      </c>
      <c r="BK65" s="5">
        <f t="shared" si="35"/>
        <v>0</v>
      </c>
      <c r="BL65" s="5">
        <f t="shared" si="36"/>
        <v>0</v>
      </c>
      <c r="BM65" s="5">
        <f t="shared" si="37"/>
        <v>0</v>
      </c>
      <c r="BN65" s="5">
        <f t="shared" si="38"/>
        <v>0</v>
      </c>
      <c r="BO65" s="5">
        <f t="shared" si="39"/>
        <v>0</v>
      </c>
      <c r="BP65" s="5">
        <f t="shared" si="40"/>
        <v>0</v>
      </c>
      <c r="BQ65" s="5">
        <f t="shared" si="41"/>
        <v>0</v>
      </c>
      <c r="BR65" s="5">
        <f t="shared" si="42"/>
        <v>0</v>
      </c>
      <c r="BS65" s="5">
        <f t="shared" si="43"/>
        <v>0</v>
      </c>
      <c r="BT65" s="5">
        <f t="shared" si="44"/>
        <v>0</v>
      </c>
      <c r="BU65" s="5">
        <f t="shared" si="45"/>
        <v>0</v>
      </c>
      <c r="BV65" s="5">
        <f t="shared" si="46"/>
        <v>0</v>
      </c>
      <c r="BW65" s="5">
        <f t="shared" si="47"/>
        <v>0</v>
      </c>
      <c r="BX65" s="5">
        <f t="shared" si="48"/>
        <v>0</v>
      </c>
      <c r="BY65" s="5">
        <f t="shared" si="49"/>
        <v>0</v>
      </c>
      <c r="BZ65" s="5">
        <f t="shared" si="50"/>
        <v>0</v>
      </c>
      <c r="CA65" s="5">
        <f t="shared" si="51"/>
        <v>0</v>
      </c>
      <c r="CB65" s="5">
        <f t="shared" si="52"/>
        <v>0</v>
      </c>
      <c r="CC65" s="5">
        <f t="shared" si="53"/>
        <v>0</v>
      </c>
      <c r="CD65" s="5">
        <f t="shared" si="54"/>
        <v>0</v>
      </c>
      <c r="CE65" s="5">
        <f t="shared" si="55"/>
        <v>0</v>
      </c>
      <c r="CF65" s="5">
        <f t="shared" si="56"/>
        <v>0</v>
      </c>
      <c r="CG65" s="5">
        <f t="shared" si="57"/>
        <v>0</v>
      </c>
      <c r="CH65" s="5">
        <f t="shared" si="58"/>
        <v>0</v>
      </c>
      <c r="CI65" s="5">
        <f t="shared" si="59"/>
        <v>0</v>
      </c>
      <c r="CJ65" s="5"/>
      <c r="CK65" s="4">
        <f t="shared" si="93"/>
        <v>0</v>
      </c>
    </row>
    <row r="66" spans="1:89" ht="47" customHeight="1">
      <c r="A66" s="33" t="str">
        <f t="shared" ref="A66:A100" si="158">IF(ISNA(AZ66),"",AZ66)</f>
        <v/>
      </c>
      <c r="B66" s="10"/>
      <c r="C66" s="57"/>
      <c r="D66" s="55"/>
      <c r="E66" s="53"/>
      <c r="F66" s="44">
        <f t="shared" si="9"/>
        <v>0</v>
      </c>
      <c r="G66" s="53"/>
      <c r="H66" s="55"/>
      <c r="I66" s="44">
        <f t="shared" si="10"/>
        <v>0</v>
      </c>
      <c r="J66" s="55"/>
      <c r="K66" s="55"/>
      <c r="L66" s="44">
        <f t="shared" si="11"/>
        <v>0</v>
      </c>
      <c r="M66" s="53"/>
      <c r="N66" s="53"/>
      <c r="O66" s="44">
        <f t="shared" si="12"/>
        <v>0</v>
      </c>
      <c r="P66" s="55"/>
      <c r="Q66" s="55"/>
      <c r="R66" s="44">
        <f t="shared" si="13"/>
        <v>0</v>
      </c>
      <c r="S66" s="55"/>
      <c r="T66" s="55"/>
      <c r="U66" s="44">
        <f t="shared" si="14"/>
        <v>0</v>
      </c>
      <c r="V66" s="53"/>
      <c r="W66" s="55"/>
      <c r="X66" s="44">
        <f t="shared" si="15"/>
        <v>0</v>
      </c>
      <c r="Y66" s="44"/>
      <c r="Z66" s="44"/>
      <c r="AA66" s="44"/>
      <c r="AB66" s="63">
        <f t="shared" si="16"/>
        <v>0</v>
      </c>
      <c r="AC66" s="23"/>
      <c r="AD66" s="6"/>
      <c r="AE66" s="7">
        <f t="shared" si="17"/>
        <v>0</v>
      </c>
      <c r="AF66" s="6"/>
      <c r="AG66" s="7">
        <f t="shared" si="18"/>
        <v>0</v>
      </c>
      <c r="AH66" s="6"/>
      <c r="AI66" s="7">
        <f t="shared" si="19"/>
        <v>0</v>
      </c>
      <c r="AJ66" s="6"/>
      <c r="AK66" s="7">
        <f t="shared" si="20"/>
        <v>0</v>
      </c>
      <c r="AL66" s="43"/>
      <c r="AM66" s="7">
        <f t="shared" si="21"/>
        <v>0</v>
      </c>
      <c r="AN66" s="6"/>
      <c r="AO66" s="7">
        <f t="shared" si="22"/>
        <v>0</v>
      </c>
      <c r="AP66" s="30">
        <f t="shared" si="23"/>
        <v>0</v>
      </c>
      <c r="AQ66" s="6"/>
      <c r="AR66" s="6"/>
      <c r="AS66" s="6"/>
      <c r="AT66" s="63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28"/>
        <v>0</v>
      </c>
      <c r="BE66" s="5">
        <f t="shared" si="29"/>
        <v>0</v>
      </c>
      <c r="BF66" s="5">
        <f t="shared" si="30"/>
        <v>0</v>
      </c>
      <c r="BG66" s="5">
        <f t="shared" si="31"/>
        <v>0</v>
      </c>
      <c r="BH66" s="5">
        <f t="shared" si="32"/>
        <v>0</v>
      </c>
      <c r="BI66" s="5">
        <f t="shared" si="33"/>
        <v>0</v>
      </c>
      <c r="BJ66" s="5">
        <f t="shared" si="34"/>
        <v>0</v>
      </c>
      <c r="BK66" s="5">
        <f t="shared" si="35"/>
        <v>0</v>
      </c>
      <c r="BL66" s="5">
        <f t="shared" si="36"/>
        <v>0</v>
      </c>
      <c r="BM66" s="5">
        <f t="shared" si="37"/>
        <v>0</v>
      </c>
      <c r="BN66" s="5">
        <f t="shared" si="38"/>
        <v>0</v>
      </c>
      <c r="BO66" s="5">
        <f t="shared" si="39"/>
        <v>0</v>
      </c>
      <c r="BP66" s="5">
        <f t="shared" si="40"/>
        <v>0</v>
      </c>
      <c r="BQ66" s="5">
        <f t="shared" si="41"/>
        <v>0</v>
      </c>
      <c r="BR66" s="5">
        <f t="shared" si="42"/>
        <v>0</v>
      </c>
      <c r="BS66" s="5">
        <f t="shared" si="43"/>
        <v>0</v>
      </c>
      <c r="BT66" s="5">
        <f t="shared" si="44"/>
        <v>0</v>
      </c>
      <c r="BU66" s="5">
        <f t="shared" si="45"/>
        <v>0</v>
      </c>
      <c r="BV66" s="5">
        <f t="shared" si="46"/>
        <v>0</v>
      </c>
      <c r="BW66" s="5">
        <f t="shared" si="47"/>
        <v>0</v>
      </c>
      <c r="BX66" s="5">
        <f t="shared" si="48"/>
        <v>0</v>
      </c>
      <c r="BY66" s="5">
        <f t="shared" si="49"/>
        <v>0</v>
      </c>
      <c r="BZ66" s="5">
        <f t="shared" si="50"/>
        <v>0</v>
      </c>
      <c r="CA66" s="5">
        <f t="shared" si="51"/>
        <v>0</v>
      </c>
      <c r="CB66" s="5">
        <f t="shared" si="52"/>
        <v>0</v>
      </c>
      <c r="CC66" s="5">
        <f t="shared" si="53"/>
        <v>0</v>
      </c>
      <c r="CD66" s="5">
        <f t="shared" si="54"/>
        <v>0</v>
      </c>
      <c r="CE66" s="5">
        <f t="shared" si="55"/>
        <v>0</v>
      </c>
      <c r="CF66" s="5">
        <f t="shared" si="56"/>
        <v>0</v>
      </c>
      <c r="CG66" s="5">
        <f t="shared" si="57"/>
        <v>0</v>
      </c>
      <c r="CH66" s="5">
        <f t="shared" si="58"/>
        <v>0</v>
      </c>
      <c r="CI66" s="5">
        <f t="shared" si="59"/>
        <v>0</v>
      </c>
      <c r="CJ66" s="5"/>
      <c r="CK66" s="4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33" t="str">
        <f t="shared" si="158"/>
        <v/>
      </c>
      <c r="B67" s="10"/>
      <c r="C67" s="57"/>
      <c r="D67" s="55"/>
      <c r="E67" s="53"/>
      <c r="F67" s="44">
        <f t="shared" si="9"/>
        <v>0</v>
      </c>
      <c r="G67" s="53"/>
      <c r="H67" s="55"/>
      <c r="I67" s="44">
        <f t="shared" si="10"/>
        <v>0</v>
      </c>
      <c r="J67" s="55"/>
      <c r="K67" s="55"/>
      <c r="L67" s="44">
        <f t="shared" si="11"/>
        <v>0</v>
      </c>
      <c r="M67" s="53"/>
      <c r="N67" s="53"/>
      <c r="O67" s="44">
        <f t="shared" si="12"/>
        <v>0</v>
      </c>
      <c r="P67" s="55"/>
      <c r="Q67" s="55"/>
      <c r="R67" s="44">
        <f t="shared" si="13"/>
        <v>0</v>
      </c>
      <c r="S67" s="55"/>
      <c r="T67" s="55"/>
      <c r="U67" s="44">
        <f t="shared" si="14"/>
        <v>0</v>
      </c>
      <c r="V67" s="53"/>
      <c r="W67" s="55"/>
      <c r="X67" s="44">
        <f t="shared" si="15"/>
        <v>0</v>
      </c>
      <c r="Y67" s="44"/>
      <c r="Z67" s="44"/>
      <c r="AA67" s="44"/>
      <c r="AB67" s="63">
        <f t="shared" si="16"/>
        <v>0</v>
      </c>
      <c r="AC67" s="23"/>
      <c r="AD67" s="6"/>
      <c r="AE67" s="7">
        <f t="shared" si="17"/>
        <v>0</v>
      </c>
      <c r="AF67" s="6"/>
      <c r="AG67" s="7">
        <f t="shared" si="18"/>
        <v>0</v>
      </c>
      <c r="AH67" s="6"/>
      <c r="AI67" s="7">
        <f t="shared" si="19"/>
        <v>0</v>
      </c>
      <c r="AJ67" s="6"/>
      <c r="AK67" s="7">
        <f t="shared" si="20"/>
        <v>0</v>
      </c>
      <c r="AL67" s="43"/>
      <c r="AM67" s="7">
        <f t="shared" si="21"/>
        <v>0</v>
      </c>
      <c r="AN67" s="6"/>
      <c r="AO67" s="7">
        <f t="shared" si="22"/>
        <v>0</v>
      </c>
      <c r="AP67" s="30">
        <f t="shared" si="23"/>
        <v>0</v>
      </c>
      <c r="AQ67" s="6"/>
      <c r="AR67" s="6"/>
      <c r="AS67" s="6"/>
      <c r="AT67" s="63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60">IF(ISBLANK(D67),0,(E67-D67)*24)</f>
        <v>0</v>
      </c>
      <c r="BB67" s="5">
        <f t="shared" ref="BB67:BB100" si="161">IF(BA67&gt;$AY$1,1,IF(BA67&gt;=$AX$1,0.5,0))</f>
        <v>0</v>
      </c>
      <c r="BC67" s="5">
        <f t="shared" ref="BC67:BC100" si="162">BA67-BB67-BD67-BE67</f>
        <v>0</v>
      </c>
      <c r="BD67" s="5">
        <f t="shared" ref="BD67:BD100" si="163">IF(AND(E67&gt;$AV$1, D67&lt;$AW$1),(MIN(E67,$AW$1)-MAX(D67,$AV$1))*24,0)</f>
        <v>0</v>
      </c>
      <c r="BE67" s="5">
        <f t="shared" ref="BE67:BE100" si="164">IF(E67&gt;$AW$1,(E67-MAX(D67,$AW$1))*24,0)</f>
        <v>0</v>
      </c>
      <c r="BF67" s="5">
        <f t="shared" ref="BF67:BF100" si="165">IF(ISBLANK(G67),0,(H67-G67)*24)</f>
        <v>0</v>
      </c>
      <c r="BG67" s="5">
        <f t="shared" ref="BG67:BG100" si="166">IF(BF67&gt;$AY$1,1,IF(BF67&gt;=$AX$1,0.5,0))</f>
        <v>0</v>
      </c>
      <c r="BH67" s="5">
        <f t="shared" ref="BH67:BH100" si="167">BF67-BG67-BI67-BJ67</f>
        <v>0</v>
      </c>
      <c r="BI67" s="5">
        <f t="shared" ref="BI67:BI100" si="168">IF(AND(H67&gt;$AV$1,G67&lt;$AW$1),(MIN(H67,$AW$1)-MAX(G67,$AV$1))*24,0)</f>
        <v>0</v>
      </c>
      <c r="BJ67" s="5">
        <f t="shared" ref="BJ67:BJ100" si="169">IF(H67&gt;$AW$1,(H67-MAX(G67,$AW$1))*24,0)</f>
        <v>0</v>
      </c>
      <c r="BK67" s="5">
        <f t="shared" ref="BK67:BK100" si="170">IF(ISBLANK(J67),0,(K67-J67)*24)</f>
        <v>0</v>
      </c>
      <c r="BL67" s="5">
        <f t="shared" ref="BL67:BL100" si="171">IF(BK67&gt;$AY$1,1,IF(BK67&gt;=$AX$1,0.5,0))</f>
        <v>0</v>
      </c>
      <c r="BM67" s="5">
        <f t="shared" ref="BM67:BM100" si="172">BK67-BL67-BN67-BO67</f>
        <v>0</v>
      </c>
      <c r="BN67" s="5">
        <f t="shared" ref="BN67:BN100" si="173">IF(AND(K67&gt;$AV$1, J67&lt;$AW$1),(MIN(K67,$AW$1)-MAX(J67,$AV$1))*24,0)</f>
        <v>0</v>
      </c>
      <c r="BO67" s="5">
        <f t="shared" ref="BO67:BO100" si="174">IF(K67&gt;$AW$1,(K67-MAX(J67,$AW$1))*24,0)</f>
        <v>0</v>
      </c>
      <c r="BP67" s="5">
        <f t="shared" ref="BP67:BP100" si="175">IF(ISBLANK(M67),0,(N67-M67)*24)</f>
        <v>0</v>
      </c>
      <c r="BQ67" s="5">
        <f t="shared" ref="BQ67:BQ100" si="176">IF(BP67&gt;$AY$1,1,IF(BP67&gt;=$AX$1,0.5,0))</f>
        <v>0</v>
      </c>
      <c r="BR67" s="5">
        <f t="shared" ref="BR67:BR100" si="177">BP67-BQ67-BS67-BT67</f>
        <v>0</v>
      </c>
      <c r="BS67" s="5">
        <f t="shared" ref="BS67:BS100" si="178">IF(AND(N67&gt;$AV$1, M67&lt;$AW$1),(MIN(N67,$AW$1)-MAX(M67,$AV$1))*24,0)</f>
        <v>0</v>
      </c>
      <c r="BT67" s="5">
        <f t="shared" ref="BT67:BT100" si="179">IF(N67&gt;$AW$1,(N67-MAX(M67,$AW$1))*24,0)</f>
        <v>0</v>
      </c>
      <c r="BU67" s="5">
        <f t="shared" ref="BU67:BU100" si="180">IF(ISBLANK(P67),0,(Q67-P67)*24)</f>
        <v>0</v>
      </c>
      <c r="BV67" s="5">
        <f t="shared" ref="BV67:BV100" si="181">IF(BU67&gt;$AY$1,1,IF(BU67&gt;=$AX$1,0.5,0))</f>
        <v>0</v>
      </c>
      <c r="BW67" s="5">
        <f t="shared" ref="BW67:BW100" si="182">BU67-BV67-BX67-BY67</f>
        <v>0</v>
      </c>
      <c r="BX67" s="5">
        <f t="shared" ref="BX67:BX100" si="183">IF(AND(Q67&gt;$AV$1, P67&lt;$AW$1),(MIN(Q67,$AW$1)-MAX(P67,$AV$1))*24,0)</f>
        <v>0</v>
      </c>
      <c r="BY67" s="5">
        <f t="shared" ref="BY67:BY100" si="184">IF(Q67&gt;$AW$1,(Q67-MAX(P67,$AW$1))*24,0)</f>
        <v>0</v>
      </c>
      <c r="BZ67" s="5">
        <f t="shared" ref="BZ67:BZ100" si="185">IF(ISBLANK(S67),0,(T67-S67)*24)</f>
        <v>0</v>
      </c>
      <c r="CA67" s="5">
        <f t="shared" ref="CA67:CA100" si="186">IF(BZ67&gt;$AY$1,1,IF(BZ67&gt;=$AX$1,0.5,0))</f>
        <v>0</v>
      </c>
      <c r="CB67" s="5">
        <f t="shared" ref="CB67:CB100" si="187">BZ67-CA67-CC67-CD67</f>
        <v>0</v>
      </c>
      <c r="CC67" s="5">
        <f t="shared" ref="CC67:CC100" si="188">IF(AND(T67&gt;$AV$1, S67&lt;$AW$1),(MIN(T67,$AW$1)-MAX(S67,$AV$1))*24,0)</f>
        <v>0</v>
      </c>
      <c r="CD67" s="5">
        <f t="shared" ref="CD67:CD100" si="189">IF(T67&gt;$AW$1,(T67-MAX(S67,$AW$1))*24,0)</f>
        <v>0</v>
      </c>
      <c r="CE67" s="5">
        <f t="shared" ref="CE67:CE100" si="190">IF(ISBLANK(V67),0,(W67-V67)*24)</f>
        <v>0</v>
      </c>
      <c r="CF67" s="5">
        <f t="shared" ref="CF67:CF100" si="191">IF(CE67&gt;$AY$1,1,IF(CE67&gt;=$AX$1,0.5,0))</f>
        <v>0</v>
      </c>
      <c r="CG67" s="5">
        <f t="shared" ref="CG67:CG100" si="192">CE67-CF67-CH67-CI67</f>
        <v>0</v>
      </c>
      <c r="CH67" s="5">
        <f t="shared" ref="CH67:CH100" si="193">IF(AND(W67&gt;$AV$1, V67&lt;$AW$1),(MIN(W67,$AW$1)-MAX(V67,$AV$1))*24,0)</f>
        <v>0</v>
      </c>
      <c r="CI67" s="5">
        <f t="shared" ref="CI67:CI100" si="194">IF(W67&gt;$AW$1,(W67-MAX(V67,$AW$1))*24,0)</f>
        <v>0</v>
      </c>
      <c r="CJ67" s="5"/>
      <c r="CK67" s="4">
        <f t="shared" si="159"/>
        <v>0</v>
      </c>
    </row>
    <row r="68" spans="1:89" ht="47" customHeight="1">
      <c r="A68" s="33" t="str">
        <f t="shared" si="158"/>
        <v/>
      </c>
      <c r="B68" s="10"/>
      <c r="C68" s="57"/>
      <c r="D68" s="55"/>
      <c r="E68" s="53"/>
      <c r="F68" s="44">
        <f t="shared" si="9"/>
        <v>0</v>
      </c>
      <c r="G68" s="53"/>
      <c r="H68" s="55"/>
      <c r="I68" s="44">
        <f t="shared" si="10"/>
        <v>0</v>
      </c>
      <c r="J68" s="55"/>
      <c r="K68" s="55"/>
      <c r="L68" s="44">
        <f t="shared" si="11"/>
        <v>0</v>
      </c>
      <c r="M68" s="53"/>
      <c r="N68" s="53"/>
      <c r="O68" s="44">
        <f t="shared" si="12"/>
        <v>0</v>
      </c>
      <c r="P68" s="55"/>
      <c r="Q68" s="55"/>
      <c r="R68" s="44">
        <f t="shared" si="13"/>
        <v>0</v>
      </c>
      <c r="S68" s="55"/>
      <c r="T68" s="55"/>
      <c r="U68" s="44">
        <f t="shared" si="14"/>
        <v>0</v>
      </c>
      <c r="V68" s="53"/>
      <c r="W68" s="55"/>
      <c r="X68" s="44">
        <f t="shared" si="15"/>
        <v>0</v>
      </c>
      <c r="Y68" s="44"/>
      <c r="Z68" s="44"/>
      <c r="AA68" s="44"/>
      <c r="AB68" s="63">
        <f t="shared" si="16"/>
        <v>0</v>
      </c>
      <c r="AC68" s="23"/>
      <c r="AD68" s="6"/>
      <c r="AE68" s="7">
        <f t="shared" si="17"/>
        <v>0</v>
      </c>
      <c r="AF68" s="6"/>
      <c r="AG68" s="7">
        <f t="shared" si="18"/>
        <v>0</v>
      </c>
      <c r="AH68" s="6"/>
      <c r="AI68" s="7">
        <f t="shared" si="19"/>
        <v>0</v>
      </c>
      <c r="AJ68" s="6"/>
      <c r="AK68" s="7">
        <f t="shared" si="20"/>
        <v>0</v>
      </c>
      <c r="AL68" s="43"/>
      <c r="AM68" s="7">
        <f t="shared" si="21"/>
        <v>0</v>
      </c>
      <c r="AN68" s="6"/>
      <c r="AO68" s="7">
        <f t="shared" si="22"/>
        <v>0</v>
      </c>
      <c r="AP68" s="30">
        <f t="shared" si="23"/>
        <v>0</v>
      </c>
      <c r="AQ68" s="6"/>
      <c r="AR68" s="6"/>
      <c r="AS68" s="6"/>
      <c r="AT68" s="63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60"/>
        <v>0</v>
      </c>
      <c r="BB68" s="5">
        <f t="shared" si="161"/>
        <v>0</v>
      </c>
      <c r="BC68" s="5">
        <f t="shared" si="162"/>
        <v>0</v>
      </c>
      <c r="BD68" s="5">
        <f t="shared" si="163"/>
        <v>0</v>
      </c>
      <c r="BE68" s="5">
        <f t="shared" si="164"/>
        <v>0</v>
      </c>
      <c r="BF68" s="5">
        <f t="shared" si="165"/>
        <v>0</v>
      </c>
      <c r="BG68" s="5">
        <f t="shared" si="166"/>
        <v>0</v>
      </c>
      <c r="BH68" s="5">
        <f t="shared" si="167"/>
        <v>0</v>
      </c>
      <c r="BI68" s="5">
        <f t="shared" si="168"/>
        <v>0</v>
      </c>
      <c r="BJ68" s="5">
        <f t="shared" si="169"/>
        <v>0</v>
      </c>
      <c r="BK68" s="5">
        <f t="shared" si="170"/>
        <v>0</v>
      </c>
      <c r="BL68" s="5">
        <f t="shared" si="171"/>
        <v>0</v>
      </c>
      <c r="BM68" s="5">
        <f t="shared" si="172"/>
        <v>0</v>
      </c>
      <c r="BN68" s="5">
        <f t="shared" si="173"/>
        <v>0</v>
      </c>
      <c r="BO68" s="5">
        <f t="shared" si="174"/>
        <v>0</v>
      </c>
      <c r="BP68" s="5">
        <f t="shared" si="175"/>
        <v>0</v>
      </c>
      <c r="BQ68" s="5">
        <f t="shared" si="176"/>
        <v>0</v>
      </c>
      <c r="BR68" s="5">
        <f t="shared" si="177"/>
        <v>0</v>
      </c>
      <c r="BS68" s="5">
        <f t="shared" si="178"/>
        <v>0</v>
      </c>
      <c r="BT68" s="5">
        <f t="shared" si="179"/>
        <v>0</v>
      </c>
      <c r="BU68" s="5">
        <f t="shared" si="180"/>
        <v>0</v>
      </c>
      <c r="BV68" s="5">
        <f t="shared" si="181"/>
        <v>0</v>
      </c>
      <c r="BW68" s="5">
        <f t="shared" si="182"/>
        <v>0</v>
      </c>
      <c r="BX68" s="5">
        <f t="shared" si="183"/>
        <v>0</v>
      </c>
      <c r="BY68" s="5">
        <f t="shared" si="184"/>
        <v>0</v>
      </c>
      <c r="BZ68" s="5">
        <f t="shared" si="185"/>
        <v>0</v>
      </c>
      <c r="CA68" s="5">
        <f t="shared" si="186"/>
        <v>0</v>
      </c>
      <c r="CB68" s="5">
        <f t="shared" si="187"/>
        <v>0</v>
      </c>
      <c r="CC68" s="5">
        <f t="shared" si="188"/>
        <v>0</v>
      </c>
      <c r="CD68" s="5">
        <f t="shared" si="189"/>
        <v>0</v>
      </c>
      <c r="CE68" s="5">
        <f t="shared" si="190"/>
        <v>0</v>
      </c>
      <c r="CF68" s="5">
        <f t="shared" si="191"/>
        <v>0</v>
      </c>
      <c r="CG68" s="5">
        <f t="shared" si="192"/>
        <v>0</v>
      </c>
      <c r="CH68" s="5">
        <f t="shared" si="193"/>
        <v>0</v>
      </c>
      <c r="CI68" s="5">
        <f t="shared" si="194"/>
        <v>0</v>
      </c>
      <c r="CJ68" s="5"/>
      <c r="CK68" s="4">
        <f t="shared" si="159"/>
        <v>0</v>
      </c>
    </row>
    <row r="69" spans="1:89" ht="47" customHeight="1">
      <c r="A69" s="33" t="str">
        <f t="shared" si="158"/>
        <v/>
      </c>
      <c r="B69" s="10"/>
      <c r="C69" s="57"/>
      <c r="D69" s="55"/>
      <c r="E69" s="53"/>
      <c r="F69" s="44">
        <f t="shared" si="9"/>
        <v>0</v>
      </c>
      <c r="G69" s="53"/>
      <c r="H69" s="55"/>
      <c r="I69" s="44">
        <f t="shared" si="10"/>
        <v>0</v>
      </c>
      <c r="J69" s="55"/>
      <c r="K69" s="55"/>
      <c r="L69" s="44">
        <f t="shared" si="11"/>
        <v>0</v>
      </c>
      <c r="M69" s="53"/>
      <c r="N69" s="53"/>
      <c r="O69" s="44">
        <f t="shared" si="12"/>
        <v>0</v>
      </c>
      <c r="P69" s="55"/>
      <c r="Q69" s="55"/>
      <c r="R69" s="44">
        <f t="shared" si="13"/>
        <v>0</v>
      </c>
      <c r="S69" s="55"/>
      <c r="T69" s="55"/>
      <c r="U69" s="44">
        <f t="shared" si="14"/>
        <v>0</v>
      </c>
      <c r="V69" s="53"/>
      <c r="W69" s="55"/>
      <c r="X69" s="44">
        <f t="shared" si="15"/>
        <v>0</v>
      </c>
      <c r="Y69" s="44"/>
      <c r="Z69" s="44"/>
      <c r="AA69" s="44"/>
      <c r="AB69" s="63">
        <f t="shared" si="16"/>
        <v>0</v>
      </c>
      <c r="AC69" s="23"/>
      <c r="AD69" s="6"/>
      <c r="AE69" s="7">
        <f t="shared" si="17"/>
        <v>0</v>
      </c>
      <c r="AF69" s="6"/>
      <c r="AG69" s="7">
        <f t="shared" si="18"/>
        <v>0</v>
      </c>
      <c r="AH69" s="6"/>
      <c r="AI69" s="7">
        <f t="shared" si="19"/>
        <v>0</v>
      </c>
      <c r="AJ69" s="6"/>
      <c r="AK69" s="7">
        <f t="shared" si="20"/>
        <v>0</v>
      </c>
      <c r="AL69" s="43"/>
      <c r="AM69" s="7">
        <f t="shared" si="21"/>
        <v>0</v>
      </c>
      <c r="AN69" s="6"/>
      <c r="AO69" s="7">
        <f t="shared" si="22"/>
        <v>0</v>
      </c>
      <c r="AP69" s="30">
        <f t="shared" si="23"/>
        <v>0</v>
      </c>
      <c r="AQ69" s="6"/>
      <c r="AR69" s="6"/>
      <c r="AS69" s="6"/>
      <c r="AT69" s="63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60"/>
        <v>0</v>
      </c>
      <c r="BB69" s="5">
        <f t="shared" si="161"/>
        <v>0</v>
      </c>
      <c r="BC69" s="5">
        <f t="shared" si="162"/>
        <v>0</v>
      </c>
      <c r="BD69" s="5">
        <f t="shared" si="163"/>
        <v>0</v>
      </c>
      <c r="BE69" s="5">
        <f t="shared" si="164"/>
        <v>0</v>
      </c>
      <c r="BF69" s="5">
        <f t="shared" si="165"/>
        <v>0</v>
      </c>
      <c r="BG69" s="5">
        <f t="shared" si="166"/>
        <v>0</v>
      </c>
      <c r="BH69" s="5">
        <f t="shared" si="167"/>
        <v>0</v>
      </c>
      <c r="BI69" s="5">
        <f t="shared" si="168"/>
        <v>0</v>
      </c>
      <c r="BJ69" s="5">
        <f t="shared" si="169"/>
        <v>0</v>
      </c>
      <c r="BK69" s="5">
        <f t="shared" si="170"/>
        <v>0</v>
      </c>
      <c r="BL69" s="5">
        <f t="shared" si="171"/>
        <v>0</v>
      </c>
      <c r="BM69" s="5">
        <f t="shared" si="172"/>
        <v>0</v>
      </c>
      <c r="BN69" s="5">
        <f t="shared" si="173"/>
        <v>0</v>
      </c>
      <c r="BO69" s="5">
        <f t="shared" si="174"/>
        <v>0</v>
      </c>
      <c r="BP69" s="5">
        <f t="shared" si="175"/>
        <v>0</v>
      </c>
      <c r="BQ69" s="5">
        <f t="shared" si="176"/>
        <v>0</v>
      </c>
      <c r="BR69" s="5">
        <f t="shared" si="177"/>
        <v>0</v>
      </c>
      <c r="BS69" s="5">
        <f t="shared" si="178"/>
        <v>0</v>
      </c>
      <c r="BT69" s="5">
        <f t="shared" si="179"/>
        <v>0</v>
      </c>
      <c r="BU69" s="5">
        <f t="shared" si="180"/>
        <v>0</v>
      </c>
      <c r="BV69" s="5">
        <f t="shared" si="181"/>
        <v>0</v>
      </c>
      <c r="BW69" s="5">
        <f t="shared" si="182"/>
        <v>0</v>
      </c>
      <c r="BX69" s="5">
        <f t="shared" si="183"/>
        <v>0</v>
      </c>
      <c r="BY69" s="5">
        <f t="shared" si="184"/>
        <v>0</v>
      </c>
      <c r="BZ69" s="5">
        <f t="shared" si="185"/>
        <v>0</v>
      </c>
      <c r="CA69" s="5">
        <f t="shared" si="186"/>
        <v>0</v>
      </c>
      <c r="CB69" s="5">
        <f t="shared" si="187"/>
        <v>0</v>
      </c>
      <c r="CC69" s="5">
        <f t="shared" si="188"/>
        <v>0</v>
      </c>
      <c r="CD69" s="5">
        <f t="shared" si="189"/>
        <v>0</v>
      </c>
      <c r="CE69" s="5">
        <f t="shared" si="190"/>
        <v>0</v>
      </c>
      <c r="CF69" s="5">
        <f t="shared" si="191"/>
        <v>0</v>
      </c>
      <c r="CG69" s="5">
        <f t="shared" si="192"/>
        <v>0</v>
      </c>
      <c r="CH69" s="5">
        <f t="shared" si="193"/>
        <v>0</v>
      </c>
      <c r="CI69" s="5">
        <f t="shared" si="194"/>
        <v>0</v>
      </c>
      <c r="CJ69" s="5"/>
      <c r="CK69" s="4">
        <f t="shared" si="159"/>
        <v>0</v>
      </c>
    </row>
    <row r="70" spans="1:89" ht="47" customHeight="1">
      <c r="A70" s="33" t="str">
        <f t="shared" si="158"/>
        <v/>
      </c>
      <c r="B70" s="10"/>
      <c r="C70" s="57"/>
      <c r="D70" s="55"/>
      <c r="E70" s="53"/>
      <c r="F70" s="44">
        <f t="shared" si="9"/>
        <v>0</v>
      </c>
      <c r="G70" s="53"/>
      <c r="H70" s="55"/>
      <c r="I70" s="44">
        <f t="shared" si="10"/>
        <v>0</v>
      </c>
      <c r="J70" s="55"/>
      <c r="K70" s="55"/>
      <c r="L70" s="44">
        <f t="shared" si="11"/>
        <v>0</v>
      </c>
      <c r="M70" s="53"/>
      <c r="N70" s="53"/>
      <c r="O70" s="44">
        <f t="shared" si="12"/>
        <v>0</v>
      </c>
      <c r="P70" s="55"/>
      <c r="Q70" s="55"/>
      <c r="R70" s="44">
        <f t="shared" si="13"/>
        <v>0</v>
      </c>
      <c r="S70" s="55"/>
      <c r="T70" s="55"/>
      <c r="U70" s="44">
        <f t="shared" si="14"/>
        <v>0</v>
      </c>
      <c r="V70" s="53"/>
      <c r="W70" s="55"/>
      <c r="X70" s="44">
        <f t="shared" si="15"/>
        <v>0</v>
      </c>
      <c r="Y70" s="44"/>
      <c r="Z70" s="44"/>
      <c r="AA70" s="44"/>
      <c r="AB70" s="63">
        <f t="shared" si="16"/>
        <v>0</v>
      </c>
      <c r="AC70" s="23"/>
      <c r="AD70" s="6"/>
      <c r="AE70" s="7">
        <f t="shared" si="17"/>
        <v>0</v>
      </c>
      <c r="AF70" s="6"/>
      <c r="AG70" s="7">
        <f t="shared" si="18"/>
        <v>0</v>
      </c>
      <c r="AH70" s="6"/>
      <c r="AI70" s="7">
        <f t="shared" si="19"/>
        <v>0</v>
      </c>
      <c r="AJ70" s="6"/>
      <c r="AK70" s="7">
        <f t="shared" si="20"/>
        <v>0</v>
      </c>
      <c r="AL70" s="43"/>
      <c r="AM70" s="7">
        <f t="shared" si="21"/>
        <v>0</v>
      </c>
      <c r="AN70" s="6"/>
      <c r="AO70" s="7">
        <f t="shared" si="22"/>
        <v>0</v>
      </c>
      <c r="AP70" s="30">
        <f t="shared" si="23"/>
        <v>0</v>
      </c>
      <c r="AQ70" s="6"/>
      <c r="AR70" s="6"/>
      <c r="AS70" s="6"/>
      <c r="AT70" s="63">
        <f t="shared" si="24"/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60"/>
        <v>0</v>
      </c>
      <c r="BB70" s="5">
        <f t="shared" si="161"/>
        <v>0</v>
      </c>
      <c r="BC70" s="5">
        <f t="shared" si="162"/>
        <v>0</v>
      </c>
      <c r="BD70" s="5">
        <f t="shared" si="163"/>
        <v>0</v>
      </c>
      <c r="BE70" s="5">
        <f t="shared" si="164"/>
        <v>0</v>
      </c>
      <c r="BF70" s="5">
        <f t="shared" si="165"/>
        <v>0</v>
      </c>
      <c r="BG70" s="5">
        <f t="shared" si="166"/>
        <v>0</v>
      </c>
      <c r="BH70" s="5">
        <f t="shared" si="167"/>
        <v>0</v>
      </c>
      <c r="BI70" s="5">
        <f t="shared" si="168"/>
        <v>0</v>
      </c>
      <c r="BJ70" s="5">
        <f t="shared" si="169"/>
        <v>0</v>
      </c>
      <c r="BK70" s="5">
        <f t="shared" si="170"/>
        <v>0</v>
      </c>
      <c r="BL70" s="5">
        <f t="shared" si="171"/>
        <v>0</v>
      </c>
      <c r="BM70" s="5">
        <f t="shared" si="172"/>
        <v>0</v>
      </c>
      <c r="BN70" s="5">
        <f t="shared" si="173"/>
        <v>0</v>
      </c>
      <c r="BO70" s="5">
        <f t="shared" si="174"/>
        <v>0</v>
      </c>
      <c r="BP70" s="5">
        <f t="shared" si="175"/>
        <v>0</v>
      </c>
      <c r="BQ70" s="5">
        <f t="shared" si="176"/>
        <v>0</v>
      </c>
      <c r="BR70" s="5">
        <f t="shared" si="177"/>
        <v>0</v>
      </c>
      <c r="BS70" s="5">
        <f t="shared" si="178"/>
        <v>0</v>
      </c>
      <c r="BT70" s="5">
        <f t="shared" si="179"/>
        <v>0</v>
      </c>
      <c r="BU70" s="5">
        <f t="shared" si="180"/>
        <v>0</v>
      </c>
      <c r="BV70" s="5">
        <f t="shared" si="181"/>
        <v>0</v>
      </c>
      <c r="BW70" s="5">
        <f t="shared" si="182"/>
        <v>0</v>
      </c>
      <c r="BX70" s="5">
        <f t="shared" si="183"/>
        <v>0</v>
      </c>
      <c r="BY70" s="5">
        <f t="shared" si="184"/>
        <v>0</v>
      </c>
      <c r="BZ70" s="5">
        <f t="shared" si="185"/>
        <v>0</v>
      </c>
      <c r="CA70" s="5">
        <f t="shared" si="186"/>
        <v>0</v>
      </c>
      <c r="CB70" s="5">
        <f t="shared" si="187"/>
        <v>0</v>
      </c>
      <c r="CC70" s="5">
        <f t="shared" si="188"/>
        <v>0</v>
      </c>
      <c r="CD70" s="5">
        <f t="shared" si="189"/>
        <v>0</v>
      </c>
      <c r="CE70" s="5">
        <f t="shared" si="190"/>
        <v>0</v>
      </c>
      <c r="CF70" s="5">
        <f t="shared" si="191"/>
        <v>0</v>
      </c>
      <c r="CG70" s="5">
        <f t="shared" si="192"/>
        <v>0</v>
      </c>
      <c r="CH70" s="5">
        <f t="shared" si="193"/>
        <v>0</v>
      </c>
      <c r="CI70" s="5">
        <f t="shared" si="194"/>
        <v>0</v>
      </c>
      <c r="CJ70" s="5"/>
      <c r="CK70" s="4">
        <f t="shared" si="159"/>
        <v>0</v>
      </c>
    </row>
    <row r="71" spans="1:89" ht="47" customHeight="1">
      <c r="A71" s="33" t="str">
        <f t="shared" si="158"/>
        <v/>
      </c>
      <c r="B71" s="10"/>
      <c r="C71" s="57"/>
      <c r="D71" s="55"/>
      <c r="E71" s="53"/>
      <c r="F71" s="44">
        <f t="shared" si="9"/>
        <v>0</v>
      </c>
      <c r="G71" s="53"/>
      <c r="H71" s="55"/>
      <c r="I71" s="44">
        <f t="shared" si="10"/>
        <v>0</v>
      </c>
      <c r="J71" s="55"/>
      <c r="K71" s="55"/>
      <c r="L71" s="44">
        <f t="shared" si="11"/>
        <v>0</v>
      </c>
      <c r="M71" s="53"/>
      <c r="N71" s="53"/>
      <c r="O71" s="44">
        <f t="shared" si="12"/>
        <v>0</v>
      </c>
      <c r="P71" s="55"/>
      <c r="Q71" s="55"/>
      <c r="R71" s="44">
        <f t="shared" si="13"/>
        <v>0</v>
      </c>
      <c r="S71" s="55"/>
      <c r="T71" s="55"/>
      <c r="U71" s="44">
        <f t="shared" si="14"/>
        <v>0</v>
      </c>
      <c r="V71" s="53"/>
      <c r="W71" s="55"/>
      <c r="X71" s="44">
        <f t="shared" si="15"/>
        <v>0</v>
      </c>
      <c r="Y71" s="44"/>
      <c r="Z71" s="44"/>
      <c r="AA71" s="44"/>
      <c r="AB71" s="63">
        <f t="shared" si="16"/>
        <v>0</v>
      </c>
      <c r="AC71" s="23"/>
      <c r="AD71" s="6"/>
      <c r="AE71" s="7">
        <f t="shared" si="17"/>
        <v>0</v>
      </c>
      <c r="AF71" s="6"/>
      <c r="AG71" s="7">
        <f t="shared" si="18"/>
        <v>0</v>
      </c>
      <c r="AH71" s="6"/>
      <c r="AI71" s="7">
        <f t="shared" si="19"/>
        <v>0</v>
      </c>
      <c r="AJ71" s="6"/>
      <c r="AK71" s="7">
        <f t="shared" si="20"/>
        <v>0</v>
      </c>
      <c r="AL71" s="43"/>
      <c r="AM71" s="7">
        <f t="shared" si="21"/>
        <v>0</v>
      </c>
      <c r="AN71" s="6"/>
      <c r="AO71" s="7">
        <f t="shared" si="22"/>
        <v>0</v>
      </c>
      <c r="AP71" s="30">
        <f t="shared" si="23"/>
        <v>0</v>
      </c>
      <c r="AQ71" s="6"/>
      <c r="AR71" s="6"/>
      <c r="AS71" s="6"/>
      <c r="AT71" s="63">
        <f t="shared" si="24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60"/>
        <v>0</v>
      </c>
      <c r="BB71" s="5">
        <f t="shared" si="161"/>
        <v>0</v>
      </c>
      <c r="BC71" s="5">
        <f t="shared" si="162"/>
        <v>0</v>
      </c>
      <c r="BD71" s="5">
        <f t="shared" si="163"/>
        <v>0</v>
      </c>
      <c r="BE71" s="5">
        <f t="shared" si="164"/>
        <v>0</v>
      </c>
      <c r="BF71" s="5">
        <f t="shared" si="165"/>
        <v>0</v>
      </c>
      <c r="BG71" s="5">
        <f t="shared" si="166"/>
        <v>0</v>
      </c>
      <c r="BH71" s="5">
        <f t="shared" si="167"/>
        <v>0</v>
      </c>
      <c r="BI71" s="5">
        <f t="shared" si="168"/>
        <v>0</v>
      </c>
      <c r="BJ71" s="5">
        <f t="shared" si="169"/>
        <v>0</v>
      </c>
      <c r="BK71" s="5">
        <f t="shared" si="170"/>
        <v>0</v>
      </c>
      <c r="BL71" s="5">
        <f t="shared" si="171"/>
        <v>0</v>
      </c>
      <c r="BM71" s="5">
        <f t="shared" si="172"/>
        <v>0</v>
      </c>
      <c r="BN71" s="5">
        <f t="shared" si="173"/>
        <v>0</v>
      </c>
      <c r="BO71" s="5">
        <f t="shared" si="174"/>
        <v>0</v>
      </c>
      <c r="BP71" s="5">
        <f t="shared" si="175"/>
        <v>0</v>
      </c>
      <c r="BQ71" s="5">
        <f t="shared" si="176"/>
        <v>0</v>
      </c>
      <c r="BR71" s="5">
        <f t="shared" si="177"/>
        <v>0</v>
      </c>
      <c r="BS71" s="5">
        <f t="shared" si="178"/>
        <v>0</v>
      </c>
      <c r="BT71" s="5">
        <f t="shared" si="179"/>
        <v>0</v>
      </c>
      <c r="BU71" s="5">
        <f t="shared" si="180"/>
        <v>0</v>
      </c>
      <c r="BV71" s="5">
        <f t="shared" si="181"/>
        <v>0</v>
      </c>
      <c r="BW71" s="5">
        <f t="shared" si="182"/>
        <v>0</v>
      </c>
      <c r="BX71" s="5">
        <f t="shared" si="183"/>
        <v>0</v>
      </c>
      <c r="BY71" s="5">
        <f t="shared" si="184"/>
        <v>0</v>
      </c>
      <c r="BZ71" s="5">
        <f t="shared" si="185"/>
        <v>0</v>
      </c>
      <c r="CA71" s="5">
        <f t="shared" si="186"/>
        <v>0</v>
      </c>
      <c r="CB71" s="5">
        <f t="shared" si="187"/>
        <v>0</v>
      </c>
      <c r="CC71" s="5">
        <f t="shared" si="188"/>
        <v>0</v>
      </c>
      <c r="CD71" s="5">
        <f t="shared" si="189"/>
        <v>0</v>
      </c>
      <c r="CE71" s="5">
        <f t="shared" si="190"/>
        <v>0</v>
      </c>
      <c r="CF71" s="5">
        <f t="shared" si="191"/>
        <v>0</v>
      </c>
      <c r="CG71" s="5">
        <f t="shared" si="192"/>
        <v>0</v>
      </c>
      <c r="CH71" s="5">
        <f t="shared" si="193"/>
        <v>0</v>
      </c>
      <c r="CI71" s="5">
        <f t="shared" si="194"/>
        <v>0</v>
      </c>
      <c r="CJ71" s="5"/>
      <c r="CK71" s="4">
        <f t="shared" si="159"/>
        <v>0</v>
      </c>
    </row>
    <row r="72" spans="1:89" ht="47" customHeight="1">
      <c r="A72" s="33" t="str">
        <f t="shared" si="158"/>
        <v/>
      </c>
      <c r="B72" s="10"/>
      <c r="C72" s="57"/>
      <c r="D72" s="55"/>
      <c r="E72" s="53"/>
      <c r="F72" s="44">
        <f t="shared" si="9"/>
        <v>0</v>
      </c>
      <c r="G72" s="53"/>
      <c r="H72" s="55"/>
      <c r="I72" s="44">
        <f t="shared" si="10"/>
        <v>0</v>
      </c>
      <c r="J72" s="55"/>
      <c r="K72" s="55"/>
      <c r="L72" s="44">
        <f t="shared" si="11"/>
        <v>0</v>
      </c>
      <c r="M72" s="53"/>
      <c r="N72" s="53"/>
      <c r="O72" s="44">
        <f t="shared" si="12"/>
        <v>0</v>
      </c>
      <c r="P72" s="55"/>
      <c r="Q72" s="55"/>
      <c r="R72" s="44">
        <f t="shared" si="13"/>
        <v>0</v>
      </c>
      <c r="S72" s="55"/>
      <c r="T72" s="55"/>
      <c r="U72" s="44">
        <f t="shared" si="14"/>
        <v>0</v>
      </c>
      <c r="V72" s="53"/>
      <c r="W72" s="55"/>
      <c r="X72" s="44">
        <f t="shared" si="15"/>
        <v>0</v>
      </c>
      <c r="Y72" s="44"/>
      <c r="Z72" s="44"/>
      <c r="AA72" s="44"/>
      <c r="AB72" s="63">
        <f t="shared" si="16"/>
        <v>0</v>
      </c>
      <c r="AC72" s="23"/>
      <c r="AD72" s="6"/>
      <c r="AE72" s="7">
        <f t="shared" si="17"/>
        <v>0</v>
      </c>
      <c r="AF72" s="6"/>
      <c r="AG72" s="7">
        <f t="shared" si="18"/>
        <v>0</v>
      </c>
      <c r="AH72" s="6"/>
      <c r="AI72" s="7">
        <f t="shared" si="19"/>
        <v>0</v>
      </c>
      <c r="AJ72" s="6"/>
      <c r="AK72" s="7">
        <f t="shared" si="20"/>
        <v>0</v>
      </c>
      <c r="AL72" s="43"/>
      <c r="AM72" s="7">
        <f t="shared" si="21"/>
        <v>0</v>
      </c>
      <c r="AN72" s="6"/>
      <c r="AO72" s="7">
        <f t="shared" si="22"/>
        <v>0</v>
      </c>
      <c r="AP72" s="30">
        <f t="shared" si="23"/>
        <v>0</v>
      </c>
      <c r="AQ72" s="6"/>
      <c r="AR72" s="6"/>
      <c r="AS72" s="6"/>
      <c r="AT72" s="63">
        <f t="shared" si="24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60"/>
        <v>0</v>
      </c>
      <c r="BB72" s="5">
        <f t="shared" si="161"/>
        <v>0</v>
      </c>
      <c r="BC72" s="5">
        <f t="shared" si="162"/>
        <v>0</v>
      </c>
      <c r="BD72" s="5">
        <f t="shared" si="163"/>
        <v>0</v>
      </c>
      <c r="BE72" s="5">
        <f t="shared" si="164"/>
        <v>0</v>
      </c>
      <c r="BF72" s="5">
        <f t="shared" si="165"/>
        <v>0</v>
      </c>
      <c r="BG72" s="5">
        <f t="shared" si="166"/>
        <v>0</v>
      </c>
      <c r="BH72" s="5">
        <f t="shared" si="167"/>
        <v>0</v>
      </c>
      <c r="BI72" s="5">
        <f t="shared" si="168"/>
        <v>0</v>
      </c>
      <c r="BJ72" s="5">
        <f t="shared" si="169"/>
        <v>0</v>
      </c>
      <c r="BK72" s="5">
        <f t="shared" si="170"/>
        <v>0</v>
      </c>
      <c r="BL72" s="5">
        <f t="shared" si="171"/>
        <v>0</v>
      </c>
      <c r="BM72" s="5">
        <f t="shared" si="172"/>
        <v>0</v>
      </c>
      <c r="BN72" s="5">
        <f t="shared" si="173"/>
        <v>0</v>
      </c>
      <c r="BO72" s="5">
        <f t="shared" si="174"/>
        <v>0</v>
      </c>
      <c r="BP72" s="5">
        <f t="shared" si="175"/>
        <v>0</v>
      </c>
      <c r="BQ72" s="5">
        <f t="shared" si="176"/>
        <v>0</v>
      </c>
      <c r="BR72" s="5">
        <f t="shared" si="177"/>
        <v>0</v>
      </c>
      <c r="BS72" s="5">
        <f t="shared" si="178"/>
        <v>0</v>
      </c>
      <c r="BT72" s="5">
        <f t="shared" si="179"/>
        <v>0</v>
      </c>
      <c r="BU72" s="5">
        <f t="shared" si="180"/>
        <v>0</v>
      </c>
      <c r="BV72" s="5">
        <f t="shared" si="181"/>
        <v>0</v>
      </c>
      <c r="BW72" s="5">
        <f t="shared" si="182"/>
        <v>0</v>
      </c>
      <c r="BX72" s="5">
        <f t="shared" si="183"/>
        <v>0</v>
      </c>
      <c r="BY72" s="5">
        <f t="shared" si="184"/>
        <v>0</v>
      </c>
      <c r="BZ72" s="5">
        <f t="shared" si="185"/>
        <v>0</v>
      </c>
      <c r="CA72" s="5">
        <f t="shared" si="186"/>
        <v>0</v>
      </c>
      <c r="CB72" s="5">
        <f t="shared" si="187"/>
        <v>0</v>
      </c>
      <c r="CC72" s="5">
        <f t="shared" si="188"/>
        <v>0</v>
      </c>
      <c r="CD72" s="5">
        <f t="shared" si="189"/>
        <v>0</v>
      </c>
      <c r="CE72" s="5">
        <f t="shared" si="190"/>
        <v>0</v>
      </c>
      <c r="CF72" s="5">
        <f t="shared" si="191"/>
        <v>0</v>
      </c>
      <c r="CG72" s="5">
        <f t="shared" si="192"/>
        <v>0</v>
      </c>
      <c r="CH72" s="5">
        <f t="shared" si="193"/>
        <v>0</v>
      </c>
      <c r="CI72" s="5">
        <f t="shared" si="194"/>
        <v>0</v>
      </c>
      <c r="CJ72" s="5"/>
      <c r="CK72" s="4">
        <f t="shared" si="159"/>
        <v>0</v>
      </c>
    </row>
    <row r="73" spans="1:89" ht="47" customHeight="1">
      <c r="A73" s="33" t="str">
        <f t="shared" si="158"/>
        <v/>
      </c>
      <c r="B73" s="10"/>
      <c r="C73" s="57"/>
      <c r="D73" s="55"/>
      <c r="E73" s="53"/>
      <c r="F73" s="44">
        <f t="shared" si="9"/>
        <v>0</v>
      </c>
      <c r="G73" s="53"/>
      <c r="H73" s="55"/>
      <c r="I73" s="44">
        <f t="shared" si="10"/>
        <v>0</v>
      </c>
      <c r="J73" s="55"/>
      <c r="K73" s="55"/>
      <c r="L73" s="44">
        <f t="shared" si="11"/>
        <v>0</v>
      </c>
      <c r="M73" s="53"/>
      <c r="N73" s="53"/>
      <c r="O73" s="44">
        <f t="shared" si="12"/>
        <v>0</v>
      </c>
      <c r="P73" s="55"/>
      <c r="Q73" s="55"/>
      <c r="R73" s="44">
        <f t="shared" si="13"/>
        <v>0</v>
      </c>
      <c r="S73" s="55"/>
      <c r="T73" s="55"/>
      <c r="U73" s="44">
        <f t="shared" si="14"/>
        <v>0</v>
      </c>
      <c r="V73" s="53"/>
      <c r="W73" s="55"/>
      <c r="X73" s="44">
        <f t="shared" si="15"/>
        <v>0</v>
      </c>
      <c r="Y73" s="44"/>
      <c r="Z73" s="44"/>
      <c r="AA73" s="44"/>
      <c r="AB73" s="63">
        <f t="shared" si="16"/>
        <v>0</v>
      </c>
      <c r="AC73" s="23"/>
      <c r="AD73" s="6"/>
      <c r="AE73" s="7">
        <f t="shared" si="17"/>
        <v>0</v>
      </c>
      <c r="AF73" s="6"/>
      <c r="AG73" s="7">
        <f t="shared" si="18"/>
        <v>0</v>
      </c>
      <c r="AH73" s="6"/>
      <c r="AI73" s="7">
        <f t="shared" si="19"/>
        <v>0</v>
      </c>
      <c r="AJ73" s="6"/>
      <c r="AK73" s="7">
        <f t="shared" si="20"/>
        <v>0</v>
      </c>
      <c r="AL73" s="43"/>
      <c r="AM73" s="7">
        <f t="shared" si="21"/>
        <v>0</v>
      </c>
      <c r="AN73" s="6"/>
      <c r="AO73" s="7">
        <f t="shared" si="22"/>
        <v>0</v>
      </c>
      <c r="AP73" s="30">
        <f t="shared" si="23"/>
        <v>0</v>
      </c>
      <c r="AQ73" s="6"/>
      <c r="AR73" s="6"/>
      <c r="AS73" s="6"/>
      <c r="AT73" s="63">
        <f t="shared" si="24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60"/>
        <v>0</v>
      </c>
      <c r="BB73" s="5">
        <f t="shared" si="161"/>
        <v>0</v>
      </c>
      <c r="BC73" s="5">
        <f t="shared" si="162"/>
        <v>0</v>
      </c>
      <c r="BD73" s="5">
        <f t="shared" si="163"/>
        <v>0</v>
      </c>
      <c r="BE73" s="5">
        <f t="shared" si="164"/>
        <v>0</v>
      </c>
      <c r="BF73" s="5">
        <f t="shared" si="165"/>
        <v>0</v>
      </c>
      <c r="BG73" s="5">
        <f t="shared" si="166"/>
        <v>0</v>
      </c>
      <c r="BH73" s="5">
        <f t="shared" si="167"/>
        <v>0</v>
      </c>
      <c r="BI73" s="5">
        <f t="shared" si="168"/>
        <v>0</v>
      </c>
      <c r="BJ73" s="5">
        <f t="shared" si="169"/>
        <v>0</v>
      </c>
      <c r="BK73" s="5">
        <f t="shared" si="170"/>
        <v>0</v>
      </c>
      <c r="BL73" s="5">
        <f t="shared" si="171"/>
        <v>0</v>
      </c>
      <c r="BM73" s="5">
        <f t="shared" si="172"/>
        <v>0</v>
      </c>
      <c r="BN73" s="5">
        <f t="shared" si="173"/>
        <v>0</v>
      </c>
      <c r="BO73" s="5">
        <f t="shared" si="174"/>
        <v>0</v>
      </c>
      <c r="BP73" s="5">
        <f t="shared" si="175"/>
        <v>0</v>
      </c>
      <c r="BQ73" s="5">
        <f t="shared" si="176"/>
        <v>0</v>
      </c>
      <c r="BR73" s="5">
        <f t="shared" si="177"/>
        <v>0</v>
      </c>
      <c r="BS73" s="5">
        <f t="shared" si="178"/>
        <v>0</v>
      </c>
      <c r="BT73" s="5">
        <f t="shared" si="179"/>
        <v>0</v>
      </c>
      <c r="BU73" s="5">
        <f t="shared" si="180"/>
        <v>0</v>
      </c>
      <c r="BV73" s="5">
        <f t="shared" si="181"/>
        <v>0</v>
      </c>
      <c r="BW73" s="5">
        <f t="shared" si="182"/>
        <v>0</v>
      </c>
      <c r="BX73" s="5">
        <f t="shared" si="183"/>
        <v>0</v>
      </c>
      <c r="BY73" s="5">
        <f t="shared" si="184"/>
        <v>0</v>
      </c>
      <c r="BZ73" s="5">
        <f t="shared" si="185"/>
        <v>0</v>
      </c>
      <c r="CA73" s="5">
        <f t="shared" si="186"/>
        <v>0</v>
      </c>
      <c r="CB73" s="5">
        <f t="shared" si="187"/>
        <v>0</v>
      </c>
      <c r="CC73" s="5">
        <f t="shared" si="188"/>
        <v>0</v>
      </c>
      <c r="CD73" s="5">
        <f t="shared" si="189"/>
        <v>0</v>
      </c>
      <c r="CE73" s="5">
        <f t="shared" si="190"/>
        <v>0</v>
      </c>
      <c r="CF73" s="5">
        <f t="shared" si="191"/>
        <v>0</v>
      </c>
      <c r="CG73" s="5">
        <f t="shared" si="192"/>
        <v>0</v>
      </c>
      <c r="CH73" s="5">
        <f t="shared" si="193"/>
        <v>0</v>
      </c>
      <c r="CI73" s="5">
        <f t="shared" si="194"/>
        <v>0</v>
      </c>
      <c r="CJ73" s="5"/>
      <c r="CK73" s="4">
        <f t="shared" si="159"/>
        <v>0</v>
      </c>
    </row>
    <row r="74" spans="1:89" ht="47" customHeight="1">
      <c r="A74" s="33" t="str">
        <f t="shared" si="158"/>
        <v/>
      </c>
      <c r="B74" s="10"/>
      <c r="C74" s="57"/>
      <c r="D74" s="55"/>
      <c r="E74" s="53"/>
      <c r="F74" s="44">
        <f t="shared" si="9"/>
        <v>0</v>
      </c>
      <c r="G74" s="53"/>
      <c r="H74" s="55"/>
      <c r="I74" s="44">
        <f t="shared" si="10"/>
        <v>0</v>
      </c>
      <c r="J74" s="55"/>
      <c r="K74" s="55"/>
      <c r="L74" s="44">
        <f t="shared" si="11"/>
        <v>0</v>
      </c>
      <c r="M74" s="53"/>
      <c r="N74" s="53"/>
      <c r="O74" s="44">
        <f t="shared" si="12"/>
        <v>0</v>
      </c>
      <c r="P74" s="55"/>
      <c r="Q74" s="55"/>
      <c r="R74" s="44">
        <f t="shared" si="13"/>
        <v>0</v>
      </c>
      <c r="S74" s="55"/>
      <c r="T74" s="55"/>
      <c r="U74" s="44">
        <f t="shared" si="14"/>
        <v>0</v>
      </c>
      <c r="V74" s="53"/>
      <c r="W74" s="55"/>
      <c r="X74" s="44">
        <f t="shared" si="15"/>
        <v>0</v>
      </c>
      <c r="Y74" s="44"/>
      <c r="Z74" s="44"/>
      <c r="AA74" s="44"/>
      <c r="AB74" s="63">
        <f t="shared" si="16"/>
        <v>0</v>
      </c>
      <c r="AC74" s="23"/>
      <c r="AD74" s="6"/>
      <c r="AE74" s="7">
        <f t="shared" si="17"/>
        <v>0</v>
      </c>
      <c r="AF74" s="6"/>
      <c r="AG74" s="7">
        <f t="shared" si="18"/>
        <v>0</v>
      </c>
      <c r="AH74" s="6"/>
      <c r="AI74" s="7">
        <f t="shared" si="19"/>
        <v>0</v>
      </c>
      <c r="AJ74" s="6"/>
      <c r="AK74" s="7">
        <f t="shared" si="20"/>
        <v>0</v>
      </c>
      <c r="AL74" s="43"/>
      <c r="AM74" s="7">
        <f t="shared" si="21"/>
        <v>0</v>
      </c>
      <c r="AN74" s="6"/>
      <c r="AO74" s="7">
        <f t="shared" si="22"/>
        <v>0</v>
      </c>
      <c r="AP74" s="30">
        <f t="shared" si="23"/>
        <v>0</v>
      </c>
      <c r="AQ74" s="6"/>
      <c r="AR74" s="6"/>
      <c r="AS74" s="6"/>
      <c r="AT74" s="63">
        <f t="shared" si="24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60"/>
        <v>0</v>
      </c>
      <c r="BB74" s="5">
        <f t="shared" si="161"/>
        <v>0</v>
      </c>
      <c r="BC74" s="5">
        <f t="shared" si="162"/>
        <v>0</v>
      </c>
      <c r="BD74" s="5">
        <f t="shared" si="163"/>
        <v>0</v>
      </c>
      <c r="BE74" s="5">
        <f t="shared" si="164"/>
        <v>0</v>
      </c>
      <c r="BF74" s="5">
        <f t="shared" si="165"/>
        <v>0</v>
      </c>
      <c r="BG74" s="5">
        <f t="shared" si="166"/>
        <v>0</v>
      </c>
      <c r="BH74" s="5">
        <f t="shared" si="167"/>
        <v>0</v>
      </c>
      <c r="BI74" s="5">
        <f t="shared" si="168"/>
        <v>0</v>
      </c>
      <c r="BJ74" s="5">
        <f t="shared" si="169"/>
        <v>0</v>
      </c>
      <c r="BK74" s="5">
        <f t="shared" si="170"/>
        <v>0</v>
      </c>
      <c r="BL74" s="5">
        <f t="shared" si="171"/>
        <v>0</v>
      </c>
      <c r="BM74" s="5">
        <f t="shared" si="172"/>
        <v>0</v>
      </c>
      <c r="BN74" s="5">
        <f t="shared" si="173"/>
        <v>0</v>
      </c>
      <c r="BO74" s="5">
        <f t="shared" si="174"/>
        <v>0</v>
      </c>
      <c r="BP74" s="5">
        <f t="shared" si="175"/>
        <v>0</v>
      </c>
      <c r="BQ74" s="5">
        <f t="shared" si="176"/>
        <v>0</v>
      </c>
      <c r="BR74" s="5">
        <f t="shared" si="177"/>
        <v>0</v>
      </c>
      <c r="BS74" s="5">
        <f t="shared" si="178"/>
        <v>0</v>
      </c>
      <c r="BT74" s="5">
        <f t="shared" si="179"/>
        <v>0</v>
      </c>
      <c r="BU74" s="5">
        <f t="shared" si="180"/>
        <v>0</v>
      </c>
      <c r="BV74" s="5">
        <f t="shared" si="181"/>
        <v>0</v>
      </c>
      <c r="BW74" s="5">
        <f t="shared" si="182"/>
        <v>0</v>
      </c>
      <c r="BX74" s="5">
        <f t="shared" si="183"/>
        <v>0</v>
      </c>
      <c r="BY74" s="5">
        <f t="shared" si="184"/>
        <v>0</v>
      </c>
      <c r="BZ74" s="5">
        <f t="shared" si="185"/>
        <v>0</v>
      </c>
      <c r="CA74" s="5">
        <f t="shared" si="186"/>
        <v>0</v>
      </c>
      <c r="CB74" s="5">
        <f t="shared" si="187"/>
        <v>0</v>
      </c>
      <c r="CC74" s="5">
        <f t="shared" si="188"/>
        <v>0</v>
      </c>
      <c r="CD74" s="5">
        <f t="shared" si="189"/>
        <v>0</v>
      </c>
      <c r="CE74" s="5">
        <f t="shared" si="190"/>
        <v>0</v>
      </c>
      <c r="CF74" s="5">
        <f t="shared" si="191"/>
        <v>0</v>
      </c>
      <c r="CG74" s="5">
        <f t="shared" si="192"/>
        <v>0</v>
      </c>
      <c r="CH74" s="5">
        <f t="shared" si="193"/>
        <v>0</v>
      </c>
      <c r="CI74" s="5">
        <f t="shared" si="194"/>
        <v>0</v>
      </c>
      <c r="CJ74" s="5"/>
      <c r="CK74" s="4">
        <f t="shared" si="159"/>
        <v>0</v>
      </c>
    </row>
    <row r="75" spans="1:89" ht="47" customHeight="1">
      <c r="A75" s="33" t="str">
        <f t="shared" si="158"/>
        <v/>
      </c>
      <c r="B75" s="10"/>
      <c r="C75" s="57"/>
      <c r="D75" s="55"/>
      <c r="E75" s="53"/>
      <c r="F75" s="44">
        <f t="shared" ref="F75:F100" si="195">BA75-BB75</f>
        <v>0</v>
      </c>
      <c r="G75" s="53"/>
      <c r="H75" s="55"/>
      <c r="I75" s="44">
        <f t="shared" ref="I75:I100" si="196">BF75-BG75</f>
        <v>0</v>
      </c>
      <c r="J75" s="55"/>
      <c r="K75" s="55"/>
      <c r="L75" s="44">
        <f t="shared" ref="L75:L100" si="197">BK75-BL75</f>
        <v>0</v>
      </c>
      <c r="M75" s="53"/>
      <c r="N75" s="53"/>
      <c r="O75" s="44">
        <f t="shared" ref="O75:O100" si="198">BP75-BQ75</f>
        <v>0</v>
      </c>
      <c r="P75" s="55"/>
      <c r="Q75" s="55"/>
      <c r="R75" s="44">
        <f t="shared" ref="R75:R100" si="199">BU75-BV75</f>
        <v>0</v>
      </c>
      <c r="S75" s="55"/>
      <c r="T75" s="55"/>
      <c r="U75" s="44">
        <f t="shared" ref="U75:U100" si="200">BZ75-CA75</f>
        <v>0</v>
      </c>
      <c r="V75" s="53"/>
      <c r="W75" s="55"/>
      <c r="X75" s="44">
        <f t="shared" ref="X75:X100" si="201">CE75-CF75</f>
        <v>0</v>
      </c>
      <c r="Y75" s="44"/>
      <c r="Z75" s="44"/>
      <c r="AA75" s="44"/>
      <c r="AB75" s="63">
        <f t="shared" ref="AB75:AB98" si="202">SUM(F75,I75,L75,O75,R75,U75,X75)</f>
        <v>0</v>
      </c>
      <c r="AC75" s="23"/>
      <c r="AD75" s="6"/>
      <c r="AE75" s="7">
        <f t="shared" ref="AE75:AE100" si="203">SUMIF($BC$1:$CI$1,AE$1,$BC75:$CI75)+AD75</f>
        <v>0</v>
      </c>
      <c r="AF75" s="6"/>
      <c r="AG75" s="7">
        <f t="shared" ref="AG75:AG100" si="204">SUMIF($BC$1:$CI$1,AG$1,$BC75:$CI75)+AF75</f>
        <v>0</v>
      </c>
      <c r="AH75" s="6"/>
      <c r="AI75" s="7">
        <f t="shared" ref="AI75:AI100" si="205">SUMIF($BC$1:$CI$1,AI$1,$BC75:$CI75)+AH75</f>
        <v>0</v>
      </c>
      <c r="AJ75" s="6"/>
      <c r="AK75" s="7">
        <f t="shared" ref="AK75:AK100" si="206">SUMIF($BC$1:$CI$1,AK$1,$BC75:$CI75)+AJ75</f>
        <v>0</v>
      </c>
      <c r="AL75" s="43"/>
      <c r="AM75" s="7">
        <f t="shared" ref="AM75:AM100" si="207">SUMIF($BC$1:$CI$1,AM$1,$BC75:$CI75)+AL75</f>
        <v>0</v>
      </c>
      <c r="AN75" s="6"/>
      <c r="AO75" s="7">
        <f t="shared" ref="AO75:AO100" si="208">SUMIF($BC$1:$CI$1,AO$1,$BC75:$CI75)+AN75</f>
        <v>0</v>
      </c>
      <c r="AP75" s="30">
        <f t="shared" ref="AP75:AP100" si="209">CK75</f>
        <v>0</v>
      </c>
      <c r="AQ75" s="6"/>
      <c r="AR75" s="6"/>
      <c r="AS75" s="6"/>
      <c r="AT75" s="63">
        <f t="shared" ref="AT75:AT98" si="210">AE75+AG75+AI75+AK75+AM75+AO75+SUM(AQ75:AS75)</f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60"/>
        <v>0</v>
      </c>
      <c r="BB75" s="5">
        <f t="shared" si="161"/>
        <v>0</v>
      </c>
      <c r="BC75" s="5">
        <f t="shared" si="162"/>
        <v>0</v>
      </c>
      <c r="BD75" s="5">
        <f t="shared" si="163"/>
        <v>0</v>
      </c>
      <c r="BE75" s="5">
        <f t="shared" si="164"/>
        <v>0</v>
      </c>
      <c r="BF75" s="5">
        <f t="shared" si="165"/>
        <v>0</v>
      </c>
      <c r="BG75" s="5">
        <f t="shared" si="166"/>
        <v>0</v>
      </c>
      <c r="BH75" s="5">
        <f t="shared" si="167"/>
        <v>0</v>
      </c>
      <c r="BI75" s="5">
        <f t="shared" si="168"/>
        <v>0</v>
      </c>
      <c r="BJ75" s="5">
        <f t="shared" si="169"/>
        <v>0</v>
      </c>
      <c r="BK75" s="5">
        <f t="shared" si="170"/>
        <v>0</v>
      </c>
      <c r="BL75" s="5">
        <f t="shared" si="171"/>
        <v>0</v>
      </c>
      <c r="BM75" s="5">
        <f t="shared" si="172"/>
        <v>0</v>
      </c>
      <c r="BN75" s="5">
        <f t="shared" si="173"/>
        <v>0</v>
      </c>
      <c r="BO75" s="5">
        <f t="shared" si="174"/>
        <v>0</v>
      </c>
      <c r="BP75" s="5">
        <f t="shared" si="175"/>
        <v>0</v>
      </c>
      <c r="BQ75" s="5">
        <f t="shared" si="176"/>
        <v>0</v>
      </c>
      <c r="BR75" s="5">
        <f t="shared" si="177"/>
        <v>0</v>
      </c>
      <c r="BS75" s="5">
        <f t="shared" si="178"/>
        <v>0</v>
      </c>
      <c r="BT75" s="5">
        <f t="shared" si="179"/>
        <v>0</v>
      </c>
      <c r="BU75" s="5">
        <f t="shared" si="180"/>
        <v>0</v>
      </c>
      <c r="BV75" s="5">
        <f t="shared" si="181"/>
        <v>0</v>
      </c>
      <c r="BW75" s="5">
        <f t="shared" si="182"/>
        <v>0</v>
      </c>
      <c r="BX75" s="5">
        <f t="shared" si="183"/>
        <v>0</v>
      </c>
      <c r="BY75" s="5">
        <f t="shared" si="184"/>
        <v>0</v>
      </c>
      <c r="BZ75" s="5">
        <f t="shared" si="185"/>
        <v>0</v>
      </c>
      <c r="CA75" s="5">
        <f t="shared" si="186"/>
        <v>0</v>
      </c>
      <c r="CB75" s="5">
        <f t="shared" si="187"/>
        <v>0</v>
      </c>
      <c r="CC75" s="5">
        <f t="shared" si="188"/>
        <v>0</v>
      </c>
      <c r="CD75" s="5">
        <f t="shared" si="189"/>
        <v>0</v>
      </c>
      <c r="CE75" s="5">
        <f t="shared" si="190"/>
        <v>0</v>
      </c>
      <c r="CF75" s="5">
        <f t="shared" si="191"/>
        <v>0</v>
      </c>
      <c r="CG75" s="5">
        <f t="shared" si="192"/>
        <v>0</v>
      </c>
      <c r="CH75" s="5">
        <f t="shared" si="193"/>
        <v>0</v>
      </c>
      <c r="CI75" s="5">
        <f t="shared" si="194"/>
        <v>0</v>
      </c>
      <c r="CJ75" s="5"/>
      <c r="CK75" s="4">
        <f t="shared" si="159"/>
        <v>0</v>
      </c>
    </row>
    <row r="76" spans="1:89" ht="47" customHeight="1">
      <c r="A76" s="33" t="str">
        <f t="shared" si="158"/>
        <v/>
      </c>
      <c r="B76" s="10"/>
      <c r="C76" s="57"/>
      <c r="D76" s="55"/>
      <c r="E76" s="53"/>
      <c r="F76" s="44">
        <f t="shared" si="195"/>
        <v>0</v>
      </c>
      <c r="G76" s="53"/>
      <c r="H76" s="55"/>
      <c r="I76" s="44">
        <f t="shared" si="196"/>
        <v>0</v>
      </c>
      <c r="J76" s="55"/>
      <c r="K76" s="55"/>
      <c r="L76" s="44">
        <f t="shared" si="197"/>
        <v>0</v>
      </c>
      <c r="M76" s="53"/>
      <c r="N76" s="53"/>
      <c r="O76" s="44">
        <f t="shared" si="198"/>
        <v>0</v>
      </c>
      <c r="P76" s="55"/>
      <c r="Q76" s="55"/>
      <c r="R76" s="44">
        <f t="shared" si="199"/>
        <v>0</v>
      </c>
      <c r="S76" s="55"/>
      <c r="T76" s="55"/>
      <c r="U76" s="44">
        <f t="shared" si="200"/>
        <v>0</v>
      </c>
      <c r="V76" s="53"/>
      <c r="W76" s="55"/>
      <c r="X76" s="44">
        <f t="shared" si="201"/>
        <v>0</v>
      </c>
      <c r="Y76" s="44"/>
      <c r="Z76" s="44"/>
      <c r="AA76" s="44"/>
      <c r="AB76" s="63">
        <f t="shared" si="202"/>
        <v>0</v>
      </c>
      <c r="AC76" s="23"/>
      <c r="AD76" s="6"/>
      <c r="AE76" s="7">
        <f t="shared" si="203"/>
        <v>0</v>
      </c>
      <c r="AF76" s="6"/>
      <c r="AG76" s="7">
        <f t="shared" si="204"/>
        <v>0</v>
      </c>
      <c r="AH76" s="6"/>
      <c r="AI76" s="7">
        <f t="shared" si="205"/>
        <v>0</v>
      </c>
      <c r="AJ76" s="6"/>
      <c r="AK76" s="7">
        <f t="shared" si="206"/>
        <v>0</v>
      </c>
      <c r="AL76" s="43"/>
      <c r="AM76" s="7">
        <f t="shared" si="207"/>
        <v>0</v>
      </c>
      <c r="AN76" s="6"/>
      <c r="AO76" s="7">
        <f t="shared" si="208"/>
        <v>0</v>
      </c>
      <c r="AP76" s="30">
        <f t="shared" si="209"/>
        <v>0</v>
      </c>
      <c r="AQ76" s="6"/>
      <c r="AR76" s="6"/>
      <c r="AS76" s="6"/>
      <c r="AT76" s="63">
        <f t="shared" si="210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60"/>
        <v>0</v>
      </c>
      <c r="BB76" s="5">
        <f t="shared" si="161"/>
        <v>0</v>
      </c>
      <c r="BC76" s="5">
        <f t="shared" si="162"/>
        <v>0</v>
      </c>
      <c r="BD76" s="5">
        <f t="shared" si="163"/>
        <v>0</v>
      </c>
      <c r="BE76" s="5">
        <f t="shared" si="164"/>
        <v>0</v>
      </c>
      <c r="BF76" s="5">
        <f t="shared" si="165"/>
        <v>0</v>
      </c>
      <c r="BG76" s="5">
        <f t="shared" si="166"/>
        <v>0</v>
      </c>
      <c r="BH76" s="5">
        <f t="shared" si="167"/>
        <v>0</v>
      </c>
      <c r="BI76" s="5">
        <f t="shared" si="168"/>
        <v>0</v>
      </c>
      <c r="BJ76" s="5">
        <f t="shared" si="169"/>
        <v>0</v>
      </c>
      <c r="BK76" s="5">
        <f t="shared" si="170"/>
        <v>0</v>
      </c>
      <c r="BL76" s="5">
        <f t="shared" si="171"/>
        <v>0</v>
      </c>
      <c r="BM76" s="5">
        <f t="shared" si="172"/>
        <v>0</v>
      </c>
      <c r="BN76" s="5">
        <f t="shared" si="173"/>
        <v>0</v>
      </c>
      <c r="BO76" s="5">
        <f t="shared" si="174"/>
        <v>0</v>
      </c>
      <c r="BP76" s="5">
        <f t="shared" si="175"/>
        <v>0</v>
      </c>
      <c r="BQ76" s="5">
        <f t="shared" si="176"/>
        <v>0</v>
      </c>
      <c r="BR76" s="5">
        <f t="shared" si="177"/>
        <v>0</v>
      </c>
      <c r="BS76" s="5">
        <f t="shared" si="178"/>
        <v>0</v>
      </c>
      <c r="BT76" s="5">
        <f t="shared" si="179"/>
        <v>0</v>
      </c>
      <c r="BU76" s="5">
        <f t="shared" si="180"/>
        <v>0</v>
      </c>
      <c r="BV76" s="5">
        <f t="shared" si="181"/>
        <v>0</v>
      </c>
      <c r="BW76" s="5">
        <f t="shared" si="182"/>
        <v>0</v>
      </c>
      <c r="BX76" s="5">
        <f t="shared" si="183"/>
        <v>0</v>
      </c>
      <c r="BY76" s="5">
        <f t="shared" si="184"/>
        <v>0</v>
      </c>
      <c r="BZ76" s="5">
        <f t="shared" si="185"/>
        <v>0</v>
      </c>
      <c r="CA76" s="5">
        <f t="shared" si="186"/>
        <v>0</v>
      </c>
      <c r="CB76" s="5">
        <f t="shared" si="187"/>
        <v>0</v>
      </c>
      <c r="CC76" s="5">
        <f t="shared" si="188"/>
        <v>0</v>
      </c>
      <c r="CD76" s="5">
        <f t="shared" si="189"/>
        <v>0</v>
      </c>
      <c r="CE76" s="5">
        <f t="shared" si="190"/>
        <v>0</v>
      </c>
      <c r="CF76" s="5">
        <f t="shared" si="191"/>
        <v>0</v>
      </c>
      <c r="CG76" s="5">
        <f t="shared" si="192"/>
        <v>0</v>
      </c>
      <c r="CH76" s="5">
        <f t="shared" si="193"/>
        <v>0</v>
      </c>
      <c r="CI76" s="5">
        <f t="shared" si="194"/>
        <v>0</v>
      </c>
      <c r="CJ76" s="5"/>
      <c r="CK76" s="4">
        <f t="shared" si="159"/>
        <v>0</v>
      </c>
    </row>
    <row r="77" spans="1:89" ht="47" customHeight="1">
      <c r="A77" s="33" t="str">
        <f t="shared" si="158"/>
        <v/>
      </c>
      <c r="B77" s="10"/>
      <c r="C77" s="57"/>
      <c r="D77" s="55"/>
      <c r="E77" s="53"/>
      <c r="F77" s="44">
        <f t="shared" si="195"/>
        <v>0</v>
      </c>
      <c r="G77" s="53"/>
      <c r="H77" s="55"/>
      <c r="I77" s="44">
        <f t="shared" si="196"/>
        <v>0</v>
      </c>
      <c r="J77" s="55"/>
      <c r="K77" s="55"/>
      <c r="L77" s="44">
        <f t="shared" si="197"/>
        <v>0</v>
      </c>
      <c r="M77" s="53"/>
      <c r="N77" s="53"/>
      <c r="O77" s="44">
        <f t="shared" si="198"/>
        <v>0</v>
      </c>
      <c r="P77" s="55"/>
      <c r="Q77" s="55"/>
      <c r="R77" s="44">
        <f t="shared" si="199"/>
        <v>0</v>
      </c>
      <c r="S77" s="55"/>
      <c r="T77" s="55"/>
      <c r="U77" s="44">
        <f t="shared" si="200"/>
        <v>0</v>
      </c>
      <c r="V77" s="53"/>
      <c r="W77" s="55"/>
      <c r="X77" s="44">
        <f t="shared" si="201"/>
        <v>0</v>
      </c>
      <c r="Y77" s="44"/>
      <c r="Z77" s="44"/>
      <c r="AA77" s="44"/>
      <c r="AB77" s="63">
        <f t="shared" si="202"/>
        <v>0</v>
      </c>
      <c r="AC77" s="23"/>
      <c r="AD77" s="6"/>
      <c r="AE77" s="7">
        <f t="shared" si="203"/>
        <v>0</v>
      </c>
      <c r="AF77" s="6"/>
      <c r="AG77" s="7">
        <f t="shared" si="204"/>
        <v>0</v>
      </c>
      <c r="AH77" s="6"/>
      <c r="AI77" s="7">
        <f t="shared" si="205"/>
        <v>0</v>
      </c>
      <c r="AJ77" s="6"/>
      <c r="AK77" s="7">
        <f t="shared" si="206"/>
        <v>0</v>
      </c>
      <c r="AL77" s="43"/>
      <c r="AM77" s="7">
        <f t="shared" si="207"/>
        <v>0</v>
      </c>
      <c r="AN77" s="6"/>
      <c r="AO77" s="7">
        <f t="shared" si="208"/>
        <v>0</v>
      </c>
      <c r="AP77" s="30">
        <f t="shared" si="209"/>
        <v>0</v>
      </c>
      <c r="AQ77" s="6"/>
      <c r="AR77" s="6"/>
      <c r="AS77" s="6"/>
      <c r="AT77" s="63">
        <f t="shared" si="210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60"/>
        <v>0</v>
      </c>
      <c r="BB77" s="5">
        <f t="shared" si="161"/>
        <v>0</v>
      </c>
      <c r="BC77" s="5">
        <f t="shared" si="162"/>
        <v>0</v>
      </c>
      <c r="BD77" s="5">
        <f t="shared" si="163"/>
        <v>0</v>
      </c>
      <c r="BE77" s="5">
        <f t="shared" si="164"/>
        <v>0</v>
      </c>
      <c r="BF77" s="5">
        <f t="shared" si="165"/>
        <v>0</v>
      </c>
      <c r="BG77" s="5">
        <f t="shared" si="166"/>
        <v>0</v>
      </c>
      <c r="BH77" s="5">
        <f t="shared" si="167"/>
        <v>0</v>
      </c>
      <c r="BI77" s="5">
        <f t="shared" si="168"/>
        <v>0</v>
      </c>
      <c r="BJ77" s="5">
        <f t="shared" si="169"/>
        <v>0</v>
      </c>
      <c r="BK77" s="5">
        <f t="shared" si="170"/>
        <v>0</v>
      </c>
      <c r="BL77" s="5">
        <f t="shared" si="171"/>
        <v>0</v>
      </c>
      <c r="BM77" s="5">
        <f t="shared" si="172"/>
        <v>0</v>
      </c>
      <c r="BN77" s="5">
        <f t="shared" si="173"/>
        <v>0</v>
      </c>
      <c r="BO77" s="5">
        <f t="shared" si="174"/>
        <v>0</v>
      </c>
      <c r="BP77" s="5">
        <f t="shared" si="175"/>
        <v>0</v>
      </c>
      <c r="BQ77" s="5">
        <f t="shared" si="176"/>
        <v>0</v>
      </c>
      <c r="BR77" s="5">
        <f t="shared" si="177"/>
        <v>0</v>
      </c>
      <c r="BS77" s="5">
        <f t="shared" si="178"/>
        <v>0</v>
      </c>
      <c r="BT77" s="5">
        <f t="shared" si="179"/>
        <v>0</v>
      </c>
      <c r="BU77" s="5">
        <f t="shared" si="180"/>
        <v>0</v>
      </c>
      <c r="BV77" s="5">
        <f t="shared" si="181"/>
        <v>0</v>
      </c>
      <c r="BW77" s="5">
        <f t="shared" si="182"/>
        <v>0</v>
      </c>
      <c r="BX77" s="5">
        <f t="shared" si="183"/>
        <v>0</v>
      </c>
      <c r="BY77" s="5">
        <f t="shared" si="184"/>
        <v>0</v>
      </c>
      <c r="BZ77" s="5">
        <f t="shared" si="185"/>
        <v>0</v>
      </c>
      <c r="CA77" s="5">
        <f t="shared" si="186"/>
        <v>0</v>
      </c>
      <c r="CB77" s="5">
        <f t="shared" si="187"/>
        <v>0</v>
      </c>
      <c r="CC77" s="5">
        <f t="shared" si="188"/>
        <v>0</v>
      </c>
      <c r="CD77" s="5">
        <f t="shared" si="189"/>
        <v>0</v>
      </c>
      <c r="CE77" s="5">
        <f t="shared" si="190"/>
        <v>0</v>
      </c>
      <c r="CF77" s="5">
        <f t="shared" si="191"/>
        <v>0</v>
      </c>
      <c r="CG77" s="5">
        <f t="shared" si="192"/>
        <v>0</v>
      </c>
      <c r="CH77" s="5">
        <f t="shared" si="193"/>
        <v>0</v>
      </c>
      <c r="CI77" s="5">
        <f t="shared" si="194"/>
        <v>0</v>
      </c>
      <c r="CJ77" s="5"/>
      <c r="CK77" s="4">
        <f t="shared" si="159"/>
        <v>0</v>
      </c>
    </row>
    <row r="78" spans="1:89" ht="47" customHeight="1">
      <c r="A78" s="33" t="str">
        <f t="shared" si="158"/>
        <v/>
      </c>
      <c r="B78" s="10"/>
      <c r="C78" s="57"/>
      <c r="D78" s="55"/>
      <c r="E78" s="53"/>
      <c r="F78" s="44">
        <f t="shared" si="195"/>
        <v>0</v>
      </c>
      <c r="G78" s="53"/>
      <c r="H78" s="55"/>
      <c r="I78" s="44">
        <f t="shared" si="196"/>
        <v>0</v>
      </c>
      <c r="J78" s="55"/>
      <c r="K78" s="55"/>
      <c r="L78" s="44">
        <f t="shared" si="197"/>
        <v>0</v>
      </c>
      <c r="M78" s="53"/>
      <c r="N78" s="53"/>
      <c r="O78" s="44">
        <f t="shared" si="198"/>
        <v>0</v>
      </c>
      <c r="P78" s="55"/>
      <c r="Q78" s="55"/>
      <c r="R78" s="44">
        <f t="shared" si="199"/>
        <v>0</v>
      </c>
      <c r="S78" s="55"/>
      <c r="T78" s="55"/>
      <c r="U78" s="44">
        <f t="shared" si="200"/>
        <v>0</v>
      </c>
      <c r="V78" s="53"/>
      <c r="W78" s="55"/>
      <c r="X78" s="44">
        <f t="shared" si="201"/>
        <v>0</v>
      </c>
      <c r="Y78" s="44"/>
      <c r="Z78" s="44"/>
      <c r="AA78" s="44"/>
      <c r="AB78" s="63">
        <f t="shared" si="202"/>
        <v>0</v>
      </c>
      <c r="AC78" s="23"/>
      <c r="AD78" s="6"/>
      <c r="AE78" s="7">
        <f t="shared" si="203"/>
        <v>0</v>
      </c>
      <c r="AF78" s="6"/>
      <c r="AG78" s="7">
        <f t="shared" si="204"/>
        <v>0</v>
      </c>
      <c r="AH78" s="6"/>
      <c r="AI78" s="7">
        <f t="shared" si="205"/>
        <v>0</v>
      </c>
      <c r="AJ78" s="6"/>
      <c r="AK78" s="7">
        <f t="shared" si="206"/>
        <v>0</v>
      </c>
      <c r="AL78" s="43"/>
      <c r="AM78" s="7">
        <f t="shared" si="207"/>
        <v>0</v>
      </c>
      <c r="AN78" s="6"/>
      <c r="AO78" s="7">
        <f t="shared" si="208"/>
        <v>0</v>
      </c>
      <c r="AP78" s="30">
        <f t="shared" si="209"/>
        <v>0</v>
      </c>
      <c r="AQ78" s="6"/>
      <c r="AR78" s="6"/>
      <c r="AS78" s="6"/>
      <c r="AT78" s="63">
        <f t="shared" si="210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60"/>
        <v>0</v>
      </c>
      <c r="BB78" s="5">
        <f t="shared" si="161"/>
        <v>0</v>
      </c>
      <c r="BC78" s="5">
        <f t="shared" si="162"/>
        <v>0</v>
      </c>
      <c r="BD78" s="5">
        <f t="shared" si="163"/>
        <v>0</v>
      </c>
      <c r="BE78" s="5">
        <f t="shared" si="164"/>
        <v>0</v>
      </c>
      <c r="BF78" s="5">
        <f t="shared" si="165"/>
        <v>0</v>
      </c>
      <c r="BG78" s="5">
        <f t="shared" si="166"/>
        <v>0</v>
      </c>
      <c r="BH78" s="5">
        <f t="shared" si="167"/>
        <v>0</v>
      </c>
      <c r="BI78" s="5">
        <f t="shared" si="168"/>
        <v>0</v>
      </c>
      <c r="BJ78" s="5">
        <f t="shared" si="169"/>
        <v>0</v>
      </c>
      <c r="BK78" s="5">
        <f t="shared" si="170"/>
        <v>0</v>
      </c>
      <c r="BL78" s="5">
        <f t="shared" si="171"/>
        <v>0</v>
      </c>
      <c r="BM78" s="5">
        <f t="shared" si="172"/>
        <v>0</v>
      </c>
      <c r="BN78" s="5">
        <f t="shared" si="173"/>
        <v>0</v>
      </c>
      <c r="BO78" s="5">
        <f t="shared" si="174"/>
        <v>0</v>
      </c>
      <c r="BP78" s="5">
        <f t="shared" si="175"/>
        <v>0</v>
      </c>
      <c r="BQ78" s="5">
        <f t="shared" si="176"/>
        <v>0</v>
      </c>
      <c r="BR78" s="5">
        <f t="shared" si="177"/>
        <v>0</v>
      </c>
      <c r="BS78" s="5">
        <f t="shared" si="178"/>
        <v>0</v>
      </c>
      <c r="BT78" s="5">
        <f t="shared" si="179"/>
        <v>0</v>
      </c>
      <c r="BU78" s="5">
        <f t="shared" si="180"/>
        <v>0</v>
      </c>
      <c r="BV78" s="5">
        <f t="shared" si="181"/>
        <v>0</v>
      </c>
      <c r="BW78" s="5">
        <f t="shared" si="182"/>
        <v>0</v>
      </c>
      <c r="BX78" s="5">
        <f t="shared" si="183"/>
        <v>0</v>
      </c>
      <c r="BY78" s="5">
        <f t="shared" si="184"/>
        <v>0</v>
      </c>
      <c r="BZ78" s="5">
        <f t="shared" si="185"/>
        <v>0</v>
      </c>
      <c r="CA78" s="5">
        <f t="shared" si="186"/>
        <v>0</v>
      </c>
      <c r="CB78" s="5">
        <f t="shared" si="187"/>
        <v>0</v>
      </c>
      <c r="CC78" s="5">
        <f t="shared" si="188"/>
        <v>0</v>
      </c>
      <c r="CD78" s="5">
        <f t="shared" si="189"/>
        <v>0</v>
      </c>
      <c r="CE78" s="5">
        <f t="shared" si="190"/>
        <v>0</v>
      </c>
      <c r="CF78" s="5">
        <f t="shared" si="191"/>
        <v>0</v>
      </c>
      <c r="CG78" s="5">
        <f t="shared" si="192"/>
        <v>0</v>
      </c>
      <c r="CH78" s="5">
        <f t="shared" si="193"/>
        <v>0</v>
      </c>
      <c r="CI78" s="5">
        <f t="shared" si="194"/>
        <v>0</v>
      </c>
      <c r="CJ78" s="5"/>
      <c r="CK78" s="4">
        <f t="shared" si="159"/>
        <v>0</v>
      </c>
    </row>
    <row r="79" spans="1:89" ht="47" customHeight="1">
      <c r="A79" s="33" t="str">
        <f t="shared" si="158"/>
        <v/>
      </c>
      <c r="B79" s="10"/>
      <c r="C79" s="57"/>
      <c r="D79" s="55"/>
      <c r="E79" s="53"/>
      <c r="F79" s="44">
        <f t="shared" si="195"/>
        <v>0</v>
      </c>
      <c r="G79" s="53"/>
      <c r="H79" s="55"/>
      <c r="I79" s="44">
        <f t="shared" si="196"/>
        <v>0</v>
      </c>
      <c r="J79" s="55"/>
      <c r="K79" s="55"/>
      <c r="L79" s="44">
        <f t="shared" si="197"/>
        <v>0</v>
      </c>
      <c r="M79" s="53"/>
      <c r="N79" s="53"/>
      <c r="O79" s="44">
        <f t="shared" si="198"/>
        <v>0</v>
      </c>
      <c r="P79" s="55"/>
      <c r="Q79" s="55"/>
      <c r="R79" s="44">
        <f t="shared" si="199"/>
        <v>0</v>
      </c>
      <c r="S79" s="55"/>
      <c r="T79" s="55"/>
      <c r="U79" s="44">
        <f t="shared" si="200"/>
        <v>0</v>
      </c>
      <c r="V79" s="53"/>
      <c r="W79" s="55"/>
      <c r="X79" s="44">
        <f t="shared" si="201"/>
        <v>0</v>
      </c>
      <c r="Y79" s="44"/>
      <c r="Z79" s="44"/>
      <c r="AA79" s="44"/>
      <c r="AB79" s="63">
        <f t="shared" si="202"/>
        <v>0</v>
      </c>
      <c r="AC79" s="23"/>
      <c r="AD79" s="6"/>
      <c r="AE79" s="7">
        <f t="shared" si="203"/>
        <v>0</v>
      </c>
      <c r="AF79" s="6"/>
      <c r="AG79" s="7">
        <f t="shared" si="204"/>
        <v>0</v>
      </c>
      <c r="AH79" s="6"/>
      <c r="AI79" s="7">
        <f t="shared" si="205"/>
        <v>0</v>
      </c>
      <c r="AJ79" s="6"/>
      <c r="AK79" s="7">
        <f t="shared" si="206"/>
        <v>0</v>
      </c>
      <c r="AL79" s="43"/>
      <c r="AM79" s="7">
        <f t="shared" si="207"/>
        <v>0</v>
      </c>
      <c r="AN79" s="6"/>
      <c r="AO79" s="7">
        <f t="shared" si="208"/>
        <v>0</v>
      </c>
      <c r="AP79" s="30">
        <f t="shared" si="209"/>
        <v>0</v>
      </c>
      <c r="AQ79" s="6"/>
      <c r="AR79" s="6"/>
      <c r="AS79" s="6"/>
      <c r="AT79" s="63">
        <f t="shared" si="210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60"/>
        <v>0</v>
      </c>
      <c r="BB79" s="5">
        <f t="shared" si="161"/>
        <v>0</v>
      </c>
      <c r="BC79" s="5">
        <f t="shared" si="162"/>
        <v>0</v>
      </c>
      <c r="BD79" s="5">
        <f t="shared" si="163"/>
        <v>0</v>
      </c>
      <c r="BE79" s="5">
        <f t="shared" si="164"/>
        <v>0</v>
      </c>
      <c r="BF79" s="5">
        <f t="shared" si="165"/>
        <v>0</v>
      </c>
      <c r="BG79" s="5">
        <f t="shared" si="166"/>
        <v>0</v>
      </c>
      <c r="BH79" s="5">
        <f t="shared" si="167"/>
        <v>0</v>
      </c>
      <c r="BI79" s="5">
        <f t="shared" si="168"/>
        <v>0</v>
      </c>
      <c r="BJ79" s="5">
        <f t="shared" si="169"/>
        <v>0</v>
      </c>
      <c r="BK79" s="5">
        <f t="shared" si="170"/>
        <v>0</v>
      </c>
      <c r="BL79" s="5">
        <f t="shared" si="171"/>
        <v>0</v>
      </c>
      <c r="BM79" s="5">
        <f t="shared" si="172"/>
        <v>0</v>
      </c>
      <c r="BN79" s="5">
        <f t="shared" si="173"/>
        <v>0</v>
      </c>
      <c r="BO79" s="5">
        <f t="shared" si="174"/>
        <v>0</v>
      </c>
      <c r="BP79" s="5">
        <f t="shared" si="175"/>
        <v>0</v>
      </c>
      <c r="BQ79" s="5">
        <f t="shared" si="176"/>
        <v>0</v>
      </c>
      <c r="BR79" s="5">
        <f t="shared" si="177"/>
        <v>0</v>
      </c>
      <c r="BS79" s="5">
        <f t="shared" si="178"/>
        <v>0</v>
      </c>
      <c r="BT79" s="5">
        <f t="shared" si="179"/>
        <v>0</v>
      </c>
      <c r="BU79" s="5">
        <f t="shared" si="180"/>
        <v>0</v>
      </c>
      <c r="BV79" s="5">
        <f t="shared" si="181"/>
        <v>0</v>
      </c>
      <c r="BW79" s="5">
        <f t="shared" si="182"/>
        <v>0</v>
      </c>
      <c r="BX79" s="5">
        <f t="shared" si="183"/>
        <v>0</v>
      </c>
      <c r="BY79" s="5">
        <f t="shared" si="184"/>
        <v>0</v>
      </c>
      <c r="BZ79" s="5">
        <f t="shared" si="185"/>
        <v>0</v>
      </c>
      <c r="CA79" s="5">
        <f t="shared" si="186"/>
        <v>0</v>
      </c>
      <c r="CB79" s="5">
        <f t="shared" si="187"/>
        <v>0</v>
      </c>
      <c r="CC79" s="5">
        <f t="shared" si="188"/>
        <v>0</v>
      </c>
      <c r="CD79" s="5">
        <f t="shared" si="189"/>
        <v>0</v>
      </c>
      <c r="CE79" s="5">
        <f t="shared" si="190"/>
        <v>0</v>
      </c>
      <c r="CF79" s="5">
        <f t="shared" si="191"/>
        <v>0</v>
      </c>
      <c r="CG79" s="5">
        <f t="shared" si="192"/>
        <v>0</v>
      </c>
      <c r="CH79" s="5">
        <f t="shared" si="193"/>
        <v>0</v>
      </c>
      <c r="CI79" s="5">
        <f t="shared" si="194"/>
        <v>0</v>
      </c>
      <c r="CJ79" s="5"/>
      <c r="CK79" s="4">
        <f t="shared" si="159"/>
        <v>0</v>
      </c>
    </row>
    <row r="80" spans="1:89" ht="47" customHeight="1">
      <c r="A80" s="33" t="str">
        <f t="shared" si="158"/>
        <v/>
      </c>
      <c r="B80" s="10"/>
      <c r="C80" s="57"/>
      <c r="D80" s="55"/>
      <c r="E80" s="53"/>
      <c r="F80" s="44">
        <f t="shared" si="195"/>
        <v>0</v>
      </c>
      <c r="G80" s="53"/>
      <c r="H80" s="55"/>
      <c r="I80" s="44">
        <f t="shared" si="196"/>
        <v>0</v>
      </c>
      <c r="J80" s="55"/>
      <c r="K80" s="55"/>
      <c r="L80" s="44">
        <f t="shared" si="197"/>
        <v>0</v>
      </c>
      <c r="M80" s="53"/>
      <c r="N80" s="53"/>
      <c r="O80" s="44">
        <f t="shared" si="198"/>
        <v>0</v>
      </c>
      <c r="P80" s="55"/>
      <c r="Q80" s="55"/>
      <c r="R80" s="44">
        <f t="shared" si="199"/>
        <v>0</v>
      </c>
      <c r="S80" s="55"/>
      <c r="T80" s="55"/>
      <c r="U80" s="44">
        <f t="shared" si="200"/>
        <v>0</v>
      </c>
      <c r="V80" s="53"/>
      <c r="W80" s="55"/>
      <c r="X80" s="44">
        <f t="shared" si="201"/>
        <v>0</v>
      </c>
      <c r="Y80" s="44"/>
      <c r="Z80" s="44"/>
      <c r="AA80" s="44"/>
      <c r="AB80" s="63">
        <f t="shared" si="202"/>
        <v>0</v>
      </c>
      <c r="AC80" s="23"/>
      <c r="AD80" s="6"/>
      <c r="AE80" s="7">
        <f t="shared" si="203"/>
        <v>0</v>
      </c>
      <c r="AF80" s="6"/>
      <c r="AG80" s="7">
        <f t="shared" si="204"/>
        <v>0</v>
      </c>
      <c r="AH80" s="6"/>
      <c r="AI80" s="7">
        <f t="shared" si="205"/>
        <v>0</v>
      </c>
      <c r="AJ80" s="6"/>
      <c r="AK80" s="7">
        <f t="shared" si="206"/>
        <v>0</v>
      </c>
      <c r="AL80" s="43"/>
      <c r="AM80" s="7">
        <f t="shared" si="207"/>
        <v>0</v>
      </c>
      <c r="AN80" s="6"/>
      <c r="AO80" s="7">
        <f t="shared" si="208"/>
        <v>0</v>
      </c>
      <c r="AP80" s="30">
        <f t="shared" si="209"/>
        <v>0</v>
      </c>
      <c r="AQ80" s="6"/>
      <c r="AR80" s="6"/>
      <c r="AS80" s="6"/>
      <c r="AT80" s="63">
        <f t="shared" si="210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60"/>
        <v>0</v>
      </c>
      <c r="BB80" s="5">
        <f t="shared" si="161"/>
        <v>0</v>
      </c>
      <c r="BC80" s="5">
        <f t="shared" si="162"/>
        <v>0</v>
      </c>
      <c r="BD80" s="5">
        <f t="shared" si="163"/>
        <v>0</v>
      </c>
      <c r="BE80" s="5">
        <f t="shared" si="164"/>
        <v>0</v>
      </c>
      <c r="BF80" s="5">
        <f t="shared" si="165"/>
        <v>0</v>
      </c>
      <c r="BG80" s="5">
        <f t="shared" si="166"/>
        <v>0</v>
      </c>
      <c r="BH80" s="5">
        <f t="shared" si="167"/>
        <v>0</v>
      </c>
      <c r="BI80" s="5">
        <f t="shared" si="168"/>
        <v>0</v>
      </c>
      <c r="BJ80" s="5">
        <f t="shared" si="169"/>
        <v>0</v>
      </c>
      <c r="BK80" s="5">
        <f t="shared" si="170"/>
        <v>0</v>
      </c>
      <c r="BL80" s="5">
        <f t="shared" si="171"/>
        <v>0</v>
      </c>
      <c r="BM80" s="5">
        <f t="shared" si="172"/>
        <v>0</v>
      </c>
      <c r="BN80" s="5">
        <f t="shared" si="173"/>
        <v>0</v>
      </c>
      <c r="BO80" s="5">
        <f t="shared" si="174"/>
        <v>0</v>
      </c>
      <c r="BP80" s="5">
        <f t="shared" si="175"/>
        <v>0</v>
      </c>
      <c r="BQ80" s="5">
        <f t="shared" si="176"/>
        <v>0</v>
      </c>
      <c r="BR80" s="5">
        <f t="shared" si="177"/>
        <v>0</v>
      </c>
      <c r="BS80" s="5">
        <f t="shared" si="178"/>
        <v>0</v>
      </c>
      <c r="BT80" s="5">
        <f t="shared" si="179"/>
        <v>0</v>
      </c>
      <c r="BU80" s="5">
        <f t="shared" si="180"/>
        <v>0</v>
      </c>
      <c r="BV80" s="5">
        <f t="shared" si="181"/>
        <v>0</v>
      </c>
      <c r="BW80" s="5">
        <f t="shared" si="182"/>
        <v>0</v>
      </c>
      <c r="BX80" s="5">
        <f t="shared" si="183"/>
        <v>0</v>
      </c>
      <c r="BY80" s="5">
        <f t="shared" si="184"/>
        <v>0</v>
      </c>
      <c r="BZ80" s="5">
        <f t="shared" si="185"/>
        <v>0</v>
      </c>
      <c r="CA80" s="5">
        <f t="shared" si="186"/>
        <v>0</v>
      </c>
      <c r="CB80" s="5">
        <f t="shared" si="187"/>
        <v>0</v>
      </c>
      <c r="CC80" s="5">
        <f t="shared" si="188"/>
        <v>0</v>
      </c>
      <c r="CD80" s="5">
        <f t="shared" si="189"/>
        <v>0</v>
      </c>
      <c r="CE80" s="5">
        <f t="shared" si="190"/>
        <v>0</v>
      </c>
      <c r="CF80" s="5">
        <f t="shared" si="191"/>
        <v>0</v>
      </c>
      <c r="CG80" s="5">
        <f t="shared" si="192"/>
        <v>0</v>
      </c>
      <c r="CH80" s="5">
        <f t="shared" si="193"/>
        <v>0</v>
      </c>
      <c r="CI80" s="5">
        <f t="shared" si="194"/>
        <v>0</v>
      </c>
      <c r="CJ80" s="5"/>
      <c r="CK80" s="4">
        <f t="shared" si="159"/>
        <v>0</v>
      </c>
    </row>
    <row r="81" spans="1:89" ht="47" customHeight="1">
      <c r="A81" s="33" t="str">
        <f t="shared" si="158"/>
        <v/>
      </c>
      <c r="B81" s="10"/>
      <c r="C81" s="57"/>
      <c r="D81" s="55"/>
      <c r="E81" s="53"/>
      <c r="F81" s="44">
        <f t="shared" si="195"/>
        <v>0</v>
      </c>
      <c r="G81" s="53"/>
      <c r="H81" s="55"/>
      <c r="I81" s="44">
        <f t="shared" si="196"/>
        <v>0</v>
      </c>
      <c r="J81" s="55"/>
      <c r="K81" s="55"/>
      <c r="L81" s="44">
        <f t="shared" si="197"/>
        <v>0</v>
      </c>
      <c r="M81" s="53"/>
      <c r="N81" s="53"/>
      <c r="O81" s="44">
        <f t="shared" si="198"/>
        <v>0</v>
      </c>
      <c r="P81" s="55"/>
      <c r="Q81" s="55"/>
      <c r="R81" s="44">
        <f t="shared" si="199"/>
        <v>0</v>
      </c>
      <c r="S81" s="55"/>
      <c r="T81" s="55"/>
      <c r="U81" s="44">
        <f t="shared" si="200"/>
        <v>0</v>
      </c>
      <c r="V81" s="53"/>
      <c r="W81" s="55"/>
      <c r="X81" s="44">
        <f t="shared" si="201"/>
        <v>0</v>
      </c>
      <c r="Y81" s="44"/>
      <c r="Z81" s="44"/>
      <c r="AA81" s="44"/>
      <c r="AB81" s="63">
        <f t="shared" si="202"/>
        <v>0</v>
      </c>
      <c r="AC81" s="23"/>
      <c r="AD81" s="6"/>
      <c r="AE81" s="7">
        <f t="shared" si="203"/>
        <v>0</v>
      </c>
      <c r="AF81" s="6"/>
      <c r="AG81" s="7">
        <f t="shared" si="204"/>
        <v>0</v>
      </c>
      <c r="AH81" s="6"/>
      <c r="AI81" s="7">
        <f t="shared" si="205"/>
        <v>0</v>
      </c>
      <c r="AJ81" s="6"/>
      <c r="AK81" s="7">
        <f t="shared" si="206"/>
        <v>0</v>
      </c>
      <c r="AL81" s="43"/>
      <c r="AM81" s="7">
        <f t="shared" si="207"/>
        <v>0</v>
      </c>
      <c r="AN81" s="6"/>
      <c r="AO81" s="7">
        <f t="shared" si="208"/>
        <v>0</v>
      </c>
      <c r="AP81" s="30">
        <f t="shared" si="209"/>
        <v>0</v>
      </c>
      <c r="AQ81" s="6"/>
      <c r="AR81" s="6"/>
      <c r="AS81" s="6"/>
      <c r="AT81" s="63">
        <f t="shared" si="210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60"/>
        <v>0</v>
      </c>
      <c r="BB81" s="5">
        <f t="shared" si="161"/>
        <v>0</v>
      </c>
      <c r="BC81" s="5">
        <f t="shared" si="162"/>
        <v>0</v>
      </c>
      <c r="BD81" s="5">
        <f t="shared" si="163"/>
        <v>0</v>
      </c>
      <c r="BE81" s="5">
        <f t="shared" si="164"/>
        <v>0</v>
      </c>
      <c r="BF81" s="5">
        <f t="shared" si="165"/>
        <v>0</v>
      </c>
      <c r="BG81" s="5">
        <f t="shared" si="166"/>
        <v>0</v>
      </c>
      <c r="BH81" s="5">
        <f t="shared" si="167"/>
        <v>0</v>
      </c>
      <c r="BI81" s="5">
        <f t="shared" si="168"/>
        <v>0</v>
      </c>
      <c r="BJ81" s="5">
        <f t="shared" si="169"/>
        <v>0</v>
      </c>
      <c r="BK81" s="5">
        <f t="shared" si="170"/>
        <v>0</v>
      </c>
      <c r="BL81" s="5">
        <f t="shared" si="171"/>
        <v>0</v>
      </c>
      <c r="BM81" s="5">
        <f t="shared" si="172"/>
        <v>0</v>
      </c>
      <c r="BN81" s="5">
        <f t="shared" si="173"/>
        <v>0</v>
      </c>
      <c r="BO81" s="5">
        <f t="shared" si="174"/>
        <v>0</v>
      </c>
      <c r="BP81" s="5">
        <f t="shared" si="175"/>
        <v>0</v>
      </c>
      <c r="BQ81" s="5">
        <f t="shared" si="176"/>
        <v>0</v>
      </c>
      <c r="BR81" s="5">
        <f t="shared" si="177"/>
        <v>0</v>
      </c>
      <c r="BS81" s="5">
        <f t="shared" si="178"/>
        <v>0</v>
      </c>
      <c r="BT81" s="5">
        <f t="shared" si="179"/>
        <v>0</v>
      </c>
      <c r="BU81" s="5">
        <f t="shared" si="180"/>
        <v>0</v>
      </c>
      <c r="BV81" s="5">
        <f t="shared" si="181"/>
        <v>0</v>
      </c>
      <c r="BW81" s="5">
        <f t="shared" si="182"/>
        <v>0</v>
      </c>
      <c r="BX81" s="5">
        <f t="shared" si="183"/>
        <v>0</v>
      </c>
      <c r="BY81" s="5">
        <f t="shared" si="184"/>
        <v>0</v>
      </c>
      <c r="BZ81" s="5">
        <f t="shared" si="185"/>
        <v>0</v>
      </c>
      <c r="CA81" s="5">
        <f t="shared" si="186"/>
        <v>0</v>
      </c>
      <c r="CB81" s="5">
        <f t="shared" si="187"/>
        <v>0</v>
      </c>
      <c r="CC81" s="5">
        <f t="shared" si="188"/>
        <v>0</v>
      </c>
      <c r="CD81" s="5">
        <f t="shared" si="189"/>
        <v>0</v>
      </c>
      <c r="CE81" s="5">
        <f t="shared" si="190"/>
        <v>0</v>
      </c>
      <c r="CF81" s="5">
        <f t="shared" si="191"/>
        <v>0</v>
      </c>
      <c r="CG81" s="5">
        <f t="shared" si="192"/>
        <v>0</v>
      </c>
      <c r="CH81" s="5">
        <f t="shared" si="193"/>
        <v>0</v>
      </c>
      <c r="CI81" s="5">
        <f t="shared" si="194"/>
        <v>0</v>
      </c>
      <c r="CJ81" s="5"/>
      <c r="CK81" s="4">
        <f t="shared" si="159"/>
        <v>0</v>
      </c>
    </row>
    <row r="82" spans="1:89" ht="47" customHeight="1">
      <c r="A82" s="33" t="str">
        <f t="shared" si="158"/>
        <v/>
      </c>
      <c r="B82" s="10"/>
      <c r="C82" s="57"/>
      <c r="D82" s="55"/>
      <c r="E82" s="53"/>
      <c r="F82" s="44">
        <f t="shared" si="195"/>
        <v>0</v>
      </c>
      <c r="G82" s="53"/>
      <c r="H82" s="55"/>
      <c r="I82" s="44">
        <f t="shared" si="196"/>
        <v>0</v>
      </c>
      <c r="J82" s="55"/>
      <c r="K82" s="55"/>
      <c r="L82" s="44">
        <f t="shared" si="197"/>
        <v>0</v>
      </c>
      <c r="M82" s="53"/>
      <c r="N82" s="53"/>
      <c r="O82" s="44">
        <f t="shared" si="198"/>
        <v>0</v>
      </c>
      <c r="P82" s="55"/>
      <c r="Q82" s="55"/>
      <c r="R82" s="44">
        <f t="shared" si="199"/>
        <v>0</v>
      </c>
      <c r="S82" s="55"/>
      <c r="T82" s="55"/>
      <c r="U82" s="44">
        <f t="shared" si="200"/>
        <v>0</v>
      </c>
      <c r="V82" s="53"/>
      <c r="W82" s="55"/>
      <c r="X82" s="44">
        <f t="shared" si="201"/>
        <v>0</v>
      </c>
      <c r="Y82" s="44"/>
      <c r="Z82" s="44"/>
      <c r="AA82" s="44"/>
      <c r="AB82" s="63">
        <f t="shared" si="202"/>
        <v>0</v>
      </c>
      <c r="AC82" s="23"/>
      <c r="AD82" s="6"/>
      <c r="AE82" s="7">
        <f t="shared" si="203"/>
        <v>0</v>
      </c>
      <c r="AF82" s="6"/>
      <c r="AG82" s="7">
        <f t="shared" si="204"/>
        <v>0</v>
      </c>
      <c r="AH82" s="6"/>
      <c r="AI82" s="7">
        <f t="shared" si="205"/>
        <v>0</v>
      </c>
      <c r="AJ82" s="6"/>
      <c r="AK82" s="7">
        <f t="shared" si="206"/>
        <v>0</v>
      </c>
      <c r="AL82" s="43"/>
      <c r="AM82" s="7">
        <f t="shared" si="207"/>
        <v>0</v>
      </c>
      <c r="AN82" s="6"/>
      <c r="AO82" s="7">
        <f t="shared" si="208"/>
        <v>0</v>
      </c>
      <c r="AP82" s="30">
        <f t="shared" si="209"/>
        <v>0</v>
      </c>
      <c r="AQ82" s="6"/>
      <c r="AR82" s="6"/>
      <c r="AS82" s="6"/>
      <c r="AT82" s="63">
        <f t="shared" si="210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60"/>
        <v>0</v>
      </c>
      <c r="BB82" s="5">
        <f t="shared" si="161"/>
        <v>0</v>
      </c>
      <c r="BC82" s="5">
        <f t="shared" si="162"/>
        <v>0</v>
      </c>
      <c r="BD82" s="5">
        <f t="shared" si="163"/>
        <v>0</v>
      </c>
      <c r="BE82" s="5">
        <f t="shared" si="164"/>
        <v>0</v>
      </c>
      <c r="BF82" s="5">
        <f t="shared" si="165"/>
        <v>0</v>
      </c>
      <c r="BG82" s="5">
        <f t="shared" si="166"/>
        <v>0</v>
      </c>
      <c r="BH82" s="5">
        <f t="shared" si="167"/>
        <v>0</v>
      </c>
      <c r="BI82" s="5">
        <f t="shared" si="168"/>
        <v>0</v>
      </c>
      <c r="BJ82" s="5">
        <f t="shared" si="169"/>
        <v>0</v>
      </c>
      <c r="BK82" s="5">
        <f t="shared" si="170"/>
        <v>0</v>
      </c>
      <c r="BL82" s="5">
        <f t="shared" si="171"/>
        <v>0</v>
      </c>
      <c r="BM82" s="5">
        <f t="shared" si="172"/>
        <v>0</v>
      </c>
      <c r="BN82" s="5">
        <f t="shared" si="173"/>
        <v>0</v>
      </c>
      <c r="BO82" s="5">
        <f t="shared" si="174"/>
        <v>0</v>
      </c>
      <c r="BP82" s="5">
        <f t="shared" si="175"/>
        <v>0</v>
      </c>
      <c r="BQ82" s="5">
        <f t="shared" si="176"/>
        <v>0</v>
      </c>
      <c r="BR82" s="5">
        <f t="shared" si="177"/>
        <v>0</v>
      </c>
      <c r="BS82" s="5">
        <f t="shared" si="178"/>
        <v>0</v>
      </c>
      <c r="BT82" s="5">
        <f t="shared" si="179"/>
        <v>0</v>
      </c>
      <c r="BU82" s="5">
        <f t="shared" si="180"/>
        <v>0</v>
      </c>
      <c r="BV82" s="5">
        <f t="shared" si="181"/>
        <v>0</v>
      </c>
      <c r="BW82" s="5">
        <f t="shared" si="182"/>
        <v>0</v>
      </c>
      <c r="BX82" s="5">
        <f t="shared" si="183"/>
        <v>0</v>
      </c>
      <c r="BY82" s="5">
        <f t="shared" si="184"/>
        <v>0</v>
      </c>
      <c r="BZ82" s="5">
        <f t="shared" si="185"/>
        <v>0</v>
      </c>
      <c r="CA82" s="5">
        <f t="shared" si="186"/>
        <v>0</v>
      </c>
      <c r="CB82" s="5">
        <f t="shared" si="187"/>
        <v>0</v>
      </c>
      <c r="CC82" s="5">
        <f t="shared" si="188"/>
        <v>0</v>
      </c>
      <c r="CD82" s="5">
        <f t="shared" si="189"/>
        <v>0</v>
      </c>
      <c r="CE82" s="5">
        <f t="shared" si="190"/>
        <v>0</v>
      </c>
      <c r="CF82" s="5">
        <f t="shared" si="191"/>
        <v>0</v>
      </c>
      <c r="CG82" s="5">
        <f t="shared" si="192"/>
        <v>0</v>
      </c>
      <c r="CH82" s="5">
        <f t="shared" si="193"/>
        <v>0</v>
      </c>
      <c r="CI82" s="5">
        <f t="shared" si="194"/>
        <v>0</v>
      </c>
      <c r="CJ82" s="5"/>
      <c r="CK82" s="4">
        <f t="shared" si="159"/>
        <v>0</v>
      </c>
    </row>
    <row r="83" spans="1:89" ht="47" customHeight="1">
      <c r="A83" s="33" t="str">
        <f t="shared" si="158"/>
        <v/>
      </c>
      <c r="B83" s="10"/>
      <c r="C83" s="57"/>
      <c r="D83" s="55"/>
      <c r="E83" s="53"/>
      <c r="F83" s="44">
        <f t="shared" si="195"/>
        <v>0</v>
      </c>
      <c r="G83" s="53"/>
      <c r="H83" s="55"/>
      <c r="I83" s="44">
        <f t="shared" si="196"/>
        <v>0</v>
      </c>
      <c r="J83" s="55"/>
      <c r="K83" s="55"/>
      <c r="L83" s="44">
        <f t="shared" si="197"/>
        <v>0</v>
      </c>
      <c r="M83" s="53"/>
      <c r="N83" s="53"/>
      <c r="O83" s="44">
        <f t="shared" si="198"/>
        <v>0</v>
      </c>
      <c r="P83" s="55"/>
      <c r="Q83" s="55"/>
      <c r="R83" s="44">
        <f t="shared" si="199"/>
        <v>0</v>
      </c>
      <c r="S83" s="55"/>
      <c r="T83" s="55"/>
      <c r="U83" s="44">
        <f t="shared" si="200"/>
        <v>0</v>
      </c>
      <c r="V83" s="53"/>
      <c r="W83" s="55"/>
      <c r="X83" s="44">
        <f t="shared" si="201"/>
        <v>0</v>
      </c>
      <c r="Y83" s="44"/>
      <c r="Z83" s="44"/>
      <c r="AA83" s="44"/>
      <c r="AB83" s="63">
        <f t="shared" si="202"/>
        <v>0</v>
      </c>
      <c r="AC83" s="23"/>
      <c r="AD83" s="6"/>
      <c r="AE83" s="7">
        <f t="shared" si="203"/>
        <v>0</v>
      </c>
      <c r="AF83" s="6"/>
      <c r="AG83" s="7">
        <f t="shared" si="204"/>
        <v>0</v>
      </c>
      <c r="AH83" s="6"/>
      <c r="AI83" s="7">
        <f t="shared" si="205"/>
        <v>0</v>
      </c>
      <c r="AJ83" s="6"/>
      <c r="AK83" s="7">
        <f t="shared" si="206"/>
        <v>0</v>
      </c>
      <c r="AL83" s="43"/>
      <c r="AM83" s="7">
        <f t="shared" si="207"/>
        <v>0</v>
      </c>
      <c r="AN83" s="6"/>
      <c r="AO83" s="7">
        <f t="shared" si="208"/>
        <v>0</v>
      </c>
      <c r="AP83" s="30">
        <f t="shared" si="209"/>
        <v>0</v>
      </c>
      <c r="AQ83" s="6"/>
      <c r="AR83" s="6"/>
      <c r="AS83" s="6"/>
      <c r="AT83" s="63">
        <f t="shared" si="210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60"/>
        <v>0</v>
      </c>
      <c r="BB83" s="5">
        <f t="shared" si="161"/>
        <v>0</v>
      </c>
      <c r="BC83" s="5">
        <f t="shared" si="162"/>
        <v>0</v>
      </c>
      <c r="BD83" s="5">
        <f t="shared" si="163"/>
        <v>0</v>
      </c>
      <c r="BE83" s="5">
        <f t="shared" si="164"/>
        <v>0</v>
      </c>
      <c r="BF83" s="5">
        <f t="shared" si="165"/>
        <v>0</v>
      </c>
      <c r="BG83" s="5">
        <f t="shared" si="166"/>
        <v>0</v>
      </c>
      <c r="BH83" s="5">
        <f t="shared" si="167"/>
        <v>0</v>
      </c>
      <c r="BI83" s="5">
        <f t="shared" si="168"/>
        <v>0</v>
      </c>
      <c r="BJ83" s="5">
        <f t="shared" si="169"/>
        <v>0</v>
      </c>
      <c r="BK83" s="5">
        <f t="shared" si="170"/>
        <v>0</v>
      </c>
      <c r="BL83" s="5">
        <f t="shared" si="171"/>
        <v>0</v>
      </c>
      <c r="BM83" s="5">
        <f t="shared" si="172"/>
        <v>0</v>
      </c>
      <c r="BN83" s="5">
        <f t="shared" si="173"/>
        <v>0</v>
      </c>
      <c r="BO83" s="5">
        <f t="shared" si="174"/>
        <v>0</v>
      </c>
      <c r="BP83" s="5">
        <f t="shared" si="175"/>
        <v>0</v>
      </c>
      <c r="BQ83" s="5">
        <f t="shared" si="176"/>
        <v>0</v>
      </c>
      <c r="BR83" s="5">
        <f t="shared" si="177"/>
        <v>0</v>
      </c>
      <c r="BS83" s="5">
        <f t="shared" si="178"/>
        <v>0</v>
      </c>
      <c r="BT83" s="5">
        <f t="shared" si="179"/>
        <v>0</v>
      </c>
      <c r="BU83" s="5">
        <f t="shared" si="180"/>
        <v>0</v>
      </c>
      <c r="BV83" s="5">
        <f t="shared" si="181"/>
        <v>0</v>
      </c>
      <c r="BW83" s="5">
        <f t="shared" si="182"/>
        <v>0</v>
      </c>
      <c r="BX83" s="5">
        <f t="shared" si="183"/>
        <v>0</v>
      </c>
      <c r="BY83" s="5">
        <f t="shared" si="184"/>
        <v>0</v>
      </c>
      <c r="BZ83" s="5">
        <f t="shared" si="185"/>
        <v>0</v>
      </c>
      <c r="CA83" s="5">
        <f t="shared" si="186"/>
        <v>0</v>
      </c>
      <c r="CB83" s="5">
        <f t="shared" si="187"/>
        <v>0</v>
      </c>
      <c r="CC83" s="5">
        <f t="shared" si="188"/>
        <v>0</v>
      </c>
      <c r="CD83" s="5">
        <f t="shared" si="189"/>
        <v>0</v>
      </c>
      <c r="CE83" s="5">
        <f t="shared" si="190"/>
        <v>0</v>
      </c>
      <c r="CF83" s="5">
        <f t="shared" si="191"/>
        <v>0</v>
      </c>
      <c r="CG83" s="5">
        <f t="shared" si="192"/>
        <v>0</v>
      </c>
      <c r="CH83" s="5">
        <f t="shared" si="193"/>
        <v>0</v>
      </c>
      <c r="CI83" s="5">
        <f t="shared" si="194"/>
        <v>0</v>
      </c>
      <c r="CJ83" s="5"/>
      <c r="CK83" s="4">
        <f t="shared" si="159"/>
        <v>0</v>
      </c>
    </row>
    <row r="84" spans="1:89" ht="47" customHeight="1">
      <c r="A84" s="33" t="str">
        <f t="shared" si="158"/>
        <v/>
      </c>
      <c r="B84" s="10"/>
      <c r="C84" s="57"/>
      <c r="D84" s="55"/>
      <c r="E84" s="53"/>
      <c r="F84" s="44">
        <f t="shared" si="195"/>
        <v>0</v>
      </c>
      <c r="G84" s="53"/>
      <c r="H84" s="55"/>
      <c r="I84" s="44">
        <f t="shared" si="196"/>
        <v>0</v>
      </c>
      <c r="J84" s="55"/>
      <c r="K84" s="55"/>
      <c r="L84" s="44">
        <f t="shared" si="197"/>
        <v>0</v>
      </c>
      <c r="M84" s="53"/>
      <c r="N84" s="53"/>
      <c r="O84" s="44">
        <f t="shared" si="198"/>
        <v>0</v>
      </c>
      <c r="P84" s="55"/>
      <c r="Q84" s="55"/>
      <c r="R84" s="44">
        <f t="shared" si="199"/>
        <v>0</v>
      </c>
      <c r="S84" s="55"/>
      <c r="T84" s="55"/>
      <c r="U84" s="44">
        <f t="shared" si="200"/>
        <v>0</v>
      </c>
      <c r="V84" s="53"/>
      <c r="W84" s="55"/>
      <c r="X84" s="44">
        <f t="shared" si="201"/>
        <v>0</v>
      </c>
      <c r="Y84" s="44"/>
      <c r="Z84" s="44"/>
      <c r="AA84" s="44"/>
      <c r="AB84" s="63">
        <f t="shared" si="202"/>
        <v>0</v>
      </c>
      <c r="AC84" s="23"/>
      <c r="AD84" s="6"/>
      <c r="AE84" s="7">
        <f t="shared" si="203"/>
        <v>0</v>
      </c>
      <c r="AF84" s="6"/>
      <c r="AG84" s="7">
        <f t="shared" si="204"/>
        <v>0</v>
      </c>
      <c r="AH84" s="6"/>
      <c r="AI84" s="7">
        <f t="shared" si="205"/>
        <v>0</v>
      </c>
      <c r="AJ84" s="6"/>
      <c r="AK84" s="7">
        <f t="shared" si="206"/>
        <v>0</v>
      </c>
      <c r="AL84" s="43"/>
      <c r="AM84" s="7">
        <f t="shared" si="207"/>
        <v>0</v>
      </c>
      <c r="AN84" s="6"/>
      <c r="AO84" s="7">
        <f t="shared" si="208"/>
        <v>0</v>
      </c>
      <c r="AP84" s="30">
        <f t="shared" si="209"/>
        <v>0</v>
      </c>
      <c r="AQ84" s="6"/>
      <c r="AR84" s="6"/>
      <c r="AS84" s="6"/>
      <c r="AT84" s="63">
        <f t="shared" si="210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60"/>
        <v>0</v>
      </c>
      <c r="BB84" s="5">
        <f t="shared" si="161"/>
        <v>0</v>
      </c>
      <c r="BC84" s="5">
        <f t="shared" si="162"/>
        <v>0</v>
      </c>
      <c r="BD84" s="5">
        <f t="shared" si="163"/>
        <v>0</v>
      </c>
      <c r="BE84" s="5">
        <f t="shared" si="164"/>
        <v>0</v>
      </c>
      <c r="BF84" s="5">
        <f t="shared" si="165"/>
        <v>0</v>
      </c>
      <c r="BG84" s="5">
        <f t="shared" si="166"/>
        <v>0</v>
      </c>
      <c r="BH84" s="5">
        <f t="shared" si="167"/>
        <v>0</v>
      </c>
      <c r="BI84" s="5">
        <f t="shared" si="168"/>
        <v>0</v>
      </c>
      <c r="BJ84" s="5">
        <f t="shared" si="169"/>
        <v>0</v>
      </c>
      <c r="BK84" s="5">
        <f t="shared" si="170"/>
        <v>0</v>
      </c>
      <c r="BL84" s="5">
        <f t="shared" si="171"/>
        <v>0</v>
      </c>
      <c r="BM84" s="5">
        <f t="shared" si="172"/>
        <v>0</v>
      </c>
      <c r="BN84" s="5">
        <f t="shared" si="173"/>
        <v>0</v>
      </c>
      <c r="BO84" s="5">
        <f t="shared" si="174"/>
        <v>0</v>
      </c>
      <c r="BP84" s="5">
        <f t="shared" si="175"/>
        <v>0</v>
      </c>
      <c r="BQ84" s="5">
        <f t="shared" si="176"/>
        <v>0</v>
      </c>
      <c r="BR84" s="5">
        <f t="shared" si="177"/>
        <v>0</v>
      </c>
      <c r="BS84" s="5">
        <f t="shared" si="178"/>
        <v>0</v>
      </c>
      <c r="BT84" s="5">
        <f t="shared" si="179"/>
        <v>0</v>
      </c>
      <c r="BU84" s="5">
        <f t="shared" si="180"/>
        <v>0</v>
      </c>
      <c r="BV84" s="5">
        <f t="shared" si="181"/>
        <v>0</v>
      </c>
      <c r="BW84" s="5">
        <f t="shared" si="182"/>
        <v>0</v>
      </c>
      <c r="BX84" s="5">
        <f t="shared" si="183"/>
        <v>0</v>
      </c>
      <c r="BY84" s="5">
        <f t="shared" si="184"/>
        <v>0</v>
      </c>
      <c r="BZ84" s="5">
        <f t="shared" si="185"/>
        <v>0</v>
      </c>
      <c r="CA84" s="5">
        <f t="shared" si="186"/>
        <v>0</v>
      </c>
      <c r="CB84" s="5">
        <f t="shared" si="187"/>
        <v>0</v>
      </c>
      <c r="CC84" s="5">
        <f t="shared" si="188"/>
        <v>0</v>
      </c>
      <c r="CD84" s="5">
        <f t="shared" si="189"/>
        <v>0</v>
      </c>
      <c r="CE84" s="5">
        <f t="shared" si="190"/>
        <v>0</v>
      </c>
      <c r="CF84" s="5">
        <f t="shared" si="191"/>
        <v>0</v>
      </c>
      <c r="CG84" s="5">
        <f t="shared" si="192"/>
        <v>0</v>
      </c>
      <c r="CH84" s="5">
        <f t="shared" si="193"/>
        <v>0</v>
      </c>
      <c r="CI84" s="5">
        <f t="shared" si="194"/>
        <v>0</v>
      </c>
      <c r="CJ84" s="5"/>
      <c r="CK84" s="4">
        <f t="shared" si="159"/>
        <v>0</v>
      </c>
    </row>
    <row r="85" spans="1:89" ht="47" customHeight="1">
      <c r="A85" s="33" t="str">
        <f t="shared" si="158"/>
        <v/>
      </c>
      <c r="B85" s="10"/>
      <c r="C85" s="57"/>
      <c r="D85" s="55"/>
      <c r="E85" s="53"/>
      <c r="F85" s="44">
        <f t="shared" si="195"/>
        <v>0</v>
      </c>
      <c r="G85" s="53"/>
      <c r="H85" s="55"/>
      <c r="I85" s="44">
        <f t="shared" si="196"/>
        <v>0</v>
      </c>
      <c r="J85" s="55"/>
      <c r="K85" s="55"/>
      <c r="L85" s="44">
        <f t="shared" si="197"/>
        <v>0</v>
      </c>
      <c r="M85" s="53"/>
      <c r="N85" s="53"/>
      <c r="O85" s="44">
        <f t="shared" si="198"/>
        <v>0</v>
      </c>
      <c r="P85" s="55"/>
      <c r="Q85" s="55"/>
      <c r="R85" s="44">
        <f t="shared" si="199"/>
        <v>0</v>
      </c>
      <c r="S85" s="55"/>
      <c r="T85" s="55"/>
      <c r="U85" s="44">
        <f t="shared" si="200"/>
        <v>0</v>
      </c>
      <c r="V85" s="53"/>
      <c r="W85" s="55"/>
      <c r="X85" s="44">
        <f t="shared" si="201"/>
        <v>0</v>
      </c>
      <c r="Y85" s="44"/>
      <c r="Z85" s="44"/>
      <c r="AA85" s="44"/>
      <c r="AB85" s="63">
        <f t="shared" si="202"/>
        <v>0</v>
      </c>
      <c r="AC85" s="23"/>
      <c r="AD85" s="6"/>
      <c r="AE85" s="7">
        <f t="shared" si="203"/>
        <v>0</v>
      </c>
      <c r="AF85" s="6"/>
      <c r="AG85" s="7">
        <f t="shared" si="204"/>
        <v>0</v>
      </c>
      <c r="AH85" s="6"/>
      <c r="AI85" s="7">
        <f t="shared" si="205"/>
        <v>0</v>
      </c>
      <c r="AJ85" s="6"/>
      <c r="AK85" s="7">
        <f t="shared" si="206"/>
        <v>0</v>
      </c>
      <c r="AL85" s="43"/>
      <c r="AM85" s="7">
        <f t="shared" si="207"/>
        <v>0</v>
      </c>
      <c r="AN85" s="6"/>
      <c r="AO85" s="7">
        <f t="shared" si="208"/>
        <v>0</v>
      </c>
      <c r="AP85" s="30">
        <f t="shared" si="209"/>
        <v>0</v>
      </c>
      <c r="AQ85" s="6"/>
      <c r="AR85" s="6"/>
      <c r="AS85" s="6"/>
      <c r="AT85" s="63">
        <f t="shared" si="210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60"/>
        <v>0</v>
      </c>
      <c r="BB85" s="5">
        <f t="shared" si="161"/>
        <v>0</v>
      </c>
      <c r="BC85" s="5">
        <f t="shared" si="162"/>
        <v>0</v>
      </c>
      <c r="BD85" s="5">
        <f t="shared" si="163"/>
        <v>0</v>
      </c>
      <c r="BE85" s="5">
        <f t="shared" si="164"/>
        <v>0</v>
      </c>
      <c r="BF85" s="5">
        <f t="shared" si="165"/>
        <v>0</v>
      </c>
      <c r="BG85" s="5">
        <f t="shared" si="166"/>
        <v>0</v>
      </c>
      <c r="BH85" s="5">
        <f t="shared" si="167"/>
        <v>0</v>
      </c>
      <c r="BI85" s="5">
        <f t="shared" si="168"/>
        <v>0</v>
      </c>
      <c r="BJ85" s="5">
        <f t="shared" si="169"/>
        <v>0</v>
      </c>
      <c r="BK85" s="5">
        <f t="shared" si="170"/>
        <v>0</v>
      </c>
      <c r="BL85" s="5">
        <f t="shared" si="171"/>
        <v>0</v>
      </c>
      <c r="BM85" s="5">
        <f t="shared" si="172"/>
        <v>0</v>
      </c>
      <c r="BN85" s="5">
        <f t="shared" si="173"/>
        <v>0</v>
      </c>
      <c r="BO85" s="5">
        <f t="shared" si="174"/>
        <v>0</v>
      </c>
      <c r="BP85" s="5">
        <f t="shared" si="175"/>
        <v>0</v>
      </c>
      <c r="BQ85" s="5">
        <f t="shared" si="176"/>
        <v>0</v>
      </c>
      <c r="BR85" s="5">
        <f t="shared" si="177"/>
        <v>0</v>
      </c>
      <c r="BS85" s="5">
        <f t="shared" si="178"/>
        <v>0</v>
      </c>
      <c r="BT85" s="5">
        <f t="shared" si="179"/>
        <v>0</v>
      </c>
      <c r="BU85" s="5">
        <f t="shared" si="180"/>
        <v>0</v>
      </c>
      <c r="BV85" s="5">
        <f t="shared" si="181"/>
        <v>0</v>
      </c>
      <c r="BW85" s="5">
        <f t="shared" si="182"/>
        <v>0</v>
      </c>
      <c r="BX85" s="5">
        <f t="shared" si="183"/>
        <v>0</v>
      </c>
      <c r="BY85" s="5">
        <f t="shared" si="184"/>
        <v>0</v>
      </c>
      <c r="BZ85" s="5">
        <f t="shared" si="185"/>
        <v>0</v>
      </c>
      <c r="CA85" s="5">
        <f t="shared" si="186"/>
        <v>0</v>
      </c>
      <c r="CB85" s="5">
        <f t="shared" si="187"/>
        <v>0</v>
      </c>
      <c r="CC85" s="5">
        <f t="shared" si="188"/>
        <v>0</v>
      </c>
      <c r="CD85" s="5">
        <f t="shared" si="189"/>
        <v>0</v>
      </c>
      <c r="CE85" s="5">
        <f t="shared" si="190"/>
        <v>0</v>
      </c>
      <c r="CF85" s="5">
        <f t="shared" si="191"/>
        <v>0</v>
      </c>
      <c r="CG85" s="5">
        <f t="shared" si="192"/>
        <v>0</v>
      </c>
      <c r="CH85" s="5">
        <f t="shared" si="193"/>
        <v>0</v>
      </c>
      <c r="CI85" s="5">
        <f t="shared" si="194"/>
        <v>0</v>
      </c>
      <c r="CJ85" s="5"/>
      <c r="CK85" s="4">
        <f t="shared" si="159"/>
        <v>0</v>
      </c>
    </row>
    <row r="86" spans="1:89" ht="47" customHeight="1">
      <c r="A86" s="33" t="str">
        <f t="shared" si="158"/>
        <v/>
      </c>
      <c r="B86" s="10"/>
      <c r="C86" s="57"/>
      <c r="D86" s="55"/>
      <c r="E86" s="53"/>
      <c r="F86" s="44">
        <f t="shared" si="195"/>
        <v>0</v>
      </c>
      <c r="G86" s="53"/>
      <c r="H86" s="55"/>
      <c r="I86" s="44">
        <f t="shared" si="196"/>
        <v>0</v>
      </c>
      <c r="J86" s="55"/>
      <c r="K86" s="55"/>
      <c r="L86" s="44">
        <f t="shared" si="197"/>
        <v>0</v>
      </c>
      <c r="M86" s="53"/>
      <c r="N86" s="53"/>
      <c r="O86" s="44">
        <f t="shared" si="198"/>
        <v>0</v>
      </c>
      <c r="P86" s="55"/>
      <c r="Q86" s="55"/>
      <c r="R86" s="44">
        <f t="shared" si="199"/>
        <v>0</v>
      </c>
      <c r="S86" s="55"/>
      <c r="T86" s="55"/>
      <c r="U86" s="44">
        <f t="shared" si="200"/>
        <v>0</v>
      </c>
      <c r="V86" s="53"/>
      <c r="W86" s="55"/>
      <c r="X86" s="44">
        <f t="shared" si="201"/>
        <v>0</v>
      </c>
      <c r="Y86" s="44"/>
      <c r="Z86" s="44"/>
      <c r="AA86" s="44"/>
      <c r="AB86" s="63">
        <f t="shared" si="202"/>
        <v>0</v>
      </c>
      <c r="AC86" s="23"/>
      <c r="AD86" s="6"/>
      <c r="AE86" s="7">
        <f t="shared" si="203"/>
        <v>0</v>
      </c>
      <c r="AF86" s="6"/>
      <c r="AG86" s="7">
        <f t="shared" si="204"/>
        <v>0</v>
      </c>
      <c r="AH86" s="6"/>
      <c r="AI86" s="7">
        <f t="shared" si="205"/>
        <v>0</v>
      </c>
      <c r="AJ86" s="6"/>
      <c r="AK86" s="7">
        <f t="shared" si="206"/>
        <v>0</v>
      </c>
      <c r="AL86" s="43"/>
      <c r="AM86" s="7">
        <f t="shared" si="207"/>
        <v>0</v>
      </c>
      <c r="AN86" s="6"/>
      <c r="AO86" s="7">
        <f t="shared" si="208"/>
        <v>0</v>
      </c>
      <c r="AP86" s="30">
        <f t="shared" si="209"/>
        <v>0</v>
      </c>
      <c r="AQ86" s="6"/>
      <c r="AR86" s="6"/>
      <c r="AS86" s="6"/>
      <c r="AT86" s="63">
        <f t="shared" si="210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60"/>
        <v>0</v>
      </c>
      <c r="BB86" s="5">
        <f t="shared" si="161"/>
        <v>0</v>
      </c>
      <c r="BC86" s="5">
        <f t="shared" si="162"/>
        <v>0</v>
      </c>
      <c r="BD86" s="5">
        <f t="shared" si="163"/>
        <v>0</v>
      </c>
      <c r="BE86" s="5">
        <f t="shared" si="164"/>
        <v>0</v>
      </c>
      <c r="BF86" s="5">
        <f t="shared" si="165"/>
        <v>0</v>
      </c>
      <c r="BG86" s="5">
        <f t="shared" si="166"/>
        <v>0</v>
      </c>
      <c r="BH86" s="5">
        <f t="shared" si="167"/>
        <v>0</v>
      </c>
      <c r="BI86" s="5">
        <f t="shared" si="168"/>
        <v>0</v>
      </c>
      <c r="BJ86" s="5">
        <f t="shared" si="169"/>
        <v>0</v>
      </c>
      <c r="BK86" s="5">
        <f t="shared" si="170"/>
        <v>0</v>
      </c>
      <c r="BL86" s="5">
        <f t="shared" si="171"/>
        <v>0</v>
      </c>
      <c r="BM86" s="5">
        <f t="shared" si="172"/>
        <v>0</v>
      </c>
      <c r="BN86" s="5">
        <f t="shared" si="173"/>
        <v>0</v>
      </c>
      <c r="BO86" s="5">
        <f t="shared" si="174"/>
        <v>0</v>
      </c>
      <c r="BP86" s="5">
        <f t="shared" si="175"/>
        <v>0</v>
      </c>
      <c r="BQ86" s="5">
        <f t="shared" si="176"/>
        <v>0</v>
      </c>
      <c r="BR86" s="5">
        <f t="shared" si="177"/>
        <v>0</v>
      </c>
      <c r="BS86" s="5">
        <f t="shared" si="178"/>
        <v>0</v>
      </c>
      <c r="BT86" s="5">
        <f t="shared" si="179"/>
        <v>0</v>
      </c>
      <c r="BU86" s="5">
        <f t="shared" si="180"/>
        <v>0</v>
      </c>
      <c r="BV86" s="5">
        <f t="shared" si="181"/>
        <v>0</v>
      </c>
      <c r="BW86" s="5">
        <f t="shared" si="182"/>
        <v>0</v>
      </c>
      <c r="BX86" s="5">
        <f t="shared" si="183"/>
        <v>0</v>
      </c>
      <c r="BY86" s="5">
        <f t="shared" si="184"/>
        <v>0</v>
      </c>
      <c r="BZ86" s="5">
        <f t="shared" si="185"/>
        <v>0</v>
      </c>
      <c r="CA86" s="5">
        <f t="shared" si="186"/>
        <v>0</v>
      </c>
      <c r="CB86" s="5">
        <f t="shared" si="187"/>
        <v>0</v>
      </c>
      <c r="CC86" s="5">
        <f t="shared" si="188"/>
        <v>0</v>
      </c>
      <c r="CD86" s="5">
        <f t="shared" si="189"/>
        <v>0</v>
      </c>
      <c r="CE86" s="5">
        <f t="shared" si="190"/>
        <v>0</v>
      </c>
      <c r="CF86" s="5">
        <f t="shared" si="191"/>
        <v>0</v>
      </c>
      <c r="CG86" s="5">
        <f t="shared" si="192"/>
        <v>0</v>
      </c>
      <c r="CH86" s="5">
        <f t="shared" si="193"/>
        <v>0</v>
      </c>
      <c r="CI86" s="5">
        <f t="shared" si="194"/>
        <v>0</v>
      </c>
      <c r="CJ86" s="5"/>
      <c r="CK86" s="4">
        <f t="shared" si="159"/>
        <v>0</v>
      </c>
    </row>
    <row r="87" spans="1:89" ht="47" customHeight="1">
      <c r="A87" s="33" t="str">
        <f t="shared" si="158"/>
        <v/>
      </c>
      <c r="B87" s="10"/>
      <c r="C87" s="57"/>
      <c r="D87" s="55"/>
      <c r="E87" s="53"/>
      <c r="F87" s="44">
        <f t="shared" si="195"/>
        <v>0</v>
      </c>
      <c r="G87" s="53"/>
      <c r="H87" s="55"/>
      <c r="I87" s="44">
        <f t="shared" si="196"/>
        <v>0</v>
      </c>
      <c r="J87" s="55"/>
      <c r="K87" s="55"/>
      <c r="L87" s="44">
        <f t="shared" si="197"/>
        <v>0</v>
      </c>
      <c r="M87" s="53"/>
      <c r="N87" s="53"/>
      <c r="O87" s="44">
        <f t="shared" si="198"/>
        <v>0</v>
      </c>
      <c r="P87" s="55"/>
      <c r="Q87" s="55"/>
      <c r="R87" s="44">
        <f t="shared" si="199"/>
        <v>0</v>
      </c>
      <c r="S87" s="55"/>
      <c r="T87" s="55"/>
      <c r="U87" s="44">
        <f t="shared" si="200"/>
        <v>0</v>
      </c>
      <c r="V87" s="53"/>
      <c r="W87" s="55"/>
      <c r="X87" s="44">
        <f t="shared" si="201"/>
        <v>0</v>
      </c>
      <c r="Y87" s="44"/>
      <c r="Z87" s="44"/>
      <c r="AA87" s="44"/>
      <c r="AB87" s="63">
        <f t="shared" si="202"/>
        <v>0</v>
      </c>
      <c r="AC87" s="23"/>
      <c r="AD87" s="6"/>
      <c r="AE87" s="7">
        <f t="shared" si="203"/>
        <v>0</v>
      </c>
      <c r="AF87" s="6"/>
      <c r="AG87" s="7">
        <f t="shared" si="204"/>
        <v>0</v>
      </c>
      <c r="AH87" s="6"/>
      <c r="AI87" s="7">
        <f t="shared" si="205"/>
        <v>0</v>
      </c>
      <c r="AJ87" s="6"/>
      <c r="AK87" s="7">
        <f t="shared" si="206"/>
        <v>0</v>
      </c>
      <c r="AL87" s="43"/>
      <c r="AM87" s="7">
        <f t="shared" si="207"/>
        <v>0</v>
      </c>
      <c r="AN87" s="6"/>
      <c r="AO87" s="7">
        <f t="shared" si="208"/>
        <v>0</v>
      </c>
      <c r="AP87" s="30">
        <f t="shared" si="209"/>
        <v>0</v>
      </c>
      <c r="AQ87" s="6"/>
      <c r="AR87" s="6"/>
      <c r="AS87" s="6"/>
      <c r="AT87" s="63">
        <f t="shared" si="210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60"/>
        <v>0</v>
      </c>
      <c r="BB87" s="5">
        <f t="shared" si="161"/>
        <v>0</v>
      </c>
      <c r="BC87" s="5">
        <f t="shared" si="162"/>
        <v>0</v>
      </c>
      <c r="BD87" s="5">
        <f t="shared" si="163"/>
        <v>0</v>
      </c>
      <c r="BE87" s="5">
        <f t="shared" si="164"/>
        <v>0</v>
      </c>
      <c r="BF87" s="5">
        <f t="shared" si="165"/>
        <v>0</v>
      </c>
      <c r="BG87" s="5">
        <f t="shared" si="166"/>
        <v>0</v>
      </c>
      <c r="BH87" s="5">
        <f t="shared" si="167"/>
        <v>0</v>
      </c>
      <c r="BI87" s="5">
        <f t="shared" si="168"/>
        <v>0</v>
      </c>
      <c r="BJ87" s="5">
        <f t="shared" si="169"/>
        <v>0</v>
      </c>
      <c r="BK87" s="5">
        <f t="shared" si="170"/>
        <v>0</v>
      </c>
      <c r="BL87" s="5">
        <f t="shared" si="171"/>
        <v>0</v>
      </c>
      <c r="BM87" s="5">
        <f t="shared" si="172"/>
        <v>0</v>
      </c>
      <c r="BN87" s="5">
        <f t="shared" si="173"/>
        <v>0</v>
      </c>
      <c r="BO87" s="5">
        <f t="shared" si="174"/>
        <v>0</v>
      </c>
      <c r="BP87" s="5">
        <f t="shared" si="175"/>
        <v>0</v>
      </c>
      <c r="BQ87" s="5">
        <f t="shared" si="176"/>
        <v>0</v>
      </c>
      <c r="BR87" s="5">
        <f t="shared" si="177"/>
        <v>0</v>
      </c>
      <c r="BS87" s="5">
        <f t="shared" si="178"/>
        <v>0</v>
      </c>
      <c r="BT87" s="5">
        <f t="shared" si="179"/>
        <v>0</v>
      </c>
      <c r="BU87" s="5">
        <f t="shared" si="180"/>
        <v>0</v>
      </c>
      <c r="BV87" s="5">
        <f t="shared" si="181"/>
        <v>0</v>
      </c>
      <c r="BW87" s="5">
        <f t="shared" si="182"/>
        <v>0</v>
      </c>
      <c r="BX87" s="5">
        <f t="shared" si="183"/>
        <v>0</v>
      </c>
      <c r="BY87" s="5">
        <f t="shared" si="184"/>
        <v>0</v>
      </c>
      <c r="BZ87" s="5">
        <f t="shared" si="185"/>
        <v>0</v>
      </c>
      <c r="CA87" s="5">
        <f t="shared" si="186"/>
        <v>0</v>
      </c>
      <c r="CB87" s="5">
        <f t="shared" si="187"/>
        <v>0</v>
      </c>
      <c r="CC87" s="5">
        <f t="shared" si="188"/>
        <v>0</v>
      </c>
      <c r="CD87" s="5">
        <f t="shared" si="189"/>
        <v>0</v>
      </c>
      <c r="CE87" s="5">
        <f t="shared" si="190"/>
        <v>0</v>
      </c>
      <c r="CF87" s="5">
        <f t="shared" si="191"/>
        <v>0</v>
      </c>
      <c r="CG87" s="5">
        <f t="shared" si="192"/>
        <v>0</v>
      </c>
      <c r="CH87" s="5">
        <f t="shared" si="193"/>
        <v>0</v>
      </c>
      <c r="CI87" s="5">
        <f t="shared" si="194"/>
        <v>0</v>
      </c>
      <c r="CJ87" s="5"/>
      <c r="CK87" s="4">
        <f t="shared" si="159"/>
        <v>0</v>
      </c>
    </row>
    <row r="88" spans="1:89" ht="47" customHeight="1">
      <c r="A88" s="33" t="str">
        <f t="shared" si="158"/>
        <v/>
      </c>
      <c r="B88" s="10"/>
      <c r="C88" s="57"/>
      <c r="D88" s="55"/>
      <c r="E88" s="53"/>
      <c r="F88" s="44">
        <f t="shared" si="195"/>
        <v>0</v>
      </c>
      <c r="G88" s="53"/>
      <c r="H88" s="55"/>
      <c r="I88" s="44">
        <f t="shared" si="196"/>
        <v>0</v>
      </c>
      <c r="J88" s="55"/>
      <c r="K88" s="55"/>
      <c r="L88" s="44">
        <f t="shared" si="197"/>
        <v>0</v>
      </c>
      <c r="M88" s="53"/>
      <c r="N88" s="53"/>
      <c r="O88" s="44">
        <f t="shared" si="198"/>
        <v>0</v>
      </c>
      <c r="P88" s="55"/>
      <c r="Q88" s="55"/>
      <c r="R88" s="44">
        <f t="shared" si="199"/>
        <v>0</v>
      </c>
      <c r="S88" s="55"/>
      <c r="T88" s="55"/>
      <c r="U88" s="44">
        <f t="shared" si="200"/>
        <v>0</v>
      </c>
      <c r="V88" s="53"/>
      <c r="W88" s="55"/>
      <c r="X88" s="44">
        <f t="shared" si="201"/>
        <v>0</v>
      </c>
      <c r="Y88" s="44"/>
      <c r="Z88" s="44"/>
      <c r="AA88" s="44"/>
      <c r="AB88" s="63">
        <f t="shared" si="202"/>
        <v>0</v>
      </c>
      <c r="AC88" s="23"/>
      <c r="AD88" s="6"/>
      <c r="AE88" s="7">
        <f t="shared" si="203"/>
        <v>0</v>
      </c>
      <c r="AF88" s="6"/>
      <c r="AG88" s="7">
        <f t="shared" si="204"/>
        <v>0</v>
      </c>
      <c r="AH88" s="6"/>
      <c r="AI88" s="7">
        <f t="shared" si="205"/>
        <v>0</v>
      </c>
      <c r="AJ88" s="6"/>
      <c r="AK88" s="7">
        <f t="shared" si="206"/>
        <v>0</v>
      </c>
      <c r="AL88" s="43"/>
      <c r="AM88" s="7">
        <f t="shared" si="207"/>
        <v>0</v>
      </c>
      <c r="AN88" s="6"/>
      <c r="AO88" s="7">
        <f t="shared" si="208"/>
        <v>0</v>
      </c>
      <c r="AP88" s="30">
        <f t="shared" si="209"/>
        <v>0</v>
      </c>
      <c r="AQ88" s="6"/>
      <c r="AR88" s="6"/>
      <c r="AS88" s="6"/>
      <c r="AT88" s="63">
        <f t="shared" si="210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60"/>
        <v>0</v>
      </c>
      <c r="BB88" s="5">
        <f t="shared" si="161"/>
        <v>0</v>
      </c>
      <c r="BC88" s="5">
        <f t="shared" si="162"/>
        <v>0</v>
      </c>
      <c r="BD88" s="5">
        <f t="shared" si="163"/>
        <v>0</v>
      </c>
      <c r="BE88" s="5">
        <f t="shared" si="164"/>
        <v>0</v>
      </c>
      <c r="BF88" s="5">
        <f t="shared" si="165"/>
        <v>0</v>
      </c>
      <c r="BG88" s="5">
        <f t="shared" si="166"/>
        <v>0</v>
      </c>
      <c r="BH88" s="5">
        <f t="shared" si="167"/>
        <v>0</v>
      </c>
      <c r="BI88" s="5">
        <f t="shared" si="168"/>
        <v>0</v>
      </c>
      <c r="BJ88" s="5">
        <f t="shared" si="169"/>
        <v>0</v>
      </c>
      <c r="BK88" s="5">
        <f t="shared" si="170"/>
        <v>0</v>
      </c>
      <c r="BL88" s="5">
        <f t="shared" si="171"/>
        <v>0</v>
      </c>
      <c r="BM88" s="5">
        <f t="shared" si="172"/>
        <v>0</v>
      </c>
      <c r="BN88" s="5">
        <f t="shared" si="173"/>
        <v>0</v>
      </c>
      <c r="BO88" s="5">
        <f t="shared" si="174"/>
        <v>0</v>
      </c>
      <c r="BP88" s="5">
        <f t="shared" si="175"/>
        <v>0</v>
      </c>
      <c r="BQ88" s="5">
        <f t="shared" si="176"/>
        <v>0</v>
      </c>
      <c r="BR88" s="5">
        <f t="shared" si="177"/>
        <v>0</v>
      </c>
      <c r="BS88" s="5">
        <f t="shared" si="178"/>
        <v>0</v>
      </c>
      <c r="BT88" s="5">
        <f t="shared" si="179"/>
        <v>0</v>
      </c>
      <c r="BU88" s="5">
        <f t="shared" si="180"/>
        <v>0</v>
      </c>
      <c r="BV88" s="5">
        <f t="shared" si="181"/>
        <v>0</v>
      </c>
      <c r="BW88" s="5">
        <f t="shared" si="182"/>
        <v>0</v>
      </c>
      <c r="BX88" s="5">
        <f t="shared" si="183"/>
        <v>0</v>
      </c>
      <c r="BY88" s="5">
        <f t="shared" si="184"/>
        <v>0</v>
      </c>
      <c r="BZ88" s="5">
        <f t="shared" si="185"/>
        <v>0</v>
      </c>
      <c r="CA88" s="5">
        <f t="shared" si="186"/>
        <v>0</v>
      </c>
      <c r="CB88" s="5">
        <f t="shared" si="187"/>
        <v>0</v>
      </c>
      <c r="CC88" s="5">
        <f t="shared" si="188"/>
        <v>0</v>
      </c>
      <c r="CD88" s="5">
        <f t="shared" si="189"/>
        <v>0</v>
      </c>
      <c r="CE88" s="5">
        <f t="shared" si="190"/>
        <v>0</v>
      </c>
      <c r="CF88" s="5">
        <f t="shared" si="191"/>
        <v>0</v>
      </c>
      <c r="CG88" s="5">
        <f t="shared" si="192"/>
        <v>0</v>
      </c>
      <c r="CH88" s="5">
        <f t="shared" si="193"/>
        <v>0</v>
      </c>
      <c r="CI88" s="5">
        <f t="shared" si="194"/>
        <v>0</v>
      </c>
      <c r="CJ88" s="5"/>
      <c r="CK88" s="4">
        <f t="shared" si="159"/>
        <v>0</v>
      </c>
    </row>
    <row r="89" spans="1:89" ht="47" customHeight="1">
      <c r="A89" s="33" t="str">
        <f t="shared" si="158"/>
        <v/>
      </c>
      <c r="B89" s="10"/>
      <c r="C89" s="57"/>
      <c r="D89" s="55"/>
      <c r="E89" s="53"/>
      <c r="F89" s="44">
        <f t="shared" si="195"/>
        <v>0</v>
      </c>
      <c r="G89" s="53"/>
      <c r="H89" s="55"/>
      <c r="I89" s="44">
        <f t="shared" si="196"/>
        <v>0</v>
      </c>
      <c r="J89" s="55"/>
      <c r="K89" s="55"/>
      <c r="L89" s="44">
        <f t="shared" si="197"/>
        <v>0</v>
      </c>
      <c r="M89" s="53"/>
      <c r="N89" s="53"/>
      <c r="O89" s="44">
        <f t="shared" si="198"/>
        <v>0</v>
      </c>
      <c r="P89" s="55"/>
      <c r="Q89" s="55"/>
      <c r="R89" s="44">
        <f t="shared" si="199"/>
        <v>0</v>
      </c>
      <c r="S89" s="55"/>
      <c r="T89" s="55"/>
      <c r="U89" s="44">
        <f t="shared" si="200"/>
        <v>0</v>
      </c>
      <c r="V89" s="53"/>
      <c r="W89" s="55"/>
      <c r="X89" s="44">
        <f t="shared" si="201"/>
        <v>0</v>
      </c>
      <c r="Y89" s="44"/>
      <c r="Z89" s="44"/>
      <c r="AA89" s="44"/>
      <c r="AB89" s="63">
        <f t="shared" si="202"/>
        <v>0</v>
      </c>
      <c r="AC89" s="23"/>
      <c r="AD89" s="6"/>
      <c r="AE89" s="7">
        <f t="shared" si="203"/>
        <v>0</v>
      </c>
      <c r="AF89" s="6"/>
      <c r="AG89" s="7">
        <f t="shared" si="204"/>
        <v>0</v>
      </c>
      <c r="AH89" s="6"/>
      <c r="AI89" s="7">
        <f t="shared" si="205"/>
        <v>0</v>
      </c>
      <c r="AJ89" s="6"/>
      <c r="AK89" s="7">
        <f t="shared" si="206"/>
        <v>0</v>
      </c>
      <c r="AL89" s="43"/>
      <c r="AM89" s="7">
        <f t="shared" si="207"/>
        <v>0</v>
      </c>
      <c r="AN89" s="6"/>
      <c r="AO89" s="7">
        <f t="shared" si="208"/>
        <v>0</v>
      </c>
      <c r="AP89" s="30">
        <f t="shared" si="209"/>
        <v>0</v>
      </c>
      <c r="AQ89" s="6"/>
      <c r="AR89" s="6"/>
      <c r="AS89" s="6"/>
      <c r="AT89" s="63">
        <f t="shared" si="210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60"/>
        <v>0</v>
      </c>
      <c r="BB89" s="5">
        <f t="shared" si="161"/>
        <v>0</v>
      </c>
      <c r="BC89" s="5">
        <f t="shared" si="162"/>
        <v>0</v>
      </c>
      <c r="BD89" s="5">
        <f t="shared" si="163"/>
        <v>0</v>
      </c>
      <c r="BE89" s="5">
        <f t="shared" si="164"/>
        <v>0</v>
      </c>
      <c r="BF89" s="5">
        <f t="shared" si="165"/>
        <v>0</v>
      </c>
      <c r="BG89" s="5">
        <f t="shared" si="166"/>
        <v>0</v>
      </c>
      <c r="BH89" s="5">
        <f t="shared" si="167"/>
        <v>0</v>
      </c>
      <c r="BI89" s="5">
        <f t="shared" si="168"/>
        <v>0</v>
      </c>
      <c r="BJ89" s="5">
        <f t="shared" si="169"/>
        <v>0</v>
      </c>
      <c r="BK89" s="5">
        <f t="shared" si="170"/>
        <v>0</v>
      </c>
      <c r="BL89" s="5">
        <f t="shared" si="171"/>
        <v>0</v>
      </c>
      <c r="BM89" s="5">
        <f t="shared" si="172"/>
        <v>0</v>
      </c>
      <c r="BN89" s="5">
        <f t="shared" si="173"/>
        <v>0</v>
      </c>
      <c r="BO89" s="5">
        <f t="shared" si="174"/>
        <v>0</v>
      </c>
      <c r="BP89" s="5">
        <f t="shared" si="175"/>
        <v>0</v>
      </c>
      <c r="BQ89" s="5">
        <f t="shared" si="176"/>
        <v>0</v>
      </c>
      <c r="BR89" s="5">
        <f t="shared" si="177"/>
        <v>0</v>
      </c>
      <c r="BS89" s="5">
        <f t="shared" si="178"/>
        <v>0</v>
      </c>
      <c r="BT89" s="5">
        <f t="shared" si="179"/>
        <v>0</v>
      </c>
      <c r="BU89" s="5">
        <f t="shared" si="180"/>
        <v>0</v>
      </c>
      <c r="BV89" s="5">
        <f t="shared" si="181"/>
        <v>0</v>
      </c>
      <c r="BW89" s="5">
        <f t="shared" si="182"/>
        <v>0</v>
      </c>
      <c r="BX89" s="5">
        <f t="shared" si="183"/>
        <v>0</v>
      </c>
      <c r="BY89" s="5">
        <f t="shared" si="184"/>
        <v>0</v>
      </c>
      <c r="BZ89" s="5">
        <f t="shared" si="185"/>
        <v>0</v>
      </c>
      <c r="CA89" s="5">
        <f t="shared" si="186"/>
        <v>0</v>
      </c>
      <c r="CB89" s="5">
        <f t="shared" si="187"/>
        <v>0</v>
      </c>
      <c r="CC89" s="5">
        <f t="shared" si="188"/>
        <v>0</v>
      </c>
      <c r="CD89" s="5">
        <f t="shared" si="189"/>
        <v>0</v>
      </c>
      <c r="CE89" s="5">
        <f t="shared" si="190"/>
        <v>0</v>
      </c>
      <c r="CF89" s="5">
        <f t="shared" si="191"/>
        <v>0</v>
      </c>
      <c r="CG89" s="5">
        <f t="shared" si="192"/>
        <v>0</v>
      </c>
      <c r="CH89" s="5">
        <f t="shared" si="193"/>
        <v>0</v>
      </c>
      <c r="CI89" s="5">
        <f t="shared" si="194"/>
        <v>0</v>
      </c>
      <c r="CJ89" s="5"/>
      <c r="CK89" s="4">
        <f t="shared" si="159"/>
        <v>0</v>
      </c>
    </row>
    <row r="90" spans="1:89" ht="47" customHeight="1">
      <c r="A90" s="33" t="str">
        <f t="shared" si="158"/>
        <v/>
      </c>
      <c r="B90" s="10"/>
      <c r="C90" s="57"/>
      <c r="D90" s="55"/>
      <c r="E90" s="53"/>
      <c r="F90" s="44">
        <f t="shared" si="195"/>
        <v>0</v>
      </c>
      <c r="G90" s="53"/>
      <c r="H90" s="55"/>
      <c r="I90" s="44">
        <f t="shared" si="196"/>
        <v>0</v>
      </c>
      <c r="J90" s="55"/>
      <c r="K90" s="55"/>
      <c r="L90" s="44">
        <f t="shared" si="197"/>
        <v>0</v>
      </c>
      <c r="M90" s="53"/>
      <c r="N90" s="53"/>
      <c r="O90" s="44">
        <f t="shared" si="198"/>
        <v>0</v>
      </c>
      <c r="P90" s="55"/>
      <c r="Q90" s="55"/>
      <c r="R90" s="44">
        <f t="shared" si="199"/>
        <v>0</v>
      </c>
      <c r="S90" s="55"/>
      <c r="T90" s="55"/>
      <c r="U90" s="44">
        <f t="shared" si="200"/>
        <v>0</v>
      </c>
      <c r="V90" s="53"/>
      <c r="W90" s="55"/>
      <c r="X90" s="44">
        <f t="shared" si="201"/>
        <v>0</v>
      </c>
      <c r="Y90" s="44"/>
      <c r="Z90" s="44"/>
      <c r="AA90" s="44"/>
      <c r="AB90" s="63">
        <f t="shared" si="202"/>
        <v>0</v>
      </c>
      <c r="AC90" s="23"/>
      <c r="AD90" s="6"/>
      <c r="AE90" s="7">
        <f t="shared" si="203"/>
        <v>0</v>
      </c>
      <c r="AF90" s="6"/>
      <c r="AG90" s="7">
        <f t="shared" si="204"/>
        <v>0</v>
      </c>
      <c r="AH90" s="6"/>
      <c r="AI90" s="7">
        <f t="shared" si="205"/>
        <v>0</v>
      </c>
      <c r="AJ90" s="6"/>
      <c r="AK90" s="7">
        <f t="shared" si="206"/>
        <v>0</v>
      </c>
      <c r="AL90" s="43"/>
      <c r="AM90" s="7">
        <f t="shared" si="207"/>
        <v>0</v>
      </c>
      <c r="AN90" s="6"/>
      <c r="AO90" s="7">
        <f t="shared" si="208"/>
        <v>0</v>
      </c>
      <c r="AP90" s="30">
        <f t="shared" si="209"/>
        <v>0</v>
      </c>
      <c r="AQ90" s="6"/>
      <c r="AR90" s="6"/>
      <c r="AS90" s="6"/>
      <c r="AT90" s="63">
        <f t="shared" si="210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60"/>
        <v>0</v>
      </c>
      <c r="BB90" s="5">
        <f t="shared" si="161"/>
        <v>0</v>
      </c>
      <c r="BC90" s="5">
        <f t="shared" si="162"/>
        <v>0</v>
      </c>
      <c r="BD90" s="5">
        <f t="shared" si="163"/>
        <v>0</v>
      </c>
      <c r="BE90" s="5">
        <f t="shared" si="164"/>
        <v>0</v>
      </c>
      <c r="BF90" s="5">
        <f t="shared" si="165"/>
        <v>0</v>
      </c>
      <c r="BG90" s="5">
        <f t="shared" si="166"/>
        <v>0</v>
      </c>
      <c r="BH90" s="5">
        <f t="shared" si="167"/>
        <v>0</v>
      </c>
      <c r="BI90" s="5">
        <f t="shared" si="168"/>
        <v>0</v>
      </c>
      <c r="BJ90" s="5">
        <f t="shared" si="169"/>
        <v>0</v>
      </c>
      <c r="BK90" s="5">
        <f t="shared" si="170"/>
        <v>0</v>
      </c>
      <c r="BL90" s="5">
        <f t="shared" si="171"/>
        <v>0</v>
      </c>
      <c r="BM90" s="5">
        <f t="shared" si="172"/>
        <v>0</v>
      </c>
      <c r="BN90" s="5">
        <f t="shared" si="173"/>
        <v>0</v>
      </c>
      <c r="BO90" s="5">
        <f t="shared" si="174"/>
        <v>0</v>
      </c>
      <c r="BP90" s="5">
        <f t="shared" si="175"/>
        <v>0</v>
      </c>
      <c r="BQ90" s="5">
        <f t="shared" si="176"/>
        <v>0</v>
      </c>
      <c r="BR90" s="5">
        <f t="shared" si="177"/>
        <v>0</v>
      </c>
      <c r="BS90" s="5">
        <f t="shared" si="178"/>
        <v>0</v>
      </c>
      <c r="BT90" s="5">
        <f t="shared" si="179"/>
        <v>0</v>
      </c>
      <c r="BU90" s="5">
        <f t="shared" si="180"/>
        <v>0</v>
      </c>
      <c r="BV90" s="5">
        <f t="shared" si="181"/>
        <v>0</v>
      </c>
      <c r="BW90" s="5">
        <f t="shared" si="182"/>
        <v>0</v>
      </c>
      <c r="BX90" s="5">
        <f t="shared" si="183"/>
        <v>0</v>
      </c>
      <c r="BY90" s="5">
        <f t="shared" si="184"/>
        <v>0</v>
      </c>
      <c r="BZ90" s="5">
        <f t="shared" si="185"/>
        <v>0</v>
      </c>
      <c r="CA90" s="5">
        <f t="shared" si="186"/>
        <v>0</v>
      </c>
      <c r="CB90" s="5">
        <f t="shared" si="187"/>
        <v>0</v>
      </c>
      <c r="CC90" s="5">
        <f t="shared" si="188"/>
        <v>0</v>
      </c>
      <c r="CD90" s="5">
        <f t="shared" si="189"/>
        <v>0</v>
      </c>
      <c r="CE90" s="5">
        <f t="shared" si="190"/>
        <v>0</v>
      </c>
      <c r="CF90" s="5">
        <f t="shared" si="191"/>
        <v>0</v>
      </c>
      <c r="CG90" s="5">
        <f t="shared" si="192"/>
        <v>0</v>
      </c>
      <c r="CH90" s="5">
        <f t="shared" si="193"/>
        <v>0</v>
      </c>
      <c r="CI90" s="5">
        <f t="shared" si="194"/>
        <v>0</v>
      </c>
      <c r="CJ90" s="5"/>
      <c r="CK90" s="4">
        <f t="shared" si="159"/>
        <v>0</v>
      </c>
    </row>
    <row r="91" spans="1:89" ht="47" customHeight="1">
      <c r="A91" s="33" t="str">
        <f t="shared" si="158"/>
        <v/>
      </c>
      <c r="B91" s="10"/>
      <c r="C91" s="57"/>
      <c r="D91" s="55"/>
      <c r="E91" s="53"/>
      <c r="F91" s="44">
        <f t="shared" si="195"/>
        <v>0</v>
      </c>
      <c r="G91" s="53"/>
      <c r="H91" s="55"/>
      <c r="I91" s="44">
        <f t="shared" si="196"/>
        <v>0</v>
      </c>
      <c r="J91" s="55"/>
      <c r="K91" s="55"/>
      <c r="L91" s="44">
        <f t="shared" si="197"/>
        <v>0</v>
      </c>
      <c r="M91" s="53"/>
      <c r="N91" s="53"/>
      <c r="O91" s="44">
        <f t="shared" si="198"/>
        <v>0</v>
      </c>
      <c r="P91" s="55"/>
      <c r="Q91" s="55"/>
      <c r="R91" s="44">
        <f t="shared" si="199"/>
        <v>0</v>
      </c>
      <c r="S91" s="55"/>
      <c r="T91" s="55"/>
      <c r="U91" s="44">
        <f t="shared" si="200"/>
        <v>0</v>
      </c>
      <c r="V91" s="53"/>
      <c r="W91" s="55"/>
      <c r="X91" s="44">
        <f t="shared" si="201"/>
        <v>0</v>
      </c>
      <c r="Y91" s="44"/>
      <c r="Z91" s="44"/>
      <c r="AA91" s="44"/>
      <c r="AB91" s="63">
        <f t="shared" si="202"/>
        <v>0</v>
      </c>
      <c r="AC91" s="23"/>
      <c r="AD91" s="6"/>
      <c r="AE91" s="7">
        <f t="shared" si="203"/>
        <v>0</v>
      </c>
      <c r="AF91" s="6"/>
      <c r="AG91" s="7">
        <f t="shared" si="204"/>
        <v>0</v>
      </c>
      <c r="AH91" s="6"/>
      <c r="AI91" s="7">
        <f t="shared" si="205"/>
        <v>0</v>
      </c>
      <c r="AJ91" s="6"/>
      <c r="AK91" s="7">
        <f t="shared" si="206"/>
        <v>0</v>
      </c>
      <c r="AL91" s="43"/>
      <c r="AM91" s="7">
        <f t="shared" si="207"/>
        <v>0</v>
      </c>
      <c r="AN91" s="6"/>
      <c r="AO91" s="7">
        <f t="shared" si="208"/>
        <v>0</v>
      </c>
      <c r="AP91" s="30">
        <f t="shared" si="209"/>
        <v>0</v>
      </c>
      <c r="AQ91" s="6"/>
      <c r="AR91" s="6"/>
      <c r="AS91" s="6"/>
      <c r="AT91" s="63">
        <f t="shared" si="210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60"/>
        <v>0</v>
      </c>
      <c r="BB91" s="5">
        <f t="shared" si="161"/>
        <v>0</v>
      </c>
      <c r="BC91" s="5">
        <f t="shared" si="162"/>
        <v>0</v>
      </c>
      <c r="BD91" s="5">
        <f t="shared" si="163"/>
        <v>0</v>
      </c>
      <c r="BE91" s="5">
        <f t="shared" si="164"/>
        <v>0</v>
      </c>
      <c r="BF91" s="5">
        <f t="shared" si="165"/>
        <v>0</v>
      </c>
      <c r="BG91" s="5">
        <f t="shared" si="166"/>
        <v>0</v>
      </c>
      <c r="BH91" s="5">
        <f t="shared" si="167"/>
        <v>0</v>
      </c>
      <c r="BI91" s="5">
        <f t="shared" si="168"/>
        <v>0</v>
      </c>
      <c r="BJ91" s="5">
        <f t="shared" si="169"/>
        <v>0</v>
      </c>
      <c r="BK91" s="5">
        <f t="shared" si="170"/>
        <v>0</v>
      </c>
      <c r="BL91" s="5">
        <f t="shared" si="171"/>
        <v>0</v>
      </c>
      <c r="BM91" s="5">
        <f t="shared" si="172"/>
        <v>0</v>
      </c>
      <c r="BN91" s="5">
        <f t="shared" si="173"/>
        <v>0</v>
      </c>
      <c r="BO91" s="5">
        <f t="shared" si="174"/>
        <v>0</v>
      </c>
      <c r="BP91" s="5">
        <f t="shared" si="175"/>
        <v>0</v>
      </c>
      <c r="BQ91" s="5">
        <f t="shared" si="176"/>
        <v>0</v>
      </c>
      <c r="BR91" s="5">
        <f t="shared" si="177"/>
        <v>0</v>
      </c>
      <c r="BS91" s="5">
        <f t="shared" si="178"/>
        <v>0</v>
      </c>
      <c r="BT91" s="5">
        <f t="shared" si="179"/>
        <v>0</v>
      </c>
      <c r="BU91" s="5">
        <f t="shared" si="180"/>
        <v>0</v>
      </c>
      <c r="BV91" s="5">
        <f t="shared" si="181"/>
        <v>0</v>
      </c>
      <c r="BW91" s="5">
        <f t="shared" si="182"/>
        <v>0</v>
      </c>
      <c r="BX91" s="5">
        <f t="shared" si="183"/>
        <v>0</v>
      </c>
      <c r="BY91" s="5">
        <f t="shared" si="184"/>
        <v>0</v>
      </c>
      <c r="BZ91" s="5">
        <f t="shared" si="185"/>
        <v>0</v>
      </c>
      <c r="CA91" s="5">
        <f t="shared" si="186"/>
        <v>0</v>
      </c>
      <c r="CB91" s="5">
        <f t="shared" si="187"/>
        <v>0</v>
      </c>
      <c r="CC91" s="5">
        <f t="shared" si="188"/>
        <v>0</v>
      </c>
      <c r="CD91" s="5">
        <f t="shared" si="189"/>
        <v>0</v>
      </c>
      <c r="CE91" s="5">
        <f t="shared" si="190"/>
        <v>0</v>
      </c>
      <c r="CF91" s="5">
        <f t="shared" si="191"/>
        <v>0</v>
      </c>
      <c r="CG91" s="5">
        <f t="shared" si="192"/>
        <v>0</v>
      </c>
      <c r="CH91" s="5">
        <f t="shared" si="193"/>
        <v>0</v>
      </c>
      <c r="CI91" s="5">
        <f t="shared" si="194"/>
        <v>0</v>
      </c>
      <c r="CJ91" s="5"/>
      <c r="CK91" s="4">
        <f t="shared" si="159"/>
        <v>0</v>
      </c>
    </row>
    <row r="92" spans="1:89" ht="47" customHeight="1">
      <c r="A92" s="33" t="str">
        <f t="shared" si="158"/>
        <v/>
      </c>
      <c r="B92" s="10"/>
      <c r="C92" s="57"/>
      <c r="D92" s="55"/>
      <c r="E92" s="53"/>
      <c r="F92" s="44">
        <f t="shared" si="195"/>
        <v>0</v>
      </c>
      <c r="G92" s="53"/>
      <c r="H92" s="55"/>
      <c r="I92" s="44">
        <f t="shared" si="196"/>
        <v>0</v>
      </c>
      <c r="J92" s="55"/>
      <c r="K92" s="55"/>
      <c r="L92" s="44">
        <f t="shared" si="197"/>
        <v>0</v>
      </c>
      <c r="M92" s="53"/>
      <c r="N92" s="53"/>
      <c r="O92" s="44">
        <f t="shared" si="198"/>
        <v>0</v>
      </c>
      <c r="P92" s="55"/>
      <c r="Q92" s="55"/>
      <c r="R92" s="44">
        <f t="shared" si="199"/>
        <v>0</v>
      </c>
      <c r="S92" s="55"/>
      <c r="T92" s="55"/>
      <c r="U92" s="44">
        <f t="shared" si="200"/>
        <v>0</v>
      </c>
      <c r="V92" s="53"/>
      <c r="W92" s="55"/>
      <c r="X92" s="44">
        <f t="shared" si="201"/>
        <v>0</v>
      </c>
      <c r="Y92" s="44"/>
      <c r="Z92" s="44"/>
      <c r="AA92" s="44"/>
      <c r="AB92" s="63">
        <f t="shared" si="202"/>
        <v>0</v>
      </c>
      <c r="AC92" s="23"/>
      <c r="AD92" s="6"/>
      <c r="AE92" s="7">
        <f t="shared" si="203"/>
        <v>0</v>
      </c>
      <c r="AF92" s="6"/>
      <c r="AG92" s="7">
        <f t="shared" si="204"/>
        <v>0</v>
      </c>
      <c r="AH92" s="6"/>
      <c r="AI92" s="7">
        <f t="shared" si="205"/>
        <v>0</v>
      </c>
      <c r="AJ92" s="6"/>
      <c r="AK92" s="7">
        <f t="shared" si="206"/>
        <v>0</v>
      </c>
      <c r="AL92" s="43"/>
      <c r="AM92" s="7">
        <f t="shared" si="207"/>
        <v>0</v>
      </c>
      <c r="AN92" s="6"/>
      <c r="AO92" s="7">
        <f t="shared" si="208"/>
        <v>0</v>
      </c>
      <c r="AP92" s="30">
        <f t="shared" si="209"/>
        <v>0</v>
      </c>
      <c r="AQ92" s="6"/>
      <c r="AR92" s="6"/>
      <c r="AS92" s="6"/>
      <c r="AT92" s="63">
        <f t="shared" si="210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60"/>
        <v>0</v>
      </c>
      <c r="BB92" s="5">
        <f t="shared" si="161"/>
        <v>0</v>
      </c>
      <c r="BC92" s="5">
        <f t="shared" si="162"/>
        <v>0</v>
      </c>
      <c r="BD92" s="5">
        <f t="shared" si="163"/>
        <v>0</v>
      </c>
      <c r="BE92" s="5">
        <f t="shared" si="164"/>
        <v>0</v>
      </c>
      <c r="BF92" s="5">
        <f t="shared" si="165"/>
        <v>0</v>
      </c>
      <c r="BG92" s="5">
        <f t="shared" si="166"/>
        <v>0</v>
      </c>
      <c r="BH92" s="5">
        <f t="shared" si="167"/>
        <v>0</v>
      </c>
      <c r="BI92" s="5">
        <f t="shared" si="168"/>
        <v>0</v>
      </c>
      <c r="BJ92" s="5">
        <f t="shared" si="169"/>
        <v>0</v>
      </c>
      <c r="BK92" s="5">
        <f t="shared" si="170"/>
        <v>0</v>
      </c>
      <c r="BL92" s="5">
        <f t="shared" si="171"/>
        <v>0</v>
      </c>
      <c r="BM92" s="5">
        <f t="shared" si="172"/>
        <v>0</v>
      </c>
      <c r="BN92" s="5">
        <f t="shared" si="173"/>
        <v>0</v>
      </c>
      <c r="BO92" s="5">
        <f t="shared" si="174"/>
        <v>0</v>
      </c>
      <c r="BP92" s="5">
        <f t="shared" si="175"/>
        <v>0</v>
      </c>
      <c r="BQ92" s="5">
        <f t="shared" si="176"/>
        <v>0</v>
      </c>
      <c r="BR92" s="5">
        <f t="shared" si="177"/>
        <v>0</v>
      </c>
      <c r="BS92" s="5">
        <f t="shared" si="178"/>
        <v>0</v>
      </c>
      <c r="BT92" s="5">
        <f t="shared" si="179"/>
        <v>0</v>
      </c>
      <c r="BU92" s="5">
        <f t="shared" si="180"/>
        <v>0</v>
      </c>
      <c r="BV92" s="5">
        <f t="shared" si="181"/>
        <v>0</v>
      </c>
      <c r="BW92" s="5">
        <f t="shared" si="182"/>
        <v>0</v>
      </c>
      <c r="BX92" s="5">
        <f t="shared" si="183"/>
        <v>0</v>
      </c>
      <c r="BY92" s="5">
        <f t="shared" si="184"/>
        <v>0</v>
      </c>
      <c r="BZ92" s="5">
        <f t="shared" si="185"/>
        <v>0</v>
      </c>
      <c r="CA92" s="5">
        <f t="shared" si="186"/>
        <v>0</v>
      </c>
      <c r="CB92" s="5">
        <f t="shared" si="187"/>
        <v>0</v>
      </c>
      <c r="CC92" s="5">
        <f t="shared" si="188"/>
        <v>0</v>
      </c>
      <c r="CD92" s="5">
        <f t="shared" si="189"/>
        <v>0</v>
      </c>
      <c r="CE92" s="5">
        <f t="shared" si="190"/>
        <v>0</v>
      </c>
      <c r="CF92" s="5">
        <f t="shared" si="191"/>
        <v>0</v>
      </c>
      <c r="CG92" s="5">
        <f t="shared" si="192"/>
        <v>0</v>
      </c>
      <c r="CH92" s="5">
        <f t="shared" si="193"/>
        <v>0</v>
      </c>
      <c r="CI92" s="5">
        <f t="shared" si="194"/>
        <v>0</v>
      </c>
      <c r="CJ92" s="5"/>
      <c r="CK92" s="4">
        <f t="shared" si="159"/>
        <v>0</v>
      </c>
    </row>
    <row r="93" spans="1:89" ht="47" customHeight="1">
      <c r="A93" s="33" t="str">
        <f t="shared" si="158"/>
        <v/>
      </c>
      <c r="B93" s="10"/>
      <c r="C93" s="57"/>
      <c r="D93" s="55"/>
      <c r="E93" s="53"/>
      <c r="F93" s="44">
        <f t="shared" si="195"/>
        <v>0</v>
      </c>
      <c r="G93" s="53"/>
      <c r="H93" s="55"/>
      <c r="I93" s="44">
        <f t="shared" si="196"/>
        <v>0</v>
      </c>
      <c r="J93" s="55"/>
      <c r="K93" s="55"/>
      <c r="L93" s="44">
        <f t="shared" si="197"/>
        <v>0</v>
      </c>
      <c r="M93" s="53"/>
      <c r="N93" s="53"/>
      <c r="O93" s="44">
        <f t="shared" si="198"/>
        <v>0</v>
      </c>
      <c r="P93" s="55"/>
      <c r="Q93" s="55"/>
      <c r="R93" s="44">
        <f t="shared" si="199"/>
        <v>0</v>
      </c>
      <c r="S93" s="55"/>
      <c r="T93" s="55"/>
      <c r="U93" s="44">
        <f t="shared" si="200"/>
        <v>0</v>
      </c>
      <c r="V93" s="53"/>
      <c r="W93" s="55"/>
      <c r="X93" s="44">
        <f t="shared" si="201"/>
        <v>0</v>
      </c>
      <c r="Y93" s="44"/>
      <c r="Z93" s="44"/>
      <c r="AA93" s="44"/>
      <c r="AB93" s="63">
        <f t="shared" si="202"/>
        <v>0</v>
      </c>
      <c r="AC93" s="23"/>
      <c r="AD93" s="6"/>
      <c r="AE93" s="7">
        <f t="shared" si="203"/>
        <v>0</v>
      </c>
      <c r="AF93" s="6"/>
      <c r="AG93" s="7">
        <f t="shared" si="204"/>
        <v>0</v>
      </c>
      <c r="AH93" s="6"/>
      <c r="AI93" s="7">
        <f t="shared" si="205"/>
        <v>0</v>
      </c>
      <c r="AJ93" s="6"/>
      <c r="AK93" s="7">
        <f t="shared" si="206"/>
        <v>0</v>
      </c>
      <c r="AL93" s="43"/>
      <c r="AM93" s="7">
        <f t="shared" si="207"/>
        <v>0</v>
      </c>
      <c r="AN93" s="6"/>
      <c r="AO93" s="7">
        <f t="shared" si="208"/>
        <v>0</v>
      </c>
      <c r="AP93" s="30">
        <f t="shared" si="209"/>
        <v>0</v>
      </c>
      <c r="AQ93" s="6"/>
      <c r="AR93" s="6"/>
      <c r="AS93" s="6"/>
      <c r="AT93" s="63">
        <f t="shared" si="210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60"/>
        <v>0</v>
      </c>
      <c r="BB93" s="5">
        <f t="shared" si="161"/>
        <v>0</v>
      </c>
      <c r="BC93" s="5">
        <f t="shared" si="162"/>
        <v>0</v>
      </c>
      <c r="BD93" s="5">
        <f t="shared" si="163"/>
        <v>0</v>
      </c>
      <c r="BE93" s="5">
        <f t="shared" si="164"/>
        <v>0</v>
      </c>
      <c r="BF93" s="5">
        <f t="shared" si="165"/>
        <v>0</v>
      </c>
      <c r="BG93" s="5">
        <f t="shared" si="166"/>
        <v>0</v>
      </c>
      <c r="BH93" s="5">
        <f t="shared" si="167"/>
        <v>0</v>
      </c>
      <c r="BI93" s="5">
        <f t="shared" si="168"/>
        <v>0</v>
      </c>
      <c r="BJ93" s="5">
        <f t="shared" si="169"/>
        <v>0</v>
      </c>
      <c r="BK93" s="5">
        <f t="shared" si="170"/>
        <v>0</v>
      </c>
      <c r="BL93" s="5">
        <f t="shared" si="171"/>
        <v>0</v>
      </c>
      <c r="BM93" s="5">
        <f t="shared" si="172"/>
        <v>0</v>
      </c>
      <c r="BN93" s="5">
        <f t="shared" si="173"/>
        <v>0</v>
      </c>
      <c r="BO93" s="5">
        <f t="shared" si="174"/>
        <v>0</v>
      </c>
      <c r="BP93" s="5">
        <f t="shared" si="175"/>
        <v>0</v>
      </c>
      <c r="BQ93" s="5">
        <f t="shared" si="176"/>
        <v>0</v>
      </c>
      <c r="BR93" s="5">
        <f t="shared" si="177"/>
        <v>0</v>
      </c>
      <c r="BS93" s="5">
        <f t="shared" si="178"/>
        <v>0</v>
      </c>
      <c r="BT93" s="5">
        <f t="shared" si="179"/>
        <v>0</v>
      </c>
      <c r="BU93" s="5">
        <f t="shared" si="180"/>
        <v>0</v>
      </c>
      <c r="BV93" s="5">
        <f t="shared" si="181"/>
        <v>0</v>
      </c>
      <c r="BW93" s="5">
        <f t="shared" si="182"/>
        <v>0</v>
      </c>
      <c r="BX93" s="5">
        <f t="shared" si="183"/>
        <v>0</v>
      </c>
      <c r="BY93" s="5">
        <f t="shared" si="184"/>
        <v>0</v>
      </c>
      <c r="BZ93" s="5">
        <f t="shared" si="185"/>
        <v>0</v>
      </c>
      <c r="CA93" s="5">
        <f t="shared" si="186"/>
        <v>0</v>
      </c>
      <c r="CB93" s="5">
        <f t="shared" si="187"/>
        <v>0</v>
      </c>
      <c r="CC93" s="5">
        <f t="shared" si="188"/>
        <v>0</v>
      </c>
      <c r="CD93" s="5">
        <f t="shared" si="189"/>
        <v>0</v>
      </c>
      <c r="CE93" s="5">
        <f t="shared" si="190"/>
        <v>0</v>
      </c>
      <c r="CF93" s="5">
        <f t="shared" si="191"/>
        <v>0</v>
      </c>
      <c r="CG93" s="5">
        <f t="shared" si="192"/>
        <v>0</v>
      </c>
      <c r="CH93" s="5">
        <f t="shared" si="193"/>
        <v>0</v>
      </c>
      <c r="CI93" s="5">
        <f t="shared" si="194"/>
        <v>0</v>
      </c>
      <c r="CJ93" s="5"/>
      <c r="CK93" s="4">
        <f t="shared" si="159"/>
        <v>0</v>
      </c>
    </row>
    <row r="94" spans="1:89" ht="47" customHeight="1">
      <c r="A94" s="33" t="str">
        <f t="shared" si="158"/>
        <v/>
      </c>
      <c r="B94" s="10"/>
      <c r="C94" s="57"/>
      <c r="D94" s="55"/>
      <c r="E94" s="53"/>
      <c r="F94" s="44">
        <f t="shared" si="195"/>
        <v>0</v>
      </c>
      <c r="G94" s="53"/>
      <c r="H94" s="55"/>
      <c r="I94" s="44">
        <f t="shared" si="196"/>
        <v>0</v>
      </c>
      <c r="J94" s="55"/>
      <c r="K94" s="55"/>
      <c r="L94" s="44">
        <f t="shared" si="197"/>
        <v>0</v>
      </c>
      <c r="M94" s="53"/>
      <c r="N94" s="53"/>
      <c r="O94" s="44">
        <f t="shared" si="198"/>
        <v>0</v>
      </c>
      <c r="P94" s="55"/>
      <c r="Q94" s="55"/>
      <c r="R94" s="44">
        <f t="shared" si="199"/>
        <v>0</v>
      </c>
      <c r="S94" s="55"/>
      <c r="T94" s="55"/>
      <c r="U94" s="44">
        <f t="shared" si="200"/>
        <v>0</v>
      </c>
      <c r="V94" s="53"/>
      <c r="W94" s="55"/>
      <c r="X94" s="44">
        <f t="shared" si="201"/>
        <v>0</v>
      </c>
      <c r="Y94" s="44"/>
      <c r="Z94" s="44"/>
      <c r="AA94" s="44"/>
      <c r="AB94" s="63">
        <f t="shared" si="202"/>
        <v>0</v>
      </c>
      <c r="AC94" s="23"/>
      <c r="AD94" s="6"/>
      <c r="AE94" s="7">
        <f t="shared" si="203"/>
        <v>0</v>
      </c>
      <c r="AF94" s="6"/>
      <c r="AG94" s="7">
        <f t="shared" si="204"/>
        <v>0</v>
      </c>
      <c r="AH94" s="6"/>
      <c r="AI94" s="7">
        <f t="shared" si="205"/>
        <v>0</v>
      </c>
      <c r="AJ94" s="6"/>
      <c r="AK94" s="7">
        <f t="shared" si="206"/>
        <v>0</v>
      </c>
      <c r="AL94" s="43"/>
      <c r="AM94" s="7">
        <f t="shared" si="207"/>
        <v>0</v>
      </c>
      <c r="AN94" s="6"/>
      <c r="AO94" s="7">
        <f t="shared" si="208"/>
        <v>0</v>
      </c>
      <c r="AP94" s="30">
        <f t="shared" si="209"/>
        <v>0</v>
      </c>
      <c r="AQ94" s="6"/>
      <c r="AR94" s="6"/>
      <c r="AS94" s="6"/>
      <c r="AT94" s="63">
        <f t="shared" si="210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60"/>
        <v>0</v>
      </c>
      <c r="BB94" s="5">
        <f t="shared" si="161"/>
        <v>0</v>
      </c>
      <c r="BC94" s="5">
        <f t="shared" si="162"/>
        <v>0</v>
      </c>
      <c r="BD94" s="5">
        <f t="shared" si="163"/>
        <v>0</v>
      </c>
      <c r="BE94" s="5">
        <f t="shared" si="164"/>
        <v>0</v>
      </c>
      <c r="BF94" s="5">
        <f t="shared" si="165"/>
        <v>0</v>
      </c>
      <c r="BG94" s="5">
        <f t="shared" si="166"/>
        <v>0</v>
      </c>
      <c r="BH94" s="5">
        <f t="shared" si="167"/>
        <v>0</v>
      </c>
      <c r="BI94" s="5">
        <f t="shared" si="168"/>
        <v>0</v>
      </c>
      <c r="BJ94" s="5">
        <f t="shared" si="169"/>
        <v>0</v>
      </c>
      <c r="BK94" s="5">
        <f t="shared" si="170"/>
        <v>0</v>
      </c>
      <c r="BL94" s="5">
        <f t="shared" si="171"/>
        <v>0</v>
      </c>
      <c r="BM94" s="5">
        <f t="shared" si="172"/>
        <v>0</v>
      </c>
      <c r="BN94" s="5">
        <f t="shared" si="173"/>
        <v>0</v>
      </c>
      <c r="BO94" s="5">
        <f t="shared" si="174"/>
        <v>0</v>
      </c>
      <c r="BP94" s="5">
        <f t="shared" si="175"/>
        <v>0</v>
      </c>
      <c r="BQ94" s="5">
        <f t="shared" si="176"/>
        <v>0</v>
      </c>
      <c r="BR94" s="5">
        <f t="shared" si="177"/>
        <v>0</v>
      </c>
      <c r="BS94" s="5">
        <f t="shared" si="178"/>
        <v>0</v>
      </c>
      <c r="BT94" s="5">
        <f t="shared" si="179"/>
        <v>0</v>
      </c>
      <c r="BU94" s="5">
        <f t="shared" si="180"/>
        <v>0</v>
      </c>
      <c r="BV94" s="5">
        <f t="shared" si="181"/>
        <v>0</v>
      </c>
      <c r="BW94" s="5">
        <f t="shared" si="182"/>
        <v>0</v>
      </c>
      <c r="BX94" s="5">
        <f t="shared" si="183"/>
        <v>0</v>
      </c>
      <c r="BY94" s="5">
        <f t="shared" si="184"/>
        <v>0</v>
      </c>
      <c r="BZ94" s="5">
        <f t="shared" si="185"/>
        <v>0</v>
      </c>
      <c r="CA94" s="5">
        <f t="shared" si="186"/>
        <v>0</v>
      </c>
      <c r="CB94" s="5">
        <f t="shared" si="187"/>
        <v>0</v>
      </c>
      <c r="CC94" s="5">
        <f t="shared" si="188"/>
        <v>0</v>
      </c>
      <c r="CD94" s="5">
        <f t="shared" si="189"/>
        <v>0</v>
      </c>
      <c r="CE94" s="5">
        <f t="shared" si="190"/>
        <v>0</v>
      </c>
      <c r="CF94" s="5">
        <f t="shared" si="191"/>
        <v>0</v>
      </c>
      <c r="CG94" s="5">
        <f t="shared" si="192"/>
        <v>0</v>
      </c>
      <c r="CH94" s="5">
        <f t="shared" si="193"/>
        <v>0</v>
      </c>
      <c r="CI94" s="5">
        <f t="shared" si="194"/>
        <v>0</v>
      </c>
      <c r="CJ94" s="5"/>
      <c r="CK94" s="4">
        <f t="shared" si="159"/>
        <v>0</v>
      </c>
    </row>
    <row r="95" spans="1:89" ht="47" customHeight="1">
      <c r="A95" s="33" t="str">
        <f t="shared" si="158"/>
        <v/>
      </c>
      <c r="B95" s="10"/>
      <c r="C95" s="57"/>
      <c r="D95" s="55"/>
      <c r="E95" s="53"/>
      <c r="F95" s="44">
        <f t="shared" si="195"/>
        <v>0</v>
      </c>
      <c r="G95" s="53"/>
      <c r="H95" s="55"/>
      <c r="I95" s="44">
        <f t="shared" si="196"/>
        <v>0</v>
      </c>
      <c r="J95" s="55"/>
      <c r="K95" s="55"/>
      <c r="L95" s="44">
        <f t="shared" si="197"/>
        <v>0</v>
      </c>
      <c r="M95" s="53"/>
      <c r="N95" s="53"/>
      <c r="O95" s="44">
        <f t="shared" si="198"/>
        <v>0</v>
      </c>
      <c r="P95" s="55"/>
      <c r="Q95" s="55"/>
      <c r="R95" s="44">
        <f t="shared" si="199"/>
        <v>0</v>
      </c>
      <c r="S95" s="55"/>
      <c r="T95" s="55"/>
      <c r="U95" s="44">
        <f t="shared" si="200"/>
        <v>0</v>
      </c>
      <c r="V95" s="53"/>
      <c r="W95" s="55"/>
      <c r="X95" s="44">
        <f t="shared" si="201"/>
        <v>0</v>
      </c>
      <c r="Y95" s="44"/>
      <c r="Z95" s="44"/>
      <c r="AA95" s="44"/>
      <c r="AB95" s="63">
        <f t="shared" si="202"/>
        <v>0</v>
      </c>
      <c r="AC95" s="23"/>
      <c r="AD95" s="6"/>
      <c r="AE95" s="7">
        <f t="shared" si="203"/>
        <v>0</v>
      </c>
      <c r="AF95" s="6"/>
      <c r="AG95" s="7">
        <f t="shared" si="204"/>
        <v>0</v>
      </c>
      <c r="AH95" s="6"/>
      <c r="AI95" s="7">
        <f t="shared" si="205"/>
        <v>0</v>
      </c>
      <c r="AJ95" s="6"/>
      <c r="AK95" s="7">
        <f t="shared" si="206"/>
        <v>0</v>
      </c>
      <c r="AL95" s="43"/>
      <c r="AM95" s="7">
        <f t="shared" si="207"/>
        <v>0</v>
      </c>
      <c r="AN95" s="6"/>
      <c r="AO95" s="7">
        <f t="shared" si="208"/>
        <v>0</v>
      </c>
      <c r="AP95" s="30">
        <f t="shared" si="209"/>
        <v>0</v>
      </c>
      <c r="AQ95" s="6"/>
      <c r="AR95" s="6"/>
      <c r="AS95" s="6"/>
      <c r="AT95" s="63">
        <f t="shared" si="210"/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60"/>
        <v>0</v>
      </c>
      <c r="BB95" s="5">
        <f t="shared" si="161"/>
        <v>0</v>
      </c>
      <c r="BC95" s="5">
        <f t="shared" si="162"/>
        <v>0</v>
      </c>
      <c r="BD95" s="5">
        <f t="shared" si="163"/>
        <v>0</v>
      </c>
      <c r="BE95" s="5">
        <f t="shared" si="164"/>
        <v>0</v>
      </c>
      <c r="BF95" s="5">
        <f t="shared" si="165"/>
        <v>0</v>
      </c>
      <c r="BG95" s="5">
        <f t="shared" si="166"/>
        <v>0</v>
      </c>
      <c r="BH95" s="5">
        <f t="shared" si="167"/>
        <v>0</v>
      </c>
      <c r="BI95" s="5">
        <f t="shared" si="168"/>
        <v>0</v>
      </c>
      <c r="BJ95" s="5">
        <f t="shared" si="169"/>
        <v>0</v>
      </c>
      <c r="BK95" s="5">
        <f t="shared" si="170"/>
        <v>0</v>
      </c>
      <c r="BL95" s="5">
        <f t="shared" si="171"/>
        <v>0</v>
      </c>
      <c r="BM95" s="5">
        <f t="shared" si="172"/>
        <v>0</v>
      </c>
      <c r="BN95" s="5">
        <f t="shared" si="173"/>
        <v>0</v>
      </c>
      <c r="BO95" s="5">
        <f t="shared" si="174"/>
        <v>0</v>
      </c>
      <c r="BP95" s="5">
        <f t="shared" si="175"/>
        <v>0</v>
      </c>
      <c r="BQ95" s="5">
        <f t="shared" si="176"/>
        <v>0</v>
      </c>
      <c r="BR95" s="5">
        <f t="shared" si="177"/>
        <v>0</v>
      </c>
      <c r="BS95" s="5">
        <f t="shared" si="178"/>
        <v>0</v>
      </c>
      <c r="BT95" s="5">
        <f t="shared" si="179"/>
        <v>0</v>
      </c>
      <c r="BU95" s="5">
        <f t="shared" si="180"/>
        <v>0</v>
      </c>
      <c r="BV95" s="5">
        <f t="shared" si="181"/>
        <v>0</v>
      </c>
      <c r="BW95" s="5">
        <f t="shared" si="182"/>
        <v>0</v>
      </c>
      <c r="BX95" s="5">
        <f t="shared" si="183"/>
        <v>0</v>
      </c>
      <c r="BY95" s="5">
        <f t="shared" si="184"/>
        <v>0</v>
      </c>
      <c r="BZ95" s="5">
        <f t="shared" si="185"/>
        <v>0</v>
      </c>
      <c r="CA95" s="5">
        <f t="shared" si="186"/>
        <v>0</v>
      </c>
      <c r="CB95" s="5">
        <f t="shared" si="187"/>
        <v>0</v>
      </c>
      <c r="CC95" s="5">
        <f t="shared" si="188"/>
        <v>0</v>
      </c>
      <c r="CD95" s="5">
        <f t="shared" si="189"/>
        <v>0</v>
      </c>
      <c r="CE95" s="5">
        <f t="shared" si="190"/>
        <v>0</v>
      </c>
      <c r="CF95" s="5">
        <f t="shared" si="191"/>
        <v>0</v>
      </c>
      <c r="CG95" s="5">
        <f t="shared" si="192"/>
        <v>0</v>
      </c>
      <c r="CH95" s="5">
        <f t="shared" si="193"/>
        <v>0</v>
      </c>
      <c r="CI95" s="5">
        <f t="shared" si="194"/>
        <v>0</v>
      </c>
      <c r="CJ95" s="5"/>
      <c r="CK95" s="4">
        <f t="shared" si="159"/>
        <v>0</v>
      </c>
    </row>
    <row r="96" spans="1:89" ht="47" customHeight="1">
      <c r="A96" s="33" t="str">
        <f t="shared" si="158"/>
        <v/>
      </c>
      <c r="B96" s="10"/>
      <c r="C96" s="57"/>
      <c r="D96" s="55"/>
      <c r="E96" s="53"/>
      <c r="F96" s="44">
        <f t="shared" si="195"/>
        <v>0</v>
      </c>
      <c r="G96" s="53"/>
      <c r="H96" s="55"/>
      <c r="I96" s="44">
        <f t="shared" si="196"/>
        <v>0</v>
      </c>
      <c r="J96" s="55"/>
      <c r="K96" s="55"/>
      <c r="L96" s="44">
        <f t="shared" si="197"/>
        <v>0</v>
      </c>
      <c r="M96" s="53"/>
      <c r="N96" s="53"/>
      <c r="O96" s="44">
        <f t="shared" si="198"/>
        <v>0</v>
      </c>
      <c r="P96" s="55"/>
      <c r="Q96" s="55"/>
      <c r="R96" s="44">
        <f t="shared" si="199"/>
        <v>0</v>
      </c>
      <c r="S96" s="55"/>
      <c r="T96" s="55"/>
      <c r="U96" s="44">
        <f t="shared" si="200"/>
        <v>0</v>
      </c>
      <c r="V96" s="53"/>
      <c r="W96" s="55"/>
      <c r="X96" s="44">
        <f t="shared" si="201"/>
        <v>0</v>
      </c>
      <c r="Y96" s="44"/>
      <c r="Z96" s="44"/>
      <c r="AA96" s="44"/>
      <c r="AB96" s="63">
        <f t="shared" si="202"/>
        <v>0</v>
      </c>
      <c r="AC96" s="23"/>
      <c r="AD96" s="6"/>
      <c r="AE96" s="7">
        <f t="shared" si="203"/>
        <v>0</v>
      </c>
      <c r="AF96" s="6"/>
      <c r="AG96" s="7">
        <f t="shared" si="204"/>
        <v>0</v>
      </c>
      <c r="AH96" s="6"/>
      <c r="AI96" s="7">
        <f t="shared" si="205"/>
        <v>0</v>
      </c>
      <c r="AJ96" s="6"/>
      <c r="AK96" s="7">
        <f t="shared" si="206"/>
        <v>0</v>
      </c>
      <c r="AL96" s="43"/>
      <c r="AM96" s="7">
        <f t="shared" si="207"/>
        <v>0</v>
      </c>
      <c r="AN96" s="6"/>
      <c r="AO96" s="7">
        <f t="shared" si="208"/>
        <v>0</v>
      </c>
      <c r="AP96" s="30">
        <f t="shared" si="209"/>
        <v>0</v>
      </c>
      <c r="AQ96" s="6"/>
      <c r="AR96" s="6"/>
      <c r="AS96" s="6"/>
      <c r="AT96" s="63">
        <f t="shared" si="210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60"/>
        <v>0</v>
      </c>
      <c r="BB96" s="5">
        <f t="shared" si="161"/>
        <v>0</v>
      </c>
      <c r="BC96" s="5">
        <f t="shared" si="162"/>
        <v>0</v>
      </c>
      <c r="BD96" s="5">
        <f t="shared" si="163"/>
        <v>0</v>
      </c>
      <c r="BE96" s="5">
        <f t="shared" si="164"/>
        <v>0</v>
      </c>
      <c r="BF96" s="5">
        <f t="shared" si="165"/>
        <v>0</v>
      </c>
      <c r="BG96" s="5">
        <f t="shared" si="166"/>
        <v>0</v>
      </c>
      <c r="BH96" s="5">
        <f t="shared" si="167"/>
        <v>0</v>
      </c>
      <c r="BI96" s="5">
        <f t="shared" si="168"/>
        <v>0</v>
      </c>
      <c r="BJ96" s="5">
        <f t="shared" si="169"/>
        <v>0</v>
      </c>
      <c r="BK96" s="5">
        <f t="shared" si="170"/>
        <v>0</v>
      </c>
      <c r="BL96" s="5">
        <f t="shared" si="171"/>
        <v>0</v>
      </c>
      <c r="BM96" s="5">
        <f t="shared" si="172"/>
        <v>0</v>
      </c>
      <c r="BN96" s="5">
        <f t="shared" si="173"/>
        <v>0</v>
      </c>
      <c r="BO96" s="5">
        <f t="shared" si="174"/>
        <v>0</v>
      </c>
      <c r="BP96" s="5">
        <f t="shared" si="175"/>
        <v>0</v>
      </c>
      <c r="BQ96" s="5">
        <f t="shared" si="176"/>
        <v>0</v>
      </c>
      <c r="BR96" s="5">
        <f t="shared" si="177"/>
        <v>0</v>
      </c>
      <c r="BS96" s="5">
        <f t="shared" si="178"/>
        <v>0</v>
      </c>
      <c r="BT96" s="5">
        <f t="shared" si="179"/>
        <v>0</v>
      </c>
      <c r="BU96" s="5">
        <f t="shared" si="180"/>
        <v>0</v>
      </c>
      <c r="BV96" s="5">
        <f t="shared" si="181"/>
        <v>0</v>
      </c>
      <c r="BW96" s="5">
        <f t="shared" si="182"/>
        <v>0</v>
      </c>
      <c r="BX96" s="5">
        <f t="shared" si="183"/>
        <v>0</v>
      </c>
      <c r="BY96" s="5">
        <f t="shared" si="184"/>
        <v>0</v>
      </c>
      <c r="BZ96" s="5">
        <f t="shared" si="185"/>
        <v>0</v>
      </c>
      <c r="CA96" s="5">
        <f t="shared" si="186"/>
        <v>0</v>
      </c>
      <c r="CB96" s="5">
        <f t="shared" si="187"/>
        <v>0</v>
      </c>
      <c r="CC96" s="5">
        <f t="shared" si="188"/>
        <v>0</v>
      </c>
      <c r="CD96" s="5">
        <f t="shared" si="189"/>
        <v>0</v>
      </c>
      <c r="CE96" s="5">
        <f t="shared" si="190"/>
        <v>0</v>
      </c>
      <c r="CF96" s="5">
        <f t="shared" si="191"/>
        <v>0</v>
      </c>
      <c r="CG96" s="5">
        <f t="shared" si="192"/>
        <v>0</v>
      </c>
      <c r="CH96" s="5">
        <f t="shared" si="193"/>
        <v>0</v>
      </c>
      <c r="CI96" s="5">
        <f t="shared" si="194"/>
        <v>0</v>
      </c>
      <c r="CJ96" s="5"/>
      <c r="CK96" s="4">
        <f t="shared" si="159"/>
        <v>0</v>
      </c>
    </row>
    <row r="97" spans="1:89" ht="47" customHeight="1">
      <c r="A97" s="33" t="str">
        <f t="shared" si="158"/>
        <v/>
      </c>
      <c r="B97" s="10"/>
      <c r="C97" s="57"/>
      <c r="D97" s="55"/>
      <c r="E97" s="53"/>
      <c r="F97" s="44">
        <f t="shared" si="195"/>
        <v>0</v>
      </c>
      <c r="G97" s="53"/>
      <c r="H97" s="55"/>
      <c r="I97" s="44">
        <f t="shared" si="196"/>
        <v>0</v>
      </c>
      <c r="J97" s="55"/>
      <c r="K97" s="55"/>
      <c r="L97" s="44">
        <f t="shared" si="197"/>
        <v>0</v>
      </c>
      <c r="M97" s="53"/>
      <c r="N97" s="53"/>
      <c r="O97" s="44">
        <f t="shared" si="198"/>
        <v>0</v>
      </c>
      <c r="P97" s="55"/>
      <c r="Q97" s="55"/>
      <c r="R97" s="44">
        <f t="shared" si="199"/>
        <v>0</v>
      </c>
      <c r="S97" s="55"/>
      <c r="T97" s="55"/>
      <c r="U97" s="44">
        <f t="shared" si="200"/>
        <v>0</v>
      </c>
      <c r="V97" s="53"/>
      <c r="W97" s="55"/>
      <c r="X97" s="44">
        <f t="shared" si="201"/>
        <v>0</v>
      </c>
      <c r="Y97" s="44"/>
      <c r="Z97" s="44"/>
      <c r="AA97" s="44"/>
      <c r="AB97" s="63">
        <f t="shared" si="202"/>
        <v>0</v>
      </c>
      <c r="AC97" s="23"/>
      <c r="AD97" s="6"/>
      <c r="AE97" s="7">
        <f t="shared" si="203"/>
        <v>0</v>
      </c>
      <c r="AF97" s="6"/>
      <c r="AG97" s="7">
        <f t="shared" si="204"/>
        <v>0</v>
      </c>
      <c r="AH97" s="6"/>
      <c r="AI97" s="7">
        <f t="shared" si="205"/>
        <v>0</v>
      </c>
      <c r="AJ97" s="6"/>
      <c r="AK97" s="7">
        <f t="shared" si="206"/>
        <v>0</v>
      </c>
      <c r="AL97" s="43"/>
      <c r="AM97" s="7">
        <f t="shared" si="207"/>
        <v>0</v>
      </c>
      <c r="AN97" s="6"/>
      <c r="AO97" s="7">
        <f t="shared" si="208"/>
        <v>0</v>
      </c>
      <c r="AP97" s="30">
        <f t="shared" si="209"/>
        <v>0</v>
      </c>
      <c r="AQ97" s="6"/>
      <c r="AR97" s="6"/>
      <c r="AS97" s="6"/>
      <c r="AT97" s="63">
        <f t="shared" si="210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60"/>
        <v>0</v>
      </c>
      <c r="BB97" s="5">
        <f t="shared" si="161"/>
        <v>0</v>
      </c>
      <c r="BC97" s="5">
        <f t="shared" si="162"/>
        <v>0</v>
      </c>
      <c r="BD97" s="5">
        <f t="shared" si="163"/>
        <v>0</v>
      </c>
      <c r="BE97" s="5">
        <f t="shared" si="164"/>
        <v>0</v>
      </c>
      <c r="BF97" s="5">
        <f t="shared" si="165"/>
        <v>0</v>
      </c>
      <c r="BG97" s="5">
        <f t="shared" si="166"/>
        <v>0</v>
      </c>
      <c r="BH97" s="5">
        <f t="shared" si="167"/>
        <v>0</v>
      </c>
      <c r="BI97" s="5">
        <f t="shared" si="168"/>
        <v>0</v>
      </c>
      <c r="BJ97" s="5">
        <f t="shared" si="169"/>
        <v>0</v>
      </c>
      <c r="BK97" s="5">
        <f t="shared" si="170"/>
        <v>0</v>
      </c>
      <c r="BL97" s="5">
        <f t="shared" si="171"/>
        <v>0</v>
      </c>
      <c r="BM97" s="5">
        <f t="shared" si="172"/>
        <v>0</v>
      </c>
      <c r="BN97" s="5">
        <f t="shared" si="173"/>
        <v>0</v>
      </c>
      <c r="BO97" s="5">
        <f t="shared" si="174"/>
        <v>0</v>
      </c>
      <c r="BP97" s="5">
        <f t="shared" si="175"/>
        <v>0</v>
      </c>
      <c r="BQ97" s="5">
        <f t="shared" si="176"/>
        <v>0</v>
      </c>
      <c r="BR97" s="5">
        <f t="shared" si="177"/>
        <v>0</v>
      </c>
      <c r="BS97" s="5">
        <f t="shared" si="178"/>
        <v>0</v>
      </c>
      <c r="BT97" s="5">
        <f t="shared" si="179"/>
        <v>0</v>
      </c>
      <c r="BU97" s="5">
        <f t="shared" si="180"/>
        <v>0</v>
      </c>
      <c r="BV97" s="5">
        <f t="shared" si="181"/>
        <v>0</v>
      </c>
      <c r="BW97" s="5">
        <f t="shared" si="182"/>
        <v>0</v>
      </c>
      <c r="BX97" s="5">
        <f t="shared" si="183"/>
        <v>0</v>
      </c>
      <c r="BY97" s="5">
        <f t="shared" si="184"/>
        <v>0</v>
      </c>
      <c r="BZ97" s="5">
        <f t="shared" si="185"/>
        <v>0</v>
      </c>
      <c r="CA97" s="5">
        <f t="shared" si="186"/>
        <v>0</v>
      </c>
      <c r="CB97" s="5">
        <f t="shared" si="187"/>
        <v>0</v>
      </c>
      <c r="CC97" s="5">
        <f t="shared" si="188"/>
        <v>0</v>
      </c>
      <c r="CD97" s="5">
        <f t="shared" si="189"/>
        <v>0</v>
      </c>
      <c r="CE97" s="5">
        <f t="shared" si="190"/>
        <v>0</v>
      </c>
      <c r="CF97" s="5">
        <f t="shared" si="191"/>
        <v>0</v>
      </c>
      <c r="CG97" s="5">
        <f t="shared" si="192"/>
        <v>0</v>
      </c>
      <c r="CH97" s="5">
        <f t="shared" si="193"/>
        <v>0</v>
      </c>
      <c r="CI97" s="5">
        <f t="shared" si="194"/>
        <v>0</v>
      </c>
      <c r="CJ97" s="5"/>
      <c r="CK97" s="4">
        <f t="shared" si="159"/>
        <v>0</v>
      </c>
    </row>
    <row r="98" spans="1:89" ht="47" customHeight="1">
      <c r="A98" s="33" t="str">
        <f t="shared" si="158"/>
        <v/>
      </c>
      <c r="B98" s="10"/>
      <c r="C98" s="57"/>
      <c r="D98" s="55"/>
      <c r="E98" s="53"/>
      <c r="F98" s="44">
        <f t="shared" si="195"/>
        <v>0</v>
      </c>
      <c r="G98" s="53"/>
      <c r="H98" s="55"/>
      <c r="I98" s="44">
        <f t="shared" si="196"/>
        <v>0</v>
      </c>
      <c r="J98" s="55"/>
      <c r="K98" s="55"/>
      <c r="L98" s="44">
        <f t="shared" si="197"/>
        <v>0</v>
      </c>
      <c r="M98" s="53"/>
      <c r="N98" s="53"/>
      <c r="O98" s="44">
        <f t="shared" si="198"/>
        <v>0</v>
      </c>
      <c r="P98" s="55"/>
      <c r="Q98" s="55"/>
      <c r="R98" s="44">
        <f t="shared" si="199"/>
        <v>0</v>
      </c>
      <c r="S98" s="55"/>
      <c r="T98" s="55"/>
      <c r="U98" s="44">
        <f t="shared" si="200"/>
        <v>0</v>
      </c>
      <c r="V98" s="53"/>
      <c r="W98" s="55"/>
      <c r="X98" s="44">
        <f t="shared" si="201"/>
        <v>0</v>
      </c>
      <c r="Y98" s="44"/>
      <c r="Z98" s="44"/>
      <c r="AA98" s="44"/>
      <c r="AB98" s="63">
        <f t="shared" si="202"/>
        <v>0</v>
      </c>
      <c r="AC98" s="23"/>
      <c r="AD98" s="6"/>
      <c r="AE98" s="7">
        <f t="shared" si="203"/>
        <v>0</v>
      </c>
      <c r="AF98" s="6"/>
      <c r="AG98" s="7">
        <f t="shared" si="204"/>
        <v>0</v>
      </c>
      <c r="AH98" s="6"/>
      <c r="AI98" s="7">
        <f t="shared" si="205"/>
        <v>0</v>
      </c>
      <c r="AJ98" s="6"/>
      <c r="AK98" s="7">
        <f t="shared" si="206"/>
        <v>0</v>
      </c>
      <c r="AL98" s="43"/>
      <c r="AM98" s="7">
        <f t="shared" si="207"/>
        <v>0</v>
      </c>
      <c r="AN98" s="6"/>
      <c r="AO98" s="7">
        <f t="shared" si="208"/>
        <v>0</v>
      </c>
      <c r="AP98" s="30">
        <f t="shared" si="209"/>
        <v>0</v>
      </c>
      <c r="AQ98" s="6"/>
      <c r="AR98" s="6"/>
      <c r="AS98" s="6"/>
      <c r="AT98" s="63">
        <f t="shared" si="210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60"/>
        <v>0</v>
      </c>
      <c r="BB98" s="5">
        <f t="shared" si="161"/>
        <v>0</v>
      </c>
      <c r="BC98" s="5">
        <f t="shared" si="162"/>
        <v>0</v>
      </c>
      <c r="BD98" s="5">
        <f t="shared" si="163"/>
        <v>0</v>
      </c>
      <c r="BE98" s="5">
        <f t="shared" si="164"/>
        <v>0</v>
      </c>
      <c r="BF98" s="5">
        <f t="shared" si="165"/>
        <v>0</v>
      </c>
      <c r="BG98" s="5">
        <f t="shared" si="166"/>
        <v>0</v>
      </c>
      <c r="BH98" s="5">
        <f t="shared" si="167"/>
        <v>0</v>
      </c>
      <c r="BI98" s="5">
        <f t="shared" si="168"/>
        <v>0</v>
      </c>
      <c r="BJ98" s="5">
        <f t="shared" si="169"/>
        <v>0</v>
      </c>
      <c r="BK98" s="5">
        <f t="shared" si="170"/>
        <v>0</v>
      </c>
      <c r="BL98" s="5">
        <f t="shared" si="171"/>
        <v>0</v>
      </c>
      <c r="BM98" s="5">
        <f t="shared" si="172"/>
        <v>0</v>
      </c>
      <c r="BN98" s="5">
        <f t="shared" si="173"/>
        <v>0</v>
      </c>
      <c r="BO98" s="5">
        <f t="shared" si="174"/>
        <v>0</v>
      </c>
      <c r="BP98" s="5">
        <f t="shared" si="175"/>
        <v>0</v>
      </c>
      <c r="BQ98" s="5">
        <f t="shared" si="176"/>
        <v>0</v>
      </c>
      <c r="BR98" s="5">
        <f t="shared" si="177"/>
        <v>0</v>
      </c>
      <c r="BS98" s="5">
        <f t="shared" si="178"/>
        <v>0</v>
      </c>
      <c r="BT98" s="5">
        <f t="shared" si="179"/>
        <v>0</v>
      </c>
      <c r="BU98" s="5">
        <f t="shared" si="180"/>
        <v>0</v>
      </c>
      <c r="BV98" s="5">
        <f t="shared" si="181"/>
        <v>0</v>
      </c>
      <c r="BW98" s="5">
        <f t="shared" si="182"/>
        <v>0</v>
      </c>
      <c r="BX98" s="5">
        <f t="shared" si="183"/>
        <v>0</v>
      </c>
      <c r="BY98" s="5">
        <f t="shared" si="184"/>
        <v>0</v>
      </c>
      <c r="BZ98" s="5">
        <f t="shared" si="185"/>
        <v>0</v>
      </c>
      <c r="CA98" s="5">
        <f t="shared" si="186"/>
        <v>0</v>
      </c>
      <c r="CB98" s="5">
        <f t="shared" si="187"/>
        <v>0</v>
      </c>
      <c r="CC98" s="5">
        <f t="shared" si="188"/>
        <v>0</v>
      </c>
      <c r="CD98" s="5">
        <f t="shared" si="189"/>
        <v>0</v>
      </c>
      <c r="CE98" s="5">
        <f t="shared" si="190"/>
        <v>0</v>
      </c>
      <c r="CF98" s="5">
        <f t="shared" si="191"/>
        <v>0</v>
      </c>
      <c r="CG98" s="5">
        <f t="shared" si="192"/>
        <v>0</v>
      </c>
      <c r="CH98" s="5">
        <f t="shared" si="193"/>
        <v>0</v>
      </c>
      <c r="CI98" s="5">
        <f t="shared" si="194"/>
        <v>0</v>
      </c>
      <c r="CJ98" s="5"/>
      <c r="CK98" s="4">
        <f t="shared" si="159"/>
        <v>0</v>
      </c>
    </row>
    <row r="99" spans="1:89" ht="47" customHeight="1">
      <c r="A99" s="33" t="str">
        <f t="shared" si="158"/>
        <v/>
      </c>
      <c r="B99" s="10"/>
      <c r="C99" s="57"/>
      <c r="D99" s="55"/>
      <c r="E99" s="53"/>
      <c r="F99" s="44">
        <f t="shared" si="195"/>
        <v>0</v>
      </c>
      <c r="G99" s="53"/>
      <c r="H99" s="55"/>
      <c r="I99" s="44">
        <f t="shared" si="196"/>
        <v>0</v>
      </c>
      <c r="J99" s="53"/>
      <c r="K99" s="55"/>
      <c r="L99" s="44">
        <f t="shared" si="197"/>
        <v>0</v>
      </c>
      <c r="M99" s="53"/>
      <c r="N99" s="55"/>
      <c r="O99" s="44">
        <f t="shared" si="198"/>
        <v>0</v>
      </c>
      <c r="P99" s="55"/>
      <c r="Q99" s="55"/>
      <c r="R99" s="44">
        <f t="shared" si="199"/>
        <v>0</v>
      </c>
      <c r="S99" s="55"/>
      <c r="T99" s="55"/>
      <c r="U99" s="44">
        <f t="shared" si="200"/>
        <v>0</v>
      </c>
      <c r="V99" s="53"/>
      <c r="W99" s="55"/>
      <c r="X99" s="44">
        <f t="shared" si="201"/>
        <v>0</v>
      </c>
      <c r="Y99" s="44"/>
      <c r="Z99" s="44"/>
      <c r="AA99" s="44"/>
      <c r="AB99" s="63">
        <f t="shared" ref="AB99:AB100" si="211">SUM(F99,I99,L99,O99,R99,U99,X99)</f>
        <v>0</v>
      </c>
      <c r="AC99" s="23"/>
      <c r="AD99" s="6"/>
      <c r="AE99" s="7">
        <f t="shared" si="203"/>
        <v>0</v>
      </c>
      <c r="AF99" s="6"/>
      <c r="AG99" s="7">
        <f t="shared" si="204"/>
        <v>0</v>
      </c>
      <c r="AH99" s="6"/>
      <c r="AI99" s="7">
        <f t="shared" si="205"/>
        <v>0</v>
      </c>
      <c r="AJ99" s="6"/>
      <c r="AK99" s="7">
        <f t="shared" si="206"/>
        <v>0</v>
      </c>
      <c r="AL99" s="43"/>
      <c r="AM99" s="7">
        <f t="shared" si="207"/>
        <v>0</v>
      </c>
      <c r="AN99" s="6"/>
      <c r="AO99" s="7">
        <f t="shared" si="208"/>
        <v>0</v>
      </c>
      <c r="AP99" s="30">
        <f t="shared" si="209"/>
        <v>0</v>
      </c>
      <c r="AQ99" s="6"/>
      <c r="AR99" s="6"/>
      <c r="AS99" s="6"/>
      <c r="AT99" s="63">
        <f t="shared" ref="AT99:AT100" si="212">AE99+AG99+AI99+AK99+AM99+AO99+SUM(AQ99:AS99)</f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60"/>
        <v>0</v>
      </c>
      <c r="BB99" s="5">
        <f t="shared" si="161"/>
        <v>0</v>
      </c>
      <c r="BC99" s="5">
        <f t="shared" si="162"/>
        <v>0</v>
      </c>
      <c r="BD99" s="5">
        <f t="shared" si="163"/>
        <v>0</v>
      </c>
      <c r="BE99" s="5">
        <f t="shared" si="164"/>
        <v>0</v>
      </c>
      <c r="BF99" s="5">
        <f t="shared" si="165"/>
        <v>0</v>
      </c>
      <c r="BG99" s="5">
        <f t="shared" si="166"/>
        <v>0</v>
      </c>
      <c r="BH99" s="5">
        <f t="shared" si="167"/>
        <v>0</v>
      </c>
      <c r="BI99" s="5">
        <f t="shared" si="168"/>
        <v>0</v>
      </c>
      <c r="BJ99" s="5">
        <f t="shared" si="169"/>
        <v>0</v>
      </c>
      <c r="BK99" s="5">
        <f t="shared" si="170"/>
        <v>0</v>
      </c>
      <c r="BL99" s="5">
        <f t="shared" si="171"/>
        <v>0</v>
      </c>
      <c r="BM99" s="5">
        <f t="shared" si="172"/>
        <v>0</v>
      </c>
      <c r="BN99" s="5">
        <f t="shared" si="173"/>
        <v>0</v>
      </c>
      <c r="BO99" s="5">
        <f t="shared" si="174"/>
        <v>0</v>
      </c>
      <c r="BP99" s="5">
        <f t="shared" si="175"/>
        <v>0</v>
      </c>
      <c r="BQ99" s="5">
        <f t="shared" si="176"/>
        <v>0</v>
      </c>
      <c r="BR99" s="5">
        <f t="shared" si="177"/>
        <v>0</v>
      </c>
      <c r="BS99" s="5">
        <f t="shared" si="178"/>
        <v>0</v>
      </c>
      <c r="BT99" s="5">
        <f t="shared" si="179"/>
        <v>0</v>
      </c>
      <c r="BU99" s="5">
        <f t="shared" si="180"/>
        <v>0</v>
      </c>
      <c r="BV99" s="5">
        <f t="shared" si="181"/>
        <v>0</v>
      </c>
      <c r="BW99" s="5">
        <f t="shared" si="182"/>
        <v>0</v>
      </c>
      <c r="BX99" s="5">
        <f t="shared" si="183"/>
        <v>0</v>
      </c>
      <c r="BY99" s="5">
        <f t="shared" si="184"/>
        <v>0</v>
      </c>
      <c r="BZ99" s="5">
        <f t="shared" si="185"/>
        <v>0</v>
      </c>
      <c r="CA99" s="5">
        <f t="shared" si="186"/>
        <v>0</v>
      </c>
      <c r="CB99" s="5">
        <f t="shared" si="187"/>
        <v>0</v>
      </c>
      <c r="CC99" s="5">
        <f t="shared" si="188"/>
        <v>0</v>
      </c>
      <c r="CD99" s="5">
        <f t="shared" si="189"/>
        <v>0</v>
      </c>
      <c r="CE99" s="5">
        <f t="shared" si="190"/>
        <v>0</v>
      </c>
      <c r="CF99" s="5">
        <f t="shared" si="191"/>
        <v>0</v>
      </c>
      <c r="CG99" s="5">
        <f t="shared" si="192"/>
        <v>0</v>
      </c>
      <c r="CH99" s="5">
        <f t="shared" si="193"/>
        <v>0</v>
      </c>
      <c r="CI99" s="5">
        <f t="shared" si="194"/>
        <v>0</v>
      </c>
      <c r="CJ99" s="5"/>
      <c r="CK99" s="4">
        <f t="shared" si="159"/>
        <v>0</v>
      </c>
    </row>
    <row r="100" spans="1:89" ht="47" customHeight="1">
      <c r="A100" s="33" t="str">
        <f t="shared" si="158"/>
        <v/>
      </c>
      <c r="B100" s="10"/>
      <c r="C100" s="57"/>
      <c r="D100" s="55"/>
      <c r="E100" s="53"/>
      <c r="F100" s="44">
        <f t="shared" si="195"/>
        <v>0</v>
      </c>
      <c r="G100" s="53"/>
      <c r="H100" s="55"/>
      <c r="I100" s="44">
        <f t="shared" si="196"/>
        <v>0</v>
      </c>
      <c r="J100" s="55"/>
      <c r="K100" s="55"/>
      <c r="L100" s="44">
        <f t="shared" si="197"/>
        <v>0</v>
      </c>
      <c r="M100" s="53"/>
      <c r="N100" s="53"/>
      <c r="O100" s="44">
        <f t="shared" si="198"/>
        <v>0</v>
      </c>
      <c r="P100" s="55"/>
      <c r="Q100" s="55"/>
      <c r="R100" s="44">
        <f t="shared" si="199"/>
        <v>0</v>
      </c>
      <c r="S100" s="55"/>
      <c r="T100" s="55"/>
      <c r="U100" s="44">
        <f t="shared" si="200"/>
        <v>0</v>
      </c>
      <c r="V100" s="53"/>
      <c r="W100" s="55"/>
      <c r="X100" s="44">
        <f t="shared" si="201"/>
        <v>0</v>
      </c>
      <c r="Y100" s="44"/>
      <c r="Z100" s="44"/>
      <c r="AA100" s="44"/>
      <c r="AB100" s="63">
        <f t="shared" si="211"/>
        <v>0</v>
      </c>
      <c r="AC100" s="23"/>
      <c r="AD100" s="6"/>
      <c r="AE100" s="7">
        <f t="shared" si="203"/>
        <v>0</v>
      </c>
      <c r="AF100" s="6"/>
      <c r="AG100" s="7">
        <f t="shared" si="204"/>
        <v>0</v>
      </c>
      <c r="AH100" s="6"/>
      <c r="AI100" s="7">
        <f t="shared" si="205"/>
        <v>0</v>
      </c>
      <c r="AJ100" s="6"/>
      <c r="AK100" s="7">
        <f t="shared" si="206"/>
        <v>0</v>
      </c>
      <c r="AL100" s="43"/>
      <c r="AM100" s="7">
        <f t="shared" si="207"/>
        <v>0</v>
      </c>
      <c r="AN100" s="6"/>
      <c r="AO100" s="7">
        <f t="shared" si="208"/>
        <v>0</v>
      </c>
      <c r="AP100" s="30">
        <f t="shared" si="209"/>
        <v>0</v>
      </c>
      <c r="AQ100" s="6"/>
      <c r="AR100" s="6"/>
      <c r="AS100" s="6"/>
      <c r="AT100" s="63">
        <f t="shared" si="212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60"/>
        <v>0</v>
      </c>
      <c r="BB100" s="5">
        <f t="shared" si="161"/>
        <v>0</v>
      </c>
      <c r="BC100" s="5">
        <f t="shared" si="162"/>
        <v>0</v>
      </c>
      <c r="BD100" s="5">
        <f t="shared" si="163"/>
        <v>0</v>
      </c>
      <c r="BE100" s="5">
        <f t="shared" si="164"/>
        <v>0</v>
      </c>
      <c r="BF100" s="5">
        <f t="shared" si="165"/>
        <v>0</v>
      </c>
      <c r="BG100" s="5">
        <f t="shared" si="166"/>
        <v>0</v>
      </c>
      <c r="BH100" s="5">
        <f t="shared" si="167"/>
        <v>0</v>
      </c>
      <c r="BI100" s="5">
        <f t="shared" si="168"/>
        <v>0</v>
      </c>
      <c r="BJ100" s="5">
        <f t="shared" si="169"/>
        <v>0</v>
      </c>
      <c r="BK100" s="5">
        <f t="shared" si="170"/>
        <v>0</v>
      </c>
      <c r="BL100" s="5">
        <f t="shared" si="171"/>
        <v>0</v>
      </c>
      <c r="BM100" s="5">
        <f t="shared" si="172"/>
        <v>0</v>
      </c>
      <c r="BN100" s="5">
        <f t="shared" si="173"/>
        <v>0</v>
      </c>
      <c r="BO100" s="5">
        <f t="shared" si="174"/>
        <v>0</v>
      </c>
      <c r="BP100" s="5">
        <f t="shared" si="175"/>
        <v>0</v>
      </c>
      <c r="BQ100" s="5">
        <f t="shared" si="176"/>
        <v>0</v>
      </c>
      <c r="BR100" s="5">
        <f t="shared" si="177"/>
        <v>0</v>
      </c>
      <c r="BS100" s="5">
        <f t="shared" si="178"/>
        <v>0</v>
      </c>
      <c r="BT100" s="5">
        <f t="shared" si="179"/>
        <v>0</v>
      </c>
      <c r="BU100" s="5">
        <f t="shared" si="180"/>
        <v>0</v>
      </c>
      <c r="BV100" s="5">
        <f t="shared" si="181"/>
        <v>0</v>
      </c>
      <c r="BW100" s="5">
        <f t="shared" si="182"/>
        <v>0</v>
      </c>
      <c r="BX100" s="5">
        <f t="shared" si="183"/>
        <v>0</v>
      </c>
      <c r="BY100" s="5">
        <f t="shared" si="184"/>
        <v>0</v>
      </c>
      <c r="BZ100" s="5">
        <f t="shared" si="185"/>
        <v>0</v>
      </c>
      <c r="CA100" s="5">
        <f t="shared" si="186"/>
        <v>0</v>
      </c>
      <c r="CB100" s="5">
        <f t="shared" si="187"/>
        <v>0</v>
      </c>
      <c r="CC100" s="5">
        <f t="shared" si="188"/>
        <v>0</v>
      </c>
      <c r="CD100" s="5">
        <f t="shared" si="189"/>
        <v>0</v>
      </c>
      <c r="CE100" s="5">
        <f t="shared" si="190"/>
        <v>0</v>
      </c>
      <c r="CF100" s="5">
        <f t="shared" si="191"/>
        <v>0</v>
      </c>
      <c r="CG100" s="5">
        <f t="shared" si="192"/>
        <v>0</v>
      </c>
      <c r="CH100" s="5">
        <f t="shared" si="193"/>
        <v>0</v>
      </c>
      <c r="CI100" s="5">
        <f t="shared" si="194"/>
        <v>0</v>
      </c>
      <c r="CJ100" s="5"/>
      <c r="CK100" s="4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dataConsolidate/>
  <phoneticPr fontId="2" type="noConversion"/>
  <conditionalFormatting sqref="D1:AB1">
    <cfRule type="cellIs" dxfId="11" priority="733" operator="equal">
      <formula>"Pub"</formula>
    </cfRule>
  </conditionalFormatting>
  <conditionalFormatting sqref="F2:F100 I2:I100 L2:L100 O2:O100 R2:R100 U2:U100 X2:AB100 AT2:AT100">
    <cfRule type="cellIs" dxfId="10" priority="734" operator="lessThan">
      <formula>0</formula>
    </cfRule>
    <cfRule type="cellIs" dxfId="9" priority="735" operator="between">
      <formula>3</formula>
      <formula>0.01</formula>
    </cfRule>
    <cfRule type="cellIs" dxfId="8" priority="736" operator="lessThan">
      <formula>SUMIF($C:$C,$C2,F:F)</formula>
    </cfRule>
  </conditionalFormatting>
  <conditionalFormatting sqref="AD2:AD100">
    <cfRule type="notContainsBlanks" dxfId="7" priority="1">
      <formula>LEN(TRIM(AD2))&gt;0</formula>
    </cfRule>
  </conditionalFormatting>
  <conditionalFormatting sqref="AF2:AF100">
    <cfRule type="notContainsBlanks" dxfId="6" priority="3">
      <formula>LEN(TRIM(AF2))&gt;0</formula>
    </cfRule>
  </conditionalFormatting>
  <conditionalFormatting sqref="AH2:AH100">
    <cfRule type="notContainsBlanks" dxfId="5" priority="2">
      <formula>LEN(TRIM(AH2))&gt;0</formula>
    </cfRule>
  </conditionalFormatting>
  <conditionalFormatting sqref="AL2:AL100">
    <cfRule type="notContainsBlanks" dxfId="4" priority="261">
      <formula>LEN(TRIM(AL2))&gt;0</formula>
    </cfRule>
  </conditionalFormatting>
  <conditionalFormatting sqref="AL21:AL29 AL61:AL63 AL75:AL100 AJ2:AJ100 AN2:AN100 AQ2:AS100">
    <cfRule type="notContainsBlanks" dxfId="3" priority="737">
      <formula>LEN(TRIM(AJ2))&gt;0</formula>
    </cfRule>
  </conditionalFormatting>
  <conditionalFormatting sqref="AT1">
    <cfRule type="cellIs" dxfId="2" priority="729" operator="equal">
      <formula>"Pub"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A3313C-C5D1-3F4C-B7B7-5A0BB6890CF3}">
          <x14:formula1>
            <xm:f>Stores!$A$2:$A$40</xm:f>
          </x14:formula1>
          <xm:sqref>B2:B100</xm:sqref>
        </x14:dataValidation>
        <x14:dataValidation type="list" allowBlank="1" showInputMessage="1" showErrorMessage="1" xr:uid="{36DB9B37-87C1-6040-AD95-692D4E6B86C9}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B791-E3DC-F34B-804B-C5E0A0D439B9}">
  <sheetPr codeName="Sheet3"/>
  <dimension ref="A1:AX300"/>
  <sheetViews>
    <sheetView topLeftCell="F1" zoomScale="120" zoomScaleNormal="120" workbookViewId="0">
      <selection activeCell="AI1" sqref="AI1:AI1048576"/>
    </sheetView>
  </sheetViews>
  <sheetFormatPr baseColWidth="10" defaultColWidth="10.83203125" defaultRowHeight="13"/>
  <cols>
    <col min="1" max="1" width="10.83203125" style="16" customWidth="1"/>
    <col min="2" max="2" width="11.1640625" style="28" bestFit="1" customWidth="1"/>
    <col min="3" max="4" width="11.1640625" style="28" customWidth="1"/>
    <col min="5" max="5" width="14" style="26" customWidth="1"/>
    <col min="6" max="12" width="14" style="13" customWidth="1"/>
    <col min="13" max="14" width="8" style="14" bestFit="1" customWidth="1"/>
    <col min="15" max="15" width="5.83203125" style="14" bestFit="1" customWidth="1"/>
    <col min="16" max="16" width="6" style="14" bestFit="1" customWidth="1"/>
    <col min="17" max="17" width="5.83203125" style="14" bestFit="1" customWidth="1"/>
    <col min="18" max="18" width="6" style="14" bestFit="1" customWidth="1"/>
    <col min="19" max="19" width="10.83203125" style="28" bestFit="1" customWidth="1"/>
    <col min="20" max="20" width="13.6640625" style="14" bestFit="1" customWidth="1"/>
    <col min="21" max="22" width="12.33203125" style="14" bestFit="1" customWidth="1"/>
    <col min="23" max="23" width="12.33203125" style="14" customWidth="1"/>
    <col min="24" max="24" width="10.83203125" style="17"/>
    <col min="25" max="25" width="5.83203125" style="17" bestFit="1" customWidth="1"/>
    <col min="26" max="30" width="12" style="17" customWidth="1"/>
    <col min="31" max="31" width="10.6640625" style="38" bestFit="1" customWidth="1"/>
    <col min="32" max="36" width="12" style="17" customWidth="1"/>
    <col min="37" max="37" width="5.6640625" style="17" bestFit="1" customWidth="1"/>
    <col min="38" max="42" width="12" style="16" customWidth="1"/>
    <col min="43" max="43" width="12" style="38" customWidth="1"/>
    <col min="44" max="48" width="10.83203125" style="16"/>
    <col min="49" max="50" width="10.6640625" style="25" bestFit="1" customWidth="1"/>
    <col min="51" max="16384" width="10.83203125" style="16"/>
  </cols>
  <sheetData>
    <row r="1" spans="1:50">
      <c r="B1" s="28" t="s">
        <v>0</v>
      </c>
      <c r="C1" s="28" t="s">
        <v>37</v>
      </c>
      <c r="D1" s="28" t="s">
        <v>38</v>
      </c>
      <c r="E1" s="27" t="s">
        <v>39</v>
      </c>
      <c r="F1" s="13" t="str">
        <f>_xlfn.CONCAT("Age on ",TEXT( 'Week 1 Roster'!$D$1-1,"dd/mm/yy"))</f>
        <v>Age on 18/01/26</v>
      </c>
      <c r="G1" s="13" t="str">
        <f>_xlfn.CONCAT("Age on ",TEXT( 'Week 1 Roster'!$D$1+14,"dd/mm/yy"))</f>
        <v>Age on 02/02/26</v>
      </c>
      <c r="H1" s="13" t="s">
        <v>40</v>
      </c>
      <c r="I1" s="13" t="s">
        <v>41</v>
      </c>
      <c r="J1" s="13" t="s">
        <v>42</v>
      </c>
      <c r="K1" s="13" t="s">
        <v>1</v>
      </c>
      <c r="L1" s="13" t="s">
        <v>43</v>
      </c>
      <c r="M1" s="14" t="s">
        <v>5</v>
      </c>
      <c r="N1" s="14" t="s">
        <v>6</v>
      </c>
      <c r="O1" s="14" t="s">
        <v>7</v>
      </c>
      <c r="P1" s="14" t="s">
        <v>8</v>
      </c>
      <c r="Q1" s="14" t="s">
        <v>9</v>
      </c>
      <c r="R1" s="14" t="s">
        <v>10</v>
      </c>
      <c r="S1" s="28" t="s">
        <v>11</v>
      </c>
      <c r="T1" s="14" t="s">
        <v>12</v>
      </c>
      <c r="U1" s="14" t="s">
        <v>13</v>
      </c>
      <c r="V1" s="14" t="s">
        <v>14</v>
      </c>
      <c r="W1" s="14" t="s">
        <v>44</v>
      </c>
      <c r="X1" s="14"/>
      <c r="Y1" s="15" t="s">
        <v>5</v>
      </c>
      <c r="Z1" s="15" t="s">
        <v>6</v>
      </c>
      <c r="AA1" s="15" t="s">
        <v>7</v>
      </c>
      <c r="AB1" s="15" t="s">
        <v>8</v>
      </c>
      <c r="AC1" s="15" t="s">
        <v>9</v>
      </c>
      <c r="AD1" s="15" t="s">
        <v>10</v>
      </c>
      <c r="AE1" s="37" t="s">
        <v>11</v>
      </c>
      <c r="AF1" s="15" t="s">
        <v>12</v>
      </c>
      <c r="AG1" s="15" t="s">
        <v>13</v>
      </c>
      <c r="AH1" s="15" t="s">
        <v>14</v>
      </c>
      <c r="AI1" s="15" t="s">
        <v>45</v>
      </c>
      <c r="AJ1" s="15"/>
      <c r="AK1" s="15" t="s">
        <v>5</v>
      </c>
      <c r="AL1" s="15" t="s">
        <v>6</v>
      </c>
      <c r="AM1" s="15" t="s">
        <v>7</v>
      </c>
      <c r="AN1" s="15" t="s">
        <v>8</v>
      </c>
      <c r="AO1" s="15" t="s">
        <v>9</v>
      </c>
      <c r="AP1" s="15" t="s">
        <v>10</v>
      </c>
      <c r="AQ1" s="37" t="s">
        <v>11</v>
      </c>
      <c r="AR1" s="15" t="s">
        <v>12</v>
      </c>
      <c r="AS1" s="15" t="s">
        <v>13</v>
      </c>
      <c r="AT1" s="15" t="s">
        <v>14</v>
      </c>
      <c r="AU1" s="15" t="s">
        <v>46</v>
      </c>
      <c r="AV1" s="15"/>
      <c r="AW1" s="25" t="str">
        <f>'Week 1 Roster'!AZ1</f>
        <v>Employee ID</v>
      </c>
      <c r="AX1" s="25" t="str">
        <f>'Week 2 Roster'!AZ1</f>
        <v>Employee ID</v>
      </c>
    </row>
    <row r="2" spans="1:50">
      <c r="A2" s="16" cm="1">
        <f t="array" aca="1" ref="A2" ca="1">_xlfn.NUMBERVALUE(INDIRECT(TEXT(MIN(IF(($AW$2:$AX$300&lt;&gt;"")*(COUNTIF($B$1:B1,$AW$2:$AX$300)=0),ROW($2:$300)*100+COLUMN($AW:$AX),7^8)),"R0C00"),)&amp;"")</f>
        <v>10059</v>
      </c>
      <c r="B2" s="28">
        <f ca="1">IF(A2=0,"",_xlfn.NUMBERVALUE(A2))</f>
        <v>10059</v>
      </c>
      <c r="C2" s="28" t="str">
        <f ca="1">IF($A2=0,"",VLOOKUP($B2,Employees!$A:$G,2,FALSE))</f>
        <v>Chiao</v>
      </c>
      <c r="D2" s="28" t="str">
        <f ca="1">IF($A2=0,"",VLOOKUP($B2,Employees!$A:$G,3,FALSE))</f>
        <v>Cheng</v>
      </c>
      <c r="E2" s="26">
        <f ca="1">IF($A2=0,"",VLOOKUP($B2,Employees!$A:$G,5,FALSE))</f>
        <v>35147</v>
      </c>
      <c r="F2" s="13">
        <f ca="1">IF($E2="","",ROUNDDOWN(YEARFRAC($E2, 'Week 1 Roster'!$D$1-1, 1), 0))</f>
        <v>29</v>
      </c>
      <c r="G2" s="13">
        <f ca="1">IF($E2="","",ROUNDDOWN(YEARFRAC($E2, 'Week 1 Roster'!$D$1+14, 1), 0))</f>
        <v>29</v>
      </c>
      <c r="H2" s="13" t="b">
        <f ca="1">IF($E2="","",IF(AND(F2&lt;21,F2&lt;&gt;G2),TRUE,FALSE))</f>
        <v>0</v>
      </c>
      <c r="I2" s="13">
        <f ca="1">IF($A2=0,"",VLOOKUP($B2,Employees!$A:$G,6,FALSE))</f>
        <v>76</v>
      </c>
      <c r="J2" s="13" t="str">
        <f ca="1">IF($A2=0,"",VLOOKUP($B2,Employees!$A:$G,7,FALSE))</f>
        <v>GCM</v>
      </c>
      <c r="K2" s="13" t="str">
        <f ca="1">IF($A2=0,"",IF(ISNA(VLOOKUP(A2,'Week 1 Roster'!A:C,2,0)),VLOOKUP(A2,'Week 2 Roster'!A:C,2,0),VLOOKUP(A2,'Week 1 Roster'!A:C,2,0)))</f>
        <v>Martin Place</v>
      </c>
      <c r="L2" s="13" t="str">
        <f ca="1">IF($A2=0,"",VLOOKUP(K2,Stores!A:B,2,0))</f>
        <v>Winlada</v>
      </c>
      <c r="M2" s="14">
        <f t="shared" ref="M2" ca="1" si="0">Y2+AK2</f>
        <v>66.153333333333336</v>
      </c>
      <c r="N2" s="14">
        <f t="shared" ref="N2" ca="1" si="1">Z2+AL2</f>
        <v>0</v>
      </c>
      <c r="O2" s="14">
        <f t="shared" ref="O2" ca="1" si="2">AA2+AM2</f>
        <v>0</v>
      </c>
      <c r="P2" s="14">
        <f t="shared" ref="P2" ca="1" si="3">AB2+AN2</f>
        <v>0</v>
      </c>
      <c r="Q2" s="14">
        <f t="shared" ref="Q2" ca="1" si="4">AC2+AO2</f>
        <v>0</v>
      </c>
      <c r="R2" s="14">
        <f t="shared" ref="R2:S2" ca="1" si="5">AD2+AP2</f>
        <v>0</v>
      </c>
      <c r="S2" s="28">
        <f t="shared" ca="1" si="5"/>
        <v>7</v>
      </c>
      <c r="T2" s="14">
        <f t="shared" ref="T2" ca="1" si="6">AF2+AR2</f>
        <v>0</v>
      </c>
      <c r="U2" s="14">
        <f t="shared" ref="U2" ca="1" si="7">AG2+AS2</f>
        <v>0</v>
      </c>
      <c r="V2" s="14">
        <f t="shared" ref="V2" ca="1" si="8">AH2+AT2</f>
        <v>0</v>
      </c>
      <c r="W2" s="14">
        <f ca="1">SUM(M2:R2,T2:V2)</f>
        <v>66.153333333333336</v>
      </c>
      <c r="Y2" s="17">
        <f ca="1">IF($A2=0,0,SUMIF('Week 1 Roster'!$AZ:$AZ,$B2,'Week 1 Roster'!$AE:$AE))</f>
        <v>38.153333333333336</v>
      </c>
      <c r="Z2" s="17">
        <f ca="1">IF($A2=0,0,SUMIF('Week 1 Roster'!$AZ:$AZ,$B2,'Week 1 Roster'!$AG:$AG))</f>
        <v>0</v>
      </c>
      <c r="AA2" s="17">
        <f ca="1">IF($A2=0,0,SUMIF('Week 1 Roster'!$AZ:$AZ,$B2,'Week 1 Roster'!$AI:$AI))</f>
        <v>0</v>
      </c>
      <c r="AB2" s="17">
        <f ca="1">IF($A2=0,0,SUMIF('Week 1 Roster'!$AZ:$AZ,$B2,'Week 1 Roster'!$AK:$AK))</f>
        <v>0</v>
      </c>
      <c r="AC2" s="17">
        <f ca="1">IF($A2=0,0,SUMIF('Week 1 Roster'!$AZ:$AZ,$B2,'Week 1 Roster'!$AM:$AM))</f>
        <v>0</v>
      </c>
      <c r="AD2" s="17">
        <f ca="1">IF($A2=0,0,SUMIF('Week 1 Roster'!$AZ:$AZ,$B2,'Week 1 Roster'!$AO:$AO))</f>
        <v>0</v>
      </c>
      <c r="AE2" s="38">
        <f ca="1">IF($A2=0,0,SUMIF('Week 1 Roster'!$AZ:$AZ,$B2,'Week 1 Roster'!$AP:$AP))</f>
        <v>4</v>
      </c>
      <c r="AF2" s="17">
        <f ca="1">IF($A2=0,0,SUMIF('Week 1 Roster'!$AZ:$AZ,$B2,'Week 1 Roster'!$AQ:$AQ))</f>
        <v>0</v>
      </c>
      <c r="AG2" s="17">
        <f ca="1">IF($A2=0,0,SUMIF('Week 1 Roster'!$AZ:$AZ,$B2,'Week 1 Roster'!$AR:$AR))</f>
        <v>0</v>
      </c>
      <c r="AH2" s="17">
        <f ca="1">IF($A2=0,0,SUMIF('Week 1 Roster'!$AZ:$AZ,$B2,'Week 1 Roster'!$AS:$AS))</f>
        <v>0</v>
      </c>
      <c r="AI2" s="17">
        <f ca="1">SUM(Y2:AD2,AF2:AH2)</f>
        <v>38.153333333333336</v>
      </c>
      <c r="AK2" s="17">
        <f ca="1">IF($A2=0,0,SUMIF('Week 2 Roster'!$AZ:$AZ,$B2,'Week 2 Roster'!$AE:$AE))</f>
        <v>28</v>
      </c>
      <c r="AL2" s="17">
        <f ca="1">IF($A2=0,0,SUMIF('Week 2 Roster'!$AZ:$AZ,$B2,'Week 2 Roster'!$AG:$AG))</f>
        <v>0</v>
      </c>
      <c r="AM2" s="17">
        <f ca="1">IF($A2=0,0,SUMIF('Week 2 Roster'!$AZ:$AZ,$B2,'Week 2 Roster'!$AI:$AI))</f>
        <v>0</v>
      </c>
      <c r="AN2" s="17">
        <f ca="1">IF($A2=0,0,SUMIF('Week 2 Roster'!$AZ:$AZ,$B2,'Week 2 Roster'!$AK:$AK))</f>
        <v>0</v>
      </c>
      <c r="AO2" s="17">
        <f ca="1">IF($A2=0,0,SUMIF('Week 2 Roster'!$AZ:$AZ,$B2,'Week 2 Roster'!$AM:$AM))</f>
        <v>0</v>
      </c>
      <c r="AP2" s="17">
        <f ca="1">IF($A2=0,0,SUMIF('Week 2 Roster'!$AZ:$AZ,$B2,'Week 2 Roster'!$AO:$AO))</f>
        <v>0</v>
      </c>
      <c r="AQ2" s="38">
        <f ca="1">IF($A2=0,0,SUMIF('Week 2 Roster'!$AZ:$AZ,$B2,'Week 2 Roster'!$AP:$AP))</f>
        <v>3</v>
      </c>
      <c r="AR2" s="17">
        <f ca="1">IF($A2=0,0,SUMIF('Week 2 Roster'!$AZ:$AZ,$B2,'Week 2 Roster'!$AQ:$AQ))</f>
        <v>0</v>
      </c>
      <c r="AS2" s="17">
        <f ca="1">IF($A2=0,0,SUMIF('Week 2 Roster'!$AZ:$AZ,$B2,'Week 2 Roster'!$AR:$AR))</f>
        <v>0</v>
      </c>
      <c r="AT2" s="17">
        <f ca="1">IF($A2=0,0,SUMIF('Week 2 Roster'!$AZ:$AZ,$B2,'Week 2 Roster'!$AS:$AS))</f>
        <v>0</v>
      </c>
      <c r="AU2" s="17">
        <f ca="1">SUM(AK2:AP2,AR2:AT2)</f>
        <v>28</v>
      </c>
      <c r="AV2" s="17"/>
      <c r="AW2" s="25">
        <f>'Week 1 Roster'!A2</f>
        <v>10059</v>
      </c>
      <c r="AX2" s="25" t="str">
        <f>'Week 2 Roster'!A2</f>
        <v/>
      </c>
    </row>
    <row r="3" spans="1:50">
      <c r="A3" s="16" cm="1">
        <f t="array" aca="1" ref="A3" ca="1">_xlfn.NUMBERVALUE(INDIRECT(TEXT(MIN(IF(($AW$2:$AX$300&lt;&gt;"")*(COUNTIF($B$1:B2,$AW$2:$AX$300)=0),ROW($2:$300)*100+COLUMN($AW:$AX),7^8)),"R0C00"),)&amp;"")</f>
        <v>10090</v>
      </c>
      <c r="B3" s="28">
        <f t="shared" ref="B3:B66" ca="1" si="9">IF(A3=0,"",_xlfn.NUMBERVALUE(A3))</f>
        <v>10090</v>
      </c>
      <c r="C3" s="28" t="str">
        <f ca="1">IF($A3=0,"",VLOOKUP($B3,Employees!$A:$G,2,FALSE))</f>
        <v>Hsin-Yi</v>
      </c>
      <c r="D3" s="28" t="str">
        <f ca="1">IF($A3=0,"",VLOOKUP($B3,Employees!$A:$G,3,FALSE))</f>
        <v>CHIANG</v>
      </c>
      <c r="E3" s="26">
        <f ca="1">IF($A3=0,"",VLOOKUP($B3,Employees!$A:$G,5,FALSE))</f>
        <v>33945</v>
      </c>
      <c r="F3" s="13">
        <f ca="1">IF($E3="","",ROUNDDOWN(YEARFRAC($E3, 'Week 1 Roster'!$D$1-1, 1), 0))</f>
        <v>33</v>
      </c>
      <c r="G3" s="13">
        <f ca="1">IF($E3="","",ROUNDDOWN(YEARFRAC($E3, 'Week 1 Roster'!$D$1+14, 1), 0))</f>
        <v>33</v>
      </c>
      <c r="H3" s="13" t="b">
        <f t="shared" ref="H3:H66" ca="1" si="10">IF($E3="","",IF(AND(F3&lt;21,F3&lt;&gt;G3),TRUE,FALSE))</f>
        <v>0</v>
      </c>
      <c r="I3" s="13">
        <f ca="1">IF($A3=0,"",VLOOKUP($B3,Employees!$A:$G,6,FALSE))</f>
        <v>76</v>
      </c>
      <c r="J3" s="13" t="str">
        <f ca="1">IF($A3=0,"",VLOOKUP($B3,Employees!$A:$G,7,FALSE))</f>
        <v>HL</v>
      </c>
      <c r="K3" s="13" t="str">
        <f ca="1">IF($A3=0,"",IF(ISNA(VLOOKUP(A3,'Week 1 Roster'!A:C,2,0)),VLOOKUP(A3,'Week 2 Roster'!A:C,2,0),VLOOKUP(A3,'Week 1 Roster'!A:C,2,0)))</f>
        <v>Martin Place</v>
      </c>
      <c r="L3" s="13" t="str">
        <f ca="1">IF($A3=0,"",VLOOKUP(K3,Stores!A:B,2,0))</f>
        <v>Winlada</v>
      </c>
      <c r="M3" s="14">
        <f t="shared" ref="M3:M66" ca="1" si="11">Y3+AK3</f>
        <v>4.6666666666666661</v>
      </c>
      <c r="N3" s="14">
        <f t="shared" ref="N3:N66" ca="1" si="12">Z3+AL3</f>
        <v>0</v>
      </c>
      <c r="O3" s="14">
        <f t="shared" ref="O3:O66" ca="1" si="13">AA3+AM3</f>
        <v>0</v>
      </c>
      <c r="P3" s="14">
        <f t="shared" ref="P3:P66" ca="1" si="14">AB3+AN3</f>
        <v>0</v>
      </c>
      <c r="Q3" s="14">
        <f t="shared" ref="Q3:Q66" ca="1" si="15">AC3+AO3</f>
        <v>0</v>
      </c>
      <c r="R3" s="14">
        <f t="shared" ref="R3:R66" ca="1" si="16">AD3+AP3</f>
        <v>0</v>
      </c>
      <c r="S3" s="28">
        <f t="shared" ref="S3:S66" ca="1" si="17">AE3+AQ3</f>
        <v>1</v>
      </c>
      <c r="T3" s="14">
        <f t="shared" ref="T3:T66" ca="1" si="18">AF3+AR3</f>
        <v>0</v>
      </c>
      <c r="U3" s="14">
        <f t="shared" ref="U3:U66" ca="1" si="19">AG3+AS3</f>
        <v>0</v>
      </c>
      <c r="V3" s="14">
        <f t="shared" ref="V3:V66" ca="1" si="20">AH3+AT3</f>
        <v>0</v>
      </c>
      <c r="W3" s="14">
        <f t="shared" ref="W3:W66" ca="1" si="21">SUM(M3:R3,T3:V3)</f>
        <v>4.6666666666666661</v>
      </c>
      <c r="Y3" s="17">
        <f ca="1">IF($A3=0,0,SUMIF('Week 1 Roster'!$AZ:$AZ,$B3,'Week 1 Roster'!$AE:$AE))</f>
        <v>4.6666666666666661</v>
      </c>
      <c r="Z3" s="17">
        <f ca="1">IF($A3=0,0,SUMIF('Week 1 Roster'!$AZ:$AZ,$B3,'Week 1 Roster'!$AG:$AG))</f>
        <v>0</v>
      </c>
      <c r="AA3" s="17">
        <f ca="1">IF($A3=0,0,SUMIF('Week 1 Roster'!$AZ:$AZ,$B3,'Week 1 Roster'!$AI:$AI))</f>
        <v>0</v>
      </c>
      <c r="AB3" s="17">
        <f ca="1">IF($A3=0,0,SUMIF('Week 1 Roster'!$AZ:$AZ,$B3,'Week 1 Roster'!$AK:$AK))</f>
        <v>0</v>
      </c>
      <c r="AC3" s="17">
        <f ca="1">IF($A3=0,0,SUMIF('Week 1 Roster'!$AZ:$AZ,$B3,'Week 1 Roster'!$AM:$AM))</f>
        <v>0</v>
      </c>
      <c r="AD3" s="17">
        <f ca="1">IF($A3=0,0,SUMIF('Week 1 Roster'!$AZ:$AZ,$B3,'Week 1 Roster'!$AO:$AO))</f>
        <v>0</v>
      </c>
      <c r="AE3" s="38">
        <f ca="1">IF($A3=0,0,SUMIF('Week 1 Roster'!$AZ:$AZ,$B3,'Week 1 Roster'!$AP:$AP))</f>
        <v>1</v>
      </c>
      <c r="AF3" s="17">
        <f ca="1">IF($A3=0,0,SUMIF('Week 1 Roster'!$AZ:$AZ,$B3,'Week 1 Roster'!$AQ:$AQ))</f>
        <v>0</v>
      </c>
      <c r="AG3" s="17">
        <f ca="1">IF($A3=0,0,SUMIF('Week 1 Roster'!$AZ:$AZ,$B3,'Week 1 Roster'!$AR:$AR))</f>
        <v>0</v>
      </c>
      <c r="AH3" s="17">
        <f ca="1">IF($A3=0,0,SUMIF('Week 1 Roster'!$AZ:$AZ,$B3,'Week 1 Roster'!$AS:$AS))</f>
        <v>0</v>
      </c>
      <c r="AI3" s="17">
        <f t="shared" ref="AI3:AI66" ca="1" si="22">SUM(Y3:AD3,AF3:AH3)</f>
        <v>4.6666666666666661</v>
      </c>
      <c r="AK3" s="17">
        <f ca="1">IF($A3=0,0,SUMIF('Week 2 Roster'!$AZ:$AZ,$B3,'Week 2 Roster'!$AE:$AE))</f>
        <v>0</v>
      </c>
      <c r="AL3" s="17">
        <f ca="1">IF($A3=0,0,SUMIF('Week 2 Roster'!$AZ:$AZ,$B3,'Week 2 Roster'!$AG:$AG))</f>
        <v>0</v>
      </c>
      <c r="AM3" s="17">
        <f ca="1">IF($A3=0,0,SUMIF('Week 2 Roster'!$AZ:$AZ,$B3,'Week 2 Roster'!$AI:$AI))</f>
        <v>0</v>
      </c>
      <c r="AN3" s="17">
        <f ca="1">IF($A3=0,0,SUMIF('Week 2 Roster'!$AZ:$AZ,$B3,'Week 2 Roster'!$AK:$AK))</f>
        <v>0</v>
      </c>
      <c r="AO3" s="17">
        <f ca="1">IF($A3=0,0,SUMIF('Week 2 Roster'!$AZ:$AZ,$B3,'Week 2 Roster'!$AM:$AM))</f>
        <v>0</v>
      </c>
      <c r="AP3" s="17">
        <f ca="1">IF($A3=0,0,SUMIF('Week 2 Roster'!$AZ:$AZ,$B3,'Week 2 Roster'!$AO:$AO))</f>
        <v>0</v>
      </c>
      <c r="AQ3" s="38">
        <f ca="1">IF($A3=0,0,SUMIF('Week 2 Roster'!$AZ:$AZ,$B3,'Week 2 Roster'!$AP:$AP))</f>
        <v>0</v>
      </c>
      <c r="AR3" s="17">
        <f ca="1">IF($A3=0,0,SUMIF('Week 2 Roster'!$AZ:$AZ,$B3,'Week 2 Roster'!$AQ:$AQ))</f>
        <v>0</v>
      </c>
      <c r="AS3" s="17">
        <f ca="1">IF($A3=0,0,SUMIF('Week 2 Roster'!$AZ:$AZ,$B3,'Week 2 Roster'!$AR:$AR))</f>
        <v>0</v>
      </c>
      <c r="AT3" s="17">
        <f ca="1">IF($A3=0,0,SUMIF('Week 2 Roster'!$AZ:$AZ,$B3,'Week 2 Roster'!$AS:$AS))</f>
        <v>0</v>
      </c>
      <c r="AU3" s="17">
        <f t="shared" ref="AU3:AU66" ca="1" si="23">SUM(AK3:AP3,AR3:AT3)</f>
        <v>0</v>
      </c>
      <c r="AV3" s="17"/>
      <c r="AW3" s="25">
        <f>'Week 1 Roster'!A3</f>
        <v>10090</v>
      </c>
      <c r="AX3" s="25" t="str">
        <f>'Week 2 Roster'!A3</f>
        <v/>
      </c>
    </row>
    <row r="4" spans="1:50">
      <c r="A4" s="16" cm="1">
        <f t="array" aca="1" ref="A4" ca="1">_xlfn.NUMBERVALUE(INDIRECT(TEXT(MIN(IF(($AW$2:$AX$300&lt;&gt;"")*(COUNTIF($B$1:B3,$AW$2:$AX$300)=0),ROW($2:$300)*100+COLUMN($AW:$AX),7^8)),"R0C00"),)&amp;"")</f>
        <v>210527</v>
      </c>
      <c r="B4" s="28">
        <f t="shared" ca="1" si="9"/>
        <v>210527</v>
      </c>
      <c r="C4" s="28" t="str">
        <f ca="1">IF($A4=0,"",VLOOKUP($B4,Employees!$A:$G,2,FALSE))</f>
        <v>Lala</v>
      </c>
      <c r="D4" s="28" t="str">
        <f ca="1">IF($A4=0,"",VLOOKUP($B4,Employees!$A:$G,3,FALSE))</f>
        <v>Nitta</v>
      </c>
      <c r="E4" s="26">
        <f ca="1">IF($A4=0,"",VLOOKUP($B4,Employees!$A:$G,5,FALSE))</f>
        <v>35581</v>
      </c>
      <c r="F4" s="13">
        <f ca="1">IF($E4="","",ROUNDDOWN(YEARFRAC($E4, 'Week 1 Roster'!$D$1-1, 1), 0))</f>
        <v>28</v>
      </c>
      <c r="G4" s="13">
        <f ca="1">IF($E4="","",ROUNDDOWN(YEARFRAC($E4, 'Week 1 Roster'!$D$1+14, 1), 0))</f>
        <v>28</v>
      </c>
      <c r="H4" s="13" t="b">
        <f t="shared" ca="1" si="10"/>
        <v>0</v>
      </c>
      <c r="I4" s="13">
        <f ca="1">IF($A4=0,"",VLOOKUP($B4,Employees!$A:$G,6,FALSE))</f>
        <v>76</v>
      </c>
      <c r="J4" s="13" t="str">
        <f ca="1">IF($A4=0,"",VLOOKUP($B4,Employees!$A:$G,7,FALSE))</f>
        <v>Win</v>
      </c>
      <c r="K4" s="13" t="str">
        <f ca="1">IF($A4=0,"",IF(ISNA(VLOOKUP(A4,'Week 1 Roster'!A:C,2,0)),VLOOKUP(A4,'Week 2 Roster'!A:C,2,0),VLOOKUP(A4,'Week 1 Roster'!A:C,2,0)))</f>
        <v>Martin Place</v>
      </c>
      <c r="L4" s="13" t="str">
        <f ca="1">IF($A4=0,"",VLOOKUP(K4,Stores!A:B,2,0))</f>
        <v>Winlada</v>
      </c>
      <c r="M4" s="14">
        <f t="shared" ca="1" si="11"/>
        <v>31.916666666666668</v>
      </c>
      <c r="N4" s="14">
        <f t="shared" ca="1" si="12"/>
        <v>0</v>
      </c>
      <c r="O4" s="14">
        <f t="shared" ca="1" si="13"/>
        <v>0</v>
      </c>
      <c r="P4" s="14">
        <f t="shared" ca="1" si="14"/>
        <v>0</v>
      </c>
      <c r="Q4" s="14">
        <f t="shared" ca="1" si="15"/>
        <v>0</v>
      </c>
      <c r="R4" s="14">
        <f t="shared" ca="1" si="16"/>
        <v>0</v>
      </c>
      <c r="S4" s="28">
        <f t="shared" ca="1" si="17"/>
        <v>4</v>
      </c>
      <c r="T4" s="14">
        <f t="shared" ca="1" si="18"/>
        <v>0</v>
      </c>
      <c r="U4" s="14">
        <f t="shared" ca="1" si="19"/>
        <v>0</v>
      </c>
      <c r="V4" s="14">
        <f t="shared" ca="1" si="20"/>
        <v>0</v>
      </c>
      <c r="W4" s="14">
        <f t="shared" ca="1" si="21"/>
        <v>31.916666666666668</v>
      </c>
      <c r="Y4" s="17">
        <f ca="1">IF($A4=0,0,SUMIF('Week 1 Roster'!$AZ:$AZ,$B4,'Week 1 Roster'!$AE:$AE))</f>
        <v>15.916666666666668</v>
      </c>
      <c r="Z4" s="17">
        <f ca="1">IF($A4=0,0,SUMIF('Week 1 Roster'!$AZ:$AZ,$B4,'Week 1 Roster'!$AG:$AG))</f>
        <v>0</v>
      </c>
      <c r="AA4" s="17">
        <f ca="1">IF($A4=0,0,SUMIF('Week 1 Roster'!$AZ:$AZ,$B4,'Week 1 Roster'!$AI:$AI))</f>
        <v>0</v>
      </c>
      <c r="AB4" s="17">
        <f ca="1">IF($A4=0,0,SUMIF('Week 1 Roster'!$AZ:$AZ,$B4,'Week 1 Roster'!$AK:$AK))</f>
        <v>0</v>
      </c>
      <c r="AC4" s="17">
        <f ca="1">IF($A4=0,0,SUMIF('Week 1 Roster'!$AZ:$AZ,$B4,'Week 1 Roster'!$AM:$AM))</f>
        <v>0</v>
      </c>
      <c r="AD4" s="17">
        <f ca="1">IF($A4=0,0,SUMIF('Week 1 Roster'!$AZ:$AZ,$B4,'Week 1 Roster'!$AO:$AO))</f>
        <v>0</v>
      </c>
      <c r="AE4" s="38">
        <f ca="1">IF($A4=0,0,SUMIF('Week 1 Roster'!$AZ:$AZ,$B4,'Week 1 Roster'!$AP:$AP))</f>
        <v>2</v>
      </c>
      <c r="AF4" s="17">
        <f ca="1">IF($A4=0,0,SUMIF('Week 1 Roster'!$AZ:$AZ,$B4,'Week 1 Roster'!$AQ:$AQ))</f>
        <v>0</v>
      </c>
      <c r="AG4" s="17">
        <f ca="1">IF($A4=0,0,SUMIF('Week 1 Roster'!$AZ:$AZ,$B4,'Week 1 Roster'!$AR:$AR))</f>
        <v>0</v>
      </c>
      <c r="AH4" s="17">
        <f ca="1">IF($A4=0,0,SUMIF('Week 1 Roster'!$AZ:$AZ,$B4,'Week 1 Roster'!$AS:$AS))</f>
        <v>0</v>
      </c>
      <c r="AI4" s="17">
        <f t="shared" ca="1" si="22"/>
        <v>15.916666666666668</v>
      </c>
      <c r="AK4" s="17">
        <f ca="1">IF($A4=0,0,SUMIF('Week 2 Roster'!$AZ:$AZ,$B4,'Week 2 Roster'!$AE:$AE))</f>
        <v>16</v>
      </c>
      <c r="AL4" s="17">
        <f ca="1">IF($A4=0,0,SUMIF('Week 2 Roster'!$AZ:$AZ,$B4,'Week 2 Roster'!$AG:$AG))</f>
        <v>0</v>
      </c>
      <c r="AM4" s="17">
        <f ca="1">IF($A4=0,0,SUMIF('Week 2 Roster'!$AZ:$AZ,$B4,'Week 2 Roster'!$AI:$AI))</f>
        <v>0</v>
      </c>
      <c r="AN4" s="17">
        <f ca="1">IF($A4=0,0,SUMIF('Week 2 Roster'!$AZ:$AZ,$B4,'Week 2 Roster'!$AK:$AK))</f>
        <v>0</v>
      </c>
      <c r="AO4" s="17">
        <f ca="1">IF($A4=0,0,SUMIF('Week 2 Roster'!$AZ:$AZ,$B4,'Week 2 Roster'!$AM:$AM))</f>
        <v>0</v>
      </c>
      <c r="AP4" s="17">
        <f ca="1">IF($A4=0,0,SUMIF('Week 2 Roster'!$AZ:$AZ,$B4,'Week 2 Roster'!$AO:$AO))</f>
        <v>0</v>
      </c>
      <c r="AQ4" s="38">
        <f ca="1">IF($A4=0,0,SUMIF('Week 2 Roster'!$AZ:$AZ,$B4,'Week 2 Roster'!$AP:$AP))</f>
        <v>2</v>
      </c>
      <c r="AR4" s="17">
        <f ca="1">IF($A4=0,0,SUMIF('Week 2 Roster'!$AZ:$AZ,$B4,'Week 2 Roster'!$AQ:$AQ))</f>
        <v>0</v>
      </c>
      <c r="AS4" s="17">
        <f ca="1">IF($A4=0,0,SUMIF('Week 2 Roster'!$AZ:$AZ,$B4,'Week 2 Roster'!$AR:$AR))</f>
        <v>0</v>
      </c>
      <c r="AT4" s="17">
        <f ca="1">IF($A4=0,0,SUMIF('Week 2 Roster'!$AZ:$AZ,$B4,'Week 2 Roster'!$AS:$AS))</f>
        <v>0</v>
      </c>
      <c r="AU4" s="17">
        <f t="shared" ca="1" si="23"/>
        <v>16</v>
      </c>
      <c r="AV4" s="17"/>
      <c r="AW4" s="25">
        <f>'Week 1 Roster'!A4</f>
        <v>210527</v>
      </c>
      <c r="AX4" s="25" t="str">
        <f>'Week 2 Roster'!A4</f>
        <v/>
      </c>
    </row>
    <row r="5" spans="1:50">
      <c r="A5" s="16" cm="1">
        <f t="array" aca="1" ref="A5" ca="1">_xlfn.NUMBERVALUE(INDIRECT(TEXT(MIN(IF(($AW$2:$AX$300&lt;&gt;"")*(COUNTIF($B$1:B4,$AW$2:$AX$300)=0),ROW($2:$300)*100+COLUMN($AW:$AX),7^8)),"R0C00"),)&amp;"")</f>
        <v>0</v>
      </c>
      <c r="B5" s="28" t="str">
        <f t="shared" ca="1" si="9"/>
        <v/>
      </c>
      <c r="C5" s="28" t="str">
        <f ca="1">IF($A5=0,"",VLOOKUP($B5,Employees!$A:$G,2,FALSE))</f>
        <v/>
      </c>
      <c r="D5" s="28" t="str">
        <f ca="1">IF($A5=0,"",VLOOKUP($B5,Employees!$A:$G,3,FALSE))</f>
        <v/>
      </c>
      <c r="E5" s="26" t="str">
        <f ca="1">IF($A5=0,"",VLOOKUP($B5,Employees!$A:$G,5,FALSE))</f>
        <v/>
      </c>
      <c r="F5" s="13" t="str">
        <f ca="1">IF($E5="","",ROUNDDOWN(YEARFRAC($E5, 'Week 1 Roster'!$D$1-1, 1), 0))</f>
        <v/>
      </c>
      <c r="G5" s="13" t="str">
        <f ca="1">IF($E5="","",ROUNDDOWN(YEARFRAC($E5, 'Week 1 Roster'!$D$1+14, 1), 0))</f>
        <v/>
      </c>
      <c r="H5" s="13" t="str">
        <f t="shared" ca="1" si="10"/>
        <v/>
      </c>
      <c r="I5" s="13" t="str">
        <f ca="1">IF($A5=0,"",VLOOKUP($B5,Employees!$A:$G,6,FALSE))</f>
        <v/>
      </c>
      <c r="J5" s="13" t="str">
        <f ca="1">IF($A5=0,"",VLOOKUP($B5,Employees!$A:$G,7,FALSE))</f>
        <v/>
      </c>
      <c r="K5" s="13" t="str">
        <f ca="1">IF($A5=0,"",IF(ISNA(VLOOKUP(A5,'Week 1 Roster'!A:C,2,0)),VLOOKUP(A5,'Week 2 Roster'!A:C,2,0),VLOOKUP(A5,'Week 1 Roster'!A:C,2,0)))</f>
        <v/>
      </c>
      <c r="L5" s="13" t="str">
        <f ca="1">IF($A5=0,"",VLOOKUP(K5,Stores!A:B,2,0))</f>
        <v/>
      </c>
      <c r="M5" s="14">
        <f t="shared" ca="1" si="11"/>
        <v>0</v>
      </c>
      <c r="N5" s="14">
        <f t="shared" ca="1" si="12"/>
        <v>0</v>
      </c>
      <c r="O5" s="14">
        <f t="shared" ca="1" si="13"/>
        <v>0</v>
      </c>
      <c r="P5" s="14">
        <f t="shared" ca="1" si="14"/>
        <v>0</v>
      </c>
      <c r="Q5" s="14">
        <f t="shared" ca="1" si="15"/>
        <v>0</v>
      </c>
      <c r="R5" s="14">
        <f t="shared" ca="1" si="16"/>
        <v>0</v>
      </c>
      <c r="S5" s="28">
        <f t="shared" ca="1" si="17"/>
        <v>0</v>
      </c>
      <c r="T5" s="14">
        <f t="shared" ca="1" si="18"/>
        <v>0</v>
      </c>
      <c r="U5" s="14">
        <f t="shared" ca="1" si="19"/>
        <v>0</v>
      </c>
      <c r="V5" s="14">
        <f t="shared" ca="1" si="20"/>
        <v>0</v>
      </c>
      <c r="W5" s="14">
        <f t="shared" ca="1" si="21"/>
        <v>0</v>
      </c>
      <c r="Y5" s="17">
        <f ca="1">IF($A5=0,0,SUMIF('Week 1 Roster'!$AZ:$AZ,$B5,'Week 1 Roster'!$AE:$AE))</f>
        <v>0</v>
      </c>
      <c r="Z5" s="17">
        <f ca="1">IF($A5=0,0,SUMIF('Week 1 Roster'!$AZ:$AZ,$B5,'Week 1 Roster'!$AG:$AG))</f>
        <v>0</v>
      </c>
      <c r="AA5" s="17">
        <f ca="1">IF($A5=0,0,SUMIF('Week 1 Roster'!$AZ:$AZ,$B5,'Week 1 Roster'!$AI:$AI))</f>
        <v>0</v>
      </c>
      <c r="AB5" s="17">
        <f ca="1">IF($A5=0,0,SUMIF('Week 1 Roster'!$AZ:$AZ,$B5,'Week 1 Roster'!$AK:$AK))</f>
        <v>0</v>
      </c>
      <c r="AC5" s="17">
        <f ca="1">IF($A5=0,0,SUMIF('Week 1 Roster'!$AZ:$AZ,$B5,'Week 1 Roster'!$AM:$AM))</f>
        <v>0</v>
      </c>
      <c r="AD5" s="17">
        <f ca="1">IF($A5=0,0,SUMIF('Week 1 Roster'!$AZ:$AZ,$B5,'Week 1 Roster'!$AO:$AO))</f>
        <v>0</v>
      </c>
      <c r="AE5" s="38">
        <f ca="1">IF($A5=0,0,SUMIF('Week 1 Roster'!$AZ:$AZ,$B5,'Week 1 Roster'!$AP:$AP))</f>
        <v>0</v>
      </c>
      <c r="AF5" s="17">
        <f ca="1">IF($A5=0,0,SUMIF('Week 1 Roster'!$AZ:$AZ,$B5,'Week 1 Roster'!$AQ:$AQ))</f>
        <v>0</v>
      </c>
      <c r="AG5" s="17">
        <f ca="1">IF($A5=0,0,SUMIF('Week 1 Roster'!$AZ:$AZ,$B5,'Week 1 Roster'!$AR:$AR))</f>
        <v>0</v>
      </c>
      <c r="AH5" s="17">
        <f ca="1">IF($A5=0,0,SUMIF('Week 1 Roster'!$AZ:$AZ,$B5,'Week 1 Roster'!$AS:$AS))</f>
        <v>0</v>
      </c>
      <c r="AI5" s="17">
        <f t="shared" ca="1" si="22"/>
        <v>0</v>
      </c>
      <c r="AK5" s="17">
        <f ca="1">IF($A5=0,0,SUMIF('Week 2 Roster'!$AZ:$AZ,$B5,'Week 2 Roster'!$AE:$AE))</f>
        <v>0</v>
      </c>
      <c r="AL5" s="17">
        <f ca="1">IF($A5=0,0,SUMIF('Week 2 Roster'!$AZ:$AZ,$B5,'Week 2 Roster'!$AG:$AG))</f>
        <v>0</v>
      </c>
      <c r="AM5" s="17">
        <f ca="1">IF($A5=0,0,SUMIF('Week 2 Roster'!$AZ:$AZ,$B5,'Week 2 Roster'!$AI:$AI))</f>
        <v>0</v>
      </c>
      <c r="AN5" s="17">
        <f ca="1">IF($A5=0,0,SUMIF('Week 2 Roster'!$AZ:$AZ,$B5,'Week 2 Roster'!$AK:$AK))</f>
        <v>0</v>
      </c>
      <c r="AO5" s="17">
        <f ca="1">IF($A5=0,0,SUMIF('Week 2 Roster'!$AZ:$AZ,$B5,'Week 2 Roster'!$AM:$AM))</f>
        <v>0</v>
      </c>
      <c r="AP5" s="17">
        <f ca="1">IF($A5=0,0,SUMIF('Week 2 Roster'!$AZ:$AZ,$B5,'Week 2 Roster'!$AO:$AO))</f>
        <v>0</v>
      </c>
      <c r="AQ5" s="38">
        <f ca="1">IF($A5=0,0,SUMIF('Week 2 Roster'!$AZ:$AZ,$B5,'Week 2 Roster'!$AP:$AP))</f>
        <v>0</v>
      </c>
      <c r="AR5" s="17">
        <f ca="1">IF($A5=0,0,SUMIF('Week 2 Roster'!$AZ:$AZ,$B5,'Week 2 Roster'!$AQ:$AQ))</f>
        <v>0</v>
      </c>
      <c r="AS5" s="17">
        <f ca="1">IF($A5=0,0,SUMIF('Week 2 Roster'!$AZ:$AZ,$B5,'Week 2 Roster'!$AR:$AR))</f>
        <v>0</v>
      </c>
      <c r="AT5" s="17">
        <f ca="1">IF($A5=0,0,SUMIF('Week 2 Roster'!$AZ:$AZ,$B5,'Week 2 Roster'!$AS:$AS))</f>
        <v>0</v>
      </c>
      <c r="AU5" s="17">
        <f t="shared" ca="1" si="23"/>
        <v>0</v>
      </c>
      <c r="AV5" s="17"/>
      <c r="AW5" s="25" t="str">
        <f>'Week 1 Roster'!A5</f>
        <v/>
      </c>
      <c r="AX5" s="25" t="str">
        <f>'Week 2 Roster'!A5</f>
        <v/>
      </c>
    </row>
    <row r="6" spans="1:50">
      <c r="A6" s="16" cm="1">
        <f t="array" aca="1" ref="A6" ca="1">_xlfn.NUMBERVALUE(INDIRECT(TEXT(MIN(IF(($AW$2:$AX$300&lt;&gt;"")*(COUNTIF($B$1:B5,$AW$2:$AX$300)=0),ROW($2:$300)*100+COLUMN($AW:$AX),7^8)),"R0C00"),)&amp;"")</f>
        <v>0</v>
      </c>
      <c r="B6" s="28" t="str">
        <f t="shared" ca="1" si="9"/>
        <v/>
      </c>
      <c r="C6" s="28" t="str">
        <f ca="1">IF($A6=0,"",VLOOKUP($B6,Employees!$A:$G,2,FALSE))</f>
        <v/>
      </c>
      <c r="D6" s="28" t="str">
        <f ca="1">IF($A6=0,"",VLOOKUP($B6,Employees!$A:$G,3,FALSE))</f>
        <v/>
      </c>
      <c r="E6" s="26" t="str">
        <f ca="1">IF($A6=0,"",VLOOKUP($B6,Employees!$A:$G,5,FALSE))</f>
        <v/>
      </c>
      <c r="F6" s="13" t="str">
        <f ca="1">IF($E6="","",ROUNDDOWN(YEARFRAC($E6, 'Week 1 Roster'!$D$1-1, 1), 0))</f>
        <v/>
      </c>
      <c r="G6" s="13" t="str">
        <f ca="1">IF($E6="","",ROUNDDOWN(YEARFRAC($E6, 'Week 1 Roster'!$D$1+14, 1), 0))</f>
        <v/>
      </c>
      <c r="H6" s="13" t="str">
        <f t="shared" ca="1" si="10"/>
        <v/>
      </c>
      <c r="I6" s="13" t="str">
        <f ca="1">IF($A6=0,"",VLOOKUP($B6,Employees!$A:$G,6,FALSE))</f>
        <v/>
      </c>
      <c r="J6" s="13" t="str">
        <f ca="1">IF($A6=0,"",VLOOKUP($B6,Employees!$A:$G,7,FALSE))</f>
        <v/>
      </c>
      <c r="K6" s="13" t="str">
        <f ca="1">IF($A6=0,"",IF(ISNA(VLOOKUP(A6,'Week 1 Roster'!A:C,2,0)),VLOOKUP(A6,'Week 2 Roster'!A:C,2,0),VLOOKUP(A6,'Week 1 Roster'!A:C,2,0)))</f>
        <v/>
      </c>
      <c r="L6" s="13" t="str">
        <f ca="1">IF($A6=0,"",VLOOKUP(K6,Stores!A:B,2,0))</f>
        <v/>
      </c>
      <c r="M6" s="14">
        <f t="shared" ca="1" si="11"/>
        <v>0</v>
      </c>
      <c r="N6" s="14">
        <f t="shared" ca="1" si="12"/>
        <v>0</v>
      </c>
      <c r="O6" s="14">
        <f t="shared" ca="1" si="13"/>
        <v>0</v>
      </c>
      <c r="P6" s="14">
        <f t="shared" ca="1" si="14"/>
        <v>0</v>
      </c>
      <c r="Q6" s="14">
        <f t="shared" ca="1" si="15"/>
        <v>0</v>
      </c>
      <c r="R6" s="14">
        <f t="shared" ca="1" si="16"/>
        <v>0</v>
      </c>
      <c r="S6" s="28">
        <f t="shared" ca="1" si="17"/>
        <v>0</v>
      </c>
      <c r="T6" s="14">
        <f t="shared" ca="1" si="18"/>
        <v>0</v>
      </c>
      <c r="U6" s="14">
        <f t="shared" ca="1" si="19"/>
        <v>0</v>
      </c>
      <c r="V6" s="14">
        <f t="shared" ca="1" si="20"/>
        <v>0</v>
      </c>
      <c r="W6" s="14">
        <f t="shared" ca="1" si="21"/>
        <v>0</v>
      </c>
      <c r="Y6" s="17">
        <f ca="1">IF($A6=0,0,SUMIF('Week 1 Roster'!$AZ:$AZ,$B6,'Week 1 Roster'!$AE:$AE))</f>
        <v>0</v>
      </c>
      <c r="Z6" s="17">
        <f ca="1">IF($A6=0,0,SUMIF('Week 1 Roster'!$AZ:$AZ,$B6,'Week 1 Roster'!$AG:$AG))</f>
        <v>0</v>
      </c>
      <c r="AA6" s="17">
        <f ca="1">IF($A6=0,0,SUMIF('Week 1 Roster'!$AZ:$AZ,$B6,'Week 1 Roster'!$AI:$AI))</f>
        <v>0</v>
      </c>
      <c r="AB6" s="17">
        <f ca="1">IF($A6=0,0,SUMIF('Week 1 Roster'!$AZ:$AZ,$B6,'Week 1 Roster'!$AK:$AK))</f>
        <v>0</v>
      </c>
      <c r="AC6" s="17">
        <f ca="1">IF($A6=0,0,SUMIF('Week 1 Roster'!$AZ:$AZ,$B6,'Week 1 Roster'!$AM:$AM))</f>
        <v>0</v>
      </c>
      <c r="AD6" s="17">
        <f ca="1">IF($A6=0,0,SUMIF('Week 1 Roster'!$AZ:$AZ,$B6,'Week 1 Roster'!$AO:$AO))</f>
        <v>0</v>
      </c>
      <c r="AE6" s="38">
        <f ca="1">IF($A6=0,0,SUMIF('Week 1 Roster'!$AZ:$AZ,$B6,'Week 1 Roster'!$AP:$AP))</f>
        <v>0</v>
      </c>
      <c r="AF6" s="17">
        <f ca="1">IF($A6=0,0,SUMIF('Week 1 Roster'!$AZ:$AZ,$B6,'Week 1 Roster'!$AQ:$AQ))</f>
        <v>0</v>
      </c>
      <c r="AG6" s="17">
        <f ca="1">IF($A6=0,0,SUMIF('Week 1 Roster'!$AZ:$AZ,$B6,'Week 1 Roster'!$AR:$AR))</f>
        <v>0</v>
      </c>
      <c r="AH6" s="17">
        <f ca="1">IF($A6=0,0,SUMIF('Week 1 Roster'!$AZ:$AZ,$B6,'Week 1 Roster'!$AS:$AS))</f>
        <v>0</v>
      </c>
      <c r="AI6" s="17">
        <f t="shared" ca="1" si="22"/>
        <v>0</v>
      </c>
      <c r="AK6" s="17">
        <f ca="1">IF($A6=0,0,SUMIF('Week 2 Roster'!$AZ:$AZ,$B6,'Week 2 Roster'!$AE:$AE))</f>
        <v>0</v>
      </c>
      <c r="AL6" s="17">
        <f ca="1">IF($A6=0,0,SUMIF('Week 2 Roster'!$AZ:$AZ,$B6,'Week 2 Roster'!$AG:$AG))</f>
        <v>0</v>
      </c>
      <c r="AM6" s="17">
        <f ca="1">IF($A6=0,0,SUMIF('Week 2 Roster'!$AZ:$AZ,$B6,'Week 2 Roster'!$AI:$AI))</f>
        <v>0</v>
      </c>
      <c r="AN6" s="17">
        <f ca="1">IF($A6=0,0,SUMIF('Week 2 Roster'!$AZ:$AZ,$B6,'Week 2 Roster'!$AK:$AK))</f>
        <v>0</v>
      </c>
      <c r="AO6" s="17">
        <f ca="1">IF($A6=0,0,SUMIF('Week 2 Roster'!$AZ:$AZ,$B6,'Week 2 Roster'!$AM:$AM))</f>
        <v>0</v>
      </c>
      <c r="AP6" s="17">
        <f ca="1">IF($A6=0,0,SUMIF('Week 2 Roster'!$AZ:$AZ,$B6,'Week 2 Roster'!$AO:$AO))</f>
        <v>0</v>
      </c>
      <c r="AQ6" s="38">
        <f ca="1">IF($A6=0,0,SUMIF('Week 2 Roster'!$AZ:$AZ,$B6,'Week 2 Roster'!$AP:$AP))</f>
        <v>0</v>
      </c>
      <c r="AR6" s="17">
        <f ca="1">IF($A6=0,0,SUMIF('Week 2 Roster'!$AZ:$AZ,$B6,'Week 2 Roster'!$AQ:$AQ))</f>
        <v>0</v>
      </c>
      <c r="AS6" s="17">
        <f ca="1">IF($A6=0,0,SUMIF('Week 2 Roster'!$AZ:$AZ,$B6,'Week 2 Roster'!$AR:$AR))</f>
        <v>0</v>
      </c>
      <c r="AT6" s="17">
        <f ca="1">IF($A6=0,0,SUMIF('Week 2 Roster'!$AZ:$AZ,$B6,'Week 2 Roster'!$AS:$AS))</f>
        <v>0</v>
      </c>
      <c r="AU6" s="17">
        <f t="shared" ca="1" si="23"/>
        <v>0</v>
      </c>
      <c r="AV6" s="17"/>
      <c r="AW6" s="25" t="str">
        <f>'Week 1 Roster'!A6</f>
        <v/>
      </c>
      <c r="AX6" s="25" t="str">
        <f>'Week 2 Roster'!A6</f>
        <v/>
      </c>
    </row>
    <row r="7" spans="1:50">
      <c r="A7" s="16" cm="1">
        <f t="array" aca="1" ref="A7" ca="1">_xlfn.NUMBERVALUE(INDIRECT(TEXT(MIN(IF(($AW$2:$AX$300&lt;&gt;"")*(COUNTIF($B$1:B6,$AW$2:$AX$300)=0),ROW($2:$300)*100+COLUMN($AW:$AX),7^8)),"R0C00"),)&amp;"")</f>
        <v>0</v>
      </c>
      <c r="B7" s="28" t="str">
        <f t="shared" ca="1" si="9"/>
        <v/>
      </c>
      <c r="C7" s="28" t="str">
        <f ca="1">IF($A7=0,"",VLOOKUP($B7,Employees!$A:$G,2,FALSE))</f>
        <v/>
      </c>
      <c r="D7" s="28" t="str">
        <f ca="1">IF($A7=0,"",VLOOKUP($B7,Employees!$A:$G,3,FALSE))</f>
        <v/>
      </c>
      <c r="E7" s="26" t="str">
        <f ca="1">IF($A7=0,"",VLOOKUP($B7,Employees!$A:$G,5,FALSE))</f>
        <v/>
      </c>
      <c r="F7" s="13" t="str">
        <f ca="1">IF($E7="","",ROUNDDOWN(YEARFRAC($E7, 'Week 1 Roster'!$D$1-1, 1), 0))</f>
        <v/>
      </c>
      <c r="G7" s="13" t="str">
        <f ca="1">IF($E7="","",ROUNDDOWN(YEARFRAC($E7, 'Week 1 Roster'!$D$1+14, 1), 0))</f>
        <v/>
      </c>
      <c r="H7" s="13" t="str">
        <f t="shared" ca="1" si="10"/>
        <v/>
      </c>
      <c r="I7" s="13" t="str">
        <f ca="1">IF($A7=0,"",VLOOKUP($B7,Employees!$A:$G,6,FALSE))</f>
        <v/>
      </c>
      <c r="J7" s="13" t="str">
        <f ca="1">IF($A7=0,"",VLOOKUP($B7,Employees!$A:$G,7,FALSE))</f>
        <v/>
      </c>
      <c r="K7" s="13" t="str">
        <f ca="1">IF($A7=0,"",IF(ISNA(VLOOKUP(A7,'Week 1 Roster'!A:C,2,0)),VLOOKUP(A7,'Week 2 Roster'!A:C,2,0),VLOOKUP(A7,'Week 1 Roster'!A:C,2,0)))</f>
        <v/>
      </c>
      <c r="L7" s="13" t="str">
        <f ca="1">IF($A7=0,"",VLOOKUP(K7,Stores!A:B,2,0))</f>
        <v/>
      </c>
      <c r="M7" s="14">
        <f t="shared" ca="1" si="11"/>
        <v>0</v>
      </c>
      <c r="N7" s="14">
        <f t="shared" ca="1" si="12"/>
        <v>0</v>
      </c>
      <c r="O7" s="14">
        <f t="shared" ca="1" si="13"/>
        <v>0</v>
      </c>
      <c r="P7" s="14">
        <f t="shared" ca="1" si="14"/>
        <v>0</v>
      </c>
      <c r="Q7" s="14">
        <f t="shared" ca="1" si="15"/>
        <v>0</v>
      </c>
      <c r="R7" s="14">
        <f t="shared" ca="1" si="16"/>
        <v>0</v>
      </c>
      <c r="S7" s="28">
        <f t="shared" ca="1" si="17"/>
        <v>0</v>
      </c>
      <c r="T7" s="14">
        <f t="shared" ca="1" si="18"/>
        <v>0</v>
      </c>
      <c r="U7" s="14">
        <f t="shared" ca="1" si="19"/>
        <v>0</v>
      </c>
      <c r="V7" s="14">
        <f t="shared" ca="1" si="20"/>
        <v>0</v>
      </c>
      <c r="W7" s="14">
        <f t="shared" ca="1" si="21"/>
        <v>0</v>
      </c>
      <c r="Y7" s="17">
        <f ca="1">IF($A7=0,0,SUMIF('Week 1 Roster'!$AZ:$AZ,$B7,'Week 1 Roster'!$AE:$AE))</f>
        <v>0</v>
      </c>
      <c r="Z7" s="17">
        <f ca="1">IF($A7=0,0,SUMIF('Week 1 Roster'!$AZ:$AZ,$B7,'Week 1 Roster'!$AG:$AG))</f>
        <v>0</v>
      </c>
      <c r="AA7" s="17">
        <f ca="1">IF($A7=0,0,SUMIF('Week 1 Roster'!$AZ:$AZ,$B7,'Week 1 Roster'!$AI:$AI))</f>
        <v>0</v>
      </c>
      <c r="AB7" s="17">
        <f ca="1">IF($A7=0,0,SUMIF('Week 1 Roster'!$AZ:$AZ,$B7,'Week 1 Roster'!$AK:$AK))</f>
        <v>0</v>
      </c>
      <c r="AC7" s="17">
        <f ca="1">IF($A7=0,0,SUMIF('Week 1 Roster'!$AZ:$AZ,$B7,'Week 1 Roster'!$AM:$AM))</f>
        <v>0</v>
      </c>
      <c r="AD7" s="17">
        <f ca="1">IF($A7=0,0,SUMIF('Week 1 Roster'!$AZ:$AZ,$B7,'Week 1 Roster'!$AO:$AO))</f>
        <v>0</v>
      </c>
      <c r="AE7" s="38">
        <f ca="1">IF($A7=0,0,SUMIF('Week 1 Roster'!$AZ:$AZ,$B7,'Week 1 Roster'!$AP:$AP))</f>
        <v>0</v>
      </c>
      <c r="AF7" s="17">
        <f ca="1">IF($A7=0,0,SUMIF('Week 1 Roster'!$AZ:$AZ,$B7,'Week 1 Roster'!$AQ:$AQ))</f>
        <v>0</v>
      </c>
      <c r="AG7" s="17">
        <f ca="1">IF($A7=0,0,SUMIF('Week 1 Roster'!$AZ:$AZ,$B7,'Week 1 Roster'!$AR:$AR))</f>
        <v>0</v>
      </c>
      <c r="AH7" s="17">
        <f ca="1">IF($A7=0,0,SUMIF('Week 1 Roster'!$AZ:$AZ,$B7,'Week 1 Roster'!$AS:$AS))</f>
        <v>0</v>
      </c>
      <c r="AI7" s="17">
        <f t="shared" ca="1" si="22"/>
        <v>0</v>
      </c>
      <c r="AK7" s="17">
        <f ca="1">IF($A7=0,0,SUMIF('Week 2 Roster'!$AZ:$AZ,$B7,'Week 2 Roster'!$AE:$AE))</f>
        <v>0</v>
      </c>
      <c r="AL7" s="17">
        <f ca="1">IF($A7=0,0,SUMIF('Week 2 Roster'!$AZ:$AZ,$B7,'Week 2 Roster'!$AG:$AG))</f>
        <v>0</v>
      </c>
      <c r="AM7" s="17">
        <f ca="1">IF($A7=0,0,SUMIF('Week 2 Roster'!$AZ:$AZ,$B7,'Week 2 Roster'!$AI:$AI))</f>
        <v>0</v>
      </c>
      <c r="AN7" s="17">
        <f ca="1">IF($A7=0,0,SUMIF('Week 2 Roster'!$AZ:$AZ,$B7,'Week 2 Roster'!$AK:$AK))</f>
        <v>0</v>
      </c>
      <c r="AO7" s="17">
        <f ca="1">IF($A7=0,0,SUMIF('Week 2 Roster'!$AZ:$AZ,$B7,'Week 2 Roster'!$AM:$AM))</f>
        <v>0</v>
      </c>
      <c r="AP7" s="17">
        <f ca="1">IF($A7=0,0,SUMIF('Week 2 Roster'!$AZ:$AZ,$B7,'Week 2 Roster'!$AO:$AO))</f>
        <v>0</v>
      </c>
      <c r="AQ7" s="38">
        <f ca="1">IF($A7=0,0,SUMIF('Week 2 Roster'!$AZ:$AZ,$B7,'Week 2 Roster'!$AP:$AP))</f>
        <v>0</v>
      </c>
      <c r="AR7" s="17">
        <f ca="1">IF($A7=0,0,SUMIF('Week 2 Roster'!$AZ:$AZ,$B7,'Week 2 Roster'!$AQ:$AQ))</f>
        <v>0</v>
      </c>
      <c r="AS7" s="17">
        <f ca="1">IF($A7=0,0,SUMIF('Week 2 Roster'!$AZ:$AZ,$B7,'Week 2 Roster'!$AR:$AR))</f>
        <v>0</v>
      </c>
      <c r="AT7" s="17">
        <f ca="1">IF($A7=0,0,SUMIF('Week 2 Roster'!$AZ:$AZ,$B7,'Week 2 Roster'!$AS:$AS))</f>
        <v>0</v>
      </c>
      <c r="AU7" s="17">
        <f t="shared" ca="1" si="23"/>
        <v>0</v>
      </c>
      <c r="AV7" s="17"/>
      <c r="AW7" s="25" t="str">
        <f>'Week 1 Roster'!A7</f>
        <v/>
      </c>
      <c r="AX7" s="25">
        <f>'Week 2 Roster'!A7</f>
        <v>10059</v>
      </c>
    </row>
    <row r="8" spans="1:50">
      <c r="A8" s="16" cm="1">
        <f t="array" aca="1" ref="A8" ca="1">_xlfn.NUMBERVALUE(INDIRECT(TEXT(MIN(IF(($AW$2:$AX$300&lt;&gt;"")*(COUNTIF($B$1:B7,$AW$2:$AX$300)=0),ROW($2:$300)*100+COLUMN($AW:$AX),7^8)),"R0C00"),)&amp;"")</f>
        <v>0</v>
      </c>
      <c r="B8" s="28" t="str">
        <f t="shared" ca="1" si="9"/>
        <v/>
      </c>
      <c r="C8" s="28" t="str">
        <f ca="1">IF($A8=0,"",VLOOKUP($B8,Employees!$A:$G,2,FALSE))</f>
        <v/>
      </c>
      <c r="D8" s="28" t="str">
        <f ca="1">IF($A8=0,"",VLOOKUP($B8,Employees!$A:$G,3,FALSE))</f>
        <v/>
      </c>
      <c r="E8" s="26" t="str">
        <f ca="1">IF($A8=0,"",VLOOKUP($B8,Employees!$A:$G,5,FALSE))</f>
        <v/>
      </c>
      <c r="F8" s="13" t="str">
        <f ca="1">IF($E8="","",ROUNDDOWN(YEARFRAC($E8, 'Week 1 Roster'!$D$1-1, 1), 0))</f>
        <v/>
      </c>
      <c r="G8" s="13" t="str">
        <f ca="1">IF($E8="","",ROUNDDOWN(YEARFRAC($E8, 'Week 1 Roster'!$D$1+14, 1), 0))</f>
        <v/>
      </c>
      <c r="H8" s="13" t="str">
        <f t="shared" ca="1" si="10"/>
        <v/>
      </c>
      <c r="I8" s="13" t="str">
        <f ca="1">IF($A8=0,"",VLOOKUP($B8,Employees!$A:$G,6,FALSE))</f>
        <v/>
      </c>
      <c r="J8" s="13" t="str">
        <f ca="1">IF($A8=0,"",VLOOKUP($B8,Employees!$A:$G,7,FALSE))</f>
        <v/>
      </c>
      <c r="K8" s="13" t="str">
        <f ca="1">IF($A8=0,"",IF(ISNA(VLOOKUP(A8,'Week 1 Roster'!A:C,2,0)),VLOOKUP(A8,'Week 2 Roster'!A:C,2,0),VLOOKUP(A8,'Week 1 Roster'!A:C,2,0)))</f>
        <v/>
      </c>
      <c r="L8" s="13" t="str">
        <f ca="1">IF($A8=0,"",VLOOKUP(K8,Stores!A:B,2,0))</f>
        <v/>
      </c>
      <c r="M8" s="14">
        <f t="shared" ca="1" si="11"/>
        <v>0</v>
      </c>
      <c r="N8" s="14">
        <f t="shared" ca="1" si="12"/>
        <v>0</v>
      </c>
      <c r="O8" s="14">
        <f t="shared" ca="1" si="13"/>
        <v>0</v>
      </c>
      <c r="P8" s="14">
        <f t="shared" ca="1" si="14"/>
        <v>0</v>
      </c>
      <c r="Q8" s="14">
        <f t="shared" ca="1" si="15"/>
        <v>0</v>
      </c>
      <c r="R8" s="14">
        <f t="shared" ca="1" si="16"/>
        <v>0</v>
      </c>
      <c r="S8" s="28">
        <f t="shared" ca="1" si="17"/>
        <v>0</v>
      </c>
      <c r="T8" s="14">
        <f t="shared" ca="1" si="18"/>
        <v>0</v>
      </c>
      <c r="U8" s="14">
        <f t="shared" ca="1" si="19"/>
        <v>0</v>
      </c>
      <c r="V8" s="14">
        <f t="shared" ca="1" si="20"/>
        <v>0</v>
      </c>
      <c r="W8" s="14">
        <f t="shared" ca="1" si="21"/>
        <v>0</v>
      </c>
      <c r="Y8" s="17">
        <f ca="1">IF($A8=0,0,SUMIF('Week 1 Roster'!$AZ:$AZ,$B8,'Week 1 Roster'!$AE:$AE))</f>
        <v>0</v>
      </c>
      <c r="Z8" s="17">
        <f ca="1">IF($A8=0,0,SUMIF('Week 1 Roster'!$AZ:$AZ,$B8,'Week 1 Roster'!$AG:$AG))</f>
        <v>0</v>
      </c>
      <c r="AA8" s="17">
        <f ca="1">IF($A8=0,0,SUMIF('Week 1 Roster'!$AZ:$AZ,$B8,'Week 1 Roster'!$AI:$AI))</f>
        <v>0</v>
      </c>
      <c r="AB8" s="17">
        <f ca="1">IF($A8=0,0,SUMIF('Week 1 Roster'!$AZ:$AZ,$B8,'Week 1 Roster'!$AK:$AK))</f>
        <v>0</v>
      </c>
      <c r="AC8" s="17">
        <f ca="1">IF($A8=0,0,SUMIF('Week 1 Roster'!$AZ:$AZ,$B8,'Week 1 Roster'!$AM:$AM))</f>
        <v>0</v>
      </c>
      <c r="AD8" s="17">
        <f ca="1">IF($A8=0,0,SUMIF('Week 1 Roster'!$AZ:$AZ,$B8,'Week 1 Roster'!$AO:$AO))</f>
        <v>0</v>
      </c>
      <c r="AE8" s="38">
        <f ca="1">IF($A8=0,0,SUMIF('Week 1 Roster'!$AZ:$AZ,$B8,'Week 1 Roster'!$AP:$AP))</f>
        <v>0</v>
      </c>
      <c r="AF8" s="17">
        <f ca="1">IF($A8=0,0,SUMIF('Week 1 Roster'!$AZ:$AZ,$B8,'Week 1 Roster'!$AQ:$AQ))</f>
        <v>0</v>
      </c>
      <c r="AG8" s="17">
        <f ca="1">IF($A8=0,0,SUMIF('Week 1 Roster'!$AZ:$AZ,$B8,'Week 1 Roster'!$AR:$AR))</f>
        <v>0</v>
      </c>
      <c r="AH8" s="17">
        <f ca="1">IF($A8=0,0,SUMIF('Week 1 Roster'!$AZ:$AZ,$B8,'Week 1 Roster'!$AS:$AS))</f>
        <v>0</v>
      </c>
      <c r="AI8" s="17">
        <f t="shared" ca="1" si="22"/>
        <v>0</v>
      </c>
      <c r="AK8" s="17">
        <f ca="1">IF($A8=0,0,SUMIF('Week 2 Roster'!$AZ:$AZ,$B8,'Week 2 Roster'!$AE:$AE))</f>
        <v>0</v>
      </c>
      <c r="AL8" s="17">
        <f ca="1">IF($A8=0,0,SUMIF('Week 2 Roster'!$AZ:$AZ,$B8,'Week 2 Roster'!$AG:$AG))</f>
        <v>0</v>
      </c>
      <c r="AM8" s="17">
        <f ca="1">IF($A8=0,0,SUMIF('Week 2 Roster'!$AZ:$AZ,$B8,'Week 2 Roster'!$AI:$AI))</f>
        <v>0</v>
      </c>
      <c r="AN8" s="17">
        <f ca="1">IF($A8=0,0,SUMIF('Week 2 Roster'!$AZ:$AZ,$B8,'Week 2 Roster'!$AK:$AK))</f>
        <v>0</v>
      </c>
      <c r="AO8" s="17">
        <f ca="1">IF($A8=0,0,SUMIF('Week 2 Roster'!$AZ:$AZ,$B8,'Week 2 Roster'!$AM:$AM))</f>
        <v>0</v>
      </c>
      <c r="AP8" s="17">
        <f ca="1">IF($A8=0,0,SUMIF('Week 2 Roster'!$AZ:$AZ,$B8,'Week 2 Roster'!$AO:$AO))</f>
        <v>0</v>
      </c>
      <c r="AQ8" s="38">
        <f ca="1">IF($A8=0,0,SUMIF('Week 2 Roster'!$AZ:$AZ,$B8,'Week 2 Roster'!$AP:$AP))</f>
        <v>0</v>
      </c>
      <c r="AR8" s="17">
        <f ca="1">IF($A8=0,0,SUMIF('Week 2 Roster'!$AZ:$AZ,$B8,'Week 2 Roster'!$AQ:$AQ))</f>
        <v>0</v>
      </c>
      <c r="AS8" s="17">
        <f ca="1">IF($A8=0,0,SUMIF('Week 2 Roster'!$AZ:$AZ,$B8,'Week 2 Roster'!$AR:$AR))</f>
        <v>0</v>
      </c>
      <c r="AT8" s="17">
        <f ca="1">IF($A8=0,0,SUMIF('Week 2 Roster'!$AZ:$AZ,$B8,'Week 2 Roster'!$AS:$AS))</f>
        <v>0</v>
      </c>
      <c r="AU8" s="17">
        <f t="shared" ca="1" si="23"/>
        <v>0</v>
      </c>
      <c r="AV8" s="17"/>
      <c r="AW8" s="25" t="str">
        <f>'Week 1 Roster'!A8</f>
        <v/>
      </c>
      <c r="AX8" s="25">
        <f>'Week 2 Roster'!A8</f>
        <v>210527</v>
      </c>
    </row>
    <row r="9" spans="1:50">
      <c r="A9" s="16" cm="1">
        <f t="array" aca="1" ref="A9" ca="1">_xlfn.NUMBERVALUE(INDIRECT(TEXT(MIN(IF(($AW$2:$AX$300&lt;&gt;"")*(COUNTIF($B$1:B8,$AW$2:$AX$300)=0),ROW($2:$300)*100+COLUMN($AW:$AX),7^8)),"R0C00"),)&amp;"")</f>
        <v>0</v>
      </c>
      <c r="B9" s="28" t="str">
        <f t="shared" ca="1" si="9"/>
        <v/>
      </c>
      <c r="C9" s="28" t="str">
        <f ca="1">IF($A9=0,"",VLOOKUP($B9,Employees!$A:$G,2,FALSE))</f>
        <v/>
      </c>
      <c r="D9" s="28" t="str">
        <f ca="1">IF($A9=0,"",VLOOKUP($B9,Employees!$A:$G,3,FALSE))</f>
        <v/>
      </c>
      <c r="E9" s="26" t="str">
        <f ca="1">IF($A9=0,"",VLOOKUP($B9,Employees!$A:$G,5,FALSE))</f>
        <v/>
      </c>
      <c r="F9" s="13" t="str">
        <f ca="1">IF($E9="","",ROUNDDOWN(YEARFRAC($E9, 'Week 1 Roster'!$D$1-1, 1), 0))</f>
        <v/>
      </c>
      <c r="G9" s="13" t="str">
        <f ca="1">IF($E9="","",ROUNDDOWN(YEARFRAC($E9, 'Week 1 Roster'!$D$1+14, 1), 0))</f>
        <v/>
      </c>
      <c r="H9" s="13" t="str">
        <f t="shared" ca="1" si="10"/>
        <v/>
      </c>
      <c r="I9" s="13" t="str">
        <f ca="1">IF($A9=0,"",VLOOKUP($B9,Employees!$A:$G,6,FALSE))</f>
        <v/>
      </c>
      <c r="J9" s="13" t="str">
        <f ca="1">IF($A9=0,"",VLOOKUP($B9,Employees!$A:$G,7,FALSE))</f>
        <v/>
      </c>
      <c r="K9" s="13" t="str">
        <f ca="1">IF($A9=0,"",IF(ISNA(VLOOKUP(A9,'Week 1 Roster'!A:C,2,0)),VLOOKUP(A9,'Week 2 Roster'!A:C,2,0),VLOOKUP(A9,'Week 1 Roster'!A:C,2,0)))</f>
        <v/>
      </c>
      <c r="L9" s="13" t="str">
        <f ca="1">IF($A9=0,"",VLOOKUP(K9,Stores!A:B,2,0))</f>
        <v/>
      </c>
      <c r="M9" s="14">
        <f t="shared" ca="1" si="11"/>
        <v>0</v>
      </c>
      <c r="N9" s="14">
        <f t="shared" ca="1" si="12"/>
        <v>0</v>
      </c>
      <c r="O9" s="14">
        <f t="shared" ca="1" si="13"/>
        <v>0</v>
      </c>
      <c r="P9" s="14">
        <f t="shared" ca="1" si="14"/>
        <v>0</v>
      </c>
      <c r="Q9" s="14">
        <f t="shared" ca="1" si="15"/>
        <v>0</v>
      </c>
      <c r="R9" s="14">
        <f t="shared" ca="1" si="16"/>
        <v>0</v>
      </c>
      <c r="S9" s="28">
        <f t="shared" ca="1" si="17"/>
        <v>0</v>
      </c>
      <c r="T9" s="14">
        <f t="shared" ca="1" si="18"/>
        <v>0</v>
      </c>
      <c r="U9" s="14">
        <f t="shared" ca="1" si="19"/>
        <v>0</v>
      </c>
      <c r="V9" s="14">
        <f t="shared" ca="1" si="20"/>
        <v>0</v>
      </c>
      <c r="W9" s="14">
        <f t="shared" ca="1" si="21"/>
        <v>0</v>
      </c>
      <c r="Y9" s="17">
        <f ca="1">IF($A9=0,0,SUMIF('Week 1 Roster'!$AZ:$AZ,$B9,'Week 1 Roster'!$AE:$AE))</f>
        <v>0</v>
      </c>
      <c r="Z9" s="17">
        <f ca="1">IF($A9=0,0,SUMIF('Week 1 Roster'!$AZ:$AZ,$B9,'Week 1 Roster'!$AG:$AG))</f>
        <v>0</v>
      </c>
      <c r="AA9" s="17">
        <f ca="1">IF($A9=0,0,SUMIF('Week 1 Roster'!$AZ:$AZ,$B9,'Week 1 Roster'!$AI:$AI))</f>
        <v>0</v>
      </c>
      <c r="AB9" s="17">
        <f ca="1">IF($A9=0,0,SUMIF('Week 1 Roster'!$AZ:$AZ,$B9,'Week 1 Roster'!$AK:$AK))</f>
        <v>0</v>
      </c>
      <c r="AC9" s="17">
        <f ca="1">IF($A9=0,0,SUMIF('Week 1 Roster'!$AZ:$AZ,$B9,'Week 1 Roster'!$AM:$AM))</f>
        <v>0</v>
      </c>
      <c r="AD9" s="17">
        <f ca="1">IF($A9=0,0,SUMIF('Week 1 Roster'!$AZ:$AZ,$B9,'Week 1 Roster'!$AO:$AO))</f>
        <v>0</v>
      </c>
      <c r="AE9" s="38">
        <f ca="1">IF($A9=0,0,SUMIF('Week 1 Roster'!$AZ:$AZ,$B9,'Week 1 Roster'!$AP:$AP))</f>
        <v>0</v>
      </c>
      <c r="AF9" s="17">
        <f ca="1">IF($A9=0,0,SUMIF('Week 1 Roster'!$AZ:$AZ,$B9,'Week 1 Roster'!$AQ:$AQ))</f>
        <v>0</v>
      </c>
      <c r="AG9" s="17">
        <f ca="1">IF($A9=0,0,SUMIF('Week 1 Roster'!$AZ:$AZ,$B9,'Week 1 Roster'!$AR:$AR))</f>
        <v>0</v>
      </c>
      <c r="AH9" s="17">
        <f ca="1">IF($A9=0,0,SUMIF('Week 1 Roster'!$AZ:$AZ,$B9,'Week 1 Roster'!$AS:$AS))</f>
        <v>0</v>
      </c>
      <c r="AI9" s="17">
        <f t="shared" ca="1" si="22"/>
        <v>0</v>
      </c>
      <c r="AK9" s="17">
        <f ca="1">IF($A9=0,0,SUMIF('Week 2 Roster'!$AZ:$AZ,$B9,'Week 2 Roster'!$AE:$AE))</f>
        <v>0</v>
      </c>
      <c r="AL9" s="17">
        <f ca="1">IF($A9=0,0,SUMIF('Week 2 Roster'!$AZ:$AZ,$B9,'Week 2 Roster'!$AG:$AG))</f>
        <v>0</v>
      </c>
      <c r="AM9" s="17">
        <f ca="1">IF($A9=0,0,SUMIF('Week 2 Roster'!$AZ:$AZ,$B9,'Week 2 Roster'!$AI:$AI))</f>
        <v>0</v>
      </c>
      <c r="AN9" s="17">
        <f ca="1">IF($A9=0,0,SUMIF('Week 2 Roster'!$AZ:$AZ,$B9,'Week 2 Roster'!$AK:$AK))</f>
        <v>0</v>
      </c>
      <c r="AO9" s="17">
        <f ca="1">IF($A9=0,0,SUMIF('Week 2 Roster'!$AZ:$AZ,$B9,'Week 2 Roster'!$AM:$AM))</f>
        <v>0</v>
      </c>
      <c r="AP9" s="17">
        <f ca="1">IF($A9=0,0,SUMIF('Week 2 Roster'!$AZ:$AZ,$B9,'Week 2 Roster'!$AO:$AO))</f>
        <v>0</v>
      </c>
      <c r="AQ9" s="38">
        <f ca="1">IF($A9=0,0,SUMIF('Week 2 Roster'!$AZ:$AZ,$B9,'Week 2 Roster'!$AP:$AP))</f>
        <v>0</v>
      </c>
      <c r="AR9" s="17">
        <f ca="1">IF($A9=0,0,SUMIF('Week 2 Roster'!$AZ:$AZ,$B9,'Week 2 Roster'!$AQ:$AQ))</f>
        <v>0</v>
      </c>
      <c r="AS9" s="17">
        <f ca="1">IF($A9=0,0,SUMIF('Week 2 Roster'!$AZ:$AZ,$B9,'Week 2 Roster'!$AR:$AR))</f>
        <v>0</v>
      </c>
      <c r="AT9" s="17">
        <f ca="1">IF($A9=0,0,SUMIF('Week 2 Roster'!$AZ:$AZ,$B9,'Week 2 Roster'!$AS:$AS))</f>
        <v>0</v>
      </c>
      <c r="AU9" s="17">
        <f t="shared" ca="1" si="23"/>
        <v>0</v>
      </c>
      <c r="AV9" s="17"/>
      <c r="AW9" s="25" t="str">
        <f>'Week 1 Roster'!A9</f>
        <v/>
      </c>
      <c r="AX9" s="25" t="str">
        <f>'Week 2 Roster'!A9</f>
        <v/>
      </c>
    </row>
    <row r="10" spans="1:50">
      <c r="A10" s="16" cm="1">
        <f t="array" aca="1" ref="A10" ca="1">_xlfn.NUMBERVALUE(INDIRECT(TEXT(MIN(IF(($AW$2:$AX$300&lt;&gt;"")*(COUNTIF($B$1:B9,$AW$2:$AX$300)=0),ROW($2:$300)*100+COLUMN($AW:$AX),7^8)),"R0C00"),)&amp;"")</f>
        <v>0</v>
      </c>
      <c r="B10" s="28" t="str">
        <f t="shared" ca="1" si="9"/>
        <v/>
      </c>
      <c r="C10" s="28" t="str">
        <f ca="1">IF($A10=0,"",VLOOKUP($B10,Employees!$A:$G,2,FALSE))</f>
        <v/>
      </c>
      <c r="D10" s="28" t="str">
        <f ca="1">IF($A10=0,"",VLOOKUP($B10,Employees!$A:$G,3,FALSE))</f>
        <v/>
      </c>
      <c r="E10" s="26" t="str">
        <f ca="1">IF($A10=0,"",VLOOKUP($B10,Employees!$A:$G,5,FALSE))</f>
        <v/>
      </c>
      <c r="F10" s="13" t="str">
        <f ca="1">IF($E10="","",ROUNDDOWN(YEARFRAC($E10, 'Week 1 Roster'!$D$1-1, 1), 0))</f>
        <v/>
      </c>
      <c r="G10" s="13" t="str">
        <f ca="1">IF($E10="","",ROUNDDOWN(YEARFRAC($E10, 'Week 1 Roster'!$D$1+14, 1), 0))</f>
        <v/>
      </c>
      <c r="H10" s="13" t="str">
        <f t="shared" ca="1" si="10"/>
        <v/>
      </c>
      <c r="I10" s="13" t="str">
        <f ca="1">IF($A10=0,"",VLOOKUP($B10,Employees!$A:$G,6,FALSE))</f>
        <v/>
      </c>
      <c r="J10" s="13" t="str">
        <f ca="1">IF($A10=0,"",VLOOKUP($B10,Employees!$A:$G,7,FALSE))</f>
        <v/>
      </c>
      <c r="K10" s="13" t="str">
        <f ca="1">IF($A10=0,"",IF(ISNA(VLOOKUP(A10,'Week 1 Roster'!A:C,2,0)),VLOOKUP(A10,'Week 2 Roster'!A:C,2,0),VLOOKUP(A10,'Week 1 Roster'!A:C,2,0)))</f>
        <v/>
      </c>
      <c r="L10" s="13" t="str">
        <f ca="1">IF($A10=0,"",VLOOKUP(K10,Stores!A:B,2,0))</f>
        <v/>
      </c>
      <c r="M10" s="14">
        <f t="shared" ca="1" si="11"/>
        <v>0</v>
      </c>
      <c r="N10" s="14">
        <f t="shared" ca="1" si="12"/>
        <v>0</v>
      </c>
      <c r="O10" s="14">
        <f t="shared" ca="1" si="13"/>
        <v>0</v>
      </c>
      <c r="P10" s="14">
        <f t="shared" ca="1" si="14"/>
        <v>0</v>
      </c>
      <c r="Q10" s="14">
        <f t="shared" ca="1" si="15"/>
        <v>0</v>
      </c>
      <c r="R10" s="14">
        <f t="shared" ca="1" si="16"/>
        <v>0</v>
      </c>
      <c r="S10" s="28">
        <f t="shared" ca="1" si="17"/>
        <v>0</v>
      </c>
      <c r="T10" s="14">
        <f t="shared" ca="1" si="18"/>
        <v>0</v>
      </c>
      <c r="U10" s="14">
        <f t="shared" ca="1" si="19"/>
        <v>0</v>
      </c>
      <c r="V10" s="14">
        <f t="shared" ca="1" si="20"/>
        <v>0</v>
      </c>
      <c r="W10" s="14">
        <f t="shared" ca="1" si="21"/>
        <v>0</v>
      </c>
      <c r="Y10" s="17">
        <f ca="1">IF($A10=0,0,SUMIF('Week 1 Roster'!$AZ:$AZ,$B10,'Week 1 Roster'!$AE:$AE))</f>
        <v>0</v>
      </c>
      <c r="Z10" s="17">
        <f ca="1">IF($A10=0,0,SUMIF('Week 1 Roster'!$AZ:$AZ,$B10,'Week 1 Roster'!$AG:$AG))</f>
        <v>0</v>
      </c>
      <c r="AA10" s="17">
        <f ca="1">IF($A10=0,0,SUMIF('Week 1 Roster'!$AZ:$AZ,$B10,'Week 1 Roster'!$AI:$AI))</f>
        <v>0</v>
      </c>
      <c r="AB10" s="17">
        <f ca="1">IF($A10=0,0,SUMIF('Week 1 Roster'!$AZ:$AZ,$B10,'Week 1 Roster'!$AK:$AK))</f>
        <v>0</v>
      </c>
      <c r="AC10" s="17">
        <f ca="1">IF($A10=0,0,SUMIF('Week 1 Roster'!$AZ:$AZ,$B10,'Week 1 Roster'!$AM:$AM))</f>
        <v>0</v>
      </c>
      <c r="AD10" s="17">
        <f ca="1">IF($A10=0,0,SUMIF('Week 1 Roster'!$AZ:$AZ,$B10,'Week 1 Roster'!$AO:$AO))</f>
        <v>0</v>
      </c>
      <c r="AE10" s="38">
        <f ca="1">IF($A10=0,0,SUMIF('Week 1 Roster'!$AZ:$AZ,$B10,'Week 1 Roster'!$AP:$AP))</f>
        <v>0</v>
      </c>
      <c r="AF10" s="17">
        <f ca="1">IF($A10=0,0,SUMIF('Week 1 Roster'!$AZ:$AZ,$B10,'Week 1 Roster'!$AQ:$AQ))</f>
        <v>0</v>
      </c>
      <c r="AG10" s="17">
        <f ca="1">IF($A10=0,0,SUMIF('Week 1 Roster'!$AZ:$AZ,$B10,'Week 1 Roster'!$AR:$AR))</f>
        <v>0</v>
      </c>
      <c r="AH10" s="17">
        <f ca="1">IF($A10=0,0,SUMIF('Week 1 Roster'!$AZ:$AZ,$B10,'Week 1 Roster'!$AS:$AS))</f>
        <v>0</v>
      </c>
      <c r="AI10" s="17">
        <f t="shared" ca="1" si="22"/>
        <v>0</v>
      </c>
      <c r="AK10" s="17">
        <f ca="1">IF($A10=0,0,SUMIF('Week 2 Roster'!$AZ:$AZ,$B10,'Week 2 Roster'!$AE:$AE))</f>
        <v>0</v>
      </c>
      <c r="AL10" s="17">
        <f ca="1">IF($A10=0,0,SUMIF('Week 2 Roster'!$AZ:$AZ,$B10,'Week 2 Roster'!$AG:$AG))</f>
        <v>0</v>
      </c>
      <c r="AM10" s="17">
        <f ca="1">IF($A10=0,0,SUMIF('Week 2 Roster'!$AZ:$AZ,$B10,'Week 2 Roster'!$AI:$AI))</f>
        <v>0</v>
      </c>
      <c r="AN10" s="17">
        <f ca="1">IF($A10=0,0,SUMIF('Week 2 Roster'!$AZ:$AZ,$B10,'Week 2 Roster'!$AK:$AK))</f>
        <v>0</v>
      </c>
      <c r="AO10" s="17">
        <f ca="1">IF($A10=0,0,SUMIF('Week 2 Roster'!$AZ:$AZ,$B10,'Week 2 Roster'!$AM:$AM))</f>
        <v>0</v>
      </c>
      <c r="AP10" s="17">
        <f ca="1">IF($A10=0,0,SUMIF('Week 2 Roster'!$AZ:$AZ,$B10,'Week 2 Roster'!$AO:$AO))</f>
        <v>0</v>
      </c>
      <c r="AQ10" s="38">
        <f ca="1">IF($A10=0,0,SUMIF('Week 2 Roster'!$AZ:$AZ,$B10,'Week 2 Roster'!$AP:$AP))</f>
        <v>0</v>
      </c>
      <c r="AR10" s="17">
        <f ca="1">IF($A10=0,0,SUMIF('Week 2 Roster'!$AZ:$AZ,$B10,'Week 2 Roster'!$AQ:$AQ))</f>
        <v>0</v>
      </c>
      <c r="AS10" s="17">
        <f ca="1">IF($A10=0,0,SUMIF('Week 2 Roster'!$AZ:$AZ,$B10,'Week 2 Roster'!$AR:$AR))</f>
        <v>0</v>
      </c>
      <c r="AT10" s="17">
        <f ca="1">IF($A10=0,0,SUMIF('Week 2 Roster'!$AZ:$AZ,$B10,'Week 2 Roster'!$AS:$AS))</f>
        <v>0</v>
      </c>
      <c r="AU10" s="17">
        <f t="shared" ca="1" si="23"/>
        <v>0</v>
      </c>
      <c r="AV10" s="17"/>
      <c r="AW10" s="25" t="str">
        <f>'Week 1 Roster'!A10</f>
        <v/>
      </c>
      <c r="AX10" s="25" t="str">
        <f>'Week 2 Roster'!A10</f>
        <v/>
      </c>
    </row>
    <row r="11" spans="1:50">
      <c r="A11" s="16" cm="1">
        <f t="array" aca="1" ref="A11" ca="1">_xlfn.NUMBERVALUE(INDIRECT(TEXT(MIN(IF(($AW$2:$AX$300&lt;&gt;"")*(COUNTIF($B$1:B10,$AW$2:$AX$300)=0),ROW($2:$300)*100+COLUMN($AW:$AX),7^8)),"R0C00"),)&amp;"")</f>
        <v>0</v>
      </c>
      <c r="B11" s="28" t="str">
        <f t="shared" ca="1" si="9"/>
        <v/>
      </c>
      <c r="C11" s="28" t="str">
        <f ca="1">IF($A11=0,"",VLOOKUP($B11,Employees!$A:$G,2,FALSE))</f>
        <v/>
      </c>
      <c r="D11" s="28" t="str">
        <f ca="1">IF($A11=0,"",VLOOKUP($B11,Employees!$A:$G,3,FALSE))</f>
        <v/>
      </c>
      <c r="E11" s="26" t="str">
        <f ca="1">IF($A11=0,"",VLOOKUP($B11,Employees!$A:$G,5,FALSE))</f>
        <v/>
      </c>
      <c r="F11" s="13" t="str">
        <f ca="1">IF($E11="","",ROUNDDOWN(YEARFRAC($E11, 'Week 1 Roster'!$D$1-1, 1), 0))</f>
        <v/>
      </c>
      <c r="G11" s="13" t="str">
        <f ca="1">IF($E11="","",ROUNDDOWN(YEARFRAC($E11, 'Week 1 Roster'!$D$1+14, 1), 0))</f>
        <v/>
      </c>
      <c r="H11" s="13" t="str">
        <f t="shared" ca="1" si="10"/>
        <v/>
      </c>
      <c r="I11" s="13" t="str">
        <f ca="1">IF($A11=0,"",VLOOKUP($B11,Employees!$A:$G,6,FALSE))</f>
        <v/>
      </c>
      <c r="J11" s="13" t="str">
        <f ca="1">IF($A11=0,"",VLOOKUP($B11,Employees!$A:$G,7,FALSE))</f>
        <v/>
      </c>
      <c r="K11" s="13" t="str">
        <f ca="1">IF($A11=0,"",IF(ISNA(VLOOKUP(A11,'Week 1 Roster'!A:C,2,0)),VLOOKUP(A11,'Week 2 Roster'!A:C,2,0),VLOOKUP(A11,'Week 1 Roster'!A:C,2,0)))</f>
        <v/>
      </c>
      <c r="L11" s="13" t="str">
        <f ca="1">IF($A11=0,"",VLOOKUP(K11,Stores!A:B,2,0))</f>
        <v/>
      </c>
      <c r="M11" s="14">
        <f t="shared" ca="1" si="11"/>
        <v>0</v>
      </c>
      <c r="N11" s="14">
        <f t="shared" ca="1" si="12"/>
        <v>0</v>
      </c>
      <c r="O11" s="14">
        <f t="shared" ca="1" si="13"/>
        <v>0</v>
      </c>
      <c r="P11" s="14">
        <f t="shared" ca="1" si="14"/>
        <v>0</v>
      </c>
      <c r="Q11" s="14">
        <f t="shared" ca="1" si="15"/>
        <v>0</v>
      </c>
      <c r="R11" s="14">
        <f t="shared" ca="1" si="16"/>
        <v>0</v>
      </c>
      <c r="S11" s="28">
        <f t="shared" ca="1" si="17"/>
        <v>0</v>
      </c>
      <c r="T11" s="14">
        <f t="shared" ca="1" si="18"/>
        <v>0</v>
      </c>
      <c r="U11" s="14">
        <f t="shared" ca="1" si="19"/>
        <v>0</v>
      </c>
      <c r="V11" s="14">
        <f t="shared" ca="1" si="20"/>
        <v>0</v>
      </c>
      <c r="W11" s="14">
        <f t="shared" ca="1" si="21"/>
        <v>0</v>
      </c>
      <c r="Y11" s="17">
        <f ca="1">IF($A11=0,0,SUMIF('Week 1 Roster'!$AZ:$AZ,$B11,'Week 1 Roster'!$AE:$AE))</f>
        <v>0</v>
      </c>
      <c r="Z11" s="17">
        <f ca="1">IF($A11=0,0,SUMIF('Week 1 Roster'!$AZ:$AZ,$B11,'Week 1 Roster'!$AG:$AG))</f>
        <v>0</v>
      </c>
      <c r="AA11" s="17">
        <f ca="1">IF($A11=0,0,SUMIF('Week 1 Roster'!$AZ:$AZ,$B11,'Week 1 Roster'!$AI:$AI))</f>
        <v>0</v>
      </c>
      <c r="AB11" s="17">
        <f ca="1">IF($A11=0,0,SUMIF('Week 1 Roster'!$AZ:$AZ,$B11,'Week 1 Roster'!$AK:$AK))</f>
        <v>0</v>
      </c>
      <c r="AC11" s="17">
        <f ca="1">IF($A11=0,0,SUMIF('Week 1 Roster'!$AZ:$AZ,$B11,'Week 1 Roster'!$AM:$AM))</f>
        <v>0</v>
      </c>
      <c r="AD11" s="17">
        <f ca="1">IF($A11=0,0,SUMIF('Week 1 Roster'!$AZ:$AZ,$B11,'Week 1 Roster'!$AO:$AO))</f>
        <v>0</v>
      </c>
      <c r="AE11" s="38">
        <f ca="1">IF($A11=0,0,SUMIF('Week 1 Roster'!$AZ:$AZ,$B11,'Week 1 Roster'!$AP:$AP))</f>
        <v>0</v>
      </c>
      <c r="AF11" s="17">
        <f ca="1">IF($A11=0,0,SUMIF('Week 1 Roster'!$AZ:$AZ,$B11,'Week 1 Roster'!$AQ:$AQ))</f>
        <v>0</v>
      </c>
      <c r="AG11" s="17">
        <f ca="1">IF($A11=0,0,SUMIF('Week 1 Roster'!$AZ:$AZ,$B11,'Week 1 Roster'!$AR:$AR))</f>
        <v>0</v>
      </c>
      <c r="AH11" s="17">
        <f ca="1">IF($A11=0,0,SUMIF('Week 1 Roster'!$AZ:$AZ,$B11,'Week 1 Roster'!$AS:$AS))</f>
        <v>0</v>
      </c>
      <c r="AI11" s="17">
        <f t="shared" ca="1" si="22"/>
        <v>0</v>
      </c>
      <c r="AK11" s="17">
        <f ca="1">IF($A11=0,0,SUMIF('Week 2 Roster'!$AZ:$AZ,$B11,'Week 2 Roster'!$AE:$AE))</f>
        <v>0</v>
      </c>
      <c r="AL11" s="17">
        <f ca="1">IF($A11=0,0,SUMIF('Week 2 Roster'!$AZ:$AZ,$B11,'Week 2 Roster'!$AG:$AG))</f>
        <v>0</v>
      </c>
      <c r="AM11" s="17">
        <f ca="1">IF($A11=0,0,SUMIF('Week 2 Roster'!$AZ:$AZ,$B11,'Week 2 Roster'!$AI:$AI))</f>
        <v>0</v>
      </c>
      <c r="AN11" s="17">
        <f ca="1">IF($A11=0,0,SUMIF('Week 2 Roster'!$AZ:$AZ,$B11,'Week 2 Roster'!$AK:$AK))</f>
        <v>0</v>
      </c>
      <c r="AO11" s="17">
        <f ca="1">IF($A11=0,0,SUMIF('Week 2 Roster'!$AZ:$AZ,$B11,'Week 2 Roster'!$AM:$AM))</f>
        <v>0</v>
      </c>
      <c r="AP11" s="17">
        <f ca="1">IF($A11=0,0,SUMIF('Week 2 Roster'!$AZ:$AZ,$B11,'Week 2 Roster'!$AO:$AO))</f>
        <v>0</v>
      </c>
      <c r="AQ11" s="38">
        <f ca="1">IF($A11=0,0,SUMIF('Week 2 Roster'!$AZ:$AZ,$B11,'Week 2 Roster'!$AP:$AP))</f>
        <v>0</v>
      </c>
      <c r="AR11" s="17">
        <f ca="1">IF($A11=0,0,SUMIF('Week 2 Roster'!$AZ:$AZ,$B11,'Week 2 Roster'!$AQ:$AQ))</f>
        <v>0</v>
      </c>
      <c r="AS11" s="17">
        <f ca="1">IF($A11=0,0,SUMIF('Week 2 Roster'!$AZ:$AZ,$B11,'Week 2 Roster'!$AR:$AR))</f>
        <v>0</v>
      </c>
      <c r="AT11" s="17">
        <f ca="1">IF($A11=0,0,SUMIF('Week 2 Roster'!$AZ:$AZ,$B11,'Week 2 Roster'!$AS:$AS))</f>
        <v>0</v>
      </c>
      <c r="AU11" s="17">
        <f t="shared" ca="1" si="23"/>
        <v>0</v>
      </c>
      <c r="AV11" s="17"/>
      <c r="AW11" s="25" t="str">
        <f>'Week 1 Roster'!A11</f>
        <v/>
      </c>
      <c r="AX11" s="25" t="str">
        <f>'Week 2 Roster'!A11</f>
        <v/>
      </c>
    </row>
    <row r="12" spans="1:50">
      <c r="A12" s="16" cm="1">
        <f t="array" aca="1" ref="A12" ca="1">_xlfn.NUMBERVALUE(INDIRECT(TEXT(MIN(IF(($AW$2:$AX$300&lt;&gt;"")*(COUNTIF($B$1:B11,$AW$2:$AX$300)=0),ROW($2:$300)*100+COLUMN($AW:$AX),7^8)),"R0C00"),)&amp;"")</f>
        <v>0</v>
      </c>
      <c r="B12" s="28" t="str">
        <f t="shared" ca="1" si="9"/>
        <v/>
      </c>
      <c r="C12" s="28" t="str">
        <f ca="1">IF($A12=0,"",VLOOKUP($B12,Employees!$A:$G,2,FALSE))</f>
        <v/>
      </c>
      <c r="D12" s="28" t="str">
        <f ca="1">IF($A12=0,"",VLOOKUP($B12,Employees!$A:$G,3,FALSE))</f>
        <v/>
      </c>
      <c r="E12" s="26" t="str">
        <f ca="1">IF($A12=0,"",VLOOKUP($B12,Employees!$A:$G,5,FALSE))</f>
        <v/>
      </c>
      <c r="F12" s="13" t="str">
        <f ca="1">IF($E12="","",ROUNDDOWN(YEARFRAC($E12, 'Week 1 Roster'!$D$1-1, 1), 0))</f>
        <v/>
      </c>
      <c r="G12" s="13" t="str">
        <f ca="1">IF($E12="","",ROUNDDOWN(YEARFRAC($E12, 'Week 1 Roster'!$D$1+14, 1), 0))</f>
        <v/>
      </c>
      <c r="H12" s="13" t="str">
        <f t="shared" ca="1" si="10"/>
        <v/>
      </c>
      <c r="I12" s="13" t="str">
        <f ca="1">IF($A12=0,"",VLOOKUP($B12,Employees!$A:$G,6,FALSE))</f>
        <v/>
      </c>
      <c r="J12" s="13" t="str">
        <f ca="1">IF($A12=0,"",VLOOKUP($B12,Employees!$A:$G,7,FALSE))</f>
        <v/>
      </c>
      <c r="K12" s="13" t="str">
        <f ca="1">IF($A12=0,"",IF(ISNA(VLOOKUP(A12,'Week 1 Roster'!A:C,2,0)),VLOOKUP(A12,'Week 2 Roster'!A:C,2,0),VLOOKUP(A12,'Week 1 Roster'!A:C,2,0)))</f>
        <v/>
      </c>
      <c r="L12" s="13" t="str">
        <f ca="1">IF($A12=0,"",VLOOKUP(K12,Stores!A:B,2,0))</f>
        <v/>
      </c>
      <c r="M12" s="14">
        <f t="shared" ca="1" si="11"/>
        <v>0</v>
      </c>
      <c r="N12" s="14">
        <f t="shared" ca="1" si="12"/>
        <v>0</v>
      </c>
      <c r="O12" s="14">
        <f t="shared" ca="1" si="13"/>
        <v>0</v>
      </c>
      <c r="P12" s="14">
        <f t="shared" ca="1" si="14"/>
        <v>0</v>
      </c>
      <c r="Q12" s="14">
        <f t="shared" ca="1" si="15"/>
        <v>0</v>
      </c>
      <c r="R12" s="14">
        <f t="shared" ca="1" si="16"/>
        <v>0</v>
      </c>
      <c r="S12" s="28">
        <f t="shared" ca="1" si="17"/>
        <v>0</v>
      </c>
      <c r="T12" s="14">
        <f t="shared" ca="1" si="18"/>
        <v>0</v>
      </c>
      <c r="U12" s="14">
        <f t="shared" ca="1" si="19"/>
        <v>0</v>
      </c>
      <c r="V12" s="14">
        <f t="shared" ca="1" si="20"/>
        <v>0</v>
      </c>
      <c r="W12" s="14">
        <f t="shared" ca="1" si="21"/>
        <v>0</v>
      </c>
      <c r="Y12" s="17">
        <f ca="1">IF($A12=0,0,SUMIF('Week 1 Roster'!$AZ:$AZ,$B12,'Week 1 Roster'!$AE:$AE))</f>
        <v>0</v>
      </c>
      <c r="Z12" s="17">
        <f ca="1">IF($A12=0,0,SUMIF('Week 1 Roster'!$AZ:$AZ,$B12,'Week 1 Roster'!$AG:$AG))</f>
        <v>0</v>
      </c>
      <c r="AA12" s="17">
        <f ca="1">IF($A12=0,0,SUMIF('Week 1 Roster'!$AZ:$AZ,$B12,'Week 1 Roster'!$AI:$AI))</f>
        <v>0</v>
      </c>
      <c r="AB12" s="17">
        <f ca="1">IF($A12=0,0,SUMIF('Week 1 Roster'!$AZ:$AZ,$B12,'Week 1 Roster'!$AK:$AK))</f>
        <v>0</v>
      </c>
      <c r="AC12" s="17">
        <f ca="1">IF($A12=0,0,SUMIF('Week 1 Roster'!$AZ:$AZ,$B12,'Week 1 Roster'!$AM:$AM))</f>
        <v>0</v>
      </c>
      <c r="AD12" s="17">
        <f ca="1">IF($A12=0,0,SUMIF('Week 1 Roster'!$AZ:$AZ,$B12,'Week 1 Roster'!$AO:$AO))</f>
        <v>0</v>
      </c>
      <c r="AE12" s="38">
        <f ca="1">IF($A12=0,0,SUMIF('Week 1 Roster'!$AZ:$AZ,$B12,'Week 1 Roster'!$AP:$AP))</f>
        <v>0</v>
      </c>
      <c r="AF12" s="17">
        <f ca="1">IF($A12=0,0,SUMIF('Week 1 Roster'!$AZ:$AZ,$B12,'Week 1 Roster'!$AQ:$AQ))</f>
        <v>0</v>
      </c>
      <c r="AG12" s="17">
        <f ca="1">IF($A12=0,0,SUMIF('Week 1 Roster'!$AZ:$AZ,$B12,'Week 1 Roster'!$AR:$AR))</f>
        <v>0</v>
      </c>
      <c r="AH12" s="17">
        <f ca="1">IF($A12=0,0,SUMIF('Week 1 Roster'!$AZ:$AZ,$B12,'Week 1 Roster'!$AS:$AS))</f>
        <v>0</v>
      </c>
      <c r="AI12" s="17">
        <f t="shared" ca="1" si="22"/>
        <v>0</v>
      </c>
      <c r="AK12" s="17">
        <f ca="1">IF($A12=0,0,SUMIF('Week 2 Roster'!$AZ:$AZ,$B12,'Week 2 Roster'!$AE:$AE))</f>
        <v>0</v>
      </c>
      <c r="AL12" s="17">
        <f ca="1">IF($A12=0,0,SUMIF('Week 2 Roster'!$AZ:$AZ,$B12,'Week 2 Roster'!$AG:$AG))</f>
        <v>0</v>
      </c>
      <c r="AM12" s="17">
        <f ca="1">IF($A12=0,0,SUMIF('Week 2 Roster'!$AZ:$AZ,$B12,'Week 2 Roster'!$AI:$AI))</f>
        <v>0</v>
      </c>
      <c r="AN12" s="17">
        <f ca="1">IF($A12=0,0,SUMIF('Week 2 Roster'!$AZ:$AZ,$B12,'Week 2 Roster'!$AK:$AK))</f>
        <v>0</v>
      </c>
      <c r="AO12" s="17">
        <f ca="1">IF($A12=0,0,SUMIF('Week 2 Roster'!$AZ:$AZ,$B12,'Week 2 Roster'!$AM:$AM))</f>
        <v>0</v>
      </c>
      <c r="AP12" s="17">
        <f ca="1">IF($A12=0,0,SUMIF('Week 2 Roster'!$AZ:$AZ,$B12,'Week 2 Roster'!$AO:$AO))</f>
        <v>0</v>
      </c>
      <c r="AQ12" s="38">
        <f ca="1">IF($A12=0,0,SUMIF('Week 2 Roster'!$AZ:$AZ,$B12,'Week 2 Roster'!$AP:$AP))</f>
        <v>0</v>
      </c>
      <c r="AR12" s="17">
        <f ca="1">IF($A12=0,0,SUMIF('Week 2 Roster'!$AZ:$AZ,$B12,'Week 2 Roster'!$AQ:$AQ))</f>
        <v>0</v>
      </c>
      <c r="AS12" s="17">
        <f ca="1">IF($A12=0,0,SUMIF('Week 2 Roster'!$AZ:$AZ,$B12,'Week 2 Roster'!$AR:$AR))</f>
        <v>0</v>
      </c>
      <c r="AT12" s="17">
        <f ca="1">IF($A12=0,0,SUMIF('Week 2 Roster'!$AZ:$AZ,$B12,'Week 2 Roster'!$AS:$AS))</f>
        <v>0</v>
      </c>
      <c r="AU12" s="17">
        <f t="shared" ca="1" si="23"/>
        <v>0</v>
      </c>
      <c r="AV12" s="17"/>
      <c r="AW12" s="25" t="str">
        <f>'Week 1 Roster'!A12</f>
        <v/>
      </c>
      <c r="AX12" s="25" t="str">
        <f>'Week 2 Roster'!A12</f>
        <v/>
      </c>
    </row>
    <row r="13" spans="1:50">
      <c r="A13" s="16" cm="1">
        <f t="array" aca="1" ref="A13" ca="1">_xlfn.NUMBERVALUE(INDIRECT(TEXT(MIN(IF(($AW$2:$AX$300&lt;&gt;"")*(COUNTIF($B$1:B12,$AW$2:$AX$300)=0),ROW($2:$300)*100+COLUMN($AW:$AX),7^8)),"R0C00"),)&amp;"")</f>
        <v>0</v>
      </c>
      <c r="B13" s="28" t="str">
        <f t="shared" ca="1" si="9"/>
        <v/>
      </c>
      <c r="C13" s="28" t="str">
        <f ca="1">IF($A13=0,"",VLOOKUP($B13,Employees!$A:$G,2,FALSE))</f>
        <v/>
      </c>
      <c r="D13" s="28" t="str">
        <f ca="1">IF($A13=0,"",VLOOKUP($B13,Employees!$A:$G,3,FALSE))</f>
        <v/>
      </c>
      <c r="E13" s="26" t="str">
        <f ca="1">IF($A13=0,"",VLOOKUP($B13,Employees!$A:$G,5,FALSE))</f>
        <v/>
      </c>
      <c r="F13" s="13" t="str">
        <f ca="1">IF($E13="","",ROUNDDOWN(YEARFRAC($E13, 'Week 1 Roster'!$D$1-1, 1), 0))</f>
        <v/>
      </c>
      <c r="G13" s="13" t="str">
        <f ca="1">IF($E13="","",ROUNDDOWN(YEARFRAC($E13, 'Week 1 Roster'!$D$1+14, 1), 0))</f>
        <v/>
      </c>
      <c r="H13" s="13" t="str">
        <f t="shared" ca="1" si="10"/>
        <v/>
      </c>
      <c r="I13" s="13" t="str">
        <f ca="1">IF($A13=0,"",VLOOKUP($B13,Employees!$A:$G,6,FALSE))</f>
        <v/>
      </c>
      <c r="J13" s="13" t="str">
        <f ca="1">IF($A13=0,"",VLOOKUP($B13,Employees!$A:$G,7,FALSE))</f>
        <v/>
      </c>
      <c r="K13" s="13" t="str">
        <f ca="1">IF($A13=0,"",IF(ISNA(VLOOKUP(A13,'Week 1 Roster'!A:C,2,0)),VLOOKUP(A13,'Week 2 Roster'!A:C,2,0),VLOOKUP(A13,'Week 1 Roster'!A:C,2,0)))</f>
        <v/>
      </c>
      <c r="L13" s="13" t="str">
        <f ca="1">IF($A13=0,"",VLOOKUP(K13,Stores!A:B,2,0))</f>
        <v/>
      </c>
      <c r="M13" s="14">
        <f t="shared" ca="1" si="11"/>
        <v>0</v>
      </c>
      <c r="N13" s="14">
        <f t="shared" ca="1" si="12"/>
        <v>0</v>
      </c>
      <c r="O13" s="14">
        <f t="shared" ca="1" si="13"/>
        <v>0</v>
      </c>
      <c r="P13" s="14">
        <f t="shared" ca="1" si="14"/>
        <v>0</v>
      </c>
      <c r="Q13" s="14">
        <f t="shared" ca="1" si="15"/>
        <v>0</v>
      </c>
      <c r="R13" s="14">
        <f t="shared" ca="1" si="16"/>
        <v>0</v>
      </c>
      <c r="S13" s="28">
        <f t="shared" ca="1" si="17"/>
        <v>0</v>
      </c>
      <c r="T13" s="14">
        <f t="shared" ca="1" si="18"/>
        <v>0</v>
      </c>
      <c r="U13" s="14">
        <f t="shared" ca="1" si="19"/>
        <v>0</v>
      </c>
      <c r="V13" s="14">
        <f t="shared" ca="1" si="20"/>
        <v>0</v>
      </c>
      <c r="W13" s="14">
        <f t="shared" ca="1" si="21"/>
        <v>0</v>
      </c>
      <c r="Y13" s="17">
        <f ca="1">IF($A13=0,0,SUMIF('Week 1 Roster'!$AZ:$AZ,$B13,'Week 1 Roster'!$AE:$AE))</f>
        <v>0</v>
      </c>
      <c r="Z13" s="17">
        <f ca="1">IF($A13=0,0,SUMIF('Week 1 Roster'!$AZ:$AZ,$B13,'Week 1 Roster'!$AG:$AG))</f>
        <v>0</v>
      </c>
      <c r="AA13" s="17">
        <f ca="1">IF($A13=0,0,SUMIF('Week 1 Roster'!$AZ:$AZ,$B13,'Week 1 Roster'!$AI:$AI))</f>
        <v>0</v>
      </c>
      <c r="AB13" s="17">
        <f ca="1">IF($A13=0,0,SUMIF('Week 1 Roster'!$AZ:$AZ,$B13,'Week 1 Roster'!$AK:$AK))</f>
        <v>0</v>
      </c>
      <c r="AC13" s="17">
        <f ca="1">IF($A13=0,0,SUMIF('Week 1 Roster'!$AZ:$AZ,$B13,'Week 1 Roster'!$AM:$AM))</f>
        <v>0</v>
      </c>
      <c r="AD13" s="17">
        <f ca="1">IF($A13=0,0,SUMIF('Week 1 Roster'!$AZ:$AZ,$B13,'Week 1 Roster'!$AO:$AO))</f>
        <v>0</v>
      </c>
      <c r="AE13" s="38">
        <f ca="1">IF($A13=0,0,SUMIF('Week 1 Roster'!$AZ:$AZ,$B13,'Week 1 Roster'!$AP:$AP))</f>
        <v>0</v>
      </c>
      <c r="AF13" s="17">
        <f ca="1">IF($A13=0,0,SUMIF('Week 1 Roster'!$AZ:$AZ,$B13,'Week 1 Roster'!$AQ:$AQ))</f>
        <v>0</v>
      </c>
      <c r="AG13" s="17">
        <f ca="1">IF($A13=0,0,SUMIF('Week 1 Roster'!$AZ:$AZ,$B13,'Week 1 Roster'!$AR:$AR))</f>
        <v>0</v>
      </c>
      <c r="AH13" s="17">
        <f ca="1">IF($A13=0,0,SUMIF('Week 1 Roster'!$AZ:$AZ,$B13,'Week 1 Roster'!$AS:$AS))</f>
        <v>0</v>
      </c>
      <c r="AI13" s="17">
        <f t="shared" ca="1" si="22"/>
        <v>0</v>
      </c>
      <c r="AK13" s="17">
        <f ca="1">IF($A13=0,0,SUMIF('Week 2 Roster'!$AZ:$AZ,$B13,'Week 2 Roster'!$AE:$AE))</f>
        <v>0</v>
      </c>
      <c r="AL13" s="17">
        <f ca="1">IF($A13=0,0,SUMIF('Week 2 Roster'!$AZ:$AZ,$B13,'Week 2 Roster'!$AG:$AG))</f>
        <v>0</v>
      </c>
      <c r="AM13" s="17">
        <f ca="1">IF($A13=0,0,SUMIF('Week 2 Roster'!$AZ:$AZ,$B13,'Week 2 Roster'!$AI:$AI))</f>
        <v>0</v>
      </c>
      <c r="AN13" s="17">
        <f ca="1">IF($A13=0,0,SUMIF('Week 2 Roster'!$AZ:$AZ,$B13,'Week 2 Roster'!$AK:$AK))</f>
        <v>0</v>
      </c>
      <c r="AO13" s="17">
        <f ca="1">IF($A13=0,0,SUMIF('Week 2 Roster'!$AZ:$AZ,$B13,'Week 2 Roster'!$AM:$AM))</f>
        <v>0</v>
      </c>
      <c r="AP13" s="17">
        <f ca="1">IF($A13=0,0,SUMIF('Week 2 Roster'!$AZ:$AZ,$B13,'Week 2 Roster'!$AO:$AO))</f>
        <v>0</v>
      </c>
      <c r="AQ13" s="38">
        <f ca="1">IF($A13=0,0,SUMIF('Week 2 Roster'!$AZ:$AZ,$B13,'Week 2 Roster'!$AP:$AP))</f>
        <v>0</v>
      </c>
      <c r="AR13" s="17">
        <f ca="1">IF($A13=0,0,SUMIF('Week 2 Roster'!$AZ:$AZ,$B13,'Week 2 Roster'!$AQ:$AQ))</f>
        <v>0</v>
      </c>
      <c r="AS13" s="17">
        <f ca="1">IF($A13=0,0,SUMIF('Week 2 Roster'!$AZ:$AZ,$B13,'Week 2 Roster'!$AR:$AR))</f>
        <v>0</v>
      </c>
      <c r="AT13" s="17">
        <f ca="1">IF($A13=0,0,SUMIF('Week 2 Roster'!$AZ:$AZ,$B13,'Week 2 Roster'!$AS:$AS))</f>
        <v>0</v>
      </c>
      <c r="AU13" s="17">
        <f t="shared" ca="1" si="23"/>
        <v>0</v>
      </c>
      <c r="AV13" s="17"/>
      <c r="AW13" s="25" t="str">
        <f>'Week 1 Roster'!A13</f>
        <v/>
      </c>
      <c r="AX13" s="25" t="str">
        <f>'Week 2 Roster'!A13</f>
        <v/>
      </c>
    </row>
    <row r="14" spans="1:50">
      <c r="A14" s="16" cm="1">
        <f t="array" aca="1" ref="A14" ca="1">_xlfn.NUMBERVALUE(INDIRECT(TEXT(MIN(IF(($AW$2:$AX$300&lt;&gt;"")*(COUNTIF($B$1:B13,$AW$2:$AX$300)=0),ROW($2:$300)*100+COLUMN($AW:$AX),7^8)),"R0C00"),)&amp;"")</f>
        <v>0</v>
      </c>
      <c r="B14" s="28" t="str">
        <f t="shared" ca="1" si="9"/>
        <v/>
      </c>
      <c r="C14" s="28" t="str">
        <f ca="1">IF($A14=0,"",VLOOKUP($B14,Employees!$A:$G,2,FALSE))</f>
        <v/>
      </c>
      <c r="D14" s="28" t="str">
        <f ca="1">IF($A14=0,"",VLOOKUP($B14,Employees!$A:$G,3,FALSE))</f>
        <v/>
      </c>
      <c r="E14" s="26" t="str">
        <f ca="1">IF($A14=0,"",VLOOKUP($B14,Employees!$A:$G,5,FALSE))</f>
        <v/>
      </c>
      <c r="F14" s="13" t="str">
        <f ca="1">IF($E14="","",ROUNDDOWN(YEARFRAC($E14, 'Week 1 Roster'!$D$1-1, 1), 0))</f>
        <v/>
      </c>
      <c r="G14" s="13" t="str">
        <f ca="1">IF($E14="","",ROUNDDOWN(YEARFRAC($E14, 'Week 1 Roster'!$D$1+14, 1), 0))</f>
        <v/>
      </c>
      <c r="H14" s="13" t="str">
        <f t="shared" ca="1" si="10"/>
        <v/>
      </c>
      <c r="I14" s="13" t="str">
        <f ca="1">IF($A14=0,"",VLOOKUP($B14,Employees!$A:$G,6,FALSE))</f>
        <v/>
      </c>
      <c r="J14" s="13" t="str">
        <f ca="1">IF($A14=0,"",VLOOKUP($B14,Employees!$A:$G,7,FALSE))</f>
        <v/>
      </c>
      <c r="K14" s="13" t="str">
        <f ca="1">IF($A14=0,"",IF(ISNA(VLOOKUP(A14,'Week 1 Roster'!A:C,2,0)),VLOOKUP(A14,'Week 2 Roster'!A:C,2,0),VLOOKUP(A14,'Week 1 Roster'!A:C,2,0)))</f>
        <v/>
      </c>
      <c r="L14" s="13" t="str">
        <f ca="1">IF($A14=0,"",VLOOKUP(K14,Stores!A:B,2,0))</f>
        <v/>
      </c>
      <c r="M14" s="14">
        <f t="shared" ca="1" si="11"/>
        <v>0</v>
      </c>
      <c r="N14" s="14">
        <f t="shared" ca="1" si="12"/>
        <v>0</v>
      </c>
      <c r="O14" s="14">
        <f t="shared" ca="1" si="13"/>
        <v>0</v>
      </c>
      <c r="P14" s="14">
        <f t="shared" ca="1" si="14"/>
        <v>0</v>
      </c>
      <c r="Q14" s="14">
        <f t="shared" ca="1" si="15"/>
        <v>0</v>
      </c>
      <c r="R14" s="14">
        <f t="shared" ca="1" si="16"/>
        <v>0</v>
      </c>
      <c r="S14" s="28">
        <f t="shared" ca="1" si="17"/>
        <v>0</v>
      </c>
      <c r="T14" s="14">
        <f t="shared" ca="1" si="18"/>
        <v>0</v>
      </c>
      <c r="U14" s="14">
        <f t="shared" ca="1" si="19"/>
        <v>0</v>
      </c>
      <c r="V14" s="14">
        <f t="shared" ca="1" si="20"/>
        <v>0</v>
      </c>
      <c r="W14" s="14">
        <f t="shared" ca="1" si="21"/>
        <v>0</v>
      </c>
      <c r="Y14" s="17">
        <f ca="1">IF($A14=0,0,SUMIF('Week 1 Roster'!$AZ:$AZ,$B14,'Week 1 Roster'!$AE:$AE))</f>
        <v>0</v>
      </c>
      <c r="Z14" s="17">
        <f ca="1">IF($A14=0,0,SUMIF('Week 1 Roster'!$AZ:$AZ,$B14,'Week 1 Roster'!$AG:$AG))</f>
        <v>0</v>
      </c>
      <c r="AA14" s="17">
        <f ca="1">IF($A14=0,0,SUMIF('Week 1 Roster'!$AZ:$AZ,$B14,'Week 1 Roster'!$AI:$AI))</f>
        <v>0</v>
      </c>
      <c r="AB14" s="17">
        <f ca="1">IF($A14=0,0,SUMIF('Week 1 Roster'!$AZ:$AZ,$B14,'Week 1 Roster'!$AK:$AK))</f>
        <v>0</v>
      </c>
      <c r="AC14" s="17">
        <f ca="1">IF($A14=0,0,SUMIF('Week 1 Roster'!$AZ:$AZ,$B14,'Week 1 Roster'!$AM:$AM))</f>
        <v>0</v>
      </c>
      <c r="AD14" s="17">
        <f ca="1">IF($A14=0,0,SUMIF('Week 1 Roster'!$AZ:$AZ,$B14,'Week 1 Roster'!$AO:$AO))</f>
        <v>0</v>
      </c>
      <c r="AE14" s="38">
        <f ca="1">IF($A14=0,0,SUMIF('Week 1 Roster'!$AZ:$AZ,$B14,'Week 1 Roster'!$AP:$AP))</f>
        <v>0</v>
      </c>
      <c r="AF14" s="17">
        <f ca="1">IF($A14=0,0,SUMIF('Week 1 Roster'!$AZ:$AZ,$B14,'Week 1 Roster'!$AQ:$AQ))</f>
        <v>0</v>
      </c>
      <c r="AG14" s="17">
        <f ca="1">IF($A14=0,0,SUMIF('Week 1 Roster'!$AZ:$AZ,$B14,'Week 1 Roster'!$AR:$AR))</f>
        <v>0</v>
      </c>
      <c r="AH14" s="17">
        <f ca="1">IF($A14=0,0,SUMIF('Week 1 Roster'!$AZ:$AZ,$B14,'Week 1 Roster'!$AS:$AS))</f>
        <v>0</v>
      </c>
      <c r="AI14" s="17">
        <f t="shared" ca="1" si="22"/>
        <v>0</v>
      </c>
      <c r="AK14" s="17">
        <f ca="1">IF($A14=0,0,SUMIF('Week 2 Roster'!$AZ:$AZ,$B14,'Week 2 Roster'!$AE:$AE))</f>
        <v>0</v>
      </c>
      <c r="AL14" s="17">
        <f ca="1">IF($A14=0,0,SUMIF('Week 2 Roster'!$AZ:$AZ,$B14,'Week 2 Roster'!$AG:$AG))</f>
        <v>0</v>
      </c>
      <c r="AM14" s="17">
        <f ca="1">IF($A14=0,0,SUMIF('Week 2 Roster'!$AZ:$AZ,$B14,'Week 2 Roster'!$AI:$AI))</f>
        <v>0</v>
      </c>
      <c r="AN14" s="17">
        <f ca="1">IF($A14=0,0,SUMIF('Week 2 Roster'!$AZ:$AZ,$B14,'Week 2 Roster'!$AK:$AK))</f>
        <v>0</v>
      </c>
      <c r="AO14" s="17">
        <f ca="1">IF($A14=0,0,SUMIF('Week 2 Roster'!$AZ:$AZ,$B14,'Week 2 Roster'!$AM:$AM))</f>
        <v>0</v>
      </c>
      <c r="AP14" s="17">
        <f ca="1">IF($A14=0,0,SUMIF('Week 2 Roster'!$AZ:$AZ,$B14,'Week 2 Roster'!$AO:$AO))</f>
        <v>0</v>
      </c>
      <c r="AQ14" s="38">
        <f ca="1">IF($A14=0,0,SUMIF('Week 2 Roster'!$AZ:$AZ,$B14,'Week 2 Roster'!$AP:$AP))</f>
        <v>0</v>
      </c>
      <c r="AR14" s="17">
        <f ca="1">IF($A14=0,0,SUMIF('Week 2 Roster'!$AZ:$AZ,$B14,'Week 2 Roster'!$AQ:$AQ))</f>
        <v>0</v>
      </c>
      <c r="AS14" s="17">
        <f ca="1">IF($A14=0,0,SUMIF('Week 2 Roster'!$AZ:$AZ,$B14,'Week 2 Roster'!$AR:$AR))</f>
        <v>0</v>
      </c>
      <c r="AT14" s="17">
        <f ca="1">IF($A14=0,0,SUMIF('Week 2 Roster'!$AZ:$AZ,$B14,'Week 2 Roster'!$AS:$AS))</f>
        <v>0</v>
      </c>
      <c r="AU14" s="17">
        <f t="shared" ca="1" si="23"/>
        <v>0</v>
      </c>
      <c r="AV14" s="17"/>
      <c r="AW14" s="25" t="str">
        <f>'Week 1 Roster'!A14</f>
        <v/>
      </c>
      <c r="AX14" s="25" t="str">
        <f>'Week 2 Roster'!A14</f>
        <v/>
      </c>
    </row>
    <row r="15" spans="1:50">
      <c r="A15" s="16" cm="1">
        <f t="array" aca="1" ref="A15" ca="1">_xlfn.NUMBERVALUE(INDIRECT(TEXT(MIN(IF(($AW$2:$AX$300&lt;&gt;"")*(COUNTIF($B$1:B14,$AW$2:$AX$300)=0),ROW($2:$300)*100+COLUMN($AW:$AX),7^8)),"R0C00"),)&amp;"")</f>
        <v>0</v>
      </c>
      <c r="B15" s="28" t="str">
        <f t="shared" ca="1" si="9"/>
        <v/>
      </c>
      <c r="C15" s="28" t="str">
        <f ca="1">IF($A15=0,"",VLOOKUP($B15,Employees!$A:$G,2,FALSE))</f>
        <v/>
      </c>
      <c r="D15" s="28" t="str">
        <f ca="1">IF($A15=0,"",VLOOKUP($B15,Employees!$A:$G,3,FALSE))</f>
        <v/>
      </c>
      <c r="E15" s="26" t="str">
        <f ca="1">IF($A15=0,"",VLOOKUP($B15,Employees!$A:$G,5,FALSE))</f>
        <v/>
      </c>
      <c r="F15" s="13" t="str">
        <f ca="1">IF($E15="","",ROUNDDOWN(YEARFRAC($E15, 'Week 1 Roster'!$D$1-1, 1), 0))</f>
        <v/>
      </c>
      <c r="G15" s="13" t="str">
        <f ca="1">IF($E15="","",ROUNDDOWN(YEARFRAC($E15, 'Week 1 Roster'!$D$1+14, 1), 0))</f>
        <v/>
      </c>
      <c r="H15" s="13" t="str">
        <f t="shared" ca="1" si="10"/>
        <v/>
      </c>
      <c r="I15" s="13" t="str">
        <f ca="1">IF($A15=0,"",VLOOKUP($B15,Employees!$A:$G,6,FALSE))</f>
        <v/>
      </c>
      <c r="J15" s="13" t="str">
        <f ca="1">IF($A15=0,"",VLOOKUP($B15,Employees!$A:$G,7,FALSE))</f>
        <v/>
      </c>
      <c r="K15" s="13" t="str">
        <f ca="1">IF($A15=0,"",IF(ISNA(VLOOKUP(A15,'Week 1 Roster'!A:C,2,0)),VLOOKUP(A15,'Week 2 Roster'!A:C,2,0),VLOOKUP(A15,'Week 1 Roster'!A:C,2,0)))</f>
        <v/>
      </c>
      <c r="L15" s="13" t="str">
        <f ca="1">IF($A15=0,"",VLOOKUP(K15,Stores!A:B,2,0))</f>
        <v/>
      </c>
      <c r="M15" s="14">
        <f t="shared" ca="1" si="11"/>
        <v>0</v>
      </c>
      <c r="N15" s="14">
        <f t="shared" ca="1" si="12"/>
        <v>0</v>
      </c>
      <c r="O15" s="14">
        <f t="shared" ca="1" si="13"/>
        <v>0</v>
      </c>
      <c r="P15" s="14">
        <f t="shared" ca="1" si="14"/>
        <v>0</v>
      </c>
      <c r="Q15" s="14">
        <f t="shared" ca="1" si="15"/>
        <v>0</v>
      </c>
      <c r="R15" s="14">
        <f t="shared" ca="1" si="16"/>
        <v>0</v>
      </c>
      <c r="S15" s="28">
        <f t="shared" ca="1" si="17"/>
        <v>0</v>
      </c>
      <c r="T15" s="14">
        <f t="shared" ca="1" si="18"/>
        <v>0</v>
      </c>
      <c r="U15" s="14">
        <f t="shared" ca="1" si="19"/>
        <v>0</v>
      </c>
      <c r="V15" s="14">
        <f t="shared" ca="1" si="20"/>
        <v>0</v>
      </c>
      <c r="W15" s="14">
        <f t="shared" ca="1" si="21"/>
        <v>0</v>
      </c>
      <c r="Y15" s="17">
        <f ca="1">IF($A15=0,0,SUMIF('Week 1 Roster'!$AZ:$AZ,$B15,'Week 1 Roster'!$AE:$AE))</f>
        <v>0</v>
      </c>
      <c r="Z15" s="17">
        <f ca="1">IF($A15=0,0,SUMIF('Week 1 Roster'!$AZ:$AZ,$B15,'Week 1 Roster'!$AG:$AG))</f>
        <v>0</v>
      </c>
      <c r="AA15" s="17">
        <f ca="1">IF($A15=0,0,SUMIF('Week 1 Roster'!$AZ:$AZ,$B15,'Week 1 Roster'!$AI:$AI))</f>
        <v>0</v>
      </c>
      <c r="AB15" s="17">
        <f ca="1">IF($A15=0,0,SUMIF('Week 1 Roster'!$AZ:$AZ,$B15,'Week 1 Roster'!$AK:$AK))</f>
        <v>0</v>
      </c>
      <c r="AC15" s="17">
        <f ca="1">IF($A15=0,0,SUMIF('Week 1 Roster'!$AZ:$AZ,$B15,'Week 1 Roster'!$AM:$AM))</f>
        <v>0</v>
      </c>
      <c r="AD15" s="17">
        <f ca="1">IF($A15=0,0,SUMIF('Week 1 Roster'!$AZ:$AZ,$B15,'Week 1 Roster'!$AO:$AO))</f>
        <v>0</v>
      </c>
      <c r="AE15" s="38">
        <f ca="1">IF($A15=0,0,SUMIF('Week 1 Roster'!$AZ:$AZ,$B15,'Week 1 Roster'!$AP:$AP))</f>
        <v>0</v>
      </c>
      <c r="AF15" s="17">
        <f ca="1">IF($A15=0,0,SUMIF('Week 1 Roster'!$AZ:$AZ,$B15,'Week 1 Roster'!$AQ:$AQ))</f>
        <v>0</v>
      </c>
      <c r="AG15" s="17">
        <f ca="1">IF($A15=0,0,SUMIF('Week 1 Roster'!$AZ:$AZ,$B15,'Week 1 Roster'!$AR:$AR))</f>
        <v>0</v>
      </c>
      <c r="AH15" s="17">
        <f ca="1">IF($A15=0,0,SUMIF('Week 1 Roster'!$AZ:$AZ,$B15,'Week 1 Roster'!$AS:$AS))</f>
        <v>0</v>
      </c>
      <c r="AI15" s="17">
        <f t="shared" ca="1" si="22"/>
        <v>0</v>
      </c>
      <c r="AK15" s="17">
        <f ca="1">IF($A15=0,0,SUMIF('Week 2 Roster'!$AZ:$AZ,$B15,'Week 2 Roster'!$AE:$AE))</f>
        <v>0</v>
      </c>
      <c r="AL15" s="17">
        <f ca="1">IF($A15=0,0,SUMIF('Week 2 Roster'!$AZ:$AZ,$B15,'Week 2 Roster'!$AG:$AG))</f>
        <v>0</v>
      </c>
      <c r="AM15" s="17">
        <f ca="1">IF($A15=0,0,SUMIF('Week 2 Roster'!$AZ:$AZ,$B15,'Week 2 Roster'!$AI:$AI))</f>
        <v>0</v>
      </c>
      <c r="AN15" s="17">
        <f ca="1">IF($A15=0,0,SUMIF('Week 2 Roster'!$AZ:$AZ,$B15,'Week 2 Roster'!$AK:$AK))</f>
        <v>0</v>
      </c>
      <c r="AO15" s="17">
        <f ca="1">IF($A15=0,0,SUMIF('Week 2 Roster'!$AZ:$AZ,$B15,'Week 2 Roster'!$AM:$AM))</f>
        <v>0</v>
      </c>
      <c r="AP15" s="17">
        <f ca="1">IF($A15=0,0,SUMIF('Week 2 Roster'!$AZ:$AZ,$B15,'Week 2 Roster'!$AO:$AO))</f>
        <v>0</v>
      </c>
      <c r="AQ15" s="38">
        <f ca="1">IF($A15=0,0,SUMIF('Week 2 Roster'!$AZ:$AZ,$B15,'Week 2 Roster'!$AP:$AP))</f>
        <v>0</v>
      </c>
      <c r="AR15" s="17">
        <f ca="1">IF($A15=0,0,SUMIF('Week 2 Roster'!$AZ:$AZ,$B15,'Week 2 Roster'!$AQ:$AQ))</f>
        <v>0</v>
      </c>
      <c r="AS15" s="17">
        <f ca="1">IF($A15=0,0,SUMIF('Week 2 Roster'!$AZ:$AZ,$B15,'Week 2 Roster'!$AR:$AR))</f>
        <v>0</v>
      </c>
      <c r="AT15" s="17">
        <f ca="1">IF($A15=0,0,SUMIF('Week 2 Roster'!$AZ:$AZ,$B15,'Week 2 Roster'!$AS:$AS))</f>
        <v>0</v>
      </c>
      <c r="AU15" s="17">
        <f t="shared" ca="1" si="23"/>
        <v>0</v>
      </c>
      <c r="AV15" s="17"/>
      <c r="AW15" s="25" t="str">
        <f>'Week 1 Roster'!A15</f>
        <v/>
      </c>
      <c r="AX15" s="25" t="str">
        <f>'Week 2 Roster'!A15</f>
        <v/>
      </c>
    </row>
    <row r="16" spans="1:50">
      <c r="A16" s="16" cm="1">
        <f t="array" aca="1" ref="A16" ca="1">_xlfn.NUMBERVALUE(INDIRECT(TEXT(MIN(IF(($AW$2:$AX$300&lt;&gt;"")*(COUNTIF($B$1:B15,$AW$2:$AX$300)=0),ROW($2:$300)*100+COLUMN($AW:$AX),7^8)),"R0C00"),)&amp;"")</f>
        <v>0</v>
      </c>
      <c r="B16" s="28" t="str">
        <f t="shared" ca="1" si="9"/>
        <v/>
      </c>
      <c r="C16" s="28" t="str">
        <f ca="1">IF($A16=0,"",VLOOKUP($B16,Employees!$A:$G,2,FALSE))</f>
        <v/>
      </c>
      <c r="D16" s="28" t="str">
        <f ca="1">IF($A16=0,"",VLOOKUP($B16,Employees!$A:$G,3,FALSE))</f>
        <v/>
      </c>
      <c r="E16" s="26" t="str">
        <f ca="1">IF($A16=0,"",VLOOKUP($B16,Employees!$A:$G,5,FALSE))</f>
        <v/>
      </c>
      <c r="F16" s="13" t="str">
        <f ca="1">IF($E16="","",ROUNDDOWN(YEARFRAC($E16, 'Week 1 Roster'!$D$1-1, 1), 0))</f>
        <v/>
      </c>
      <c r="G16" s="13" t="str">
        <f ca="1">IF($E16="","",ROUNDDOWN(YEARFRAC($E16, 'Week 1 Roster'!$D$1+14, 1), 0))</f>
        <v/>
      </c>
      <c r="H16" s="13" t="str">
        <f t="shared" ca="1" si="10"/>
        <v/>
      </c>
      <c r="I16" s="13" t="str">
        <f ca="1">IF($A16=0,"",VLOOKUP($B16,Employees!$A:$G,6,FALSE))</f>
        <v/>
      </c>
      <c r="J16" s="13" t="str">
        <f ca="1">IF($A16=0,"",VLOOKUP($B16,Employees!$A:$G,7,FALSE))</f>
        <v/>
      </c>
      <c r="K16" s="13" t="str">
        <f ca="1">IF($A16=0,"",IF(ISNA(VLOOKUP(A16,'Week 1 Roster'!A:C,2,0)),VLOOKUP(A16,'Week 2 Roster'!A:C,2,0),VLOOKUP(A16,'Week 1 Roster'!A:C,2,0)))</f>
        <v/>
      </c>
      <c r="L16" s="13" t="str">
        <f ca="1">IF($A16=0,"",VLOOKUP(K16,Stores!A:B,2,0))</f>
        <v/>
      </c>
      <c r="M16" s="14">
        <f t="shared" ca="1" si="11"/>
        <v>0</v>
      </c>
      <c r="N16" s="14">
        <f t="shared" ca="1" si="12"/>
        <v>0</v>
      </c>
      <c r="O16" s="14">
        <f t="shared" ca="1" si="13"/>
        <v>0</v>
      </c>
      <c r="P16" s="14">
        <f t="shared" ca="1" si="14"/>
        <v>0</v>
      </c>
      <c r="Q16" s="14">
        <f t="shared" ca="1" si="15"/>
        <v>0</v>
      </c>
      <c r="R16" s="14">
        <f t="shared" ca="1" si="16"/>
        <v>0</v>
      </c>
      <c r="S16" s="28">
        <f t="shared" ca="1" si="17"/>
        <v>0</v>
      </c>
      <c r="T16" s="14">
        <f t="shared" ca="1" si="18"/>
        <v>0</v>
      </c>
      <c r="U16" s="14">
        <f t="shared" ca="1" si="19"/>
        <v>0</v>
      </c>
      <c r="V16" s="14">
        <f t="shared" ca="1" si="20"/>
        <v>0</v>
      </c>
      <c r="W16" s="14">
        <f t="shared" ca="1" si="21"/>
        <v>0</v>
      </c>
      <c r="Y16" s="17">
        <f ca="1">IF($A16=0,0,SUMIF('Week 1 Roster'!$AZ:$AZ,$B16,'Week 1 Roster'!$AE:$AE))</f>
        <v>0</v>
      </c>
      <c r="Z16" s="17">
        <f ca="1">IF($A16=0,0,SUMIF('Week 1 Roster'!$AZ:$AZ,$B16,'Week 1 Roster'!$AG:$AG))</f>
        <v>0</v>
      </c>
      <c r="AA16" s="17">
        <f ca="1">IF($A16=0,0,SUMIF('Week 1 Roster'!$AZ:$AZ,$B16,'Week 1 Roster'!$AI:$AI))</f>
        <v>0</v>
      </c>
      <c r="AB16" s="17">
        <f ca="1">IF($A16=0,0,SUMIF('Week 1 Roster'!$AZ:$AZ,$B16,'Week 1 Roster'!$AK:$AK))</f>
        <v>0</v>
      </c>
      <c r="AC16" s="17">
        <f ca="1">IF($A16=0,0,SUMIF('Week 1 Roster'!$AZ:$AZ,$B16,'Week 1 Roster'!$AM:$AM))</f>
        <v>0</v>
      </c>
      <c r="AD16" s="17">
        <f ca="1">IF($A16=0,0,SUMIF('Week 1 Roster'!$AZ:$AZ,$B16,'Week 1 Roster'!$AO:$AO))</f>
        <v>0</v>
      </c>
      <c r="AE16" s="38">
        <f ca="1">IF($A16=0,0,SUMIF('Week 1 Roster'!$AZ:$AZ,$B16,'Week 1 Roster'!$AP:$AP))</f>
        <v>0</v>
      </c>
      <c r="AF16" s="17">
        <f ca="1">IF($A16=0,0,SUMIF('Week 1 Roster'!$AZ:$AZ,$B16,'Week 1 Roster'!$AQ:$AQ))</f>
        <v>0</v>
      </c>
      <c r="AG16" s="17">
        <f ca="1">IF($A16=0,0,SUMIF('Week 1 Roster'!$AZ:$AZ,$B16,'Week 1 Roster'!$AR:$AR))</f>
        <v>0</v>
      </c>
      <c r="AH16" s="17">
        <f ca="1">IF($A16=0,0,SUMIF('Week 1 Roster'!$AZ:$AZ,$B16,'Week 1 Roster'!$AS:$AS))</f>
        <v>0</v>
      </c>
      <c r="AI16" s="17">
        <f t="shared" ca="1" si="22"/>
        <v>0</v>
      </c>
      <c r="AK16" s="17">
        <f ca="1">IF($A16=0,0,SUMIF('Week 2 Roster'!$AZ:$AZ,$B16,'Week 2 Roster'!$AE:$AE))</f>
        <v>0</v>
      </c>
      <c r="AL16" s="17">
        <f ca="1">IF($A16=0,0,SUMIF('Week 2 Roster'!$AZ:$AZ,$B16,'Week 2 Roster'!$AG:$AG))</f>
        <v>0</v>
      </c>
      <c r="AM16" s="17">
        <f ca="1">IF($A16=0,0,SUMIF('Week 2 Roster'!$AZ:$AZ,$B16,'Week 2 Roster'!$AI:$AI))</f>
        <v>0</v>
      </c>
      <c r="AN16" s="17">
        <f ca="1">IF($A16=0,0,SUMIF('Week 2 Roster'!$AZ:$AZ,$B16,'Week 2 Roster'!$AK:$AK))</f>
        <v>0</v>
      </c>
      <c r="AO16" s="17">
        <f ca="1">IF($A16=0,0,SUMIF('Week 2 Roster'!$AZ:$AZ,$B16,'Week 2 Roster'!$AM:$AM))</f>
        <v>0</v>
      </c>
      <c r="AP16" s="17">
        <f ca="1">IF($A16=0,0,SUMIF('Week 2 Roster'!$AZ:$AZ,$B16,'Week 2 Roster'!$AO:$AO))</f>
        <v>0</v>
      </c>
      <c r="AQ16" s="38">
        <f ca="1">IF($A16=0,0,SUMIF('Week 2 Roster'!$AZ:$AZ,$B16,'Week 2 Roster'!$AP:$AP))</f>
        <v>0</v>
      </c>
      <c r="AR16" s="17">
        <f ca="1">IF($A16=0,0,SUMIF('Week 2 Roster'!$AZ:$AZ,$B16,'Week 2 Roster'!$AQ:$AQ))</f>
        <v>0</v>
      </c>
      <c r="AS16" s="17">
        <f ca="1">IF($A16=0,0,SUMIF('Week 2 Roster'!$AZ:$AZ,$B16,'Week 2 Roster'!$AR:$AR))</f>
        <v>0</v>
      </c>
      <c r="AT16" s="17">
        <f ca="1">IF($A16=0,0,SUMIF('Week 2 Roster'!$AZ:$AZ,$B16,'Week 2 Roster'!$AS:$AS))</f>
        <v>0</v>
      </c>
      <c r="AU16" s="17">
        <f t="shared" ca="1" si="23"/>
        <v>0</v>
      </c>
      <c r="AV16" s="17"/>
      <c r="AW16" s="25" t="str">
        <f>'Week 1 Roster'!A16</f>
        <v/>
      </c>
      <c r="AX16" s="25" t="str">
        <f>'Week 2 Roster'!A16</f>
        <v/>
      </c>
    </row>
    <row r="17" spans="1:50">
      <c r="A17" s="16" cm="1">
        <f t="array" aca="1" ref="A17" ca="1">_xlfn.NUMBERVALUE(INDIRECT(TEXT(MIN(IF(($AW$2:$AX$300&lt;&gt;"")*(COUNTIF($B$1:B16,$AW$2:$AX$300)=0),ROW($2:$300)*100+COLUMN($AW:$AX),7^8)),"R0C00"),)&amp;"")</f>
        <v>0</v>
      </c>
      <c r="B17" s="28" t="str">
        <f t="shared" ca="1" si="9"/>
        <v/>
      </c>
      <c r="C17" s="28" t="str">
        <f ca="1">IF($A17=0,"",VLOOKUP($B17,Employees!$A:$G,2,FALSE))</f>
        <v/>
      </c>
      <c r="D17" s="28" t="str">
        <f ca="1">IF($A17=0,"",VLOOKUP($B17,Employees!$A:$G,3,FALSE))</f>
        <v/>
      </c>
      <c r="E17" s="26" t="str">
        <f ca="1">IF($A17=0,"",VLOOKUP($B17,Employees!$A:$G,5,FALSE))</f>
        <v/>
      </c>
      <c r="F17" s="13" t="str">
        <f ca="1">IF($E17="","",ROUNDDOWN(YEARFRAC($E17, 'Week 1 Roster'!$D$1-1, 1), 0))</f>
        <v/>
      </c>
      <c r="G17" s="13" t="str">
        <f ca="1">IF($E17="","",ROUNDDOWN(YEARFRAC($E17, 'Week 1 Roster'!$D$1+14, 1), 0))</f>
        <v/>
      </c>
      <c r="H17" s="13" t="str">
        <f t="shared" ca="1" si="10"/>
        <v/>
      </c>
      <c r="I17" s="13" t="str">
        <f ca="1">IF($A17=0,"",VLOOKUP($B17,Employees!$A:$G,6,FALSE))</f>
        <v/>
      </c>
      <c r="J17" s="13" t="str">
        <f ca="1">IF($A17=0,"",VLOOKUP($B17,Employees!$A:$G,7,FALSE))</f>
        <v/>
      </c>
      <c r="K17" s="13" t="str">
        <f ca="1">IF($A17=0,"",IF(ISNA(VLOOKUP(A17,'Week 1 Roster'!A:C,2,0)),VLOOKUP(A17,'Week 2 Roster'!A:C,2,0),VLOOKUP(A17,'Week 1 Roster'!A:C,2,0)))</f>
        <v/>
      </c>
      <c r="L17" s="13" t="str">
        <f ca="1">IF($A17=0,"",VLOOKUP(K17,Stores!A:B,2,0))</f>
        <v/>
      </c>
      <c r="M17" s="14">
        <f t="shared" ca="1" si="11"/>
        <v>0</v>
      </c>
      <c r="N17" s="14">
        <f t="shared" ca="1" si="12"/>
        <v>0</v>
      </c>
      <c r="O17" s="14">
        <f t="shared" ca="1" si="13"/>
        <v>0</v>
      </c>
      <c r="P17" s="14">
        <f t="shared" ca="1" si="14"/>
        <v>0</v>
      </c>
      <c r="Q17" s="14">
        <f t="shared" ca="1" si="15"/>
        <v>0</v>
      </c>
      <c r="R17" s="14">
        <f t="shared" ca="1" si="16"/>
        <v>0</v>
      </c>
      <c r="S17" s="28">
        <f t="shared" ca="1" si="17"/>
        <v>0</v>
      </c>
      <c r="T17" s="14">
        <f t="shared" ca="1" si="18"/>
        <v>0</v>
      </c>
      <c r="U17" s="14">
        <f t="shared" ca="1" si="19"/>
        <v>0</v>
      </c>
      <c r="V17" s="14">
        <f t="shared" ca="1" si="20"/>
        <v>0</v>
      </c>
      <c r="W17" s="14">
        <f t="shared" ca="1" si="21"/>
        <v>0</v>
      </c>
      <c r="Y17" s="17">
        <f ca="1">IF($A17=0,0,SUMIF('Week 1 Roster'!$AZ:$AZ,$B17,'Week 1 Roster'!$AE:$AE))</f>
        <v>0</v>
      </c>
      <c r="Z17" s="17">
        <f ca="1">IF($A17=0,0,SUMIF('Week 1 Roster'!$AZ:$AZ,$B17,'Week 1 Roster'!$AG:$AG))</f>
        <v>0</v>
      </c>
      <c r="AA17" s="17">
        <f ca="1">IF($A17=0,0,SUMIF('Week 1 Roster'!$AZ:$AZ,$B17,'Week 1 Roster'!$AI:$AI))</f>
        <v>0</v>
      </c>
      <c r="AB17" s="17">
        <f ca="1">IF($A17=0,0,SUMIF('Week 1 Roster'!$AZ:$AZ,$B17,'Week 1 Roster'!$AK:$AK))</f>
        <v>0</v>
      </c>
      <c r="AC17" s="17">
        <f ca="1">IF($A17=0,0,SUMIF('Week 1 Roster'!$AZ:$AZ,$B17,'Week 1 Roster'!$AM:$AM))</f>
        <v>0</v>
      </c>
      <c r="AD17" s="17">
        <f ca="1">IF($A17=0,0,SUMIF('Week 1 Roster'!$AZ:$AZ,$B17,'Week 1 Roster'!$AO:$AO))</f>
        <v>0</v>
      </c>
      <c r="AE17" s="38">
        <f ca="1">IF($A17=0,0,SUMIF('Week 1 Roster'!$AZ:$AZ,$B17,'Week 1 Roster'!$AP:$AP))</f>
        <v>0</v>
      </c>
      <c r="AF17" s="17">
        <f ca="1">IF($A17=0,0,SUMIF('Week 1 Roster'!$AZ:$AZ,$B17,'Week 1 Roster'!$AQ:$AQ))</f>
        <v>0</v>
      </c>
      <c r="AG17" s="17">
        <f ca="1">IF($A17=0,0,SUMIF('Week 1 Roster'!$AZ:$AZ,$B17,'Week 1 Roster'!$AR:$AR))</f>
        <v>0</v>
      </c>
      <c r="AH17" s="17">
        <f ca="1">IF($A17=0,0,SUMIF('Week 1 Roster'!$AZ:$AZ,$B17,'Week 1 Roster'!$AS:$AS))</f>
        <v>0</v>
      </c>
      <c r="AI17" s="17">
        <f t="shared" ca="1" si="22"/>
        <v>0</v>
      </c>
      <c r="AK17" s="17">
        <f ca="1">IF($A17=0,0,SUMIF('Week 2 Roster'!$AZ:$AZ,$B17,'Week 2 Roster'!$AE:$AE))</f>
        <v>0</v>
      </c>
      <c r="AL17" s="17">
        <f ca="1">IF($A17=0,0,SUMIF('Week 2 Roster'!$AZ:$AZ,$B17,'Week 2 Roster'!$AG:$AG))</f>
        <v>0</v>
      </c>
      <c r="AM17" s="17">
        <f ca="1">IF($A17=0,0,SUMIF('Week 2 Roster'!$AZ:$AZ,$B17,'Week 2 Roster'!$AI:$AI))</f>
        <v>0</v>
      </c>
      <c r="AN17" s="17">
        <f ca="1">IF($A17=0,0,SUMIF('Week 2 Roster'!$AZ:$AZ,$B17,'Week 2 Roster'!$AK:$AK))</f>
        <v>0</v>
      </c>
      <c r="AO17" s="17">
        <f ca="1">IF($A17=0,0,SUMIF('Week 2 Roster'!$AZ:$AZ,$B17,'Week 2 Roster'!$AM:$AM))</f>
        <v>0</v>
      </c>
      <c r="AP17" s="17">
        <f ca="1">IF($A17=0,0,SUMIF('Week 2 Roster'!$AZ:$AZ,$B17,'Week 2 Roster'!$AO:$AO))</f>
        <v>0</v>
      </c>
      <c r="AQ17" s="38">
        <f ca="1">IF($A17=0,0,SUMIF('Week 2 Roster'!$AZ:$AZ,$B17,'Week 2 Roster'!$AP:$AP))</f>
        <v>0</v>
      </c>
      <c r="AR17" s="17">
        <f ca="1">IF($A17=0,0,SUMIF('Week 2 Roster'!$AZ:$AZ,$B17,'Week 2 Roster'!$AQ:$AQ))</f>
        <v>0</v>
      </c>
      <c r="AS17" s="17">
        <f ca="1">IF($A17=0,0,SUMIF('Week 2 Roster'!$AZ:$AZ,$B17,'Week 2 Roster'!$AR:$AR))</f>
        <v>0</v>
      </c>
      <c r="AT17" s="17">
        <f ca="1">IF($A17=0,0,SUMIF('Week 2 Roster'!$AZ:$AZ,$B17,'Week 2 Roster'!$AS:$AS))</f>
        <v>0</v>
      </c>
      <c r="AU17" s="17">
        <f t="shared" ca="1" si="23"/>
        <v>0</v>
      </c>
      <c r="AV17" s="17"/>
      <c r="AW17" s="25" t="str">
        <f>'Week 1 Roster'!A17</f>
        <v/>
      </c>
      <c r="AX17" s="25" t="str">
        <f>'Week 2 Roster'!A17</f>
        <v/>
      </c>
    </row>
    <row r="18" spans="1:50">
      <c r="A18" s="16" cm="1">
        <f t="array" aca="1" ref="A18" ca="1">_xlfn.NUMBERVALUE(INDIRECT(TEXT(MIN(IF(($AW$2:$AX$300&lt;&gt;"")*(COUNTIF($B$1:B17,$AW$2:$AX$300)=0),ROW($2:$300)*100+COLUMN($AW:$AX),7^8)),"R0C00"),)&amp;"")</f>
        <v>0</v>
      </c>
      <c r="B18" s="28" t="str">
        <f t="shared" ca="1" si="9"/>
        <v/>
      </c>
      <c r="C18" s="28" t="str">
        <f ca="1">IF($A18=0,"",VLOOKUP($B18,Employees!$A:$G,2,FALSE))</f>
        <v/>
      </c>
      <c r="D18" s="28" t="str">
        <f ca="1">IF($A18=0,"",VLOOKUP($B18,Employees!$A:$G,3,FALSE))</f>
        <v/>
      </c>
      <c r="E18" s="26" t="str">
        <f ca="1">IF($A18=0,"",VLOOKUP($B18,Employees!$A:$G,5,FALSE))</f>
        <v/>
      </c>
      <c r="F18" s="13" t="str">
        <f ca="1">IF($E18="","",ROUNDDOWN(YEARFRAC($E18, 'Week 1 Roster'!$D$1-1, 1), 0))</f>
        <v/>
      </c>
      <c r="G18" s="13" t="str">
        <f ca="1">IF($E18="","",ROUNDDOWN(YEARFRAC($E18, 'Week 1 Roster'!$D$1+14, 1), 0))</f>
        <v/>
      </c>
      <c r="H18" s="13" t="str">
        <f t="shared" ca="1" si="10"/>
        <v/>
      </c>
      <c r="I18" s="13" t="str">
        <f ca="1">IF($A18=0,"",VLOOKUP($B18,Employees!$A:$G,6,FALSE))</f>
        <v/>
      </c>
      <c r="J18" s="13" t="str">
        <f ca="1">IF($A18=0,"",VLOOKUP($B18,Employees!$A:$G,7,FALSE))</f>
        <v/>
      </c>
      <c r="K18" s="13" t="str">
        <f ca="1">IF($A18=0,"",IF(ISNA(VLOOKUP(A18,'Week 1 Roster'!A:C,2,0)),VLOOKUP(A18,'Week 2 Roster'!A:C,2,0),VLOOKUP(A18,'Week 1 Roster'!A:C,2,0)))</f>
        <v/>
      </c>
      <c r="L18" s="13" t="str">
        <f ca="1">IF($A18=0,"",VLOOKUP(K18,Stores!A:B,2,0))</f>
        <v/>
      </c>
      <c r="M18" s="14">
        <f t="shared" ca="1" si="11"/>
        <v>0</v>
      </c>
      <c r="N18" s="14">
        <f t="shared" ca="1" si="12"/>
        <v>0</v>
      </c>
      <c r="O18" s="14">
        <f t="shared" ca="1" si="13"/>
        <v>0</v>
      </c>
      <c r="P18" s="14">
        <f t="shared" ca="1" si="14"/>
        <v>0</v>
      </c>
      <c r="Q18" s="14">
        <f t="shared" ca="1" si="15"/>
        <v>0</v>
      </c>
      <c r="R18" s="14">
        <f t="shared" ca="1" si="16"/>
        <v>0</v>
      </c>
      <c r="S18" s="28">
        <f t="shared" ca="1" si="17"/>
        <v>0</v>
      </c>
      <c r="T18" s="14">
        <f t="shared" ca="1" si="18"/>
        <v>0</v>
      </c>
      <c r="U18" s="14">
        <f t="shared" ca="1" si="19"/>
        <v>0</v>
      </c>
      <c r="V18" s="14">
        <f t="shared" ca="1" si="20"/>
        <v>0</v>
      </c>
      <c r="W18" s="14">
        <f t="shared" ca="1" si="21"/>
        <v>0</v>
      </c>
      <c r="Y18" s="17">
        <f ca="1">IF($A18=0,0,SUMIF('Week 1 Roster'!$AZ:$AZ,$B18,'Week 1 Roster'!$AE:$AE))</f>
        <v>0</v>
      </c>
      <c r="Z18" s="17">
        <f ca="1">IF($A18=0,0,SUMIF('Week 1 Roster'!$AZ:$AZ,$B18,'Week 1 Roster'!$AG:$AG))</f>
        <v>0</v>
      </c>
      <c r="AA18" s="17">
        <f ca="1">IF($A18=0,0,SUMIF('Week 1 Roster'!$AZ:$AZ,$B18,'Week 1 Roster'!$AI:$AI))</f>
        <v>0</v>
      </c>
      <c r="AB18" s="17">
        <f ca="1">IF($A18=0,0,SUMIF('Week 1 Roster'!$AZ:$AZ,$B18,'Week 1 Roster'!$AK:$AK))</f>
        <v>0</v>
      </c>
      <c r="AC18" s="17">
        <f ca="1">IF($A18=0,0,SUMIF('Week 1 Roster'!$AZ:$AZ,$B18,'Week 1 Roster'!$AM:$AM))</f>
        <v>0</v>
      </c>
      <c r="AD18" s="17">
        <f ca="1">IF($A18=0,0,SUMIF('Week 1 Roster'!$AZ:$AZ,$B18,'Week 1 Roster'!$AO:$AO))</f>
        <v>0</v>
      </c>
      <c r="AE18" s="38">
        <f ca="1">IF($A18=0,0,SUMIF('Week 1 Roster'!$AZ:$AZ,$B18,'Week 1 Roster'!$AP:$AP))</f>
        <v>0</v>
      </c>
      <c r="AF18" s="17">
        <f ca="1">IF($A18=0,0,SUMIF('Week 1 Roster'!$AZ:$AZ,$B18,'Week 1 Roster'!$AQ:$AQ))</f>
        <v>0</v>
      </c>
      <c r="AG18" s="17">
        <f ca="1">IF($A18=0,0,SUMIF('Week 1 Roster'!$AZ:$AZ,$B18,'Week 1 Roster'!$AR:$AR))</f>
        <v>0</v>
      </c>
      <c r="AH18" s="17">
        <f ca="1">IF($A18=0,0,SUMIF('Week 1 Roster'!$AZ:$AZ,$B18,'Week 1 Roster'!$AS:$AS))</f>
        <v>0</v>
      </c>
      <c r="AI18" s="17">
        <f t="shared" ca="1" si="22"/>
        <v>0</v>
      </c>
      <c r="AK18" s="17">
        <f ca="1">IF($A18=0,0,SUMIF('Week 2 Roster'!$AZ:$AZ,$B18,'Week 2 Roster'!$AE:$AE))</f>
        <v>0</v>
      </c>
      <c r="AL18" s="17">
        <f ca="1">IF($A18=0,0,SUMIF('Week 2 Roster'!$AZ:$AZ,$B18,'Week 2 Roster'!$AG:$AG))</f>
        <v>0</v>
      </c>
      <c r="AM18" s="17">
        <f ca="1">IF($A18=0,0,SUMIF('Week 2 Roster'!$AZ:$AZ,$B18,'Week 2 Roster'!$AI:$AI))</f>
        <v>0</v>
      </c>
      <c r="AN18" s="17">
        <f ca="1">IF($A18=0,0,SUMIF('Week 2 Roster'!$AZ:$AZ,$B18,'Week 2 Roster'!$AK:$AK))</f>
        <v>0</v>
      </c>
      <c r="AO18" s="17">
        <f ca="1">IF($A18=0,0,SUMIF('Week 2 Roster'!$AZ:$AZ,$B18,'Week 2 Roster'!$AM:$AM))</f>
        <v>0</v>
      </c>
      <c r="AP18" s="17">
        <f ca="1">IF($A18=0,0,SUMIF('Week 2 Roster'!$AZ:$AZ,$B18,'Week 2 Roster'!$AO:$AO))</f>
        <v>0</v>
      </c>
      <c r="AQ18" s="38">
        <f ca="1">IF($A18=0,0,SUMIF('Week 2 Roster'!$AZ:$AZ,$B18,'Week 2 Roster'!$AP:$AP))</f>
        <v>0</v>
      </c>
      <c r="AR18" s="17">
        <f ca="1">IF($A18=0,0,SUMIF('Week 2 Roster'!$AZ:$AZ,$B18,'Week 2 Roster'!$AQ:$AQ))</f>
        <v>0</v>
      </c>
      <c r="AS18" s="17">
        <f ca="1">IF($A18=0,0,SUMIF('Week 2 Roster'!$AZ:$AZ,$B18,'Week 2 Roster'!$AR:$AR))</f>
        <v>0</v>
      </c>
      <c r="AT18" s="17">
        <f ca="1">IF($A18=0,0,SUMIF('Week 2 Roster'!$AZ:$AZ,$B18,'Week 2 Roster'!$AS:$AS))</f>
        <v>0</v>
      </c>
      <c r="AU18" s="17">
        <f t="shared" ca="1" si="23"/>
        <v>0</v>
      </c>
      <c r="AV18" s="17"/>
      <c r="AW18" s="25" t="str">
        <f>'Week 1 Roster'!A18</f>
        <v/>
      </c>
      <c r="AX18" s="25" t="str">
        <f>'Week 2 Roster'!A18</f>
        <v/>
      </c>
    </row>
    <row r="19" spans="1:50">
      <c r="A19" s="16" cm="1">
        <f t="array" aca="1" ref="A19" ca="1">_xlfn.NUMBERVALUE(INDIRECT(TEXT(MIN(IF(($AW$2:$AX$300&lt;&gt;"")*(COUNTIF($B$1:B18,$AW$2:$AX$300)=0),ROW($2:$300)*100+COLUMN($AW:$AX),7^8)),"R0C00"),)&amp;"")</f>
        <v>0</v>
      </c>
      <c r="B19" s="28" t="str">
        <f t="shared" ca="1" si="9"/>
        <v/>
      </c>
      <c r="C19" s="28" t="str">
        <f ca="1">IF($A19=0,"",VLOOKUP($B19,Employees!$A:$G,2,FALSE))</f>
        <v/>
      </c>
      <c r="D19" s="28" t="str">
        <f ca="1">IF($A19=0,"",VLOOKUP($B19,Employees!$A:$G,3,FALSE))</f>
        <v/>
      </c>
      <c r="E19" s="26" t="str">
        <f ca="1">IF($A19=0,"",VLOOKUP($B19,Employees!$A:$G,5,FALSE))</f>
        <v/>
      </c>
      <c r="F19" s="13" t="str">
        <f ca="1">IF($E19="","",ROUNDDOWN(YEARFRAC($E19, 'Week 1 Roster'!$D$1-1, 1), 0))</f>
        <v/>
      </c>
      <c r="G19" s="13" t="str">
        <f ca="1">IF($E19="","",ROUNDDOWN(YEARFRAC($E19, 'Week 1 Roster'!$D$1+14, 1), 0))</f>
        <v/>
      </c>
      <c r="H19" s="13" t="str">
        <f t="shared" ca="1" si="10"/>
        <v/>
      </c>
      <c r="I19" s="13" t="str">
        <f ca="1">IF($A19=0,"",VLOOKUP($B19,Employees!$A:$G,6,FALSE))</f>
        <v/>
      </c>
      <c r="J19" s="13" t="str">
        <f ca="1">IF($A19=0,"",VLOOKUP($B19,Employees!$A:$G,7,FALSE))</f>
        <v/>
      </c>
      <c r="K19" s="13" t="str">
        <f ca="1">IF($A19=0,"",IF(ISNA(VLOOKUP(A19,'Week 1 Roster'!A:C,2,0)),VLOOKUP(A19,'Week 2 Roster'!A:C,2,0),VLOOKUP(A19,'Week 1 Roster'!A:C,2,0)))</f>
        <v/>
      </c>
      <c r="L19" s="13" t="str">
        <f ca="1">IF($A19=0,"",VLOOKUP(K19,Stores!A:B,2,0))</f>
        <v/>
      </c>
      <c r="M19" s="14">
        <f t="shared" ca="1" si="11"/>
        <v>0</v>
      </c>
      <c r="N19" s="14">
        <f t="shared" ca="1" si="12"/>
        <v>0</v>
      </c>
      <c r="O19" s="14">
        <f t="shared" ca="1" si="13"/>
        <v>0</v>
      </c>
      <c r="P19" s="14">
        <f t="shared" ca="1" si="14"/>
        <v>0</v>
      </c>
      <c r="Q19" s="14">
        <f t="shared" ca="1" si="15"/>
        <v>0</v>
      </c>
      <c r="R19" s="14">
        <f t="shared" ca="1" si="16"/>
        <v>0</v>
      </c>
      <c r="S19" s="28">
        <f t="shared" ca="1" si="17"/>
        <v>0</v>
      </c>
      <c r="T19" s="14">
        <f t="shared" ca="1" si="18"/>
        <v>0</v>
      </c>
      <c r="U19" s="14">
        <f t="shared" ca="1" si="19"/>
        <v>0</v>
      </c>
      <c r="V19" s="14">
        <f t="shared" ca="1" si="20"/>
        <v>0</v>
      </c>
      <c r="W19" s="14">
        <f t="shared" ca="1" si="21"/>
        <v>0</v>
      </c>
      <c r="Y19" s="17">
        <f ca="1">IF($A19=0,0,SUMIF('Week 1 Roster'!$AZ:$AZ,$B19,'Week 1 Roster'!$AE:$AE))</f>
        <v>0</v>
      </c>
      <c r="Z19" s="17">
        <f ca="1">IF($A19=0,0,SUMIF('Week 1 Roster'!$AZ:$AZ,$B19,'Week 1 Roster'!$AG:$AG))</f>
        <v>0</v>
      </c>
      <c r="AA19" s="17">
        <f ca="1">IF($A19=0,0,SUMIF('Week 1 Roster'!$AZ:$AZ,$B19,'Week 1 Roster'!$AI:$AI))</f>
        <v>0</v>
      </c>
      <c r="AB19" s="17">
        <f ca="1">IF($A19=0,0,SUMIF('Week 1 Roster'!$AZ:$AZ,$B19,'Week 1 Roster'!$AK:$AK))</f>
        <v>0</v>
      </c>
      <c r="AC19" s="17">
        <f ca="1">IF($A19=0,0,SUMIF('Week 1 Roster'!$AZ:$AZ,$B19,'Week 1 Roster'!$AM:$AM))</f>
        <v>0</v>
      </c>
      <c r="AD19" s="17">
        <f ca="1">IF($A19=0,0,SUMIF('Week 1 Roster'!$AZ:$AZ,$B19,'Week 1 Roster'!$AO:$AO))</f>
        <v>0</v>
      </c>
      <c r="AE19" s="38">
        <f ca="1">IF($A19=0,0,SUMIF('Week 1 Roster'!$AZ:$AZ,$B19,'Week 1 Roster'!$AP:$AP))</f>
        <v>0</v>
      </c>
      <c r="AF19" s="17">
        <f ca="1">IF($A19=0,0,SUMIF('Week 1 Roster'!$AZ:$AZ,$B19,'Week 1 Roster'!$AQ:$AQ))</f>
        <v>0</v>
      </c>
      <c r="AG19" s="17">
        <f ca="1">IF($A19=0,0,SUMIF('Week 1 Roster'!$AZ:$AZ,$B19,'Week 1 Roster'!$AR:$AR))</f>
        <v>0</v>
      </c>
      <c r="AH19" s="17">
        <f ca="1">IF($A19=0,0,SUMIF('Week 1 Roster'!$AZ:$AZ,$B19,'Week 1 Roster'!$AS:$AS))</f>
        <v>0</v>
      </c>
      <c r="AI19" s="17">
        <f t="shared" ca="1" si="22"/>
        <v>0</v>
      </c>
      <c r="AK19" s="17">
        <f ca="1">IF($A19=0,0,SUMIF('Week 2 Roster'!$AZ:$AZ,$B19,'Week 2 Roster'!$AE:$AE))</f>
        <v>0</v>
      </c>
      <c r="AL19" s="17">
        <f ca="1">IF($A19=0,0,SUMIF('Week 2 Roster'!$AZ:$AZ,$B19,'Week 2 Roster'!$AG:$AG))</f>
        <v>0</v>
      </c>
      <c r="AM19" s="17">
        <f ca="1">IF($A19=0,0,SUMIF('Week 2 Roster'!$AZ:$AZ,$B19,'Week 2 Roster'!$AI:$AI))</f>
        <v>0</v>
      </c>
      <c r="AN19" s="17">
        <f ca="1">IF($A19=0,0,SUMIF('Week 2 Roster'!$AZ:$AZ,$B19,'Week 2 Roster'!$AK:$AK))</f>
        <v>0</v>
      </c>
      <c r="AO19" s="17">
        <f ca="1">IF($A19=0,0,SUMIF('Week 2 Roster'!$AZ:$AZ,$B19,'Week 2 Roster'!$AM:$AM))</f>
        <v>0</v>
      </c>
      <c r="AP19" s="17">
        <f ca="1">IF($A19=0,0,SUMIF('Week 2 Roster'!$AZ:$AZ,$B19,'Week 2 Roster'!$AO:$AO))</f>
        <v>0</v>
      </c>
      <c r="AQ19" s="38">
        <f ca="1">IF($A19=0,0,SUMIF('Week 2 Roster'!$AZ:$AZ,$B19,'Week 2 Roster'!$AP:$AP))</f>
        <v>0</v>
      </c>
      <c r="AR19" s="17">
        <f ca="1">IF($A19=0,0,SUMIF('Week 2 Roster'!$AZ:$AZ,$B19,'Week 2 Roster'!$AQ:$AQ))</f>
        <v>0</v>
      </c>
      <c r="AS19" s="17">
        <f ca="1">IF($A19=0,0,SUMIF('Week 2 Roster'!$AZ:$AZ,$B19,'Week 2 Roster'!$AR:$AR))</f>
        <v>0</v>
      </c>
      <c r="AT19" s="17">
        <f ca="1">IF($A19=0,0,SUMIF('Week 2 Roster'!$AZ:$AZ,$B19,'Week 2 Roster'!$AS:$AS))</f>
        <v>0</v>
      </c>
      <c r="AU19" s="17">
        <f t="shared" ca="1" si="23"/>
        <v>0</v>
      </c>
      <c r="AV19" s="17"/>
      <c r="AW19" s="25" t="str">
        <f>'Week 1 Roster'!A19</f>
        <v/>
      </c>
      <c r="AX19" s="25" t="str">
        <f>'Week 2 Roster'!A19</f>
        <v/>
      </c>
    </row>
    <row r="20" spans="1:50">
      <c r="A20" s="16" cm="1">
        <f t="array" aca="1" ref="A20" ca="1">_xlfn.NUMBERVALUE(INDIRECT(TEXT(MIN(IF(($AW$2:$AX$300&lt;&gt;"")*(COUNTIF($B$1:B19,$AW$2:$AX$300)=0),ROW($2:$300)*100+COLUMN($AW:$AX),7^8)),"R0C00"),)&amp;"")</f>
        <v>0</v>
      </c>
      <c r="B20" s="28" t="str">
        <f t="shared" ca="1" si="9"/>
        <v/>
      </c>
      <c r="C20" s="28" t="str">
        <f ca="1">IF($A20=0,"",VLOOKUP($B20,Employees!$A:$G,2,FALSE))</f>
        <v/>
      </c>
      <c r="D20" s="28" t="str">
        <f ca="1">IF($A20=0,"",VLOOKUP($B20,Employees!$A:$G,3,FALSE))</f>
        <v/>
      </c>
      <c r="E20" s="26" t="str">
        <f ca="1">IF($A20=0,"",VLOOKUP($B20,Employees!$A:$G,5,FALSE))</f>
        <v/>
      </c>
      <c r="F20" s="13" t="str">
        <f ca="1">IF($E20="","",ROUNDDOWN(YEARFRAC($E20, 'Week 1 Roster'!$D$1-1, 1), 0))</f>
        <v/>
      </c>
      <c r="G20" s="13" t="str">
        <f ca="1">IF($E20="","",ROUNDDOWN(YEARFRAC($E20, 'Week 1 Roster'!$D$1+14, 1), 0))</f>
        <v/>
      </c>
      <c r="H20" s="13" t="str">
        <f t="shared" ca="1" si="10"/>
        <v/>
      </c>
      <c r="I20" s="13" t="str">
        <f ca="1">IF($A20=0,"",VLOOKUP($B20,Employees!$A:$G,6,FALSE))</f>
        <v/>
      </c>
      <c r="J20" s="13" t="str">
        <f ca="1">IF($A20=0,"",VLOOKUP($B20,Employees!$A:$G,7,FALSE))</f>
        <v/>
      </c>
      <c r="K20" s="13" t="str">
        <f ca="1">IF($A20=0,"",IF(ISNA(VLOOKUP(A20,'Week 1 Roster'!A:C,2,0)),VLOOKUP(A20,'Week 2 Roster'!A:C,2,0),VLOOKUP(A20,'Week 1 Roster'!A:C,2,0)))</f>
        <v/>
      </c>
      <c r="L20" s="13" t="str">
        <f ca="1">IF($A20=0,"",VLOOKUP(K20,Stores!A:B,2,0))</f>
        <v/>
      </c>
      <c r="M20" s="14">
        <f t="shared" ca="1" si="11"/>
        <v>0</v>
      </c>
      <c r="N20" s="14">
        <f t="shared" ca="1" si="12"/>
        <v>0</v>
      </c>
      <c r="O20" s="14">
        <f t="shared" ca="1" si="13"/>
        <v>0</v>
      </c>
      <c r="P20" s="14">
        <f t="shared" ca="1" si="14"/>
        <v>0</v>
      </c>
      <c r="Q20" s="14">
        <f t="shared" ca="1" si="15"/>
        <v>0</v>
      </c>
      <c r="R20" s="14">
        <f t="shared" ca="1" si="16"/>
        <v>0</v>
      </c>
      <c r="S20" s="28">
        <f t="shared" ca="1" si="17"/>
        <v>0</v>
      </c>
      <c r="T20" s="14">
        <f t="shared" ca="1" si="18"/>
        <v>0</v>
      </c>
      <c r="U20" s="14">
        <f t="shared" ca="1" si="19"/>
        <v>0</v>
      </c>
      <c r="V20" s="14">
        <f t="shared" ca="1" si="20"/>
        <v>0</v>
      </c>
      <c r="W20" s="14">
        <f t="shared" ca="1" si="21"/>
        <v>0</v>
      </c>
      <c r="Y20" s="17">
        <f ca="1">IF($A20=0,0,SUMIF('Week 1 Roster'!$AZ:$AZ,$B20,'Week 1 Roster'!$AE:$AE))</f>
        <v>0</v>
      </c>
      <c r="Z20" s="17">
        <f ca="1">IF($A20=0,0,SUMIF('Week 1 Roster'!$AZ:$AZ,$B20,'Week 1 Roster'!$AG:$AG))</f>
        <v>0</v>
      </c>
      <c r="AA20" s="17">
        <f ca="1">IF($A20=0,0,SUMIF('Week 1 Roster'!$AZ:$AZ,$B20,'Week 1 Roster'!$AI:$AI))</f>
        <v>0</v>
      </c>
      <c r="AB20" s="17">
        <f ca="1">IF($A20=0,0,SUMIF('Week 1 Roster'!$AZ:$AZ,$B20,'Week 1 Roster'!$AK:$AK))</f>
        <v>0</v>
      </c>
      <c r="AC20" s="17">
        <f ca="1">IF($A20=0,0,SUMIF('Week 1 Roster'!$AZ:$AZ,$B20,'Week 1 Roster'!$AM:$AM))</f>
        <v>0</v>
      </c>
      <c r="AD20" s="17">
        <f ca="1">IF($A20=0,0,SUMIF('Week 1 Roster'!$AZ:$AZ,$B20,'Week 1 Roster'!$AO:$AO))</f>
        <v>0</v>
      </c>
      <c r="AE20" s="38">
        <f ca="1">IF($A20=0,0,SUMIF('Week 1 Roster'!$AZ:$AZ,$B20,'Week 1 Roster'!$AP:$AP))</f>
        <v>0</v>
      </c>
      <c r="AF20" s="17">
        <f ca="1">IF($A20=0,0,SUMIF('Week 1 Roster'!$AZ:$AZ,$B20,'Week 1 Roster'!$AQ:$AQ))</f>
        <v>0</v>
      </c>
      <c r="AG20" s="17">
        <f ca="1">IF($A20=0,0,SUMIF('Week 1 Roster'!$AZ:$AZ,$B20,'Week 1 Roster'!$AR:$AR))</f>
        <v>0</v>
      </c>
      <c r="AH20" s="17">
        <f ca="1">IF($A20=0,0,SUMIF('Week 1 Roster'!$AZ:$AZ,$B20,'Week 1 Roster'!$AS:$AS))</f>
        <v>0</v>
      </c>
      <c r="AI20" s="17">
        <f t="shared" ca="1" si="22"/>
        <v>0</v>
      </c>
      <c r="AK20" s="17">
        <f ca="1">IF($A20=0,0,SUMIF('Week 2 Roster'!$AZ:$AZ,$B20,'Week 2 Roster'!$AE:$AE))</f>
        <v>0</v>
      </c>
      <c r="AL20" s="17">
        <f ca="1">IF($A20=0,0,SUMIF('Week 2 Roster'!$AZ:$AZ,$B20,'Week 2 Roster'!$AG:$AG))</f>
        <v>0</v>
      </c>
      <c r="AM20" s="17">
        <f ca="1">IF($A20=0,0,SUMIF('Week 2 Roster'!$AZ:$AZ,$B20,'Week 2 Roster'!$AI:$AI))</f>
        <v>0</v>
      </c>
      <c r="AN20" s="17">
        <f ca="1">IF($A20=0,0,SUMIF('Week 2 Roster'!$AZ:$AZ,$B20,'Week 2 Roster'!$AK:$AK))</f>
        <v>0</v>
      </c>
      <c r="AO20" s="17">
        <f ca="1">IF($A20=0,0,SUMIF('Week 2 Roster'!$AZ:$AZ,$B20,'Week 2 Roster'!$AM:$AM))</f>
        <v>0</v>
      </c>
      <c r="AP20" s="17">
        <f ca="1">IF($A20=0,0,SUMIF('Week 2 Roster'!$AZ:$AZ,$B20,'Week 2 Roster'!$AO:$AO))</f>
        <v>0</v>
      </c>
      <c r="AQ20" s="38">
        <f ca="1">IF($A20=0,0,SUMIF('Week 2 Roster'!$AZ:$AZ,$B20,'Week 2 Roster'!$AP:$AP))</f>
        <v>0</v>
      </c>
      <c r="AR20" s="17">
        <f ca="1">IF($A20=0,0,SUMIF('Week 2 Roster'!$AZ:$AZ,$B20,'Week 2 Roster'!$AQ:$AQ))</f>
        <v>0</v>
      </c>
      <c r="AS20" s="17">
        <f ca="1">IF($A20=0,0,SUMIF('Week 2 Roster'!$AZ:$AZ,$B20,'Week 2 Roster'!$AR:$AR))</f>
        <v>0</v>
      </c>
      <c r="AT20" s="17">
        <f ca="1">IF($A20=0,0,SUMIF('Week 2 Roster'!$AZ:$AZ,$B20,'Week 2 Roster'!$AS:$AS))</f>
        <v>0</v>
      </c>
      <c r="AU20" s="17">
        <f t="shared" ca="1" si="23"/>
        <v>0</v>
      </c>
      <c r="AV20" s="17"/>
      <c r="AW20" s="25" t="str">
        <f>'Week 1 Roster'!A20</f>
        <v/>
      </c>
      <c r="AX20" s="25" t="str">
        <f>'Week 2 Roster'!A20</f>
        <v/>
      </c>
    </row>
    <row r="21" spans="1:50">
      <c r="A21" s="16" cm="1">
        <f t="array" aca="1" ref="A21" ca="1">_xlfn.NUMBERVALUE(INDIRECT(TEXT(MIN(IF(($AW$2:$AX$300&lt;&gt;"")*(COUNTIF($B$1:B20,$AW$2:$AX$300)=0),ROW($2:$300)*100+COLUMN($AW:$AX),7^8)),"R0C00"),)&amp;"")</f>
        <v>0</v>
      </c>
      <c r="B21" s="28" t="str">
        <f t="shared" ca="1" si="9"/>
        <v/>
      </c>
      <c r="C21" s="28" t="str">
        <f ca="1">IF($A21=0,"",VLOOKUP($B21,Employees!$A:$G,2,FALSE))</f>
        <v/>
      </c>
      <c r="D21" s="28" t="str">
        <f ca="1">IF($A21=0,"",VLOOKUP($B21,Employees!$A:$G,3,FALSE))</f>
        <v/>
      </c>
      <c r="E21" s="26" t="str">
        <f ca="1">IF($A21=0,"",VLOOKUP($B21,Employees!$A:$G,5,FALSE))</f>
        <v/>
      </c>
      <c r="F21" s="13" t="str">
        <f ca="1">IF($E21="","",ROUNDDOWN(YEARFRAC($E21, 'Week 1 Roster'!$D$1-1, 1), 0))</f>
        <v/>
      </c>
      <c r="G21" s="13" t="str">
        <f ca="1">IF($E21="","",ROUNDDOWN(YEARFRAC($E21, 'Week 1 Roster'!$D$1+14, 1), 0))</f>
        <v/>
      </c>
      <c r="H21" s="13" t="str">
        <f t="shared" ca="1" si="10"/>
        <v/>
      </c>
      <c r="I21" s="13" t="str">
        <f ca="1">IF($A21=0,"",VLOOKUP($B21,Employees!$A:$G,6,FALSE))</f>
        <v/>
      </c>
      <c r="J21" s="13" t="str">
        <f ca="1">IF($A21=0,"",VLOOKUP($B21,Employees!$A:$G,7,FALSE))</f>
        <v/>
      </c>
      <c r="K21" s="13" t="str">
        <f ca="1">IF($A21=0,"",IF(ISNA(VLOOKUP(A21,'Week 1 Roster'!A:C,2,0)),VLOOKUP(A21,'Week 2 Roster'!A:C,2,0),VLOOKUP(A21,'Week 1 Roster'!A:C,2,0)))</f>
        <v/>
      </c>
      <c r="L21" s="13" t="str">
        <f ca="1">IF($A21=0,"",VLOOKUP(K21,Stores!A:B,2,0))</f>
        <v/>
      </c>
      <c r="M21" s="14">
        <f t="shared" ca="1" si="11"/>
        <v>0</v>
      </c>
      <c r="N21" s="14">
        <f t="shared" ca="1" si="12"/>
        <v>0</v>
      </c>
      <c r="O21" s="14">
        <f t="shared" ca="1" si="13"/>
        <v>0</v>
      </c>
      <c r="P21" s="14">
        <f t="shared" ca="1" si="14"/>
        <v>0</v>
      </c>
      <c r="Q21" s="14">
        <f t="shared" ca="1" si="15"/>
        <v>0</v>
      </c>
      <c r="R21" s="14">
        <f t="shared" ca="1" si="16"/>
        <v>0</v>
      </c>
      <c r="S21" s="28">
        <f t="shared" ca="1" si="17"/>
        <v>0</v>
      </c>
      <c r="T21" s="14">
        <f t="shared" ca="1" si="18"/>
        <v>0</v>
      </c>
      <c r="U21" s="14">
        <f t="shared" ca="1" si="19"/>
        <v>0</v>
      </c>
      <c r="V21" s="14">
        <f t="shared" ca="1" si="20"/>
        <v>0</v>
      </c>
      <c r="W21" s="14">
        <f t="shared" ca="1" si="21"/>
        <v>0</v>
      </c>
      <c r="Y21" s="17">
        <f ca="1">IF($A21=0,0,SUMIF('Week 1 Roster'!$AZ:$AZ,$B21,'Week 1 Roster'!$AE:$AE))</f>
        <v>0</v>
      </c>
      <c r="Z21" s="17">
        <f ca="1">IF($A21=0,0,SUMIF('Week 1 Roster'!$AZ:$AZ,$B21,'Week 1 Roster'!$AG:$AG))</f>
        <v>0</v>
      </c>
      <c r="AA21" s="17">
        <f ca="1">IF($A21=0,0,SUMIF('Week 1 Roster'!$AZ:$AZ,$B21,'Week 1 Roster'!$AI:$AI))</f>
        <v>0</v>
      </c>
      <c r="AB21" s="17">
        <f ca="1">IF($A21=0,0,SUMIF('Week 1 Roster'!$AZ:$AZ,$B21,'Week 1 Roster'!$AK:$AK))</f>
        <v>0</v>
      </c>
      <c r="AC21" s="17">
        <f ca="1">IF($A21=0,0,SUMIF('Week 1 Roster'!$AZ:$AZ,$B21,'Week 1 Roster'!$AM:$AM))</f>
        <v>0</v>
      </c>
      <c r="AD21" s="17">
        <f ca="1">IF($A21=0,0,SUMIF('Week 1 Roster'!$AZ:$AZ,$B21,'Week 1 Roster'!$AO:$AO))</f>
        <v>0</v>
      </c>
      <c r="AE21" s="38">
        <f ca="1">IF($A21=0,0,SUMIF('Week 1 Roster'!$AZ:$AZ,$B21,'Week 1 Roster'!$AP:$AP))</f>
        <v>0</v>
      </c>
      <c r="AF21" s="17">
        <f ca="1">IF($A21=0,0,SUMIF('Week 1 Roster'!$AZ:$AZ,$B21,'Week 1 Roster'!$AQ:$AQ))</f>
        <v>0</v>
      </c>
      <c r="AG21" s="17">
        <f ca="1">IF($A21=0,0,SUMIF('Week 1 Roster'!$AZ:$AZ,$B21,'Week 1 Roster'!$AR:$AR))</f>
        <v>0</v>
      </c>
      <c r="AH21" s="17">
        <f ca="1">IF($A21=0,0,SUMIF('Week 1 Roster'!$AZ:$AZ,$B21,'Week 1 Roster'!$AS:$AS))</f>
        <v>0</v>
      </c>
      <c r="AI21" s="17">
        <f t="shared" ca="1" si="22"/>
        <v>0</v>
      </c>
      <c r="AK21" s="17">
        <f ca="1">IF($A21=0,0,SUMIF('Week 2 Roster'!$AZ:$AZ,$B21,'Week 2 Roster'!$AE:$AE))</f>
        <v>0</v>
      </c>
      <c r="AL21" s="17">
        <f ca="1">IF($A21=0,0,SUMIF('Week 2 Roster'!$AZ:$AZ,$B21,'Week 2 Roster'!$AG:$AG))</f>
        <v>0</v>
      </c>
      <c r="AM21" s="17">
        <f ca="1">IF($A21=0,0,SUMIF('Week 2 Roster'!$AZ:$AZ,$B21,'Week 2 Roster'!$AI:$AI))</f>
        <v>0</v>
      </c>
      <c r="AN21" s="17">
        <f ca="1">IF($A21=0,0,SUMIF('Week 2 Roster'!$AZ:$AZ,$B21,'Week 2 Roster'!$AK:$AK))</f>
        <v>0</v>
      </c>
      <c r="AO21" s="17">
        <f ca="1">IF($A21=0,0,SUMIF('Week 2 Roster'!$AZ:$AZ,$B21,'Week 2 Roster'!$AM:$AM))</f>
        <v>0</v>
      </c>
      <c r="AP21" s="17">
        <f ca="1">IF($A21=0,0,SUMIF('Week 2 Roster'!$AZ:$AZ,$B21,'Week 2 Roster'!$AO:$AO))</f>
        <v>0</v>
      </c>
      <c r="AQ21" s="38">
        <f ca="1">IF($A21=0,0,SUMIF('Week 2 Roster'!$AZ:$AZ,$B21,'Week 2 Roster'!$AP:$AP))</f>
        <v>0</v>
      </c>
      <c r="AR21" s="17">
        <f ca="1">IF($A21=0,0,SUMIF('Week 2 Roster'!$AZ:$AZ,$B21,'Week 2 Roster'!$AQ:$AQ))</f>
        <v>0</v>
      </c>
      <c r="AS21" s="17">
        <f ca="1">IF($A21=0,0,SUMIF('Week 2 Roster'!$AZ:$AZ,$B21,'Week 2 Roster'!$AR:$AR))</f>
        <v>0</v>
      </c>
      <c r="AT21" s="17">
        <f ca="1">IF($A21=0,0,SUMIF('Week 2 Roster'!$AZ:$AZ,$B21,'Week 2 Roster'!$AS:$AS))</f>
        <v>0</v>
      </c>
      <c r="AU21" s="17">
        <f t="shared" ca="1" si="23"/>
        <v>0</v>
      </c>
      <c r="AV21" s="17"/>
      <c r="AW21" s="25" t="str">
        <f>'Week 1 Roster'!A21</f>
        <v/>
      </c>
      <c r="AX21" s="25" t="str">
        <f>'Week 2 Roster'!A21</f>
        <v/>
      </c>
    </row>
    <row r="22" spans="1:50">
      <c r="A22" s="16" cm="1">
        <f t="array" aca="1" ref="A22" ca="1">_xlfn.NUMBERVALUE(INDIRECT(TEXT(MIN(IF(($AW$2:$AX$300&lt;&gt;"")*(COUNTIF($B$1:B21,$AW$2:$AX$300)=0),ROW($2:$300)*100+COLUMN($AW:$AX),7^8)),"R0C00"),)&amp;"")</f>
        <v>0</v>
      </c>
      <c r="B22" s="28" t="str">
        <f t="shared" ca="1" si="9"/>
        <v/>
      </c>
      <c r="C22" s="28" t="str">
        <f ca="1">IF($A22=0,"",VLOOKUP($B22,Employees!$A:$G,2,FALSE))</f>
        <v/>
      </c>
      <c r="D22" s="28" t="str">
        <f ca="1">IF($A22=0,"",VLOOKUP($B22,Employees!$A:$G,3,FALSE))</f>
        <v/>
      </c>
      <c r="E22" s="26" t="str">
        <f ca="1">IF($A22=0,"",VLOOKUP($B22,Employees!$A:$G,5,FALSE))</f>
        <v/>
      </c>
      <c r="F22" s="13" t="str">
        <f ca="1">IF($E22="","",ROUNDDOWN(YEARFRAC($E22, 'Week 1 Roster'!$D$1-1, 1), 0))</f>
        <v/>
      </c>
      <c r="G22" s="13" t="str">
        <f ca="1">IF($E22="","",ROUNDDOWN(YEARFRAC($E22, 'Week 1 Roster'!$D$1+14, 1), 0))</f>
        <v/>
      </c>
      <c r="H22" s="13" t="str">
        <f t="shared" ca="1" si="10"/>
        <v/>
      </c>
      <c r="I22" s="13" t="str">
        <f ca="1">IF($A22=0,"",VLOOKUP($B22,Employees!$A:$G,6,FALSE))</f>
        <v/>
      </c>
      <c r="J22" s="13" t="str">
        <f ca="1">IF($A22=0,"",VLOOKUP($B22,Employees!$A:$G,7,FALSE))</f>
        <v/>
      </c>
      <c r="K22" s="13" t="str">
        <f ca="1">IF($A22=0,"",IF(ISNA(VLOOKUP(A22,'Week 1 Roster'!A:C,2,0)),VLOOKUP(A22,'Week 2 Roster'!A:C,2,0),VLOOKUP(A22,'Week 1 Roster'!A:C,2,0)))</f>
        <v/>
      </c>
      <c r="L22" s="13" t="str">
        <f ca="1">IF($A22=0,"",VLOOKUP(K22,Stores!A:B,2,0))</f>
        <v/>
      </c>
      <c r="M22" s="14">
        <f t="shared" ca="1" si="11"/>
        <v>0</v>
      </c>
      <c r="N22" s="14">
        <f t="shared" ca="1" si="12"/>
        <v>0</v>
      </c>
      <c r="O22" s="14">
        <f t="shared" ca="1" si="13"/>
        <v>0</v>
      </c>
      <c r="P22" s="14">
        <f t="shared" ca="1" si="14"/>
        <v>0</v>
      </c>
      <c r="Q22" s="14">
        <f t="shared" ca="1" si="15"/>
        <v>0</v>
      </c>
      <c r="R22" s="14">
        <f t="shared" ca="1" si="16"/>
        <v>0</v>
      </c>
      <c r="S22" s="28">
        <f t="shared" ca="1" si="17"/>
        <v>0</v>
      </c>
      <c r="T22" s="14">
        <f t="shared" ca="1" si="18"/>
        <v>0</v>
      </c>
      <c r="U22" s="14">
        <f t="shared" ca="1" si="19"/>
        <v>0</v>
      </c>
      <c r="V22" s="14">
        <f t="shared" ca="1" si="20"/>
        <v>0</v>
      </c>
      <c r="W22" s="14">
        <f t="shared" ca="1" si="21"/>
        <v>0</v>
      </c>
      <c r="Y22" s="17">
        <f ca="1">IF($A22=0,0,SUMIF('Week 1 Roster'!$AZ:$AZ,$B22,'Week 1 Roster'!$AE:$AE))</f>
        <v>0</v>
      </c>
      <c r="Z22" s="17">
        <f ca="1">IF($A22=0,0,SUMIF('Week 1 Roster'!$AZ:$AZ,$B22,'Week 1 Roster'!$AG:$AG))</f>
        <v>0</v>
      </c>
      <c r="AA22" s="17">
        <f ca="1">IF($A22=0,0,SUMIF('Week 1 Roster'!$AZ:$AZ,$B22,'Week 1 Roster'!$AI:$AI))</f>
        <v>0</v>
      </c>
      <c r="AB22" s="17">
        <f ca="1">IF($A22=0,0,SUMIF('Week 1 Roster'!$AZ:$AZ,$B22,'Week 1 Roster'!$AK:$AK))</f>
        <v>0</v>
      </c>
      <c r="AC22" s="17">
        <f ca="1">IF($A22=0,0,SUMIF('Week 1 Roster'!$AZ:$AZ,$B22,'Week 1 Roster'!$AM:$AM))</f>
        <v>0</v>
      </c>
      <c r="AD22" s="17">
        <f ca="1">IF($A22=0,0,SUMIF('Week 1 Roster'!$AZ:$AZ,$B22,'Week 1 Roster'!$AO:$AO))</f>
        <v>0</v>
      </c>
      <c r="AE22" s="38">
        <f ca="1">IF($A22=0,0,SUMIF('Week 1 Roster'!$AZ:$AZ,$B22,'Week 1 Roster'!$AP:$AP))</f>
        <v>0</v>
      </c>
      <c r="AF22" s="17">
        <f ca="1">IF($A22=0,0,SUMIF('Week 1 Roster'!$AZ:$AZ,$B22,'Week 1 Roster'!$AQ:$AQ))</f>
        <v>0</v>
      </c>
      <c r="AG22" s="17">
        <f ca="1">IF($A22=0,0,SUMIF('Week 1 Roster'!$AZ:$AZ,$B22,'Week 1 Roster'!$AR:$AR))</f>
        <v>0</v>
      </c>
      <c r="AH22" s="17">
        <f ca="1">IF($A22=0,0,SUMIF('Week 1 Roster'!$AZ:$AZ,$B22,'Week 1 Roster'!$AS:$AS))</f>
        <v>0</v>
      </c>
      <c r="AI22" s="17">
        <f t="shared" ca="1" si="22"/>
        <v>0</v>
      </c>
      <c r="AK22" s="17">
        <f ca="1">IF($A22=0,0,SUMIF('Week 2 Roster'!$AZ:$AZ,$B22,'Week 2 Roster'!$AE:$AE))</f>
        <v>0</v>
      </c>
      <c r="AL22" s="17">
        <f ca="1">IF($A22=0,0,SUMIF('Week 2 Roster'!$AZ:$AZ,$B22,'Week 2 Roster'!$AG:$AG))</f>
        <v>0</v>
      </c>
      <c r="AM22" s="17">
        <f ca="1">IF($A22=0,0,SUMIF('Week 2 Roster'!$AZ:$AZ,$B22,'Week 2 Roster'!$AI:$AI))</f>
        <v>0</v>
      </c>
      <c r="AN22" s="17">
        <f ca="1">IF($A22=0,0,SUMIF('Week 2 Roster'!$AZ:$AZ,$B22,'Week 2 Roster'!$AK:$AK))</f>
        <v>0</v>
      </c>
      <c r="AO22" s="17">
        <f ca="1">IF($A22=0,0,SUMIF('Week 2 Roster'!$AZ:$AZ,$B22,'Week 2 Roster'!$AM:$AM))</f>
        <v>0</v>
      </c>
      <c r="AP22" s="17">
        <f ca="1">IF($A22=0,0,SUMIF('Week 2 Roster'!$AZ:$AZ,$B22,'Week 2 Roster'!$AO:$AO))</f>
        <v>0</v>
      </c>
      <c r="AQ22" s="38">
        <f ca="1">IF($A22=0,0,SUMIF('Week 2 Roster'!$AZ:$AZ,$B22,'Week 2 Roster'!$AP:$AP))</f>
        <v>0</v>
      </c>
      <c r="AR22" s="17">
        <f ca="1">IF($A22=0,0,SUMIF('Week 2 Roster'!$AZ:$AZ,$B22,'Week 2 Roster'!$AQ:$AQ))</f>
        <v>0</v>
      </c>
      <c r="AS22" s="17">
        <f ca="1">IF($A22=0,0,SUMIF('Week 2 Roster'!$AZ:$AZ,$B22,'Week 2 Roster'!$AR:$AR))</f>
        <v>0</v>
      </c>
      <c r="AT22" s="17">
        <f ca="1">IF($A22=0,0,SUMIF('Week 2 Roster'!$AZ:$AZ,$B22,'Week 2 Roster'!$AS:$AS))</f>
        <v>0</v>
      </c>
      <c r="AU22" s="17">
        <f t="shared" ca="1" si="23"/>
        <v>0</v>
      </c>
      <c r="AV22" s="17"/>
      <c r="AW22" s="25" t="str">
        <f>'Week 1 Roster'!A22</f>
        <v/>
      </c>
      <c r="AX22" s="25" t="str">
        <f>'Week 2 Roster'!A22</f>
        <v/>
      </c>
    </row>
    <row r="23" spans="1:50">
      <c r="A23" s="16" cm="1">
        <f t="array" aca="1" ref="A23" ca="1">_xlfn.NUMBERVALUE(INDIRECT(TEXT(MIN(IF(($AW$2:$AX$300&lt;&gt;"")*(COUNTIF($B$1:B22,$AW$2:$AX$300)=0),ROW($2:$300)*100+COLUMN($AW:$AX),7^8)),"R0C00"),)&amp;"")</f>
        <v>0</v>
      </c>
      <c r="B23" s="28" t="str">
        <f t="shared" ca="1" si="9"/>
        <v/>
      </c>
      <c r="C23" s="28" t="str">
        <f ca="1">IF($A23=0,"",VLOOKUP($B23,Employees!$A:$G,2,FALSE))</f>
        <v/>
      </c>
      <c r="D23" s="28" t="str">
        <f ca="1">IF($A23=0,"",VLOOKUP($B23,Employees!$A:$G,3,FALSE))</f>
        <v/>
      </c>
      <c r="E23" s="26" t="str">
        <f ca="1">IF($A23=0,"",VLOOKUP($B23,Employees!$A:$G,5,FALSE))</f>
        <v/>
      </c>
      <c r="F23" s="13" t="str">
        <f ca="1">IF($E23="","",ROUNDDOWN(YEARFRAC($E23, 'Week 1 Roster'!$D$1-1, 1), 0))</f>
        <v/>
      </c>
      <c r="G23" s="13" t="str">
        <f ca="1">IF($E23="","",ROUNDDOWN(YEARFRAC($E23, 'Week 1 Roster'!$D$1+14, 1), 0))</f>
        <v/>
      </c>
      <c r="H23" s="13" t="str">
        <f t="shared" ca="1" si="10"/>
        <v/>
      </c>
      <c r="I23" s="13" t="str">
        <f ca="1">IF($A23=0,"",VLOOKUP($B23,Employees!$A:$G,6,FALSE))</f>
        <v/>
      </c>
      <c r="J23" s="13" t="str">
        <f ca="1">IF($A23=0,"",VLOOKUP($B23,Employees!$A:$G,7,FALSE))</f>
        <v/>
      </c>
      <c r="K23" s="13" t="str">
        <f ca="1">IF($A23=0,"",IF(ISNA(VLOOKUP(A23,'Week 1 Roster'!A:C,2,0)),VLOOKUP(A23,'Week 2 Roster'!A:C,2,0),VLOOKUP(A23,'Week 1 Roster'!A:C,2,0)))</f>
        <v/>
      </c>
      <c r="L23" s="13" t="str">
        <f ca="1">IF($A23=0,"",VLOOKUP(K23,Stores!A:B,2,0))</f>
        <v/>
      </c>
      <c r="M23" s="14">
        <f t="shared" ca="1" si="11"/>
        <v>0</v>
      </c>
      <c r="N23" s="14">
        <f t="shared" ca="1" si="12"/>
        <v>0</v>
      </c>
      <c r="O23" s="14">
        <f t="shared" ca="1" si="13"/>
        <v>0</v>
      </c>
      <c r="P23" s="14">
        <f t="shared" ca="1" si="14"/>
        <v>0</v>
      </c>
      <c r="Q23" s="14">
        <f t="shared" ca="1" si="15"/>
        <v>0</v>
      </c>
      <c r="R23" s="14">
        <f t="shared" ca="1" si="16"/>
        <v>0</v>
      </c>
      <c r="S23" s="28">
        <f t="shared" ca="1" si="17"/>
        <v>0</v>
      </c>
      <c r="T23" s="14">
        <f t="shared" ca="1" si="18"/>
        <v>0</v>
      </c>
      <c r="U23" s="14">
        <f t="shared" ca="1" si="19"/>
        <v>0</v>
      </c>
      <c r="V23" s="14">
        <f t="shared" ca="1" si="20"/>
        <v>0</v>
      </c>
      <c r="W23" s="14">
        <f t="shared" ca="1" si="21"/>
        <v>0</v>
      </c>
      <c r="Y23" s="17">
        <f ca="1">IF($A23=0,0,SUMIF('Week 1 Roster'!$AZ:$AZ,$B23,'Week 1 Roster'!$AE:$AE))</f>
        <v>0</v>
      </c>
      <c r="Z23" s="17">
        <f ca="1">IF($A23=0,0,SUMIF('Week 1 Roster'!$AZ:$AZ,$B23,'Week 1 Roster'!$AG:$AG))</f>
        <v>0</v>
      </c>
      <c r="AA23" s="17">
        <f ca="1">IF($A23=0,0,SUMIF('Week 1 Roster'!$AZ:$AZ,$B23,'Week 1 Roster'!$AI:$AI))</f>
        <v>0</v>
      </c>
      <c r="AB23" s="17">
        <f ca="1">IF($A23=0,0,SUMIF('Week 1 Roster'!$AZ:$AZ,$B23,'Week 1 Roster'!$AK:$AK))</f>
        <v>0</v>
      </c>
      <c r="AC23" s="17">
        <f ca="1">IF($A23=0,0,SUMIF('Week 1 Roster'!$AZ:$AZ,$B23,'Week 1 Roster'!$AM:$AM))</f>
        <v>0</v>
      </c>
      <c r="AD23" s="17">
        <f ca="1">IF($A23=0,0,SUMIF('Week 1 Roster'!$AZ:$AZ,$B23,'Week 1 Roster'!$AO:$AO))</f>
        <v>0</v>
      </c>
      <c r="AE23" s="38">
        <f ca="1">IF($A23=0,0,SUMIF('Week 1 Roster'!$AZ:$AZ,$B23,'Week 1 Roster'!$AP:$AP))</f>
        <v>0</v>
      </c>
      <c r="AF23" s="17">
        <f ca="1">IF($A23=0,0,SUMIF('Week 1 Roster'!$AZ:$AZ,$B23,'Week 1 Roster'!$AQ:$AQ))</f>
        <v>0</v>
      </c>
      <c r="AG23" s="17">
        <f ca="1">IF($A23=0,0,SUMIF('Week 1 Roster'!$AZ:$AZ,$B23,'Week 1 Roster'!$AR:$AR))</f>
        <v>0</v>
      </c>
      <c r="AH23" s="17">
        <f ca="1">IF($A23=0,0,SUMIF('Week 1 Roster'!$AZ:$AZ,$B23,'Week 1 Roster'!$AS:$AS))</f>
        <v>0</v>
      </c>
      <c r="AI23" s="17">
        <f t="shared" ca="1" si="22"/>
        <v>0</v>
      </c>
      <c r="AK23" s="17">
        <f ca="1">IF($A23=0,0,SUMIF('Week 2 Roster'!$AZ:$AZ,$B23,'Week 2 Roster'!$AE:$AE))</f>
        <v>0</v>
      </c>
      <c r="AL23" s="17">
        <f ca="1">IF($A23=0,0,SUMIF('Week 2 Roster'!$AZ:$AZ,$B23,'Week 2 Roster'!$AG:$AG))</f>
        <v>0</v>
      </c>
      <c r="AM23" s="17">
        <f ca="1">IF($A23=0,0,SUMIF('Week 2 Roster'!$AZ:$AZ,$B23,'Week 2 Roster'!$AI:$AI))</f>
        <v>0</v>
      </c>
      <c r="AN23" s="17">
        <f ca="1">IF($A23=0,0,SUMIF('Week 2 Roster'!$AZ:$AZ,$B23,'Week 2 Roster'!$AK:$AK))</f>
        <v>0</v>
      </c>
      <c r="AO23" s="17">
        <f ca="1">IF($A23=0,0,SUMIF('Week 2 Roster'!$AZ:$AZ,$B23,'Week 2 Roster'!$AM:$AM))</f>
        <v>0</v>
      </c>
      <c r="AP23" s="17">
        <f ca="1">IF($A23=0,0,SUMIF('Week 2 Roster'!$AZ:$AZ,$B23,'Week 2 Roster'!$AO:$AO))</f>
        <v>0</v>
      </c>
      <c r="AQ23" s="38">
        <f ca="1">IF($A23=0,0,SUMIF('Week 2 Roster'!$AZ:$AZ,$B23,'Week 2 Roster'!$AP:$AP))</f>
        <v>0</v>
      </c>
      <c r="AR23" s="17">
        <f ca="1">IF($A23=0,0,SUMIF('Week 2 Roster'!$AZ:$AZ,$B23,'Week 2 Roster'!$AQ:$AQ))</f>
        <v>0</v>
      </c>
      <c r="AS23" s="17">
        <f ca="1">IF($A23=0,0,SUMIF('Week 2 Roster'!$AZ:$AZ,$B23,'Week 2 Roster'!$AR:$AR))</f>
        <v>0</v>
      </c>
      <c r="AT23" s="17">
        <f ca="1">IF($A23=0,0,SUMIF('Week 2 Roster'!$AZ:$AZ,$B23,'Week 2 Roster'!$AS:$AS))</f>
        <v>0</v>
      </c>
      <c r="AU23" s="17">
        <f t="shared" ca="1" si="23"/>
        <v>0</v>
      </c>
      <c r="AV23" s="17"/>
      <c r="AW23" s="25" t="str">
        <f>'Week 1 Roster'!A23</f>
        <v/>
      </c>
      <c r="AX23" s="25" t="str">
        <f>'Week 2 Roster'!A23</f>
        <v/>
      </c>
    </row>
    <row r="24" spans="1:50">
      <c r="A24" s="16" cm="1">
        <f t="array" aca="1" ref="A24" ca="1">_xlfn.NUMBERVALUE(INDIRECT(TEXT(MIN(IF(($AW$2:$AX$300&lt;&gt;"")*(COUNTIF($B$1:B23,$AW$2:$AX$300)=0),ROW($2:$300)*100+COLUMN($AW:$AX),7^8)),"R0C00"),)&amp;"")</f>
        <v>0</v>
      </c>
      <c r="B24" s="28" t="str">
        <f t="shared" ca="1" si="9"/>
        <v/>
      </c>
      <c r="C24" s="28" t="str">
        <f ca="1">IF($A24=0,"",VLOOKUP($B24,Employees!$A:$G,2,FALSE))</f>
        <v/>
      </c>
      <c r="D24" s="28" t="str">
        <f ca="1">IF($A24=0,"",VLOOKUP($B24,Employees!$A:$G,3,FALSE))</f>
        <v/>
      </c>
      <c r="E24" s="26" t="str">
        <f ca="1">IF($A24=0,"",VLOOKUP($B24,Employees!$A:$G,5,FALSE))</f>
        <v/>
      </c>
      <c r="F24" s="13" t="str">
        <f ca="1">IF($E24="","",ROUNDDOWN(YEARFRAC($E24, 'Week 1 Roster'!$D$1-1, 1), 0))</f>
        <v/>
      </c>
      <c r="G24" s="13" t="str">
        <f ca="1">IF($E24="","",ROUNDDOWN(YEARFRAC($E24, 'Week 1 Roster'!$D$1+14, 1), 0))</f>
        <v/>
      </c>
      <c r="H24" s="13" t="str">
        <f t="shared" ca="1" si="10"/>
        <v/>
      </c>
      <c r="I24" s="13" t="str">
        <f ca="1">IF($A24=0,"",VLOOKUP($B24,Employees!$A:$G,6,FALSE))</f>
        <v/>
      </c>
      <c r="J24" s="13" t="str">
        <f ca="1">IF($A24=0,"",VLOOKUP($B24,Employees!$A:$G,7,FALSE))</f>
        <v/>
      </c>
      <c r="K24" s="13" t="str">
        <f ca="1">IF($A24=0,"",IF(ISNA(VLOOKUP(A24,'Week 1 Roster'!A:C,2,0)),VLOOKUP(A24,'Week 2 Roster'!A:C,2,0),VLOOKUP(A24,'Week 1 Roster'!A:C,2,0)))</f>
        <v/>
      </c>
      <c r="L24" s="13" t="str">
        <f ca="1">IF($A24=0,"",VLOOKUP(K24,Stores!A:B,2,0))</f>
        <v/>
      </c>
      <c r="M24" s="14">
        <f t="shared" ca="1" si="11"/>
        <v>0</v>
      </c>
      <c r="N24" s="14">
        <f t="shared" ca="1" si="12"/>
        <v>0</v>
      </c>
      <c r="O24" s="14">
        <f t="shared" ca="1" si="13"/>
        <v>0</v>
      </c>
      <c r="P24" s="14">
        <f t="shared" ca="1" si="14"/>
        <v>0</v>
      </c>
      <c r="Q24" s="14">
        <f t="shared" ca="1" si="15"/>
        <v>0</v>
      </c>
      <c r="R24" s="14">
        <f t="shared" ca="1" si="16"/>
        <v>0</v>
      </c>
      <c r="S24" s="28">
        <f t="shared" ca="1" si="17"/>
        <v>0</v>
      </c>
      <c r="T24" s="14">
        <f t="shared" ca="1" si="18"/>
        <v>0</v>
      </c>
      <c r="U24" s="14">
        <f t="shared" ca="1" si="19"/>
        <v>0</v>
      </c>
      <c r="V24" s="14">
        <f t="shared" ca="1" si="20"/>
        <v>0</v>
      </c>
      <c r="W24" s="14">
        <f t="shared" ca="1" si="21"/>
        <v>0</v>
      </c>
      <c r="Y24" s="17">
        <f ca="1">IF($A24=0,0,SUMIF('Week 1 Roster'!$AZ:$AZ,$B24,'Week 1 Roster'!$AE:$AE))</f>
        <v>0</v>
      </c>
      <c r="Z24" s="17">
        <f ca="1">IF($A24=0,0,SUMIF('Week 1 Roster'!$AZ:$AZ,$B24,'Week 1 Roster'!$AG:$AG))</f>
        <v>0</v>
      </c>
      <c r="AA24" s="17">
        <f ca="1">IF($A24=0,0,SUMIF('Week 1 Roster'!$AZ:$AZ,$B24,'Week 1 Roster'!$AI:$AI))</f>
        <v>0</v>
      </c>
      <c r="AB24" s="17">
        <f ca="1">IF($A24=0,0,SUMIF('Week 1 Roster'!$AZ:$AZ,$B24,'Week 1 Roster'!$AK:$AK))</f>
        <v>0</v>
      </c>
      <c r="AC24" s="17">
        <f ca="1">IF($A24=0,0,SUMIF('Week 1 Roster'!$AZ:$AZ,$B24,'Week 1 Roster'!$AM:$AM))</f>
        <v>0</v>
      </c>
      <c r="AD24" s="17">
        <f ca="1">IF($A24=0,0,SUMIF('Week 1 Roster'!$AZ:$AZ,$B24,'Week 1 Roster'!$AO:$AO))</f>
        <v>0</v>
      </c>
      <c r="AE24" s="38">
        <f ca="1">IF($A24=0,0,SUMIF('Week 1 Roster'!$AZ:$AZ,$B24,'Week 1 Roster'!$AP:$AP))</f>
        <v>0</v>
      </c>
      <c r="AF24" s="17">
        <f ca="1">IF($A24=0,0,SUMIF('Week 1 Roster'!$AZ:$AZ,$B24,'Week 1 Roster'!$AQ:$AQ))</f>
        <v>0</v>
      </c>
      <c r="AG24" s="17">
        <f ca="1">IF($A24=0,0,SUMIF('Week 1 Roster'!$AZ:$AZ,$B24,'Week 1 Roster'!$AR:$AR))</f>
        <v>0</v>
      </c>
      <c r="AH24" s="17">
        <f ca="1">IF($A24=0,0,SUMIF('Week 1 Roster'!$AZ:$AZ,$B24,'Week 1 Roster'!$AS:$AS))</f>
        <v>0</v>
      </c>
      <c r="AI24" s="17">
        <f t="shared" ca="1" si="22"/>
        <v>0</v>
      </c>
      <c r="AK24" s="17">
        <f ca="1">IF($A24=0,0,SUMIF('Week 2 Roster'!$AZ:$AZ,$B24,'Week 2 Roster'!$AE:$AE))</f>
        <v>0</v>
      </c>
      <c r="AL24" s="17">
        <f ca="1">IF($A24=0,0,SUMIF('Week 2 Roster'!$AZ:$AZ,$B24,'Week 2 Roster'!$AG:$AG))</f>
        <v>0</v>
      </c>
      <c r="AM24" s="17">
        <f ca="1">IF($A24=0,0,SUMIF('Week 2 Roster'!$AZ:$AZ,$B24,'Week 2 Roster'!$AI:$AI))</f>
        <v>0</v>
      </c>
      <c r="AN24" s="17">
        <f ca="1">IF($A24=0,0,SUMIF('Week 2 Roster'!$AZ:$AZ,$B24,'Week 2 Roster'!$AK:$AK))</f>
        <v>0</v>
      </c>
      <c r="AO24" s="17">
        <f ca="1">IF($A24=0,0,SUMIF('Week 2 Roster'!$AZ:$AZ,$B24,'Week 2 Roster'!$AM:$AM))</f>
        <v>0</v>
      </c>
      <c r="AP24" s="17">
        <f ca="1">IF($A24=0,0,SUMIF('Week 2 Roster'!$AZ:$AZ,$B24,'Week 2 Roster'!$AO:$AO))</f>
        <v>0</v>
      </c>
      <c r="AQ24" s="38">
        <f ca="1">IF($A24=0,0,SUMIF('Week 2 Roster'!$AZ:$AZ,$B24,'Week 2 Roster'!$AP:$AP))</f>
        <v>0</v>
      </c>
      <c r="AR24" s="17">
        <f ca="1">IF($A24=0,0,SUMIF('Week 2 Roster'!$AZ:$AZ,$B24,'Week 2 Roster'!$AQ:$AQ))</f>
        <v>0</v>
      </c>
      <c r="AS24" s="17">
        <f ca="1">IF($A24=0,0,SUMIF('Week 2 Roster'!$AZ:$AZ,$B24,'Week 2 Roster'!$AR:$AR))</f>
        <v>0</v>
      </c>
      <c r="AT24" s="17">
        <f ca="1">IF($A24=0,0,SUMIF('Week 2 Roster'!$AZ:$AZ,$B24,'Week 2 Roster'!$AS:$AS))</f>
        <v>0</v>
      </c>
      <c r="AU24" s="17">
        <f t="shared" ca="1" si="23"/>
        <v>0</v>
      </c>
      <c r="AV24" s="17"/>
      <c r="AW24" s="25" t="str">
        <f>'Week 1 Roster'!A24</f>
        <v/>
      </c>
      <c r="AX24" s="25" t="str">
        <f>'Week 2 Roster'!A24</f>
        <v/>
      </c>
    </row>
    <row r="25" spans="1:50">
      <c r="A25" s="16" cm="1">
        <f t="array" aca="1" ref="A25" ca="1">_xlfn.NUMBERVALUE(INDIRECT(TEXT(MIN(IF(($AW$2:$AX$300&lt;&gt;"")*(COUNTIF($B$1:B24,$AW$2:$AX$300)=0),ROW($2:$300)*100+COLUMN($AW:$AX),7^8)),"R0C00"),)&amp;"")</f>
        <v>0</v>
      </c>
      <c r="B25" s="28" t="str">
        <f t="shared" ca="1" si="9"/>
        <v/>
      </c>
      <c r="C25" s="28" t="str">
        <f ca="1">IF($A25=0,"",VLOOKUP($B25,Employees!$A:$G,2,FALSE))</f>
        <v/>
      </c>
      <c r="D25" s="28" t="str">
        <f ca="1">IF($A25=0,"",VLOOKUP($B25,Employees!$A:$G,3,FALSE))</f>
        <v/>
      </c>
      <c r="E25" s="26" t="str">
        <f ca="1">IF($A25=0,"",VLOOKUP($B25,Employees!$A:$G,5,FALSE))</f>
        <v/>
      </c>
      <c r="F25" s="13" t="str">
        <f ca="1">IF($E25="","",ROUNDDOWN(YEARFRAC($E25, 'Week 1 Roster'!$D$1-1, 1), 0))</f>
        <v/>
      </c>
      <c r="G25" s="13" t="str">
        <f ca="1">IF($E25="","",ROUNDDOWN(YEARFRAC($E25, 'Week 1 Roster'!$D$1+14, 1), 0))</f>
        <v/>
      </c>
      <c r="H25" s="13" t="str">
        <f t="shared" ca="1" si="10"/>
        <v/>
      </c>
      <c r="I25" s="13" t="str">
        <f ca="1">IF($A25=0,"",VLOOKUP($B25,Employees!$A:$G,6,FALSE))</f>
        <v/>
      </c>
      <c r="J25" s="13" t="str">
        <f ca="1">IF($A25=0,"",VLOOKUP($B25,Employees!$A:$G,7,FALSE))</f>
        <v/>
      </c>
      <c r="K25" s="13" t="str">
        <f ca="1">IF($A25=0,"",IF(ISNA(VLOOKUP(A25,'Week 1 Roster'!A:C,2,0)),VLOOKUP(A25,'Week 2 Roster'!A:C,2,0),VLOOKUP(A25,'Week 1 Roster'!A:C,2,0)))</f>
        <v/>
      </c>
      <c r="L25" s="13" t="str">
        <f ca="1">IF($A25=0,"",VLOOKUP(K25,Stores!A:B,2,0))</f>
        <v/>
      </c>
      <c r="M25" s="14">
        <f t="shared" ca="1" si="11"/>
        <v>0</v>
      </c>
      <c r="N25" s="14">
        <f t="shared" ca="1" si="12"/>
        <v>0</v>
      </c>
      <c r="O25" s="14">
        <f t="shared" ca="1" si="13"/>
        <v>0</v>
      </c>
      <c r="P25" s="14">
        <f t="shared" ca="1" si="14"/>
        <v>0</v>
      </c>
      <c r="Q25" s="14">
        <f t="shared" ca="1" si="15"/>
        <v>0</v>
      </c>
      <c r="R25" s="14">
        <f t="shared" ca="1" si="16"/>
        <v>0</v>
      </c>
      <c r="S25" s="28">
        <f t="shared" ca="1" si="17"/>
        <v>0</v>
      </c>
      <c r="T25" s="14">
        <f t="shared" ca="1" si="18"/>
        <v>0</v>
      </c>
      <c r="U25" s="14">
        <f t="shared" ca="1" si="19"/>
        <v>0</v>
      </c>
      <c r="V25" s="14">
        <f t="shared" ca="1" si="20"/>
        <v>0</v>
      </c>
      <c r="W25" s="14">
        <f t="shared" ca="1" si="21"/>
        <v>0</v>
      </c>
      <c r="Y25" s="17">
        <f ca="1">IF($A25=0,0,SUMIF('Week 1 Roster'!$AZ:$AZ,$B25,'Week 1 Roster'!$AE:$AE))</f>
        <v>0</v>
      </c>
      <c r="Z25" s="17">
        <f ca="1">IF($A25=0,0,SUMIF('Week 1 Roster'!$AZ:$AZ,$B25,'Week 1 Roster'!$AG:$AG))</f>
        <v>0</v>
      </c>
      <c r="AA25" s="17">
        <f ca="1">IF($A25=0,0,SUMIF('Week 1 Roster'!$AZ:$AZ,$B25,'Week 1 Roster'!$AI:$AI))</f>
        <v>0</v>
      </c>
      <c r="AB25" s="17">
        <f ca="1">IF($A25=0,0,SUMIF('Week 1 Roster'!$AZ:$AZ,$B25,'Week 1 Roster'!$AK:$AK))</f>
        <v>0</v>
      </c>
      <c r="AC25" s="17">
        <f ca="1">IF($A25=0,0,SUMIF('Week 1 Roster'!$AZ:$AZ,$B25,'Week 1 Roster'!$AM:$AM))</f>
        <v>0</v>
      </c>
      <c r="AD25" s="17">
        <f ca="1">IF($A25=0,0,SUMIF('Week 1 Roster'!$AZ:$AZ,$B25,'Week 1 Roster'!$AO:$AO))</f>
        <v>0</v>
      </c>
      <c r="AE25" s="38">
        <f ca="1">IF($A25=0,0,SUMIF('Week 1 Roster'!$AZ:$AZ,$B25,'Week 1 Roster'!$AP:$AP))</f>
        <v>0</v>
      </c>
      <c r="AF25" s="17">
        <f ca="1">IF($A25=0,0,SUMIF('Week 1 Roster'!$AZ:$AZ,$B25,'Week 1 Roster'!$AQ:$AQ))</f>
        <v>0</v>
      </c>
      <c r="AG25" s="17">
        <f ca="1">IF($A25=0,0,SUMIF('Week 1 Roster'!$AZ:$AZ,$B25,'Week 1 Roster'!$AR:$AR))</f>
        <v>0</v>
      </c>
      <c r="AH25" s="17">
        <f ca="1">IF($A25=0,0,SUMIF('Week 1 Roster'!$AZ:$AZ,$B25,'Week 1 Roster'!$AS:$AS))</f>
        <v>0</v>
      </c>
      <c r="AI25" s="17">
        <f t="shared" ca="1" si="22"/>
        <v>0</v>
      </c>
      <c r="AK25" s="17">
        <f ca="1">IF($A25=0,0,SUMIF('Week 2 Roster'!$AZ:$AZ,$B25,'Week 2 Roster'!$AE:$AE))</f>
        <v>0</v>
      </c>
      <c r="AL25" s="17">
        <f ca="1">IF($A25=0,0,SUMIF('Week 2 Roster'!$AZ:$AZ,$B25,'Week 2 Roster'!$AG:$AG))</f>
        <v>0</v>
      </c>
      <c r="AM25" s="17">
        <f ca="1">IF($A25=0,0,SUMIF('Week 2 Roster'!$AZ:$AZ,$B25,'Week 2 Roster'!$AI:$AI))</f>
        <v>0</v>
      </c>
      <c r="AN25" s="17">
        <f ca="1">IF($A25=0,0,SUMIF('Week 2 Roster'!$AZ:$AZ,$B25,'Week 2 Roster'!$AK:$AK))</f>
        <v>0</v>
      </c>
      <c r="AO25" s="17">
        <f ca="1">IF($A25=0,0,SUMIF('Week 2 Roster'!$AZ:$AZ,$B25,'Week 2 Roster'!$AM:$AM))</f>
        <v>0</v>
      </c>
      <c r="AP25" s="17">
        <f ca="1">IF($A25=0,0,SUMIF('Week 2 Roster'!$AZ:$AZ,$B25,'Week 2 Roster'!$AO:$AO))</f>
        <v>0</v>
      </c>
      <c r="AQ25" s="38">
        <f ca="1">IF($A25=0,0,SUMIF('Week 2 Roster'!$AZ:$AZ,$B25,'Week 2 Roster'!$AP:$AP))</f>
        <v>0</v>
      </c>
      <c r="AR25" s="17">
        <f ca="1">IF($A25=0,0,SUMIF('Week 2 Roster'!$AZ:$AZ,$B25,'Week 2 Roster'!$AQ:$AQ))</f>
        <v>0</v>
      </c>
      <c r="AS25" s="17">
        <f ca="1">IF($A25=0,0,SUMIF('Week 2 Roster'!$AZ:$AZ,$B25,'Week 2 Roster'!$AR:$AR))</f>
        <v>0</v>
      </c>
      <c r="AT25" s="17">
        <f ca="1">IF($A25=0,0,SUMIF('Week 2 Roster'!$AZ:$AZ,$B25,'Week 2 Roster'!$AS:$AS))</f>
        <v>0</v>
      </c>
      <c r="AU25" s="17">
        <f t="shared" ca="1" si="23"/>
        <v>0</v>
      </c>
      <c r="AV25" s="17"/>
      <c r="AW25" s="25" t="str">
        <f>'Week 1 Roster'!A25</f>
        <v/>
      </c>
      <c r="AX25" s="25" t="str">
        <f>'Week 2 Roster'!A25</f>
        <v/>
      </c>
    </row>
    <row r="26" spans="1:50">
      <c r="A26" s="16" cm="1">
        <f t="array" aca="1" ref="A26" ca="1">_xlfn.NUMBERVALUE(INDIRECT(TEXT(MIN(IF(($AW$2:$AX$300&lt;&gt;"")*(COUNTIF($B$1:B25,$AW$2:$AX$300)=0),ROW($2:$300)*100+COLUMN($AW:$AX),7^8)),"R0C00"),)&amp;"")</f>
        <v>0</v>
      </c>
      <c r="B26" s="28" t="str">
        <f t="shared" ca="1" si="9"/>
        <v/>
      </c>
      <c r="C26" s="28" t="str">
        <f ca="1">IF($A26=0,"",VLOOKUP($B26,Employees!$A:$G,2,FALSE))</f>
        <v/>
      </c>
      <c r="D26" s="28" t="str">
        <f ca="1">IF($A26=0,"",VLOOKUP($B26,Employees!$A:$G,3,FALSE))</f>
        <v/>
      </c>
      <c r="E26" s="26" t="str">
        <f ca="1">IF($A26=0,"",VLOOKUP($B26,Employees!$A:$G,5,FALSE))</f>
        <v/>
      </c>
      <c r="F26" s="13" t="str">
        <f ca="1">IF($E26="","",ROUNDDOWN(YEARFRAC($E26, 'Week 1 Roster'!$D$1-1, 1), 0))</f>
        <v/>
      </c>
      <c r="G26" s="13" t="str">
        <f ca="1">IF($E26="","",ROUNDDOWN(YEARFRAC($E26, 'Week 1 Roster'!$D$1+14, 1), 0))</f>
        <v/>
      </c>
      <c r="H26" s="13" t="str">
        <f t="shared" ca="1" si="10"/>
        <v/>
      </c>
      <c r="I26" s="13" t="str">
        <f ca="1">IF($A26=0,"",VLOOKUP($B26,Employees!$A:$G,6,FALSE))</f>
        <v/>
      </c>
      <c r="J26" s="13" t="str">
        <f ca="1">IF($A26=0,"",VLOOKUP($B26,Employees!$A:$G,7,FALSE))</f>
        <v/>
      </c>
      <c r="K26" s="13" t="str">
        <f ca="1">IF($A26=0,"",IF(ISNA(VLOOKUP(A26,'Week 1 Roster'!A:C,2,0)),VLOOKUP(A26,'Week 2 Roster'!A:C,2,0),VLOOKUP(A26,'Week 1 Roster'!A:C,2,0)))</f>
        <v/>
      </c>
      <c r="L26" s="13" t="str">
        <f ca="1">IF($A26=0,"",VLOOKUP(K26,Stores!A:B,2,0))</f>
        <v/>
      </c>
      <c r="M26" s="14">
        <f t="shared" ca="1" si="11"/>
        <v>0</v>
      </c>
      <c r="N26" s="14">
        <f t="shared" ca="1" si="12"/>
        <v>0</v>
      </c>
      <c r="O26" s="14">
        <f t="shared" ca="1" si="13"/>
        <v>0</v>
      </c>
      <c r="P26" s="14">
        <f t="shared" ca="1" si="14"/>
        <v>0</v>
      </c>
      <c r="Q26" s="14">
        <f t="shared" ca="1" si="15"/>
        <v>0</v>
      </c>
      <c r="R26" s="14">
        <f t="shared" ca="1" si="16"/>
        <v>0</v>
      </c>
      <c r="S26" s="28">
        <f t="shared" ca="1" si="17"/>
        <v>0</v>
      </c>
      <c r="T26" s="14">
        <f t="shared" ca="1" si="18"/>
        <v>0</v>
      </c>
      <c r="U26" s="14">
        <f t="shared" ca="1" si="19"/>
        <v>0</v>
      </c>
      <c r="V26" s="14">
        <f t="shared" ca="1" si="20"/>
        <v>0</v>
      </c>
      <c r="W26" s="14">
        <f t="shared" ca="1" si="21"/>
        <v>0</v>
      </c>
      <c r="Y26" s="17">
        <f ca="1">IF($A26=0,0,SUMIF('Week 1 Roster'!$AZ:$AZ,$B26,'Week 1 Roster'!$AE:$AE))</f>
        <v>0</v>
      </c>
      <c r="Z26" s="17">
        <f ca="1">IF($A26=0,0,SUMIF('Week 1 Roster'!$AZ:$AZ,$B26,'Week 1 Roster'!$AG:$AG))</f>
        <v>0</v>
      </c>
      <c r="AA26" s="17">
        <f ca="1">IF($A26=0,0,SUMIF('Week 1 Roster'!$AZ:$AZ,$B26,'Week 1 Roster'!$AI:$AI))</f>
        <v>0</v>
      </c>
      <c r="AB26" s="17">
        <f ca="1">IF($A26=0,0,SUMIF('Week 1 Roster'!$AZ:$AZ,$B26,'Week 1 Roster'!$AK:$AK))</f>
        <v>0</v>
      </c>
      <c r="AC26" s="17">
        <f ca="1">IF($A26=0,0,SUMIF('Week 1 Roster'!$AZ:$AZ,$B26,'Week 1 Roster'!$AM:$AM))</f>
        <v>0</v>
      </c>
      <c r="AD26" s="17">
        <f ca="1">IF($A26=0,0,SUMIF('Week 1 Roster'!$AZ:$AZ,$B26,'Week 1 Roster'!$AO:$AO))</f>
        <v>0</v>
      </c>
      <c r="AE26" s="38">
        <f ca="1">IF($A26=0,0,SUMIF('Week 1 Roster'!$AZ:$AZ,$B26,'Week 1 Roster'!$AP:$AP))</f>
        <v>0</v>
      </c>
      <c r="AF26" s="17">
        <f ca="1">IF($A26=0,0,SUMIF('Week 1 Roster'!$AZ:$AZ,$B26,'Week 1 Roster'!$AQ:$AQ))</f>
        <v>0</v>
      </c>
      <c r="AG26" s="17">
        <f ca="1">IF($A26=0,0,SUMIF('Week 1 Roster'!$AZ:$AZ,$B26,'Week 1 Roster'!$AR:$AR))</f>
        <v>0</v>
      </c>
      <c r="AH26" s="17">
        <f ca="1">IF($A26=0,0,SUMIF('Week 1 Roster'!$AZ:$AZ,$B26,'Week 1 Roster'!$AS:$AS))</f>
        <v>0</v>
      </c>
      <c r="AI26" s="17">
        <f t="shared" ca="1" si="22"/>
        <v>0</v>
      </c>
      <c r="AK26" s="17">
        <f ca="1">IF($A26=0,0,SUMIF('Week 2 Roster'!$AZ:$AZ,$B26,'Week 2 Roster'!$AE:$AE))</f>
        <v>0</v>
      </c>
      <c r="AL26" s="17">
        <f ca="1">IF($A26=0,0,SUMIF('Week 2 Roster'!$AZ:$AZ,$B26,'Week 2 Roster'!$AG:$AG))</f>
        <v>0</v>
      </c>
      <c r="AM26" s="17">
        <f ca="1">IF($A26=0,0,SUMIF('Week 2 Roster'!$AZ:$AZ,$B26,'Week 2 Roster'!$AI:$AI))</f>
        <v>0</v>
      </c>
      <c r="AN26" s="17">
        <f ca="1">IF($A26=0,0,SUMIF('Week 2 Roster'!$AZ:$AZ,$B26,'Week 2 Roster'!$AK:$AK))</f>
        <v>0</v>
      </c>
      <c r="AO26" s="17">
        <f ca="1">IF($A26=0,0,SUMIF('Week 2 Roster'!$AZ:$AZ,$B26,'Week 2 Roster'!$AM:$AM))</f>
        <v>0</v>
      </c>
      <c r="AP26" s="17">
        <f ca="1">IF($A26=0,0,SUMIF('Week 2 Roster'!$AZ:$AZ,$B26,'Week 2 Roster'!$AO:$AO))</f>
        <v>0</v>
      </c>
      <c r="AQ26" s="38">
        <f ca="1">IF($A26=0,0,SUMIF('Week 2 Roster'!$AZ:$AZ,$B26,'Week 2 Roster'!$AP:$AP))</f>
        <v>0</v>
      </c>
      <c r="AR26" s="17">
        <f ca="1">IF($A26=0,0,SUMIF('Week 2 Roster'!$AZ:$AZ,$B26,'Week 2 Roster'!$AQ:$AQ))</f>
        <v>0</v>
      </c>
      <c r="AS26" s="17">
        <f ca="1">IF($A26=0,0,SUMIF('Week 2 Roster'!$AZ:$AZ,$B26,'Week 2 Roster'!$AR:$AR))</f>
        <v>0</v>
      </c>
      <c r="AT26" s="17">
        <f ca="1">IF($A26=0,0,SUMIF('Week 2 Roster'!$AZ:$AZ,$B26,'Week 2 Roster'!$AS:$AS))</f>
        <v>0</v>
      </c>
      <c r="AU26" s="17">
        <f t="shared" ca="1" si="23"/>
        <v>0</v>
      </c>
      <c r="AV26" s="17"/>
      <c r="AW26" s="25" t="str">
        <f>'Week 1 Roster'!A26</f>
        <v/>
      </c>
      <c r="AX26" s="25" t="str">
        <f>'Week 2 Roster'!A26</f>
        <v/>
      </c>
    </row>
    <row r="27" spans="1:50">
      <c r="A27" s="16" cm="1">
        <f t="array" aca="1" ref="A27" ca="1">_xlfn.NUMBERVALUE(INDIRECT(TEXT(MIN(IF(($AW$2:$AX$300&lt;&gt;"")*(COUNTIF($B$1:B26,$AW$2:$AX$300)=0),ROW($2:$300)*100+COLUMN($AW:$AX),7^8)),"R0C00"),)&amp;"")</f>
        <v>0</v>
      </c>
      <c r="B27" s="28" t="str">
        <f t="shared" ca="1" si="9"/>
        <v/>
      </c>
      <c r="C27" s="28" t="str">
        <f ca="1">IF($A27=0,"",VLOOKUP($B27,Employees!$A:$G,2,FALSE))</f>
        <v/>
      </c>
      <c r="D27" s="28" t="str">
        <f ca="1">IF($A27=0,"",VLOOKUP($B27,Employees!$A:$G,3,FALSE))</f>
        <v/>
      </c>
      <c r="E27" s="26" t="str">
        <f ca="1">IF($A27=0,"",VLOOKUP($B27,Employees!$A:$G,5,FALSE))</f>
        <v/>
      </c>
      <c r="F27" s="13" t="str">
        <f ca="1">IF($E27="","",ROUNDDOWN(YEARFRAC($E27, 'Week 1 Roster'!$D$1-1, 1), 0))</f>
        <v/>
      </c>
      <c r="G27" s="13" t="str">
        <f ca="1">IF($E27="","",ROUNDDOWN(YEARFRAC($E27, 'Week 1 Roster'!$D$1+14, 1), 0))</f>
        <v/>
      </c>
      <c r="H27" s="13" t="str">
        <f t="shared" ca="1" si="10"/>
        <v/>
      </c>
      <c r="I27" s="13" t="str">
        <f ca="1">IF($A27=0,"",VLOOKUP($B27,Employees!$A:$G,6,FALSE))</f>
        <v/>
      </c>
      <c r="J27" s="13" t="str">
        <f ca="1">IF($A27=0,"",VLOOKUP($B27,Employees!$A:$G,7,FALSE))</f>
        <v/>
      </c>
      <c r="K27" s="13" t="str">
        <f ca="1">IF($A27=0,"",IF(ISNA(VLOOKUP(A27,'Week 1 Roster'!A:C,2,0)),VLOOKUP(A27,'Week 2 Roster'!A:C,2,0),VLOOKUP(A27,'Week 1 Roster'!A:C,2,0)))</f>
        <v/>
      </c>
      <c r="L27" s="13" t="str">
        <f ca="1">IF($A27=0,"",VLOOKUP(K27,Stores!A:B,2,0))</f>
        <v/>
      </c>
      <c r="M27" s="14">
        <f t="shared" ca="1" si="11"/>
        <v>0</v>
      </c>
      <c r="N27" s="14">
        <f t="shared" ca="1" si="12"/>
        <v>0</v>
      </c>
      <c r="O27" s="14">
        <f t="shared" ca="1" si="13"/>
        <v>0</v>
      </c>
      <c r="P27" s="14">
        <f t="shared" ca="1" si="14"/>
        <v>0</v>
      </c>
      <c r="Q27" s="14">
        <f t="shared" ca="1" si="15"/>
        <v>0</v>
      </c>
      <c r="R27" s="14">
        <f t="shared" ca="1" si="16"/>
        <v>0</v>
      </c>
      <c r="S27" s="28">
        <f t="shared" ca="1" si="17"/>
        <v>0</v>
      </c>
      <c r="T27" s="14">
        <f t="shared" ca="1" si="18"/>
        <v>0</v>
      </c>
      <c r="U27" s="14">
        <f t="shared" ca="1" si="19"/>
        <v>0</v>
      </c>
      <c r="V27" s="14">
        <f t="shared" ca="1" si="20"/>
        <v>0</v>
      </c>
      <c r="W27" s="14">
        <f t="shared" ca="1" si="21"/>
        <v>0</v>
      </c>
      <c r="Y27" s="17">
        <f ca="1">IF($A27=0,0,SUMIF('Week 1 Roster'!$AZ:$AZ,$B27,'Week 1 Roster'!$AE:$AE))</f>
        <v>0</v>
      </c>
      <c r="Z27" s="17">
        <f ca="1">IF($A27=0,0,SUMIF('Week 1 Roster'!$AZ:$AZ,$B27,'Week 1 Roster'!$AG:$AG))</f>
        <v>0</v>
      </c>
      <c r="AA27" s="17">
        <f ca="1">IF($A27=0,0,SUMIF('Week 1 Roster'!$AZ:$AZ,$B27,'Week 1 Roster'!$AI:$AI))</f>
        <v>0</v>
      </c>
      <c r="AB27" s="17">
        <f ca="1">IF($A27=0,0,SUMIF('Week 1 Roster'!$AZ:$AZ,$B27,'Week 1 Roster'!$AK:$AK))</f>
        <v>0</v>
      </c>
      <c r="AC27" s="17">
        <f ca="1">IF($A27=0,0,SUMIF('Week 1 Roster'!$AZ:$AZ,$B27,'Week 1 Roster'!$AM:$AM))</f>
        <v>0</v>
      </c>
      <c r="AD27" s="17">
        <f ca="1">IF($A27=0,0,SUMIF('Week 1 Roster'!$AZ:$AZ,$B27,'Week 1 Roster'!$AO:$AO))</f>
        <v>0</v>
      </c>
      <c r="AE27" s="38">
        <f ca="1">IF($A27=0,0,SUMIF('Week 1 Roster'!$AZ:$AZ,$B27,'Week 1 Roster'!$AP:$AP))</f>
        <v>0</v>
      </c>
      <c r="AF27" s="17">
        <f ca="1">IF($A27=0,0,SUMIF('Week 1 Roster'!$AZ:$AZ,$B27,'Week 1 Roster'!$AQ:$AQ))</f>
        <v>0</v>
      </c>
      <c r="AG27" s="17">
        <f ca="1">IF($A27=0,0,SUMIF('Week 1 Roster'!$AZ:$AZ,$B27,'Week 1 Roster'!$AR:$AR))</f>
        <v>0</v>
      </c>
      <c r="AH27" s="17">
        <f ca="1">IF($A27=0,0,SUMIF('Week 1 Roster'!$AZ:$AZ,$B27,'Week 1 Roster'!$AS:$AS))</f>
        <v>0</v>
      </c>
      <c r="AI27" s="17">
        <f t="shared" ca="1" si="22"/>
        <v>0</v>
      </c>
      <c r="AK27" s="17">
        <f ca="1">IF($A27=0,0,SUMIF('Week 2 Roster'!$AZ:$AZ,$B27,'Week 2 Roster'!$AE:$AE))</f>
        <v>0</v>
      </c>
      <c r="AL27" s="17">
        <f ca="1">IF($A27=0,0,SUMIF('Week 2 Roster'!$AZ:$AZ,$B27,'Week 2 Roster'!$AG:$AG))</f>
        <v>0</v>
      </c>
      <c r="AM27" s="17">
        <f ca="1">IF($A27=0,0,SUMIF('Week 2 Roster'!$AZ:$AZ,$B27,'Week 2 Roster'!$AI:$AI))</f>
        <v>0</v>
      </c>
      <c r="AN27" s="17">
        <f ca="1">IF($A27=0,0,SUMIF('Week 2 Roster'!$AZ:$AZ,$B27,'Week 2 Roster'!$AK:$AK))</f>
        <v>0</v>
      </c>
      <c r="AO27" s="17">
        <f ca="1">IF($A27=0,0,SUMIF('Week 2 Roster'!$AZ:$AZ,$B27,'Week 2 Roster'!$AM:$AM))</f>
        <v>0</v>
      </c>
      <c r="AP27" s="17">
        <f ca="1">IF($A27=0,0,SUMIF('Week 2 Roster'!$AZ:$AZ,$B27,'Week 2 Roster'!$AO:$AO))</f>
        <v>0</v>
      </c>
      <c r="AQ27" s="38">
        <f ca="1">IF($A27=0,0,SUMIF('Week 2 Roster'!$AZ:$AZ,$B27,'Week 2 Roster'!$AP:$AP))</f>
        <v>0</v>
      </c>
      <c r="AR27" s="17">
        <f ca="1">IF($A27=0,0,SUMIF('Week 2 Roster'!$AZ:$AZ,$B27,'Week 2 Roster'!$AQ:$AQ))</f>
        <v>0</v>
      </c>
      <c r="AS27" s="17">
        <f ca="1">IF($A27=0,0,SUMIF('Week 2 Roster'!$AZ:$AZ,$B27,'Week 2 Roster'!$AR:$AR))</f>
        <v>0</v>
      </c>
      <c r="AT27" s="17">
        <f ca="1">IF($A27=0,0,SUMIF('Week 2 Roster'!$AZ:$AZ,$B27,'Week 2 Roster'!$AS:$AS))</f>
        <v>0</v>
      </c>
      <c r="AU27" s="17">
        <f t="shared" ca="1" si="23"/>
        <v>0</v>
      </c>
      <c r="AV27" s="17"/>
      <c r="AW27" s="25" t="str">
        <f>'Week 1 Roster'!A27</f>
        <v/>
      </c>
      <c r="AX27" s="25" t="str">
        <f>'Week 2 Roster'!A27</f>
        <v/>
      </c>
    </row>
    <row r="28" spans="1:50">
      <c r="A28" s="16" cm="1">
        <f t="array" aca="1" ref="A28" ca="1">_xlfn.NUMBERVALUE(INDIRECT(TEXT(MIN(IF(($AW$2:$AX$300&lt;&gt;"")*(COUNTIF($B$1:B27,$AW$2:$AX$300)=0),ROW($2:$300)*100+COLUMN($AW:$AX),7^8)),"R0C00"),)&amp;"")</f>
        <v>0</v>
      </c>
      <c r="B28" s="28" t="str">
        <f t="shared" ca="1" si="9"/>
        <v/>
      </c>
      <c r="C28" s="28" t="str">
        <f ca="1">IF($A28=0,"",VLOOKUP($B28,Employees!$A:$G,2,FALSE))</f>
        <v/>
      </c>
      <c r="D28" s="28" t="str">
        <f ca="1">IF($A28=0,"",VLOOKUP($B28,Employees!$A:$G,3,FALSE))</f>
        <v/>
      </c>
      <c r="E28" s="26" t="str">
        <f ca="1">IF($A28=0,"",VLOOKUP($B28,Employees!$A:$G,5,FALSE))</f>
        <v/>
      </c>
      <c r="F28" s="13" t="str">
        <f ca="1">IF($E28="","",ROUNDDOWN(YEARFRAC($E28, 'Week 1 Roster'!$D$1-1, 1), 0))</f>
        <v/>
      </c>
      <c r="G28" s="13" t="str">
        <f ca="1">IF($E28="","",ROUNDDOWN(YEARFRAC($E28, 'Week 1 Roster'!$D$1+14, 1), 0))</f>
        <v/>
      </c>
      <c r="H28" s="13" t="str">
        <f t="shared" ca="1" si="10"/>
        <v/>
      </c>
      <c r="I28" s="13" t="str">
        <f ca="1">IF($A28=0,"",VLOOKUP($B28,Employees!$A:$G,6,FALSE))</f>
        <v/>
      </c>
      <c r="J28" s="13" t="str">
        <f ca="1">IF($A28=0,"",VLOOKUP($B28,Employees!$A:$G,7,FALSE))</f>
        <v/>
      </c>
      <c r="K28" s="13" t="str">
        <f ca="1">IF($A28=0,"",IF(ISNA(VLOOKUP(A28,'Week 1 Roster'!A:C,2,0)),VLOOKUP(A28,'Week 2 Roster'!A:C,2,0),VLOOKUP(A28,'Week 1 Roster'!A:C,2,0)))</f>
        <v/>
      </c>
      <c r="L28" s="13" t="str">
        <f ca="1">IF($A28=0,"",VLOOKUP(K28,Stores!A:B,2,0))</f>
        <v/>
      </c>
      <c r="M28" s="14">
        <f t="shared" ca="1" si="11"/>
        <v>0</v>
      </c>
      <c r="N28" s="14">
        <f t="shared" ca="1" si="12"/>
        <v>0</v>
      </c>
      <c r="O28" s="14">
        <f t="shared" ca="1" si="13"/>
        <v>0</v>
      </c>
      <c r="P28" s="14">
        <f t="shared" ca="1" si="14"/>
        <v>0</v>
      </c>
      <c r="Q28" s="14">
        <f t="shared" ca="1" si="15"/>
        <v>0</v>
      </c>
      <c r="R28" s="14">
        <f t="shared" ca="1" si="16"/>
        <v>0</v>
      </c>
      <c r="S28" s="28">
        <f t="shared" ca="1" si="17"/>
        <v>0</v>
      </c>
      <c r="T28" s="14">
        <f t="shared" ca="1" si="18"/>
        <v>0</v>
      </c>
      <c r="U28" s="14">
        <f t="shared" ca="1" si="19"/>
        <v>0</v>
      </c>
      <c r="V28" s="14">
        <f t="shared" ca="1" si="20"/>
        <v>0</v>
      </c>
      <c r="W28" s="14">
        <f t="shared" ca="1" si="21"/>
        <v>0</v>
      </c>
      <c r="Y28" s="17">
        <f ca="1">IF($A28=0,0,SUMIF('Week 1 Roster'!$AZ:$AZ,$B28,'Week 1 Roster'!$AE:$AE))</f>
        <v>0</v>
      </c>
      <c r="Z28" s="17">
        <f ca="1">IF($A28=0,0,SUMIF('Week 1 Roster'!$AZ:$AZ,$B28,'Week 1 Roster'!$AG:$AG))</f>
        <v>0</v>
      </c>
      <c r="AA28" s="17">
        <f ca="1">IF($A28=0,0,SUMIF('Week 1 Roster'!$AZ:$AZ,$B28,'Week 1 Roster'!$AI:$AI))</f>
        <v>0</v>
      </c>
      <c r="AB28" s="17">
        <f ca="1">IF($A28=0,0,SUMIF('Week 1 Roster'!$AZ:$AZ,$B28,'Week 1 Roster'!$AK:$AK))</f>
        <v>0</v>
      </c>
      <c r="AC28" s="17">
        <f ca="1">IF($A28=0,0,SUMIF('Week 1 Roster'!$AZ:$AZ,$B28,'Week 1 Roster'!$AM:$AM))</f>
        <v>0</v>
      </c>
      <c r="AD28" s="17">
        <f ca="1">IF($A28=0,0,SUMIF('Week 1 Roster'!$AZ:$AZ,$B28,'Week 1 Roster'!$AO:$AO))</f>
        <v>0</v>
      </c>
      <c r="AE28" s="38">
        <f ca="1">IF($A28=0,0,SUMIF('Week 1 Roster'!$AZ:$AZ,$B28,'Week 1 Roster'!$AP:$AP))</f>
        <v>0</v>
      </c>
      <c r="AF28" s="17">
        <f ca="1">IF($A28=0,0,SUMIF('Week 1 Roster'!$AZ:$AZ,$B28,'Week 1 Roster'!$AQ:$AQ))</f>
        <v>0</v>
      </c>
      <c r="AG28" s="17">
        <f ca="1">IF($A28=0,0,SUMIF('Week 1 Roster'!$AZ:$AZ,$B28,'Week 1 Roster'!$AR:$AR))</f>
        <v>0</v>
      </c>
      <c r="AH28" s="17">
        <f ca="1">IF($A28=0,0,SUMIF('Week 1 Roster'!$AZ:$AZ,$B28,'Week 1 Roster'!$AS:$AS))</f>
        <v>0</v>
      </c>
      <c r="AI28" s="17">
        <f t="shared" ca="1" si="22"/>
        <v>0</v>
      </c>
      <c r="AK28" s="17">
        <f ca="1">IF($A28=0,0,SUMIF('Week 2 Roster'!$AZ:$AZ,$B28,'Week 2 Roster'!$AE:$AE))</f>
        <v>0</v>
      </c>
      <c r="AL28" s="17">
        <f ca="1">IF($A28=0,0,SUMIF('Week 2 Roster'!$AZ:$AZ,$B28,'Week 2 Roster'!$AG:$AG))</f>
        <v>0</v>
      </c>
      <c r="AM28" s="17">
        <f ca="1">IF($A28=0,0,SUMIF('Week 2 Roster'!$AZ:$AZ,$B28,'Week 2 Roster'!$AI:$AI))</f>
        <v>0</v>
      </c>
      <c r="AN28" s="17">
        <f ca="1">IF($A28=0,0,SUMIF('Week 2 Roster'!$AZ:$AZ,$B28,'Week 2 Roster'!$AK:$AK))</f>
        <v>0</v>
      </c>
      <c r="AO28" s="17">
        <f ca="1">IF($A28=0,0,SUMIF('Week 2 Roster'!$AZ:$AZ,$B28,'Week 2 Roster'!$AM:$AM))</f>
        <v>0</v>
      </c>
      <c r="AP28" s="17">
        <f ca="1">IF($A28=0,0,SUMIF('Week 2 Roster'!$AZ:$AZ,$B28,'Week 2 Roster'!$AO:$AO))</f>
        <v>0</v>
      </c>
      <c r="AQ28" s="38">
        <f ca="1">IF($A28=0,0,SUMIF('Week 2 Roster'!$AZ:$AZ,$B28,'Week 2 Roster'!$AP:$AP))</f>
        <v>0</v>
      </c>
      <c r="AR28" s="17">
        <f ca="1">IF($A28=0,0,SUMIF('Week 2 Roster'!$AZ:$AZ,$B28,'Week 2 Roster'!$AQ:$AQ))</f>
        <v>0</v>
      </c>
      <c r="AS28" s="17">
        <f ca="1">IF($A28=0,0,SUMIF('Week 2 Roster'!$AZ:$AZ,$B28,'Week 2 Roster'!$AR:$AR))</f>
        <v>0</v>
      </c>
      <c r="AT28" s="17">
        <f ca="1">IF($A28=0,0,SUMIF('Week 2 Roster'!$AZ:$AZ,$B28,'Week 2 Roster'!$AS:$AS))</f>
        <v>0</v>
      </c>
      <c r="AU28" s="17">
        <f t="shared" ca="1" si="23"/>
        <v>0</v>
      </c>
      <c r="AV28" s="17"/>
      <c r="AW28" s="25" t="str">
        <f>'Week 1 Roster'!A28</f>
        <v/>
      </c>
      <c r="AX28" s="25" t="str">
        <f>'Week 2 Roster'!A28</f>
        <v/>
      </c>
    </row>
    <row r="29" spans="1:50">
      <c r="A29" s="16" cm="1">
        <f t="array" aca="1" ref="A29" ca="1">_xlfn.NUMBERVALUE(INDIRECT(TEXT(MIN(IF(($AW$2:$AX$300&lt;&gt;"")*(COUNTIF($B$1:B28,$AW$2:$AX$300)=0),ROW($2:$300)*100+COLUMN($AW:$AX),7^8)),"R0C00"),)&amp;"")</f>
        <v>0</v>
      </c>
      <c r="B29" s="28" t="str">
        <f t="shared" ca="1" si="9"/>
        <v/>
      </c>
      <c r="C29" s="28" t="str">
        <f ca="1">IF($A29=0,"",VLOOKUP($B29,Employees!$A:$G,2,FALSE))</f>
        <v/>
      </c>
      <c r="D29" s="28" t="str">
        <f ca="1">IF($A29=0,"",VLOOKUP($B29,Employees!$A:$G,3,FALSE))</f>
        <v/>
      </c>
      <c r="E29" s="26" t="str">
        <f ca="1">IF($A29=0,"",VLOOKUP($B29,Employees!$A:$G,5,FALSE))</f>
        <v/>
      </c>
      <c r="F29" s="13" t="str">
        <f ca="1">IF($E29="","",ROUNDDOWN(YEARFRAC($E29, 'Week 1 Roster'!$D$1-1, 1), 0))</f>
        <v/>
      </c>
      <c r="G29" s="13" t="str">
        <f ca="1">IF($E29="","",ROUNDDOWN(YEARFRAC($E29, 'Week 1 Roster'!$D$1+14, 1), 0))</f>
        <v/>
      </c>
      <c r="H29" s="13" t="str">
        <f t="shared" ca="1" si="10"/>
        <v/>
      </c>
      <c r="I29" s="13" t="str">
        <f ca="1">IF($A29=0,"",VLOOKUP($B29,Employees!$A:$G,6,FALSE))</f>
        <v/>
      </c>
      <c r="J29" s="13" t="str">
        <f ca="1">IF($A29=0,"",VLOOKUP($B29,Employees!$A:$G,7,FALSE))</f>
        <v/>
      </c>
      <c r="K29" s="13" t="str">
        <f ca="1">IF($A29=0,"",IF(ISNA(VLOOKUP(A29,'Week 1 Roster'!A:C,2,0)),VLOOKUP(A29,'Week 2 Roster'!A:C,2,0),VLOOKUP(A29,'Week 1 Roster'!A:C,2,0)))</f>
        <v/>
      </c>
      <c r="L29" s="13" t="str">
        <f ca="1">IF($A29=0,"",VLOOKUP(K29,Stores!A:B,2,0))</f>
        <v/>
      </c>
      <c r="M29" s="14">
        <f t="shared" ca="1" si="11"/>
        <v>0</v>
      </c>
      <c r="N29" s="14">
        <f t="shared" ca="1" si="12"/>
        <v>0</v>
      </c>
      <c r="O29" s="14">
        <f t="shared" ca="1" si="13"/>
        <v>0</v>
      </c>
      <c r="P29" s="14">
        <f t="shared" ca="1" si="14"/>
        <v>0</v>
      </c>
      <c r="Q29" s="14">
        <f t="shared" ca="1" si="15"/>
        <v>0</v>
      </c>
      <c r="R29" s="14">
        <f t="shared" ca="1" si="16"/>
        <v>0</v>
      </c>
      <c r="S29" s="28">
        <f t="shared" ca="1" si="17"/>
        <v>0</v>
      </c>
      <c r="T29" s="14">
        <f t="shared" ca="1" si="18"/>
        <v>0</v>
      </c>
      <c r="U29" s="14">
        <f t="shared" ca="1" si="19"/>
        <v>0</v>
      </c>
      <c r="V29" s="14">
        <f t="shared" ca="1" si="20"/>
        <v>0</v>
      </c>
      <c r="W29" s="14">
        <f t="shared" ca="1" si="21"/>
        <v>0</v>
      </c>
      <c r="Y29" s="17">
        <f ca="1">IF($A29=0,0,SUMIF('Week 1 Roster'!$AZ:$AZ,$B29,'Week 1 Roster'!$AE:$AE))</f>
        <v>0</v>
      </c>
      <c r="Z29" s="17">
        <f ca="1">IF($A29=0,0,SUMIF('Week 1 Roster'!$AZ:$AZ,$B29,'Week 1 Roster'!$AG:$AG))</f>
        <v>0</v>
      </c>
      <c r="AA29" s="17">
        <f ca="1">IF($A29=0,0,SUMIF('Week 1 Roster'!$AZ:$AZ,$B29,'Week 1 Roster'!$AI:$AI))</f>
        <v>0</v>
      </c>
      <c r="AB29" s="17">
        <f ca="1">IF($A29=0,0,SUMIF('Week 1 Roster'!$AZ:$AZ,$B29,'Week 1 Roster'!$AK:$AK))</f>
        <v>0</v>
      </c>
      <c r="AC29" s="17">
        <f ca="1">IF($A29=0,0,SUMIF('Week 1 Roster'!$AZ:$AZ,$B29,'Week 1 Roster'!$AM:$AM))</f>
        <v>0</v>
      </c>
      <c r="AD29" s="17">
        <f ca="1">IF($A29=0,0,SUMIF('Week 1 Roster'!$AZ:$AZ,$B29,'Week 1 Roster'!$AO:$AO))</f>
        <v>0</v>
      </c>
      <c r="AE29" s="38">
        <f ca="1">IF($A29=0,0,SUMIF('Week 1 Roster'!$AZ:$AZ,$B29,'Week 1 Roster'!$AP:$AP))</f>
        <v>0</v>
      </c>
      <c r="AF29" s="17">
        <f ca="1">IF($A29=0,0,SUMIF('Week 1 Roster'!$AZ:$AZ,$B29,'Week 1 Roster'!$AQ:$AQ))</f>
        <v>0</v>
      </c>
      <c r="AG29" s="17">
        <f ca="1">IF($A29=0,0,SUMIF('Week 1 Roster'!$AZ:$AZ,$B29,'Week 1 Roster'!$AR:$AR))</f>
        <v>0</v>
      </c>
      <c r="AH29" s="17">
        <f ca="1">IF($A29=0,0,SUMIF('Week 1 Roster'!$AZ:$AZ,$B29,'Week 1 Roster'!$AS:$AS))</f>
        <v>0</v>
      </c>
      <c r="AI29" s="17">
        <f t="shared" ca="1" si="22"/>
        <v>0</v>
      </c>
      <c r="AK29" s="17">
        <f ca="1">IF($A29=0,0,SUMIF('Week 2 Roster'!$AZ:$AZ,$B29,'Week 2 Roster'!$AE:$AE))</f>
        <v>0</v>
      </c>
      <c r="AL29" s="17">
        <f ca="1">IF($A29=0,0,SUMIF('Week 2 Roster'!$AZ:$AZ,$B29,'Week 2 Roster'!$AG:$AG))</f>
        <v>0</v>
      </c>
      <c r="AM29" s="17">
        <f ca="1">IF($A29=0,0,SUMIF('Week 2 Roster'!$AZ:$AZ,$B29,'Week 2 Roster'!$AI:$AI))</f>
        <v>0</v>
      </c>
      <c r="AN29" s="17">
        <f ca="1">IF($A29=0,0,SUMIF('Week 2 Roster'!$AZ:$AZ,$B29,'Week 2 Roster'!$AK:$AK))</f>
        <v>0</v>
      </c>
      <c r="AO29" s="17">
        <f ca="1">IF($A29=0,0,SUMIF('Week 2 Roster'!$AZ:$AZ,$B29,'Week 2 Roster'!$AM:$AM))</f>
        <v>0</v>
      </c>
      <c r="AP29" s="17">
        <f ca="1">IF($A29=0,0,SUMIF('Week 2 Roster'!$AZ:$AZ,$B29,'Week 2 Roster'!$AO:$AO))</f>
        <v>0</v>
      </c>
      <c r="AQ29" s="38">
        <f ca="1">IF($A29=0,0,SUMIF('Week 2 Roster'!$AZ:$AZ,$B29,'Week 2 Roster'!$AP:$AP))</f>
        <v>0</v>
      </c>
      <c r="AR29" s="17">
        <f ca="1">IF($A29=0,0,SUMIF('Week 2 Roster'!$AZ:$AZ,$B29,'Week 2 Roster'!$AQ:$AQ))</f>
        <v>0</v>
      </c>
      <c r="AS29" s="17">
        <f ca="1">IF($A29=0,0,SUMIF('Week 2 Roster'!$AZ:$AZ,$B29,'Week 2 Roster'!$AR:$AR))</f>
        <v>0</v>
      </c>
      <c r="AT29" s="17">
        <f ca="1">IF($A29=0,0,SUMIF('Week 2 Roster'!$AZ:$AZ,$B29,'Week 2 Roster'!$AS:$AS))</f>
        <v>0</v>
      </c>
      <c r="AU29" s="17">
        <f t="shared" ca="1" si="23"/>
        <v>0</v>
      </c>
      <c r="AV29" s="17"/>
      <c r="AW29" s="25" t="str">
        <f>'Week 1 Roster'!A29</f>
        <v/>
      </c>
      <c r="AX29" s="25" t="str">
        <f>'Week 2 Roster'!A29</f>
        <v/>
      </c>
    </row>
    <row r="30" spans="1:50">
      <c r="A30" s="16" cm="1">
        <f t="array" aca="1" ref="A30" ca="1">_xlfn.NUMBERVALUE(INDIRECT(TEXT(MIN(IF(($AW$2:$AX$300&lt;&gt;"")*(COUNTIF($B$1:B29,$AW$2:$AX$300)=0),ROW($2:$300)*100+COLUMN($AW:$AX),7^8)),"R0C00"),)&amp;"")</f>
        <v>0</v>
      </c>
      <c r="B30" s="28" t="str">
        <f t="shared" ca="1" si="9"/>
        <v/>
      </c>
      <c r="C30" s="28" t="str">
        <f ca="1">IF($A30=0,"",VLOOKUP($B30,Employees!$A:$G,2,FALSE))</f>
        <v/>
      </c>
      <c r="D30" s="28" t="str">
        <f ca="1">IF($A30=0,"",VLOOKUP($B30,Employees!$A:$G,3,FALSE))</f>
        <v/>
      </c>
      <c r="E30" s="26" t="str">
        <f ca="1">IF($A30=0,"",VLOOKUP($B30,Employees!$A:$G,5,FALSE))</f>
        <v/>
      </c>
      <c r="F30" s="13" t="str">
        <f ca="1">IF($E30="","",ROUNDDOWN(YEARFRAC($E30, 'Week 1 Roster'!$D$1-1, 1), 0))</f>
        <v/>
      </c>
      <c r="G30" s="13" t="str">
        <f ca="1">IF($E30="","",ROUNDDOWN(YEARFRAC($E30, 'Week 1 Roster'!$D$1+14, 1), 0))</f>
        <v/>
      </c>
      <c r="H30" s="13" t="str">
        <f t="shared" ca="1" si="10"/>
        <v/>
      </c>
      <c r="I30" s="13" t="str">
        <f ca="1">IF($A30=0,"",VLOOKUP($B30,Employees!$A:$G,6,FALSE))</f>
        <v/>
      </c>
      <c r="J30" s="13" t="str">
        <f ca="1">IF($A30=0,"",VLOOKUP($B30,Employees!$A:$G,7,FALSE))</f>
        <v/>
      </c>
      <c r="K30" s="13" t="str">
        <f ca="1">IF($A30=0,"",IF(ISNA(VLOOKUP(A30,'Week 1 Roster'!A:C,2,0)),VLOOKUP(A30,'Week 2 Roster'!A:C,2,0),VLOOKUP(A30,'Week 1 Roster'!A:C,2,0)))</f>
        <v/>
      </c>
      <c r="L30" s="13" t="str">
        <f ca="1">IF($A30=0,"",VLOOKUP(K30,Stores!A:B,2,0))</f>
        <v/>
      </c>
      <c r="M30" s="14">
        <f t="shared" ca="1" si="11"/>
        <v>0</v>
      </c>
      <c r="N30" s="14">
        <f t="shared" ca="1" si="12"/>
        <v>0</v>
      </c>
      <c r="O30" s="14">
        <f t="shared" ca="1" si="13"/>
        <v>0</v>
      </c>
      <c r="P30" s="14">
        <f t="shared" ca="1" si="14"/>
        <v>0</v>
      </c>
      <c r="Q30" s="14">
        <f t="shared" ca="1" si="15"/>
        <v>0</v>
      </c>
      <c r="R30" s="14">
        <f t="shared" ca="1" si="16"/>
        <v>0</v>
      </c>
      <c r="S30" s="28">
        <f t="shared" ca="1" si="17"/>
        <v>0</v>
      </c>
      <c r="T30" s="14">
        <f t="shared" ca="1" si="18"/>
        <v>0</v>
      </c>
      <c r="U30" s="14">
        <f t="shared" ca="1" si="19"/>
        <v>0</v>
      </c>
      <c r="V30" s="14">
        <f t="shared" ca="1" si="20"/>
        <v>0</v>
      </c>
      <c r="W30" s="14">
        <f t="shared" ca="1" si="21"/>
        <v>0</v>
      </c>
      <c r="Y30" s="17">
        <f ca="1">IF($A30=0,0,SUMIF('Week 1 Roster'!$AZ:$AZ,$B30,'Week 1 Roster'!$AE:$AE))</f>
        <v>0</v>
      </c>
      <c r="Z30" s="17">
        <f ca="1">IF($A30=0,0,SUMIF('Week 1 Roster'!$AZ:$AZ,$B30,'Week 1 Roster'!$AG:$AG))</f>
        <v>0</v>
      </c>
      <c r="AA30" s="17">
        <f ca="1">IF($A30=0,0,SUMIF('Week 1 Roster'!$AZ:$AZ,$B30,'Week 1 Roster'!$AI:$AI))</f>
        <v>0</v>
      </c>
      <c r="AB30" s="17">
        <f ca="1">IF($A30=0,0,SUMIF('Week 1 Roster'!$AZ:$AZ,$B30,'Week 1 Roster'!$AK:$AK))</f>
        <v>0</v>
      </c>
      <c r="AC30" s="17">
        <f ca="1">IF($A30=0,0,SUMIF('Week 1 Roster'!$AZ:$AZ,$B30,'Week 1 Roster'!$AM:$AM))</f>
        <v>0</v>
      </c>
      <c r="AD30" s="17">
        <f ca="1">IF($A30=0,0,SUMIF('Week 1 Roster'!$AZ:$AZ,$B30,'Week 1 Roster'!$AO:$AO))</f>
        <v>0</v>
      </c>
      <c r="AE30" s="38">
        <f ca="1">IF($A30=0,0,SUMIF('Week 1 Roster'!$AZ:$AZ,$B30,'Week 1 Roster'!$AP:$AP))</f>
        <v>0</v>
      </c>
      <c r="AF30" s="17">
        <f ca="1">IF($A30=0,0,SUMIF('Week 1 Roster'!$AZ:$AZ,$B30,'Week 1 Roster'!$AQ:$AQ))</f>
        <v>0</v>
      </c>
      <c r="AG30" s="17">
        <f ca="1">IF($A30=0,0,SUMIF('Week 1 Roster'!$AZ:$AZ,$B30,'Week 1 Roster'!$AR:$AR))</f>
        <v>0</v>
      </c>
      <c r="AH30" s="17">
        <f ca="1">IF($A30=0,0,SUMIF('Week 1 Roster'!$AZ:$AZ,$B30,'Week 1 Roster'!$AS:$AS))</f>
        <v>0</v>
      </c>
      <c r="AI30" s="17">
        <f t="shared" ca="1" si="22"/>
        <v>0</v>
      </c>
      <c r="AK30" s="17">
        <f ca="1">IF($A30=0,0,SUMIF('Week 2 Roster'!$AZ:$AZ,$B30,'Week 2 Roster'!$AE:$AE))</f>
        <v>0</v>
      </c>
      <c r="AL30" s="17">
        <f ca="1">IF($A30=0,0,SUMIF('Week 2 Roster'!$AZ:$AZ,$B30,'Week 2 Roster'!$AG:$AG))</f>
        <v>0</v>
      </c>
      <c r="AM30" s="17">
        <f ca="1">IF($A30=0,0,SUMIF('Week 2 Roster'!$AZ:$AZ,$B30,'Week 2 Roster'!$AI:$AI))</f>
        <v>0</v>
      </c>
      <c r="AN30" s="17">
        <f ca="1">IF($A30=0,0,SUMIF('Week 2 Roster'!$AZ:$AZ,$B30,'Week 2 Roster'!$AK:$AK))</f>
        <v>0</v>
      </c>
      <c r="AO30" s="17">
        <f ca="1">IF($A30=0,0,SUMIF('Week 2 Roster'!$AZ:$AZ,$B30,'Week 2 Roster'!$AM:$AM))</f>
        <v>0</v>
      </c>
      <c r="AP30" s="17">
        <f ca="1">IF($A30=0,0,SUMIF('Week 2 Roster'!$AZ:$AZ,$B30,'Week 2 Roster'!$AO:$AO))</f>
        <v>0</v>
      </c>
      <c r="AQ30" s="38">
        <f ca="1">IF($A30=0,0,SUMIF('Week 2 Roster'!$AZ:$AZ,$B30,'Week 2 Roster'!$AP:$AP))</f>
        <v>0</v>
      </c>
      <c r="AR30" s="17">
        <f ca="1">IF($A30=0,0,SUMIF('Week 2 Roster'!$AZ:$AZ,$B30,'Week 2 Roster'!$AQ:$AQ))</f>
        <v>0</v>
      </c>
      <c r="AS30" s="17">
        <f ca="1">IF($A30=0,0,SUMIF('Week 2 Roster'!$AZ:$AZ,$B30,'Week 2 Roster'!$AR:$AR))</f>
        <v>0</v>
      </c>
      <c r="AT30" s="17">
        <f ca="1">IF($A30=0,0,SUMIF('Week 2 Roster'!$AZ:$AZ,$B30,'Week 2 Roster'!$AS:$AS))</f>
        <v>0</v>
      </c>
      <c r="AU30" s="17">
        <f t="shared" ca="1" si="23"/>
        <v>0</v>
      </c>
      <c r="AV30" s="17"/>
      <c r="AW30" s="25" t="str">
        <f>'Week 1 Roster'!A30</f>
        <v/>
      </c>
      <c r="AX30" s="25" t="str">
        <f>'Week 2 Roster'!A30</f>
        <v/>
      </c>
    </row>
    <row r="31" spans="1:50">
      <c r="A31" s="16" cm="1">
        <f t="array" aca="1" ref="A31" ca="1">_xlfn.NUMBERVALUE(INDIRECT(TEXT(MIN(IF(($AW$2:$AX$300&lt;&gt;"")*(COUNTIF($B$1:B30,$AW$2:$AX$300)=0),ROW($2:$300)*100+COLUMN($AW:$AX),7^8)),"R0C00"),)&amp;"")</f>
        <v>0</v>
      </c>
      <c r="B31" s="28" t="str">
        <f t="shared" ca="1" si="9"/>
        <v/>
      </c>
      <c r="C31" s="28" t="str">
        <f ca="1">IF($A31=0,"",VLOOKUP($B31,Employees!$A:$G,2,FALSE))</f>
        <v/>
      </c>
      <c r="D31" s="28" t="str">
        <f ca="1">IF($A31=0,"",VLOOKUP($B31,Employees!$A:$G,3,FALSE))</f>
        <v/>
      </c>
      <c r="E31" s="26" t="str">
        <f ca="1">IF($A31=0,"",VLOOKUP($B31,Employees!$A:$G,5,FALSE))</f>
        <v/>
      </c>
      <c r="F31" s="13" t="str">
        <f ca="1">IF($E31="","",ROUNDDOWN(YEARFRAC($E31, 'Week 1 Roster'!$D$1-1, 1), 0))</f>
        <v/>
      </c>
      <c r="G31" s="13" t="str">
        <f ca="1">IF($E31="","",ROUNDDOWN(YEARFRAC($E31, 'Week 1 Roster'!$D$1+14, 1), 0))</f>
        <v/>
      </c>
      <c r="H31" s="13" t="str">
        <f t="shared" ca="1" si="10"/>
        <v/>
      </c>
      <c r="I31" s="13" t="str">
        <f ca="1">IF($A31=0,"",VLOOKUP($B31,Employees!$A:$G,6,FALSE))</f>
        <v/>
      </c>
      <c r="J31" s="13" t="str">
        <f ca="1">IF($A31=0,"",VLOOKUP($B31,Employees!$A:$G,7,FALSE))</f>
        <v/>
      </c>
      <c r="K31" s="13" t="str">
        <f ca="1">IF($A31=0,"",IF(ISNA(VLOOKUP(A31,'Week 1 Roster'!A:C,2,0)),VLOOKUP(A31,'Week 2 Roster'!A:C,2,0),VLOOKUP(A31,'Week 1 Roster'!A:C,2,0)))</f>
        <v/>
      </c>
      <c r="L31" s="13" t="str">
        <f ca="1">IF($A31=0,"",VLOOKUP(K31,Stores!A:B,2,0))</f>
        <v/>
      </c>
      <c r="M31" s="14">
        <f t="shared" ca="1" si="11"/>
        <v>0</v>
      </c>
      <c r="N31" s="14">
        <f t="shared" ca="1" si="12"/>
        <v>0</v>
      </c>
      <c r="O31" s="14">
        <f t="shared" ca="1" si="13"/>
        <v>0</v>
      </c>
      <c r="P31" s="14">
        <f t="shared" ca="1" si="14"/>
        <v>0</v>
      </c>
      <c r="Q31" s="14">
        <f t="shared" ca="1" si="15"/>
        <v>0</v>
      </c>
      <c r="R31" s="14">
        <f t="shared" ca="1" si="16"/>
        <v>0</v>
      </c>
      <c r="S31" s="28">
        <f t="shared" ca="1" si="17"/>
        <v>0</v>
      </c>
      <c r="T31" s="14">
        <f t="shared" ca="1" si="18"/>
        <v>0</v>
      </c>
      <c r="U31" s="14">
        <f t="shared" ca="1" si="19"/>
        <v>0</v>
      </c>
      <c r="V31" s="14">
        <f t="shared" ca="1" si="20"/>
        <v>0</v>
      </c>
      <c r="W31" s="14">
        <f t="shared" ca="1" si="21"/>
        <v>0</v>
      </c>
      <c r="Y31" s="17">
        <f ca="1">IF($A31=0,0,SUMIF('Week 1 Roster'!$AZ:$AZ,$B31,'Week 1 Roster'!$AE:$AE))</f>
        <v>0</v>
      </c>
      <c r="Z31" s="17">
        <f ca="1">IF($A31=0,0,SUMIF('Week 1 Roster'!$AZ:$AZ,$B31,'Week 1 Roster'!$AG:$AG))</f>
        <v>0</v>
      </c>
      <c r="AA31" s="17">
        <f ca="1">IF($A31=0,0,SUMIF('Week 1 Roster'!$AZ:$AZ,$B31,'Week 1 Roster'!$AI:$AI))</f>
        <v>0</v>
      </c>
      <c r="AB31" s="17">
        <f ca="1">IF($A31=0,0,SUMIF('Week 1 Roster'!$AZ:$AZ,$B31,'Week 1 Roster'!$AK:$AK))</f>
        <v>0</v>
      </c>
      <c r="AC31" s="17">
        <f ca="1">IF($A31=0,0,SUMIF('Week 1 Roster'!$AZ:$AZ,$B31,'Week 1 Roster'!$AM:$AM))</f>
        <v>0</v>
      </c>
      <c r="AD31" s="17">
        <f ca="1">IF($A31=0,0,SUMIF('Week 1 Roster'!$AZ:$AZ,$B31,'Week 1 Roster'!$AO:$AO))</f>
        <v>0</v>
      </c>
      <c r="AE31" s="38">
        <f ca="1">IF($A31=0,0,SUMIF('Week 1 Roster'!$AZ:$AZ,$B31,'Week 1 Roster'!$AP:$AP))</f>
        <v>0</v>
      </c>
      <c r="AF31" s="17">
        <f ca="1">IF($A31=0,0,SUMIF('Week 1 Roster'!$AZ:$AZ,$B31,'Week 1 Roster'!$AQ:$AQ))</f>
        <v>0</v>
      </c>
      <c r="AG31" s="17">
        <f ca="1">IF($A31=0,0,SUMIF('Week 1 Roster'!$AZ:$AZ,$B31,'Week 1 Roster'!$AR:$AR))</f>
        <v>0</v>
      </c>
      <c r="AH31" s="17">
        <f ca="1">IF($A31=0,0,SUMIF('Week 1 Roster'!$AZ:$AZ,$B31,'Week 1 Roster'!$AS:$AS))</f>
        <v>0</v>
      </c>
      <c r="AI31" s="17">
        <f t="shared" ca="1" si="22"/>
        <v>0</v>
      </c>
      <c r="AK31" s="17">
        <f ca="1">IF($A31=0,0,SUMIF('Week 2 Roster'!$AZ:$AZ,$B31,'Week 2 Roster'!$AE:$AE))</f>
        <v>0</v>
      </c>
      <c r="AL31" s="17">
        <f ca="1">IF($A31=0,0,SUMIF('Week 2 Roster'!$AZ:$AZ,$B31,'Week 2 Roster'!$AG:$AG))</f>
        <v>0</v>
      </c>
      <c r="AM31" s="17">
        <f ca="1">IF($A31=0,0,SUMIF('Week 2 Roster'!$AZ:$AZ,$B31,'Week 2 Roster'!$AI:$AI))</f>
        <v>0</v>
      </c>
      <c r="AN31" s="17">
        <f ca="1">IF($A31=0,0,SUMIF('Week 2 Roster'!$AZ:$AZ,$B31,'Week 2 Roster'!$AK:$AK))</f>
        <v>0</v>
      </c>
      <c r="AO31" s="17">
        <f ca="1">IF($A31=0,0,SUMIF('Week 2 Roster'!$AZ:$AZ,$B31,'Week 2 Roster'!$AM:$AM))</f>
        <v>0</v>
      </c>
      <c r="AP31" s="17">
        <f ca="1">IF($A31=0,0,SUMIF('Week 2 Roster'!$AZ:$AZ,$B31,'Week 2 Roster'!$AO:$AO))</f>
        <v>0</v>
      </c>
      <c r="AQ31" s="38">
        <f ca="1">IF($A31=0,0,SUMIF('Week 2 Roster'!$AZ:$AZ,$B31,'Week 2 Roster'!$AP:$AP))</f>
        <v>0</v>
      </c>
      <c r="AR31" s="17">
        <f ca="1">IF($A31=0,0,SUMIF('Week 2 Roster'!$AZ:$AZ,$B31,'Week 2 Roster'!$AQ:$AQ))</f>
        <v>0</v>
      </c>
      <c r="AS31" s="17">
        <f ca="1">IF($A31=0,0,SUMIF('Week 2 Roster'!$AZ:$AZ,$B31,'Week 2 Roster'!$AR:$AR))</f>
        <v>0</v>
      </c>
      <c r="AT31" s="17">
        <f ca="1">IF($A31=0,0,SUMIF('Week 2 Roster'!$AZ:$AZ,$B31,'Week 2 Roster'!$AS:$AS))</f>
        <v>0</v>
      </c>
      <c r="AU31" s="17">
        <f t="shared" ca="1" si="23"/>
        <v>0</v>
      </c>
      <c r="AV31" s="17"/>
      <c r="AW31" s="25" t="str">
        <f>'Week 1 Roster'!A31</f>
        <v/>
      </c>
      <c r="AX31" s="25" t="str">
        <f>'Week 2 Roster'!A31</f>
        <v/>
      </c>
    </row>
    <row r="32" spans="1:50">
      <c r="A32" s="16" cm="1">
        <f t="array" aca="1" ref="A32" ca="1">_xlfn.NUMBERVALUE(INDIRECT(TEXT(MIN(IF(($AW$2:$AX$300&lt;&gt;"")*(COUNTIF($B$1:B31,$AW$2:$AX$300)=0),ROW($2:$300)*100+COLUMN($AW:$AX),7^8)),"R0C00"),)&amp;"")</f>
        <v>0</v>
      </c>
      <c r="B32" s="28" t="str">
        <f t="shared" ca="1" si="9"/>
        <v/>
      </c>
      <c r="C32" s="28" t="str">
        <f ca="1">IF($A32=0,"",VLOOKUP($B32,Employees!$A:$G,2,FALSE))</f>
        <v/>
      </c>
      <c r="D32" s="28" t="str">
        <f ca="1">IF($A32=0,"",VLOOKUP($B32,Employees!$A:$G,3,FALSE))</f>
        <v/>
      </c>
      <c r="E32" s="26" t="str">
        <f ca="1">IF($A32=0,"",VLOOKUP($B32,Employees!$A:$G,5,FALSE))</f>
        <v/>
      </c>
      <c r="F32" s="13" t="str">
        <f ca="1">IF($E32="","",ROUNDDOWN(YEARFRAC($E32, 'Week 1 Roster'!$D$1-1, 1), 0))</f>
        <v/>
      </c>
      <c r="G32" s="13" t="str">
        <f ca="1">IF($E32="","",ROUNDDOWN(YEARFRAC($E32, 'Week 1 Roster'!$D$1+14, 1), 0))</f>
        <v/>
      </c>
      <c r="H32" s="13" t="str">
        <f t="shared" ca="1" si="10"/>
        <v/>
      </c>
      <c r="I32" s="13" t="str">
        <f ca="1">IF($A32=0,"",VLOOKUP($B32,Employees!$A:$G,6,FALSE))</f>
        <v/>
      </c>
      <c r="J32" s="13" t="str">
        <f ca="1">IF($A32=0,"",VLOOKUP($B32,Employees!$A:$G,7,FALSE))</f>
        <v/>
      </c>
      <c r="K32" s="13" t="str">
        <f ca="1">IF($A32=0,"",IF(ISNA(VLOOKUP(A32,'Week 1 Roster'!A:C,2,0)),VLOOKUP(A32,'Week 2 Roster'!A:C,2,0),VLOOKUP(A32,'Week 1 Roster'!A:C,2,0)))</f>
        <v/>
      </c>
      <c r="L32" s="13" t="str">
        <f ca="1">IF($A32=0,"",VLOOKUP(K32,Stores!A:B,2,0))</f>
        <v/>
      </c>
      <c r="M32" s="14">
        <f t="shared" ca="1" si="11"/>
        <v>0</v>
      </c>
      <c r="N32" s="14">
        <f t="shared" ca="1" si="12"/>
        <v>0</v>
      </c>
      <c r="O32" s="14">
        <f t="shared" ca="1" si="13"/>
        <v>0</v>
      </c>
      <c r="P32" s="14">
        <f t="shared" ca="1" si="14"/>
        <v>0</v>
      </c>
      <c r="Q32" s="14">
        <f t="shared" ca="1" si="15"/>
        <v>0</v>
      </c>
      <c r="R32" s="14">
        <f t="shared" ca="1" si="16"/>
        <v>0</v>
      </c>
      <c r="S32" s="28">
        <f t="shared" ca="1" si="17"/>
        <v>0</v>
      </c>
      <c r="T32" s="14">
        <f t="shared" ca="1" si="18"/>
        <v>0</v>
      </c>
      <c r="U32" s="14">
        <f t="shared" ca="1" si="19"/>
        <v>0</v>
      </c>
      <c r="V32" s="14">
        <f t="shared" ca="1" si="20"/>
        <v>0</v>
      </c>
      <c r="W32" s="14">
        <f t="shared" ca="1" si="21"/>
        <v>0</v>
      </c>
      <c r="Y32" s="17">
        <f ca="1">IF($A32=0,0,SUMIF('Week 1 Roster'!$AZ:$AZ,$B32,'Week 1 Roster'!$AE:$AE))</f>
        <v>0</v>
      </c>
      <c r="Z32" s="17">
        <f ca="1">IF($A32=0,0,SUMIF('Week 1 Roster'!$AZ:$AZ,$B32,'Week 1 Roster'!$AG:$AG))</f>
        <v>0</v>
      </c>
      <c r="AA32" s="17">
        <f ca="1">IF($A32=0,0,SUMIF('Week 1 Roster'!$AZ:$AZ,$B32,'Week 1 Roster'!$AI:$AI))</f>
        <v>0</v>
      </c>
      <c r="AB32" s="17">
        <f ca="1">IF($A32=0,0,SUMIF('Week 1 Roster'!$AZ:$AZ,$B32,'Week 1 Roster'!$AK:$AK))</f>
        <v>0</v>
      </c>
      <c r="AC32" s="17">
        <f ca="1">IF($A32=0,0,SUMIF('Week 1 Roster'!$AZ:$AZ,$B32,'Week 1 Roster'!$AM:$AM))</f>
        <v>0</v>
      </c>
      <c r="AD32" s="17">
        <f ca="1">IF($A32=0,0,SUMIF('Week 1 Roster'!$AZ:$AZ,$B32,'Week 1 Roster'!$AO:$AO))</f>
        <v>0</v>
      </c>
      <c r="AE32" s="38">
        <f ca="1">IF($A32=0,0,SUMIF('Week 1 Roster'!$AZ:$AZ,$B32,'Week 1 Roster'!$AP:$AP))</f>
        <v>0</v>
      </c>
      <c r="AF32" s="17">
        <f ca="1">IF($A32=0,0,SUMIF('Week 1 Roster'!$AZ:$AZ,$B32,'Week 1 Roster'!$AQ:$AQ))</f>
        <v>0</v>
      </c>
      <c r="AG32" s="17">
        <f ca="1">IF($A32=0,0,SUMIF('Week 1 Roster'!$AZ:$AZ,$B32,'Week 1 Roster'!$AR:$AR))</f>
        <v>0</v>
      </c>
      <c r="AH32" s="17">
        <f ca="1">IF($A32=0,0,SUMIF('Week 1 Roster'!$AZ:$AZ,$B32,'Week 1 Roster'!$AS:$AS))</f>
        <v>0</v>
      </c>
      <c r="AI32" s="17">
        <f t="shared" ca="1" si="22"/>
        <v>0</v>
      </c>
      <c r="AK32" s="17">
        <f ca="1">IF($A32=0,0,SUMIF('Week 2 Roster'!$AZ:$AZ,$B32,'Week 2 Roster'!$AE:$AE))</f>
        <v>0</v>
      </c>
      <c r="AL32" s="17">
        <f ca="1">IF($A32=0,0,SUMIF('Week 2 Roster'!$AZ:$AZ,$B32,'Week 2 Roster'!$AG:$AG))</f>
        <v>0</v>
      </c>
      <c r="AM32" s="17">
        <f ca="1">IF($A32=0,0,SUMIF('Week 2 Roster'!$AZ:$AZ,$B32,'Week 2 Roster'!$AI:$AI))</f>
        <v>0</v>
      </c>
      <c r="AN32" s="17">
        <f ca="1">IF($A32=0,0,SUMIF('Week 2 Roster'!$AZ:$AZ,$B32,'Week 2 Roster'!$AK:$AK))</f>
        <v>0</v>
      </c>
      <c r="AO32" s="17">
        <f ca="1">IF($A32=0,0,SUMIF('Week 2 Roster'!$AZ:$AZ,$B32,'Week 2 Roster'!$AM:$AM))</f>
        <v>0</v>
      </c>
      <c r="AP32" s="17">
        <f ca="1">IF($A32=0,0,SUMIF('Week 2 Roster'!$AZ:$AZ,$B32,'Week 2 Roster'!$AO:$AO))</f>
        <v>0</v>
      </c>
      <c r="AQ32" s="38">
        <f ca="1">IF($A32=0,0,SUMIF('Week 2 Roster'!$AZ:$AZ,$B32,'Week 2 Roster'!$AP:$AP))</f>
        <v>0</v>
      </c>
      <c r="AR32" s="17">
        <f ca="1">IF($A32=0,0,SUMIF('Week 2 Roster'!$AZ:$AZ,$B32,'Week 2 Roster'!$AQ:$AQ))</f>
        <v>0</v>
      </c>
      <c r="AS32" s="17">
        <f ca="1">IF($A32=0,0,SUMIF('Week 2 Roster'!$AZ:$AZ,$B32,'Week 2 Roster'!$AR:$AR))</f>
        <v>0</v>
      </c>
      <c r="AT32" s="17">
        <f ca="1">IF($A32=0,0,SUMIF('Week 2 Roster'!$AZ:$AZ,$B32,'Week 2 Roster'!$AS:$AS))</f>
        <v>0</v>
      </c>
      <c r="AU32" s="17">
        <f t="shared" ca="1" si="23"/>
        <v>0</v>
      </c>
      <c r="AV32" s="17"/>
      <c r="AW32" s="25" t="str">
        <f>'Week 1 Roster'!A32</f>
        <v/>
      </c>
      <c r="AX32" s="25" t="str">
        <f>'Week 2 Roster'!A32</f>
        <v/>
      </c>
    </row>
    <row r="33" spans="1:50">
      <c r="A33" s="16" cm="1">
        <f t="array" aca="1" ref="A33" ca="1">_xlfn.NUMBERVALUE(INDIRECT(TEXT(MIN(IF(($AW$2:$AX$300&lt;&gt;"")*(COUNTIF($B$1:B32,$AW$2:$AX$300)=0),ROW($2:$300)*100+COLUMN($AW:$AX),7^8)),"R0C00"),)&amp;"")</f>
        <v>0</v>
      </c>
      <c r="B33" s="28" t="str">
        <f t="shared" ca="1" si="9"/>
        <v/>
      </c>
      <c r="C33" s="28" t="str">
        <f ca="1">IF($A33=0,"",VLOOKUP($B33,Employees!$A:$G,2,FALSE))</f>
        <v/>
      </c>
      <c r="D33" s="28" t="str">
        <f ca="1">IF($A33=0,"",VLOOKUP($B33,Employees!$A:$G,3,FALSE))</f>
        <v/>
      </c>
      <c r="E33" s="26" t="str">
        <f ca="1">IF($A33=0,"",VLOOKUP($B33,Employees!$A:$G,5,FALSE))</f>
        <v/>
      </c>
      <c r="F33" s="13" t="str">
        <f ca="1">IF($E33="","",ROUNDDOWN(YEARFRAC($E33, 'Week 1 Roster'!$D$1-1, 1), 0))</f>
        <v/>
      </c>
      <c r="G33" s="13" t="str">
        <f ca="1">IF($E33="","",ROUNDDOWN(YEARFRAC($E33, 'Week 1 Roster'!$D$1+14, 1), 0))</f>
        <v/>
      </c>
      <c r="H33" s="13" t="str">
        <f t="shared" ca="1" si="10"/>
        <v/>
      </c>
      <c r="I33" s="13" t="str">
        <f ca="1">IF($A33=0,"",VLOOKUP($B33,Employees!$A:$G,6,FALSE))</f>
        <v/>
      </c>
      <c r="J33" s="13" t="str">
        <f ca="1">IF($A33=0,"",VLOOKUP($B33,Employees!$A:$G,7,FALSE))</f>
        <v/>
      </c>
      <c r="K33" s="13" t="str">
        <f ca="1">IF($A33=0,"",IF(ISNA(VLOOKUP(A33,'Week 1 Roster'!A:C,2,0)),VLOOKUP(A33,'Week 2 Roster'!A:C,2,0),VLOOKUP(A33,'Week 1 Roster'!A:C,2,0)))</f>
        <v/>
      </c>
      <c r="L33" s="13" t="str">
        <f ca="1">IF($A33=0,"",VLOOKUP(K33,Stores!A:B,2,0))</f>
        <v/>
      </c>
      <c r="M33" s="14">
        <f t="shared" ca="1" si="11"/>
        <v>0</v>
      </c>
      <c r="N33" s="14">
        <f t="shared" ca="1" si="12"/>
        <v>0</v>
      </c>
      <c r="O33" s="14">
        <f t="shared" ca="1" si="13"/>
        <v>0</v>
      </c>
      <c r="P33" s="14">
        <f t="shared" ca="1" si="14"/>
        <v>0</v>
      </c>
      <c r="Q33" s="14">
        <f t="shared" ca="1" si="15"/>
        <v>0</v>
      </c>
      <c r="R33" s="14">
        <f t="shared" ca="1" si="16"/>
        <v>0</v>
      </c>
      <c r="S33" s="28">
        <f t="shared" ca="1" si="17"/>
        <v>0</v>
      </c>
      <c r="T33" s="14">
        <f t="shared" ca="1" si="18"/>
        <v>0</v>
      </c>
      <c r="U33" s="14">
        <f t="shared" ca="1" si="19"/>
        <v>0</v>
      </c>
      <c r="V33" s="14">
        <f t="shared" ca="1" si="20"/>
        <v>0</v>
      </c>
      <c r="W33" s="14">
        <f t="shared" ca="1" si="21"/>
        <v>0</v>
      </c>
      <c r="Y33" s="17">
        <f ca="1">IF($A33=0,0,SUMIF('Week 1 Roster'!$AZ:$AZ,$B33,'Week 1 Roster'!$AE:$AE))</f>
        <v>0</v>
      </c>
      <c r="Z33" s="17">
        <f ca="1">IF($A33=0,0,SUMIF('Week 1 Roster'!$AZ:$AZ,$B33,'Week 1 Roster'!$AG:$AG))</f>
        <v>0</v>
      </c>
      <c r="AA33" s="17">
        <f ca="1">IF($A33=0,0,SUMIF('Week 1 Roster'!$AZ:$AZ,$B33,'Week 1 Roster'!$AI:$AI))</f>
        <v>0</v>
      </c>
      <c r="AB33" s="17">
        <f ca="1">IF($A33=0,0,SUMIF('Week 1 Roster'!$AZ:$AZ,$B33,'Week 1 Roster'!$AK:$AK))</f>
        <v>0</v>
      </c>
      <c r="AC33" s="17">
        <f ca="1">IF($A33=0,0,SUMIF('Week 1 Roster'!$AZ:$AZ,$B33,'Week 1 Roster'!$AM:$AM))</f>
        <v>0</v>
      </c>
      <c r="AD33" s="17">
        <f ca="1">IF($A33=0,0,SUMIF('Week 1 Roster'!$AZ:$AZ,$B33,'Week 1 Roster'!$AO:$AO))</f>
        <v>0</v>
      </c>
      <c r="AE33" s="38">
        <f ca="1">IF($A33=0,0,SUMIF('Week 1 Roster'!$AZ:$AZ,$B33,'Week 1 Roster'!$AP:$AP))</f>
        <v>0</v>
      </c>
      <c r="AF33" s="17">
        <f ca="1">IF($A33=0,0,SUMIF('Week 1 Roster'!$AZ:$AZ,$B33,'Week 1 Roster'!$AQ:$AQ))</f>
        <v>0</v>
      </c>
      <c r="AG33" s="17">
        <f ca="1">IF($A33=0,0,SUMIF('Week 1 Roster'!$AZ:$AZ,$B33,'Week 1 Roster'!$AR:$AR))</f>
        <v>0</v>
      </c>
      <c r="AH33" s="17">
        <f ca="1">IF($A33=0,0,SUMIF('Week 1 Roster'!$AZ:$AZ,$B33,'Week 1 Roster'!$AS:$AS))</f>
        <v>0</v>
      </c>
      <c r="AI33" s="17">
        <f t="shared" ca="1" si="22"/>
        <v>0</v>
      </c>
      <c r="AK33" s="17">
        <f ca="1">IF($A33=0,0,SUMIF('Week 2 Roster'!$AZ:$AZ,$B33,'Week 2 Roster'!$AE:$AE))</f>
        <v>0</v>
      </c>
      <c r="AL33" s="17">
        <f ca="1">IF($A33=0,0,SUMIF('Week 2 Roster'!$AZ:$AZ,$B33,'Week 2 Roster'!$AG:$AG))</f>
        <v>0</v>
      </c>
      <c r="AM33" s="17">
        <f ca="1">IF($A33=0,0,SUMIF('Week 2 Roster'!$AZ:$AZ,$B33,'Week 2 Roster'!$AI:$AI))</f>
        <v>0</v>
      </c>
      <c r="AN33" s="17">
        <f ca="1">IF($A33=0,0,SUMIF('Week 2 Roster'!$AZ:$AZ,$B33,'Week 2 Roster'!$AK:$AK))</f>
        <v>0</v>
      </c>
      <c r="AO33" s="17">
        <f ca="1">IF($A33=0,0,SUMIF('Week 2 Roster'!$AZ:$AZ,$B33,'Week 2 Roster'!$AM:$AM))</f>
        <v>0</v>
      </c>
      <c r="AP33" s="17">
        <f ca="1">IF($A33=0,0,SUMIF('Week 2 Roster'!$AZ:$AZ,$B33,'Week 2 Roster'!$AO:$AO))</f>
        <v>0</v>
      </c>
      <c r="AQ33" s="38">
        <f ca="1">IF($A33=0,0,SUMIF('Week 2 Roster'!$AZ:$AZ,$B33,'Week 2 Roster'!$AP:$AP))</f>
        <v>0</v>
      </c>
      <c r="AR33" s="17">
        <f ca="1">IF($A33=0,0,SUMIF('Week 2 Roster'!$AZ:$AZ,$B33,'Week 2 Roster'!$AQ:$AQ))</f>
        <v>0</v>
      </c>
      <c r="AS33" s="17">
        <f ca="1">IF($A33=0,0,SUMIF('Week 2 Roster'!$AZ:$AZ,$B33,'Week 2 Roster'!$AR:$AR))</f>
        <v>0</v>
      </c>
      <c r="AT33" s="17">
        <f ca="1">IF($A33=0,0,SUMIF('Week 2 Roster'!$AZ:$AZ,$B33,'Week 2 Roster'!$AS:$AS))</f>
        <v>0</v>
      </c>
      <c r="AU33" s="17">
        <f t="shared" ca="1" si="23"/>
        <v>0</v>
      </c>
      <c r="AV33" s="17"/>
      <c r="AW33" s="25" t="str">
        <f>'Week 1 Roster'!A33</f>
        <v/>
      </c>
      <c r="AX33" s="25" t="str">
        <f>'Week 2 Roster'!A33</f>
        <v/>
      </c>
    </row>
    <row r="34" spans="1:50">
      <c r="A34" s="16" cm="1">
        <f t="array" aca="1" ref="A34" ca="1">_xlfn.NUMBERVALUE(INDIRECT(TEXT(MIN(IF(($AW$2:$AX$300&lt;&gt;"")*(COUNTIF($B$1:B33,$AW$2:$AX$300)=0),ROW($2:$300)*100+COLUMN($AW:$AX),7^8)),"R0C00"),)&amp;"")</f>
        <v>0</v>
      </c>
      <c r="B34" s="28" t="str">
        <f t="shared" ca="1" si="9"/>
        <v/>
      </c>
      <c r="C34" s="28" t="str">
        <f ca="1">IF($A34=0,"",VLOOKUP($B34,Employees!$A:$G,2,FALSE))</f>
        <v/>
      </c>
      <c r="D34" s="28" t="str">
        <f ca="1">IF($A34=0,"",VLOOKUP($B34,Employees!$A:$G,3,FALSE))</f>
        <v/>
      </c>
      <c r="E34" s="26" t="str">
        <f ca="1">IF($A34=0,"",VLOOKUP($B34,Employees!$A:$G,5,FALSE))</f>
        <v/>
      </c>
      <c r="F34" s="13" t="str">
        <f ca="1">IF($E34="","",ROUNDDOWN(YEARFRAC($E34, 'Week 1 Roster'!$D$1-1, 1), 0))</f>
        <v/>
      </c>
      <c r="G34" s="13" t="str">
        <f ca="1">IF($E34="","",ROUNDDOWN(YEARFRAC($E34, 'Week 1 Roster'!$D$1+14, 1), 0))</f>
        <v/>
      </c>
      <c r="H34" s="13" t="str">
        <f t="shared" ca="1" si="10"/>
        <v/>
      </c>
      <c r="I34" s="13" t="str">
        <f ca="1">IF($A34=0,"",VLOOKUP($B34,Employees!$A:$G,6,FALSE))</f>
        <v/>
      </c>
      <c r="J34" s="13" t="str">
        <f ca="1">IF($A34=0,"",VLOOKUP($B34,Employees!$A:$G,7,FALSE))</f>
        <v/>
      </c>
      <c r="K34" s="13" t="str">
        <f ca="1">IF($A34=0,"",IF(ISNA(VLOOKUP(A34,'Week 1 Roster'!A:C,2,0)),VLOOKUP(A34,'Week 2 Roster'!A:C,2,0),VLOOKUP(A34,'Week 1 Roster'!A:C,2,0)))</f>
        <v/>
      </c>
      <c r="L34" s="13" t="str">
        <f ca="1">IF($A34=0,"",VLOOKUP(K34,Stores!A:B,2,0))</f>
        <v/>
      </c>
      <c r="M34" s="14">
        <f t="shared" ca="1" si="11"/>
        <v>0</v>
      </c>
      <c r="N34" s="14">
        <f t="shared" ca="1" si="12"/>
        <v>0</v>
      </c>
      <c r="O34" s="14">
        <f t="shared" ca="1" si="13"/>
        <v>0</v>
      </c>
      <c r="P34" s="14">
        <f t="shared" ca="1" si="14"/>
        <v>0</v>
      </c>
      <c r="Q34" s="14">
        <f t="shared" ca="1" si="15"/>
        <v>0</v>
      </c>
      <c r="R34" s="14">
        <f t="shared" ca="1" si="16"/>
        <v>0</v>
      </c>
      <c r="S34" s="28">
        <f t="shared" ca="1" si="17"/>
        <v>0</v>
      </c>
      <c r="T34" s="14">
        <f t="shared" ca="1" si="18"/>
        <v>0</v>
      </c>
      <c r="U34" s="14">
        <f t="shared" ca="1" si="19"/>
        <v>0</v>
      </c>
      <c r="V34" s="14">
        <f t="shared" ca="1" si="20"/>
        <v>0</v>
      </c>
      <c r="W34" s="14">
        <f t="shared" ca="1" si="21"/>
        <v>0</v>
      </c>
      <c r="Y34" s="17">
        <f ca="1">IF($A34=0,0,SUMIF('Week 1 Roster'!$AZ:$AZ,$B34,'Week 1 Roster'!$AE:$AE))</f>
        <v>0</v>
      </c>
      <c r="Z34" s="17">
        <f ca="1">IF($A34=0,0,SUMIF('Week 1 Roster'!$AZ:$AZ,$B34,'Week 1 Roster'!$AG:$AG))</f>
        <v>0</v>
      </c>
      <c r="AA34" s="17">
        <f ca="1">IF($A34=0,0,SUMIF('Week 1 Roster'!$AZ:$AZ,$B34,'Week 1 Roster'!$AI:$AI))</f>
        <v>0</v>
      </c>
      <c r="AB34" s="17">
        <f ca="1">IF($A34=0,0,SUMIF('Week 1 Roster'!$AZ:$AZ,$B34,'Week 1 Roster'!$AK:$AK))</f>
        <v>0</v>
      </c>
      <c r="AC34" s="17">
        <f ca="1">IF($A34=0,0,SUMIF('Week 1 Roster'!$AZ:$AZ,$B34,'Week 1 Roster'!$AM:$AM))</f>
        <v>0</v>
      </c>
      <c r="AD34" s="17">
        <f ca="1">IF($A34=0,0,SUMIF('Week 1 Roster'!$AZ:$AZ,$B34,'Week 1 Roster'!$AO:$AO))</f>
        <v>0</v>
      </c>
      <c r="AE34" s="38">
        <f ca="1">IF($A34=0,0,SUMIF('Week 1 Roster'!$AZ:$AZ,$B34,'Week 1 Roster'!$AP:$AP))</f>
        <v>0</v>
      </c>
      <c r="AF34" s="17">
        <f ca="1">IF($A34=0,0,SUMIF('Week 1 Roster'!$AZ:$AZ,$B34,'Week 1 Roster'!$AQ:$AQ))</f>
        <v>0</v>
      </c>
      <c r="AG34" s="17">
        <f ca="1">IF($A34=0,0,SUMIF('Week 1 Roster'!$AZ:$AZ,$B34,'Week 1 Roster'!$AR:$AR))</f>
        <v>0</v>
      </c>
      <c r="AH34" s="17">
        <f ca="1">IF($A34=0,0,SUMIF('Week 1 Roster'!$AZ:$AZ,$B34,'Week 1 Roster'!$AS:$AS))</f>
        <v>0</v>
      </c>
      <c r="AI34" s="17">
        <f t="shared" ca="1" si="22"/>
        <v>0</v>
      </c>
      <c r="AK34" s="17">
        <f ca="1">IF($A34=0,0,SUMIF('Week 2 Roster'!$AZ:$AZ,$B34,'Week 2 Roster'!$AE:$AE))</f>
        <v>0</v>
      </c>
      <c r="AL34" s="17">
        <f ca="1">IF($A34=0,0,SUMIF('Week 2 Roster'!$AZ:$AZ,$B34,'Week 2 Roster'!$AG:$AG))</f>
        <v>0</v>
      </c>
      <c r="AM34" s="17">
        <f ca="1">IF($A34=0,0,SUMIF('Week 2 Roster'!$AZ:$AZ,$B34,'Week 2 Roster'!$AI:$AI))</f>
        <v>0</v>
      </c>
      <c r="AN34" s="17">
        <f ca="1">IF($A34=0,0,SUMIF('Week 2 Roster'!$AZ:$AZ,$B34,'Week 2 Roster'!$AK:$AK))</f>
        <v>0</v>
      </c>
      <c r="AO34" s="17">
        <f ca="1">IF($A34=0,0,SUMIF('Week 2 Roster'!$AZ:$AZ,$B34,'Week 2 Roster'!$AM:$AM))</f>
        <v>0</v>
      </c>
      <c r="AP34" s="17">
        <f ca="1">IF($A34=0,0,SUMIF('Week 2 Roster'!$AZ:$AZ,$B34,'Week 2 Roster'!$AO:$AO))</f>
        <v>0</v>
      </c>
      <c r="AQ34" s="38">
        <f ca="1">IF($A34=0,0,SUMIF('Week 2 Roster'!$AZ:$AZ,$B34,'Week 2 Roster'!$AP:$AP))</f>
        <v>0</v>
      </c>
      <c r="AR34" s="17">
        <f ca="1">IF($A34=0,0,SUMIF('Week 2 Roster'!$AZ:$AZ,$B34,'Week 2 Roster'!$AQ:$AQ))</f>
        <v>0</v>
      </c>
      <c r="AS34" s="17">
        <f ca="1">IF($A34=0,0,SUMIF('Week 2 Roster'!$AZ:$AZ,$B34,'Week 2 Roster'!$AR:$AR))</f>
        <v>0</v>
      </c>
      <c r="AT34" s="17">
        <f ca="1">IF($A34=0,0,SUMIF('Week 2 Roster'!$AZ:$AZ,$B34,'Week 2 Roster'!$AS:$AS))</f>
        <v>0</v>
      </c>
      <c r="AU34" s="17">
        <f t="shared" ca="1" si="23"/>
        <v>0</v>
      </c>
      <c r="AV34" s="17"/>
      <c r="AW34" s="25" t="str">
        <f>'Week 1 Roster'!A34</f>
        <v/>
      </c>
      <c r="AX34" s="25" t="str">
        <f>'Week 2 Roster'!A34</f>
        <v/>
      </c>
    </row>
    <row r="35" spans="1:50">
      <c r="A35" s="16" cm="1">
        <f t="array" aca="1" ref="A35" ca="1">_xlfn.NUMBERVALUE(INDIRECT(TEXT(MIN(IF(($AW$2:$AX$300&lt;&gt;"")*(COUNTIF($B$1:B34,$AW$2:$AX$300)=0),ROW($2:$300)*100+COLUMN($AW:$AX),7^8)),"R0C00"),)&amp;"")</f>
        <v>0</v>
      </c>
      <c r="B35" s="28" t="str">
        <f t="shared" ca="1" si="9"/>
        <v/>
      </c>
      <c r="C35" s="28" t="str">
        <f ca="1">IF($A35=0,"",VLOOKUP($B35,Employees!$A:$G,2,FALSE))</f>
        <v/>
      </c>
      <c r="D35" s="28" t="str">
        <f ca="1">IF($A35=0,"",VLOOKUP($B35,Employees!$A:$G,3,FALSE))</f>
        <v/>
      </c>
      <c r="E35" s="26" t="str">
        <f ca="1">IF($A35=0,"",VLOOKUP($B35,Employees!$A:$G,5,FALSE))</f>
        <v/>
      </c>
      <c r="F35" s="13" t="str">
        <f ca="1">IF($E35="","",ROUNDDOWN(YEARFRAC($E35, 'Week 1 Roster'!$D$1-1, 1), 0))</f>
        <v/>
      </c>
      <c r="G35" s="13" t="str">
        <f ca="1">IF($E35="","",ROUNDDOWN(YEARFRAC($E35, 'Week 1 Roster'!$D$1+14, 1), 0))</f>
        <v/>
      </c>
      <c r="H35" s="13" t="str">
        <f t="shared" ca="1" si="10"/>
        <v/>
      </c>
      <c r="I35" s="13" t="str">
        <f ca="1">IF($A35=0,"",VLOOKUP($B35,Employees!$A:$G,6,FALSE))</f>
        <v/>
      </c>
      <c r="J35" s="13" t="str">
        <f ca="1">IF($A35=0,"",VLOOKUP($B35,Employees!$A:$G,7,FALSE))</f>
        <v/>
      </c>
      <c r="K35" s="13" t="str">
        <f ca="1">IF($A35=0,"",IF(ISNA(VLOOKUP(A35,'Week 1 Roster'!A:C,2,0)),VLOOKUP(A35,'Week 2 Roster'!A:C,2,0),VLOOKUP(A35,'Week 1 Roster'!A:C,2,0)))</f>
        <v/>
      </c>
      <c r="L35" s="13" t="str">
        <f ca="1">IF($A35=0,"",VLOOKUP(K35,Stores!A:B,2,0))</f>
        <v/>
      </c>
      <c r="M35" s="14">
        <f t="shared" ca="1" si="11"/>
        <v>0</v>
      </c>
      <c r="N35" s="14">
        <f t="shared" ca="1" si="12"/>
        <v>0</v>
      </c>
      <c r="O35" s="14">
        <f t="shared" ca="1" si="13"/>
        <v>0</v>
      </c>
      <c r="P35" s="14">
        <f t="shared" ca="1" si="14"/>
        <v>0</v>
      </c>
      <c r="Q35" s="14">
        <f t="shared" ca="1" si="15"/>
        <v>0</v>
      </c>
      <c r="R35" s="14">
        <f t="shared" ca="1" si="16"/>
        <v>0</v>
      </c>
      <c r="S35" s="28">
        <f t="shared" ca="1" si="17"/>
        <v>0</v>
      </c>
      <c r="T35" s="14">
        <f t="shared" ca="1" si="18"/>
        <v>0</v>
      </c>
      <c r="U35" s="14">
        <f t="shared" ca="1" si="19"/>
        <v>0</v>
      </c>
      <c r="V35" s="14">
        <f t="shared" ca="1" si="20"/>
        <v>0</v>
      </c>
      <c r="W35" s="14">
        <f t="shared" ca="1" si="21"/>
        <v>0</v>
      </c>
      <c r="Y35" s="17">
        <f ca="1">IF($A35=0,0,SUMIF('Week 1 Roster'!$AZ:$AZ,$B35,'Week 1 Roster'!$AE:$AE))</f>
        <v>0</v>
      </c>
      <c r="Z35" s="17">
        <f ca="1">IF($A35=0,0,SUMIF('Week 1 Roster'!$AZ:$AZ,$B35,'Week 1 Roster'!$AG:$AG))</f>
        <v>0</v>
      </c>
      <c r="AA35" s="17">
        <f ca="1">IF($A35=0,0,SUMIF('Week 1 Roster'!$AZ:$AZ,$B35,'Week 1 Roster'!$AI:$AI))</f>
        <v>0</v>
      </c>
      <c r="AB35" s="17">
        <f ca="1">IF($A35=0,0,SUMIF('Week 1 Roster'!$AZ:$AZ,$B35,'Week 1 Roster'!$AK:$AK))</f>
        <v>0</v>
      </c>
      <c r="AC35" s="17">
        <f ca="1">IF($A35=0,0,SUMIF('Week 1 Roster'!$AZ:$AZ,$B35,'Week 1 Roster'!$AM:$AM))</f>
        <v>0</v>
      </c>
      <c r="AD35" s="17">
        <f ca="1">IF($A35=0,0,SUMIF('Week 1 Roster'!$AZ:$AZ,$B35,'Week 1 Roster'!$AO:$AO))</f>
        <v>0</v>
      </c>
      <c r="AE35" s="38">
        <f ca="1">IF($A35=0,0,SUMIF('Week 1 Roster'!$AZ:$AZ,$B35,'Week 1 Roster'!$AP:$AP))</f>
        <v>0</v>
      </c>
      <c r="AF35" s="17">
        <f ca="1">IF($A35=0,0,SUMIF('Week 1 Roster'!$AZ:$AZ,$B35,'Week 1 Roster'!$AQ:$AQ))</f>
        <v>0</v>
      </c>
      <c r="AG35" s="17">
        <f ca="1">IF($A35=0,0,SUMIF('Week 1 Roster'!$AZ:$AZ,$B35,'Week 1 Roster'!$AR:$AR))</f>
        <v>0</v>
      </c>
      <c r="AH35" s="17">
        <f ca="1">IF($A35=0,0,SUMIF('Week 1 Roster'!$AZ:$AZ,$B35,'Week 1 Roster'!$AS:$AS))</f>
        <v>0</v>
      </c>
      <c r="AI35" s="17">
        <f t="shared" ca="1" si="22"/>
        <v>0</v>
      </c>
      <c r="AK35" s="17">
        <f ca="1">IF($A35=0,0,SUMIF('Week 2 Roster'!$AZ:$AZ,$B35,'Week 2 Roster'!$AE:$AE))</f>
        <v>0</v>
      </c>
      <c r="AL35" s="17">
        <f ca="1">IF($A35=0,0,SUMIF('Week 2 Roster'!$AZ:$AZ,$B35,'Week 2 Roster'!$AG:$AG))</f>
        <v>0</v>
      </c>
      <c r="AM35" s="17">
        <f ca="1">IF($A35=0,0,SUMIF('Week 2 Roster'!$AZ:$AZ,$B35,'Week 2 Roster'!$AI:$AI))</f>
        <v>0</v>
      </c>
      <c r="AN35" s="17">
        <f ca="1">IF($A35=0,0,SUMIF('Week 2 Roster'!$AZ:$AZ,$B35,'Week 2 Roster'!$AK:$AK))</f>
        <v>0</v>
      </c>
      <c r="AO35" s="17">
        <f ca="1">IF($A35=0,0,SUMIF('Week 2 Roster'!$AZ:$AZ,$B35,'Week 2 Roster'!$AM:$AM))</f>
        <v>0</v>
      </c>
      <c r="AP35" s="17">
        <f ca="1">IF($A35=0,0,SUMIF('Week 2 Roster'!$AZ:$AZ,$B35,'Week 2 Roster'!$AO:$AO))</f>
        <v>0</v>
      </c>
      <c r="AQ35" s="38">
        <f ca="1">IF($A35=0,0,SUMIF('Week 2 Roster'!$AZ:$AZ,$B35,'Week 2 Roster'!$AP:$AP))</f>
        <v>0</v>
      </c>
      <c r="AR35" s="17">
        <f ca="1">IF($A35=0,0,SUMIF('Week 2 Roster'!$AZ:$AZ,$B35,'Week 2 Roster'!$AQ:$AQ))</f>
        <v>0</v>
      </c>
      <c r="AS35" s="17">
        <f ca="1">IF($A35=0,0,SUMIF('Week 2 Roster'!$AZ:$AZ,$B35,'Week 2 Roster'!$AR:$AR))</f>
        <v>0</v>
      </c>
      <c r="AT35" s="17">
        <f ca="1">IF($A35=0,0,SUMIF('Week 2 Roster'!$AZ:$AZ,$B35,'Week 2 Roster'!$AS:$AS))</f>
        <v>0</v>
      </c>
      <c r="AU35" s="17">
        <f t="shared" ca="1" si="23"/>
        <v>0</v>
      </c>
      <c r="AV35" s="17"/>
      <c r="AW35" s="25" t="str">
        <f>'Week 1 Roster'!A35</f>
        <v/>
      </c>
      <c r="AX35" s="25" t="str">
        <f>'Week 2 Roster'!A35</f>
        <v/>
      </c>
    </row>
    <row r="36" spans="1:50">
      <c r="A36" s="16" cm="1">
        <f t="array" aca="1" ref="A36" ca="1">_xlfn.NUMBERVALUE(INDIRECT(TEXT(MIN(IF(($AW$2:$AX$300&lt;&gt;"")*(COUNTIF($B$1:B35,$AW$2:$AX$300)=0),ROW($2:$300)*100+COLUMN($AW:$AX),7^8)),"R0C00"),)&amp;"")</f>
        <v>0</v>
      </c>
      <c r="B36" s="28" t="str">
        <f t="shared" ca="1" si="9"/>
        <v/>
      </c>
      <c r="C36" s="28" t="str">
        <f ca="1">IF($A36=0,"",VLOOKUP($B36,Employees!$A:$G,2,FALSE))</f>
        <v/>
      </c>
      <c r="D36" s="28" t="str">
        <f ca="1">IF($A36=0,"",VLOOKUP($B36,Employees!$A:$G,3,FALSE))</f>
        <v/>
      </c>
      <c r="E36" s="26" t="str">
        <f ca="1">IF($A36=0,"",VLOOKUP($B36,Employees!$A:$G,5,FALSE))</f>
        <v/>
      </c>
      <c r="F36" s="13" t="str">
        <f ca="1">IF($E36="","",ROUNDDOWN(YEARFRAC($E36, 'Week 1 Roster'!$D$1-1, 1), 0))</f>
        <v/>
      </c>
      <c r="G36" s="13" t="str">
        <f ca="1">IF($E36="","",ROUNDDOWN(YEARFRAC($E36, 'Week 1 Roster'!$D$1+14, 1), 0))</f>
        <v/>
      </c>
      <c r="H36" s="13" t="str">
        <f t="shared" ca="1" si="10"/>
        <v/>
      </c>
      <c r="I36" s="13" t="str">
        <f ca="1">IF($A36=0,"",VLOOKUP($B36,Employees!$A:$G,6,FALSE))</f>
        <v/>
      </c>
      <c r="J36" s="13" t="str">
        <f ca="1">IF($A36=0,"",VLOOKUP($B36,Employees!$A:$G,7,FALSE))</f>
        <v/>
      </c>
      <c r="K36" s="13" t="str">
        <f ca="1">IF($A36=0,"",IF(ISNA(VLOOKUP(A36,'Week 1 Roster'!A:C,2,0)),VLOOKUP(A36,'Week 2 Roster'!A:C,2,0),VLOOKUP(A36,'Week 1 Roster'!A:C,2,0)))</f>
        <v/>
      </c>
      <c r="L36" s="13" t="str">
        <f ca="1">IF($A36=0,"",VLOOKUP(K36,Stores!A:B,2,0))</f>
        <v/>
      </c>
      <c r="M36" s="14">
        <f t="shared" ca="1" si="11"/>
        <v>0</v>
      </c>
      <c r="N36" s="14">
        <f t="shared" ca="1" si="12"/>
        <v>0</v>
      </c>
      <c r="O36" s="14">
        <f t="shared" ca="1" si="13"/>
        <v>0</v>
      </c>
      <c r="P36" s="14">
        <f t="shared" ca="1" si="14"/>
        <v>0</v>
      </c>
      <c r="Q36" s="14">
        <f t="shared" ca="1" si="15"/>
        <v>0</v>
      </c>
      <c r="R36" s="14">
        <f t="shared" ca="1" si="16"/>
        <v>0</v>
      </c>
      <c r="S36" s="28">
        <f t="shared" ca="1" si="17"/>
        <v>0</v>
      </c>
      <c r="T36" s="14">
        <f t="shared" ca="1" si="18"/>
        <v>0</v>
      </c>
      <c r="U36" s="14">
        <f t="shared" ca="1" si="19"/>
        <v>0</v>
      </c>
      <c r="V36" s="14">
        <f t="shared" ca="1" si="20"/>
        <v>0</v>
      </c>
      <c r="W36" s="14">
        <f t="shared" ca="1" si="21"/>
        <v>0</v>
      </c>
      <c r="Y36" s="17">
        <f ca="1">IF($A36=0,0,SUMIF('Week 1 Roster'!$AZ:$AZ,$B36,'Week 1 Roster'!$AE:$AE))</f>
        <v>0</v>
      </c>
      <c r="Z36" s="17">
        <f ca="1">IF($A36=0,0,SUMIF('Week 1 Roster'!$AZ:$AZ,$B36,'Week 1 Roster'!$AG:$AG))</f>
        <v>0</v>
      </c>
      <c r="AA36" s="17">
        <f ca="1">IF($A36=0,0,SUMIF('Week 1 Roster'!$AZ:$AZ,$B36,'Week 1 Roster'!$AI:$AI))</f>
        <v>0</v>
      </c>
      <c r="AB36" s="17">
        <f ca="1">IF($A36=0,0,SUMIF('Week 1 Roster'!$AZ:$AZ,$B36,'Week 1 Roster'!$AK:$AK))</f>
        <v>0</v>
      </c>
      <c r="AC36" s="17">
        <f ca="1">IF($A36=0,0,SUMIF('Week 1 Roster'!$AZ:$AZ,$B36,'Week 1 Roster'!$AM:$AM))</f>
        <v>0</v>
      </c>
      <c r="AD36" s="17">
        <f ca="1">IF($A36=0,0,SUMIF('Week 1 Roster'!$AZ:$AZ,$B36,'Week 1 Roster'!$AO:$AO))</f>
        <v>0</v>
      </c>
      <c r="AE36" s="38">
        <f ca="1">IF($A36=0,0,SUMIF('Week 1 Roster'!$AZ:$AZ,$B36,'Week 1 Roster'!$AP:$AP))</f>
        <v>0</v>
      </c>
      <c r="AF36" s="17">
        <f ca="1">IF($A36=0,0,SUMIF('Week 1 Roster'!$AZ:$AZ,$B36,'Week 1 Roster'!$AQ:$AQ))</f>
        <v>0</v>
      </c>
      <c r="AG36" s="17">
        <f ca="1">IF($A36=0,0,SUMIF('Week 1 Roster'!$AZ:$AZ,$B36,'Week 1 Roster'!$AR:$AR))</f>
        <v>0</v>
      </c>
      <c r="AH36" s="17">
        <f ca="1">IF($A36=0,0,SUMIF('Week 1 Roster'!$AZ:$AZ,$B36,'Week 1 Roster'!$AS:$AS))</f>
        <v>0</v>
      </c>
      <c r="AI36" s="17">
        <f t="shared" ca="1" si="22"/>
        <v>0</v>
      </c>
      <c r="AK36" s="17">
        <f ca="1">IF($A36=0,0,SUMIF('Week 2 Roster'!$AZ:$AZ,$B36,'Week 2 Roster'!$AE:$AE))</f>
        <v>0</v>
      </c>
      <c r="AL36" s="17">
        <f ca="1">IF($A36=0,0,SUMIF('Week 2 Roster'!$AZ:$AZ,$B36,'Week 2 Roster'!$AG:$AG))</f>
        <v>0</v>
      </c>
      <c r="AM36" s="17">
        <f ca="1">IF($A36=0,0,SUMIF('Week 2 Roster'!$AZ:$AZ,$B36,'Week 2 Roster'!$AI:$AI))</f>
        <v>0</v>
      </c>
      <c r="AN36" s="17">
        <f ca="1">IF($A36=0,0,SUMIF('Week 2 Roster'!$AZ:$AZ,$B36,'Week 2 Roster'!$AK:$AK))</f>
        <v>0</v>
      </c>
      <c r="AO36" s="17">
        <f ca="1">IF($A36=0,0,SUMIF('Week 2 Roster'!$AZ:$AZ,$B36,'Week 2 Roster'!$AM:$AM))</f>
        <v>0</v>
      </c>
      <c r="AP36" s="17">
        <f ca="1">IF($A36=0,0,SUMIF('Week 2 Roster'!$AZ:$AZ,$B36,'Week 2 Roster'!$AO:$AO))</f>
        <v>0</v>
      </c>
      <c r="AQ36" s="38">
        <f ca="1">IF($A36=0,0,SUMIF('Week 2 Roster'!$AZ:$AZ,$B36,'Week 2 Roster'!$AP:$AP))</f>
        <v>0</v>
      </c>
      <c r="AR36" s="17">
        <f ca="1">IF($A36=0,0,SUMIF('Week 2 Roster'!$AZ:$AZ,$B36,'Week 2 Roster'!$AQ:$AQ))</f>
        <v>0</v>
      </c>
      <c r="AS36" s="17">
        <f ca="1">IF($A36=0,0,SUMIF('Week 2 Roster'!$AZ:$AZ,$B36,'Week 2 Roster'!$AR:$AR))</f>
        <v>0</v>
      </c>
      <c r="AT36" s="17">
        <f ca="1">IF($A36=0,0,SUMIF('Week 2 Roster'!$AZ:$AZ,$B36,'Week 2 Roster'!$AS:$AS))</f>
        <v>0</v>
      </c>
      <c r="AU36" s="17">
        <f t="shared" ca="1" si="23"/>
        <v>0</v>
      </c>
      <c r="AV36" s="17"/>
      <c r="AW36" s="25" t="str">
        <f>'Week 1 Roster'!A36</f>
        <v/>
      </c>
      <c r="AX36" s="25" t="str">
        <f>'Week 2 Roster'!A36</f>
        <v/>
      </c>
    </row>
    <row r="37" spans="1:50">
      <c r="A37" s="16" cm="1">
        <f t="array" aca="1" ref="A37" ca="1">_xlfn.NUMBERVALUE(INDIRECT(TEXT(MIN(IF(($AW$2:$AX$300&lt;&gt;"")*(COUNTIF($B$1:B36,$AW$2:$AX$300)=0),ROW($2:$300)*100+COLUMN($AW:$AX),7^8)),"R0C00"),)&amp;"")</f>
        <v>0</v>
      </c>
      <c r="B37" s="28" t="str">
        <f t="shared" ca="1" si="9"/>
        <v/>
      </c>
      <c r="C37" s="28" t="str">
        <f ca="1">IF($A37=0,"",VLOOKUP($B37,Employees!$A:$G,2,FALSE))</f>
        <v/>
      </c>
      <c r="D37" s="28" t="str">
        <f ca="1">IF($A37=0,"",VLOOKUP($B37,Employees!$A:$G,3,FALSE))</f>
        <v/>
      </c>
      <c r="E37" s="26" t="str">
        <f ca="1">IF($A37=0,"",VLOOKUP($B37,Employees!$A:$G,5,FALSE))</f>
        <v/>
      </c>
      <c r="F37" s="13" t="str">
        <f ca="1">IF($E37="","",ROUNDDOWN(YEARFRAC($E37, 'Week 1 Roster'!$D$1-1, 1), 0))</f>
        <v/>
      </c>
      <c r="G37" s="13" t="str">
        <f ca="1">IF($E37="","",ROUNDDOWN(YEARFRAC($E37, 'Week 1 Roster'!$D$1+14, 1), 0))</f>
        <v/>
      </c>
      <c r="H37" s="13" t="str">
        <f t="shared" ca="1" si="10"/>
        <v/>
      </c>
      <c r="I37" s="13" t="str">
        <f ca="1">IF($A37=0,"",VLOOKUP($B37,Employees!$A:$G,6,FALSE))</f>
        <v/>
      </c>
      <c r="J37" s="13" t="str">
        <f ca="1">IF($A37=0,"",VLOOKUP($B37,Employees!$A:$G,7,FALSE))</f>
        <v/>
      </c>
      <c r="K37" s="13" t="str">
        <f ca="1">IF($A37=0,"",IF(ISNA(VLOOKUP(A37,'Week 1 Roster'!A:C,2,0)),VLOOKUP(A37,'Week 2 Roster'!A:C,2,0),VLOOKUP(A37,'Week 1 Roster'!A:C,2,0)))</f>
        <v/>
      </c>
      <c r="L37" s="13" t="str">
        <f ca="1">IF($A37=0,"",VLOOKUP(K37,Stores!A:B,2,0))</f>
        <v/>
      </c>
      <c r="M37" s="14">
        <f t="shared" ca="1" si="11"/>
        <v>0</v>
      </c>
      <c r="N37" s="14">
        <f t="shared" ca="1" si="12"/>
        <v>0</v>
      </c>
      <c r="O37" s="14">
        <f t="shared" ca="1" si="13"/>
        <v>0</v>
      </c>
      <c r="P37" s="14">
        <f t="shared" ca="1" si="14"/>
        <v>0</v>
      </c>
      <c r="Q37" s="14">
        <f t="shared" ca="1" si="15"/>
        <v>0</v>
      </c>
      <c r="R37" s="14">
        <f t="shared" ca="1" si="16"/>
        <v>0</v>
      </c>
      <c r="S37" s="28">
        <f t="shared" ca="1" si="17"/>
        <v>0</v>
      </c>
      <c r="T37" s="14">
        <f t="shared" ca="1" si="18"/>
        <v>0</v>
      </c>
      <c r="U37" s="14">
        <f t="shared" ca="1" si="19"/>
        <v>0</v>
      </c>
      <c r="V37" s="14">
        <f t="shared" ca="1" si="20"/>
        <v>0</v>
      </c>
      <c r="W37" s="14">
        <f t="shared" ca="1" si="21"/>
        <v>0</v>
      </c>
      <c r="Y37" s="17">
        <f ca="1">IF($A37=0,0,SUMIF('Week 1 Roster'!$AZ:$AZ,$B37,'Week 1 Roster'!$AE:$AE))</f>
        <v>0</v>
      </c>
      <c r="Z37" s="17">
        <f ca="1">IF($A37=0,0,SUMIF('Week 1 Roster'!$AZ:$AZ,$B37,'Week 1 Roster'!$AG:$AG))</f>
        <v>0</v>
      </c>
      <c r="AA37" s="17">
        <f ca="1">IF($A37=0,0,SUMIF('Week 1 Roster'!$AZ:$AZ,$B37,'Week 1 Roster'!$AI:$AI))</f>
        <v>0</v>
      </c>
      <c r="AB37" s="17">
        <f ca="1">IF($A37=0,0,SUMIF('Week 1 Roster'!$AZ:$AZ,$B37,'Week 1 Roster'!$AK:$AK))</f>
        <v>0</v>
      </c>
      <c r="AC37" s="17">
        <f ca="1">IF($A37=0,0,SUMIF('Week 1 Roster'!$AZ:$AZ,$B37,'Week 1 Roster'!$AM:$AM))</f>
        <v>0</v>
      </c>
      <c r="AD37" s="17">
        <f ca="1">IF($A37=0,0,SUMIF('Week 1 Roster'!$AZ:$AZ,$B37,'Week 1 Roster'!$AO:$AO))</f>
        <v>0</v>
      </c>
      <c r="AE37" s="38">
        <f ca="1">IF($A37=0,0,SUMIF('Week 1 Roster'!$AZ:$AZ,$B37,'Week 1 Roster'!$AP:$AP))</f>
        <v>0</v>
      </c>
      <c r="AF37" s="17">
        <f ca="1">IF($A37=0,0,SUMIF('Week 1 Roster'!$AZ:$AZ,$B37,'Week 1 Roster'!$AQ:$AQ))</f>
        <v>0</v>
      </c>
      <c r="AG37" s="17">
        <f ca="1">IF($A37=0,0,SUMIF('Week 1 Roster'!$AZ:$AZ,$B37,'Week 1 Roster'!$AR:$AR))</f>
        <v>0</v>
      </c>
      <c r="AH37" s="17">
        <f ca="1">IF($A37=0,0,SUMIF('Week 1 Roster'!$AZ:$AZ,$B37,'Week 1 Roster'!$AS:$AS))</f>
        <v>0</v>
      </c>
      <c r="AI37" s="17">
        <f t="shared" ca="1" si="22"/>
        <v>0</v>
      </c>
      <c r="AK37" s="17">
        <f ca="1">IF($A37=0,0,SUMIF('Week 2 Roster'!$AZ:$AZ,$B37,'Week 2 Roster'!$AE:$AE))</f>
        <v>0</v>
      </c>
      <c r="AL37" s="17">
        <f ca="1">IF($A37=0,0,SUMIF('Week 2 Roster'!$AZ:$AZ,$B37,'Week 2 Roster'!$AG:$AG))</f>
        <v>0</v>
      </c>
      <c r="AM37" s="17">
        <f ca="1">IF($A37=0,0,SUMIF('Week 2 Roster'!$AZ:$AZ,$B37,'Week 2 Roster'!$AI:$AI))</f>
        <v>0</v>
      </c>
      <c r="AN37" s="17">
        <f ca="1">IF($A37=0,0,SUMIF('Week 2 Roster'!$AZ:$AZ,$B37,'Week 2 Roster'!$AK:$AK))</f>
        <v>0</v>
      </c>
      <c r="AO37" s="17">
        <f ca="1">IF($A37=0,0,SUMIF('Week 2 Roster'!$AZ:$AZ,$B37,'Week 2 Roster'!$AM:$AM))</f>
        <v>0</v>
      </c>
      <c r="AP37" s="17">
        <f ca="1">IF($A37=0,0,SUMIF('Week 2 Roster'!$AZ:$AZ,$B37,'Week 2 Roster'!$AO:$AO))</f>
        <v>0</v>
      </c>
      <c r="AQ37" s="38">
        <f ca="1">IF($A37=0,0,SUMIF('Week 2 Roster'!$AZ:$AZ,$B37,'Week 2 Roster'!$AP:$AP))</f>
        <v>0</v>
      </c>
      <c r="AR37" s="17">
        <f ca="1">IF($A37=0,0,SUMIF('Week 2 Roster'!$AZ:$AZ,$B37,'Week 2 Roster'!$AQ:$AQ))</f>
        <v>0</v>
      </c>
      <c r="AS37" s="17">
        <f ca="1">IF($A37=0,0,SUMIF('Week 2 Roster'!$AZ:$AZ,$B37,'Week 2 Roster'!$AR:$AR))</f>
        <v>0</v>
      </c>
      <c r="AT37" s="17">
        <f ca="1">IF($A37=0,0,SUMIF('Week 2 Roster'!$AZ:$AZ,$B37,'Week 2 Roster'!$AS:$AS))</f>
        <v>0</v>
      </c>
      <c r="AU37" s="17">
        <f t="shared" ca="1" si="23"/>
        <v>0</v>
      </c>
      <c r="AV37" s="17"/>
      <c r="AW37" s="25" t="str">
        <f>'Week 1 Roster'!A37</f>
        <v/>
      </c>
      <c r="AX37" s="25" t="str">
        <f>'Week 2 Roster'!A37</f>
        <v/>
      </c>
    </row>
    <row r="38" spans="1:50">
      <c r="A38" s="16" cm="1">
        <f t="array" aca="1" ref="A38" ca="1">_xlfn.NUMBERVALUE(INDIRECT(TEXT(MIN(IF(($AW$2:$AX$300&lt;&gt;"")*(COUNTIF($B$1:B37,$AW$2:$AX$300)=0),ROW($2:$300)*100+COLUMN($AW:$AX),7^8)),"R0C00"),)&amp;"")</f>
        <v>0</v>
      </c>
      <c r="B38" s="28" t="str">
        <f t="shared" ca="1" si="9"/>
        <v/>
      </c>
      <c r="C38" s="28" t="str">
        <f ca="1">IF($A38=0,"",VLOOKUP($B38,Employees!$A:$G,2,FALSE))</f>
        <v/>
      </c>
      <c r="D38" s="28" t="str">
        <f ca="1">IF($A38=0,"",VLOOKUP($B38,Employees!$A:$G,3,FALSE))</f>
        <v/>
      </c>
      <c r="E38" s="26" t="str">
        <f ca="1">IF($A38=0,"",VLOOKUP($B38,Employees!$A:$G,5,FALSE))</f>
        <v/>
      </c>
      <c r="F38" s="13" t="str">
        <f ca="1">IF($E38="","",ROUNDDOWN(YEARFRAC($E38, 'Week 1 Roster'!$D$1-1, 1), 0))</f>
        <v/>
      </c>
      <c r="G38" s="13" t="str">
        <f ca="1">IF($E38="","",ROUNDDOWN(YEARFRAC($E38, 'Week 1 Roster'!$D$1+14, 1), 0))</f>
        <v/>
      </c>
      <c r="H38" s="13" t="str">
        <f t="shared" ca="1" si="10"/>
        <v/>
      </c>
      <c r="I38" s="13" t="str">
        <f ca="1">IF($A38=0,"",VLOOKUP($B38,Employees!$A:$G,6,FALSE))</f>
        <v/>
      </c>
      <c r="J38" s="13" t="str">
        <f ca="1">IF($A38=0,"",VLOOKUP($B38,Employees!$A:$G,7,FALSE))</f>
        <v/>
      </c>
      <c r="K38" s="13" t="str">
        <f ca="1">IF($A38=0,"",IF(ISNA(VLOOKUP(A38,'Week 1 Roster'!A:C,2,0)),VLOOKUP(A38,'Week 2 Roster'!A:C,2,0),VLOOKUP(A38,'Week 1 Roster'!A:C,2,0)))</f>
        <v/>
      </c>
      <c r="L38" s="13" t="str">
        <f ca="1">IF($A38=0,"",VLOOKUP(K38,Stores!A:B,2,0))</f>
        <v/>
      </c>
      <c r="M38" s="14">
        <f t="shared" ca="1" si="11"/>
        <v>0</v>
      </c>
      <c r="N38" s="14">
        <f t="shared" ca="1" si="12"/>
        <v>0</v>
      </c>
      <c r="O38" s="14">
        <f t="shared" ca="1" si="13"/>
        <v>0</v>
      </c>
      <c r="P38" s="14">
        <f t="shared" ca="1" si="14"/>
        <v>0</v>
      </c>
      <c r="Q38" s="14">
        <f t="shared" ca="1" si="15"/>
        <v>0</v>
      </c>
      <c r="R38" s="14">
        <f t="shared" ca="1" si="16"/>
        <v>0</v>
      </c>
      <c r="S38" s="28">
        <f t="shared" ca="1" si="17"/>
        <v>0</v>
      </c>
      <c r="T38" s="14">
        <f t="shared" ca="1" si="18"/>
        <v>0</v>
      </c>
      <c r="U38" s="14">
        <f t="shared" ca="1" si="19"/>
        <v>0</v>
      </c>
      <c r="V38" s="14">
        <f t="shared" ca="1" si="20"/>
        <v>0</v>
      </c>
      <c r="W38" s="14">
        <f t="shared" ca="1" si="21"/>
        <v>0</v>
      </c>
      <c r="Y38" s="17">
        <f ca="1">IF($A38=0,0,SUMIF('Week 1 Roster'!$AZ:$AZ,$B38,'Week 1 Roster'!$AE:$AE))</f>
        <v>0</v>
      </c>
      <c r="Z38" s="17">
        <f ca="1">IF($A38=0,0,SUMIF('Week 1 Roster'!$AZ:$AZ,$B38,'Week 1 Roster'!$AG:$AG))</f>
        <v>0</v>
      </c>
      <c r="AA38" s="17">
        <f ca="1">IF($A38=0,0,SUMIF('Week 1 Roster'!$AZ:$AZ,$B38,'Week 1 Roster'!$AI:$AI))</f>
        <v>0</v>
      </c>
      <c r="AB38" s="17">
        <f ca="1">IF($A38=0,0,SUMIF('Week 1 Roster'!$AZ:$AZ,$B38,'Week 1 Roster'!$AK:$AK))</f>
        <v>0</v>
      </c>
      <c r="AC38" s="17">
        <f ca="1">IF($A38=0,0,SUMIF('Week 1 Roster'!$AZ:$AZ,$B38,'Week 1 Roster'!$AM:$AM))</f>
        <v>0</v>
      </c>
      <c r="AD38" s="17">
        <f ca="1">IF($A38=0,0,SUMIF('Week 1 Roster'!$AZ:$AZ,$B38,'Week 1 Roster'!$AO:$AO))</f>
        <v>0</v>
      </c>
      <c r="AE38" s="38">
        <f ca="1">IF($A38=0,0,SUMIF('Week 1 Roster'!$AZ:$AZ,$B38,'Week 1 Roster'!$AP:$AP))</f>
        <v>0</v>
      </c>
      <c r="AF38" s="17">
        <f ca="1">IF($A38=0,0,SUMIF('Week 1 Roster'!$AZ:$AZ,$B38,'Week 1 Roster'!$AQ:$AQ))</f>
        <v>0</v>
      </c>
      <c r="AG38" s="17">
        <f ca="1">IF($A38=0,0,SUMIF('Week 1 Roster'!$AZ:$AZ,$B38,'Week 1 Roster'!$AR:$AR))</f>
        <v>0</v>
      </c>
      <c r="AH38" s="17">
        <f ca="1">IF($A38=0,0,SUMIF('Week 1 Roster'!$AZ:$AZ,$B38,'Week 1 Roster'!$AS:$AS))</f>
        <v>0</v>
      </c>
      <c r="AI38" s="17">
        <f t="shared" ca="1" si="22"/>
        <v>0</v>
      </c>
      <c r="AK38" s="17">
        <f ca="1">IF($A38=0,0,SUMIF('Week 2 Roster'!$AZ:$AZ,$B38,'Week 2 Roster'!$AE:$AE))</f>
        <v>0</v>
      </c>
      <c r="AL38" s="17">
        <f ca="1">IF($A38=0,0,SUMIF('Week 2 Roster'!$AZ:$AZ,$B38,'Week 2 Roster'!$AG:$AG))</f>
        <v>0</v>
      </c>
      <c r="AM38" s="17">
        <f ca="1">IF($A38=0,0,SUMIF('Week 2 Roster'!$AZ:$AZ,$B38,'Week 2 Roster'!$AI:$AI))</f>
        <v>0</v>
      </c>
      <c r="AN38" s="17">
        <f ca="1">IF($A38=0,0,SUMIF('Week 2 Roster'!$AZ:$AZ,$B38,'Week 2 Roster'!$AK:$AK))</f>
        <v>0</v>
      </c>
      <c r="AO38" s="17">
        <f ca="1">IF($A38=0,0,SUMIF('Week 2 Roster'!$AZ:$AZ,$B38,'Week 2 Roster'!$AM:$AM))</f>
        <v>0</v>
      </c>
      <c r="AP38" s="17">
        <f ca="1">IF($A38=0,0,SUMIF('Week 2 Roster'!$AZ:$AZ,$B38,'Week 2 Roster'!$AO:$AO))</f>
        <v>0</v>
      </c>
      <c r="AQ38" s="38">
        <f ca="1">IF($A38=0,0,SUMIF('Week 2 Roster'!$AZ:$AZ,$B38,'Week 2 Roster'!$AP:$AP))</f>
        <v>0</v>
      </c>
      <c r="AR38" s="17">
        <f ca="1">IF($A38=0,0,SUMIF('Week 2 Roster'!$AZ:$AZ,$B38,'Week 2 Roster'!$AQ:$AQ))</f>
        <v>0</v>
      </c>
      <c r="AS38" s="17">
        <f ca="1">IF($A38=0,0,SUMIF('Week 2 Roster'!$AZ:$AZ,$B38,'Week 2 Roster'!$AR:$AR))</f>
        <v>0</v>
      </c>
      <c r="AT38" s="17">
        <f ca="1">IF($A38=0,0,SUMIF('Week 2 Roster'!$AZ:$AZ,$B38,'Week 2 Roster'!$AS:$AS))</f>
        <v>0</v>
      </c>
      <c r="AU38" s="17">
        <f t="shared" ca="1" si="23"/>
        <v>0</v>
      </c>
      <c r="AV38" s="17"/>
      <c r="AW38" s="25" t="str">
        <f>'Week 1 Roster'!A38</f>
        <v/>
      </c>
      <c r="AX38" s="25" t="str">
        <f>'Week 2 Roster'!A38</f>
        <v/>
      </c>
    </row>
    <row r="39" spans="1:50">
      <c r="A39" s="16" cm="1">
        <f t="array" aca="1" ref="A39" ca="1">_xlfn.NUMBERVALUE(INDIRECT(TEXT(MIN(IF(($AW$2:$AX$300&lt;&gt;"")*(COUNTIF($B$1:B38,$AW$2:$AX$300)=0),ROW($2:$300)*100+COLUMN($AW:$AX),7^8)),"R0C00"),)&amp;"")</f>
        <v>0</v>
      </c>
      <c r="B39" s="28" t="str">
        <f t="shared" ca="1" si="9"/>
        <v/>
      </c>
      <c r="C39" s="28" t="str">
        <f ca="1">IF($A39=0,"",VLOOKUP($B39,Employees!$A:$G,2,FALSE))</f>
        <v/>
      </c>
      <c r="D39" s="28" t="str">
        <f ca="1">IF($A39=0,"",VLOOKUP($B39,Employees!$A:$G,3,FALSE))</f>
        <v/>
      </c>
      <c r="E39" s="26" t="str">
        <f ca="1">IF($A39=0,"",VLOOKUP($B39,Employees!$A:$G,5,FALSE))</f>
        <v/>
      </c>
      <c r="F39" s="13" t="str">
        <f ca="1">IF($E39="","",ROUNDDOWN(YEARFRAC($E39, 'Week 1 Roster'!$D$1-1, 1), 0))</f>
        <v/>
      </c>
      <c r="G39" s="13" t="str">
        <f ca="1">IF($E39="","",ROUNDDOWN(YEARFRAC($E39, 'Week 1 Roster'!$D$1+14, 1), 0))</f>
        <v/>
      </c>
      <c r="H39" s="13" t="str">
        <f t="shared" ca="1" si="10"/>
        <v/>
      </c>
      <c r="I39" s="13" t="str">
        <f ca="1">IF($A39=0,"",VLOOKUP($B39,Employees!$A:$G,6,FALSE))</f>
        <v/>
      </c>
      <c r="J39" s="13" t="str">
        <f ca="1">IF($A39=0,"",VLOOKUP($B39,Employees!$A:$G,7,FALSE))</f>
        <v/>
      </c>
      <c r="K39" s="13" t="str">
        <f ca="1">IF($A39=0,"",IF(ISNA(VLOOKUP(A39,'Week 1 Roster'!A:C,2,0)),VLOOKUP(A39,'Week 2 Roster'!A:C,2,0),VLOOKUP(A39,'Week 1 Roster'!A:C,2,0)))</f>
        <v/>
      </c>
      <c r="L39" s="13" t="str">
        <f ca="1">IF($A39=0,"",VLOOKUP(K39,Stores!A:B,2,0))</f>
        <v/>
      </c>
      <c r="M39" s="14">
        <f t="shared" ca="1" si="11"/>
        <v>0</v>
      </c>
      <c r="N39" s="14">
        <f t="shared" ca="1" si="12"/>
        <v>0</v>
      </c>
      <c r="O39" s="14">
        <f t="shared" ca="1" si="13"/>
        <v>0</v>
      </c>
      <c r="P39" s="14">
        <f t="shared" ca="1" si="14"/>
        <v>0</v>
      </c>
      <c r="Q39" s="14">
        <f t="shared" ca="1" si="15"/>
        <v>0</v>
      </c>
      <c r="R39" s="14">
        <f t="shared" ca="1" si="16"/>
        <v>0</v>
      </c>
      <c r="S39" s="28">
        <f t="shared" ca="1" si="17"/>
        <v>0</v>
      </c>
      <c r="T39" s="14">
        <f t="shared" ca="1" si="18"/>
        <v>0</v>
      </c>
      <c r="U39" s="14">
        <f t="shared" ca="1" si="19"/>
        <v>0</v>
      </c>
      <c r="V39" s="14">
        <f t="shared" ca="1" si="20"/>
        <v>0</v>
      </c>
      <c r="W39" s="14">
        <f t="shared" ca="1" si="21"/>
        <v>0</v>
      </c>
      <c r="Y39" s="17">
        <f ca="1">IF($A39=0,0,SUMIF('Week 1 Roster'!$AZ:$AZ,$B39,'Week 1 Roster'!$AE:$AE))</f>
        <v>0</v>
      </c>
      <c r="Z39" s="17">
        <f ca="1">IF($A39=0,0,SUMIF('Week 1 Roster'!$AZ:$AZ,$B39,'Week 1 Roster'!$AG:$AG))</f>
        <v>0</v>
      </c>
      <c r="AA39" s="17">
        <f ca="1">IF($A39=0,0,SUMIF('Week 1 Roster'!$AZ:$AZ,$B39,'Week 1 Roster'!$AI:$AI))</f>
        <v>0</v>
      </c>
      <c r="AB39" s="17">
        <f ca="1">IF($A39=0,0,SUMIF('Week 1 Roster'!$AZ:$AZ,$B39,'Week 1 Roster'!$AK:$AK))</f>
        <v>0</v>
      </c>
      <c r="AC39" s="17">
        <f ca="1">IF($A39=0,0,SUMIF('Week 1 Roster'!$AZ:$AZ,$B39,'Week 1 Roster'!$AM:$AM))</f>
        <v>0</v>
      </c>
      <c r="AD39" s="17">
        <f ca="1">IF($A39=0,0,SUMIF('Week 1 Roster'!$AZ:$AZ,$B39,'Week 1 Roster'!$AO:$AO))</f>
        <v>0</v>
      </c>
      <c r="AE39" s="38">
        <f ca="1">IF($A39=0,0,SUMIF('Week 1 Roster'!$AZ:$AZ,$B39,'Week 1 Roster'!$AP:$AP))</f>
        <v>0</v>
      </c>
      <c r="AF39" s="17">
        <f ca="1">IF($A39=0,0,SUMIF('Week 1 Roster'!$AZ:$AZ,$B39,'Week 1 Roster'!$AQ:$AQ))</f>
        <v>0</v>
      </c>
      <c r="AG39" s="17">
        <f ca="1">IF($A39=0,0,SUMIF('Week 1 Roster'!$AZ:$AZ,$B39,'Week 1 Roster'!$AR:$AR))</f>
        <v>0</v>
      </c>
      <c r="AH39" s="17">
        <f ca="1">IF($A39=0,0,SUMIF('Week 1 Roster'!$AZ:$AZ,$B39,'Week 1 Roster'!$AS:$AS))</f>
        <v>0</v>
      </c>
      <c r="AI39" s="17">
        <f t="shared" ca="1" si="22"/>
        <v>0</v>
      </c>
      <c r="AK39" s="17">
        <f ca="1">IF($A39=0,0,SUMIF('Week 2 Roster'!$AZ:$AZ,$B39,'Week 2 Roster'!$AE:$AE))</f>
        <v>0</v>
      </c>
      <c r="AL39" s="17">
        <f ca="1">IF($A39=0,0,SUMIF('Week 2 Roster'!$AZ:$AZ,$B39,'Week 2 Roster'!$AG:$AG))</f>
        <v>0</v>
      </c>
      <c r="AM39" s="17">
        <f ca="1">IF($A39=0,0,SUMIF('Week 2 Roster'!$AZ:$AZ,$B39,'Week 2 Roster'!$AI:$AI))</f>
        <v>0</v>
      </c>
      <c r="AN39" s="17">
        <f ca="1">IF($A39=0,0,SUMIF('Week 2 Roster'!$AZ:$AZ,$B39,'Week 2 Roster'!$AK:$AK))</f>
        <v>0</v>
      </c>
      <c r="AO39" s="17">
        <f ca="1">IF($A39=0,0,SUMIF('Week 2 Roster'!$AZ:$AZ,$B39,'Week 2 Roster'!$AM:$AM))</f>
        <v>0</v>
      </c>
      <c r="AP39" s="17">
        <f ca="1">IF($A39=0,0,SUMIF('Week 2 Roster'!$AZ:$AZ,$B39,'Week 2 Roster'!$AO:$AO))</f>
        <v>0</v>
      </c>
      <c r="AQ39" s="38">
        <f ca="1">IF($A39=0,0,SUMIF('Week 2 Roster'!$AZ:$AZ,$B39,'Week 2 Roster'!$AP:$AP))</f>
        <v>0</v>
      </c>
      <c r="AR39" s="17">
        <f ca="1">IF($A39=0,0,SUMIF('Week 2 Roster'!$AZ:$AZ,$B39,'Week 2 Roster'!$AQ:$AQ))</f>
        <v>0</v>
      </c>
      <c r="AS39" s="17">
        <f ca="1">IF($A39=0,0,SUMIF('Week 2 Roster'!$AZ:$AZ,$B39,'Week 2 Roster'!$AR:$AR))</f>
        <v>0</v>
      </c>
      <c r="AT39" s="17">
        <f ca="1">IF($A39=0,0,SUMIF('Week 2 Roster'!$AZ:$AZ,$B39,'Week 2 Roster'!$AS:$AS))</f>
        <v>0</v>
      </c>
      <c r="AU39" s="17">
        <f t="shared" ca="1" si="23"/>
        <v>0</v>
      </c>
      <c r="AV39" s="17"/>
      <c r="AW39" s="25" t="str">
        <f>'Week 1 Roster'!A39</f>
        <v/>
      </c>
      <c r="AX39" s="25" t="str">
        <f>'Week 2 Roster'!A39</f>
        <v/>
      </c>
    </row>
    <row r="40" spans="1:50">
      <c r="A40" s="16" cm="1">
        <f t="array" aca="1" ref="A40" ca="1">_xlfn.NUMBERVALUE(INDIRECT(TEXT(MIN(IF(($AW$2:$AX$300&lt;&gt;"")*(COUNTIF($B$1:B39,$AW$2:$AX$300)=0),ROW($2:$300)*100+COLUMN($AW:$AX),7^8)),"R0C00"),)&amp;"")</f>
        <v>0</v>
      </c>
      <c r="B40" s="28" t="str">
        <f t="shared" ca="1" si="9"/>
        <v/>
      </c>
      <c r="C40" s="28" t="str">
        <f ca="1">IF($A40=0,"",VLOOKUP($B40,Employees!$A:$G,2,FALSE))</f>
        <v/>
      </c>
      <c r="D40" s="28" t="str">
        <f ca="1">IF($A40=0,"",VLOOKUP($B40,Employees!$A:$G,3,FALSE))</f>
        <v/>
      </c>
      <c r="E40" s="26" t="str">
        <f ca="1">IF($A40=0,"",VLOOKUP($B40,Employees!$A:$G,5,FALSE))</f>
        <v/>
      </c>
      <c r="F40" s="13" t="str">
        <f ca="1">IF($E40="","",ROUNDDOWN(YEARFRAC($E40, 'Week 1 Roster'!$D$1-1, 1), 0))</f>
        <v/>
      </c>
      <c r="G40" s="13" t="str">
        <f ca="1">IF($E40="","",ROUNDDOWN(YEARFRAC($E40, 'Week 1 Roster'!$D$1+14, 1), 0))</f>
        <v/>
      </c>
      <c r="H40" s="13" t="str">
        <f t="shared" ca="1" si="10"/>
        <v/>
      </c>
      <c r="I40" s="13" t="str">
        <f ca="1">IF($A40=0,"",VLOOKUP($B40,Employees!$A:$G,6,FALSE))</f>
        <v/>
      </c>
      <c r="J40" s="13" t="str">
        <f ca="1">IF($A40=0,"",VLOOKUP($B40,Employees!$A:$G,7,FALSE))</f>
        <v/>
      </c>
      <c r="K40" s="13" t="str">
        <f ca="1">IF($A40=0,"",IF(ISNA(VLOOKUP(A40,'Week 1 Roster'!A:C,2,0)),VLOOKUP(A40,'Week 2 Roster'!A:C,2,0),VLOOKUP(A40,'Week 1 Roster'!A:C,2,0)))</f>
        <v/>
      </c>
      <c r="L40" s="13" t="str">
        <f ca="1">IF($A40=0,"",VLOOKUP(K40,Stores!A:B,2,0))</f>
        <v/>
      </c>
      <c r="M40" s="14">
        <f t="shared" ca="1" si="11"/>
        <v>0</v>
      </c>
      <c r="N40" s="14">
        <f t="shared" ca="1" si="12"/>
        <v>0</v>
      </c>
      <c r="O40" s="14">
        <f t="shared" ca="1" si="13"/>
        <v>0</v>
      </c>
      <c r="P40" s="14">
        <f t="shared" ca="1" si="14"/>
        <v>0</v>
      </c>
      <c r="Q40" s="14">
        <f t="shared" ca="1" si="15"/>
        <v>0</v>
      </c>
      <c r="R40" s="14">
        <f t="shared" ca="1" si="16"/>
        <v>0</v>
      </c>
      <c r="S40" s="28">
        <f t="shared" ca="1" si="17"/>
        <v>0</v>
      </c>
      <c r="T40" s="14">
        <f t="shared" ca="1" si="18"/>
        <v>0</v>
      </c>
      <c r="U40" s="14">
        <f t="shared" ca="1" si="19"/>
        <v>0</v>
      </c>
      <c r="V40" s="14">
        <f t="shared" ca="1" si="20"/>
        <v>0</v>
      </c>
      <c r="W40" s="14">
        <f t="shared" ca="1" si="21"/>
        <v>0</v>
      </c>
      <c r="Y40" s="17">
        <f ca="1">IF($A40=0,0,SUMIF('Week 1 Roster'!$AZ:$AZ,$B40,'Week 1 Roster'!$AE:$AE))</f>
        <v>0</v>
      </c>
      <c r="Z40" s="17">
        <f ca="1">IF($A40=0,0,SUMIF('Week 1 Roster'!$AZ:$AZ,$B40,'Week 1 Roster'!$AG:$AG))</f>
        <v>0</v>
      </c>
      <c r="AA40" s="17">
        <f ca="1">IF($A40=0,0,SUMIF('Week 1 Roster'!$AZ:$AZ,$B40,'Week 1 Roster'!$AI:$AI))</f>
        <v>0</v>
      </c>
      <c r="AB40" s="17">
        <f ca="1">IF($A40=0,0,SUMIF('Week 1 Roster'!$AZ:$AZ,$B40,'Week 1 Roster'!$AK:$AK))</f>
        <v>0</v>
      </c>
      <c r="AC40" s="17">
        <f ca="1">IF($A40=0,0,SUMIF('Week 1 Roster'!$AZ:$AZ,$B40,'Week 1 Roster'!$AM:$AM))</f>
        <v>0</v>
      </c>
      <c r="AD40" s="17">
        <f ca="1">IF($A40=0,0,SUMIF('Week 1 Roster'!$AZ:$AZ,$B40,'Week 1 Roster'!$AO:$AO))</f>
        <v>0</v>
      </c>
      <c r="AE40" s="38">
        <f ca="1">IF($A40=0,0,SUMIF('Week 1 Roster'!$AZ:$AZ,$B40,'Week 1 Roster'!$AP:$AP))</f>
        <v>0</v>
      </c>
      <c r="AF40" s="17">
        <f ca="1">IF($A40=0,0,SUMIF('Week 1 Roster'!$AZ:$AZ,$B40,'Week 1 Roster'!$AQ:$AQ))</f>
        <v>0</v>
      </c>
      <c r="AG40" s="17">
        <f ca="1">IF($A40=0,0,SUMIF('Week 1 Roster'!$AZ:$AZ,$B40,'Week 1 Roster'!$AR:$AR))</f>
        <v>0</v>
      </c>
      <c r="AH40" s="17">
        <f ca="1">IF($A40=0,0,SUMIF('Week 1 Roster'!$AZ:$AZ,$B40,'Week 1 Roster'!$AS:$AS))</f>
        <v>0</v>
      </c>
      <c r="AI40" s="17">
        <f t="shared" ca="1" si="22"/>
        <v>0</v>
      </c>
      <c r="AK40" s="17">
        <f ca="1">IF($A40=0,0,SUMIF('Week 2 Roster'!$AZ:$AZ,$B40,'Week 2 Roster'!$AE:$AE))</f>
        <v>0</v>
      </c>
      <c r="AL40" s="17">
        <f ca="1">IF($A40=0,0,SUMIF('Week 2 Roster'!$AZ:$AZ,$B40,'Week 2 Roster'!$AG:$AG))</f>
        <v>0</v>
      </c>
      <c r="AM40" s="17">
        <f ca="1">IF($A40=0,0,SUMIF('Week 2 Roster'!$AZ:$AZ,$B40,'Week 2 Roster'!$AI:$AI))</f>
        <v>0</v>
      </c>
      <c r="AN40" s="17">
        <f ca="1">IF($A40=0,0,SUMIF('Week 2 Roster'!$AZ:$AZ,$B40,'Week 2 Roster'!$AK:$AK))</f>
        <v>0</v>
      </c>
      <c r="AO40" s="17">
        <f ca="1">IF($A40=0,0,SUMIF('Week 2 Roster'!$AZ:$AZ,$B40,'Week 2 Roster'!$AM:$AM))</f>
        <v>0</v>
      </c>
      <c r="AP40" s="17">
        <f ca="1">IF($A40=0,0,SUMIF('Week 2 Roster'!$AZ:$AZ,$B40,'Week 2 Roster'!$AO:$AO))</f>
        <v>0</v>
      </c>
      <c r="AQ40" s="38">
        <f ca="1">IF($A40=0,0,SUMIF('Week 2 Roster'!$AZ:$AZ,$B40,'Week 2 Roster'!$AP:$AP))</f>
        <v>0</v>
      </c>
      <c r="AR40" s="17">
        <f ca="1">IF($A40=0,0,SUMIF('Week 2 Roster'!$AZ:$AZ,$B40,'Week 2 Roster'!$AQ:$AQ))</f>
        <v>0</v>
      </c>
      <c r="AS40" s="17">
        <f ca="1">IF($A40=0,0,SUMIF('Week 2 Roster'!$AZ:$AZ,$B40,'Week 2 Roster'!$AR:$AR))</f>
        <v>0</v>
      </c>
      <c r="AT40" s="17">
        <f ca="1">IF($A40=0,0,SUMIF('Week 2 Roster'!$AZ:$AZ,$B40,'Week 2 Roster'!$AS:$AS))</f>
        <v>0</v>
      </c>
      <c r="AU40" s="17">
        <f t="shared" ca="1" si="23"/>
        <v>0</v>
      </c>
      <c r="AV40" s="17"/>
      <c r="AW40" s="25" t="str">
        <f>'Week 1 Roster'!A40</f>
        <v/>
      </c>
      <c r="AX40" s="25" t="str">
        <f>'Week 2 Roster'!A40</f>
        <v/>
      </c>
    </row>
    <row r="41" spans="1:50">
      <c r="A41" s="16" cm="1">
        <f t="array" aca="1" ref="A41" ca="1">_xlfn.NUMBERVALUE(INDIRECT(TEXT(MIN(IF(($AW$2:$AX$300&lt;&gt;"")*(COUNTIF($B$1:B40,$AW$2:$AX$300)=0),ROW($2:$300)*100+COLUMN($AW:$AX),7^8)),"R0C00"),)&amp;"")</f>
        <v>0</v>
      </c>
      <c r="B41" s="28" t="str">
        <f t="shared" ca="1" si="9"/>
        <v/>
      </c>
      <c r="C41" s="28" t="str">
        <f ca="1">IF($A41=0,"",VLOOKUP($B41,Employees!$A:$G,2,FALSE))</f>
        <v/>
      </c>
      <c r="D41" s="28" t="str">
        <f ca="1">IF($A41=0,"",VLOOKUP($B41,Employees!$A:$G,3,FALSE))</f>
        <v/>
      </c>
      <c r="E41" s="26" t="str">
        <f ca="1">IF($A41=0,"",VLOOKUP($B41,Employees!$A:$G,5,FALSE))</f>
        <v/>
      </c>
      <c r="F41" s="13" t="str">
        <f ca="1">IF($E41="","",ROUNDDOWN(YEARFRAC($E41, 'Week 1 Roster'!$D$1-1, 1), 0))</f>
        <v/>
      </c>
      <c r="G41" s="13" t="str">
        <f ca="1">IF($E41="","",ROUNDDOWN(YEARFRAC($E41, 'Week 1 Roster'!$D$1+14, 1), 0))</f>
        <v/>
      </c>
      <c r="H41" s="13" t="str">
        <f t="shared" ca="1" si="10"/>
        <v/>
      </c>
      <c r="I41" s="13" t="str">
        <f ca="1">IF($A41=0,"",VLOOKUP($B41,Employees!$A:$G,6,FALSE))</f>
        <v/>
      </c>
      <c r="J41" s="13" t="str">
        <f ca="1">IF($A41=0,"",VLOOKUP($B41,Employees!$A:$G,7,FALSE))</f>
        <v/>
      </c>
      <c r="K41" s="13" t="str">
        <f ca="1">IF($A41=0,"",IF(ISNA(VLOOKUP(A41,'Week 1 Roster'!A:C,2,0)),VLOOKUP(A41,'Week 2 Roster'!A:C,2,0),VLOOKUP(A41,'Week 1 Roster'!A:C,2,0)))</f>
        <v/>
      </c>
      <c r="L41" s="13" t="str">
        <f ca="1">IF($A41=0,"",VLOOKUP(K41,Stores!A:B,2,0))</f>
        <v/>
      </c>
      <c r="M41" s="14">
        <f t="shared" ca="1" si="11"/>
        <v>0</v>
      </c>
      <c r="N41" s="14">
        <f t="shared" ca="1" si="12"/>
        <v>0</v>
      </c>
      <c r="O41" s="14">
        <f t="shared" ca="1" si="13"/>
        <v>0</v>
      </c>
      <c r="P41" s="14">
        <f t="shared" ca="1" si="14"/>
        <v>0</v>
      </c>
      <c r="Q41" s="14">
        <f t="shared" ca="1" si="15"/>
        <v>0</v>
      </c>
      <c r="R41" s="14">
        <f t="shared" ca="1" si="16"/>
        <v>0</v>
      </c>
      <c r="S41" s="28">
        <f t="shared" ca="1" si="17"/>
        <v>0</v>
      </c>
      <c r="T41" s="14">
        <f t="shared" ca="1" si="18"/>
        <v>0</v>
      </c>
      <c r="U41" s="14">
        <f t="shared" ca="1" si="19"/>
        <v>0</v>
      </c>
      <c r="V41" s="14">
        <f t="shared" ca="1" si="20"/>
        <v>0</v>
      </c>
      <c r="W41" s="14">
        <f t="shared" ca="1" si="21"/>
        <v>0</v>
      </c>
      <c r="Y41" s="17">
        <f ca="1">IF($A41=0,0,SUMIF('Week 1 Roster'!$AZ:$AZ,$B41,'Week 1 Roster'!$AE:$AE))</f>
        <v>0</v>
      </c>
      <c r="Z41" s="17">
        <f ca="1">IF($A41=0,0,SUMIF('Week 1 Roster'!$AZ:$AZ,$B41,'Week 1 Roster'!$AG:$AG))</f>
        <v>0</v>
      </c>
      <c r="AA41" s="17">
        <f ca="1">IF($A41=0,0,SUMIF('Week 1 Roster'!$AZ:$AZ,$B41,'Week 1 Roster'!$AI:$AI))</f>
        <v>0</v>
      </c>
      <c r="AB41" s="17">
        <f ca="1">IF($A41=0,0,SUMIF('Week 1 Roster'!$AZ:$AZ,$B41,'Week 1 Roster'!$AK:$AK))</f>
        <v>0</v>
      </c>
      <c r="AC41" s="17">
        <f ca="1">IF($A41=0,0,SUMIF('Week 1 Roster'!$AZ:$AZ,$B41,'Week 1 Roster'!$AM:$AM))</f>
        <v>0</v>
      </c>
      <c r="AD41" s="17">
        <f ca="1">IF($A41=0,0,SUMIF('Week 1 Roster'!$AZ:$AZ,$B41,'Week 1 Roster'!$AO:$AO))</f>
        <v>0</v>
      </c>
      <c r="AE41" s="38">
        <f ca="1">IF($A41=0,0,SUMIF('Week 1 Roster'!$AZ:$AZ,$B41,'Week 1 Roster'!$AP:$AP))</f>
        <v>0</v>
      </c>
      <c r="AF41" s="17">
        <f ca="1">IF($A41=0,0,SUMIF('Week 1 Roster'!$AZ:$AZ,$B41,'Week 1 Roster'!$AQ:$AQ))</f>
        <v>0</v>
      </c>
      <c r="AG41" s="17">
        <f ca="1">IF($A41=0,0,SUMIF('Week 1 Roster'!$AZ:$AZ,$B41,'Week 1 Roster'!$AR:$AR))</f>
        <v>0</v>
      </c>
      <c r="AH41" s="17">
        <f ca="1">IF($A41=0,0,SUMIF('Week 1 Roster'!$AZ:$AZ,$B41,'Week 1 Roster'!$AS:$AS))</f>
        <v>0</v>
      </c>
      <c r="AI41" s="17">
        <f t="shared" ca="1" si="22"/>
        <v>0</v>
      </c>
      <c r="AK41" s="17">
        <f ca="1">IF($A41=0,0,SUMIF('Week 2 Roster'!$AZ:$AZ,$B41,'Week 2 Roster'!$AE:$AE))</f>
        <v>0</v>
      </c>
      <c r="AL41" s="17">
        <f ca="1">IF($A41=0,0,SUMIF('Week 2 Roster'!$AZ:$AZ,$B41,'Week 2 Roster'!$AG:$AG))</f>
        <v>0</v>
      </c>
      <c r="AM41" s="17">
        <f ca="1">IF($A41=0,0,SUMIF('Week 2 Roster'!$AZ:$AZ,$B41,'Week 2 Roster'!$AI:$AI))</f>
        <v>0</v>
      </c>
      <c r="AN41" s="17">
        <f ca="1">IF($A41=0,0,SUMIF('Week 2 Roster'!$AZ:$AZ,$B41,'Week 2 Roster'!$AK:$AK))</f>
        <v>0</v>
      </c>
      <c r="AO41" s="17">
        <f ca="1">IF($A41=0,0,SUMIF('Week 2 Roster'!$AZ:$AZ,$B41,'Week 2 Roster'!$AM:$AM))</f>
        <v>0</v>
      </c>
      <c r="AP41" s="17">
        <f ca="1">IF($A41=0,0,SUMIF('Week 2 Roster'!$AZ:$AZ,$B41,'Week 2 Roster'!$AO:$AO))</f>
        <v>0</v>
      </c>
      <c r="AQ41" s="38">
        <f ca="1">IF($A41=0,0,SUMIF('Week 2 Roster'!$AZ:$AZ,$B41,'Week 2 Roster'!$AP:$AP))</f>
        <v>0</v>
      </c>
      <c r="AR41" s="17">
        <f ca="1">IF($A41=0,0,SUMIF('Week 2 Roster'!$AZ:$AZ,$B41,'Week 2 Roster'!$AQ:$AQ))</f>
        <v>0</v>
      </c>
      <c r="AS41" s="17">
        <f ca="1">IF($A41=0,0,SUMIF('Week 2 Roster'!$AZ:$AZ,$B41,'Week 2 Roster'!$AR:$AR))</f>
        <v>0</v>
      </c>
      <c r="AT41" s="17">
        <f ca="1">IF($A41=0,0,SUMIF('Week 2 Roster'!$AZ:$AZ,$B41,'Week 2 Roster'!$AS:$AS))</f>
        <v>0</v>
      </c>
      <c r="AU41" s="17">
        <f t="shared" ca="1" si="23"/>
        <v>0</v>
      </c>
      <c r="AV41" s="17"/>
      <c r="AW41" s="25" t="str">
        <f>'Week 1 Roster'!A41</f>
        <v/>
      </c>
      <c r="AX41" s="25" t="str">
        <f>'Week 2 Roster'!A41</f>
        <v/>
      </c>
    </row>
    <row r="42" spans="1:50">
      <c r="A42" s="16" cm="1">
        <f t="array" aca="1" ref="A42" ca="1">_xlfn.NUMBERVALUE(INDIRECT(TEXT(MIN(IF(($AW$2:$AX$300&lt;&gt;"")*(COUNTIF($B$1:B41,$AW$2:$AX$300)=0),ROW($2:$300)*100+COLUMN($AW:$AX),7^8)),"R0C00"),)&amp;"")</f>
        <v>0</v>
      </c>
      <c r="B42" s="28" t="str">
        <f t="shared" ca="1" si="9"/>
        <v/>
      </c>
      <c r="C42" s="28" t="str">
        <f ca="1">IF($A42=0,"",VLOOKUP($B42,Employees!$A:$G,2,FALSE))</f>
        <v/>
      </c>
      <c r="D42" s="28" t="str">
        <f ca="1">IF($A42=0,"",VLOOKUP($B42,Employees!$A:$G,3,FALSE))</f>
        <v/>
      </c>
      <c r="E42" s="26" t="str">
        <f ca="1">IF($A42=0,"",VLOOKUP($B42,Employees!$A:$G,5,FALSE))</f>
        <v/>
      </c>
      <c r="F42" s="13" t="str">
        <f ca="1">IF($E42="","",ROUNDDOWN(YEARFRAC($E42, 'Week 1 Roster'!$D$1-1, 1), 0))</f>
        <v/>
      </c>
      <c r="G42" s="13" t="str">
        <f ca="1">IF($E42="","",ROUNDDOWN(YEARFRAC($E42, 'Week 1 Roster'!$D$1+14, 1), 0))</f>
        <v/>
      </c>
      <c r="H42" s="13" t="str">
        <f t="shared" ca="1" si="10"/>
        <v/>
      </c>
      <c r="I42" s="13" t="str">
        <f ca="1">IF($A42=0,"",VLOOKUP($B42,Employees!$A:$G,6,FALSE))</f>
        <v/>
      </c>
      <c r="J42" s="13" t="str">
        <f ca="1">IF($A42=0,"",VLOOKUP($B42,Employees!$A:$G,7,FALSE))</f>
        <v/>
      </c>
      <c r="K42" s="13" t="str">
        <f ca="1">IF($A42=0,"",IF(ISNA(VLOOKUP(A42,'Week 1 Roster'!A:C,2,0)),VLOOKUP(A42,'Week 2 Roster'!A:C,2,0),VLOOKUP(A42,'Week 1 Roster'!A:C,2,0)))</f>
        <v/>
      </c>
      <c r="L42" s="13" t="str">
        <f ca="1">IF($A42=0,"",VLOOKUP(K42,Stores!A:B,2,0))</f>
        <v/>
      </c>
      <c r="M42" s="14">
        <f t="shared" ca="1" si="11"/>
        <v>0</v>
      </c>
      <c r="N42" s="14">
        <f t="shared" ca="1" si="12"/>
        <v>0</v>
      </c>
      <c r="O42" s="14">
        <f t="shared" ca="1" si="13"/>
        <v>0</v>
      </c>
      <c r="P42" s="14">
        <f t="shared" ca="1" si="14"/>
        <v>0</v>
      </c>
      <c r="Q42" s="14">
        <f t="shared" ca="1" si="15"/>
        <v>0</v>
      </c>
      <c r="R42" s="14">
        <f t="shared" ca="1" si="16"/>
        <v>0</v>
      </c>
      <c r="S42" s="28">
        <f t="shared" ca="1" si="17"/>
        <v>0</v>
      </c>
      <c r="T42" s="14">
        <f t="shared" ca="1" si="18"/>
        <v>0</v>
      </c>
      <c r="U42" s="14">
        <f t="shared" ca="1" si="19"/>
        <v>0</v>
      </c>
      <c r="V42" s="14">
        <f t="shared" ca="1" si="20"/>
        <v>0</v>
      </c>
      <c r="W42" s="14">
        <f t="shared" ca="1" si="21"/>
        <v>0</v>
      </c>
      <c r="Y42" s="17">
        <f ca="1">IF($A42=0,0,SUMIF('Week 1 Roster'!$AZ:$AZ,$B42,'Week 1 Roster'!$AE:$AE))</f>
        <v>0</v>
      </c>
      <c r="Z42" s="17">
        <f ca="1">IF($A42=0,0,SUMIF('Week 1 Roster'!$AZ:$AZ,$B42,'Week 1 Roster'!$AG:$AG))</f>
        <v>0</v>
      </c>
      <c r="AA42" s="17">
        <f ca="1">IF($A42=0,0,SUMIF('Week 1 Roster'!$AZ:$AZ,$B42,'Week 1 Roster'!$AI:$AI))</f>
        <v>0</v>
      </c>
      <c r="AB42" s="17">
        <f ca="1">IF($A42=0,0,SUMIF('Week 1 Roster'!$AZ:$AZ,$B42,'Week 1 Roster'!$AK:$AK))</f>
        <v>0</v>
      </c>
      <c r="AC42" s="17">
        <f ca="1">IF($A42=0,0,SUMIF('Week 1 Roster'!$AZ:$AZ,$B42,'Week 1 Roster'!$AM:$AM))</f>
        <v>0</v>
      </c>
      <c r="AD42" s="17">
        <f ca="1">IF($A42=0,0,SUMIF('Week 1 Roster'!$AZ:$AZ,$B42,'Week 1 Roster'!$AO:$AO))</f>
        <v>0</v>
      </c>
      <c r="AE42" s="38">
        <f ca="1">IF($A42=0,0,SUMIF('Week 1 Roster'!$AZ:$AZ,$B42,'Week 1 Roster'!$AP:$AP))</f>
        <v>0</v>
      </c>
      <c r="AF42" s="17">
        <f ca="1">IF($A42=0,0,SUMIF('Week 1 Roster'!$AZ:$AZ,$B42,'Week 1 Roster'!$AQ:$AQ))</f>
        <v>0</v>
      </c>
      <c r="AG42" s="17">
        <f ca="1">IF($A42=0,0,SUMIF('Week 1 Roster'!$AZ:$AZ,$B42,'Week 1 Roster'!$AR:$AR))</f>
        <v>0</v>
      </c>
      <c r="AH42" s="17">
        <f ca="1">IF($A42=0,0,SUMIF('Week 1 Roster'!$AZ:$AZ,$B42,'Week 1 Roster'!$AS:$AS))</f>
        <v>0</v>
      </c>
      <c r="AI42" s="17">
        <f t="shared" ca="1" si="22"/>
        <v>0</v>
      </c>
      <c r="AK42" s="17">
        <f ca="1">IF($A42=0,0,SUMIF('Week 2 Roster'!$AZ:$AZ,$B42,'Week 2 Roster'!$AE:$AE))</f>
        <v>0</v>
      </c>
      <c r="AL42" s="17">
        <f ca="1">IF($A42=0,0,SUMIF('Week 2 Roster'!$AZ:$AZ,$B42,'Week 2 Roster'!$AG:$AG))</f>
        <v>0</v>
      </c>
      <c r="AM42" s="17">
        <f ca="1">IF($A42=0,0,SUMIF('Week 2 Roster'!$AZ:$AZ,$B42,'Week 2 Roster'!$AI:$AI))</f>
        <v>0</v>
      </c>
      <c r="AN42" s="17">
        <f ca="1">IF($A42=0,0,SUMIF('Week 2 Roster'!$AZ:$AZ,$B42,'Week 2 Roster'!$AK:$AK))</f>
        <v>0</v>
      </c>
      <c r="AO42" s="17">
        <f ca="1">IF($A42=0,0,SUMIF('Week 2 Roster'!$AZ:$AZ,$B42,'Week 2 Roster'!$AM:$AM))</f>
        <v>0</v>
      </c>
      <c r="AP42" s="17">
        <f ca="1">IF($A42=0,0,SUMIF('Week 2 Roster'!$AZ:$AZ,$B42,'Week 2 Roster'!$AO:$AO))</f>
        <v>0</v>
      </c>
      <c r="AQ42" s="38">
        <f ca="1">IF($A42=0,0,SUMIF('Week 2 Roster'!$AZ:$AZ,$B42,'Week 2 Roster'!$AP:$AP))</f>
        <v>0</v>
      </c>
      <c r="AR42" s="17">
        <f ca="1">IF($A42=0,0,SUMIF('Week 2 Roster'!$AZ:$AZ,$B42,'Week 2 Roster'!$AQ:$AQ))</f>
        <v>0</v>
      </c>
      <c r="AS42" s="17">
        <f ca="1">IF($A42=0,0,SUMIF('Week 2 Roster'!$AZ:$AZ,$B42,'Week 2 Roster'!$AR:$AR))</f>
        <v>0</v>
      </c>
      <c r="AT42" s="17">
        <f ca="1">IF($A42=0,0,SUMIF('Week 2 Roster'!$AZ:$AZ,$B42,'Week 2 Roster'!$AS:$AS))</f>
        <v>0</v>
      </c>
      <c r="AU42" s="17">
        <f t="shared" ca="1" si="23"/>
        <v>0</v>
      </c>
      <c r="AV42" s="17"/>
      <c r="AW42" s="25" t="str">
        <f>'Week 1 Roster'!A42</f>
        <v/>
      </c>
      <c r="AX42" s="25" t="str">
        <f>'Week 2 Roster'!A42</f>
        <v/>
      </c>
    </row>
    <row r="43" spans="1:50">
      <c r="A43" s="16" cm="1">
        <f t="array" aca="1" ref="A43" ca="1">_xlfn.NUMBERVALUE(INDIRECT(TEXT(MIN(IF(($AW$2:$AX$300&lt;&gt;"")*(COUNTIF($B$1:B42,$AW$2:$AX$300)=0),ROW($2:$300)*100+COLUMN($AW:$AX),7^8)),"R0C00"),)&amp;"")</f>
        <v>0</v>
      </c>
      <c r="B43" s="28" t="str">
        <f t="shared" ca="1" si="9"/>
        <v/>
      </c>
      <c r="C43" s="28" t="str">
        <f ca="1">IF($A43=0,"",VLOOKUP($B43,Employees!$A:$G,2,FALSE))</f>
        <v/>
      </c>
      <c r="D43" s="28" t="str">
        <f ca="1">IF($A43=0,"",VLOOKUP($B43,Employees!$A:$G,3,FALSE))</f>
        <v/>
      </c>
      <c r="E43" s="26" t="str">
        <f ca="1">IF($A43=0,"",VLOOKUP($B43,Employees!$A:$G,5,FALSE))</f>
        <v/>
      </c>
      <c r="F43" s="13" t="str">
        <f ca="1">IF($E43="","",ROUNDDOWN(YEARFRAC($E43, 'Week 1 Roster'!$D$1-1, 1), 0))</f>
        <v/>
      </c>
      <c r="G43" s="13" t="str">
        <f ca="1">IF($E43="","",ROUNDDOWN(YEARFRAC($E43, 'Week 1 Roster'!$D$1+14, 1), 0))</f>
        <v/>
      </c>
      <c r="H43" s="13" t="str">
        <f t="shared" ca="1" si="10"/>
        <v/>
      </c>
      <c r="I43" s="13" t="str">
        <f ca="1">IF($A43=0,"",VLOOKUP($B43,Employees!$A:$G,6,FALSE))</f>
        <v/>
      </c>
      <c r="J43" s="13" t="str">
        <f ca="1">IF($A43=0,"",VLOOKUP($B43,Employees!$A:$G,7,FALSE))</f>
        <v/>
      </c>
      <c r="K43" s="13" t="str">
        <f ca="1">IF($A43=0,"",IF(ISNA(VLOOKUP(A43,'Week 1 Roster'!A:C,2,0)),VLOOKUP(A43,'Week 2 Roster'!A:C,2,0),VLOOKUP(A43,'Week 1 Roster'!A:C,2,0)))</f>
        <v/>
      </c>
      <c r="L43" s="13" t="str">
        <f ca="1">IF($A43=0,"",VLOOKUP(K43,Stores!A:B,2,0))</f>
        <v/>
      </c>
      <c r="M43" s="14">
        <f t="shared" ca="1" si="11"/>
        <v>0</v>
      </c>
      <c r="N43" s="14">
        <f t="shared" ca="1" si="12"/>
        <v>0</v>
      </c>
      <c r="O43" s="14">
        <f t="shared" ca="1" si="13"/>
        <v>0</v>
      </c>
      <c r="P43" s="14">
        <f t="shared" ca="1" si="14"/>
        <v>0</v>
      </c>
      <c r="Q43" s="14">
        <f t="shared" ca="1" si="15"/>
        <v>0</v>
      </c>
      <c r="R43" s="14">
        <f t="shared" ca="1" si="16"/>
        <v>0</v>
      </c>
      <c r="S43" s="28">
        <f t="shared" ca="1" si="17"/>
        <v>0</v>
      </c>
      <c r="T43" s="14">
        <f t="shared" ca="1" si="18"/>
        <v>0</v>
      </c>
      <c r="U43" s="14">
        <f t="shared" ca="1" si="19"/>
        <v>0</v>
      </c>
      <c r="V43" s="14">
        <f t="shared" ca="1" si="20"/>
        <v>0</v>
      </c>
      <c r="W43" s="14">
        <f t="shared" ca="1" si="21"/>
        <v>0</v>
      </c>
      <c r="Y43" s="17">
        <f ca="1">IF($A43=0,0,SUMIF('Week 1 Roster'!$AZ:$AZ,$B43,'Week 1 Roster'!$AE:$AE))</f>
        <v>0</v>
      </c>
      <c r="Z43" s="17">
        <f ca="1">IF($A43=0,0,SUMIF('Week 1 Roster'!$AZ:$AZ,$B43,'Week 1 Roster'!$AG:$AG))</f>
        <v>0</v>
      </c>
      <c r="AA43" s="17">
        <f ca="1">IF($A43=0,0,SUMIF('Week 1 Roster'!$AZ:$AZ,$B43,'Week 1 Roster'!$AI:$AI))</f>
        <v>0</v>
      </c>
      <c r="AB43" s="17">
        <f ca="1">IF($A43=0,0,SUMIF('Week 1 Roster'!$AZ:$AZ,$B43,'Week 1 Roster'!$AK:$AK))</f>
        <v>0</v>
      </c>
      <c r="AC43" s="17">
        <f ca="1">IF($A43=0,0,SUMIF('Week 1 Roster'!$AZ:$AZ,$B43,'Week 1 Roster'!$AM:$AM))</f>
        <v>0</v>
      </c>
      <c r="AD43" s="17">
        <f ca="1">IF($A43=0,0,SUMIF('Week 1 Roster'!$AZ:$AZ,$B43,'Week 1 Roster'!$AO:$AO))</f>
        <v>0</v>
      </c>
      <c r="AE43" s="38">
        <f ca="1">IF($A43=0,0,SUMIF('Week 1 Roster'!$AZ:$AZ,$B43,'Week 1 Roster'!$AP:$AP))</f>
        <v>0</v>
      </c>
      <c r="AF43" s="17">
        <f ca="1">IF($A43=0,0,SUMIF('Week 1 Roster'!$AZ:$AZ,$B43,'Week 1 Roster'!$AQ:$AQ))</f>
        <v>0</v>
      </c>
      <c r="AG43" s="17">
        <f ca="1">IF($A43=0,0,SUMIF('Week 1 Roster'!$AZ:$AZ,$B43,'Week 1 Roster'!$AR:$AR))</f>
        <v>0</v>
      </c>
      <c r="AH43" s="17">
        <f ca="1">IF($A43=0,0,SUMIF('Week 1 Roster'!$AZ:$AZ,$B43,'Week 1 Roster'!$AS:$AS))</f>
        <v>0</v>
      </c>
      <c r="AI43" s="17">
        <f t="shared" ca="1" si="22"/>
        <v>0</v>
      </c>
      <c r="AK43" s="17">
        <f ca="1">IF($A43=0,0,SUMIF('Week 2 Roster'!$AZ:$AZ,$B43,'Week 2 Roster'!$AE:$AE))</f>
        <v>0</v>
      </c>
      <c r="AL43" s="17">
        <f ca="1">IF($A43=0,0,SUMIF('Week 2 Roster'!$AZ:$AZ,$B43,'Week 2 Roster'!$AG:$AG))</f>
        <v>0</v>
      </c>
      <c r="AM43" s="17">
        <f ca="1">IF($A43=0,0,SUMIF('Week 2 Roster'!$AZ:$AZ,$B43,'Week 2 Roster'!$AI:$AI))</f>
        <v>0</v>
      </c>
      <c r="AN43" s="17">
        <f ca="1">IF($A43=0,0,SUMIF('Week 2 Roster'!$AZ:$AZ,$B43,'Week 2 Roster'!$AK:$AK))</f>
        <v>0</v>
      </c>
      <c r="AO43" s="17">
        <f ca="1">IF($A43=0,0,SUMIF('Week 2 Roster'!$AZ:$AZ,$B43,'Week 2 Roster'!$AM:$AM))</f>
        <v>0</v>
      </c>
      <c r="AP43" s="17">
        <f ca="1">IF($A43=0,0,SUMIF('Week 2 Roster'!$AZ:$AZ,$B43,'Week 2 Roster'!$AO:$AO))</f>
        <v>0</v>
      </c>
      <c r="AQ43" s="38">
        <f ca="1">IF($A43=0,0,SUMIF('Week 2 Roster'!$AZ:$AZ,$B43,'Week 2 Roster'!$AP:$AP))</f>
        <v>0</v>
      </c>
      <c r="AR43" s="17">
        <f ca="1">IF($A43=0,0,SUMIF('Week 2 Roster'!$AZ:$AZ,$B43,'Week 2 Roster'!$AQ:$AQ))</f>
        <v>0</v>
      </c>
      <c r="AS43" s="17">
        <f ca="1">IF($A43=0,0,SUMIF('Week 2 Roster'!$AZ:$AZ,$B43,'Week 2 Roster'!$AR:$AR))</f>
        <v>0</v>
      </c>
      <c r="AT43" s="17">
        <f ca="1">IF($A43=0,0,SUMIF('Week 2 Roster'!$AZ:$AZ,$B43,'Week 2 Roster'!$AS:$AS))</f>
        <v>0</v>
      </c>
      <c r="AU43" s="17">
        <f t="shared" ca="1" si="23"/>
        <v>0</v>
      </c>
      <c r="AV43" s="17"/>
      <c r="AW43" s="25" t="str">
        <f>'Week 1 Roster'!A43</f>
        <v/>
      </c>
      <c r="AX43" s="25" t="str">
        <f>'Week 2 Roster'!A43</f>
        <v/>
      </c>
    </row>
    <row r="44" spans="1:50">
      <c r="A44" s="16" cm="1">
        <f t="array" aca="1" ref="A44" ca="1">_xlfn.NUMBERVALUE(INDIRECT(TEXT(MIN(IF(($AW$2:$AX$300&lt;&gt;"")*(COUNTIF($B$1:B43,$AW$2:$AX$300)=0),ROW($2:$300)*100+COLUMN($AW:$AX),7^8)),"R0C00"),)&amp;"")</f>
        <v>0</v>
      </c>
      <c r="B44" s="28" t="str">
        <f t="shared" ca="1" si="9"/>
        <v/>
      </c>
      <c r="C44" s="28" t="str">
        <f ca="1">IF($A44=0,"",VLOOKUP($B44,Employees!$A:$G,2,FALSE))</f>
        <v/>
      </c>
      <c r="D44" s="28" t="str">
        <f ca="1">IF($A44=0,"",VLOOKUP($B44,Employees!$A:$G,3,FALSE))</f>
        <v/>
      </c>
      <c r="E44" s="26" t="str">
        <f ca="1">IF($A44=0,"",VLOOKUP($B44,Employees!$A:$G,5,FALSE))</f>
        <v/>
      </c>
      <c r="F44" s="13" t="str">
        <f ca="1">IF($E44="","",ROUNDDOWN(YEARFRAC($E44, 'Week 1 Roster'!$D$1-1, 1), 0))</f>
        <v/>
      </c>
      <c r="G44" s="13" t="str">
        <f ca="1">IF($E44="","",ROUNDDOWN(YEARFRAC($E44, 'Week 1 Roster'!$D$1+14, 1), 0))</f>
        <v/>
      </c>
      <c r="H44" s="13" t="str">
        <f t="shared" ca="1" si="10"/>
        <v/>
      </c>
      <c r="I44" s="13" t="str">
        <f ca="1">IF($A44=0,"",VLOOKUP($B44,Employees!$A:$G,6,FALSE))</f>
        <v/>
      </c>
      <c r="J44" s="13" t="str">
        <f ca="1">IF($A44=0,"",VLOOKUP($B44,Employees!$A:$G,7,FALSE))</f>
        <v/>
      </c>
      <c r="K44" s="13" t="str">
        <f ca="1">IF($A44=0,"",IF(ISNA(VLOOKUP(A44,'Week 1 Roster'!A:C,2,0)),VLOOKUP(A44,'Week 2 Roster'!A:C,2,0),VLOOKUP(A44,'Week 1 Roster'!A:C,2,0)))</f>
        <v/>
      </c>
      <c r="L44" s="13" t="str">
        <f ca="1">IF($A44=0,"",VLOOKUP(K44,Stores!A:B,2,0))</f>
        <v/>
      </c>
      <c r="M44" s="14">
        <f t="shared" ca="1" si="11"/>
        <v>0</v>
      </c>
      <c r="N44" s="14">
        <f t="shared" ca="1" si="12"/>
        <v>0</v>
      </c>
      <c r="O44" s="14">
        <f t="shared" ca="1" si="13"/>
        <v>0</v>
      </c>
      <c r="P44" s="14">
        <f t="shared" ca="1" si="14"/>
        <v>0</v>
      </c>
      <c r="Q44" s="14">
        <f t="shared" ca="1" si="15"/>
        <v>0</v>
      </c>
      <c r="R44" s="14">
        <f t="shared" ca="1" si="16"/>
        <v>0</v>
      </c>
      <c r="S44" s="28">
        <f t="shared" ca="1" si="17"/>
        <v>0</v>
      </c>
      <c r="T44" s="14">
        <f t="shared" ca="1" si="18"/>
        <v>0</v>
      </c>
      <c r="U44" s="14">
        <f t="shared" ca="1" si="19"/>
        <v>0</v>
      </c>
      <c r="V44" s="14">
        <f t="shared" ca="1" si="20"/>
        <v>0</v>
      </c>
      <c r="W44" s="14">
        <f t="shared" ca="1" si="21"/>
        <v>0</v>
      </c>
      <c r="Y44" s="17">
        <f ca="1">IF($A44=0,0,SUMIF('Week 1 Roster'!$AZ:$AZ,$B44,'Week 1 Roster'!$AE:$AE))</f>
        <v>0</v>
      </c>
      <c r="Z44" s="17">
        <f ca="1">IF($A44=0,0,SUMIF('Week 1 Roster'!$AZ:$AZ,$B44,'Week 1 Roster'!$AG:$AG))</f>
        <v>0</v>
      </c>
      <c r="AA44" s="17">
        <f ca="1">IF($A44=0,0,SUMIF('Week 1 Roster'!$AZ:$AZ,$B44,'Week 1 Roster'!$AI:$AI))</f>
        <v>0</v>
      </c>
      <c r="AB44" s="17">
        <f ca="1">IF($A44=0,0,SUMIF('Week 1 Roster'!$AZ:$AZ,$B44,'Week 1 Roster'!$AK:$AK))</f>
        <v>0</v>
      </c>
      <c r="AC44" s="17">
        <f ca="1">IF($A44=0,0,SUMIF('Week 1 Roster'!$AZ:$AZ,$B44,'Week 1 Roster'!$AM:$AM))</f>
        <v>0</v>
      </c>
      <c r="AD44" s="17">
        <f ca="1">IF($A44=0,0,SUMIF('Week 1 Roster'!$AZ:$AZ,$B44,'Week 1 Roster'!$AO:$AO))</f>
        <v>0</v>
      </c>
      <c r="AE44" s="38">
        <f ca="1">IF($A44=0,0,SUMIF('Week 1 Roster'!$AZ:$AZ,$B44,'Week 1 Roster'!$AP:$AP))</f>
        <v>0</v>
      </c>
      <c r="AF44" s="17">
        <f ca="1">IF($A44=0,0,SUMIF('Week 1 Roster'!$AZ:$AZ,$B44,'Week 1 Roster'!$AQ:$AQ))</f>
        <v>0</v>
      </c>
      <c r="AG44" s="17">
        <f ca="1">IF($A44=0,0,SUMIF('Week 1 Roster'!$AZ:$AZ,$B44,'Week 1 Roster'!$AR:$AR))</f>
        <v>0</v>
      </c>
      <c r="AH44" s="17">
        <f ca="1">IF($A44=0,0,SUMIF('Week 1 Roster'!$AZ:$AZ,$B44,'Week 1 Roster'!$AS:$AS))</f>
        <v>0</v>
      </c>
      <c r="AI44" s="17">
        <f t="shared" ca="1" si="22"/>
        <v>0</v>
      </c>
      <c r="AK44" s="17">
        <f ca="1">IF($A44=0,0,SUMIF('Week 2 Roster'!$AZ:$AZ,$B44,'Week 2 Roster'!$AE:$AE))</f>
        <v>0</v>
      </c>
      <c r="AL44" s="17">
        <f ca="1">IF($A44=0,0,SUMIF('Week 2 Roster'!$AZ:$AZ,$B44,'Week 2 Roster'!$AG:$AG))</f>
        <v>0</v>
      </c>
      <c r="AM44" s="17">
        <f ca="1">IF($A44=0,0,SUMIF('Week 2 Roster'!$AZ:$AZ,$B44,'Week 2 Roster'!$AI:$AI))</f>
        <v>0</v>
      </c>
      <c r="AN44" s="17">
        <f ca="1">IF($A44=0,0,SUMIF('Week 2 Roster'!$AZ:$AZ,$B44,'Week 2 Roster'!$AK:$AK))</f>
        <v>0</v>
      </c>
      <c r="AO44" s="17">
        <f ca="1">IF($A44=0,0,SUMIF('Week 2 Roster'!$AZ:$AZ,$B44,'Week 2 Roster'!$AM:$AM))</f>
        <v>0</v>
      </c>
      <c r="AP44" s="17">
        <f ca="1">IF($A44=0,0,SUMIF('Week 2 Roster'!$AZ:$AZ,$B44,'Week 2 Roster'!$AO:$AO))</f>
        <v>0</v>
      </c>
      <c r="AQ44" s="38">
        <f ca="1">IF($A44=0,0,SUMIF('Week 2 Roster'!$AZ:$AZ,$B44,'Week 2 Roster'!$AP:$AP))</f>
        <v>0</v>
      </c>
      <c r="AR44" s="17">
        <f ca="1">IF($A44=0,0,SUMIF('Week 2 Roster'!$AZ:$AZ,$B44,'Week 2 Roster'!$AQ:$AQ))</f>
        <v>0</v>
      </c>
      <c r="AS44" s="17">
        <f ca="1">IF($A44=0,0,SUMIF('Week 2 Roster'!$AZ:$AZ,$B44,'Week 2 Roster'!$AR:$AR))</f>
        <v>0</v>
      </c>
      <c r="AT44" s="17">
        <f ca="1">IF($A44=0,0,SUMIF('Week 2 Roster'!$AZ:$AZ,$B44,'Week 2 Roster'!$AS:$AS))</f>
        <v>0</v>
      </c>
      <c r="AU44" s="17">
        <f t="shared" ca="1" si="23"/>
        <v>0</v>
      </c>
      <c r="AV44" s="17"/>
      <c r="AW44" s="25" t="str">
        <f>'Week 1 Roster'!A44</f>
        <v/>
      </c>
      <c r="AX44" s="25" t="str">
        <f>'Week 2 Roster'!A44</f>
        <v/>
      </c>
    </row>
    <row r="45" spans="1:50">
      <c r="A45" s="16" cm="1">
        <f t="array" aca="1" ref="A45" ca="1">_xlfn.NUMBERVALUE(INDIRECT(TEXT(MIN(IF(($AW$2:$AX$300&lt;&gt;"")*(COUNTIF($B$1:B44,$AW$2:$AX$300)=0),ROW($2:$300)*100+COLUMN($AW:$AX),7^8)),"R0C00"),)&amp;"")</f>
        <v>0</v>
      </c>
      <c r="B45" s="28" t="str">
        <f t="shared" ca="1" si="9"/>
        <v/>
      </c>
      <c r="C45" s="28" t="str">
        <f ca="1">IF($A45=0,"",VLOOKUP($B45,Employees!$A:$G,2,FALSE))</f>
        <v/>
      </c>
      <c r="D45" s="28" t="str">
        <f ca="1">IF($A45=0,"",VLOOKUP($B45,Employees!$A:$G,3,FALSE))</f>
        <v/>
      </c>
      <c r="E45" s="26" t="str">
        <f ca="1">IF($A45=0,"",VLOOKUP($B45,Employees!$A:$G,5,FALSE))</f>
        <v/>
      </c>
      <c r="F45" s="13" t="str">
        <f ca="1">IF($E45="","",ROUNDDOWN(YEARFRAC($E45, 'Week 1 Roster'!$D$1-1, 1), 0))</f>
        <v/>
      </c>
      <c r="G45" s="13" t="str">
        <f ca="1">IF($E45="","",ROUNDDOWN(YEARFRAC($E45, 'Week 1 Roster'!$D$1+14, 1), 0))</f>
        <v/>
      </c>
      <c r="H45" s="13" t="str">
        <f t="shared" ca="1" si="10"/>
        <v/>
      </c>
      <c r="I45" s="13" t="str">
        <f ca="1">IF($A45=0,"",VLOOKUP($B45,Employees!$A:$G,6,FALSE))</f>
        <v/>
      </c>
      <c r="J45" s="13" t="str">
        <f ca="1">IF($A45=0,"",VLOOKUP($B45,Employees!$A:$G,7,FALSE))</f>
        <v/>
      </c>
      <c r="K45" s="13" t="str">
        <f ca="1">IF($A45=0,"",IF(ISNA(VLOOKUP(A45,'Week 1 Roster'!A:C,2,0)),VLOOKUP(A45,'Week 2 Roster'!A:C,2,0),VLOOKUP(A45,'Week 1 Roster'!A:C,2,0)))</f>
        <v/>
      </c>
      <c r="L45" s="13" t="str">
        <f ca="1">IF($A45=0,"",VLOOKUP(K45,Stores!A:B,2,0))</f>
        <v/>
      </c>
      <c r="M45" s="14">
        <f t="shared" ca="1" si="11"/>
        <v>0</v>
      </c>
      <c r="N45" s="14">
        <f t="shared" ca="1" si="12"/>
        <v>0</v>
      </c>
      <c r="O45" s="14">
        <f t="shared" ca="1" si="13"/>
        <v>0</v>
      </c>
      <c r="P45" s="14">
        <f t="shared" ca="1" si="14"/>
        <v>0</v>
      </c>
      <c r="Q45" s="14">
        <f t="shared" ca="1" si="15"/>
        <v>0</v>
      </c>
      <c r="R45" s="14">
        <f t="shared" ca="1" si="16"/>
        <v>0</v>
      </c>
      <c r="S45" s="28">
        <f t="shared" ca="1" si="17"/>
        <v>0</v>
      </c>
      <c r="T45" s="14">
        <f t="shared" ca="1" si="18"/>
        <v>0</v>
      </c>
      <c r="U45" s="14">
        <f t="shared" ca="1" si="19"/>
        <v>0</v>
      </c>
      <c r="V45" s="14">
        <f t="shared" ca="1" si="20"/>
        <v>0</v>
      </c>
      <c r="W45" s="14">
        <f t="shared" ca="1" si="21"/>
        <v>0</v>
      </c>
      <c r="Y45" s="17">
        <f ca="1">IF($A45=0,0,SUMIF('Week 1 Roster'!$AZ:$AZ,$B45,'Week 1 Roster'!$AE:$AE))</f>
        <v>0</v>
      </c>
      <c r="Z45" s="17">
        <f ca="1">IF($A45=0,0,SUMIF('Week 1 Roster'!$AZ:$AZ,$B45,'Week 1 Roster'!$AG:$AG))</f>
        <v>0</v>
      </c>
      <c r="AA45" s="17">
        <f ca="1">IF($A45=0,0,SUMIF('Week 1 Roster'!$AZ:$AZ,$B45,'Week 1 Roster'!$AI:$AI))</f>
        <v>0</v>
      </c>
      <c r="AB45" s="17">
        <f ca="1">IF($A45=0,0,SUMIF('Week 1 Roster'!$AZ:$AZ,$B45,'Week 1 Roster'!$AK:$AK))</f>
        <v>0</v>
      </c>
      <c r="AC45" s="17">
        <f ca="1">IF($A45=0,0,SUMIF('Week 1 Roster'!$AZ:$AZ,$B45,'Week 1 Roster'!$AM:$AM))</f>
        <v>0</v>
      </c>
      <c r="AD45" s="17">
        <f ca="1">IF($A45=0,0,SUMIF('Week 1 Roster'!$AZ:$AZ,$B45,'Week 1 Roster'!$AO:$AO))</f>
        <v>0</v>
      </c>
      <c r="AE45" s="38">
        <f ca="1">IF($A45=0,0,SUMIF('Week 1 Roster'!$AZ:$AZ,$B45,'Week 1 Roster'!$AP:$AP))</f>
        <v>0</v>
      </c>
      <c r="AF45" s="17">
        <f ca="1">IF($A45=0,0,SUMIF('Week 1 Roster'!$AZ:$AZ,$B45,'Week 1 Roster'!$AQ:$AQ))</f>
        <v>0</v>
      </c>
      <c r="AG45" s="17">
        <f ca="1">IF($A45=0,0,SUMIF('Week 1 Roster'!$AZ:$AZ,$B45,'Week 1 Roster'!$AR:$AR))</f>
        <v>0</v>
      </c>
      <c r="AH45" s="17">
        <f ca="1">IF($A45=0,0,SUMIF('Week 1 Roster'!$AZ:$AZ,$B45,'Week 1 Roster'!$AS:$AS))</f>
        <v>0</v>
      </c>
      <c r="AI45" s="17">
        <f t="shared" ca="1" si="22"/>
        <v>0</v>
      </c>
      <c r="AK45" s="17">
        <f ca="1">IF($A45=0,0,SUMIF('Week 2 Roster'!$AZ:$AZ,$B45,'Week 2 Roster'!$AE:$AE))</f>
        <v>0</v>
      </c>
      <c r="AL45" s="17">
        <f ca="1">IF($A45=0,0,SUMIF('Week 2 Roster'!$AZ:$AZ,$B45,'Week 2 Roster'!$AG:$AG))</f>
        <v>0</v>
      </c>
      <c r="AM45" s="17">
        <f ca="1">IF($A45=0,0,SUMIF('Week 2 Roster'!$AZ:$AZ,$B45,'Week 2 Roster'!$AI:$AI))</f>
        <v>0</v>
      </c>
      <c r="AN45" s="17">
        <f ca="1">IF($A45=0,0,SUMIF('Week 2 Roster'!$AZ:$AZ,$B45,'Week 2 Roster'!$AK:$AK))</f>
        <v>0</v>
      </c>
      <c r="AO45" s="17">
        <f ca="1">IF($A45=0,0,SUMIF('Week 2 Roster'!$AZ:$AZ,$B45,'Week 2 Roster'!$AM:$AM))</f>
        <v>0</v>
      </c>
      <c r="AP45" s="17">
        <f ca="1">IF($A45=0,0,SUMIF('Week 2 Roster'!$AZ:$AZ,$B45,'Week 2 Roster'!$AO:$AO))</f>
        <v>0</v>
      </c>
      <c r="AQ45" s="38">
        <f ca="1">IF($A45=0,0,SUMIF('Week 2 Roster'!$AZ:$AZ,$B45,'Week 2 Roster'!$AP:$AP))</f>
        <v>0</v>
      </c>
      <c r="AR45" s="17">
        <f ca="1">IF($A45=0,0,SUMIF('Week 2 Roster'!$AZ:$AZ,$B45,'Week 2 Roster'!$AQ:$AQ))</f>
        <v>0</v>
      </c>
      <c r="AS45" s="17">
        <f ca="1">IF($A45=0,0,SUMIF('Week 2 Roster'!$AZ:$AZ,$B45,'Week 2 Roster'!$AR:$AR))</f>
        <v>0</v>
      </c>
      <c r="AT45" s="17">
        <f ca="1">IF($A45=0,0,SUMIF('Week 2 Roster'!$AZ:$AZ,$B45,'Week 2 Roster'!$AS:$AS))</f>
        <v>0</v>
      </c>
      <c r="AU45" s="17">
        <f t="shared" ca="1" si="23"/>
        <v>0</v>
      </c>
      <c r="AV45" s="17"/>
      <c r="AW45" s="25" t="str">
        <f>'Week 1 Roster'!A45</f>
        <v/>
      </c>
      <c r="AX45" s="25" t="str">
        <f>'Week 2 Roster'!A45</f>
        <v/>
      </c>
    </row>
    <row r="46" spans="1:50">
      <c r="A46" s="16" cm="1">
        <f t="array" aca="1" ref="A46" ca="1">_xlfn.NUMBERVALUE(INDIRECT(TEXT(MIN(IF(($AW$2:$AX$300&lt;&gt;"")*(COUNTIF($B$1:B45,$AW$2:$AX$300)=0),ROW($2:$300)*100+COLUMN($AW:$AX),7^8)),"R0C00"),)&amp;"")</f>
        <v>0</v>
      </c>
      <c r="B46" s="28" t="str">
        <f t="shared" ca="1" si="9"/>
        <v/>
      </c>
      <c r="C46" s="28" t="str">
        <f ca="1">IF($A46=0,"",VLOOKUP($B46,Employees!$A:$G,2,FALSE))</f>
        <v/>
      </c>
      <c r="D46" s="28" t="str">
        <f ca="1">IF($A46=0,"",VLOOKUP($B46,Employees!$A:$G,3,FALSE))</f>
        <v/>
      </c>
      <c r="E46" s="26" t="str">
        <f ca="1">IF($A46=0,"",VLOOKUP($B46,Employees!$A:$G,5,FALSE))</f>
        <v/>
      </c>
      <c r="F46" s="13" t="str">
        <f ca="1">IF($E46="","",ROUNDDOWN(YEARFRAC($E46, 'Week 1 Roster'!$D$1-1, 1), 0))</f>
        <v/>
      </c>
      <c r="G46" s="13" t="str">
        <f ca="1">IF($E46="","",ROUNDDOWN(YEARFRAC($E46, 'Week 1 Roster'!$D$1+14, 1), 0))</f>
        <v/>
      </c>
      <c r="H46" s="13" t="str">
        <f t="shared" ca="1" si="10"/>
        <v/>
      </c>
      <c r="I46" s="13" t="str">
        <f ca="1">IF($A46=0,"",VLOOKUP($B46,Employees!$A:$G,6,FALSE))</f>
        <v/>
      </c>
      <c r="J46" s="13" t="str">
        <f ca="1">IF($A46=0,"",VLOOKUP($B46,Employees!$A:$G,7,FALSE))</f>
        <v/>
      </c>
      <c r="K46" s="13" t="str">
        <f ca="1">IF($A46=0,"",IF(ISNA(VLOOKUP(A46,'Week 1 Roster'!A:C,2,0)),VLOOKUP(A46,'Week 2 Roster'!A:C,2,0),VLOOKUP(A46,'Week 1 Roster'!A:C,2,0)))</f>
        <v/>
      </c>
      <c r="L46" s="13" t="str">
        <f ca="1">IF($A46=0,"",VLOOKUP(K46,Stores!A:B,2,0))</f>
        <v/>
      </c>
      <c r="M46" s="14">
        <f t="shared" ca="1" si="11"/>
        <v>0</v>
      </c>
      <c r="N46" s="14">
        <f t="shared" ca="1" si="12"/>
        <v>0</v>
      </c>
      <c r="O46" s="14">
        <f t="shared" ca="1" si="13"/>
        <v>0</v>
      </c>
      <c r="P46" s="14">
        <f t="shared" ca="1" si="14"/>
        <v>0</v>
      </c>
      <c r="Q46" s="14">
        <f t="shared" ca="1" si="15"/>
        <v>0</v>
      </c>
      <c r="R46" s="14">
        <f t="shared" ca="1" si="16"/>
        <v>0</v>
      </c>
      <c r="S46" s="28">
        <f t="shared" ca="1" si="17"/>
        <v>0</v>
      </c>
      <c r="T46" s="14">
        <f t="shared" ca="1" si="18"/>
        <v>0</v>
      </c>
      <c r="U46" s="14">
        <f t="shared" ca="1" si="19"/>
        <v>0</v>
      </c>
      <c r="V46" s="14">
        <f t="shared" ca="1" si="20"/>
        <v>0</v>
      </c>
      <c r="W46" s="14">
        <f t="shared" ca="1" si="21"/>
        <v>0</v>
      </c>
      <c r="Y46" s="17">
        <f ca="1">IF($A46=0,0,SUMIF('Week 1 Roster'!$AZ:$AZ,$B46,'Week 1 Roster'!$AE:$AE))</f>
        <v>0</v>
      </c>
      <c r="Z46" s="17">
        <f ca="1">IF($A46=0,0,SUMIF('Week 1 Roster'!$AZ:$AZ,$B46,'Week 1 Roster'!$AG:$AG))</f>
        <v>0</v>
      </c>
      <c r="AA46" s="17">
        <f ca="1">IF($A46=0,0,SUMIF('Week 1 Roster'!$AZ:$AZ,$B46,'Week 1 Roster'!$AI:$AI))</f>
        <v>0</v>
      </c>
      <c r="AB46" s="17">
        <f ca="1">IF($A46=0,0,SUMIF('Week 1 Roster'!$AZ:$AZ,$B46,'Week 1 Roster'!$AK:$AK))</f>
        <v>0</v>
      </c>
      <c r="AC46" s="17">
        <f ca="1">IF($A46=0,0,SUMIF('Week 1 Roster'!$AZ:$AZ,$B46,'Week 1 Roster'!$AM:$AM))</f>
        <v>0</v>
      </c>
      <c r="AD46" s="17">
        <f ca="1">IF($A46=0,0,SUMIF('Week 1 Roster'!$AZ:$AZ,$B46,'Week 1 Roster'!$AO:$AO))</f>
        <v>0</v>
      </c>
      <c r="AE46" s="38">
        <f ca="1">IF($A46=0,0,SUMIF('Week 1 Roster'!$AZ:$AZ,$B46,'Week 1 Roster'!$AP:$AP))</f>
        <v>0</v>
      </c>
      <c r="AF46" s="17">
        <f ca="1">IF($A46=0,0,SUMIF('Week 1 Roster'!$AZ:$AZ,$B46,'Week 1 Roster'!$AQ:$AQ))</f>
        <v>0</v>
      </c>
      <c r="AG46" s="17">
        <f ca="1">IF($A46=0,0,SUMIF('Week 1 Roster'!$AZ:$AZ,$B46,'Week 1 Roster'!$AR:$AR))</f>
        <v>0</v>
      </c>
      <c r="AH46" s="17">
        <f ca="1">IF($A46=0,0,SUMIF('Week 1 Roster'!$AZ:$AZ,$B46,'Week 1 Roster'!$AS:$AS))</f>
        <v>0</v>
      </c>
      <c r="AI46" s="17">
        <f t="shared" ca="1" si="22"/>
        <v>0</v>
      </c>
      <c r="AK46" s="17">
        <f ca="1">IF($A46=0,0,SUMIF('Week 2 Roster'!$AZ:$AZ,$B46,'Week 2 Roster'!$AE:$AE))</f>
        <v>0</v>
      </c>
      <c r="AL46" s="17">
        <f ca="1">IF($A46=0,0,SUMIF('Week 2 Roster'!$AZ:$AZ,$B46,'Week 2 Roster'!$AG:$AG))</f>
        <v>0</v>
      </c>
      <c r="AM46" s="17">
        <f ca="1">IF($A46=0,0,SUMIF('Week 2 Roster'!$AZ:$AZ,$B46,'Week 2 Roster'!$AI:$AI))</f>
        <v>0</v>
      </c>
      <c r="AN46" s="17">
        <f ca="1">IF($A46=0,0,SUMIF('Week 2 Roster'!$AZ:$AZ,$B46,'Week 2 Roster'!$AK:$AK))</f>
        <v>0</v>
      </c>
      <c r="AO46" s="17">
        <f ca="1">IF($A46=0,0,SUMIF('Week 2 Roster'!$AZ:$AZ,$B46,'Week 2 Roster'!$AM:$AM))</f>
        <v>0</v>
      </c>
      <c r="AP46" s="17">
        <f ca="1">IF($A46=0,0,SUMIF('Week 2 Roster'!$AZ:$AZ,$B46,'Week 2 Roster'!$AO:$AO))</f>
        <v>0</v>
      </c>
      <c r="AQ46" s="38">
        <f ca="1">IF($A46=0,0,SUMIF('Week 2 Roster'!$AZ:$AZ,$B46,'Week 2 Roster'!$AP:$AP))</f>
        <v>0</v>
      </c>
      <c r="AR46" s="17">
        <f ca="1">IF($A46=0,0,SUMIF('Week 2 Roster'!$AZ:$AZ,$B46,'Week 2 Roster'!$AQ:$AQ))</f>
        <v>0</v>
      </c>
      <c r="AS46" s="17">
        <f ca="1">IF($A46=0,0,SUMIF('Week 2 Roster'!$AZ:$AZ,$B46,'Week 2 Roster'!$AR:$AR))</f>
        <v>0</v>
      </c>
      <c r="AT46" s="17">
        <f ca="1">IF($A46=0,0,SUMIF('Week 2 Roster'!$AZ:$AZ,$B46,'Week 2 Roster'!$AS:$AS))</f>
        <v>0</v>
      </c>
      <c r="AU46" s="17">
        <f t="shared" ca="1" si="23"/>
        <v>0</v>
      </c>
      <c r="AV46" s="17"/>
      <c r="AW46" s="25" t="str">
        <f>'Week 1 Roster'!A46</f>
        <v/>
      </c>
      <c r="AX46" s="25" t="str">
        <f>'Week 2 Roster'!A46</f>
        <v/>
      </c>
    </row>
    <row r="47" spans="1:50">
      <c r="A47" s="16" cm="1">
        <f t="array" aca="1" ref="A47" ca="1">_xlfn.NUMBERVALUE(INDIRECT(TEXT(MIN(IF(($AW$2:$AX$300&lt;&gt;"")*(COUNTIF($B$1:B46,$AW$2:$AX$300)=0),ROW($2:$300)*100+COLUMN($AW:$AX),7^8)),"R0C00"),)&amp;"")</f>
        <v>0</v>
      </c>
      <c r="B47" s="28" t="str">
        <f t="shared" ca="1" si="9"/>
        <v/>
      </c>
      <c r="C47" s="28" t="str">
        <f ca="1">IF($A47=0,"",VLOOKUP($B47,Employees!$A:$G,2,FALSE))</f>
        <v/>
      </c>
      <c r="D47" s="28" t="str">
        <f ca="1">IF($A47=0,"",VLOOKUP($B47,Employees!$A:$G,3,FALSE))</f>
        <v/>
      </c>
      <c r="E47" s="26" t="str">
        <f ca="1">IF($A47=0,"",VLOOKUP($B47,Employees!$A:$G,5,FALSE))</f>
        <v/>
      </c>
      <c r="F47" s="13" t="str">
        <f ca="1">IF($E47="","",ROUNDDOWN(YEARFRAC($E47, 'Week 1 Roster'!$D$1-1, 1), 0))</f>
        <v/>
      </c>
      <c r="G47" s="13" t="str">
        <f ca="1">IF($E47="","",ROUNDDOWN(YEARFRAC($E47, 'Week 1 Roster'!$D$1+14, 1), 0))</f>
        <v/>
      </c>
      <c r="H47" s="13" t="str">
        <f t="shared" ca="1" si="10"/>
        <v/>
      </c>
      <c r="I47" s="13" t="str">
        <f ca="1">IF($A47=0,"",VLOOKUP($B47,Employees!$A:$G,6,FALSE))</f>
        <v/>
      </c>
      <c r="J47" s="13" t="str">
        <f ca="1">IF($A47=0,"",VLOOKUP($B47,Employees!$A:$G,7,FALSE))</f>
        <v/>
      </c>
      <c r="K47" s="13" t="str">
        <f ca="1">IF($A47=0,"",IF(ISNA(VLOOKUP(A47,'Week 1 Roster'!A:C,2,0)),VLOOKUP(A47,'Week 2 Roster'!A:C,2,0),VLOOKUP(A47,'Week 1 Roster'!A:C,2,0)))</f>
        <v/>
      </c>
      <c r="L47" s="13" t="str">
        <f ca="1">IF($A47=0,"",VLOOKUP(K47,Stores!A:B,2,0))</f>
        <v/>
      </c>
      <c r="M47" s="14">
        <f t="shared" ca="1" si="11"/>
        <v>0</v>
      </c>
      <c r="N47" s="14">
        <f t="shared" ca="1" si="12"/>
        <v>0</v>
      </c>
      <c r="O47" s="14">
        <f t="shared" ca="1" si="13"/>
        <v>0</v>
      </c>
      <c r="P47" s="14">
        <f t="shared" ca="1" si="14"/>
        <v>0</v>
      </c>
      <c r="Q47" s="14">
        <f t="shared" ca="1" si="15"/>
        <v>0</v>
      </c>
      <c r="R47" s="14">
        <f t="shared" ca="1" si="16"/>
        <v>0</v>
      </c>
      <c r="S47" s="28">
        <f t="shared" ca="1" si="17"/>
        <v>0</v>
      </c>
      <c r="T47" s="14">
        <f t="shared" ca="1" si="18"/>
        <v>0</v>
      </c>
      <c r="U47" s="14">
        <f t="shared" ca="1" si="19"/>
        <v>0</v>
      </c>
      <c r="V47" s="14">
        <f t="shared" ca="1" si="20"/>
        <v>0</v>
      </c>
      <c r="W47" s="14">
        <f t="shared" ca="1" si="21"/>
        <v>0</v>
      </c>
      <c r="Y47" s="17">
        <f ca="1">IF($A47=0,0,SUMIF('Week 1 Roster'!$AZ:$AZ,$B47,'Week 1 Roster'!$AE:$AE))</f>
        <v>0</v>
      </c>
      <c r="Z47" s="17">
        <f ca="1">IF($A47=0,0,SUMIF('Week 1 Roster'!$AZ:$AZ,$B47,'Week 1 Roster'!$AG:$AG))</f>
        <v>0</v>
      </c>
      <c r="AA47" s="17">
        <f ca="1">IF($A47=0,0,SUMIF('Week 1 Roster'!$AZ:$AZ,$B47,'Week 1 Roster'!$AI:$AI))</f>
        <v>0</v>
      </c>
      <c r="AB47" s="17">
        <f ca="1">IF($A47=0,0,SUMIF('Week 1 Roster'!$AZ:$AZ,$B47,'Week 1 Roster'!$AK:$AK))</f>
        <v>0</v>
      </c>
      <c r="AC47" s="17">
        <f ca="1">IF($A47=0,0,SUMIF('Week 1 Roster'!$AZ:$AZ,$B47,'Week 1 Roster'!$AM:$AM))</f>
        <v>0</v>
      </c>
      <c r="AD47" s="17">
        <f ca="1">IF($A47=0,0,SUMIF('Week 1 Roster'!$AZ:$AZ,$B47,'Week 1 Roster'!$AO:$AO))</f>
        <v>0</v>
      </c>
      <c r="AE47" s="38">
        <f ca="1">IF($A47=0,0,SUMIF('Week 1 Roster'!$AZ:$AZ,$B47,'Week 1 Roster'!$AP:$AP))</f>
        <v>0</v>
      </c>
      <c r="AF47" s="17">
        <f ca="1">IF($A47=0,0,SUMIF('Week 1 Roster'!$AZ:$AZ,$B47,'Week 1 Roster'!$AQ:$AQ))</f>
        <v>0</v>
      </c>
      <c r="AG47" s="17">
        <f ca="1">IF($A47=0,0,SUMIF('Week 1 Roster'!$AZ:$AZ,$B47,'Week 1 Roster'!$AR:$AR))</f>
        <v>0</v>
      </c>
      <c r="AH47" s="17">
        <f ca="1">IF($A47=0,0,SUMIF('Week 1 Roster'!$AZ:$AZ,$B47,'Week 1 Roster'!$AS:$AS))</f>
        <v>0</v>
      </c>
      <c r="AI47" s="17">
        <f t="shared" ca="1" si="22"/>
        <v>0</v>
      </c>
      <c r="AK47" s="17">
        <f ca="1">IF($A47=0,0,SUMIF('Week 2 Roster'!$AZ:$AZ,$B47,'Week 2 Roster'!$AE:$AE))</f>
        <v>0</v>
      </c>
      <c r="AL47" s="17">
        <f ca="1">IF($A47=0,0,SUMIF('Week 2 Roster'!$AZ:$AZ,$B47,'Week 2 Roster'!$AG:$AG))</f>
        <v>0</v>
      </c>
      <c r="AM47" s="17">
        <f ca="1">IF($A47=0,0,SUMIF('Week 2 Roster'!$AZ:$AZ,$B47,'Week 2 Roster'!$AI:$AI))</f>
        <v>0</v>
      </c>
      <c r="AN47" s="17">
        <f ca="1">IF($A47=0,0,SUMIF('Week 2 Roster'!$AZ:$AZ,$B47,'Week 2 Roster'!$AK:$AK))</f>
        <v>0</v>
      </c>
      <c r="AO47" s="17">
        <f ca="1">IF($A47=0,0,SUMIF('Week 2 Roster'!$AZ:$AZ,$B47,'Week 2 Roster'!$AM:$AM))</f>
        <v>0</v>
      </c>
      <c r="AP47" s="17">
        <f ca="1">IF($A47=0,0,SUMIF('Week 2 Roster'!$AZ:$AZ,$B47,'Week 2 Roster'!$AO:$AO))</f>
        <v>0</v>
      </c>
      <c r="AQ47" s="38">
        <f ca="1">IF($A47=0,0,SUMIF('Week 2 Roster'!$AZ:$AZ,$B47,'Week 2 Roster'!$AP:$AP))</f>
        <v>0</v>
      </c>
      <c r="AR47" s="17">
        <f ca="1">IF($A47=0,0,SUMIF('Week 2 Roster'!$AZ:$AZ,$B47,'Week 2 Roster'!$AQ:$AQ))</f>
        <v>0</v>
      </c>
      <c r="AS47" s="17">
        <f ca="1">IF($A47=0,0,SUMIF('Week 2 Roster'!$AZ:$AZ,$B47,'Week 2 Roster'!$AR:$AR))</f>
        <v>0</v>
      </c>
      <c r="AT47" s="17">
        <f ca="1">IF($A47=0,0,SUMIF('Week 2 Roster'!$AZ:$AZ,$B47,'Week 2 Roster'!$AS:$AS))</f>
        <v>0</v>
      </c>
      <c r="AU47" s="17">
        <f t="shared" ca="1" si="23"/>
        <v>0</v>
      </c>
      <c r="AV47" s="17"/>
      <c r="AW47" s="25" t="str">
        <f>'Week 1 Roster'!A47</f>
        <v/>
      </c>
      <c r="AX47" s="25" t="str">
        <f>'Week 2 Roster'!A47</f>
        <v/>
      </c>
    </row>
    <row r="48" spans="1:50">
      <c r="A48" s="16" cm="1">
        <f t="array" aca="1" ref="A48" ca="1">_xlfn.NUMBERVALUE(INDIRECT(TEXT(MIN(IF(($AW$2:$AX$300&lt;&gt;"")*(COUNTIF($B$1:B47,$AW$2:$AX$300)=0),ROW($2:$300)*100+COLUMN($AW:$AX),7^8)),"R0C00"),)&amp;"")</f>
        <v>0</v>
      </c>
      <c r="B48" s="28" t="str">
        <f t="shared" ca="1" si="9"/>
        <v/>
      </c>
      <c r="C48" s="28" t="str">
        <f ca="1">IF($A48=0,"",VLOOKUP($B48,Employees!$A:$G,2,FALSE))</f>
        <v/>
      </c>
      <c r="D48" s="28" t="str">
        <f ca="1">IF($A48=0,"",VLOOKUP($B48,Employees!$A:$G,3,FALSE))</f>
        <v/>
      </c>
      <c r="E48" s="26" t="str">
        <f ca="1">IF($A48=0,"",VLOOKUP($B48,Employees!$A:$G,5,FALSE))</f>
        <v/>
      </c>
      <c r="F48" s="13" t="str">
        <f ca="1">IF($E48="","",ROUNDDOWN(YEARFRAC($E48, 'Week 1 Roster'!$D$1-1, 1), 0))</f>
        <v/>
      </c>
      <c r="G48" s="13" t="str">
        <f ca="1">IF($E48="","",ROUNDDOWN(YEARFRAC($E48, 'Week 1 Roster'!$D$1+14, 1), 0))</f>
        <v/>
      </c>
      <c r="H48" s="13" t="str">
        <f t="shared" ca="1" si="10"/>
        <v/>
      </c>
      <c r="I48" s="13" t="str">
        <f ca="1">IF($A48=0,"",VLOOKUP($B48,Employees!$A:$G,6,FALSE))</f>
        <v/>
      </c>
      <c r="J48" s="13" t="str">
        <f ca="1">IF($A48=0,"",VLOOKUP($B48,Employees!$A:$G,7,FALSE))</f>
        <v/>
      </c>
      <c r="K48" s="13" t="str">
        <f ca="1">IF($A48=0,"",IF(ISNA(VLOOKUP(A48,'Week 1 Roster'!A:C,2,0)),VLOOKUP(A48,'Week 2 Roster'!A:C,2,0),VLOOKUP(A48,'Week 1 Roster'!A:C,2,0)))</f>
        <v/>
      </c>
      <c r="L48" s="13" t="str">
        <f ca="1">IF($A48=0,"",VLOOKUP(K48,Stores!A:B,2,0))</f>
        <v/>
      </c>
      <c r="M48" s="14">
        <f t="shared" ca="1" si="11"/>
        <v>0</v>
      </c>
      <c r="N48" s="14">
        <f t="shared" ca="1" si="12"/>
        <v>0</v>
      </c>
      <c r="O48" s="14">
        <f t="shared" ca="1" si="13"/>
        <v>0</v>
      </c>
      <c r="P48" s="14">
        <f t="shared" ca="1" si="14"/>
        <v>0</v>
      </c>
      <c r="Q48" s="14">
        <f t="shared" ca="1" si="15"/>
        <v>0</v>
      </c>
      <c r="R48" s="14">
        <f t="shared" ca="1" si="16"/>
        <v>0</v>
      </c>
      <c r="S48" s="28">
        <f t="shared" ca="1" si="17"/>
        <v>0</v>
      </c>
      <c r="T48" s="14">
        <f t="shared" ca="1" si="18"/>
        <v>0</v>
      </c>
      <c r="U48" s="14">
        <f t="shared" ca="1" si="19"/>
        <v>0</v>
      </c>
      <c r="V48" s="14">
        <f t="shared" ca="1" si="20"/>
        <v>0</v>
      </c>
      <c r="W48" s="14">
        <f t="shared" ca="1" si="21"/>
        <v>0</v>
      </c>
      <c r="Y48" s="17">
        <f ca="1">IF($A48=0,0,SUMIF('Week 1 Roster'!$AZ:$AZ,$B48,'Week 1 Roster'!$AE:$AE))</f>
        <v>0</v>
      </c>
      <c r="Z48" s="17">
        <f ca="1">IF($A48=0,0,SUMIF('Week 1 Roster'!$AZ:$AZ,$B48,'Week 1 Roster'!$AG:$AG))</f>
        <v>0</v>
      </c>
      <c r="AA48" s="17">
        <f ca="1">IF($A48=0,0,SUMIF('Week 1 Roster'!$AZ:$AZ,$B48,'Week 1 Roster'!$AI:$AI))</f>
        <v>0</v>
      </c>
      <c r="AB48" s="17">
        <f ca="1">IF($A48=0,0,SUMIF('Week 1 Roster'!$AZ:$AZ,$B48,'Week 1 Roster'!$AK:$AK))</f>
        <v>0</v>
      </c>
      <c r="AC48" s="17">
        <f ca="1">IF($A48=0,0,SUMIF('Week 1 Roster'!$AZ:$AZ,$B48,'Week 1 Roster'!$AM:$AM))</f>
        <v>0</v>
      </c>
      <c r="AD48" s="17">
        <f ca="1">IF($A48=0,0,SUMIF('Week 1 Roster'!$AZ:$AZ,$B48,'Week 1 Roster'!$AO:$AO))</f>
        <v>0</v>
      </c>
      <c r="AE48" s="38">
        <f ca="1">IF($A48=0,0,SUMIF('Week 1 Roster'!$AZ:$AZ,$B48,'Week 1 Roster'!$AP:$AP))</f>
        <v>0</v>
      </c>
      <c r="AF48" s="17">
        <f ca="1">IF($A48=0,0,SUMIF('Week 1 Roster'!$AZ:$AZ,$B48,'Week 1 Roster'!$AQ:$AQ))</f>
        <v>0</v>
      </c>
      <c r="AG48" s="17">
        <f ca="1">IF($A48=0,0,SUMIF('Week 1 Roster'!$AZ:$AZ,$B48,'Week 1 Roster'!$AR:$AR))</f>
        <v>0</v>
      </c>
      <c r="AH48" s="17">
        <f ca="1">IF($A48=0,0,SUMIF('Week 1 Roster'!$AZ:$AZ,$B48,'Week 1 Roster'!$AS:$AS))</f>
        <v>0</v>
      </c>
      <c r="AI48" s="17">
        <f t="shared" ca="1" si="22"/>
        <v>0</v>
      </c>
      <c r="AK48" s="17">
        <f ca="1">IF($A48=0,0,SUMIF('Week 2 Roster'!$AZ:$AZ,$B48,'Week 2 Roster'!$AE:$AE))</f>
        <v>0</v>
      </c>
      <c r="AL48" s="17">
        <f ca="1">IF($A48=0,0,SUMIF('Week 2 Roster'!$AZ:$AZ,$B48,'Week 2 Roster'!$AG:$AG))</f>
        <v>0</v>
      </c>
      <c r="AM48" s="17">
        <f ca="1">IF($A48=0,0,SUMIF('Week 2 Roster'!$AZ:$AZ,$B48,'Week 2 Roster'!$AI:$AI))</f>
        <v>0</v>
      </c>
      <c r="AN48" s="17">
        <f ca="1">IF($A48=0,0,SUMIF('Week 2 Roster'!$AZ:$AZ,$B48,'Week 2 Roster'!$AK:$AK))</f>
        <v>0</v>
      </c>
      <c r="AO48" s="17">
        <f ca="1">IF($A48=0,0,SUMIF('Week 2 Roster'!$AZ:$AZ,$B48,'Week 2 Roster'!$AM:$AM))</f>
        <v>0</v>
      </c>
      <c r="AP48" s="17">
        <f ca="1">IF($A48=0,0,SUMIF('Week 2 Roster'!$AZ:$AZ,$B48,'Week 2 Roster'!$AO:$AO))</f>
        <v>0</v>
      </c>
      <c r="AQ48" s="38">
        <f ca="1">IF($A48=0,0,SUMIF('Week 2 Roster'!$AZ:$AZ,$B48,'Week 2 Roster'!$AP:$AP))</f>
        <v>0</v>
      </c>
      <c r="AR48" s="17">
        <f ca="1">IF($A48=0,0,SUMIF('Week 2 Roster'!$AZ:$AZ,$B48,'Week 2 Roster'!$AQ:$AQ))</f>
        <v>0</v>
      </c>
      <c r="AS48" s="17">
        <f ca="1">IF($A48=0,0,SUMIF('Week 2 Roster'!$AZ:$AZ,$B48,'Week 2 Roster'!$AR:$AR))</f>
        <v>0</v>
      </c>
      <c r="AT48" s="17">
        <f ca="1">IF($A48=0,0,SUMIF('Week 2 Roster'!$AZ:$AZ,$B48,'Week 2 Roster'!$AS:$AS))</f>
        <v>0</v>
      </c>
      <c r="AU48" s="17">
        <f t="shared" ca="1" si="23"/>
        <v>0</v>
      </c>
      <c r="AV48" s="17"/>
      <c r="AW48" s="25" t="str">
        <f>'Week 1 Roster'!A48</f>
        <v/>
      </c>
      <c r="AX48" s="25" t="str">
        <f>'Week 2 Roster'!A48</f>
        <v/>
      </c>
    </row>
    <row r="49" spans="1:50">
      <c r="A49" s="16" cm="1">
        <f t="array" aca="1" ref="A49" ca="1">_xlfn.NUMBERVALUE(INDIRECT(TEXT(MIN(IF(($AW$2:$AX$300&lt;&gt;"")*(COUNTIF($B$1:B48,$AW$2:$AX$300)=0),ROW($2:$300)*100+COLUMN($AW:$AX),7^8)),"R0C00"),)&amp;"")</f>
        <v>0</v>
      </c>
      <c r="B49" s="28" t="str">
        <f t="shared" ca="1" si="9"/>
        <v/>
      </c>
      <c r="C49" s="28" t="str">
        <f ca="1">IF($A49=0,"",VLOOKUP($B49,Employees!$A:$G,2,FALSE))</f>
        <v/>
      </c>
      <c r="D49" s="28" t="str">
        <f ca="1">IF($A49=0,"",VLOOKUP($B49,Employees!$A:$G,3,FALSE))</f>
        <v/>
      </c>
      <c r="E49" s="26" t="str">
        <f ca="1">IF($A49=0,"",VLOOKUP($B49,Employees!$A:$G,5,FALSE))</f>
        <v/>
      </c>
      <c r="F49" s="13" t="str">
        <f ca="1">IF($E49="","",ROUNDDOWN(YEARFRAC($E49, 'Week 1 Roster'!$D$1-1, 1), 0))</f>
        <v/>
      </c>
      <c r="G49" s="13" t="str">
        <f ca="1">IF($E49="","",ROUNDDOWN(YEARFRAC($E49, 'Week 1 Roster'!$D$1+14, 1), 0))</f>
        <v/>
      </c>
      <c r="H49" s="13" t="str">
        <f t="shared" ca="1" si="10"/>
        <v/>
      </c>
      <c r="I49" s="13" t="str">
        <f ca="1">IF($A49=0,"",VLOOKUP($B49,Employees!$A:$G,6,FALSE))</f>
        <v/>
      </c>
      <c r="J49" s="13" t="str">
        <f ca="1">IF($A49=0,"",VLOOKUP($B49,Employees!$A:$G,7,FALSE))</f>
        <v/>
      </c>
      <c r="K49" s="13" t="str">
        <f ca="1">IF($A49=0,"",IF(ISNA(VLOOKUP(A49,'Week 1 Roster'!A:C,2,0)),VLOOKUP(A49,'Week 2 Roster'!A:C,2,0),VLOOKUP(A49,'Week 1 Roster'!A:C,2,0)))</f>
        <v/>
      </c>
      <c r="L49" s="13" t="str">
        <f ca="1">IF($A49=0,"",VLOOKUP(K49,Stores!A:B,2,0))</f>
        <v/>
      </c>
      <c r="M49" s="14">
        <f t="shared" ca="1" si="11"/>
        <v>0</v>
      </c>
      <c r="N49" s="14">
        <f t="shared" ca="1" si="12"/>
        <v>0</v>
      </c>
      <c r="O49" s="14">
        <f t="shared" ca="1" si="13"/>
        <v>0</v>
      </c>
      <c r="P49" s="14">
        <f t="shared" ca="1" si="14"/>
        <v>0</v>
      </c>
      <c r="Q49" s="14">
        <f t="shared" ca="1" si="15"/>
        <v>0</v>
      </c>
      <c r="R49" s="14">
        <f t="shared" ca="1" si="16"/>
        <v>0</v>
      </c>
      <c r="S49" s="28">
        <f t="shared" ca="1" si="17"/>
        <v>0</v>
      </c>
      <c r="T49" s="14">
        <f t="shared" ca="1" si="18"/>
        <v>0</v>
      </c>
      <c r="U49" s="14">
        <f t="shared" ca="1" si="19"/>
        <v>0</v>
      </c>
      <c r="V49" s="14">
        <f t="shared" ca="1" si="20"/>
        <v>0</v>
      </c>
      <c r="W49" s="14">
        <f t="shared" ca="1" si="21"/>
        <v>0</v>
      </c>
      <c r="Y49" s="17">
        <f ca="1">IF($A49=0,0,SUMIF('Week 1 Roster'!$AZ:$AZ,$B49,'Week 1 Roster'!$AE:$AE))</f>
        <v>0</v>
      </c>
      <c r="Z49" s="17">
        <f ca="1">IF($A49=0,0,SUMIF('Week 1 Roster'!$AZ:$AZ,$B49,'Week 1 Roster'!$AG:$AG))</f>
        <v>0</v>
      </c>
      <c r="AA49" s="17">
        <f ca="1">IF($A49=0,0,SUMIF('Week 1 Roster'!$AZ:$AZ,$B49,'Week 1 Roster'!$AI:$AI))</f>
        <v>0</v>
      </c>
      <c r="AB49" s="17">
        <f ca="1">IF($A49=0,0,SUMIF('Week 1 Roster'!$AZ:$AZ,$B49,'Week 1 Roster'!$AK:$AK))</f>
        <v>0</v>
      </c>
      <c r="AC49" s="17">
        <f ca="1">IF($A49=0,0,SUMIF('Week 1 Roster'!$AZ:$AZ,$B49,'Week 1 Roster'!$AM:$AM))</f>
        <v>0</v>
      </c>
      <c r="AD49" s="17">
        <f ca="1">IF($A49=0,0,SUMIF('Week 1 Roster'!$AZ:$AZ,$B49,'Week 1 Roster'!$AO:$AO))</f>
        <v>0</v>
      </c>
      <c r="AE49" s="38">
        <f ca="1">IF($A49=0,0,SUMIF('Week 1 Roster'!$AZ:$AZ,$B49,'Week 1 Roster'!$AP:$AP))</f>
        <v>0</v>
      </c>
      <c r="AF49" s="17">
        <f ca="1">IF($A49=0,0,SUMIF('Week 1 Roster'!$AZ:$AZ,$B49,'Week 1 Roster'!$AQ:$AQ))</f>
        <v>0</v>
      </c>
      <c r="AG49" s="17">
        <f ca="1">IF($A49=0,0,SUMIF('Week 1 Roster'!$AZ:$AZ,$B49,'Week 1 Roster'!$AR:$AR))</f>
        <v>0</v>
      </c>
      <c r="AH49" s="17">
        <f ca="1">IF($A49=0,0,SUMIF('Week 1 Roster'!$AZ:$AZ,$B49,'Week 1 Roster'!$AS:$AS))</f>
        <v>0</v>
      </c>
      <c r="AI49" s="17">
        <f t="shared" ca="1" si="22"/>
        <v>0</v>
      </c>
      <c r="AK49" s="17">
        <f ca="1">IF($A49=0,0,SUMIF('Week 2 Roster'!$AZ:$AZ,$B49,'Week 2 Roster'!$AE:$AE))</f>
        <v>0</v>
      </c>
      <c r="AL49" s="17">
        <f ca="1">IF($A49=0,0,SUMIF('Week 2 Roster'!$AZ:$AZ,$B49,'Week 2 Roster'!$AG:$AG))</f>
        <v>0</v>
      </c>
      <c r="AM49" s="17">
        <f ca="1">IF($A49=0,0,SUMIF('Week 2 Roster'!$AZ:$AZ,$B49,'Week 2 Roster'!$AI:$AI))</f>
        <v>0</v>
      </c>
      <c r="AN49" s="17">
        <f ca="1">IF($A49=0,0,SUMIF('Week 2 Roster'!$AZ:$AZ,$B49,'Week 2 Roster'!$AK:$AK))</f>
        <v>0</v>
      </c>
      <c r="AO49" s="17">
        <f ca="1">IF($A49=0,0,SUMIF('Week 2 Roster'!$AZ:$AZ,$B49,'Week 2 Roster'!$AM:$AM))</f>
        <v>0</v>
      </c>
      <c r="AP49" s="17">
        <f ca="1">IF($A49=0,0,SUMIF('Week 2 Roster'!$AZ:$AZ,$B49,'Week 2 Roster'!$AO:$AO))</f>
        <v>0</v>
      </c>
      <c r="AQ49" s="38">
        <f ca="1">IF($A49=0,0,SUMIF('Week 2 Roster'!$AZ:$AZ,$B49,'Week 2 Roster'!$AP:$AP))</f>
        <v>0</v>
      </c>
      <c r="AR49" s="17">
        <f ca="1">IF($A49=0,0,SUMIF('Week 2 Roster'!$AZ:$AZ,$B49,'Week 2 Roster'!$AQ:$AQ))</f>
        <v>0</v>
      </c>
      <c r="AS49" s="17">
        <f ca="1">IF($A49=0,0,SUMIF('Week 2 Roster'!$AZ:$AZ,$B49,'Week 2 Roster'!$AR:$AR))</f>
        <v>0</v>
      </c>
      <c r="AT49" s="17">
        <f ca="1">IF($A49=0,0,SUMIF('Week 2 Roster'!$AZ:$AZ,$B49,'Week 2 Roster'!$AS:$AS))</f>
        <v>0</v>
      </c>
      <c r="AU49" s="17">
        <f t="shared" ca="1" si="23"/>
        <v>0</v>
      </c>
      <c r="AV49" s="17"/>
      <c r="AW49" s="25" t="str">
        <f>'Week 1 Roster'!A49</f>
        <v/>
      </c>
      <c r="AX49" s="25" t="str">
        <f>'Week 2 Roster'!A49</f>
        <v/>
      </c>
    </row>
    <row r="50" spans="1:50">
      <c r="A50" s="16" cm="1">
        <f t="array" aca="1" ref="A50" ca="1">_xlfn.NUMBERVALUE(INDIRECT(TEXT(MIN(IF(($AW$2:$AX$300&lt;&gt;"")*(COUNTIF($B$1:B49,$AW$2:$AX$300)=0),ROW($2:$300)*100+COLUMN($AW:$AX),7^8)),"R0C00"),)&amp;"")</f>
        <v>0</v>
      </c>
      <c r="B50" s="28" t="str">
        <f t="shared" ca="1" si="9"/>
        <v/>
      </c>
      <c r="C50" s="28" t="str">
        <f ca="1">IF($A50=0,"",VLOOKUP($B50,Employees!$A:$G,2,FALSE))</f>
        <v/>
      </c>
      <c r="D50" s="28" t="str">
        <f ca="1">IF($A50=0,"",VLOOKUP($B50,Employees!$A:$G,3,FALSE))</f>
        <v/>
      </c>
      <c r="E50" s="26" t="str">
        <f ca="1">IF($A50=0,"",VLOOKUP($B50,Employees!$A:$G,5,FALSE))</f>
        <v/>
      </c>
      <c r="F50" s="13" t="str">
        <f ca="1">IF($E50="","",ROUNDDOWN(YEARFRAC($E50, 'Week 1 Roster'!$D$1-1, 1), 0))</f>
        <v/>
      </c>
      <c r="G50" s="13" t="str">
        <f ca="1">IF($E50="","",ROUNDDOWN(YEARFRAC($E50, 'Week 1 Roster'!$D$1+14, 1), 0))</f>
        <v/>
      </c>
      <c r="H50" s="13" t="str">
        <f t="shared" ca="1" si="10"/>
        <v/>
      </c>
      <c r="I50" s="13" t="str">
        <f ca="1">IF($A50=0,"",VLOOKUP($B50,Employees!$A:$G,6,FALSE))</f>
        <v/>
      </c>
      <c r="J50" s="13" t="str">
        <f ca="1">IF($A50=0,"",VLOOKUP($B50,Employees!$A:$G,7,FALSE))</f>
        <v/>
      </c>
      <c r="K50" s="13" t="str">
        <f ca="1">IF($A50=0,"",IF(ISNA(VLOOKUP(A50,'Week 1 Roster'!A:C,2,0)),VLOOKUP(A50,'Week 2 Roster'!A:C,2,0),VLOOKUP(A50,'Week 1 Roster'!A:C,2,0)))</f>
        <v/>
      </c>
      <c r="L50" s="13" t="str">
        <f ca="1">IF($A50=0,"",VLOOKUP(K50,Stores!A:B,2,0))</f>
        <v/>
      </c>
      <c r="M50" s="14">
        <f t="shared" ca="1" si="11"/>
        <v>0</v>
      </c>
      <c r="N50" s="14">
        <f t="shared" ca="1" si="12"/>
        <v>0</v>
      </c>
      <c r="O50" s="14">
        <f t="shared" ca="1" si="13"/>
        <v>0</v>
      </c>
      <c r="P50" s="14">
        <f t="shared" ca="1" si="14"/>
        <v>0</v>
      </c>
      <c r="Q50" s="14">
        <f t="shared" ca="1" si="15"/>
        <v>0</v>
      </c>
      <c r="R50" s="14">
        <f t="shared" ca="1" si="16"/>
        <v>0</v>
      </c>
      <c r="S50" s="28">
        <f t="shared" ca="1" si="17"/>
        <v>0</v>
      </c>
      <c r="T50" s="14">
        <f t="shared" ca="1" si="18"/>
        <v>0</v>
      </c>
      <c r="U50" s="14">
        <f t="shared" ca="1" si="19"/>
        <v>0</v>
      </c>
      <c r="V50" s="14">
        <f t="shared" ca="1" si="20"/>
        <v>0</v>
      </c>
      <c r="W50" s="14">
        <f t="shared" ca="1" si="21"/>
        <v>0</v>
      </c>
      <c r="Y50" s="17">
        <f ca="1">IF($A50=0,0,SUMIF('Week 1 Roster'!$AZ:$AZ,$B50,'Week 1 Roster'!$AE:$AE))</f>
        <v>0</v>
      </c>
      <c r="Z50" s="17">
        <f ca="1">IF($A50=0,0,SUMIF('Week 1 Roster'!$AZ:$AZ,$B50,'Week 1 Roster'!$AG:$AG))</f>
        <v>0</v>
      </c>
      <c r="AA50" s="17">
        <f ca="1">IF($A50=0,0,SUMIF('Week 1 Roster'!$AZ:$AZ,$B50,'Week 1 Roster'!$AI:$AI))</f>
        <v>0</v>
      </c>
      <c r="AB50" s="17">
        <f ca="1">IF($A50=0,0,SUMIF('Week 1 Roster'!$AZ:$AZ,$B50,'Week 1 Roster'!$AK:$AK))</f>
        <v>0</v>
      </c>
      <c r="AC50" s="17">
        <f ca="1">IF($A50=0,0,SUMIF('Week 1 Roster'!$AZ:$AZ,$B50,'Week 1 Roster'!$AM:$AM))</f>
        <v>0</v>
      </c>
      <c r="AD50" s="17">
        <f ca="1">IF($A50=0,0,SUMIF('Week 1 Roster'!$AZ:$AZ,$B50,'Week 1 Roster'!$AO:$AO))</f>
        <v>0</v>
      </c>
      <c r="AE50" s="38">
        <f ca="1">IF($A50=0,0,SUMIF('Week 1 Roster'!$AZ:$AZ,$B50,'Week 1 Roster'!$AP:$AP))</f>
        <v>0</v>
      </c>
      <c r="AF50" s="17">
        <f ca="1">IF($A50=0,0,SUMIF('Week 1 Roster'!$AZ:$AZ,$B50,'Week 1 Roster'!$AQ:$AQ))</f>
        <v>0</v>
      </c>
      <c r="AG50" s="17">
        <f ca="1">IF($A50=0,0,SUMIF('Week 1 Roster'!$AZ:$AZ,$B50,'Week 1 Roster'!$AR:$AR))</f>
        <v>0</v>
      </c>
      <c r="AH50" s="17">
        <f ca="1">IF($A50=0,0,SUMIF('Week 1 Roster'!$AZ:$AZ,$B50,'Week 1 Roster'!$AS:$AS))</f>
        <v>0</v>
      </c>
      <c r="AI50" s="17">
        <f t="shared" ca="1" si="22"/>
        <v>0</v>
      </c>
      <c r="AK50" s="17">
        <f ca="1">IF($A50=0,0,SUMIF('Week 2 Roster'!$AZ:$AZ,$B50,'Week 2 Roster'!$AE:$AE))</f>
        <v>0</v>
      </c>
      <c r="AL50" s="17">
        <f ca="1">IF($A50=0,0,SUMIF('Week 2 Roster'!$AZ:$AZ,$B50,'Week 2 Roster'!$AG:$AG))</f>
        <v>0</v>
      </c>
      <c r="AM50" s="17">
        <f ca="1">IF($A50=0,0,SUMIF('Week 2 Roster'!$AZ:$AZ,$B50,'Week 2 Roster'!$AI:$AI))</f>
        <v>0</v>
      </c>
      <c r="AN50" s="17">
        <f ca="1">IF($A50=0,0,SUMIF('Week 2 Roster'!$AZ:$AZ,$B50,'Week 2 Roster'!$AK:$AK))</f>
        <v>0</v>
      </c>
      <c r="AO50" s="17">
        <f ca="1">IF($A50=0,0,SUMIF('Week 2 Roster'!$AZ:$AZ,$B50,'Week 2 Roster'!$AM:$AM))</f>
        <v>0</v>
      </c>
      <c r="AP50" s="17">
        <f ca="1">IF($A50=0,0,SUMIF('Week 2 Roster'!$AZ:$AZ,$B50,'Week 2 Roster'!$AO:$AO))</f>
        <v>0</v>
      </c>
      <c r="AQ50" s="38">
        <f ca="1">IF($A50=0,0,SUMIF('Week 2 Roster'!$AZ:$AZ,$B50,'Week 2 Roster'!$AP:$AP))</f>
        <v>0</v>
      </c>
      <c r="AR50" s="17">
        <f ca="1">IF($A50=0,0,SUMIF('Week 2 Roster'!$AZ:$AZ,$B50,'Week 2 Roster'!$AQ:$AQ))</f>
        <v>0</v>
      </c>
      <c r="AS50" s="17">
        <f ca="1">IF($A50=0,0,SUMIF('Week 2 Roster'!$AZ:$AZ,$B50,'Week 2 Roster'!$AR:$AR))</f>
        <v>0</v>
      </c>
      <c r="AT50" s="17">
        <f ca="1">IF($A50=0,0,SUMIF('Week 2 Roster'!$AZ:$AZ,$B50,'Week 2 Roster'!$AS:$AS))</f>
        <v>0</v>
      </c>
      <c r="AU50" s="17">
        <f t="shared" ca="1" si="23"/>
        <v>0</v>
      </c>
      <c r="AV50" s="17"/>
      <c r="AW50" s="25" t="str">
        <f>'Week 1 Roster'!A50</f>
        <v/>
      </c>
      <c r="AX50" s="25" t="str">
        <f>'Week 2 Roster'!A50</f>
        <v/>
      </c>
    </row>
    <row r="51" spans="1:50">
      <c r="A51" s="16" cm="1">
        <f t="array" aca="1" ref="A51" ca="1">_xlfn.NUMBERVALUE(INDIRECT(TEXT(MIN(IF(($AW$2:$AX$300&lt;&gt;"")*(COUNTIF($B$1:B50,$AW$2:$AX$300)=0),ROW($2:$300)*100+COLUMN($AW:$AX),7^8)),"R0C00"),)&amp;"")</f>
        <v>0</v>
      </c>
      <c r="B51" s="28" t="str">
        <f t="shared" ca="1" si="9"/>
        <v/>
      </c>
      <c r="C51" s="28" t="str">
        <f ca="1">IF($A51=0,"",VLOOKUP($B51,Employees!$A:$G,2,FALSE))</f>
        <v/>
      </c>
      <c r="D51" s="28" t="str">
        <f ca="1">IF($A51=0,"",VLOOKUP($B51,Employees!$A:$G,3,FALSE))</f>
        <v/>
      </c>
      <c r="E51" s="26" t="str">
        <f ca="1">IF($A51=0,"",VLOOKUP($B51,Employees!$A:$G,5,FALSE))</f>
        <v/>
      </c>
      <c r="F51" s="13" t="str">
        <f ca="1">IF($E51="","",ROUNDDOWN(YEARFRAC($E51, 'Week 1 Roster'!$D$1-1, 1), 0))</f>
        <v/>
      </c>
      <c r="G51" s="13" t="str">
        <f ca="1">IF($E51="","",ROUNDDOWN(YEARFRAC($E51, 'Week 1 Roster'!$D$1+14, 1), 0))</f>
        <v/>
      </c>
      <c r="H51" s="13" t="str">
        <f t="shared" ca="1" si="10"/>
        <v/>
      </c>
      <c r="I51" s="13" t="str">
        <f ca="1">IF($A51=0,"",VLOOKUP($B51,Employees!$A:$G,6,FALSE))</f>
        <v/>
      </c>
      <c r="J51" s="13" t="str">
        <f ca="1">IF($A51=0,"",VLOOKUP($B51,Employees!$A:$G,7,FALSE))</f>
        <v/>
      </c>
      <c r="K51" s="13" t="str">
        <f ca="1">IF($A51=0,"",IF(ISNA(VLOOKUP(A51,'Week 1 Roster'!A:C,2,0)),VLOOKUP(A51,'Week 2 Roster'!A:C,2,0),VLOOKUP(A51,'Week 1 Roster'!A:C,2,0)))</f>
        <v/>
      </c>
      <c r="L51" s="13" t="str">
        <f ca="1">IF($A51=0,"",VLOOKUP(K51,Stores!A:B,2,0))</f>
        <v/>
      </c>
      <c r="M51" s="14">
        <f t="shared" ca="1" si="11"/>
        <v>0</v>
      </c>
      <c r="N51" s="14">
        <f t="shared" ca="1" si="12"/>
        <v>0</v>
      </c>
      <c r="O51" s="14">
        <f t="shared" ca="1" si="13"/>
        <v>0</v>
      </c>
      <c r="P51" s="14">
        <f t="shared" ca="1" si="14"/>
        <v>0</v>
      </c>
      <c r="Q51" s="14">
        <f t="shared" ca="1" si="15"/>
        <v>0</v>
      </c>
      <c r="R51" s="14">
        <f t="shared" ca="1" si="16"/>
        <v>0</v>
      </c>
      <c r="S51" s="28">
        <f t="shared" ca="1" si="17"/>
        <v>0</v>
      </c>
      <c r="T51" s="14">
        <f t="shared" ca="1" si="18"/>
        <v>0</v>
      </c>
      <c r="U51" s="14">
        <f t="shared" ca="1" si="19"/>
        <v>0</v>
      </c>
      <c r="V51" s="14">
        <f t="shared" ca="1" si="20"/>
        <v>0</v>
      </c>
      <c r="W51" s="14">
        <f t="shared" ca="1" si="21"/>
        <v>0</v>
      </c>
      <c r="Y51" s="17">
        <f ca="1">IF($A51=0,0,SUMIF('Week 1 Roster'!$AZ:$AZ,$B51,'Week 1 Roster'!$AE:$AE))</f>
        <v>0</v>
      </c>
      <c r="Z51" s="17">
        <f ca="1">IF($A51=0,0,SUMIF('Week 1 Roster'!$AZ:$AZ,$B51,'Week 1 Roster'!$AG:$AG))</f>
        <v>0</v>
      </c>
      <c r="AA51" s="17">
        <f ca="1">IF($A51=0,0,SUMIF('Week 1 Roster'!$AZ:$AZ,$B51,'Week 1 Roster'!$AI:$AI))</f>
        <v>0</v>
      </c>
      <c r="AB51" s="17">
        <f ca="1">IF($A51=0,0,SUMIF('Week 1 Roster'!$AZ:$AZ,$B51,'Week 1 Roster'!$AK:$AK))</f>
        <v>0</v>
      </c>
      <c r="AC51" s="17">
        <f ca="1">IF($A51=0,0,SUMIF('Week 1 Roster'!$AZ:$AZ,$B51,'Week 1 Roster'!$AM:$AM))</f>
        <v>0</v>
      </c>
      <c r="AD51" s="17">
        <f ca="1">IF($A51=0,0,SUMIF('Week 1 Roster'!$AZ:$AZ,$B51,'Week 1 Roster'!$AO:$AO))</f>
        <v>0</v>
      </c>
      <c r="AE51" s="38">
        <f ca="1">IF($A51=0,0,SUMIF('Week 1 Roster'!$AZ:$AZ,$B51,'Week 1 Roster'!$AP:$AP))</f>
        <v>0</v>
      </c>
      <c r="AF51" s="17">
        <f ca="1">IF($A51=0,0,SUMIF('Week 1 Roster'!$AZ:$AZ,$B51,'Week 1 Roster'!$AQ:$AQ))</f>
        <v>0</v>
      </c>
      <c r="AG51" s="17">
        <f ca="1">IF($A51=0,0,SUMIF('Week 1 Roster'!$AZ:$AZ,$B51,'Week 1 Roster'!$AR:$AR))</f>
        <v>0</v>
      </c>
      <c r="AH51" s="17">
        <f ca="1">IF($A51=0,0,SUMIF('Week 1 Roster'!$AZ:$AZ,$B51,'Week 1 Roster'!$AS:$AS))</f>
        <v>0</v>
      </c>
      <c r="AI51" s="17">
        <f t="shared" ca="1" si="22"/>
        <v>0</v>
      </c>
      <c r="AK51" s="17">
        <f ca="1">IF($A51=0,0,SUMIF('Week 2 Roster'!$AZ:$AZ,$B51,'Week 2 Roster'!$AE:$AE))</f>
        <v>0</v>
      </c>
      <c r="AL51" s="17">
        <f ca="1">IF($A51=0,0,SUMIF('Week 2 Roster'!$AZ:$AZ,$B51,'Week 2 Roster'!$AG:$AG))</f>
        <v>0</v>
      </c>
      <c r="AM51" s="17">
        <f ca="1">IF($A51=0,0,SUMIF('Week 2 Roster'!$AZ:$AZ,$B51,'Week 2 Roster'!$AI:$AI))</f>
        <v>0</v>
      </c>
      <c r="AN51" s="17">
        <f ca="1">IF($A51=0,0,SUMIF('Week 2 Roster'!$AZ:$AZ,$B51,'Week 2 Roster'!$AK:$AK))</f>
        <v>0</v>
      </c>
      <c r="AO51" s="17">
        <f ca="1">IF($A51=0,0,SUMIF('Week 2 Roster'!$AZ:$AZ,$B51,'Week 2 Roster'!$AM:$AM))</f>
        <v>0</v>
      </c>
      <c r="AP51" s="17">
        <f ca="1">IF($A51=0,0,SUMIF('Week 2 Roster'!$AZ:$AZ,$B51,'Week 2 Roster'!$AO:$AO))</f>
        <v>0</v>
      </c>
      <c r="AQ51" s="38">
        <f ca="1">IF($A51=0,0,SUMIF('Week 2 Roster'!$AZ:$AZ,$B51,'Week 2 Roster'!$AP:$AP))</f>
        <v>0</v>
      </c>
      <c r="AR51" s="17">
        <f ca="1">IF($A51=0,0,SUMIF('Week 2 Roster'!$AZ:$AZ,$B51,'Week 2 Roster'!$AQ:$AQ))</f>
        <v>0</v>
      </c>
      <c r="AS51" s="17">
        <f ca="1">IF($A51=0,0,SUMIF('Week 2 Roster'!$AZ:$AZ,$B51,'Week 2 Roster'!$AR:$AR))</f>
        <v>0</v>
      </c>
      <c r="AT51" s="17">
        <f ca="1">IF($A51=0,0,SUMIF('Week 2 Roster'!$AZ:$AZ,$B51,'Week 2 Roster'!$AS:$AS))</f>
        <v>0</v>
      </c>
      <c r="AU51" s="17">
        <f t="shared" ca="1" si="23"/>
        <v>0</v>
      </c>
      <c r="AV51" s="17"/>
      <c r="AW51" s="25" t="str">
        <f>'Week 1 Roster'!A51</f>
        <v/>
      </c>
      <c r="AX51" s="25" t="str">
        <f>'Week 2 Roster'!A51</f>
        <v/>
      </c>
    </row>
    <row r="52" spans="1:50">
      <c r="A52" s="16" cm="1">
        <f t="array" aca="1" ref="A52" ca="1">_xlfn.NUMBERVALUE(INDIRECT(TEXT(MIN(IF(($AW$2:$AX$300&lt;&gt;"")*(COUNTIF($B$1:B51,$AW$2:$AX$300)=0),ROW($2:$300)*100+COLUMN($AW:$AX),7^8)),"R0C00"),)&amp;"")</f>
        <v>0</v>
      </c>
      <c r="B52" s="28" t="str">
        <f t="shared" ca="1" si="9"/>
        <v/>
      </c>
      <c r="C52" s="28" t="str">
        <f ca="1">IF($A52=0,"",VLOOKUP($B52,Employees!$A:$G,2,FALSE))</f>
        <v/>
      </c>
      <c r="D52" s="28" t="str">
        <f ca="1">IF($A52=0,"",VLOOKUP($B52,Employees!$A:$G,3,FALSE))</f>
        <v/>
      </c>
      <c r="E52" s="26" t="str">
        <f ca="1">IF($A52=0,"",VLOOKUP($B52,Employees!$A:$G,5,FALSE))</f>
        <v/>
      </c>
      <c r="F52" s="13" t="str">
        <f ca="1">IF($E52="","",ROUNDDOWN(YEARFRAC($E52, 'Week 1 Roster'!$D$1-1, 1), 0))</f>
        <v/>
      </c>
      <c r="G52" s="13" t="str">
        <f ca="1">IF($E52="","",ROUNDDOWN(YEARFRAC($E52, 'Week 1 Roster'!$D$1+14, 1), 0))</f>
        <v/>
      </c>
      <c r="H52" s="13" t="str">
        <f t="shared" ca="1" si="10"/>
        <v/>
      </c>
      <c r="I52" s="13" t="str">
        <f ca="1">IF($A52=0,"",VLOOKUP($B52,Employees!$A:$G,6,FALSE))</f>
        <v/>
      </c>
      <c r="J52" s="13" t="str">
        <f ca="1">IF($A52=0,"",VLOOKUP($B52,Employees!$A:$G,7,FALSE))</f>
        <v/>
      </c>
      <c r="K52" s="13" t="str">
        <f ca="1">IF($A52=0,"",IF(ISNA(VLOOKUP(A52,'Week 1 Roster'!A:C,2,0)),VLOOKUP(A52,'Week 2 Roster'!A:C,2,0),VLOOKUP(A52,'Week 1 Roster'!A:C,2,0)))</f>
        <v/>
      </c>
      <c r="L52" s="13" t="str">
        <f ca="1">IF($A52=0,"",VLOOKUP(K52,Stores!A:B,2,0))</f>
        <v/>
      </c>
      <c r="M52" s="14">
        <f t="shared" ca="1" si="11"/>
        <v>0</v>
      </c>
      <c r="N52" s="14">
        <f t="shared" ca="1" si="12"/>
        <v>0</v>
      </c>
      <c r="O52" s="14">
        <f t="shared" ca="1" si="13"/>
        <v>0</v>
      </c>
      <c r="P52" s="14">
        <f t="shared" ca="1" si="14"/>
        <v>0</v>
      </c>
      <c r="Q52" s="14">
        <f t="shared" ca="1" si="15"/>
        <v>0</v>
      </c>
      <c r="R52" s="14">
        <f t="shared" ca="1" si="16"/>
        <v>0</v>
      </c>
      <c r="S52" s="28">
        <f t="shared" ca="1" si="17"/>
        <v>0</v>
      </c>
      <c r="T52" s="14">
        <f t="shared" ca="1" si="18"/>
        <v>0</v>
      </c>
      <c r="U52" s="14">
        <f t="shared" ca="1" si="19"/>
        <v>0</v>
      </c>
      <c r="V52" s="14">
        <f t="shared" ca="1" si="20"/>
        <v>0</v>
      </c>
      <c r="W52" s="14">
        <f t="shared" ca="1" si="21"/>
        <v>0</v>
      </c>
      <c r="Y52" s="17">
        <f ca="1">IF($A52=0,0,SUMIF('Week 1 Roster'!$AZ:$AZ,$B52,'Week 1 Roster'!$AE:$AE))</f>
        <v>0</v>
      </c>
      <c r="Z52" s="17">
        <f ca="1">IF($A52=0,0,SUMIF('Week 1 Roster'!$AZ:$AZ,$B52,'Week 1 Roster'!$AG:$AG))</f>
        <v>0</v>
      </c>
      <c r="AA52" s="17">
        <f ca="1">IF($A52=0,0,SUMIF('Week 1 Roster'!$AZ:$AZ,$B52,'Week 1 Roster'!$AI:$AI))</f>
        <v>0</v>
      </c>
      <c r="AB52" s="17">
        <f ca="1">IF($A52=0,0,SUMIF('Week 1 Roster'!$AZ:$AZ,$B52,'Week 1 Roster'!$AK:$AK))</f>
        <v>0</v>
      </c>
      <c r="AC52" s="17">
        <f ca="1">IF($A52=0,0,SUMIF('Week 1 Roster'!$AZ:$AZ,$B52,'Week 1 Roster'!$AM:$AM))</f>
        <v>0</v>
      </c>
      <c r="AD52" s="17">
        <f ca="1">IF($A52=0,0,SUMIF('Week 1 Roster'!$AZ:$AZ,$B52,'Week 1 Roster'!$AO:$AO))</f>
        <v>0</v>
      </c>
      <c r="AE52" s="38">
        <f ca="1">IF($A52=0,0,SUMIF('Week 1 Roster'!$AZ:$AZ,$B52,'Week 1 Roster'!$AP:$AP))</f>
        <v>0</v>
      </c>
      <c r="AF52" s="17">
        <f ca="1">IF($A52=0,0,SUMIF('Week 1 Roster'!$AZ:$AZ,$B52,'Week 1 Roster'!$AQ:$AQ))</f>
        <v>0</v>
      </c>
      <c r="AG52" s="17">
        <f ca="1">IF($A52=0,0,SUMIF('Week 1 Roster'!$AZ:$AZ,$B52,'Week 1 Roster'!$AR:$AR))</f>
        <v>0</v>
      </c>
      <c r="AH52" s="17">
        <f ca="1">IF($A52=0,0,SUMIF('Week 1 Roster'!$AZ:$AZ,$B52,'Week 1 Roster'!$AS:$AS))</f>
        <v>0</v>
      </c>
      <c r="AI52" s="17">
        <f t="shared" ca="1" si="22"/>
        <v>0</v>
      </c>
      <c r="AK52" s="17">
        <f ca="1">IF($A52=0,0,SUMIF('Week 2 Roster'!$AZ:$AZ,$B52,'Week 2 Roster'!$AE:$AE))</f>
        <v>0</v>
      </c>
      <c r="AL52" s="17">
        <f ca="1">IF($A52=0,0,SUMIF('Week 2 Roster'!$AZ:$AZ,$B52,'Week 2 Roster'!$AG:$AG))</f>
        <v>0</v>
      </c>
      <c r="AM52" s="17">
        <f ca="1">IF($A52=0,0,SUMIF('Week 2 Roster'!$AZ:$AZ,$B52,'Week 2 Roster'!$AI:$AI))</f>
        <v>0</v>
      </c>
      <c r="AN52" s="17">
        <f ca="1">IF($A52=0,0,SUMIF('Week 2 Roster'!$AZ:$AZ,$B52,'Week 2 Roster'!$AK:$AK))</f>
        <v>0</v>
      </c>
      <c r="AO52" s="17">
        <f ca="1">IF($A52=0,0,SUMIF('Week 2 Roster'!$AZ:$AZ,$B52,'Week 2 Roster'!$AM:$AM))</f>
        <v>0</v>
      </c>
      <c r="AP52" s="17">
        <f ca="1">IF($A52=0,0,SUMIF('Week 2 Roster'!$AZ:$AZ,$B52,'Week 2 Roster'!$AO:$AO))</f>
        <v>0</v>
      </c>
      <c r="AQ52" s="38">
        <f ca="1">IF($A52=0,0,SUMIF('Week 2 Roster'!$AZ:$AZ,$B52,'Week 2 Roster'!$AP:$AP))</f>
        <v>0</v>
      </c>
      <c r="AR52" s="17">
        <f ca="1">IF($A52=0,0,SUMIF('Week 2 Roster'!$AZ:$AZ,$B52,'Week 2 Roster'!$AQ:$AQ))</f>
        <v>0</v>
      </c>
      <c r="AS52" s="17">
        <f ca="1">IF($A52=0,0,SUMIF('Week 2 Roster'!$AZ:$AZ,$B52,'Week 2 Roster'!$AR:$AR))</f>
        <v>0</v>
      </c>
      <c r="AT52" s="17">
        <f ca="1">IF($A52=0,0,SUMIF('Week 2 Roster'!$AZ:$AZ,$B52,'Week 2 Roster'!$AS:$AS))</f>
        <v>0</v>
      </c>
      <c r="AU52" s="17">
        <f t="shared" ca="1" si="23"/>
        <v>0</v>
      </c>
      <c r="AV52" s="17"/>
      <c r="AW52" s="25" t="str">
        <f>'Week 1 Roster'!A52</f>
        <v/>
      </c>
      <c r="AX52" s="25" t="str">
        <f>'Week 2 Roster'!A52</f>
        <v/>
      </c>
    </row>
    <row r="53" spans="1:50">
      <c r="A53" s="16" cm="1">
        <f t="array" aca="1" ref="A53" ca="1">_xlfn.NUMBERVALUE(INDIRECT(TEXT(MIN(IF(($AW$2:$AX$300&lt;&gt;"")*(COUNTIF($B$1:B52,$AW$2:$AX$300)=0),ROW($2:$300)*100+COLUMN($AW:$AX),7^8)),"R0C00"),)&amp;"")</f>
        <v>0</v>
      </c>
      <c r="B53" s="28" t="str">
        <f t="shared" ca="1" si="9"/>
        <v/>
      </c>
      <c r="C53" s="28" t="str">
        <f ca="1">IF($A53=0,"",VLOOKUP($B53,Employees!$A:$G,2,FALSE))</f>
        <v/>
      </c>
      <c r="D53" s="28" t="str">
        <f ca="1">IF($A53=0,"",VLOOKUP($B53,Employees!$A:$G,3,FALSE))</f>
        <v/>
      </c>
      <c r="E53" s="26" t="str">
        <f ca="1">IF($A53=0,"",VLOOKUP($B53,Employees!$A:$G,5,FALSE))</f>
        <v/>
      </c>
      <c r="F53" s="13" t="str">
        <f ca="1">IF($E53="","",ROUNDDOWN(YEARFRAC($E53, 'Week 1 Roster'!$D$1-1, 1), 0))</f>
        <v/>
      </c>
      <c r="G53" s="13" t="str">
        <f ca="1">IF($E53="","",ROUNDDOWN(YEARFRAC($E53, 'Week 1 Roster'!$D$1+14, 1), 0))</f>
        <v/>
      </c>
      <c r="H53" s="13" t="str">
        <f t="shared" ca="1" si="10"/>
        <v/>
      </c>
      <c r="I53" s="13" t="str">
        <f ca="1">IF($A53=0,"",VLOOKUP($B53,Employees!$A:$G,6,FALSE))</f>
        <v/>
      </c>
      <c r="J53" s="13" t="str">
        <f ca="1">IF($A53=0,"",VLOOKUP($B53,Employees!$A:$G,7,FALSE))</f>
        <v/>
      </c>
      <c r="K53" s="13" t="str">
        <f ca="1">IF($A53=0,"",IF(ISNA(VLOOKUP(A53,'Week 1 Roster'!A:C,2,0)),VLOOKUP(A53,'Week 2 Roster'!A:C,2,0),VLOOKUP(A53,'Week 1 Roster'!A:C,2,0)))</f>
        <v/>
      </c>
      <c r="L53" s="13" t="str">
        <f ca="1">IF($A53=0,"",VLOOKUP(K53,Stores!A:B,2,0))</f>
        <v/>
      </c>
      <c r="M53" s="14">
        <f t="shared" ca="1" si="11"/>
        <v>0</v>
      </c>
      <c r="N53" s="14">
        <f t="shared" ca="1" si="12"/>
        <v>0</v>
      </c>
      <c r="O53" s="14">
        <f t="shared" ca="1" si="13"/>
        <v>0</v>
      </c>
      <c r="P53" s="14">
        <f t="shared" ca="1" si="14"/>
        <v>0</v>
      </c>
      <c r="Q53" s="14">
        <f t="shared" ca="1" si="15"/>
        <v>0</v>
      </c>
      <c r="R53" s="14">
        <f t="shared" ca="1" si="16"/>
        <v>0</v>
      </c>
      <c r="S53" s="28">
        <f t="shared" ca="1" si="17"/>
        <v>0</v>
      </c>
      <c r="T53" s="14">
        <f t="shared" ca="1" si="18"/>
        <v>0</v>
      </c>
      <c r="U53" s="14">
        <f t="shared" ca="1" si="19"/>
        <v>0</v>
      </c>
      <c r="V53" s="14">
        <f t="shared" ca="1" si="20"/>
        <v>0</v>
      </c>
      <c r="W53" s="14">
        <f t="shared" ca="1" si="21"/>
        <v>0</v>
      </c>
      <c r="Y53" s="17">
        <f ca="1">IF($A53=0,0,SUMIF('Week 1 Roster'!$AZ:$AZ,$B53,'Week 1 Roster'!$AE:$AE))</f>
        <v>0</v>
      </c>
      <c r="Z53" s="17">
        <f ca="1">IF($A53=0,0,SUMIF('Week 1 Roster'!$AZ:$AZ,$B53,'Week 1 Roster'!$AG:$AG))</f>
        <v>0</v>
      </c>
      <c r="AA53" s="17">
        <f ca="1">IF($A53=0,0,SUMIF('Week 1 Roster'!$AZ:$AZ,$B53,'Week 1 Roster'!$AI:$AI))</f>
        <v>0</v>
      </c>
      <c r="AB53" s="17">
        <f ca="1">IF($A53=0,0,SUMIF('Week 1 Roster'!$AZ:$AZ,$B53,'Week 1 Roster'!$AK:$AK))</f>
        <v>0</v>
      </c>
      <c r="AC53" s="17">
        <f ca="1">IF($A53=0,0,SUMIF('Week 1 Roster'!$AZ:$AZ,$B53,'Week 1 Roster'!$AM:$AM))</f>
        <v>0</v>
      </c>
      <c r="AD53" s="17">
        <f ca="1">IF($A53=0,0,SUMIF('Week 1 Roster'!$AZ:$AZ,$B53,'Week 1 Roster'!$AO:$AO))</f>
        <v>0</v>
      </c>
      <c r="AE53" s="38">
        <f ca="1">IF($A53=0,0,SUMIF('Week 1 Roster'!$AZ:$AZ,$B53,'Week 1 Roster'!$AP:$AP))</f>
        <v>0</v>
      </c>
      <c r="AF53" s="17">
        <f ca="1">IF($A53=0,0,SUMIF('Week 1 Roster'!$AZ:$AZ,$B53,'Week 1 Roster'!$AQ:$AQ))</f>
        <v>0</v>
      </c>
      <c r="AG53" s="17">
        <f ca="1">IF($A53=0,0,SUMIF('Week 1 Roster'!$AZ:$AZ,$B53,'Week 1 Roster'!$AR:$AR))</f>
        <v>0</v>
      </c>
      <c r="AH53" s="17">
        <f ca="1">IF($A53=0,0,SUMIF('Week 1 Roster'!$AZ:$AZ,$B53,'Week 1 Roster'!$AS:$AS))</f>
        <v>0</v>
      </c>
      <c r="AI53" s="17">
        <f t="shared" ca="1" si="22"/>
        <v>0</v>
      </c>
      <c r="AK53" s="17">
        <f ca="1">IF($A53=0,0,SUMIF('Week 2 Roster'!$AZ:$AZ,$B53,'Week 2 Roster'!$AE:$AE))</f>
        <v>0</v>
      </c>
      <c r="AL53" s="17">
        <f ca="1">IF($A53=0,0,SUMIF('Week 2 Roster'!$AZ:$AZ,$B53,'Week 2 Roster'!$AG:$AG))</f>
        <v>0</v>
      </c>
      <c r="AM53" s="17">
        <f ca="1">IF($A53=0,0,SUMIF('Week 2 Roster'!$AZ:$AZ,$B53,'Week 2 Roster'!$AI:$AI))</f>
        <v>0</v>
      </c>
      <c r="AN53" s="17">
        <f ca="1">IF($A53=0,0,SUMIF('Week 2 Roster'!$AZ:$AZ,$B53,'Week 2 Roster'!$AK:$AK))</f>
        <v>0</v>
      </c>
      <c r="AO53" s="17">
        <f ca="1">IF($A53=0,0,SUMIF('Week 2 Roster'!$AZ:$AZ,$B53,'Week 2 Roster'!$AM:$AM))</f>
        <v>0</v>
      </c>
      <c r="AP53" s="17">
        <f ca="1">IF($A53=0,0,SUMIF('Week 2 Roster'!$AZ:$AZ,$B53,'Week 2 Roster'!$AO:$AO))</f>
        <v>0</v>
      </c>
      <c r="AQ53" s="38">
        <f ca="1">IF($A53=0,0,SUMIF('Week 2 Roster'!$AZ:$AZ,$B53,'Week 2 Roster'!$AP:$AP))</f>
        <v>0</v>
      </c>
      <c r="AR53" s="17">
        <f ca="1">IF($A53=0,0,SUMIF('Week 2 Roster'!$AZ:$AZ,$B53,'Week 2 Roster'!$AQ:$AQ))</f>
        <v>0</v>
      </c>
      <c r="AS53" s="17">
        <f ca="1">IF($A53=0,0,SUMIF('Week 2 Roster'!$AZ:$AZ,$B53,'Week 2 Roster'!$AR:$AR))</f>
        <v>0</v>
      </c>
      <c r="AT53" s="17">
        <f ca="1">IF($A53=0,0,SUMIF('Week 2 Roster'!$AZ:$AZ,$B53,'Week 2 Roster'!$AS:$AS))</f>
        <v>0</v>
      </c>
      <c r="AU53" s="17">
        <f t="shared" ca="1" si="23"/>
        <v>0</v>
      </c>
      <c r="AV53" s="17"/>
      <c r="AW53" s="25" t="str">
        <f>'Week 1 Roster'!A53</f>
        <v/>
      </c>
      <c r="AX53" s="25" t="str">
        <f>'Week 2 Roster'!A53</f>
        <v/>
      </c>
    </row>
    <row r="54" spans="1:50">
      <c r="A54" s="16" cm="1">
        <f t="array" aca="1" ref="A54" ca="1">_xlfn.NUMBERVALUE(INDIRECT(TEXT(MIN(IF(($AW$2:$AX$300&lt;&gt;"")*(COUNTIF($B$1:B53,$AW$2:$AX$300)=0),ROW($2:$300)*100+COLUMN($AW:$AX),7^8)),"R0C00"),)&amp;"")</f>
        <v>0</v>
      </c>
      <c r="B54" s="28" t="str">
        <f t="shared" ca="1" si="9"/>
        <v/>
      </c>
      <c r="C54" s="28" t="str">
        <f ca="1">IF($A54=0,"",VLOOKUP($B54,Employees!$A:$G,2,FALSE))</f>
        <v/>
      </c>
      <c r="D54" s="28" t="str">
        <f ca="1">IF($A54=0,"",VLOOKUP($B54,Employees!$A:$G,3,FALSE))</f>
        <v/>
      </c>
      <c r="E54" s="26" t="str">
        <f ca="1">IF($A54=0,"",VLOOKUP($B54,Employees!$A:$G,5,FALSE))</f>
        <v/>
      </c>
      <c r="F54" s="13" t="str">
        <f ca="1">IF($E54="","",ROUNDDOWN(YEARFRAC($E54, 'Week 1 Roster'!$D$1-1, 1), 0))</f>
        <v/>
      </c>
      <c r="G54" s="13" t="str">
        <f ca="1">IF($E54="","",ROUNDDOWN(YEARFRAC($E54, 'Week 1 Roster'!$D$1+14, 1), 0))</f>
        <v/>
      </c>
      <c r="H54" s="13" t="str">
        <f t="shared" ca="1" si="10"/>
        <v/>
      </c>
      <c r="I54" s="13" t="str">
        <f ca="1">IF($A54=0,"",VLOOKUP($B54,Employees!$A:$G,6,FALSE))</f>
        <v/>
      </c>
      <c r="J54" s="13" t="str">
        <f ca="1">IF($A54=0,"",VLOOKUP($B54,Employees!$A:$G,7,FALSE))</f>
        <v/>
      </c>
      <c r="K54" s="13" t="str">
        <f ca="1">IF($A54=0,"",IF(ISNA(VLOOKUP(A54,'Week 1 Roster'!A:C,2,0)),VLOOKUP(A54,'Week 2 Roster'!A:C,2,0),VLOOKUP(A54,'Week 1 Roster'!A:C,2,0)))</f>
        <v/>
      </c>
      <c r="L54" s="13" t="str">
        <f ca="1">IF($A54=0,"",VLOOKUP(K54,Stores!A:B,2,0))</f>
        <v/>
      </c>
      <c r="M54" s="14">
        <f t="shared" ca="1" si="11"/>
        <v>0</v>
      </c>
      <c r="N54" s="14">
        <f t="shared" ca="1" si="12"/>
        <v>0</v>
      </c>
      <c r="O54" s="14">
        <f t="shared" ca="1" si="13"/>
        <v>0</v>
      </c>
      <c r="P54" s="14">
        <f t="shared" ca="1" si="14"/>
        <v>0</v>
      </c>
      <c r="Q54" s="14">
        <f t="shared" ca="1" si="15"/>
        <v>0</v>
      </c>
      <c r="R54" s="14">
        <f t="shared" ca="1" si="16"/>
        <v>0</v>
      </c>
      <c r="S54" s="28">
        <f t="shared" ca="1" si="17"/>
        <v>0</v>
      </c>
      <c r="T54" s="14">
        <f t="shared" ca="1" si="18"/>
        <v>0</v>
      </c>
      <c r="U54" s="14">
        <f t="shared" ca="1" si="19"/>
        <v>0</v>
      </c>
      <c r="V54" s="14">
        <f t="shared" ca="1" si="20"/>
        <v>0</v>
      </c>
      <c r="W54" s="14">
        <f t="shared" ca="1" si="21"/>
        <v>0</v>
      </c>
      <c r="Y54" s="17">
        <f ca="1">IF($A54=0,0,SUMIF('Week 1 Roster'!$AZ:$AZ,$B54,'Week 1 Roster'!$AE:$AE))</f>
        <v>0</v>
      </c>
      <c r="Z54" s="17">
        <f ca="1">IF($A54=0,0,SUMIF('Week 1 Roster'!$AZ:$AZ,$B54,'Week 1 Roster'!$AG:$AG))</f>
        <v>0</v>
      </c>
      <c r="AA54" s="17">
        <f ca="1">IF($A54=0,0,SUMIF('Week 1 Roster'!$AZ:$AZ,$B54,'Week 1 Roster'!$AI:$AI))</f>
        <v>0</v>
      </c>
      <c r="AB54" s="17">
        <f ca="1">IF($A54=0,0,SUMIF('Week 1 Roster'!$AZ:$AZ,$B54,'Week 1 Roster'!$AK:$AK))</f>
        <v>0</v>
      </c>
      <c r="AC54" s="17">
        <f ca="1">IF($A54=0,0,SUMIF('Week 1 Roster'!$AZ:$AZ,$B54,'Week 1 Roster'!$AM:$AM))</f>
        <v>0</v>
      </c>
      <c r="AD54" s="17">
        <f ca="1">IF($A54=0,0,SUMIF('Week 1 Roster'!$AZ:$AZ,$B54,'Week 1 Roster'!$AO:$AO))</f>
        <v>0</v>
      </c>
      <c r="AE54" s="38">
        <f ca="1">IF($A54=0,0,SUMIF('Week 1 Roster'!$AZ:$AZ,$B54,'Week 1 Roster'!$AP:$AP))</f>
        <v>0</v>
      </c>
      <c r="AF54" s="17">
        <f ca="1">IF($A54=0,0,SUMIF('Week 1 Roster'!$AZ:$AZ,$B54,'Week 1 Roster'!$AQ:$AQ))</f>
        <v>0</v>
      </c>
      <c r="AG54" s="17">
        <f ca="1">IF($A54=0,0,SUMIF('Week 1 Roster'!$AZ:$AZ,$B54,'Week 1 Roster'!$AR:$AR))</f>
        <v>0</v>
      </c>
      <c r="AH54" s="17">
        <f ca="1">IF($A54=0,0,SUMIF('Week 1 Roster'!$AZ:$AZ,$B54,'Week 1 Roster'!$AS:$AS))</f>
        <v>0</v>
      </c>
      <c r="AI54" s="17">
        <f t="shared" ca="1" si="22"/>
        <v>0</v>
      </c>
      <c r="AK54" s="17">
        <f ca="1">IF($A54=0,0,SUMIF('Week 2 Roster'!$AZ:$AZ,$B54,'Week 2 Roster'!$AE:$AE))</f>
        <v>0</v>
      </c>
      <c r="AL54" s="17">
        <f ca="1">IF($A54=0,0,SUMIF('Week 2 Roster'!$AZ:$AZ,$B54,'Week 2 Roster'!$AG:$AG))</f>
        <v>0</v>
      </c>
      <c r="AM54" s="17">
        <f ca="1">IF($A54=0,0,SUMIF('Week 2 Roster'!$AZ:$AZ,$B54,'Week 2 Roster'!$AI:$AI))</f>
        <v>0</v>
      </c>
      <c r="AN54" s="17">
        <f ca="1">IF($A54=0,0,SUMIF('Week 2 Roster'!$AZ:$AZ,$B54,'Week 2 Roster'!$AK:$AK))</f>
        <v>0</v>
      </c>
      <c r="AO54" s="17">
        <f ca="1">IF($A54=0,0,SUMIF('Week 2 Roster'!$AZ:$AZ,$B54,'Week 2 Roster'!$AM:$AM))</f>
        <v>0</v>
      </c>
      <c r="AP54" s="17">
        <f ca="1">IF($A54=0,0,SUMIF('Week 2 Roster'!$AZ:$AZ,$B54,'Week 2 Roster'!$AO:$AO))</f>
        <v>0</v>
      </c>
      <c r="AQ54" s="38">
        <f ca="1">IF($A54=0,0,SUMIF('Week 2 Roster'!$AZ:$AZ,$B54,'Week 2 Roster'!$AP:$AP))</f>
        <v>0</v>
      </c>
      <c r="AR54" s="17">
        <f ca="1">IF($A54=0,0,SUMIF('Week 2 Roster'!$AZ:$AZ,$B54,'Week 2 Roster'!$AQ:$AQ))</f>
        <v>0</v>
      </c>
      <c r="AS54" s="17">
        <f ca="1">IF($A54=0,0,SUMIF('Week 2 Roster'!$AZ:$AZ,$B54,'Week 2 Roster'!$AR:$AR))</f>
        <v>0</v>
      </c>
      <c r="AT54" s="17">
        <f ca="1">IF($A54=0,0,SUMIF('Week 2 Roster'!$AZ:$AZ,$B54,'Week 2 Roster'!$AS:$AS))</f>
        <v>0</v>
      </c>
      <c r="AU54" s="17">
        <f t="shared" ca="1" si="23"/>
        <v>0</v>
      </c>
      <c r="AV54" s="17"/>
      <c r="AW54" s="25" t="str">
        <f>'Week 1 Roster'!A54</f>
        <v/>
      </c>
      <c r="AX54" s="25" t="str">
        <f>'Week 2 Roster'!A54</f>
        <v/>
      </c>
    </row>
    <row r="55" spans="1:50">
      <c r="A55" s="16" cm="1">
        <f t="array" aca="1" ref="A55" ca="1">_xlfn.NUMBERVALUE(INDIRECT(TEXT(MIN(IF(($AW$2:$AX$300&lt;&gt;"")*(COUNTIF($B$1:B54,$AW$2:$AX$300)=0),ROW($2:$300)*100+COLUMN($AW:$AX),7^8)),"R0C00"),)&amp;"")</f>
        <v>0</v>
      </c>
      <c r="B55" s="28" t="str">
        <f t="shared" ca="1" si="9"/>
        <v/>
      </c>
      <c r="C55" s="28" t="str">
        <f ca="1">IF($A55=0,"",VLOOKUP($B55,Employees!$A:$G,2,FALSE))</f>
        <v/>
      </c>
      <c r="D55" s="28" t="str">
        <f ca="1">IF($A55=0,"",VLOOKUP($B55,Employees!$A:$G,3,FALSE))</f>
        <v/>
      </c>
      <c r="E55" s="26" t="str">
        <f ca="1">IF($A55=0,"",VLOOKUP($B55,Employees!$A:$G,5,FALSE))</f>
        <v/>
      </c>
      <c r="F55" s="13" t="str">
        <f ca="1">IF($E55="","",ROUNDDOWN(YEARFRAC($E55, 'Week 1 Roster'!$D$1-1, 1), 0))</f>
        <v/>
      </c>
      <c r="G55" s="13" t="str">
        <f ca="1">IF($E55="","",ROUNDDOWN(YEARFRAC($E55, 'Week 1 Roster'!$D$1+14, 1), 0))</f>
        <v/>
      </c>
      <c r="H55" s="13" t="str">
        <f t="shared" ca="1" si="10"/>
        <v/>
      </c>
      <c r="I55" s="13" t="str">
        <f ca="1">IF($A55=0,"",VLOOKUP($B55,Employees!$A:$G,6,FALSE))</f>
        <v/>
      </c>
      <c r="J55" s="13" t="str">
        <f ca="1">IF($A55=0,"",VLOOKUP($B55,Employees!$A:$G,7,FALSE))</f>
        <v/>
      </c>
      <c r="K55" s="13" t="str">
        <f ca="1">IF($A55=0,"",IF(ISNA(VLOOKUP(A55,'Week 1 Roster'!A:C,2,0)),VLOOKUP(A55,'Week 2 Roster'!A:C,2,0),VLOOKUP(A55,'Week 1 Roster'!A:C,2,0)))</f>
        <v/>
      </c>
      <c r="L55" s="13" t="str">
        <f ca="1">IF($A55=0,"",VLOOKUP(K55,Stores!A:B,2,0))</f>
        <v/>
      </c>
      <c r="M55" s="14">
        <f t="shared" ca="1" si="11"/>
        <v>0</v>
      </c>
      <c r="N55" s="14">
        <f t="shared" ca="1" si="12"/>
        <v>0</v>
      </c>
      <c r="O55" s="14">
        <f t="shared" ca="1" si="13"/>
        <v>0</v>
      </c>
      <c r="P55" s="14">
        <f t="shared" ca="1" si="14"/>
        <v>0</v>
      </c>
      <c r="Q55" s="14">
        <f t="shared" ca="1" si="15"/>
        <v>0</v>
      </c>
      <c r="R55" s="14">
        <f t="shared" ca="1" si="16"/>
        <v>0</v>
      </c>
      <c r="S55" s="28">
        <f t="shared" ca="1" si="17"/>
        <v>0</v>
      </c>
      <c r="T55" s="14">
        <f t="shared" ca="1" si="18"/>
        <v>0</v>
      </c>
      <c r="U55" s="14">
        <f t="shared" ca="1" si="19"/>
        <v>0</v>
      </c>
      <c r="V55" s="14">
        <f t="shared" ca="1" si="20"/>
        <v>0</v>
      </c>
      <c r="W55" s="14">
        <f t="shared" ca="1" si="21"/>
        <v>0</v>
      </c>
      <c r="Y55" s="17">
        <f ca="1">IF($A55=0,0,SUMIF('Week 1 Roster'!$AZ:$AZ,$B55,'Week 1 Roster'!$AE:$AE))</f>
        <v>0</v>
      </c>
      <c r="Z55" s="17">
        <f ca="1">IF($A55=0,0,SUMIF('Week 1 Roster'!$AZ:$AZ,$B55,'Week 1 Roster'!$AG:$AG))</f>
        <v>0</v>
      </c>
      <c r="AA55" s="17">
        <f ca="1">IF($A55=0,0,SUMIF('Week 1 Roster'!$AZ:$AZ,$B55,'Week 1 Roster'!$AI:$AI))</f>
        <v>0</v>
      </c>
      <c r="AB55" s="17">
        <f ca="1">IF($A55=0,0,SUMIF('Week 1 Roster'!$AZ:$AZ,$B55,'Week 1 Roster'!$AK:$AK))</f>
        <v>0</v>
      </c>
      <c r="AC55" s="17">
        <f ca="1">IF($A55=0,0,SUMIF('Week 1 Roster'!$AZ:$AZ,$B55,'Week 1 Roster'!$AM:$AM))</f>
        <v>0</v>
      </c>
      <c r="AD55" s="17">
        <f ca="1">IF($A55=0,0,SUMIF('Week 1 Roster'!$AZ:$AZ,$B55,'Week 1 Roster'!$AO:$AO))</f>
        <v>0</v>
      </c>
      <c r="AE55" s="38">
        <f ca="1">IF($A55=0,0,SUMIF('Week 1 Roster'!$AZ:$AZ,$B55,'Week 1 Roster'!$AP:$AP))</f>
        <v>0</v>
      </c>
      <c r="AF55" s="17">
        <f ca="1">IF($A55=0,0,SUMIF('Week 1 Roster'!$AZ:$AZ,$B55,'Week 1 Roster'!$AQ:$AQ))</f>
        <v>0</v>
      </c>
      <c r="AG55" s="17">
        <f ca="1">IF($A55=0,0,SUMIF('Week 1 Roster'!$AZ:$AZ,$B55,'Week 1 Roster'!$AR:$AR))</f>
        <v>0</v>
      </c>
      <c r="AH55" s="17">
        <f ca="1">IF($A55=0,0,SUMIF('Week 1 Roster'!$AZ:$AZ,$B55,'Week 1 Roster'!$AS:$AS))</f>
        <v>0</v>
      </c>
      <c r="AI55" s="17">
        <f t="shared" ca="1" si="22"/>
        <v>0</v>
      </c>
      <c r="AK55" s="17">
        <f ca="1">IF($A55=0,0,SUMIF('Week 2 Roster'!$AZ:$AZ,$B55,'Week 2 Roster'!$AE:$AE))</f>
        <v>0</v>
      </c>
      <c r="AL55" s="17">
        <f ca="1">IF($A55=0,0,SUMIF('Week 2 Roster'!$AZ:$AZ,$B55,'Week 2 Roster'!$AG:$AG))</f>
        <v>0</v>
      </c>
      <c r="AM55" s="17">
        <f ca="1">IF($A55=0,0,SUMIF('Week 2 Roster'!$AZ:$AZ,$B55,'Week 2 Roster'!$AI:$AI))</f>
        <v>0</v>
      </c>
      <c r="AN55" s="17">
        <f ca="1">IF($A55=0,0,SUMIF('Week 2 Roster'!$AZ:$AZ,$B55,'Week 2 Roster'!$AK:$AK))</f>
        <v>0</v>
      </c>
      <c r="AO55" s="17">
        <f ca="1">IF($A55=0,0,SUMIF('Week 2 Roster'!$AZ:$AZ,$B55,'Week 2 Roster'!$AM:$AM))</f>
        <v>0</v>
      </c>
      <c r="AP55" s="17">
        <f ca="1">IF($A55=0,0,SUMIF('Week 2 Roster'!$AZ:$AZ,$B55,'Week 2 Roster'!$AO:$AO))</f>
        <v>0</v>
      </c>
      <c r="AQ55" s="38">
        <f ca="1">IF($A55=0,0,SUMIF('Week 2 Roster'!$AZ:$AZ,$B55,'Week 2 Roster'!$AP:$AP))</f>
        <v>0</v>
      </c>
      <c r="AR55" s="17">
        <f ca="1">IF($A55=0,0,SUMIF('Week 2 Roster'!$AZ:$AZ,$B55,'Week 2 Roster'!$AQ:$AQ))</f>
        <v>0</v>
      </c>
      <c r="AS55" s="17">
        <f ca="1">IF($A55=0,0,SUMIF('Week 2 Roster'!$AZ:$AZ,$B55,'Week 2 Roster'!$AR:$AR))</f>
        <v>0</v>
      </c>
      <c r="AT55" s="17">
        <f ca="1">IF($A55=0,0,SUMIF('Week 2 Roster'!$AZ:$AZ,$B55,'Week 2 Roster'!$AS:$AS))</f>
        <v>0</v>
      </c>
      <c r="AU55" s="17">
        <f t="shared" ca="1" si="23"/>
        <v>0</v>
      </c>
      <c r="AV55" s="17"/>
      <c r="AW55" s="25" t="str">
        <f>'Week 1 Roster'!A55</f>
        <v/>
      </c>
      <c r="AX55" s="25" t="str">
        <f>'Week 2 Roster'!A55</f>
        <v/>
      </c>
    </row>
    <row r="56" spans="1:50">
      <c r="A56" s="16" cm="1">
        <f t="array" aca="1" ref="A56" ca="1">_xlfn.NUMBERVALUE(INDIRECT(TEXT(MIN(IF(($AW$2:$AX$300&lt;&gt;"")*(COUNTIF($B$1:B55,$AW$2:$AX$300)=0),ROW($2:$300)*100+COLUMN($AW:$AX),7^8)),"R0C00"),)&amp;"")</f>
        <v>0</v>
      </c>
      <c r="B56" s="28" t="str">
        <f t="shared" ca="1" si="9"/>
        <v/>
      </c>
      <c r="C56" s="28" t="str">
        <f ca="1">IF($A56=0,"",VLOOKUP($B56,Employees!$A:$G,2,FALSE))</f>
        <v/>
      </c>
      <c r="D56" s="28" t="str">
        <f ca="1">IF($A56=0,"",VLOOKUP($B56,Employees!$A:$G,3,FALSE))</f>
        <v/>
      </c>
      <c r="E56" s="26" t="str">
        <f ca="1">IF($A56=0,"",VLOOKUP($B56,Employees!$A:$G,5,FALSE))</f>
        <v/>
      </c>
      <c r="F56" s="13" t="str">
        <f ca="1">IF($E56="","",ROUNDDOWN(YEARFRAC($E56, 'Week 1 Roster'!$D$1-1, 1), 0))</f>
        <v/>
      </c>
      <c r="G56" s="13" t="str">
        <f ca="1">IF($E56="","",ROUNDDOWN(YEARFRAC($E56, 'Week 1 Roster'!$D$1+14, 1), 0))</f>
        <v/>
      </c>
      <c r="H56" s="13" t="str">
        <f t="shared" ca="1" si="10"/>
        <v/>
      </c>
      <c r="I56" s="13" t="str">
        <f ca="1">IF($A56=0,"",VLOOKUP($B56,Employees!$A:$G,6,FALSE))</f>
        <v/>
      </c>
      <c r="J56" s="13" t="str">
        <f ca="1">IF($A56=0,"",VLOOKUP($B56,Employees!$A:$G,7,FALSE))</f>
        <v/>
      </c>
      <c r="K56" s="13" t="str">
        <f ca="1">IF($A56=0,"",IF(ISNA(VLOOKUP(A56,'Week 1 Roster'!A:C,2,0)),VLOOKUP(A56,'Week 2 Roster'!A:C,2,0),VLOOKUP(A56,'Week 1 Roster'!A:C,2,0)))</f>
        <v/>
      </c>
      <c r="L56" s="13" t="str">
        <f ca="1">IF($A56=0,"",VLOOKUP(K56,Stores!A:B,2,0))</f>
        <v/>
      </c>
      <c r="M56" s="14">
        <f t="shared" ca="1" si="11"/>
        <v>0</v>
      </c>
      <c r="N56" s="14">
        <f t="shared" ca="1" si="12"/>
        <v>0</v>
      </c>
      <c r="O56" s="14">
        <f t="shared" ca="1" si="13"/>
        <v>0</v>
      </c>
      <c r="P56" s="14">
        <f t="shared" ca="1" si="14"/>
        <v>0</v>
      </c>
      <c r="Q56" s="14">
        <f t="shared" ca="1" si="15"/>
        <v>0</v>
      </c>
      <c r="R56" s="14">
        <f t="shared" ca="1" si="16"/>
        <v>0</v>
      </c>
      <c r="S56" s="28">
        <f t="shared" ca="1" si="17"/>
        <v>0</v>
      </c>
      <c r="T56" s="14">
        <f t="shared" ca="1" si="18"/>
        <v>0</v>
      </c>
      <c r="U56" s="14">
        <f t="shared" ca="1" si="19"/>
        <v>0</v>
      </c>
      <c r="V56" s="14">
        <f t="shared" ca="1" si="20"/>
        <v>0</v>
      </c>
      <c r="W56" s="14">
        <f t="shared" ca="1" si="21"/>
        <v>0</v>
      </c>
      <c r="Y56" s="17">
        <f ca="1">IF($A56=0,0,SUMIF('Week 1 Roster'!$AZ:$AZ,$B56,'Week 1 Roster'!$AE:$AE))</f>
        <v>0</v>
      </c>
      <c r="Z56" s="17">
        <f ca="1">IF($A56=0,0,SUMIF('Week 1 Roster'!$AZ:$AZ,$B56,'Week 1 Roster'!$AG:$AG))</f>
        <v>0</v>
      </c>
      <c r="AA56" s="17">
        <f ca="1">IF($A56=0,0,SUMIF('Week 1 Roster'!$AZ:$AZ,$B56,'Week 1 Roster'!$AI:$AI))</f>
        <v>0</v>
      </c>
      <c r="AB56" s="17">
        <f ca="1">IF($A56=0,0,SUMIF('Week 1 Roster'!$AZ:$AZ,$B56,'Week 1 Roster'!$AK:$AK))</f>
        <v>0</v>
      </c>
      <c r="AC56" s="17">
        <f ca="1">IF($A56=0,0,SUMIF('Week 1 Roster'!$AZ:$AZ,$B56,'Week 1 Roster'!$AM:$AM))</f>
        <v>0</v>
      </c>
      <c r="AD56" s="17">
        <f ca="1">IF($A56=0,0,SUMIF('Week 1 Roster'!$AZ:$AZ,$B56,'Week 1 Roster'!$AO:$AO))</f>
        <v>0</v>
      </c>
      <c r="AE56" s="38">
        <f ca="1">IF($A56=0,0,SUMIF('Week 1 Roster'!$AZ:$AZ,$B56,'Week 1 Roster'!$AP:$AP))</f>
        <v>0</v>
      </c>
      <c r="AF56" s="17">
        <f ca="1">IF($A56=0,0,SUMIF('Week 1 Roster'!$AZ:$AZ,$B56,'Week 1 Roster'!$AQ:$AQ))</f>
        <v>0</v>
      </c>
      <c r="AG56" s="17">
        <f ca="1">IF($A56=0,0,SUMIF('Week 1 Roster'!$AZ:$AZ,$B56,'Week 1 Roster'!$AR:$AR))</f>
        <v>0</v>
      </c>
      <c r="AH56" s="17">
        <f ca="1">IF($A56=0,0,SUMIF('Week 1 Roster'!$AZ:$AZ,$B56,'Week 1 Roster'!$AS:$AS))</f>
        <v>0</v>
      </c>
      <c r="AI56" s="17">
        <f t="shared" ca="1" si="22"/>
        <v>0</v>
      </c>
      <c r="AK56" s="17">
        <f ca="1">IF($A56=0,0,SUMIF('Week 2 Roster'!$AZ:$AZ,$B56,'Week 2 Roster'!$AE:$AE))</f>
        <v>0</v>
      </c>
      <c r="AL56" s="17">
        <f ca="1">IF($A56=0,0,SUMIF('Week 2 Roster'!$AZ:$AZ,$B56,'Week 2 Roster'!$AG:$AG))</f>
        <v>0</v>
      </c>
      <c r="AM56" s="17">
        <f ca="1">IF($A56=0,0,SUMIF('Week 2 Roster'!$AZ:$AZ,$B56,'Week 2 Roster'!$AI:$AI))</f>
        <v>0</v>
      </c>
      <c r="AN56" s="17">
        <f ca="1">IF($A56=0,0,SUMIF('Week 2 Roster'!$AZ:$AZ,$B56,'Week 2 Roster'!$AK:$AK))</f>
        <v>0</v>
      </c>
      <c r="AO56" s="17">
        <f ca="1">IF($A56=0,0,SUMIF('Week 2 Roster'!$AZ:$AZ,$B56,'Week 2 Roster'!$AM:$AM))</f>
        <v>0</v>
      </c>
      <c r="AP56" s="17">
        <f ca="1">IF($A56=0,0,SUMIF('Week 2 Roster'!$AZ:$AZ,$B56,'Week 2 Roster'!$AO:$AO))</f>
        <v>0</v>
      </c>
      <c r="AQ56" s="38">
        <f ca="1">IF($A56=0,0,SUMIF('Week 2 Roster'!$AZ:$AZ,$B56,'Week 2 Roster'!$AP:$AP))</f>
        <v>0</v>
      </c>
      <c r="AR56" s="17">
        <f ca="1">IF($A56=0,0,SUMIF('Week 2 Roster'!$AZ:$AZ,$B56,'Week 2 Roster'!$AQ:$AQ))</f>
        <v>0</v>
      </c>
      <c r="AS56" s="17">
        <f ca="1">IF($A56=0,0,SUMIF('Week 2 Roster'!$AZ:$AZ,$B56,'Week 2 Roster'!$AR:$AR))</f>
        <v>0</v>
      </c>
      <c r="AT56" s="17">
        <f ca="1">IF($A56=0,0,SUMIF('Week 2 Roster'!$AZ:$AZ,$B56,'Week 2 Roster'!$AS:$AS))</f>
        <v>0</v>
      </c>
      <c r="AU56" s="17">
        <f t="shared" ca="1" si="23"/>
        <v>0</v>
      </c>
      <c r="AV56" s="17"/>
      <c r="AW56" s="25" t="str">
        <f>'Week 1 Roster'!A56</f>
        <v/>
      </c>
      <c r="AX56" s="25" t="str">
        <f>'Week 2 Roster'!A56</f>
        <v/>
      </c>
    </row>
    <row r="57" spans="1:50">
      <c r="A57" s="16" cm="1">
        <f t="array" aca="1" ref="A57" ca="1">_xlfn.NUMBERVALUE(INDIRECT(TEXT(MIN(IF(($AW$2:$AX$300&lt;&gt;"")*(COUNTIF($B$1:B56,$AW$2:$AX$300)=0),ROW($2:$300)*100+COLUMN($AW:$AX),7^8)),"R0C00"),)&amp;"")</f>
        <v>0</v>
      </c>
      <c r="B57" s="28" t="str">
        <f t="shared" ca="1" si="9"/>
        <v/>
      </c>
      <c r="C57" s="28" t="str">
        <f ca="1">IF($A57=0,"",VLOOKUP($B57,Employees!$A:$G,2,FALSE))</f>
        <v/>
      </c>
      <c r="D57" s="28" t="str">
        <f ca="1">IF($A57=0,"",VLOOKUP($B57,Employees!$A:$G,3,FALSE))</f>
        <v/>
      </c>
      <c r="E57" s="26" t="str">
        <f ca="1">IF($A57=0,"",VLOOKUP($B57,Employees!$A:$G,5,FALSE))</f>
        <v/>
      </c>
      <c r="F57" s="13" t="str">
        <f ca="1">IF($E57="","",ROUNDDOWN(YEARFRAC($E57, 'Week 1 Roster'!$D$1-1, 1), 0))</f>
        <v/>
      </c>
      <c r="G57" s="13" t="str">
        <f ca="1">IF($E57="","",ROUNDDOWN(YEARFRAC($E57, 'Week 1 Roster'!$D$1+14, 1), 0))</f>
        <v/>
      </c>
      <c r="H57" s="13" t="str">
        <f t="shared" ca="1" si="10"/>
        <v/>
      </c>
      <c r="I57" s="13" t="str">
        <f ca="1">IF($A57=0,"",VLOOKUP($B57,Employees!$A:$G,6,FALSE))</f>
        <v/>
      </c>
      <c r="J57" s="13" t="str">
        <f ca="1">IF($A57=0,"",VLOOKUP($B57,Employees!$A:$G,7,FALSE))</f>
        <v/>
      </c>
      <c r="K57" s="13" t="str">
        <f ca="1">IF($A57=0,"",IF(ISNA(VLOOKUP(A57,'Week 1 Roster'!A:C,2,0)),VLOOKUP(A57,'Week 2 Roster'!A:C,2,0),VLOOKUP(A57,'Week 1 Roster'!A:C,2,0)))</f>
        <v/>
      </c>
      <c r="L57" s="13" t="str">
        <f ca="1">IF($A57=0,"",VLOOKUP(K57,Stores!A:B,2,0))</f>
        <v/>
      </c>
      <c r="M57" s="14">
        <f t="shared" ca="1" si="11"/>
        <v>0</v>
      </c>
      <c r="N57" s="14">
        <f t="shared" ca="1" si="12"/>
        <v>0</v>
      </c>
      <c r="O57" s="14">
        <f t="shared" ca="1" si="13"/>
        <v>0</v>
      </c>
      <c r="P57" s="14">
        <f t="shared" ca="1" si="14"/>
        <v>0</v>
      </c>
      <c r="Q57" s="14">
        <f t="shared" ca="1" si="15"/>
        <v>0</v>
      </c>
      <c r="R57" s="14">
        <f t="shared" ca="1" si="16"/>
        <v>0</v>
      </c>
      <c r="S57" s="28">
        <f t="shared" ca="1" si="17"/>
        <v>0</v>
      </c>
      <c r="T57" s="14">
        <f t="shared" ca="1" si="18"/>
        <v>0</v>
      </c>
      <c r="U57" s="14">
        <f t="shared" ca="1" si="19"/>
        <v>0</v>
      </c>
      <c r="V57" s="14">
        <f t="shared" ca="1" si="20"/>
        <v>0</v>
      </c>
      <c r="W57" s="14">
        <f t="shared" ca="1" si="21"/>
        <v>0</v>
      </c>
      <c r="Y57" s="17">
        <f ca="1">IF($A57=0,0,SUMIF('Week 1 Roster'!$AZ:$AZ,$B57,'Week 1 Roster'!$AE:$AE))</f>
        <v>0</v>
      </c>
      <c r="Z57" s="17">
        <f ca="1">IF($A57=0,0,SUMIF('Week 1 Roster'!$AZ:$AZ,$B57,'Week 1 Roster'!$AG:$AG))</f>
        <v>0</v>
      </c>
      <c r="AA57" s="17">
        <f ca="1">IF($A57=0,0,SUMIF('Week 1 Roster'!$AZ:$AZ,$B57,'Week 1 Roster'!$AI:$AI))</f>
        <v>0</v>
      </c>
      <c r="AB57" s="17">
        <f ca="1">IF($A57=0,0,SUMIF('Week 1 Roster'!$AZ:$AZ,$B57,'Week 1 Roster'!$AK:$AK))</f>
        <v>0</v>
      </c>
      <c r="AC57" s="17">
        <f ca="1">IF($A57=0,0,SUMIF('Week 1 Roster'!$AZ:$AZ,$B57,'Week 1 Roster'!$AM:$AM))</f>
        <v>0</v>
      </c>
      <c r="AD57" s="17">
        <f ca="1">IF($A57=0,0,SUMIF('Week 1 Roster'!$AZ:$AZ,$B57,'Week 1 Roster'!$AO:$AO))</f>
        <v>0</v>
      </c>
      <c r="AE57" s="38">
        <f ca="1">IF($A57=0,0,SUMIF('Week 1 Roster'!$AZ:$AZ,$B57,'Week 1 Roster'!$AP:$AP))</f>
        <v>0</v>
      </c>
      <c r="AF57" s="17">
        <f ca="1">IF($A57=0,0,SUMIF('Week 1 Roster'!$AZ:$AZ,$B57,'Week 1 Roster'!$AQ:$AQ))</f>
        <v>0</v>
      </c>
      <c r="AG57" s="17">
        <f ca="1">IF($A57=0,0,SUMIF('Week 1 Roster'!$AZ:$AZ,$B57,'Week 1 Roster'!$AR:$AR))</f>
        <v>0</v>
      </c>
      <c r="AH57" s="17">
        <f ca="1">IF($A57=0,0,SUMIF('Week 1 Roster'!$AZ:$AZ,$B57,'Week 1 Roster'!$AS:$AS))</f>
        <v>0</v>
      </c>
      <c r="AI57" s="17">
        <f t="shared" ca="1" si="22"/>
        <v>0</v>
      </c>
      <c r="AK57" s="17">
        <f ca="1">IF($A57=0,0,SUMIF('Week 2 Roster'!$AZ:$AZ,$B57,'Week 2 Roster'!$AE:$AE))</f>
        <v>0</v>
      </c>
      <c r="AL57" s="17">
        <f ca="1">IF($A57=0,0,SUMIF('Week 2 Roster'!$AZ:$AZ,$B57,'Week 2 Roster'!$AG:$AG))</f>
        <v>0</v>
      </c>
      <c r="AM57" s="17">
        <f ca="1">IF($A57=0,0,SUMIF('Week 2 Roster'!$AZ:$AZ,$B57,'Week 2 Roster'!$AI:$AI))</f>
        <v>0</v>
      </c>
      <c r="AN57" s="17">
        <f ca="1">IF($A57=0,0,SUMIF('Week 2 Roster'!$AZ:$AZ,$B57,'Week 2 Roster'!$AK:$AK))</f>
        <v>0</v>
      </c>
      <c r="AO57" s="17">
        <f ca="1">IF($A57=0,0,SUMIF('Week 2 Roster'!$AZ:$AZ,$B57,'Week 2 Roster'!$AM:$AM))</f>
        <v>0</v>
      </c>
      <c r="AP57" s="17">
        <f ca="1">IF($A57=0,0,SUMIF('Week 2 Roster'!$AZ:$AZ,$B57,'Week 2 Roster'!$AO:$AO))</f>
        <v>0</v>
      </c>
      <c r="AQ57" s="38">
        <f ca="1">IF($A57=0,0,SUMIF('Week 2 Roster'!$AZ:$AZ,$B57,'Week 2 Roster'!$AP:$AP))</f>
        <v>0</v>
      </c>
      <c r="AR57" s="17">
        <f ca="1">IF($A57=0,0,SUMIF('Week 2 Roster'!$AZ:$AZ,$B57,'Week 2 Roster'!$AQ:$AQ))</f>
        <v>0</v>
      </c>
      <c r="AS57" s="17">
        <f ca="1">IF($A57=0,0,SUMIF('Week 2 Roster'!$AZ:$AZ,$B57,'Week 2 Roster'!$AR:$AR))</f>
        <v>0</v>
      </c>
      <c r="AT57" s="17">
        <f ca="1">IF($A57=0,0,SUMIF('Week 2 Roster'!$AZ:$AZ,$B57,'Week 2 Roster'!$AS:$AS))</f>
        <v>0</v>
      </c>
      <c r="AU57" s="17">
        <f t="shared" ca="1" si="23"/>
        <v>0</v>
      </c>
      <c r="AV57" s="17"/>
      <c r="AW57" s="25" t="str">
        <f>'Week 1 Roster'!A57</f>
        <v/>
      </c>
      <c r="AX57" s="25" t="str">
        <f>'Week 2 Roster'!A57</f>
        <v/>
      </c>
    </row>
    <row r="58" spans="1:50">
      <c r="A58" s="16" cm="1">
        <f t="array" aca="1" ref="A58" ca="1">_xlfn.NUMBERVALUE(INDIRECT(TEXT(MIN(IF(($AW$2:$AX$300&lt;&gt;"")*(COUNTIF($B$1:B57,$AW$2:$AX$300)=0),ROW($2:$300)*100+COLUMN($AW:$AX),7^8)),"R0C00"),)&amp;"")</f>
        <v>0</v>
      </c>
      <c r="B58" s="28" t="str">
        <f t="shared" ca="1" si="9"/>
        <v/>
      </c>
      <c r="C58" s="28" t="str">
        <f ca="1">IF($A58=0,"",VLOOKUP($B58,Employees!$A:$G,2,FALSE))</f>
        <v/>
      </c>
      <c r="D58" s="28" t="str">
        <f ca="1">IF($A58=0,"",VLOOKUP($B58,Employees!$A:$G,3,FALSE))</f>
        <v/>
      </c>
      <c r="E58" s="26" t="str">
        <f ca="1">IF($A58=0,"",VLOOKUP($B58,Employees!$A:$G,5,FALSE))</f>
        <v/>
      </c>
      <c r="F58" s="13" t="str">
        <f ca="1">IF($E58="","",ROUNDDOWN(YEARFRAC($E58, 'Week 1 Roster'!$D$1-1, 1), 0))</f>
        <v/>
      </c>
      <c r="G58" s="13" t="str">
        <f ca="1">IF($E58="","",ROUNDDOWN(YEARFRAC($E58, 'Week 1 Roster'!$D$1+14, 1), 0))</f>
        <v/>
      </c>
      <c r="H58" s="13" t="str">
        <f t="shared" ca="1" si="10"/>
        <v/>
      </c>
      <c r="I58" s="13" t="str">
        <f ca="1">IF($A58=0,"",VLOOKUP($B58,Employees!$A:$G,6,FALSE))</f>
        <v/>
      </c>
      <c r="J58" s="13" t="str">
        <f ca="1">IF($A58=0,"",VLOOKUP($B58,Employees!$A:$G,7,FALSE))</f>
        <v/>
      </c>
      <c r="K58" s="13" t="str">
        <f ca="1">IF($A58=0,"",IF(ISNA(VLOOKUP(A58,'Week 1 Roster'!A:C,2,0)),VLOOKUP(A58,'Week 2 Roster'!A:C,2,0),VLOOKUP(A58,'Week 1 Roster'!A:C,2,0)))</f>
        <v/>
      </c>
      <c r="L58" s="13" t="str">
        <f ca="1">IF($A58=0,"",VLOOKUP(K58,Stores!A:B,2,0))</f>
        <v/>
      </c>
      <c r="M58" s="14">
        <f t="shared" ca="1" si="11"/>
        <v>0</v>
      </c>
      <c r="N58" s="14">
        <f t="shared" ca="1" si="12"/>
        <v>0</v>
      </c>
      <c r="O58" s="14">
        <f t="shared" ca="1" si="13"/>
        <v>0</v>
      </c>
      <c r="P58" s="14">
        <f t="shared" ca="1" si="14"/>
        <v>0</v>
      </c>
      <c r="Q58" s="14">
        <f t="shared" ca="1" si="15"/>
        <v>0</v>
      </c>
      <c r="R58" s="14">
        <f t="shared" ca="1" si="16"/>
        <v>0</v>
      </c>
      <c r="S58" s="28">
        <f t="shared" ca="1" si="17"/>
        <v>0</v>
      </c>
      <c r="T58" s="14">
        <f t="shared" ca="1" si="18"/>
        <v>0</v>
      </c>
      <c r="U58" s="14">
        <f t="shared" ca="1" si="19"/>
        <v>0</v>
      </c>
      <c r="V58" s="14">
        <f t="shared" ca="1" si="20"/>
        <v>0</v>
      </c>
      <c r="W58" s="14">
        <f t="shared" ca="1" si="21"/>
        <v>0</v>
      </c>
      <c r="Y58" s="17">
        <f ca="1">IF($A58=0,0,SUMIF('Week 1 Roster'!$AZ:$AZ,$B58,'Week 1 Roster'!$AE:$AE))</f>
        <v>0</v>
      </c>
      <c r="Z58" s="17">
        <f ca="1">IF($A58=0,0,SUMIF('Week 1 Roster'!$AZ:$AZ,$B58,'Week 1 Roster'!$AG:$AG))</f>
        <v>0</v>
      </c>
      <c r="AA58" s="17">
        <f ca="1">IF($A58=0,0,SUMIF('Week 1 Roster'!$AZ:$AZ,$B58,'Week 1 Roster'!$AI:$AI))</f>
        <v>0</v>
      </c>
      <c r="AB58" s="17">
        <f ca="1">IF($A58=0,0,SUMIF('Week 1 Roster'!$AZ:$AZ,$B58,'Week 1 Roster'!$AK:$AK))</f>
        <v>0</v>
      </c>
      <c r="AC58" s="17">
        <f ca="1">IF($A58=0,0,SUMIF('Week 1 Roster'!$AZ:$AZ,$B58,'Week 1 Roster'!$AM:$AM))</f>
        <v>0</v>
      </c>
      <c r="AD58" s="17">
        <f ca="1">IF($A58=0,0,SUMIF('Week 1 Roster'!$AZ:$AZ,$B58,'Week 1 Roster'!$AO:$AO))</f>
        <v>0</v>
      </c>
      <c r="AE58" s="38">
        <f ca="1">IF($A58=0,0,SUMIF('Week 1 Roster'!$AZ:$AZ,$B58,'Week 1 Roster'!$AP:$AP))</f>
        <v>0</v>
      </c>
      <c r="AF58" s="17">
        <f ca="1">IF($A58=0,0,SUMIF('Week 1 Roster'!$AZ:$AZ,$B58,'Week 1 Roster'!$AQ:$AQ))</f>
        <v>0</v>
      </c>
      <c r="AG58" s="17">
        <f ca="1">IF($A58=0,0,SUMIF('Week 1 Roster'!$AZ:$AZ,$B58,'Week 1 Roster'!$AR:$AR))</f>
        <v>0</v>
      </c>
      <c r="AH58" s="17">
        <f ca="1">IF($A58=0,0,SUMIF('Week 1 Roster'!$AZ:$AZ,$B58,'Week 1 Roster'!$AS:$AS))</f>
        <v>0</v>
      </c>
      <c r="AI58" s="17">
        <f t="shared" ca="1" si="22"/>
        <v>0</v>
      </c>
      <c r="AK58" s="17">
        <f ca="1">IF($A58=0,0,SUMIF('Week 2 Roster'!$AZ:$AZ,$B58,'Week 2 Roster'!$AE:$AE))</f>
        <v>0</v>
      </c>
      <c r="AL58" s="17">
        <f ca="1">IF($A58=0,0,SUMIF('Week 2 Roster'!$AZ:$AZ,$B58,'Week 2 Roster'!$AG:$AG))</f>
        <v>0</v>
      </c>
      <c r="AM58" s="17">
        <f ca="1">IF($A58=0,0,SUMIF('Week 2 Roster'!$AZ:$AZ,$B58,'Week 2 Roster'!$AI:$AI))</f>
        <v>0</v>
      </c>
      <c r="AN58" s="17">
        <f ca="1">IF($A58=0,0,SUMIF('Week 2 Roster'!$AZ:$AZ,$B58,'Week 2 Roster'!$AK:$AK))</f>
        <v>0</v>
      </c>
      <c r="AO58" s="17">
        <f ca="1">IF($A58=0,0,SUMIF('Week 2 Roster'!$AZ:$AZ,$B58,'Week 2 Roster'!$AM:$AM))</f>
        <v>0</v>
      </c>
      <c r="AP58" s="17">
        <f ca="1">IF($A58=0,0,SUMIF('Week 2 Roster'!$AZ:$AZ,$B58,'Week 2 Roster'!$AO:$AO))</f>
        <v>0</v>
      </c>
      <c r="AQ58" s="38">
        <f ca="1">IF($A58=0,0,SUMIF('Week 2 Roster'!$AZ:$AZ,$B58,'Week 2 Roster'!$AP:$AP))</f>
        <v>0</v>
      </c>
      <c r="AR58" s="17">
        <f ca="1">IF($A58=0,0,SUMIF('Week 2 Roster'!$AZ:$AZ,$B58,'Week 2 Roster'!$AQ:$AQ))</f>
        <v>0</v>
      </c>
      <c r="AS58" s="17">
        <f ca="1">IF($A58=0,0,SUMIF('Week 2 Roster'!$AZ:$AZ,$B58,'Week 2 Roster'!$AR:$AR))</f>
        <v>0</v>
      </c>
      <c r="AT58" s="17">
        <f ca="1">IF($A58=0,0,SUMIF('Week 2 Roster'!$AZ:$AZ,$B58,'Week 2 Roster'!$AS:$AS))</f>
        <v>0</v>
      </c>
      <c r="AU58" s="17">
        <f t="shared" ca="1" si="23"/>
        <v>0</v>
      </c>
      <c r="AV58" s="17"/>
      <c r="AW58" s="25" t="str">
        <f>'Week 1 Roster'!A58</f>
        <v/>
      </c>
      <c r="AX58" s="25" t="str">
        <f>'Week 2 Roster'!A58</f>
        <v/>
      </c>
    </row>
    <row r="59" spans="1:50">
      <c r="A59" s="16" cm="1">
        <f t="array" aca="1" ref="A59" ca="1">_xlfn.NUMBERVALUE(INDIRECT(TEXT(MIN(IF(($AW$2:$AX$300&lt;&gt;"")*(COUNTIF($B$1:B58,$AW$2:$AX$300)=0),ROW($2:$300)*100+COLUMN($AW:$AX),7^8)),"R0C00"),)&amp;"")</f>
        <v>0</v>
      </c>
      <c r="B59" s="28" t="str">
        <f t="shared" ca="1" si="9"/>
        <v/>
      </c>
      <c r="C59" s="28" t="str">
        <f ca="1">IF($A59=0,"",VLOOKUP($B59,Employees!$A:$G,2,FALSE))</f>
        <v/>
      </c>
      <c r="D59" s="28" t="str">
        <f ca="1">IF($A59=0,"",VLOOKUP($B59,Employees!$A:$G,3,FALSE))</f>
        <v/>
      </c>
      <c r="E59" s="26" t="str">
        <f ca="1">IF($A59=0,"",VLOOKUP($B59,Employees!$A:$G,5,FALSE))</f>
        <v/>
      </c>
      <c r="F59" s="13" t="str">
        <f ca="1">IF($E59="","",ROUNDDOWN(YEARFRAC($E59, 'Week 1 Roster'!$D$1-1, 1), 0))</f>
        <v/>
      </c>
      <c r="G59" s="13" t="str">
        <f ca="1">IF($E59="","",ROUNDDOWN(YEARFRAC($E59, 'Week 1 Roster'!$D$1+14, 1), 0))</f>
        <v/>
      </c>
      <c r="H59" s="13" t="str">
        <f t="shared" ca="1" si="10"/>
        <v/>
      </c>
      <c r="I59" s="13" t="str">
        <f ca="1">IF($A59=0,"",VLOOKUP($B59,Employees!$A:$G,6,FALSE))</f>
        <v/>
      </c>
      <c r="J59" s="13" t="str">
        <f ca="1">IF($A59=0,"",VLOOKUP($B59,Employees!$A:$G,7,FALSE))</f>
        <v/>
      </c>
      <c r="K59" s="13" t="str">
        <f ca="1">IF($A59=0,"",IF(ISNA(VLOOKUP(A59,'Week 1 Roster'!A:C,2,0)),VLOOKUP(A59,'Week 2 Roster'!A:C,2,0),VLOOKUP(A59,'Week 1 Roster'!A:C,2,0)))</f>
        <v/>
      </c>
      <c r="L59" s="13" t="str">
        <f ca="1">IF($A59=0,"",VLOOKUP(K59,Stores!A:B,2,0))</f>
        <v/>
      </c>
      <c r="M59" s="14">
        <f t="shared" ca="1" si="11"/>
        <v>0</v>
      </c>
      <c r="N59" s="14">
        <f t="shared" ca="1" si="12"/>
        <v>0</v>
      </c>
      <c r="O59" s="14">
        <f t="shared" ca="1" si="13"/>
        <v>0</v>
      </c>
      <c r="P59" s="14">
        <f t="shared" ca="1" si="14"/>
        <v>0</v>
      </c>
      <c r="Q59" s="14">
        <f t="shared" ca="1" si="15"/>
        <v>0</v>
      </c>
      <c r="R59" s="14">
        <f t="shared" ca="1" si="16"/>
        <v>0</v>
      </c>
      <c r="S59" s="28">
        <f t="shared" ca="1" si="17"/>
        <v>0</v>
      </c>
      <c r="T59" s="14">
        <f t="shared" ca="1" si="18"/>
        <v>0</v>
      </c>
      <c r="U59" s="14">
        <f t="shared" ca="1" si="19"/>
        <v>0</v>
      </c>
      <c r="V59" s="14">
        <f t="shared" ca="1" si="20"/>
        <v>0</v>
      </c>
      <c r="W59" s="14">
        <f t="shared" ca="1" si="21"/>
        <v>0</v>
      </c>
      <c r="Y59" s="17">
        <f ca="1">IF($A59=0,0,SUMIF('Week 1 Roster'!$AZ:$AZ,$B59,'Week 1 Roster'!$AE:$AE))</f>
        <v>0</v>
      </c>
      <c r="Z59" s="17">
        <f ca="1">IF($A59=0,0,SUMIF('Week 1 Roster'!$AZ:$AZ,$B59,'Week 1 Roster'!$AG:$AG))</f>
        <v>0</v>
      </c>
      <c r="AA59" s="17">
        <f ca="1">IF($A59=0,0,SUMIF('Week 1 Roster'!$AZ:$AZ,$B59,'Week 1 Roster'!$AI:$AI))</f>
        <v>0</v>
      </c>
      <c r="AB59" s="17">
        <f ca="1">IF($A59=0,0,SUMIF('Week 1 Roster'!$AZ:$AZ,$B59,'Week 1 Roster'!$AK:$AK))</f>
        <v>0</v>
      </c>
      <c r="AC59" s="17">
        <f ca="1">IF($A59=0,0,SUMIF('Week 1 Roster'!$AZ:$AZ,$B59,'Week 1 Roster'!$AM:$AM))</f>
        <v>0</v>
      </c>
      <c r="AD59" s="17">
        <f ca="1">IF($A59=0,0,SUMIF('Week 1 Roster'!$AZ:$AZ,$B59,'Week 1 Roster'!$AO:$AO))</f>
        <v>0</v>
      </c>
      <c r="AE59" s="38">
        <f ca="1">IF($A59=0,0,SUMIF('Week 1 Roster'!$AZ:$AZ,$B59,'Week 1 Roster'!$AP:$AP))</f>
        <v>0</v>
      </c>
      <c r="AF59" s="17">
        <f ca="1">IF($A59=0,0,SUMIF('Week 1 Roster'!$AZ:$AZ,$B59,'Week 1 Roster'!$AQ:$AQ))</f>
        <v>0</v>
      </c>
      <c r="AG59" s="17">
        <f ca="1">IF($A59=0,0,SUMIF('Week 1 Roster'!$AZ:$AZ,$B59,'Week 1 Roster'!$AR:$AR))</f>
        <v>0</v>
      </c>
      <c r="AH59" s="17">
        <f ca="1">IF($A59=0,0,SUMIF('Week 1 Roster'!$AZ:$AZ,$B59,'Week 1 Roster'!$AS:$AS))</f>
        <v>0</v>
      </c>
      <c r="AI59" s="17">
        <f t="shared" ca="1" si="22"/>
        <v>0</v>
      </c>
      <c r="AK59" s="17">
        <f ca="1">IF($A59=0,0,SUMIF('Week 2 Roster'!$AZ:$AZ,$B59,'Week 2 Roster'!$AE:$AE))</f>
        <v>0</v>
      </c>
      <c r="AL59" s="17">
        <f ca="1">IF($A59=0,0,SUMIF('Week 2 Roster'!$AZ:$AZ,$B59,'Week 2 Roster'!$AG:$AG))</f>
        <v>0</v>
      </c>
      <c r="AM59" s="17">
        <f ca="1">IF($A59=0,0,SUMIF('Week 2 Roster'!$AZ:$AZ,$B59,'Week 2 Roster'!$AI:$AI))</f>
        <v>0</v>
      </c>
      <c r="AN59" s="17">
        <f ca="1">IF($A59=0,0,SUMIF('Week 2 Roster'!$AZ:$AZ,$B59,'Week 2 Roster'!$AK:$AK))</f>
        <v>0</v>
      </c>
      <c r="AO59" s="17">
        <f ca="1">IF($A59=0,0,SUMIF('Week 2 Roster'!$AZ:$AZ,$B59,'Week 2 Roster'!$AM:$AM))</f>
        <v>0</v>
      </c>
      <c r="AP59" s="17">
        <f ca="1">IF($A59=0,0,SUMIF('Week 2 Roster'!$AZ:$AZ,$B59,'Week 2 Roster'!$AO:$AO))</f>
        <v>0</v>
      </c>
      <c r="AQ59" s="38">
        <f ca="1">IF($A59=0,0,SUMIF('Week 2 Roster'!$AZ:$AZ,$B59,'Week 2 Roster'!$AP:$AP))</f>
        <v>0</v>
      </c>
      <c r="AR59" s="17">
        <f ca="1">IF($A59=0,0,SUMIF('Week 2 Roster'!$AZ:$AZ,$B59,'Week 2 Roster'!$AQ:$AQ))</f>
        <v>0</v>
      </c>
      <c r="AS59" s="17">
        <f ca="1">IF($A59=0,0,SUMIF('Week 2 Roster'!$AZ:$AZ,$B59,'Week 2 Roster'!$AR:$AR))</f>
        <v>0</v>
      </c>
      <c r="AT59" s="17">
        <f ca="1">IF($A59=0,0,SUMIF('Week 2 Roster'!$AZ:$AZ,$B59,'Week 2 Roster'!$AS:$AS))</f>
        <v>0</v>
      </c>
      <c r="AU59" s="17">
        <f t="shared" ca="1" si="23"/>
        <v>0</v>
      </c>
      <c r="AV59" s="17"/>
      <c r="AW59" s="25" t="str">
        <f>'Week 1 Roster'!A59</f>
        <v/>
      </c>
      <c r="AX59" s="25" t="str">
        <f>'Week 2 Roster'!A59</f>
        <v/>
      </c>
    </row>
    <row r="60" spans="1:50">
      <c r="A60" s="16" cm="1">
        <f t="array" aca="1" ref="A60" ca="1">_xlfn.NUMBERVALUE(INDIRECT(TEXT(MIN(IF(($AW$2:$AX$300&lt;&gt;"")*(COUNTIF($B$1:B59,$AW$2:$AX$300)=0),ROW($2:$300)*100+COLUMN($AW:$AX),7^8)),"R0C00"),)&amp;"")</f>
        <v>0</v>
      </c>
      <c r="B60" s="28" t="str">
        <f t="shared" ca="1" si="9"/>
        <v/>
      </c>
      <c r="C60" s="28" t="str">
        <f ca="1">IF($A60=0,"",VLOOKUP($B60,Employees!$A:$G,2,FALSE))</f>
        <v/>
      </c>
      <c r="D60" s="28" t="str">
        <f ca="1">IF($A60=0,"",VLOOKUP($B60,Employees!$A:$G,3,FALSE))</f>
        <v/>
      </c>
      <c r="E60" s="26" t="str">
        <f ca="1">IF($A60=0,"",VLOOKUP($B60,Employees!$A:$G,5,FALSE))</f>
        <v/>
      </c>
      <c r="F60" s="13" t="str">
        <f ca="1">IF($E60="","",ROUNDDOWN(YEARFRAC($E60, 'Week 1 Roster'!$D$1-1, 1), 0))</f>
        <v/>
      </c>
      <c r="G60" s="13" t="str">
        <f ca="1">IF($E60="","",ROUNDDOWN(YEARFRAC($E60, 'Week 1 Roster'!$D$1+14, 1), 0))</f>
        <v/>
      </c>
      <c r="H60" s="13" t="str">
        <f t="shared" ca="1" si="10"/>
        <v/>
      </c>
      <c r="I60" s="13" t="str">
        <f ca="1">IF($A60=0,"",VLOOKUP($B60,Employees!$A:$G,6,FALSE))</f>
        <v/>
      </c>
      <c r="J60" s="13" t="str">
        <f ca="1">IF($A60=0,"",VLOOKUP($B60,Employees!$A:$G,7,FALSE))</f>
        <v/>
      </c>
      <c r="K60" s="13" t="str">
        <f ca="1">IF($A60=0,"",IF(ISNA(VLOOKUP(A60,'Week 1 Roster'!A:C,2,0)),VLOOKUP(A60,'Week 2 Roster'!A:C,2,0),VLOOKUP(A60,'Week 1 Roster'!A:C,2,0)))</f>
        <v/>
      </c>
      <c r="L60" s="13" t="str">
        <f ca="1">IF($A60=0,"",VLOOKUP(K60,Stores!A:B,2,0))</f>
        <v/>
      </c>
      <c r="M60" s="14">
        <f t="shared" ca="1" si="11"/>
        <v>0</v>
      </c>
      <c r="N60" s="14">
        <f t="shared" ca="1" si="12"/>
        <v>0</v>
      </c>
      <c r="O60" s="14">
        <f t="shared" ca="1" si="13"/>
        <v>0</v>
      </c>
      <c r="P60" s="14">
        <f t="shared" ca="1" si="14"/>
        <v>0</v>
      </c>
      <c r="Q60" s="14">
        <f t="shared" ca="1" si="15"/>
        <v>0</v>
      </c>
      <c r="R60" s="14">
        <f t="shared" ca="1" si="16"/>
        <v>0</v>
      </c>
      <c r="S60" s="28">
        <f t="shared" ca="1" si="17"/>
        <v>0</v>
      </c>
      <c r="T60" s="14">
        <f t="shared" ca="1" si="18"/>
        <v>0</v>
      </c>
      <c r="U60" s="14">
        <f t="shared" ca="1" si="19"/>
        <v>0</v>
      </c>
      <c r="V60" s="14">
        <f t="shared" ca="1" si="20"/>
        <v>0</v>
      </c>
      <c r="W60" s="14">
        <f t="shared" ca="1" si="21"/>
        <v>0</v>
      </c>
      <c r="Y60" s="17">
        <f ca="1">IF($A60=0,0,SUMIF('Week 1 Roster'!$AZ:$AZ,$B60,'Week 1 Roster'!$AE:$AE))</f>
        <v>0</v>
      </c>
      <c r="Z60" s="17">
        <f ca="1">IF($A60=0,0,SUMIF('Week 1 Roster'!$AZ:$AZ,$B60,'Week 1 Roster'!$AG:$AG))</f>
        <v>0</v>
      </c>
      <c r="AA60" s="17">
        <f ca="1">IF($A60=0,0,SUMIF('Week 1 Roster'!$AZ:$AZ,$B60,'Week 1 Roster'!$AI:$AI))</f>
        <v>0</v>
      </c>
      <c r="AB60" s="17">
        <f ca="1">IF($A60=0,0,SUMIF('Week 1 Roster'!$AZ:$AZ,$B60,'Week 1 Roster'!$AK:$AK))</f>
        <v>0</v>
      </c>
      <c r="AC60" s="17">
        <f ca="1">IF($A60=0,0,SUMIF('Week 1 Roster'!$AZ:$AZ,$B60,'Week 1 Roster'!$AM:$AM))</f>
        <v>0</v>
      </c>
      <c r="AD60" s="17">
        <f ca="1">IF($A60=0,0,SUMIF('Week 1 Roster'!$AZ:$AZ,$B60,'Week 1 Roster'!$AO:$AO))</f>
        <v>0</v>
      </c>
      <c r="AE60" s="38">
        <f ca="1">IF($A60=0,0,SUMIF('Week 1 Roster'!$AZ:$AZ,$B60,'Week 1 Roster'!$AP:$AP))</f>
        <v>0</v>
      </c>
      <c r="AF60" s="17">
        <f ca="1">IF($A60=0,0,SUMIF('Week 1 Roster'!$AZ:$AZ,$B60,'Week 1 Roster'!$AQ:$AQ))</f>
        <v>0</v>
      </c>
      <c r="AG60" s="17">
        <f ca="1">IF($A60=0,0,SUMIF('Week 1 Roster'!$AZ:$AZ,$B60,'Week 1 Roster'!$AR:$AR))</f>
        <v>0</v>
      </c>
      <c r="AH60" s="17">
        <f ca="1">IF($A60=0,0,SUMIF('Week 1 Roster'!$AZ:$AZ,$B60,'Week 1 Roster'!$AS:$AS))</f>
        <v>0</v>
      </c>
      <c r="AI60" s="17">
        <f t="shared" ca="1" si="22"/>
        <v>0</v>
      </c>
      <c r="AK60" s="17">
        <f ca="1">IF($A60=0,0,SUMIF('Week 2 Roster'!$AZ:$AZ,$B60,'Week 2 Roster'!$AE:$AE))</f>
        <v>0</v>
      </c>
      <c r="AL60" s="17">
        <f ca="1">IF($A60=0,0,SUMIF('Week 2 Roster'!$AZ:$AZ,$B60,'Week 2 Roster'!$AG:$AG))</f>
        <v>0</v>
      </c>
      <c r="AM60" s="17">
        <f ca="1">IF($A60=0,0,SUMIF('Week 2 Roster'!$AZ:$AZ,$B60,'Week 2 Roster'!$AI:$AI))</f>
        <v>0</v>
      </c>
      <c r="AN60" s="17">
        <f ca="1">IF($A60=0,0,SUMIF('Week 2 Roster'!$AZ:$AZ,$B60,'Week 2 Roster'!$AK:$AK))</f>
        <v>0</v>
      </c>
      <c r="AO60" s="17">
        <f ca="1">IF($A60=0,0,SUMIF('Week 2 Roster'!$AZ:$AZ,$B60,'Week 2 Roster'!$AM:$AM))</f>
        <v>0</v>
      </c>
      <c r="AP60" s="17">
        <f ca="1">IF($A60=0,0,SUMIF('Week 2 Roster'!$AZ:$AZ,$B60,'Week 2 Roster'!$AO:$AO))</f>
        <v>0</v>
      </c>
      <c r="AQ60" s="38">
        <f ca="1">IF($A60=0,0,SUMIF('Week 2 Roster'!$AZ:$AZ,$B60,'Week 2 Roster'!$AP:$AP))</f>
        <v>0</v>
      </c>
      <c r="AR60" s="17">
        <f ca="1">IF($A60=0,0,SUMIF('Week 2 Roster'!$AZ:$AZ,$B60,'Week 2 Roster'!$AQ:$AQ))</f>
        <v>0</v>
      </c>
      <c r="AS60" s="17">
        <f ca="1">IF($A60=0,0,SUMIF('Week 2 Roster'!$AZ:$AZ,$B60,'Week 2 Roster'!$AR:$AR))</f>
        <v>0</v>
      </c>
      <c r="AT60" s="17">
        <f ca="1">IF($A60=0,0,SUMIF('Week 2 Roster'!$AZ:$AZ,$B60,'Week 2 Roster'!$AS:$AS))</f>
        <v>0</v>
      </c>
      <c r="AU60" s="17">
        <f t="shared" ca="1" si="23"/>
        <v>0</v>
      </c>
      <c r="AV60" s="17"/>
      <c r="AW60" s="25" t="str">
        <f>'Week 1 Roster'!A60</f>
        <v/>
      </c>
      <c r="AX60" s="25" t="str">
        <f>'Week 2 Roster'!A60</f>
        <v/>
      </c>
    </row>
    <row r="61" spans="1:50">
      <c r="A61" s="16" cm="1">
        <f t="array" aca="1" ref="A61" ca="1">_xlfn.NUMBERVALUE(INDIRECT(TEXT(MIN(IF(($AW$2:$AX$300&lt;&gt;"")*(COUNTIF($B$1:B60,$AW$2:$AX$300)=0),ROW($2:$300)*100+COLUMN($AW:$AX),7^8)),"R0C00"),)&amp;"")</f>
        <v>0</v>
      </c>
      <c r="B61" s="28" t="str">
        <f t="shared" ca="1" si="9"/>
        <v/>
      </c>
      <c r="C61" s="28" t="str">
        <f ca="1">IF($A61=0,"",VLOOKUP($B61,Employees!$A:$G,2,FALSE))</f>
        <v/>
      </c>
      <c r="D61" s="28" t="str">
        <f ca="1">IF($A61=0,"",VLOOKUP($B61,Employees!$A:$G,3,FALSE))</f>
        <v/>
      </c>
      <c r="E61" s="26" t="str">
        <f ca="1">IF($A61=0,"",VLOOKUP($B61,Employees!$A:$G,5,FALSE))</f>
        <v/>
      </c>
      <c r="F61" s="13" t="str">
        <f ca="1">IF($E61="","",ROUNDDOWN(YEARFRAC($E61, 'Week 1 Roster'!$D$1-1, 1), 0))</f>
        <v/>
      </c>
      <c r="G61" s="13" t="str">
        <f ca="1">IF($E61="","",ROUNDDOWN(YEARFRAC($E61, 'Week 1 Roster'!$D$1+14, 1), 0))</f>
        <v/>
      </c>
      <c r="H61" s="13" t="str">
        <f t="shared" ca="1" si="10"/>
        <v/>
      </c>
      <c r="I61" s="13" t="str">
        <f ca="1">IF($A61=0,"",VLOOKUP($B61,Employees!$A:$G,6,FALSE))</f>
        <v/>
      </c>
      <c r="J61" s="13" t="str">
        <f ca="1">IF($A61=0,"",VLOOKUP($B61,Employees!$A:$G,7,FALSE))</f>
        <v/>
      </c>
      <c r="K61" s="13" t="str">
        <f ca="1">IF($A61=0,"",IF(ISNA(VLOOKUP(A61,'Week 1 Roster'!A:C,2,0)),VLOOKUP(A61,'Week 2 Roster'!A:C,2,0),VLOOKUP(A61,'Week 1 Roster'!A:C,2,0)))</f>
        <v/>
      </c>
      <c r="L61" s="13" t="str">
        <f ca="1">IF($A61=0,"",VLOOKUP(K61,Stores!A:B,2,0))</f>
        <v/>
      </c>
      <c r="M61" s="14">
        <f t="shared" ca="1" si="11"/>
        <v>0</v>
      </c>
      <c r="N61" s="14">
        <f t="shared" ca="1" si="12"/>
        <v>0</v>
      </c>
      <c r="O61" s="14">
        <f t="shared" ca="1" si="13"/>
        <v>0</v>
      </c>
      <c r="P61" s="14">
        <f t="shared" ca="1" si="14"/>
        <v>0</v>
      </c>
      <c r="Q61" s="14">
        <f t="shared" ca="1" si="15"/>
        <v>0</v>
      </c>
      <c r="R61" s="14">
        <f t="shared" ca="1" si="16"/>
        <v>0</v>
      </c>
      <c r="S61" s="28">
        <f t="shared" ca="1" si="17"/>
        <v>0</v>
      </c>
      <c r="T61" s="14">
        <f t="shared" ca="1" si="18"/>
        <v>0</v>
      </c>
      <c r="U61" s="14">
        <f t="shared" ca="1" si="19"/>
        <v>0</v>
      </c>
      <c r="V61" s="14">
        <f t="shared" ca="1" si="20"/>
        <v>0</v>
      </c>
      <c r="W61" s="14">
        <f t="shared" ca="1" si="21"/>
        <v>0</v>
      </c>
      <c r="Y61" s="17">
        <f ca="1">IF($A61=0,0,SUMIF('Week 1 Roster'!$AZ:$AZ,$B61,'Week 1 Roster'!$AE:$AE))</f>
        <v>0</v>
      </c>
      <c r="Z61" s="17">
        <f ca="1">IF($A61=0,0,SUMIF('Week 1 Roster'!$AZ:$AZ,$B61,'Week 1 Roster'!$AG:$AG))</f>
        <v>0</v>
      </c>
      <c r="AA61" s="17">
        <f ca="1">IF($A61=0,0,SUMIF('Week 1 Roster'!$AZ:$AZ,$B61,'Week 1 Roster'!$AI:$AI))</f>
        <v>0</v>
      </c>
      <c r="AB61" s="17">
        <f ca="1">IF($A61=0,0,SUMIF('Week 1 Roster'!$AZ:$AZ,$B61,'Week 1 Roster'!$AK:$AK))</f>
        <v>0</v>
      </c>
      <c r="AC61" s="17">
        <f ca="1">IF($A61=0,0,SUMIF('Week 1 Roster'!$AZ:$AZ,$B61,'Week 1 Roster'!$AM:$AM))</f>
        <v>0</v>
      </c>
      <c r="AD61" s="17">
        <f ca="1">IF($A61=0,0,SUMIF('Week 1 Roster'!$AZ:$AZ,$B61,'Week 1 Roster'!$AO:$AO))</f>
        <v>0</v>
      </c>
      <c r="AE61" s="38">
        <f ca="1">IF($A61=0,0,SUMIF('Week 1 Roster'!$AZ:$AZ,$B61,'Week 1 Roster'!$AP:$AP))</f>
        <v>0</v>
      </c>
      <c r="AF61" s="17">
        <f ca="1">IF($A61=0,0,SUMIF('Week 1 Roster'!$AZ:$AZ,$B61,'Week 1 Roster'!$AQ:$AQ))</f>
        <v>0</v>
      </c>
      <c r="AG61" s="17">
        <f ca="1">IF($A61=0,0,SUMIF('Week 1 Roster'!$AZ:$AZ,$B61,'Week 1 Roster'!$AR:$AR))</f>
        <v>0</v>
      </c>
      <c r="AH61" s="17">
        <f ca="1">IF($A61=0,0,SUMIF('Week 1 Roster'!$AZ:$AZ,$B61,'Week 1 Roster'!$AS:$AS))</f>
        <v>0</v>
      </c>
      <c r="AI61" s="17">
        <f t="shared" ca="1" si="22"/>
        <v>0</v>
      </c>
      <c r="AK61" s="17">
        <f ca="1">IF($A61=0,0,SUMIF('Week 2 Roster'!$AZ:$AZ,$B61,'Week 2 Roster'!$AE:$AE))</f>
        <v>0</v>
      </c>
      <c r="AL61" s="17">
        <f ca="1">IF($A61=0,0,SUMIF('Week 2 Roster'!$AZ:$AZ,$B61,'Week 2 Roster'!$AG:$AG))</f>
        <v>0</v>
      </c>
      <c r="AM61" s="17">
        <f ca="1">IF($A61=0,0,SUMIF('Week 2 Roster'!$AZ:$AZ,$B61,'Week 2 Roster'!$AI:$AI))</f>
        <v>0</v>
      </c>
      <c r="AN61" s="17">
        <f ca="1">IF($A61=0,0,SUMIF('Week 2 Roster'!$AZ:$AZ,$B61,'Week 2 Roster'!$AK:$AK))</f>
        <v>0</v>
      </c>
      <c r="AO61" s="17">
        <f ca="1">IF($A61=0,0,SUMIF('Week 2 Roster'!$AZ:$AZ,$B61,'Week 2 Roster'!$AM:$AM))</f>
        <v>0</v>
      </c>
      <c r="AP61" s="17">
        <f ca="1">IF($A61=0,0,SUMIF('Week 2 Roster'!$AZ:$AZ,$B61,'Week 2 Roster'!$AO:$AO))</f>
        <v>0</v>
      </c>
      <c r="AQ61" s="38">
        <f ca="1">IF($A61=0,0,SUMIF('Week 2 Roster'!$AZ:$AZ,$B61,'Week 2 Roster'!$AP:$AP))</f>
        <v>0</v>
      </c>
      <c r="AR61" s="17">
        <f ca="1">IF($A61=0,0,SUMIF('Week 2 Roster'!$AZ:$AZ,$B61,'Week 2 Roster'!$AQ:$AQ))</f>
        <v>0</v>
      </c>
      <c r="AS61" s="17">
        <f ca="1">IF($A61=0,0,SUMIF('Week 2 Roster'!$AZ:$AZ,$B61,'Week 2 Roster'!$AR:$AR))</f>
        <v>0</v>
      </c>
      <c r="AT61" s="17">
        <f ca="1">IF($A61=0,0,SUMIF('Week 2 Roster'!$AZ:$AZ,$B61,'Week 2 Roster'!$AS:$AS))</f>
        <v>0</v>
      </c>
      <c r="AU61" s="17">
        <f t="shared" ca="1" si="23"/>
        <v>0</v>
      </c>
      <c r="AV61" s="17"/>
      <c r="AW61" s="25" t="str">
        <f>'Week 1 Roster'!A61</f>
        <v/>
      </c>
      <c r="AX61" s="25" t="str">
        <f>'Week 2 Roster'!A61</f>
        <v/>
      </c>
    </row>
    <row r="62" spans="1:50">
      <c r="A62" s="16" cm="1">
        <f t="array" aca="1" ref="A62" ca="1">_xlfn.NUMBERVALUE(INDIRECT(TEXT(MIN(IF(($AW$2:$AX$300&lt;&gt;"")*(COUNTIF($B$1:B61,$AW$2:$AX$300)=0),ROW($2:$300)*100+COLUMN($AW:$AX),7^8)),"R0C00"),)&amp;"")</f>
        <v>0</v>
      </c>
      <c r="B62" s="28" t="str">
        <f t="shared" ca="1" si="9"/>
        <v/>
      </c>
      <c r="C62" s="28" t="str">
        <f ca="1">IF($A62=0,"",VLOOKUP($B62,Employees!$A:$G,2,FALSE))</f>
        <v/>
      </c>
      <c r="D62" s="28" t="str">
        <f ca="1">IF($A62=0,"",VLOOKUP($B62,Employees!$A:$G,3,FALSE))</f>
        <v/>
      </c>
      <c r="E62" s="26" t="str">
        <f ca="1">IF($A62=0,"",VLOOKUP($B62,Employees!$A:$G,5,FALSE))</f>
        <v/>
      </c>
      <c r="F62" s="13" t="str">
        <f ca="1">IF($E62="","",ROUNDDOWN(YEARFRAC($E62, 'Week 1 Roster'!$D$1-1, 1), 0))</f>
        <v/>
      </c>
      <c r="G62" s="13" t="str">
        <f ca="1">IF($E62="","",ROUNDDOWN(YEARFRAC($E62, 'Week 1 Roster'!$D$1+14, 1), 0))</f>
        <v/>
      </c>
      <c r="H62" s="13" t="str">
        <f t="shared" ca="1" si="10"/>
        <v/>
      </c>
      <c r="I62" s="13" t="str">
        <f ca="1">IF($A62=0,"",VLOOKUP($B62,Employees!$A:$G,6,FALSE))</f>
        <v/>
      </c>
      <c r="J62" s="13" t="str">
        <f ca="1">IF($A62=0,"",VLOOKUP($B62,Employees!$A:$G,7,FALSE))</f>
        <v/>
      </c>
      <c r="K62" s="13" t="str">
        <f ca="1">IF($A62=0,"",IF(ISNA(VLOOKUP(A62,'Week 1 Roster'!A:C,2,0)),VLOOKUP(A62,'Week 2 Roster'!A:C,2,0),VLOOKUP(A62,'Week 1 Roster'!A:C,2,0)))</f>
        <v/>
      </c>
      <c r="L62" s="13" t="str">
        <f ca="1">IF($A62=0,"",VLOOKUP(K62,Stores!A:B,2,0))</f>
        <v/>
      </c>
      <c r="M62" s="14">
        <f t="shared" ca="1" si="11"/>
        <v>0</v>
      </c>
      <c r="N62" s="14">
        <f t="shared" ca="1" si="12"/>
        <v>0</v>
      </c>
      <c r="O62" s="14">
        <f t="shared" ca="1" si="13"/>
        <v>0</v>
      </c>
      <c r="P62" s="14">
        <f t="shared" ca="1" si="14"/>
        <v>0</v>
      </c>
      <c r="Q62" s="14">
        <f t="shared" ca="1" si="15"/>
        <v>0</v>
      </c>
      <c r="R62" s="14">
        <f t="shared" ca="1" si="16"/>
        <v>0</v>
      </c>
      <c r="S62" s="28">
        <f t="shared" ca="1" si="17"/>
        <v>0</v>
      </c>
      <c r="T62" s="14">
        <f t="shared" ca="1" si="18"/>
        <v>0</v>
      </c>
      <c r="U62" s="14">
        <f t="shared" ca="1" si="19"/>
        <v>0</v>
      </c>
      <c r="V62" s="14">
        <f t="shared" ca="1" si="20"/>
        <v>0</v>
      </c>
      <c r="W62" s="14">
        <f t="shared" ca="1" si="21"/>
        <v>0</v>
      </c>
      <c r="Y62" s="17">
        <f ca="1">IF($A62=0,0,SUMIF('Week 1 Roster'!$AZ:$AZ,$B62,'Week 1 Roster'!$AE:$AE))</f>
        <v>0</v>
      </c>
      <c r="Z62" s="17">
        <f ca="1">IF($A62=0,0,SUMIF('Week 1 Roster'!$AZ:$AZ,$B62,'Week 1 Roster'!$AG:$AG))</f>
        <v>0</v>
      </c>
      <c r="AA62" s="17">
        <f ca="1">IF($A62=0,0,SUMIF('Week 1 Roster'!$AZ:$AZ,$B62,'Week 1 Roster'!$AI:$AI))</f>
        <v>0</v>
      </c>
      <c r="AB62" s="17">
        <f ca="1">IF($A62=0,0,SUMIF('Week 1 Roster'!$AZ:$AZ,$B62,'Week 1 Roster'!$AK:$AK))</f>
        <v>0</v>
      </c>
      <c r="AC62" s="17">
        <f ca="1">IF($A62=0,0,SUMIF('Week 1 Roster'!$AZ:$AZ,$B62,'Week 1 Roster'!$AM:$AM))</f>
        <v>0</v>
      </c>
      <c r="AD62" s="17">
        <f ca="1">IF($A62=0,0,SUMIF('Week 1 Roster'!$AZ:$AZ,$B62,'Week 1 Roster'!$AO:$AO))</f>
        <v>0</v>
      </c>
      <c r="AE62" s="38">
        <f ca="1">IF($A62=0,0,SUMIF('Week 1 Roster'!$AZ:$AZ,$B62,'Week 1 Roster'!$AP:$AP))</f>
        <v>0</v>
      </c>
      <c r="AF62" s="17">
        <f ca="1">IF($A62=0,0,SUMIF('Week 1 Roster'!$AZ:$AZ,$B62,'Week 1 Roster'!$AQ:$AQ))</f>
        <v>0</v>
      </c>
      <c r="AG62" s="17">
        <f ca="1">IF($A62=0,0,SUMIF('Week 1 Roster'!$AZ:$AZ,$B62,'Week 1 Roster'!$AR:$AR))</f>
        <v>0</v>
      </c>
      <c r="AH62" s="17">
        <f ca="1">IF($A62=0,0,SUMIF('Week 1 Roster'!$AZ:$AZ,$B62,'Week 1 Roster'!$AS:$AS))</f>
        <v>0</v>
      </c>
      <c r="AI62" s="17">
        <f t="shared" ca="1" si="22"/>
        <v>0</v>
      </c>
      <c r="AK62" s="17">
        <f ca="1">IF($A62=0,0,SUMIF('Week 2 Roster'!$AZ:$AZ,$B62,'Week 2 Roster'!$AE:$AE))</f>
        <v>0</v>
      </c>
      <c r="AL62" s="17">
        <f ca="1">IF($A62=0,0,SUMIF('Week 2 Roster'!$AZ:$AZ,$B62,'Week 2 Roster'!$AG:$AG))</f>
        <v>0</v>
      </c>
      <c r="AM62" s="17">
        <f ca="1">IF($A62=0,0,SUMIF('Week 2 Roster'!$AZ:$AZ,$B62,'Week 2 Roster'!$AI:$AI))</f>
        <v>0</v>
      </c>
      <c r="AN62" s="17">
        <f ca="1">IF($A62=0,0,SUMIF('Week 2 Roster'!$AZ:$AZ,$B62,'Week 2 Roster'!$AK:$AK))</f>
        <v>0</v>
      </c>
      <c r="AO62" s="17">
        <f ca="1">IF($A62=0,0,SUMIF('Week 2 Roster'!$AZ:$AZ,$B62,'Week 2 Roster'!$AM:$AM))</f>
        <v>0</v>
      </c>
      <c r="AP62" s="17">
        <f ca="1">IF($A62=0,0,SUMIF('Week 2 Roster'!$AZ:$AZ,$B62,'Week 2 Roster'!$AO:$AO))</f>
        <v>0</v>
      </c>
      <c r="AQ62" s="38">
        <f ca="1">IF($A62=0,0,SUMIF('Week 2 Roster'!$AZ:$AZ,$B62,'Week 2 Roster'!$AP:$AP))</f>
        <v>0</v>
      </c>
      <c r="AR62" s="17">
        <f ca="1">IF($A62=0,0,SUMIF('Week 2 Roster'!$AZ:$AZ,$B62,'Week 2 Roster'!$AQ:$AQ))</f>
        <v>0</v>
      </c>
      <c r="AS62" s="17">
        <f ca="1">IF($A62=0,0,SUMIF('Week 2 Roster'!$AZ:$AZ,$B62,'Week 2 Roster'!$AR:$AR))</f>
        <v>0</v>
      </c>
      <c r="AT62" s="17">
        <f ca="1">IF($A62=0,0,SUMIF('Week 2 Roster'!$AZ:$AZ,$B62,'Week 2 Roster'!$AS:$AS))</f>
        <v>0</v>
      </c>
      <c r="AU62" s="17">
        <f t="shared" ca="1" si="23"/>
        <v>0</v>
      </c>
      <c r="AV62" s="17"/>
      <c r="AW62" s="25" t="str">
        <f>'Week 1 Roster'!A62</f>
        <v/>
      </c>
      <c r="AX62" s="25" t="str">
        <f>'Week 2 Roster'!A62</f>
        <v/>
      </c>
    </row>
    <row r="63" spans="1:50">
      <c r="A63" s="16" cm="1">
        <f t="array" aca="1" ref="A63" ca="1">_xlfn.NUMBERVALUE(INDIRECT(TEXT(MIN(IF(($AW$2:$AX$300&lt;&gt;"")*(COUNTIF($B$1:B62,$AW$2:$AX$300)=0),ROW($2:$300)*100+COLUMN($AW:$AX),7^8)),"R0C00"),)&amp;"")</f>
        <v>0</v>
      </c>
      <c r="B63" s="28" t="str">
        <f t="shared" ca="1" si="9"/>
        <v/>
      </c>
      <c r="C63" s="28" t="str">
        <f ca="1">IF($A63=0,"",VLOOKUP($B63,Employees!$A:$G,2,FALSE))</f>
        <v/>
      </c>
      <c r="D63" s="28" t="str">
        <f ca="1">IF($A63=0,"",VLOOKUP($B63,Employees!$A:$G,3,FALSE))</f>
        <v/>
      </c>
      <c r="E63" s="26" t="str">
        <f ca="1">IF($A63=0,"",VLOOKUP($B63,Employees!$A:$G,5,FALSE))</f>
        <v/>
      </c>
      <c r="F63" s="13" t="str">
        <f ca="1">IF($E63="","",ROUNDDOWN(YEARFRAC($E63, 'Week 1 Roster'!$D$1-1, 1), 0))</f>
        <v/>
      </c>
      <c r="G63" s="13" t="str">
        <f ca="1">IF($E63="","",ROUNDDOWN(YEARFRAC($E63, 'Week 1 Roster'!$D$1+14, 1), 0))</f>
        <v/>
      </c>
      <c r="H63" s="13" t="str">
        <f t="shared" ca="1" si="10"/>
        <v/>
      </c>
      <c r="I63" s="13" t="str">
        <f ca="1">IF($A63=0,"",VLOOKUP($B63,Employees!$A:$G,6,FALSE))</f>
        <v/>
      </c>
      <c r="J63" s="13" t="str">
        <f ca="1">IF($A63=0,"",VLOOKUP($B63,Employees!$A:$G,7,FALSE))</f>
        <v/>
      </c>
      <c r="K63" s="13" t="str">
        <f ca="1">IF($A63=0,"",IF(ISNA(VLOOKUP(A63,'Week 1 Roster'!A:C,2,0)),VLOOKUP(A63,'Week 2 Roster'!A:C,2,0),VLOOKUP(A63,'Week 1 Roster'!A:C,2,0)))</f>
        <v/>
      </c>
      <c r="L63" s="13" t="str">
        <f ca="1">IF($A63=0,"",VLOOKUP(K63,Stores!A:B,2,0))</f>
        <v/>
      </c>
      <c r="M63" s="14">
        <f t="shared" ca="1" si="11"/>
        <v>0</v>
      </c>
      <c r="N63" s="14">
        <f t="shared" ca="1" si="12"/>
        <v>0</v>
      </c>
      <c r="O63" s="14">
        <f t="shared" ca="1" si="13"/>
        <v>0</v>
      </c>
      <c r="P63" s="14">
        <f t="shared" ca="1" si="14"/>
        <v>0</v>
      </c>
      <c r="Q63" s="14">
        <f t="shared" ca="1" si="15"/>
        <v>0</v>
      </c>
      <c r="R63" s="14">
        <f t="shared" ca="1" si="16"/>
        <v>0</v>
      </c>
      <c r="S63" s="28">
        <f t="shared" ca="1" si="17"/>
        <v>0</v>
      </c>
      <c r="T63" s="14">
        <f t="shared" ca="1" si="18"/>
        <v>0</v>
      </c>
      <c r="U63" s="14">
        <f t="shared" ca="1" si="19"/>
        <v>0</v>
      </c>
      <c r="V63" s="14">
        <f t="shared" ca="1" si="20"/>
        <v>0</v>
      </c>
      <c r="W63" s="14">
        <f t="shared" ca="1" si="21"/>
        <v>0</v>
      </c>
      <c r="Y63" s="17">
        <f ca="1">IF($A63=0,0,SUMIF('Week 1 Roster'!$AZ:$AZ,$B63,'Week 1 Roster'!$AE:$AE))</f>
        <v>0</v>
      </c>
      <c r="Z63" s="17">
        <f ca="1">IF($A63=0,0,SUMIF('Week 1 Roster'!$AZ:$AZ,$B63,'Week 1 Roster'!$AG:$AG))</f>
        <v>0</v>
      </c>
      <c r="AA63" s="17">
        <f ca="1">IF($A63=0,0,SUMIF('Week 1 Roster'!$AZ:$AZ,$B63,'Week 1 Roster'!$AI:$AI))</f>
        <v>0</v>
      </c>
      <c r="AB63" s="17">
        <f ca="1">IF($A63=0,0,SUMIF('Week 1 Roster'!$AZ:$AZ,$B63,'Week 1 Roster'!$AK:$AK))</f>
        <v>0</v>
      </c>
      <c r="AC63" s="17">
        <f ca="1">IF($A63=0,0,SUMIF('Week 1 Roster'!$AZ:$AZ,$B63,'Week 1 Roster'!$AM:$AM))</f>
        <v>0</v>
      </c>
      <c r="AD63" s="17">
        <f ca="1">IF($A63=0,0,SUMIF('Week 1 Roster'!$AZ:$AZ,$B63,'Week 1 Roster'!$AO:$AO))</f>
        <v>0</v>
      </c>
      <c r="AE63" s="38">
        <f ca="1">IF($A63=0,0,SUMIF('Week 1 Roster'!$AZ:$AZ,$B63,'Week 1 Roster'!$AP:$AP))</f>
        <v>0</v>
      </c>
      <c r="AF63" s="17">
        <f ca="1">IF($A63=0,0,SUMIF('Week 1 Roster'!$AZ:$AZ,$B63,'Week 1 Roster'!$AQ:$AQ))</f>
        <v>0</v>
      </c>
      <c r="AG63" s="17">
        <f ca="1">IF($A63=0,0,SUMIF('Week 1 Roster'!$AZ:$AZ,$B63,'Week 1 Roster'!$AR:$AR))</f>
        <v>0</v>
      </c>
      <c r="AH63" s="17">
        <f ca="1">IF($A63=0,0,SUMIF('Week 1 Roster'!$AZ:$AZ,$B63,'Week 1 Roster'!$AS:$AS))</f>
        <v>0</v>
      </c>
      <c r="AI63" s="17">
        <f t="shared" ca="1" si="22"/>
        <v>0</v>
      </c>
      <c r="AK63" s="17">
        <f ca="1">IF($A63=0,0,SUMIF('Week 2 Roster'!$AZ:$AZ,$B63,'Week 2 Roster'!$AE:$AE))</f>
        <v>0</v>
      </c>
      <c r="AL63" s="17">
        <f ca="1">IF($A63=0,0,SUMIF('Week 2 Roster'!$AZ:$AZ,$B63,'Week 2 Roster'!$AG:$AG))</f>
        <v>0</v>
      </c>
      <c r="AM63" s="17">
        <f ca="1">IF($A63=0,0,SUMIF('Week 2 Roster'!$AZ:$AZ,$B63,'Week 2 Roster'!$AI:$AI))</f>
        <v>0</v>
      </c>
      <c r="AN63" s="17">
        <f ca="1">IF($A63=0,0,SUMIF('Week 2 Roster'!$AZ:$AZ,$B63,'Week 2 Roster'!$AK:$AK))</f>
        <v>0</v>
      </c>
      <c r="AO63" s="17">
        <f ca="1">IF($A63=0,0,SUMIF('Week 2 Roster'!$AZ:$AZ,$B63,'Week 2 Roster'!$AM:$AM))</f>
        <v>0</v>
      </c>
      <c r="AP63" s="17">
        <f ca="1">IF($A63=0,0,SUMIF('Week 2 Roster'!$AZ:$AZ,$B63,'Week 2 Roster'!$AO:$AO))</f>
        <v>0</v>
      </c>
      <c r="AQ63" s="38">
        <f ca="1">IF($A63=0,0,SUMIF('Week 2 Roster'!$AZ:$AZ,$B63,'Week 2 Roster'!$AP:$AP))</f>
        <v>0</v>
      </c>
      <c r="AR63" s="17">
        <f ca="1">IF($A63=0,0,SUMIF('Week 2 Roster'!$AZ:$AZ,$B63,'Week 2 Roster'!$AQ:$AQ))</f>
        <v>0</v>
      </c>
      <c r="AS63" s="17">
        <f ca="1">IF($A63=0,0,SUMIF('Week 2 Roster'!$AZ:$AZ,$B63,'Week 2 Roster'!$AR:$AR))</f>
        <v>0</v>
      </c>
      <c r="AT63" s="17">
        <f ca="1">IF($A63=0,0,SUMIF('Week 2 Roster'!$AZ:$AZ,$B63,'Week 2 Roster'!$AS:$AS))</f>
        <v>0</v>
      </c>
      <c r="AU63" s="17">
        <f t="shared" ca="1" si="23"/>
        <v>0</v>
      </c>
      <c r="AV63" s="17"/>
      <c r="AW63" s="25" t="str">
        <f>'Week 1 Roster'!A63</f>
        <v/>
      </c>
      <c r="AX63" s="25" t="str">
        <f>'Week 2 Roster'!A63</f>
        <v/>
      </c>
    </row>
    <row r="64" spans="1:50">
      <c r="A64" s="16" cm="1">
        <f t="array" aca="1" ref="A64" ca="1">_xlfn.NUMBERVALUE(INDIRECT(TEXT(MIN(IF(($AW$2:$AX$300&lt;&gt;"")*(COUNTIF($B$1:B63,$AW$2:$AX$300)=0),ROW($2:$300)*100+COLUMN($AW:$AX),7^8)),"R0C00"),)&amp;"")</f>
        <v>0</v>
      </c>
      <c r="B64" s="28" t="str">
        <f t="shared" ca="1" si="9"/>
        <v/>
      </c>
      <c r="C64" s="28" t="str">
        <f ca="1">IF($A64=0,"",VLOOKUP($B64,Employees!$A:$G,2,FALSE))</f>
        <v/>
      </c>
      <c r="D64" s="28" t="str">
        <f ca="1">IF($A64=0,"",VLOOKUP($B64,Employees!$A:$G,3,FALSE))</f>
        <v/>
      </c>
      <c r="E64" s="26" t="str">
        <f ca="1">IF($A64=0,"",VLOOKUP($B64,Employees!$A:$G,5,FALSE))</f>
        <v/>
      </c>
      <c r="F64" s="13" t="str">
        <f ca="1">IF($E64="","",ROUNDDOWN(YEARFRAC($E64, 'Week 1 Roster'!$D$1-1, 1), 0))</f>
        <v/>
      </c>
      <c r="G64" s="13" t="str">
        <f ca="1">IF($E64="","",ROUNDDOWN(YEARFRAC($E64, 'Week 1 Roster'!$D$1+14, 1), 0))</f>
        <v/>
      </c>
      <c r="H64" s="13" t="str">
        <f t="shared" ca="1" si="10"/>
        <v/>
      </c>
      <c r="I64" s="13" t="str">
        <f ca="1">IF($A64=0,"",VLOOKUP($B64,Employees!$A:$G,6,FALSE))</f>
        <v/>
      </c>
      <c r="J64" s="13" t="str">
        <f ca="1">IF($A64=0,"",VLOOKUP($B64,Employees!$A:$G,7,FALSE))</f>
        <v/>
      </c>
      <c r="K64" s="13" t="str">
        <f ca="1">IF($A64=0,"",IF(ISNA(VLOOKUP(A64,'Week 1 Roster'!A:C,2,0)),VLOOKUP(A64,'Week 2 Roster'!A:C,2,0),VLOOKUP(A64,'Week 1 Roster'!A:C,2,0)))</f>
        <v/>
      </c>
      <c r="L64" s="13" t="str">
        <f ca="1">IF($A64=0,"",VLOOKUP(K64,Stores!A:B,2,0))</f>
        <v/>
      </c>
      <c r="M64" s="14">
        <f t="shared" ca="1" si="11"/>
        <v>0</v>
      </c>
      <c r="N64" s="14">
        <f t="shared" ca="1" si="12"/>
        <v>0</v>
      </c>
      <c r="O64" s="14">
        <f t="shared" ca="1" si="13"/>
        <v>0</v>
      </c>
      <c r="P64" s="14">
        <f t="shared" ca="1" si="14"/>
        <v>0</v>
      </c>
      <c r="Q64" s="14">
        <f t="shared" ca="1" si="15"/>
        <v>0</v>
      </c>
      <c r="R64" s="14">
        <f t="shared" ca="1" si="16"/>
        <v>0</v>
      </c>
      <c r="S64" s="28">
        <f t="shared" ca="1" si="17"/>
        <v>0</v>
      </c>
      <c r="T64" s="14">
        <f t="shared" ca="1" si="18"/>
        <v>0</v>
      </c>
      <c r="U64" s="14">
        <f t="shared" ca="1" si="19"/>
        <v>0</v>
      </c>
      <c r="V64" s="14">
        <f t="shared" ca="1" si="20"/>
        <v>0</v>
      </c>
      <c r="W64" s="14">
        <f t="shared" ca="1" si="21"/>
        <v>0</v>
      </c>
      <c r="Y64" s="17">
        <f ca="1">IF($A64=0,0,SUMIF('Week 1 Roster'!$AZ:$AZ,$B64,'Week 1 Roster'!$AE:$AE))</f>
        <v>0</v>
      </c>
      <c r="Z64" s="17">
        <f ca="1">IF($A64=0,0,SUMIF('Week 1 Roster'!$AZ:$AZ,$B64,'Week 1 Roster'!$AG:$AG))</f>
        <v>0</v>
      </c>
      <c r="AA64" s="17">
        <f ca="1">IF($A64=0,0,SUMIF('Week 1 Roster'!$AZ:$AZ,$B64,'Week 1 Roster'!$AI:$AI))</f>
        <v>0</v>
      </c>
      <c r="AB64" s="17">
        <f ca="1">IF($A64=0,0,SUMIF('Week 1 Roster'!$AZ:$AZ,$B64,'Week 1 Roster'!$AK:$AK))</f>
        <v>0</v>
      </c>
      <c r="AC64" s="17">
        <f ca="1">IF($A64=0,0,SUMIF('Week 1 Roster'!$AZ:$AZ,$B64,'Week 1 Roster'!$AM:$AM))</f>
        <v>0</v>
      </c>
      <c r="AD64" s="17">
        <f ca="1">IF($A64=0,0,SUMIF('Week 1 Roster'!$AZ:$AZ,$B64,'Week 1 Roster'!$AO:$AO))</f>
        <v>0</v>
      </c>
      <c r="AE64" s="38">
        <f ca="1">IF($A64=0,0,SUMIF('Week 1 Roster'!$AZ:$AZ,$B64,'Week 1 Roster'!$AP:$AP))</f>
        <v>0</v>
      </c>
      <c r="AF64" s="17">
        <f ca="1">IF($A64=0,0,SUMIF('Week 1 Roster'!$AZ:$AZ,$B64,'Week 1 Roster'!$AQ:$AQ))</f>
        <v>0</v>
      </c>
      <c r="AG64" s="17">
        <f ca="1">IF($A64=0,0,SUMIF('Week 1 Roster'!$AZ:$AZ,$B64,'Week 1 Roster'!$AR:$AR))</f>
        <v>0</v>
      </c>
      <c r="AH64" s="17">
        <f ca="1">IF($A64=0,0,SUMIF('Week 1 Roster'!$AZ:$AZ,$B64,'Week 1 Roster'!$AS:$AS))</f>
        <v>0</v>
      </c>
      <c r="AI64" s="17">
        <f t="shared" ca="1" si="22"/>
        <v>0</v>
      </c>
      <c r="AK64" s="17">
        <f ca="1">IF($A64=0,0,SUMIF('Week 2 Roster'!$AZ:$AZ,$B64,'Week 2 Roster'!$AE:$AE))</f>
        <v>0</v>
      </c>
      <c r="AL64" s="17">
        <f ca="1">IF($A64=0,0,SUMIF('Week 2 Roster'!$AZ:$AZ,$B64,'Week 2 Roster'!$AG:$AG))</f>
        <v>0</v>
      </c>
      <c r="AM64" s="17">
        <f ca="1">IF($A64=0,0,SUMIF('Week 2 Roster'!$AZ:$AZ,$B64,'Week 2 Roster'!$AI:$AI))</f>
        <v>0</v>
      </c>
      <c r="AN64" s="17">
        <f ca="1">IF($A64=0,0,SUMIF('Week 2 Roster'!$AZ:$AZ,$B64,'Week 2 Roster'!$AK:$AK))</f>
        <v>0</v>
      </c>
      <c r="AO64" s="17">
        <f ca="1">IF($A64=0,0,SUMIF('Week 2 Roster'!$AZ:$AZ,$B64,'Week 2 Roster'!$AM:$AM))</f>
        <v>0</v>
      </c>
      <c r="AP64" s="17">
        <f ca="1">IF($A64=0,0,SUMIF('Week 2 Roster'!$AZ:$AZ,$B64,'Week 2 Roster'!$AO:$AO))</f>
        <v>0</v>
      </c>
      <c r="AQ64" s="38">
        <f ca="1">IF($A64=0,0,SUMIF('Week 2 Roster'!$AZ:$AZ,$B64,'Week 2 Roster'!$AP:$AP))</f>
        <v>0</v>
      </c>
      <c r="AR64" s="17">
        <f ca="1">IF($A64=0,0,SUMIF('Week 2 Roster'!$AZ:$AZ,$B64,'Week 2 Roster'!$AQ:$AQ))</f>
        <v>0</v>
      </c>
      <c r="AS64" s="17">
        <f ca="1">IF($A64=0,0,SUMIF('Week 2 Roster'!$AZ:$AZ,$B64,'Week 2 Roster'!$AR:$AR))</f>
        <v>0</v>
      </c>
      <c r="AT64" s="17">
        <f ca="1">IF($A64=0,0,SUMIF('Week 2 Roster'!$AZ:$AZ,$B64,'Week 2 Roster'!$AS:$AS))</f>
        <v>0</v>
      </c>
      <c r="AU64" s="17">
        <f t="shared" ca="1" si="23"/>
        <v>0</v>
      </c>
      <c r="AV64" s="17"/>
      <c r="AW64" s="25" t="str">
        <f>'Week 1 Roster'!A64</f>
        <v/>
      </c>
      <c r="AX64" s="25" t="str">
        <f>'Week 2 Roster'!A64</f>
        <v/>
      </c>
    </row>
    <row r="65" spans="1:50">
      <c r="A65" s="16" cm="1">
        <f t="array" aca="1" ref="A65" ca="1">_xlfn.NUMBERVALUE(INDIRECT(TEXT(MIN(IF(($AW$2:$AX$300&lt;&gt;"")*(COUNTIF($B$1:B64,$AW$2:$AX$300)=0),ROW($2:$300)*100+COLUMN($AW:$AX),7^8)),"R0C00"),)&amp;"")</f>
        <v>0</v>
      </c>
      <c r="B65" s="28" t="str">
        <f t="shared" ca="1" si="9"/>
        <v/>
      </c>
      <c r="C65" s="28" t="str">
        <f ca="1">IF($A65=0,"",VLOOKUP($B65,Employees!$A:$G,2,FALSE))</f>
        <v/>
      </c>
      <c r="D65" s="28" t="str">
        <f ca="1">IF($A65=0,"",VLOOKUP($B65,Employees!$A:$G,3,FALSE))</f>
        <v/>
      </c>
      <c r="E65" s="26" t="str">
        <f ca="1">IF($A65=0,"",VLOOKUP($B65,Employees!$A:$G,5,FALSE))</f>
        <v/>
      </c>
      <c r="F65" s="13" t="str">
        <f ca="1">IF($E65="","",ROUNDDOWN(YEARFRAC($E65, 'Week 1 Roster'!$D$1-1, 1), 0))</f>
        <v/>
      </c>
      <c r="G65" s="13" t="str">
        <f ca="1">IF($E65="","",ROUNDDOWN(YEARFRAC($E65, 'Week 1 Roster'!$D$1+14, 1), 0))</f>
        <v/>
      </c>
      <c r="H65" s="13" t="str">
        <f t="shared" ca="1" si="10"/>
        <v/>
      </c>
      <c r="I65" s="13" t="str">
        <f ca="1">IF($A65=0,"",VLOOKUP($B65,Employees!$A:$G,6,FALSE))</f>
        <v/>
      </c>
      <c r="J65" s="13" t="str">
        <f ca="1">IF($A65=0,"",VLOOKUP($B65,Employees!$A:$G,7,FALSE))</f>
        <v/>
      </c>
      <c r="K65" s="13" t="str">
        <f ca="1">IF($A65=0,"",IF(ISNA(VLOOKUP(A65,'Week 1 Roster'!A:C,2,0)),VLOOKUP(A65,'Week 2 Roster'!A:C,2,0),VLOOKUP(A65,'Week 1 Roster'!A:C,2,0)))</f>
        <v/>
      </c>
      <c r="L65" s="13" t="str">
        <f ca="1">IF($A65=0,"",VLOOKUP(K65,Stores!A:B,2,0))</f>
        <v/>
      </c>
      <c r="M65" s="14">
        <f t="shared" ca="1" si="11"/>
        <v>0</v>
      </c>
      <c r="N65" s="14">
        <f t="shared" ca="1" si="12"/>
        <v>0</v>
      </c>
      <c r="O65" s="14">
        <f t="shared" ca="1" si="13"/>
        <v>0</v>
      </c>
      <c r="P65" s="14">
        <f t="shared" ca="1" si="14"/>
        <v>0</v>
      </c>
      <c r="Q65" s="14">
        <f t="shared" ca="1" si="15"/>
        <v>0</v>
      </c>
      <c r="R65" s="14">
        <f t="shared" ca="1" si="16"/>
        <v>0</v>
      </c>
      <c r="S65" s="28">
        <f t="shared" ca="1" si="17"/>
        <v>0</v>
      </c>
      <c r="T65" s="14">
        <f t="shared" ca="1" si="18"/>
        <v>0</v>
      </c>
      <c r="U65" s="14">
        <f t="shared" ca="1" si="19"/>
        <v>0</v>
      </c>
      <c r="V65" s="14">
        <f t="shared" ca="1" si="20"/>
        <v>0</v>
      </c>
      <c r="W65" s="14">
        <f t="shared" ca="1" si="21"/>
        <v>0</v>
      </c>
      <c r="Y65" s="17">
        <f ca="1">IF($A65=0,0,SUMIF('Week 1 Roster'!$AZ:$AZ,$B65,'Week 1 Roster'!$AE:$AE))</f>
        <v>0</v>
      </c>
      <c r="Z65" s="17">
        <f ca="1">IF($A65=0,0,SUMIF('Week 1 Roster'!$AZ:$AZ,$B65,'Week 1 Roster'!$AG:$AG))</f>
        <v>0</v>
      </c>
      <c r="AA65" s="17">
        <f ca="1">IF($A65=0,0,SUMIF('Week 1 Roster'!$AZ:$AZ,$B65,'Week 1 Roster'!$AI:$AI))</f>
        <v>0</v>
      </c>
      <c r="AB65" s="17">
        <f ca="1">IF($A65=0,0,SUMIF('Week 1 Roster'!$AZ:$AZ,$B65,'Week 1 Roster'!$AK:$AK))</f>
        <v>0</v>
      </c>
      <c r="AC65" s="17">
        <f ca="1">IF($A65=0,0,SUMIF('Week 1 Roster'!$AZ:$AZ,$B65,'Week 1 Roster'!$AM:$AM))</f>
        <v>0</v>
      </c>
      <c r="AD65" s="17">
        <f ca="1">IF($A65=0,0,SUMIF('Week 1 Roster'!$AZ:$AZ,$B65,'Week 1 Roster'!$AO:$AO))</f>
        <v>0</v>
      </c>
      <c r="AE65" s="38">
        <f ca="1">IF($A65=0,0,SUMIF('Week 1 Roster'!$AZ:$AZ,$B65,'Week 1 Roster'!$AP:$AP))</f>
        <v>0</v>
      </c>
      <c r="AF65" s="17">
        <f ca="1">IF($A65=0,0,SUMIF('Week 1 Roster'!$AZ:$AZ,$B65,'Week 1 Roster'!$AQ:$AQ))</f>
        <v>0</v>
      </c>
      <c r="AG65" s="17">
        <f ca="1">IF($A65=0,0,SUMIF('Week 1 Roster'!$AZ:$AZ,$B65,'Week 1 Roster'!$AR:$AR))</f>
        <v>0</v>
      </c>
      <c r="AH65" s="17">
        <f ca="1">IF($A65=0,0,SUMIF('Week 1 Roster'!$AZ:$AZ,$B65,'Week 1 Roster'!$AS:$AS))</f>
        <v>0</v>
      </c>
      <c r="AI65" s="17">
        <f t="shared" ca="1" si="22"/>
        <v>0</v>
      </c>
      <c r="AK65" s="17">
        <f ca="1">IF($A65=0,0,SUMIF('Week 2 Roster'!$AZ:$AZ,$B65,'Week 2 Roster'!$AE:$AE))</f>
        <v>0</v>
      </c>
      <c r="AL65" s="17">
        <f ca="1">IF($A65=0,0,SUMIF('Week 2 Roster'!$AZ:$AZ,$B65,'Week 2 Roster'!$AG:$AG))</f>
        <v>0</v>
      </c>
      <c r="AM65" s="17">
        <f ca="1">IF($A65=0,0,SUMIF('Week 2 Roster'!$AZ:$AZ,$B65,'Week 2 Roster'!$AI:$AI))</f>
        <v>0</v>
      </c>
      <c r="AN65" s="17">
        <f ca="1">IF($A65=0,0,SUMIF('Week 2 Roster'!$AZ:$AZ,$B65,'Week 2 Roster'!$AK:$AK))</f>
        <v>0</v>
      </c>
      <c r="AO65" s="17">
        <f ca="1">IF($A65=0,0,SUMIF('Week 2 Roster'!$AZ:$AZ,$B65,'Week 2 Roster'!$AM:$AM))</f>
        <v>0</v>
      </c>
      <c r="AP65" s="17">
        <f ca="1">IF($A65=0,0,SUMIF('Week 2 Roster'!$AZ:$AZ,$B65,'Week 2 Roster'!$AO:$AO))</f>
        <v>0</v>
      </c>
      <c r="AQ65" s="38">
        <f ca="1">IF($A65=0,0,SUMIF('Week 2 Roster'!$AZ:$AZ,$B65,'Week 2 Roster'!$AP:$AP))</f>
        <v>0</v>
      </c>
      <c r="AR65" s="17">
        <f ca="1">IF($A65=0,0,SUMIF('Week 2 Roster'!$AZ:$AZ,$B65,'Week 2 Roster'!$AQ:$AQ))</f>
        <v>0</v>
      </c>
      <c r="AS65" s="17">
        <f ca="1">IF($A65=0,0,SUMIF('Week 2 Roster'!$AZ:$AZ,$B65,'Week 2 Roster'!$AR:$AR))</f>
        <v>0</v>
      </c>
      <c r="AT65" s="17">
        <f ca="1">IF($A65=0,0,SUMIF('Week 2 Roster'!$AZ:$AZ,$B65,'Week 2 Roster'!$AS:$AS))</f>
        <v>0</v>
      </c>
      <c r="AU65" s="17">
        <f t="shared" ca="1" si="23"/>
        <v>0</v>
      </c>
      <c r="AV65" s="17"/>
      <c r="AW65" s="25" t="str">
        <f>'Week 1 Roster'!A65</f>
        <v/>
      </c>
      <c r="AX65" s="25" t="str">
        <f>'Week 2 Roster'!A65</f>
        <v/>
      </c>
    </row>
    <row r="66" spans="1:50">
      <c r="A66" s="16" cm="1">
        <f t="array" aca="1" ref="A66" ca="1">_xlfn.NUMBERVALUE(INDIRECT(TEXT(MIN(IF(($AW$2:$AX$300&lt;&gt;"")*(COUNTIF($B$1:B65,$AW$2:$AX$300)=0),ROW($2:$300)*100+COLUMN($AW:$AX),7^8)),"R0C00"),)&amp;"")</f>
        <v>0</v>
      </c>
      <c r="B66" s="28" t="str">
        <f t="shared" ca="1" si="9"/>
        <v/>
      </c>
      <c r="C66" s="28" t="str">
        <f ca="1">IF($A66=0,"",VLOOKUP($B66,Employees!$A:$G,2,FALSE))</f>
        <v/>
      </c>
      <c r="D66" s="28" t="str">
        <f ca="1">IF($A66=0,"",VLOOKUP($B66,Employees!$A:$G,3,FALSE))</f>
        <v/>
      </c>
      <c r="E66" s="26" t="str">
        <f ca="1">IF($A66=0,"",VLOOKUP($B66,Employees!$A:$G,5,FALSE))</f>
        <v/>
      </c>
      <c r="F66" s="13" t="str">
        <f ca="1">IF($E66="","",ROUNDDOWN(YEARFRAC($E66, 'Week 1 Roster'!$D$1-1, 1), 0))</f>
        <v/>
      </c>
      <c r="G66" s="13" t="str">
        <f ca="1">IF($E66="","",ROUNDDOWN(YEARFRAC($E66, 'Week 1 Roster'!$D$1+14, 1), 0))</f>
        <v/>
      </c>
      <c r="H66" s="13" t="str">
        <f t="shared" ca="1" si="10"/>
        <v/>
      </c>
      <c r="I66" s="13" t="str">
        <f ca="1">IF($A66=0,"",VLOOKUP($B66,Employees!$A:$G,6,FALSE))</f>
        <v/>
      </c>
      <c r="J66" s="13" t="str">
        <f ca="1">IF($A66=0,"",VLOOKUP($B66,Employees!$A:$G,7,FALSE))</f>
        <v/>
      </c>
      <c r="K66" s="13" t="str">
        <f ca="1">IF($A66=0,"",IF(ISNA(VLOOKUP(A66,'Week 1 Roster'!A:C,2,0)),VLOOKUP(A66,'Week 2 Roster'!A:C,2,0),VLOOKUP(A66,'Week 1 Roster'!A:C,2,0)))</f>
        <v/>
      </c>
      <c r="L66" s="13" t="str">
        <f ca="1">IF($A66=0,"",VLOOKUP(K66,Stores!A:B,2,0))</f>
        <v/>
      </c>
      <c r="M66" s="14">
        <f t="shared" ca="1" si="11"/>
        <v>0</v>
      </c>
      <c r="N66" s="14">
        <f t="shared" ca="1" si="12"/>
        <v>0</v>
      </c>
      <c r="O66" s="14">
        <f t="shared" ca="1" si="13"/>
        <v>0</v>
      </c>
      <c r="P66" s="14">
        <f t="shared" ca="1" si="14"/>
        <v>0</v>
      </c>
      <c r="Q66" s="14">
        <f t="shared" ca="1" si="15"/>
        <v>0</v>
      </c>
      <c r="R66" s="14">
        <f t="shared" ca="1" si="16"/>
        <v>0</v>
      </c>
      <c r="S66" s="28">
        <f t="shared" ca="1" si="17"/>
        <v>0</v>
      </c>
      <c r="T66" s="14">
        <f t="shared" ca="1" si="18"/>
        <v>0</v>
      </c>
      <c r="U66" s="14">
        <f t="shared" ca="1" si="19"/>
        <v>0</v>
      </c>
      <c r="V66" s="14">
        <f t="shared" ca="1" si="20"/>
        <v>0</v>
      </c>
      <c r="W66" s="14">
        <f t="shared" ca="1" si="21"/>
        <v>0</v>
      </c>
      <c r="Y66" s="17">
        <f ca="1">IF($A66=0,0,SUMIF('Week 1 Roster'!$AZ:$AZ,$B66,'Week 1 Roster'!$AE:$AE))</f>
        <v>0</v>
      </c>
      <c r="Z66" s="17">
        <f ca="1">IF($A66=0,0,SUMIF('Week 1 Roster'!$AZ:$AZ,$B66,'Week 1 Roster'!$AG:$AG))</f>
        <v>0</v>
      </c>
      <c r="AA66" s="17">
        <f ca="1">IF($A66=0,0,SUMIF('Week 1 Roster'!$AZ:$AZ,$B66,'Week 1 Roster'!$AI:$AI))</f>
        <v>0</v>
      </c>
      <c r="AB66" s="17">
        <f ca="1">IF($A66=0,0,SUMIF('Week 1 Roster'!$AZ:$AZ,$B66,'Week 1 Roster'!$AK:$AK))</f>
        <v>0</v>
      </c>
      <c r="AC66" s="17">
        <f ca="1">IF($A66=0,0,SUMIF('Week 1 Roster'!$AZ:$AZ,$B66,'Week 1 Roster'!$AM:$AM))</f>
        <v>0</v>
      </c>
      <c r="AD66" s="17">
        <f ca="1">IF($A66=0,0,SUMIF('Week 1 Roster'!$AZ:$AZ,$B66,'Week 1 Roster'!$AO:$AO))</f>
        <v>0</v>
      </c>
      <c r="AE66" s="38">
        <f ca="1">IF($A66=0,0,SUMIF('Week 1 Roster'!$AZ:$AZ,$B66,'Week 1 Roster'!$AP:$AP))</f>
        <v>0</v>
      </c>
      <c r="AF66" s="17">
        <f ca="1">IF($A66=0,0,SUMIF('Week 1 Roster'!$AZ:$AZ,$B66,'Week 1 Roster'!$AQ:$AQ))</f>
        <v>0</v>
      </c>
      <c r="AG66" s="17">
        <f ca="1">IF($A66=0,0,SUMIF('Week 1 Roster'!$AZ:$AZ,$B66,'Week 1 Roster'!$AR:$AR))</f>
        <v>0</v>
      </c>
      <c r="AH66" s="17">
        <f ca="1">IF($A66=0,0,SUMIF('Week 1 Roster'!$AZ:$AZ,$B66,'Week 1 Roster'!$AS:$AS))</f>
        <v>0</v>
      </c>
      <c r="AI66" s="17">
        <f t="shared" ca="1" si="22"/>
        <v>0</v>
      </c>
      <c r="AK66" s="17">
        <f ca="1">IF($A66=0,0,SUMIF('Week 2 Roster'!$AZ:$AZ,$B66,'Week 2 Roster'!$AE:$AE))</f>
        <v>0</v>
      </c>
      <c r="AL66" s="17">
        <f ca="1">IF($A66=0,0,SUMIF('Week 2 Roster'!$AZ:$AZ,$B66,'Week 2 Roster'!$AG:$AG))</f>
        <v>0</v>
      </c>
      <c r="AM66" s="17">
        <f ca="1">IF($A66=0,0,SUMIF('Week 2 Roster'!$AZ:$AZ,$B66,'Week 2 Roster'!$AI:$AI))</f>
        <v>0</v>
      </c>
      <c r="AN66" s="17">
        <f ca="1">IF($A66=0,0,SUMIF('Week 2 Roster'!$AZ:$AZ,$B66,'Week 2 Roster'!$AK:$AK))</f>
        <v>0</v>
      </c>
      <c r="AO66" s="17">
        <f ca="1">IF($A66=0,0,SUMIF('Week 2 Roster'!$AZ:$AZ,$B66,'Week 2 Roster'!$AM:$AM))</f>
        <v>0</v>
      </c>
      <c r="AP66" s="17">
        <f ca="1">IF($A66=0,0,SUMIF('Week 2 Roster'!$AZ:$AZ,$B66,'Week 2 Roster'!$AO:$AO))</f>
        <v>0</v>
      </c>
      <c r="AQ66" s="38">
        <f ca="1">IF($A66=0,0,SUMIF('Week 2 Roster'!$AZ:$AZ,$B66,'Week 2 Roster'!$AP:$AP))</f>
        <v>0</v>
      </c>
      <c r="AR66" s="17">
        <f ca="1">IF($A66=0,0,SUMIF('Week 2 Roster'!$AZ:$AZ,$B66,'Week 2 Roster'!$AQ:$AQ))</f>
        <v>0</v>
      </c>
      <c r="AS66" s="17">
        <f ca="1">IF($A66=0,0,SUMIF('Week 2 Roster'!$AZ:$AZ,$B66,'Week 2 Roster'!$AR:$AR))</f>
        <v>0</v>
      </c>
      <c r="AT66" s="17">
        <f ca="1">IF($A66=0,0,SUMIF('Week 2 Roster'!$AZ:$AZ,$B66,'Week 2 Roster'!$AS:$AS))</f>
        <v>0</v>
      </c>
      <c r="AU66" s="17">
        <f t="shared" ca="1" si="23"/>
        <v>0</v>
      </c>
      <c r="AV66" s="17"/>
      <c r="AW66" s="25" t="str">
        <f>'Week 1 Roster'!A66</f>
        <v/>
      </c>
      <c r="AX66" s="25" t="str">
        <f>'Week 2 Roster'!A66</f>
        <v/>
      </c>
    </row>
    <row r="67" spans="1:50">
      <c r="A67" s="16" cm="1">
        <f t="array" aca="1" ref="A67" ca="1">_xlfn.NUMBERVALUE(INDIRECT(TEXT(MIN(IF(($AW$2:$AX$300&lt;&gt;"")*(COUNTIF($B$1:B66,$AW$2:$AX$300)=0),ROW($2:$300)*100+COLUMN($AW:$AX),7^8)),"R0C00"),)&amp;"")</f>
        <v>0</v>
      </c>
      <c r="B67" s="28" t="str">
        <f t="shared" ref="B67:B130" ca="1" si="24">IF(A67=0,"",_xlfn.NUMBERVALUE(A67))</f>
        <v/>
      </c>
      <c r="C67" s="28" t="str">
        <f ca="1">IF($A67=0,"",VLOOKUP($B67,Employees!$A:$G,2,FALSE))</f>
        <v/>
      </c>
      <c r="D67" s="28" t="str">
        <f ca="1">IF($A67=0,"",VLOOKUP($B67,Employees!$A:$G,3,FALSE))</f>
        <v/>
      </c>
      <c r="E67" s="26" t="str">
        <f ca="1">IF($A67=0,"",VLOOKUP($B67,Employees!$A:$G,5,FALSE))</f>
        <v/>
      </c>
      <c r="F67" s="13" t="str">
        <f ca="1">IF($E67="","",ROUNDDOWN(YEARFRAC($E67, 'Week 1 Roster'!$D$1-1, 1), 0))</f>
        <v/>
      </c>
      <c r="G67" s="13" t="str">
        <f ca="1">IF($E67="","",ROUNDDOWN(YEARFRAC($E67, 'Week 1 Roster'!$D$1+14, 1), 0))</f>
        <v/>
      </c>
      <c r="H67" s="13" t="str">
        <f t="shared" ref="H67:H130" ca="1" si="25">IF($E67="","",IF(AND(F67&lt;21,F67&lt;&gt;G67),TRUE,FALSE))</f>
        <v/>
      </c>
      <c r="I67" s="13" t="str">
        <f ca="1">IF($A67=0,"",VLOOKUP($B67,Employees!$A:$G,6,FALSE))</f>
        <v/>
      </c>
      <c r="J67" s="13" t="str">
        <f ca="1">IF($A67=0,"",VLOOKUP($B67,Employees!$A:$G,7,FALSE))</f>
        <v/>
      </c>
      <c r="K67" s="13" t="str">
        <f ca="1">IF($A67=0,"",IF(ISNA(VLOOKUP(A67,'Week 1 Roster'!A:C,2,0)),VLOOKUP(A67,'Week 2 Roster'!A:C,2,0),VLOOKUP(A67,'Week 1 Roster'!A:C,2,0)))</f>
        <v/>
      </c>
      <c r="L67" s="13" t="str">
        <f ca="1">IF($A67=0,"",VLOOKUP(K67,Stores!A:B,2,0))</f>
        <v/>
      </c>
      <c r="M67" s="14">
        <f t="shared" ref="M67:M130" ca="1" si="26">Y67+AK67</f>
        <v>0</v>
      </c>
      <c r="N67" s="14">
        <f t="shared" ref="N67:N130" ca="1" si="27">Z67+AL67</f>
        <v>0</v>
      </c>
      <c r="O67" s="14">
        <f t="shared" ref="O67:O130" ca="1" si="28">AA67+AM67</f>
        <v>0</v>
      </c>
      <c r="P67" s="14">
        <f t="shared" ref="P67:P130" ca="1" si="29">AB67+AN67</f>
        <v>0</v>
      </c>
      <c r="Q67" s="14">
        <f t="shared" ref="Q67:Q130" ca="1" si="30">AC67+AO67</f>
        <v>0</v>
      </c>
      <c r="R67" s="14">
        <f t="shared" ref="R67:R130" ca="1" si="31">AD67+AP67</f>
        <v>0</v>
      </c>
      <c r="S67" s="28">
        <f t="shared" ref="S67:S130" ca="1" si="32">AE67+AQ67</f>
        <v>0</v>
      </c>
      <c r="T67" s="14">
        <f t="shared" ref="T67:T130" ca="1" si="33">AF67+AR67</f>
        <v>0</v>
      </c>
      <c r="U67" s="14">
        <f t="shared" ref="U67:U130" ca="1" si="34">AG67+AS67</f>
        <v>0</v>
      </c>
      <c r="V67" s="14">
        <f t="shared" ref="V67:V130" ca="1" si="35">AH67+AT67</f>
        <v>0</v>
      </c>
      <c r="W67" s="14">
        <f t="shared" ref="W67:W130" ca="1" si="36">SUM(M67:R67,T67:V67)</f>
        <v>0</v>
      </c>
      <c r="Y67" s="17">
        <f ca="1">IF($A67=0,0,SUMIF('Week 1 Roster'!$AZ:$AZ,$B67,'Week 1 Roster'!$AE:$AE))</f>
        <v>0</v>
      </c>
      <c r="Z67" s="17">
        <f ca="1">IF($A67=0,0,SUMIF('Week 1 Roster'!$AZ:$AZ,$B67,'Week 1 Roster'!$AG:$AG))</f>
        <v>0</v>
      </c>
      <c r="AA67" s="17">
        <f ca="1">IF($A67=0,0,SUMIF('Week 1 Roster'!$AZ:$AZ,$B67,'Week 1 Roster'!$AI:$AI))</f>
        <v>0</v>
      </c>
      <c r="AB67" s="17">
        <f ca="1">IF($A67=0,0,SUMIF('Week 1 Roster'!$AZ:$AZ,$B67,'Week 1 Roster'!$AK:$AK))</f>
        <v>0</v>
      </c>
      <c r="AC67" s="17">
        <f ca="1">IF($A67=0,0,SUMIF('Week 1 Roster'!$AZ:$AZ,$B67,'Week 1 Roster'!$AM:$AM))</f>
        <v>0</v>
      </c>
      <c r="AD67" s="17">
        <f ca="1">IF($A67=0,0,SUMIF('Week 1 Roster'!$AZ:$AZ,$B67,'Week 1 Roster'!$AO:$AO))</f>
        <v>0</v>
      </c>
      <c r="AE67" s="38">
        <f ca="1">IF($A67=0,0,SUMIF('Week 1 Roster'!$AZ:$AZ,$B67,'Week 1 Roster'!$AP:$AP))</f>
        <v>0</v>
      </c>
      <c r="AF67" s="17">
        <f ca="1">IF($A67=0,0,SUMIF('Week 1 Roster'!$AZ:$AZ,$B67,'Week 1 Roster'!$AQ:$AQ))</f>
        <v>0</v>
      </c>
      <c r="AG67" s="17">
        <f ca="1">IF($A67=0,0,SUMIF('Week 1 Roster'!$AZ:$AZ,$B67,'Week 1 Roster'!$AR:$AR))</f>
        <v>0</v>
      </c>
      <c r="AH67" s="17">
        <f ca="1">IF($A67=0,0,SUMIF('Week 1 Roster'!$AZ:$AZ,$B67,'Week 1 Roster'!$AS:$AS))</f>
        <v>0</v>
      </c>
      <c r="AI67" s="17">
        <f t="shared" ref="AI67:AI130" ca="1" si="37">SUM(Y67:AD67,AF67:AH67)</f>
        <v>0</v>
      </c>
      <c r="AK67" s="17">
        <f ca="1">IF($A67=0,0,SUMIF('Week 2 Roster'!$AZ:$AZ,$B67,'Week 2 Roster'!$AE:$AE))</f>
        <v>0</v>
      </c>
      <c r="AL67" s="17">
        <f ca="1">IF($A67=0,0,SUMIF('Week 2 Roster'!$AZ:$AZ,$B67,'Week 2 Roster'!$AG:$AG))</f>
        <v>0</v>
      </c>
      <c r="AM67" s="17">
        <f ca="1">IF($A67=0,0,SUMIF('Week 2 Roster'!$AZ:$AZ,$B67,'Week 2 Roster'!$AI:$AI))</f>
        <v>0</v>
      </c>
      <c r="AN67" s="17">
        <f ca="1">IF($A67=0,0,SUMIF('Week 2 Roster'!$AZ:$AZ,$B67,'Week 2 Roster'!$AK:$AK))</f>
        <v>0</v>
      </c>
      <c r="AO67" s="17">
        <f ca="1">IF($A67=0,0,SUMIF('Week 2 Roster'!$AZ:$AZ,$B67,'Week 2 Roster'!$AM:$AM))</f>
        <v>0</v>
      </c>
      <c r="AP67" s="17">
        <f ca="1">IF($A67=0,0,SUMIF('Week 2 Roster'!$AZ:$AZ,$B67,'Week 2 Roster'!$AO:$AO))</f>
        <v>0</v>
      </c>
      <c r="AQ67" s="38">
        <f ca="1">IF($A67=0,0,SUMIF('Week 2 Roster'!$AZ:$AZ,$B67,'Week 2 Roster'!$AP:$AP))</f>
        <v>0</v>
      </c>
      <c r="AR67" s="17">
        <f ca="1">IF($A67=0,0,SUMIF('Week 2 Roster'!$AZ:$AZ,$B67,'Week 2 Roster'!$AQ:$AQ))</f>
        <v>0</v>
      </c>
      <c r="AS67" s="17">
        <f ca="1">IF($A67=0,0,SUMIF('Week 2 Roster'!$AZ:$AZ,$B67,'Week 2 Roster'!$AR:$AR))</f>
        <v>0</v>
      </c>
      <c r="AT67" s="17">
        <f ca="1">IF($A67=0,0,SUMIF('Week 2 Roster'!$AZ:$AZ,$B67,'Week 2 Roster'!$AS:$AS))</f>
        <v>0</v>
      </c>
      <c r="AU67" s="17">
        <f t="shared" ref="AU67:AU130" ca="1" si="38">SUM(AK67:AP67,AR67:AT67)</f>
        <v>0</v>
      </c>
      <c r="AV67" s="17"/>
      <c r="AW67" s="25" t="str">
        <f>'Week 1 Roster'!A67</f>
        <v/>
      </c>
      <c r="AX67" s="25" t="str">
        <f>'Week 2 Roster'!A67</f>
        <v/>
      </c>
    </row>
    <row r="68" spans="1:50">
      <c r="A68" s="16" cm="1">
        <f t="array" aca="1" ref="A68" ca="1">_xlfn.NUMBERVALUE(INDIRECT(TEXT(MIN(IF(($AW$2:$AX$300&lt;&gt;"")*(COUNTIF($B$1:B67,$AW$2:$AX$300)=0),ROW($2:$300)*100+COLUMN($AW:$AX),7^8)),"R0C00"),)&amp;"")</f>
        <v>0</v>
      </c>
      <c r="B68" s="28" t="str">
        <f t="shared" ca="1" si="24"/>
        <v/>
      </c>
      <c r="C68" s="28" t="str">
        <f ca="1">IF($A68=0,"",VLOOKUP($B68,Employees!$A:$G,2,FALSE))</f>
        <v/>
      </c>
      <c r="D68" s="28" t="str">
        <f ca="1">IF($A68=0,"",VLOOKUP($B68,Employees!$A:$G,3,FALSE))</f>
        <v/>
      </c>
      <c r="E68" s="26" t="str">
        <f ca="1">IF($A68=0,"",VLOOKUP($B68,Employees!$A:$G,5,FALSE))</f>
        <v/>
      </c>
      <c r="F68" s="13" t="str">
        <f ca="1">IF($E68="","",ROUNDDOWN(YEARFRAC($E68, 'Week 1 Roster'!$D$1-1, 1), 0))</f>
        <v/>
      </c>
      <c r="G68" s="13" t="str">
        <f ca="1">IF($E68="","",ROUNDDOWN(YEARFRAC($E68, 'Week 1 Roster'!$D$1+14, 1), 0))</f>
        <v/>
      </c>
      <c r="H68" s="13" t="str">
        <f t="shared" ca="1" si="25"/>
        <v/>
      </c>
      <c r="I68" s="13" t="str">
        <f ca="1">IF($A68=0,"",VLOOKUP($B68,Employees!$A:$G,6,FALSE))</f>
        <v/>
      </c>
      <c r="J68" s="13" t="str">
        <f ca="1">IF($A68=0,"",VLOOKUP($B68,Employees!$A:$G,7,FALSE))</f>
        <v/>
      </c>
      <c r="K68" s="13" t="str">
        <f ca="1">IF($A68=0,"",IF(ISNA(VLOOKUP(A68,'Week 1 Roster'!A:C,2,0)),VLOOKUP(A68,'Week 2 Roster'!A:C,2,0),VLOOKUP(A68,'Week 1 Roster'!A:C,2,0)))</f>
        <v/>
      </c>
      <c r="L68" s="13" t="str">
        <f ca="1">IF($A68=0,"",VLOOKUP(K68,Stores!A:B,2,0))</f>
        <v/>
      </c>
      <c r="M68" s="14">
        <f t="shared" ca="1" si="26"/>
        <v>0</v>
      </c>
      <c r="N68" s="14">
        <f t="shared" ca="1" si="27"/>
        <v>0</v>
      </c>
      <c r="O68" s="14">
        <f t="shared" ca="1" si="28"/>
        <v>0</v>
      </c>
      <c r="P68" s="14">
        <f t="shared" ca="1" si="29"/>
        <v>0</v>
      </c>
      <c r="Q68" s="14">
        <f t="shared" ca="1" si="30"/>
        <v>0</v>
      </c>
      <c r="R68" s="14">
        <f t="shared" ca="1" si="31"/>
        <v>0</v>
      </c>
      <c r="S68" s="28">
        <f t="shared" ca="1" si="32"/>
        <v>0</v>
      </c>
      <c r="T68" s="14">
        <f t="shared" ca="1" si="33"/>
        <v>0</v>
      </c>
      <c r="U68" s="14">
        <f t="shared" ca="1" si="34"/>
        <v>0</v>
      </c>
      <c r="V68" s="14">
        <f t="shared" ca="1" si="35"/>
        <v>0</v>
      </c>
      <c r="W68" s="14">
        <f t="shared" ca="1" si="36"/>
        <v>0</v>
      </c>
      <c r="Y68" s="17">
        <f ca="1">IF($A68=0,0,SUMIF('Week 1 Roster'!$AZ:$AZ,$B68,'Week 1 Roster'!$AE:$AE))</f>
        <v>0</v>
      </c>
      <c r="Z68" s="17">
        <f ca="1">IF($A68=0,0,SUMIF('Week 1 Roster'!$AZ:$AZ,$B68,'Week 1 Roster'!$AG:$AG))</f>
        <v>0</v>
      </c>
      <c r="AA68" s="17">
        <f ca="1">IF($A68=0,0,SUMIF('Week 1 Roster'!$AZ:$AZ,$B68,'Week 1 Roster'!$AI:$AI))</f>
        <v>0</v>
      </c>
      <c r="AB68" s="17">
        <f ca="1">IF($A68=0,0,SUMIF('Week 1 Roster'!$AZ:$AZ,$B68,'Week 1 Roster'!$AK:$AK))</f>
        <v>0</v>
      </c>
      <c r="AC68" s="17">
        <f ca="1">IF($A68=0,0,SUMIF('Week 1 Roster'!$AZ:$AZ,$B68,'Week 1 Roster'!$AM:$AM))</f>
        <v>0</v>
      </c>
      <c r="AD68" s="17">
        <f ca="1">IF($A68=0,0,SUMIF('Week 1 Roster'!$AZ:$AZ,$B68,'Week 1 Roster'!$AO:$AO))</f>
        <v>0</v>
      </c>
      <c r="AE68" s="38">
        <f ca="1">IF($A68=0,0,SUMIF('Week 1 Roster'!$AZ:$AZ,$B68,'Week 1 Roster'!$AP:$AP))</f>
        <v>0</v>
      </c>
      <c r="AF68" s="17">
        <f ca="1">IF($A68=0,0,SUMIF('Week 1 Roster'!$AZ:$AZ,$B68,'Week 1 Roster'!$AQ:$AQ))</f>
        <v>0</v>
      </c>
      <c r="AG68" s="17">
        <f ca="1">IF($A68=0,0,SUMIF('Week 1 Roster'!$AZ:$AZ,$B68,'Week 1 Roster'!$AR:$AR))</f>
        <v>0</v>
      </c>
      <c r="AH68" s="17">
        <f ca="1">IF($A68=0,0,SUMIF('Week 1 Roster'!$AZ:$AZ,$B68,'Week 1 Roster'!$AS:$AS))</f>
        <v>0</v>
      </c>
      <c r="AI68" s="17">
        <f t="shared" ca="1" si="37"/>
        <v>0</v>
      </c>
      <c r="AK68" s="17">
        <f ca="1">IF($A68=0,0,SUMIF('Week 2 Roster'!$AZ:$AZ,$B68,'Week 2 Roster'!$AE:$AE))</f>
        <v>0</v>
      </c>
      <c r="AL68" s="17">
        <f ca="1">IF($A68=0,0,SUMIF('Week 2 Roster'!$AZ:$AZ,$B68,'Week 2 Roster'!$AG:$AG))</f>
        <v>0</v>
      </c>
      <c r="AM68" s="17">
        <f ca="1">IF($A68=0,0,SUMIF('Week 2 Roster'!$AZ:$AZ,$B68,'Week 2 Roster'!$AI:$AI))</f>
        <v>0</v>
      </c>
      <c r="AN68" s="17">
        <f ca="1">IF($A68=0,0,SUMIF('Week 2 Roster'!$AZ:$AZ,$B68,'Week 2 Roster'!$AK:$AK))</f>
        <v>0</v>
      </c>
      <c r="AO68" s="17">
        <f ca="1">IF($A68=0,0,SUMIF('Week 2 Roster'!$AZ:$AZ,$B68,'Week 2 Roster'!$AM:$AM))</f>
        <v>0</v>
      </c>
      <c r="AP68" s="17">
        <f ca="1">IF($A68=0,0,SUMIF('Week 2 Roster'!$AZ:$AZ,$B68,'Week 2 Roster'!$AO:$AO))</f>
        <v>0</v>
      </c>
      <c r="AQ68" s="38">
        <f ca="1">IF($A68=0,0,SUMIF('Week 2 Roster'!$AZ:$AZ,$B68,'Week 2 Roster'!$AP:$AP))</f>
        <v>0</v>
      </c>
      <c r="AR68" s="17">
        <f ca="1">IF($A68=0,0,SUMIF('Week 2 Roster'!$AZ:$AZ,$B68,'Week 2 Roster'!$AQ:$AQ))</f>
        <v>0</v>
      </c>
      <c r="AS68" s="17">
        <f ca="1">IF($A68=0,0,SUMIF('Week 2 Roster'!$AZ:$AZ,$B68,'Week 2 Roster'!$AR:$AR))</f>
        <v>0</v>
      </c>
      <c r="AT68" s="17">
        <f ca="1">IF($A68=0,0,SUMIF('Week 2 Roster'!$AZ:$AZ,$B68,'Week 2 Roster'!$AS:$AS))</f>
        <v>0</v>
      </c>
      <c r="AU68" s="17">
        <f t="shared" ca="1" si="38"/>
        <v>0</v>
      </c>
      <c r="AV68" s="17"/>
      <c r="AW68" s="25" t="str">
        <f>'Week 1 Roster'!A68</f>
        <v/>
      </c>
      <c r="AX68" s="25" t="str">
        <f>'Week 2 Roster'!A68</f>
        <v/>
      </c>
    </row>
    <row r="69" spans="1:50">
      <c r="A69" s="16" cm="1">
        <f t="array" aca="1" ref="A69" ca="1">_xlfn.NUMBERVALUE(INDIRECT(TEXT(MIN(IF(($AW$2:$AX$300&lt;&gt;"")*(COUNTIF($B$1:B68,$AW$2:$AX$300)=0),ROW($2:$300)*100+COLUMN($AW:$AX),7^8)),"R0C00"),)&amp;"")</f>
        <v>0</v>
      </c>
      <c r="B69" s="28" t="str">
        <f t="shared" ca="1" si="24"/>
        <v/>
      </c>
      <c r="C69" s="28" t="str">
        <f ca="1">IF($A69=0,"",VLOOKUP($B69,Employees!$A:$G,2,FALSE))</f>
        <v/>
      </c>
      <c r="D69" s="28" t="str">
        <f ca="1">IF($A69=0,"",VLOOKUP($B69,Employees!$A:$G,3,FALSE))</f>
        <v/>
      </c>
      <c r="E69" s="26" t="str">
        <f ca="1">IF($A69=0,"",VLOOKUP($B69,Employees!$A:$G,5,FALSE))</f>
        <v/>
      </c>
      <c r="F69" s="13" t="str">
        <f ca="1">IF($E69="","",ROUNDDOWN(YEARFRAC($E69, 'Week 1 Roster'!$D$1-1, 1), 0))</f>
        <v/>
      </c>
      <c r="G69" s="13" t="str">
        <f ca="1">IF($E69="","",ROUNDDOWN(YEARFRAC($E69, 'Week 1 Roster'!$D$1+14, 1), 0))</f>
        <v/>
      </c>
      <c r="H69" s="13" t="str">
        <f t="shared" ca="1" si="25"/>
        <v/>
      </c>
      <c r="I69" s="13" t="str">
        <f ca="1">IF($A69=0,"",VLOOKUP($B69,Employees!$A:$G,6,FALSE))</f>
        <v/>
      </c>
      <c r="J69" s="13" t="str">
        <f ca="1">IF($A69=0,"",VLOOKUP($B69,Employees!$A:$G,7,FALSE))</f>
        <v/>
      </c>
      <c r="K69" s="13" t="str">
        <f ca="1">IF($A69=0,"",IF(ISNA(VLOOKUP(A69,'Week 1 Roster'!A:C,2,0)),VLOOKUP(A69,'Week 2 Roster'!A:C,2,0),VLOOKUP(A69,'Week 1 Roster'!A:C,2,0)))</f>
        <v/>
      </c>
      <c r="L69" s="13" t="str">
        <f ca="1">IF($A69=0,"",VLOOKUP(K69,Stores!A:B,2,0))</f>
        <v/>
      </c>
      <c r="M69" s="14">
        <f t="shared" ca="1" si="26"/>
        <v>0</v>
      </c>
      <c r="N69" s="14">
        <f t="shared" ca="1" si="27"/>
        <v>0</v>
      </c>
      <c r="O69" s="14">
        <f t="shared" ca="1" si="28"/>
        <v>0</v>
      </c>
      <c r="P69" s="14">
        <f t="shared" ca="1" si="29"/>
        <v>0</v>
      </c>
      <c r="Q69" s="14">
        <f t="shared" ca="1" si="30"/>
        <v>0</v>
      </c>
      <c r="R69" s="14">
        <f t="shared" ca="1" si="31"/>
        <v>0</v>
      </c>
      <c r="S69" s="28">
        <f t="shared" ca="1" si="32"/>
        <v>0</v>
      </c>
      <c r="T69" s="14">
        <f t="shared" ca="1" si="33"/>
        <v>0</v>
      </c>
      <c r="U69" s="14">
        <f t="shared" ca="1" si="34"/>
        <v>0</v>
      </c>
      <c r="V69" s="14">
        <f t="shared" ca="1" si="35"/>
        <v>0</v>
      </c>
      <c r="W69" s="14">
        <f t="shared" ca="1" si="36"/>
        <v>0</v>
      </c>
      <c r="Y69" s="17">
        <f ca="1">IF($A69=0,0,SUMIF('Week 1 Roster'!$AZ:$AZ,$B69,'Week 1 Roster'!$AE:$AE))</f>
        <v>0</v>
      </c>
      <c r="Z69" s="17">
        <f ca="1">IF($A69=0,0,SUMIF('Week 1 Roster'!$AZ:$AZ,$B69,'Week 1 Roster'!$AG:$AG))</f>
        <v>0</v>
      </c>
      <c r="AA69" s="17">
        <f ca="1">IF($A69=0,0,SUMIF('Week 1 Roster'!$AZ:$AZ,$B69,'Week 1 Roster'!$AI:$AI))</f>
        <v>0</v>
      </c>
      <c r="AB69" s="17">
        <f ca="1">IF($A69=0,0,SUMIF('Week 1 Roster'!$AZ:$AZ,$B69,'Week 1 Roster'!$AK:$AK))</f>
        <v>0</v>
      </c>
      <c r="AC69" s="17">
        <f ca="1">IF($A69=0,0,SUMIF('Week 1 Roster'!$AZ:$AZ,$B69,'Week 1 Roster'!$AM:$AM))</f>
        <v>0</v>
      </c>
      <c r="AD69" s="17">
        <f ca="1">IF($A69=0,0,SUMIF('Week 1 Roster'!$AZ:$AZ,$B69,'Week 1 Roster'!$AO:$AO))</f>
        <v>0</v>
      </c>
      <c r="AE69" s="38">
        <f ca="1">IF($A69=0,0,SUMIF('Week 1 Roster'!$AZ:$AZ,$B69,'Week 1 Roster'!$AP:$AP))</f>
        <v>0</v>
      </c>
      <c r="AF69" s="17">
        <f ca="1">IF($A69=0,0,SUMIF('Week 1 Roster'!$AZ:$AZ,$B69,'Week 1 Roster'!$AQ:$AQ))</f>
        <v>0</v>
      </c>
      <c r="AG69" s="17">
        <f ca="1">IF($A69=0,0,SUMIF('Week 1 Roster'!$AZ:$AZ,$B69,'Week 1 Roster'!$AR:$AR))</f>
        <v>0</v>
      </c>
      <c r="AH69" s="17">
        <f ca="1">IF($A69=0,0,SUMIF('Week 1 Roster'!$AZ:$AZ,$B69,'Week 1 Roster'!$AS:$AS))</f>
        <v>0</v>
      </c>
      <c r="AI69" s="17">
        <f t="shared" ca="1" si="37"/>
        <v>0</v>
      </c>
      <c r="AK69" s="17">
        <f ca="1">IF($A69=0,0,SUMIF('Week 2 Roster'!$AZ:$AZ,$B69,'Week 2 Roster'!$AE:$AE))</f>
        <v>0</v>
      </c>
      <c r="AL69" s="17">
        <f ca="1">IF($A69=0,0,SUMIF('Week 2 Roster'!$AZ:$AZ,$B69,'Week 2 Roster'!$AG:$AG))</f>
        <v>0</v>
      </c>
      <c r="AM69" s="17">
        <f ca="1">IF($A69=0,0,SUMIF('Week 2 Roster'!$AZ:$AZ,$B69,'Week 2 Roster'!$AI:$AI))</f>
        <v>0</v>
      </c>
      <c r="AN69" s="17">
        <f ca="1">IF($A69=0,0,SUMIF('Week 2 Roster'!$AZ:$AZ,$B69,'Week 2 Roster'!$AK:$AK))</f>
        <v>0</v>
      </c>
      <c r="AO69" s="17">
        <f ca="1">IF($A69=0,0,SUMIF('Week 2 Roster'!$AZ:$AZ,$B69,'Week 2 Roster'!$AM:$AM))</f>
        <v>0</v>
      </c>
      <c r="AP69" s="17">
        <f ca="1">IF($A69=0,0,SUMIF('Week 2 Roster'!$AZ:$AZ,$B69,'Week 2 Roster'!$AO:$AO))</f>
        <v>0</v>
      </c>
      <c r="AQ69" s="38">
        <f ca="1">IF($A69=0,0,SUMIF('Week 2 Roster'!$AZ:$AZ,$B69,'Week 2 Roster'!$AP:$AP))</f>
        <v>0</v>
      </c>
      <c r="AR69" s="17">
        <f ca="1">IF($A69=0,0,SUMIF('Week 2 Roster'!$AZ:$AZ,$B69,'Week 2 Roster'!$AQ:$AQ))</f>
        <v>0</v>
      </c>
      <c r="AS69" s="17">
        <f ca="1">IF($A69=0,0,SUMIF('Week 2 Roster'!$AZ:$AZ,$B69,'Week 2 Roster'!$AR:$AR))</f>
        <v>0</v>
      </c>
      <c r="AT69" s="17">
        <f ca="1">IF($A69=0,0,SUMIF('Week 2 Roster'!$AZ:$AZ,$B69,'Week 2 Roster'!$AS:$AS))</f>
        <v>0</v>
      </c>
      <c r="AU69" s="17">
        <f t="shared" ca="1" si="38"/>
        <v>0</v>
      </c>
      <c r="AV69" s="17"/>
      <c r="AW69" s="25" t="str">
        <f>'Week 1 Roster'!A69</f>
        <v/>
      </c>
      <c r="AX69" s="25" t="str">
        <f>'Week 2 Roster'!A69</f>
        <v/>
      </c>
    </row>
    <row r="70" spans="1:50">
      <c r="A70" s="16" cm="1">
        <f t="array" aca="1" ref="A70" ca="1">_xlfn.NUMBERVALUE(INDIRECT(TEXT(MIN(IF(($AW$2:$AX$300&lt;&gt;"")*(COUNTIF($B$1:B69,$AW$2:$AX$300)=0),ROW($2:$300)*100+COLUMN($AW:$AX),7^8)),"R0C00"),)&amp;"")</f>
        <v>0</v>
      </c>
      <c r="B70" s="28" t="str">
        <f t="shared" ca="1" si="24"/>
        <v/>
      </c>
      <c r="C70" s="28" t="str">
        <f ca="1">IF($A70=0,"",VLOOKUP($B70,Employees!$A:$G,2,FALSE))</f>
        <v/>
      </c>
      <c r="D70" s="28" t="str">
        <f ca="1">IF($A70=0,"",VLOOKUP($B70,Employees!$A:$G,3,FALSE))</f>
        <v/>
      </c>
      <c r="E70" s="26" t="str">
        <f ca="1">IF($A70=0,"",VLOOKUP($B70,Employees!$A:$G,5,FALSE))</f>
        <v/>
      </c>
      <c r="F70" s="13" t="str">
        <f ca="1">IF($E70="","",ROUNDDOWN(YEARFRAC($E70, 'Week 1 Roster'!$D$1-1, 1), 0))</f>
        <v/>
      </c>
      <c r="G70" s="13" t="str">
        <f ca="1">IF($E70="","",ROUNDDOWN(YEARFRAC($E70, 'Week 1 Roster'!$D$1+14, 1), 0))</f>
        <v/>
      </c>
      <c r="H70" s="13" t="str">
        <f t="shared" ca="1" si="25"/>
        <v/>
      </c>
      <c r="I70" s="13" t="str">
        <f ca="1">IF($A70=0,"",VLOOKUP($B70,Employees!$A:$G,6,FALSE))</f>
        <v/>
      </c>
      <c r="J70" s="13" t="str">
        <f ca="1">IF($A70=0,"",VLOOKUP($B70,Employees!$A:$G,7,FALSE))</f>
        <v/>
      </c>
      <c r="K70" s="13" t="str">
        <f ca="1">IF($A70=0,"",IF(ISNA(VLOOKUP(A70,'Week 1 Roster'!A:C,2,0)),VLOOKUP(A70,'Week 2 Roster'!A:C,2,0),VLOOKUP(A70,'Week 1 Roster'!A:C,2,0)))</f>
        <v/>
      </c>
      <c r="L70" s="13" t="str">
        <f ca="1">IF($A70=0,"",VLOOKUP(K70,Stores!A:B,2,0))</f>
        <v/>
      </c>
      <c r="M70" s="14">
        <f t="shared" ca="1" si="26"/>
        <v>0</v>
      </c>
      <c r="N70" s="14">
        <f t="shared" ca="1" si="27"/>
        <v>0</v>
      </c>
      <c r="O70" s="14">
        <f t="shared" ca="1" si="28"/>
        <v>0</v>
      </c>
      <c r="P70" s="14">
        <f t="shared" ca="1" si="29"/>
        <v>0</v>
      </c>
      <c r="Q70" s="14">
        <f t="shared" ca="1" si="30"/>
        <v>0</v>
      </c>
      <c r="R70" s="14">
        <f t="shared" ca="1" si="31"/>
        <v>0</v>
      </c>
      <c r="S70" s="28">
        <f t="shared" ca="1" si="32"/>
        <v>0</v>
      </c>
      <c r="T70" s="14">
        <f t="shared" ca="1" si="33"/>
        <v>0</v>
      </c>
      <c r="U70" s="14">
        <f t="shared" ca="1" si="34"/>
        <v>0</v>
      </c>
      <c r="V70" s="14">
        <f t="shared" ca="1" si="35"/>
        <v>0</v>
      </c>
      <c r="W70" s="14">
        <f t="shared" ca="1" si="36"/>
        <v>0</v>
      </c>
      <c r="Y70" s="17">
        <f ca="1">IF($A70=0,0,SUMIF('Week 1 Roster'!$AZ:$AZ,$B70,'Week 1 Roster'!$AE:$AE))</f>
        <v>0</v>
      </c>
      <c r="Z70" s="17">
        <f ca="1">IF($A70=0,0,SUMIF('Week 1 Roster'!$AZ:$AZ,$B70,'Week 1 Roster'!$AG:$AG))</f>
        <v>0</v>
      </c>
      <c r="AA70" s="17">
        <f ca="1">IF($A70=0,0,SUMIF('Week 1 Roster'!$AZ:$AZ,$B70,'Week 1 Roster'!$AI:$AI))</f>
        <v>0</v>
      </c>
      <c r="AB70" s="17">
        <f ca="1">IF($A70=0,0,SUMIF('Week 1 Roster'!$AZ:$AZ,$B70,'Week 1 Roster'!$AK:$AK))</f>
        <v>0</v>
      </c>
      <c r="AC70" s="17">
        <f ca="1">IF($A70=0,0,SUMIF('Week 1 Roster'!$AZ:$AZ,$B70,'Week 1 Roster'!$AM:$AM))</f>
        <v>0</v>
      </c>
      <c r="AD70" s="17">
        <f ca="1">IF($A70=0,0,SUMIF('Week 1 Roster'!$AZ:$AZ,$B70,'Week 1 Roster'!$AO:$AO))</f>
        <v>0</v>
      </c>
      <c r="AE70" s="38">
        <f ca="1">IF($A70=0,0,SUMIF('Week 1 Roster'!$AZ:$AZ,$B70,'Week 1 Roster'!$AP:$AP))</f>
        <v>0</v>
      </c>
      <c r="AF70" s="17">
        <f ca="1">IF($A70=0,0,SUMIF('Week 1 Roster'!$AZ:$AZ,$B70,'Week 1 Roster'!$AQ:$AQ))</f>
        <v>0</v>
      </c>
      <c r="AG70" s="17">
        <f ca="1">IF($A70=0,0,SUMIF('Week 1 Roster'!$AZ:$AZ,$B70,'Week 1 Roster'!$AR:$AR))</f>
        <v>0</v>
      </c>
      <c r="AH70" s="17">
        <f ca="1">IF($A70=0,0,SUMIF('Week 1 Roster'!$AZ:$AZ,$B70,'Week 1 Roster'!$AS:$AS))</f>
        <v>0</v>
      </c>
      <c r="AI70" s="17">
        <f t="shared" ca="1" si="37"/>
        <v>0</v>
      </c>
      <c r="AK70" s="17">
        <f ca="1">IF($A70=0,0,SUMIF('Week 2 Roster'!$AZ:$AZ,$B70,'Week 2 Roster'!$AE:$AE))</f>
        <v>0</v>
      </c>
      <c r="AL70" s="17">
        <f ca="1">IF($A70=0,0,SUMIF('Week 2 Roster'!$AZ:$AZ,$B70,'Week 2 Roster'!$AG:$AG))</f>
        <v>0</v>
      </c>
      <c r="AM70" s="17">
        <f ca="1">IF($A70=0,0,SUMIF('Week 2 Roster'!$AZ:$AZ,$B70,'Week 2 Roster'!$AI:$AI))</f>
        <v>0</v>
      </c>
      <c r="AN70" s="17">
        <f ca="1">IF($A70=0,0,SUMIF('Week 2 Roster'!$AZ:$AZ,$B70,'Week 2 Roster'!$AK:$AK))</f>
        <v>0</v>
      </c>
      <c r="AO70" s="17">
        <f ca="1">IF($A70=0,0,SUMIF('Week 2 Roster'!$AZ:$AZ,$B70,'Week 2 Roster'!$AM:$AM))</f>
        <v>0</v>
      </c>
      <c r="AP70" s="17">
        <f ca="1">IF($A70=0,0,SUMIF('Week 2 Roster'!$AZ:$AZ,$B70,'Week 2 Roster'!$AO:$AO))</f>
        <v>0</v>
      </c>
      <c r="AQ70" s="38">
        <f ca="1">IF($A70=0,0,SUMIF('Week 2 Roster'!$AZ:$AZ,$B70,'Week 2 Roster'!$AP:$AP))</f>
        <v>0</v>
      </c>
      <c r="AR70" s="17">
        <f ca="1">IF($A70=0,0,SUMIF('Week 2 Roster'!$AZ:$AZ,$B70,'Week 2 Roster'!$AQ:$AQ))</f>
        <v>0</v>
      </c>
      <c r="AS70" s="17">
        <f ca="1">IF($A70=0,0,SUMIF('Week 2 Roster'!$AZ:$AZ,$B70,'Week 2 Roster'!$AR:$AR))</f>
        <v>0</v>
      </c>
      <c r="AT70" s="17">
        <f ca="1">IF($A70=0,0,SUMIF('Week 2 Roster'!$AZ:$AZ,$B70,'Week 2 Roster'!$AS:$AS))</f>
        <v>0</v>
      </c>
      <c r="AU70" s="17">
        <f t="shared" ca="1" si="38"/>
        <v>0</v>
      </c>
      <c r="AV70" s="17"/>
      <c r="AW70" s="25" t="str">
        <f>'Week 1 Roster'!A70</f>
        <v/>
      </c>
      <c r="AX70" s="25" t="str">
        <f>'Week 2 Roster'!A70</f>
        <v/>
      </c>
    </row>
    <row r="71" spans="1:50">
      <c r="A71" s="16" cm="1">
        <f t="array" aca="1" ref="A71" ca="1">_xlfn.NUMBERVALUE(INDIRECT(TEXT(MIN(IF(($AW$2:$AX$300&lt;&gt;"")*(COUNTIF($B$1:B70,$AW$2:$AX$300)=0),ROW($2:$300)*100+COLUMN($AW:$AX),7^8)),"R0C00"),)&amp;"")</f>
        <v>0</v>
      </c>
      <c r="B71" s="28" t="str">
        <f t="shared" ca="1" si="24"/>
        <v/>
      </c>
      <c r="C71" s="28" t="str">
        <f ca="1">IF($A71=0,"",VLOOKUP($B71,Employees!$A:$G,2,FALSE))</f>
        <v/>
      </c>
      <c r="D71" s="28" t="str">
        <f ca="1">IF($A71=0,"",VLOOKUP($B71,Employees!$A:$G,3,FALSE))</f>
        <v/>
      </c>
      <c r="E71" s="26" t="str">
        <f ca="1">IF($A71=0,"",VLOOKUP($B71,Employees!$A:$G,5,FALSE))</f>
        <v/>
      </c>
      <c r="F71" s="13" t="str">
        <f ca="1">IF($E71="","",ROUNDDOWN(YEARFRAC($E71, 'Week 1 Roster'!$D$1-1, 1), 0))</f>
        <v/>
      </c>
      <c r="G71" s="13" t="str">
        <f ca="1">IF($E71="","",ROUNDDOWN(YEARFRAC($E71, 'Week 1 Roster'!$D$1+14, 1), 0))</f>
        <v/>
      </c>
      <c r="H71" s="13" t="str">
        <f t="shared" ca="1" si="25"/>
        <v/>
      </c>
      <c r="I71" s="13" t="str">
        <f ca="1">IF($A71=0,"",VLOOKUP($B71,Employees!$A:$G,6,FALSE))</f>
        <v/>
      </c>
      <c r="J71" s="13" t="str">
        <f ca="1">IF($A71=0,"",VLOOKUP($B71,Employees!$A:$G,7,FALSE))</f>
        <v/>
      </c>
      <c r="K71" s="13" t="str">
        <f ca="1">IF($A71=0,"",IF(ISNA(VLOOKUP(A71,'Week 1 Roster'!A:C,2,0)),VLOOKUP(A71,'Week 2 Roster'!A:C,2,0),VLOOKUP(A71,'Week 1 Roster'!A:C,2,0)))</f>
        <v/>
      </c>
      <c r="L71" s="13" t="str">
        <f ca="1">IF($A71=0,"",VLOOKUP(K71,Stores!A:B,2,0))</f>
        <v/>
      </c>
      <c r="M71" s="14">
        <f t="shared" ca="1" si="26"/>
        <v>0</v>
      </c>
      <c r="N71" s="14">
        <f t="shared" ca="1" si="27"/>
        <v>0</v>
      </c>
      <c r="O71" s="14">
        <f t="shared" ca="1" si="28"/>
        <v>0</v>
      </c>
      <c r="P71" s="14">
        <f t="shared" ca="1" si="29"/>
        <v>0</v>
      </c>
      <c r="Q71" s="14">
        <f t="shared" ca="1" si="30"/>
        <v>0</v>
      </c>
      <c r="R71" s="14">
        <f t="shared" ca="1" si="31"/>
        <v>0</v>
      </c>
      <c r="S71" s="28">
        <f t="shared" ca="1" si="32"/>
        <v>0</v>
      </c>
      <c r="T71" s="14">
        <f t="shared" ca="1" si="33"/>
        <v>0</v>
      </c>
      <c r="U71" s="14">
        <f t="shared" ca="1" si="34"/>
        <v>0</v>
      </c>
      <c r="V71" s="14">
        <f t="shared" ca="1" si="35"/>
        <v>0</v>
      </c>
      <c r="W71" s="14">
        <f t="shared" ca="1" si="36"/>
        <v>0</v>
      </c>
      <c r="Y71" s="17">
        <f ca="1">IF($A71=0,0,SUMIF('Week 1 Roster'!$AZ:$AZ,$B71,'Week 1 Roster'!$AE:$AE))</f>
        <v>0</v>
      </c>
      <c r="Z71" s="17">
        <f ca="1">IF($A71=0,0,SUMIF('Week 1 Roster'!$AZ:$AZ,$B71,'Week 1 Roster'!$AG:$AG))</f>
        <v>0</v>
      </c>
      <c r="AA71" s="17">
        <f ca="1">IF($A71=0,0,SUMIF('Week 1 Roster'!$AZ:$AZ,$B71,'Week 1 Roster'!$AI:$AI))</f>
        <v>0</v>
      </c>
      <c r="AB71" s="17">
        <f ca="1">IF($A71=0,0,SUMIF('Week 1 Roster'!$AZ:$AZ,$B71,'Week 1 Roster'!$AK:$AK))</f>
        <v>0</v>
      </c>
      <c r="AC71" s="17">
        <f ca="1">IF($A71=0,0,SUMIF('Week 1 Roster'!$AZ:$AZ,$B71,'Week 1 Roster'!$AM:$AM))</f>
        <v>0</v>
      </c>
      <c r="AD71" s="17">
        <f ca="1">IF($A71=0,0,SUMIF('Week 1 Roster'!$AZ:$AZ,$B71,'Week 1 Roster'!$AO:$AO))</f>
        <v>0</v>
      </c>
      <c r="AE71" s="38">
        <f ca="1">IF($A71=0,0,SUMIF('Week 1 Roster'!$AZ:$AZ,$B71,'Week 1 Roster'!$AP:$AP))</f>
        <v>0</v>
      </c>
      <c r="AF71" s="17">
        <f ca="1">IF($A71=0,0,SUMIF('Week 1 Roster'!$AZ:$AZ,$B71,'Week 1 Roster'!$AQ:$AQ))</f>
        <v>0</v>
      </c>
      <c r="AG71" s="17">
        <f ca="1">IF($A71=0,0,SUMIF('Week 1 Roster'!$AZ:$AZ,$B71,'Week 1 Roster'!$AR:$AR))</f>
        <v>0</v>
      </c>
      <c r="AH71" s="17">
        <f ca="1">IF($A71=0,0,SUMIF('Week 1 Roster'!$AZ:$AZ,$B71,'Week 1 Roster'!$AS:$AS))</f>
        <v>0</v>
      </c>
      <c r="AI71" s="17">
        <f t="shared" ca="1" si="37"/>
        <v>0</v>
      </c>
      <c r="AK71" s="17">
        <f ca="1">IF($A71=0,0,SUMIF('Week 2 Roster'!$AZ:$AZ,$B71,'Week 2 Roster'!$AE:$AE))</f>
        <v>0</v>
      </c>
      <c r="AL71" s="17">
        <f ca="1">IF($A71=0,0,SUMIF('Week 2 Roster'!$AZ:$AZ,$B71,'Week 2 Roster'!$AG:$AG))</f>
        <v>0</v>
      </c>
      <c r="AM71" s="17">
        <f ca="1">IF($A71=0,0,SUMIF('Week 2 Roster'!$AZ:$AZ,$B71,'Week 2 Roster'!$AI:$AI))</f>
        <v>0</v>
      </c>
      <c r="AN71" s="17">
        <f ca="1">IF($A71=0,0,SUMIF('Week 2 Roster'!$AZ:$AZ,$B71,'Week 2 Roster'!$AK:$AK))</f>
        <v>0</v>
      </c>
      <c r="AO71" s="17">
        <f ca="1">IF($A71=0,0,SUMIF('Week 2 Roster'!$AZ:$AZ,$B71,'Week 2 Roster'!$AM:$AM))</f>
        <v>0</v>
      </c>
      <c r="AP71" s="17">
        <f ca="1">IF($A71=0,0,SUMIF('Week 2 Roster'!$AZ:$AZ,$B71,'Week 2 Roster'!$AO:$AO))</f>
        <v>0</v>
      </c>
      <c r="AQ71" s="38">
        <f ca="1">IF($A71=0,0,SUMIF('Week 2 Roster'!$AZ:$AZ,$B71,'Week 2 Roster'!$AP:$AP))</f>
        <v>0</v>
      </c>
      <c r="AR71" s="17">
        <f ca="1">IF($A71=0,0,SUMIF('Week 2 Roster'!$AZ:$AZ,$B71,'Week 2 Roster'!$AQ:$AQ))</f>
        <v>0</v>
      </c>
      <c r="AS71" s="17">
        <f ca="1">IF($A71=0,0,SUMIF('Week 2 Roster'!$AZ:$AZ,$B71,'Week 2 Roster'!$AR:$AR))</f>
        <v>0</v>
      </c>
      <c r="AT71" s="17">
        <f ca="1">IF($A71=0,0,SUMIF('Week 2 Roster'!$AZ:$AZ,$B71,'Week 2 Roster'!$AS:$AS))</f>
        <v>0</v>
      </c>
      <c r="AU71" s="17">
        <f t="shared" ca="1" si="38"/>
        <v>0</v>
      </c>
      <c r="AV71" s="17"/>
      <c r="AW71" s="25" t="str">
        <f>'Week 1 Roster'!A71</f>
        <v/>
      </c>
      <c r="AX71" s="25" t="str">
        <f>'Week 2 Roster'!A71</f>
        <v/>
      </c>
    </row>
    <row r="72" spans="1:50">
      <c r="A72" s="16" cm="1">
        <f t="array" aca="1" ref="A72" ca="1">_xlfn.NUMBERVALUE(INDIRECT(TEXT(MIN(IF(($AW$2:$AX$300&lt;&gt;"")*(COUNTIF($B$1:B71,$AW$2:$AX$300)=0),ROW($2:$300)*100+COLUMN($AW:$AX),7^8)),"R0C00"),)&amp;"")</f>
        <v>0</v>
      </c>
      <c r="B72" s="28" t="str">
        <f t="shared" ca="1" si="24"/>
        <v/>
      </c>
      <c r="C72" s="28" t="str">
        <f ca="1">IF($A72=0,"",VLOOKUP($B72,Employees!$A:$G,2,FALSE))</f>
        <v/>
      </c>
      <c r="D72" s="28" t="str">
        <f ca="1">IF($A72=0,"",VLOOKUP($B72,Employees!$A:$G,3,FALSE))</f>
        <v/>
      </c>
      <c r="E72" s="26" t="str">
        <f ca="1">IF($A72=0,"",VLOOKUP($B72,Employees!$A:$G,5,FALSE))</f>
        <v/>
      </c>
      <c r="F72" s="13" t="str">
        <f ca="1">IF($E72="","",ROUNDDOWN(YEARFRAC($E72, 'Week 1 Roster'!$D$1-1, 1), 0))</f>
        <v/>
      </c>
      <c r="G72" s="13" t="str">
        <f ca="1">IF($E72="","",ROUNDDOWN(YEARFRAC($E72, 'Week 1 Roster'!$D$1+14, 1), 0))</f>
        <v/>
      </c>
      <c r="H72" s="13" t="str">
        <f t="shared" ca="1" si="25"/>
        <v/>
      </c>
      <c r="I72" s="13" t="str">
        <f ca="1">IF($A72=0,"",VLOOKUP($B72,Employees!$A:$G,6,FALSE))</f>
        <v/>
      </c>
      <c r="J72" s="13" t="str">
        <f ca="1">IF($A72=0,"",VLOOKUP($B72,Employees!$A:$G,7,FALSE))</f>
        <v/>
      </c>
      <c r="K72" s="13" t="str">
        <f ca="1">IF($A72=0,"",IF(ISNA(VLOOKUP(A72,'Week 1 Roster'!A:C,2,0)),VLOOKUP(A72,'Week 2 Roster'!A:C,2,0),VLOOKUP(A72,'Week 1 Roster'!A:C,2,0)))</f>
        <v/>
      </c>
      <c r="L72" s="13" t="str">
        <f ca="1">IF($A72=0,"",VLOOKUP(K72,Stores!A:B,2,0))</f>
        <v/>
      </c>
      <c r="M72" s="14">
        <f t="shared" ca="1" si="26"/>
        <v>0</v>
      </c>
      <c r="N72" s="14">
        <f t="shared" ca="1" si="27"/>
        <v>0</v>
      </c>
      <c r="O72" s="14">
        <f t="shared" ca="1" si="28"/>
        <v>0</v>
      </c>
      <c r="P72" s="14">
        <f t="shared" ca="1" si="29"/>
        <v>0</v>
      </c>
      <c r="Q72" s="14">
        <f t="shared" ca="1" si="30"/>
        <v>0</v>
      </c>
      <c r="R72" s="14">
        <f t="shared" ca="1" si="31"/>
        <v>0</v>
      </c>
      <c r="S72" s="28">
        <f t="shared" ca="1" si="32"/>
        <v>0</v>
      </c>
      <c r="T72" s="14">
        <f t="shared" ca="1" si="33"/>
        <v>0</v>
      </c>
      <c r="U72" s="14">
        <f t="shared" ca="1" si="34"/>
        <v>0</v>
      </c>
      <c r="V72" s="14">
        <f t="shared" ca="1" si="35"/>
        <v>0</v>
      </c>
      <c r="W72" s="14">
        <f t="shared" ca="1" si="36"/>
        <v>0</v>
      </c>
      <c r="Y72" s="17">
        <f ca="1">IF($A72=0,0,SUMIF('Week 1 Roster'!$AZ:$AZ,$B72,'Week 1 Roster'!$AE:$AE))</f>
        <v>0</v>
      </c>
      <c r="Z72" s="17">
        <f ca="1">IF($A72=0,0,SUMIF('Week 1 Roster'!$AZ:$AZ,$B72,'Week 1 Roster'!$AG:$AG))</f>
        <v>0</v>
      </c>
      <c r="AA72" s="17">
        <f ca="1">IF($A72=0,0,SUMIF('Week 1 Roster'!$AZ:$AZ,$B72,'Week 1 Roster'!$AI:$AI))</f>
        <v>0</v>
      </c>
      <c r="AB72" s="17">
        <f ca="1">IF($A72=0,0,SUMIF('Week 1 Roster'!$AZ:$AZ,$B72,'Week 1 Roster'!$AK:$AK))</f>
        <v>0</v>
      </c>
      <c r="AC72" s="17">
        <f ca="1">IF($A72=0,0,SUMIF('Week 1 Roster'!$AZ:$AZ,$B72,'Week 1 Roster'!$AM:$AM))</f>
        <v>0</v>
      </c>
      <c r="AD72" s="17">
        <f ca="1">IF($A72=0,0,SUMIF('Week 1 Roster'!$AZ:$AZ,$B72,'Week 1 Roster'!$AO:$AO))</f>
        <v>0</v>
      </c>
      <c r="AE72" s="38">
        <f ca="1">IF($A72=0,0,SUMIF('Week 1 Roster'!$AZ:$AZ,$B72,'Week 1 Roster'!$AP:$AP))</f>
        <v>0</v>
      </c>
      <c r="AF72" s="17">
        <f ca="1">IF($A72=0,0,SUMIF('Week 1 Roster'!$AZ:$AZ,$B72,'Week 1 Roster'!$AQ:$AQ))</f>
        <v>0</v>
      </c>
      <c r="AG72" s="17">
        <f ca="1">IF($A72=0,0,SUMIF('Week 1 Roster'!$AZ:$AZ,$B72,'Week 1 Roster'!$AR:$AR))</f>
        <v>0</v>
      </c>
      <c r="AH72" s="17">
        <f ca="1">IF($A72=0,0,SUMIF('Week 1 Roster'!$AZ:$AZ,$B72,'Week 1 Roster'!$AS:$AS))</f>
        <v>0</v>
      </c>
      <c r="AI72" s="17">
        <f t="shared" ca="1" si="37"/>
        <v>0</v>
      </c>
      <c r="AK72" s="17">
        <f ca="1">IF($A72=0,0,SUMIF('Week 2 Roster'!$AZ:$AZ,$B72,'Week 2 Roster'!$AE:$AE))</f>
        <v>0</v>
      </c>
      <c r="AL72" s="17">
        <f ca="1">IF($A72=0,0,SUMIF('Week 2 Roster'!$AZ:$AZ,$B72,'Week 2 Roster'!$AG:$AG))</f>
        <v>0</v>
      </c>
      <c r="AM72" s="17">
        <f ca="1">IF($A72=0,0,SUMIF('Week 2 Roster'!$AZ:$AZ,$B72,'Week 2 Roster'!$AI:$AI))</f>
        <v>0</v>
      </c>
      <c r="AN72" s="17">
        <f ca="1">IF($A72=0,0,SUMIF('Week 2 Roster'!$AZ:$AZ,$B72,'Week 2 Roster'!$AK:$AK))</f>
        <v>0</v>
      </c>
      <c r="AO72" s="17">
        <f ca="1">IF($A72=0,0,SUMIF('Week 2 Roster'!$AZ:$AZ,$B72,'Week 2 Roster'!$AM:$AM))</f>
        <v>0</v>
      </c>
      <c r="AP72" s="17">
        <f ca="1">IF($A72=0,0,SUMIF('Week 2 Roster'!$AZ:$AZ,$B72,'Week 2 Roster'!$AO:$AO))</f>
        <v>0</v>
      </c>
      <c r="AQ72" s="38">
        <f ca="1">IF($A72=0,0,SUMIF('Week 2 Roster'!$AZ:$AZ,$B72,'Week 2 Roster'!$AP:$AP))</f>
        <v>0</v>
      </c>
      <c r="AR72" s="17">
        <f ca="1">IF($A72=0,0,SUMIF('Week 2 Roster'!$AZ:$AZ,$B72,'Week 2 Roster'!$AQ:$AQ))</f>
        <v>0</v>
      </c>
      <c r="AS72" s="17">
        <f ca="1">IF($A72=0,0,SUMIF('Week 2 Roster'!$AZ:$AZ,$B72,'Week 2 Roster'!$AR:$AR))</f>
        <v>0</v>
      </c>
      <c r="AT72" s="17">
        <f ca="1">IF($A72=0,0,SUMIF('Week 2 Roster'!$AZ:$AZ,$B72,'Week 2 Roster'!$AS:$AS))</f>
        <v>0</v>
      </c>
      <c r="AU72" s="17">
        <f t="shared" ca="1" si="38"/>
        <v>0</v>
      </c>
      <c r="AV72" s="17"/>
      <c r="AW72" s="25" t="str">
        <f>'Week 1 Roster'!A72</f>
        <v/>
      </c>
      <c r="AX72" s="25" t="str">
        <f>'Week 2 Roster'!A72</f>
        <v/>
      </c>
    </row>
    <row r="73" spans="1:50">
      <c r="A73" s="16" cm="1">
        <f t="array" aca="1" ref="A73" ca="1">_xlfn.NUMBERVALUE(INDIRECT(TEXT(MIN(IF(($AW$2:$AX$300&lt;&gt;"")*(COUNTIF($B$1:B72,$AW$2:$AX$300)=0),ROW($2:$300)*100+COLUMN($AW:$AX),7^8)),"R0C00"),)&amp;"")</f>
        <v>0</v>
      </c>
      <c r="B73" s="28" t="str">
        <f t="shared" ca="1" si="24"/>
        <v/>
      </c>
      <c r="C73" s="28" t="str">
        <f ca="1">IF($A73=0,"",VLOOKUP($B73,Employees!$A:$G,2,FALSE))</f>
        <v/>
      </c>
      <c r="D73" s="28" t="str">
        <f ca="1">IF($A73=0,"",VLOOKUP($B73,Employees!$A:$G,3,FALSE))</f>
        <v/>
      </c>
      <c r="E73" s="26" t="str">
        <f ca="1">IF($A73=0,"",VLOOKUP($B73,Employees!$A:$G,5,FALSE))</f>
        <v/>
      </c>
      <c r="F73" s="13" t="str">
        <f ca="1">IF($E73="","",ROUNDDOWN(YEARFRAC($E73, 'Week 1 Roster'!$D$1-1, 1), 0))</f>
        <v/>
      </c>
      <c r="G73" s="13" t="str">
        <f ca="1">IF($E73="","",ROUNDDOWN(YEARFRAC($E73, 'Week 1 Roster'!$D$1+14, 1), 0))</f>
        <v/>
      </c>
      <c r="H73" s="13" t="str">
        <f t="shared" ca="1" si="25"/>
        <v/>
      </c>
      <c r="I73" s="13" t="str">
        <f ca="1">IF($A73=0,"",VLOOKUP($B73,Employees!$A:$G,6,FALSE))</f>
        <v/>
      </c>
      <c r="J73" s="13" t="str">
        <f ca="1">IF($A73=0,"",VLOOKUP($B73,Employees!$A:$G,7,FALSE))</f>
        <v/>
      </c>
      <c r="K73" s="13" t="str">
        <f ca="1">IF($A73=0,"",IF(ISNA(VLOOKUP(A73,'Week 1 Roster'!A:C,2,0)),VLOOKUP(A73,'Week 2 Roster'!A:C,2,0),VLOOKUP(A73,'Week 1 Roster'!A:C,2,0)))</f>
        <v/>
      </c>
      <c r="L73" s="13" t="str">
        <f ca="1">IF($A73=0,"",VLOOKUP(K73,Stores!A:B,2,0))</f>
        <v/>
      </c>
      <c r="M73" s="14">
        <f t="shared" ca="1" si="26"/>
        <v>0</v>
      </c>
      <c r="N73" s="14">
        <f t="shared" ca="1" si="27"/>
        <v>0</v>
      </c>
      <c r="O73" s="14">
        <f t="shared" ca="1" si="28"/>
        <v>0</v>
      </c>
      <c r="P73" s="14">
        <f t="shared" ca="1" si="29"/>
        <v>0</v>
      </c>
      <c r="Q73" s="14">
        <f t="shared" ca="1" si="30"/>
        <v>0</v>
      </c>
      <c r="R73" s="14">
        <f t="shared" ca="1" si="31"/>
        <v>0</v>
      </c>
      <c r="S73" s="28">
        <f t="shared" ca="1" si="32"/>
        <v>0</v>
      </c>
      <c r="T73" s="14">
        <f t="shared" ca="1" si="33"/>
        <v>0</v>
      </c>
      <c r="U73" s="14">
        <f t="shared" ca="1" si="34"/>
        <v>0</v>
      </c>
      <c r="V73" s="14">
        <f t="shared" ca="1" si="35"/>
        <v>0</v>
      </c>
      <c r="W73" s="14">
        <f t="shared" ca="1" si="36"/>
        <v>0</v>
      </c>
      <c r="Y73" s="17">
        <f ca="1">IF($A73=0,0,SUMIF('Week 1 Roster'!$AZ:$AZ,$B73,'Week 1 Roster'!$AE:$AE))</f>
        <v>0</v>
      </c>
      <c r="Z73" s="17">
        <f ca="1">IF($A73=0,0,SUMIF('Week 1 Roster'!$AZ:$AZ,$B73,'Week 1 Roster'!$AG:$AG))</f>
        <v>0</v>
      </c>
      <c r="AA73" s="17">
        <f ca="1">IF($A73=0,0,SUMIF('Week 1 Roster'!$AZ:$AZ,$B73,'Week 1 Roster'!$AI:$AI))</f>
        <v>0</v>
      </c>
      <c r="AB73" s="17">
        <f ca="1">IF($A73=0,0,SUMIF('Week 1 Roster'!$AZ:$AZ,$B73,'Week 1 Roster'!$AK:$AK))</f>
        <v>0</v>
      </c>
      <c r="AC73" s="17">
        <f ca="1">IF($A73=0,0,SUMIF('Week 1 Roster'!$AZ:$AZ,$B73,'Week 1 Roster'!$AM:$AM))</f>
        <v>0</v>
      </c>
      <c r="AD73" s="17">
        <f ca="1">IF($A73=0,0,SUMIF('Week 1 Roster'!$AZ:$AZ,$B73,'Week 1 Roster'!$AO:$AO))</f>
        <v>0</v>
      </c>
      <c r="AE73" s="38">
        <f ca="1">IF($A73=0,0,SUMIF('Week 1 Roster'!$AZ:$AZ,$B73,'Week 1 Roster'!$AP:$AP))</f>
        <v>0</v>
      </c>
      <c r="AF73" s="17">
        <f ca="1">IF($A73=0,0,SUMIF('Week 1 Roster'!$AZ:$AZ,$B73,'Week 1 Roster'!$AQ:$AQ))</f>
        <v>0</v>
      </c>
      <c r="AG73" s="17">
        <f ca="1">IF($A73=0,0,SUMIF('Week 1 Roster'!$AZ:$AZ,$B73,'Week 1 Roster'!$AR:$AR))</f>
        <v>0</v>
      </c>
      <c r="AH73" s="17">
        <f ca="1">IF($A73=0,0,SUMIF('Week 1 Roster'!$AZ:$AZ,$B73,'Week 1 Roster'!$AS:$AS))</f>
        <v>0</v>
      </c>
      <c r="AI73" s="17">
        <f t="shared" ca="1" si="37"/>
        <v>0</v>
      </c>
      <c r="AK73" s="17">
        <f ca="1">IF($A73=0,0,SUMIF('Week 2 Roster'!$AZ:$AZ,$B73,'Week 2 Roster'!$AE:$AE))</f>
        <v>0</v>
      </c>
      <c r="AL73" s="17">
        <f ca="1">IF($A73=0,0,SUMIF('Week 2 Roster'!$AZ:$AZ,$B73,'Week 2 Roster'!$AG:$AG))</f>
        <v>0</v>
      </c>
      <c r="AM73" s="17">
        <f ca="1">IF($A73=0,0,SUMIF('Week 2 Roster'!$AZ:$AZ,$B73,'Week 2 Roster'!$AI:$AI))</f>
        <v>0</v>
      </c>
      <c r="AN73" s="17">
        <f ca="1">IF($A73=0,0,SUMIF('Week 2 Roster'!$AZ:$AZ,$B73,'Week 2 Roster'!$AK:$AK))</f>
        <v>0</v>
      </c>
      <c r="AO73" s="17">
        <f ca="1">IF($A73=0,0,SUMIF('Week 2 Roster'!$AZ:$AZ,$B73,'Week 2 Roster'!$AM:$AM))</f>
        <v>0</v>
      </c>
      <c r="AP73" s="17">
        <f ca="1">IF($A73=0,0,SUMIF('Week 2 Roster'!$AZ:$AZ,$B73,'Week 2 Roster'!$AO:$AO))</f>
        <v>0</v>
      </c>
      <c r="AQ73" s="38">
        <f ca="1">IF($A73=0,0,SUMIF('Week 2 Roster'!$AZ:$AZ,$B73,'Week 2 Roster'!$AP:$AP))</f>
        <v>0</v>
      </c>
      <c r="AR73" s="17">
        <f ca="1">IF($A73=0,0,SUMIF('Week 2 Roster'!$AZ:$AZ,$B73,'Week 2 Roster'!$AQ:$AQ))</f>
        <v>0</v>
      </c>
      <c r="AS73" s="17">
        <f ca="1">IF($A73=0,0,SUMIF('Week 2 Roster'!$AZ:$AZ,$B73,'Week 2 Roster'!$AR:$AR))</f>
        <v>0</v>
      </c>
      <c r="AT73" s="17">
        <f ca="1">IF($A73=0,0,SUMIF('Week 2 Roster'!$AZ:$AZ,$B73,'Week 2 Roster'!$AS:$AS))</f>
        <v>0</v>
      </c>
      <c r="AU73" s="17">
        <f t="shared" ca="1" si="38"/>
        <v>0</v>
      </c>
      <c r="AV73" s="17"/>
      <c r="AW73" s="25" t="str">
        <f>'Week 1 Roster'!A73</f>
        <v/>
      </c>
      <c r="AX73" s="25" t="str">
        <f>'Week 2 Roster'!A73</f>
        <v/>
      </c>
    </row>
    <row r="74" spans="1:50">
      <c r="A74" s="16" cm="1">
        <f t="array" aca="1" ref="A74" ca="1">_xlfn.NUMBERVALUE(INDIRECT(TEXT(MIN(IF(($AW$2:$AX$300&lt;&gt;"")*(COUNTIF($B$1:B73,$AW$2:$AX$300)=0),ROW($2:$300)*100+COLUMN($AW:$AX),7^8)),"R0C00"),)&amp;"")</f>
        <v>0</v>
      </c>
      <c r="B74" s="28" t="str">
        <f t="shared" ca="1" si="24"/>
        <v/>
      </c>
      <c r="C74" s="28" t="str">
        <f ca="1">IF($A74=0,"",VLOOKUP($B74,Employees!$A:$G,2,FALSE))</f>
        <v/>
      </c>
      <c r="D74" s="28" t="str">
        <f ca="1">IF($A74=0,"",VLOOKUP($B74,Employees!$A:$G,3,FALSE))</f>
        <v/>
      </c>
      <c r="E74" s="26" t="str">
        <f ca="1">IF($A74=0,"",VLOOKUP($B74,Employees!$A:$G,5,FALSE))</f>
        <v/>
      </c>
      <c r="F74" s="13" t="str">
        <f ca="1">IF($E74="","",ROUNDDOWN(YEARFRAC($E74, 'Week 1 Roster'!$D$1-1, 1), 0))</f>
        <v/>
      </c>
      <c r="G74" s="13" t="str">
        <f ca="1">IF($E74="","",ROUNDDOWN(YEARFRAC($E74, 'Week 1 Roster'!$D$1+14, 1), 0))</f>
        <v/>
      </c>
      <c r="H74" s="13" t="str">
        <f t="shared" ca="1" si="25"/>
        <v/>
      </c>
      <c r="I74" s="13" t="str">
        <f ca="1">IF($A74=0,"",VLOOKUP($B74,Employees!$A:$G,6,FALSE))</f>
        <v/>
      </c>
      <c r="J74" s="13" t="str">
        <f ca="1">IF($A74=0,"",VLOOKUP($B74,Employees!$A:$G,7,FALSE))</f>
        <v/>
      </c>
      <c r="K74" s="13" t="str">
        <f ca="1">IF($A74=0,"",IF(ISNA(VLOOKUP(A74,'Week 1 Roster'!A:C,2,0)),VLOOKUP(A74,'Week 2 Roster'!A:C,2,0),VLOOKUP(A74,'Week 1 Roster'!A:C,2,0)))</f>
        <v/>
      </c>
      <c r="L74" s="13" t="str">
        <f ca="1">IF($A74=0,"",VLOOKUP(K74,Stores!A:B,2,0))</f>
        <v/>
      </c>
      <c r="M74" s="14">
        <f t="shared" ca="1" si="26"/>
        <v>0</v>
      </c>
      <c r="N74" s="14">
        <f t="shared" ca="1" si="27"/>
        <v>0</v>
      </c>
      <c r="O74" s="14">
        <f t="shared" ca="1" si="28"/>
        <v>0</v>
      </c>
      <c r="P74" s="14">
        <f t="shared" ca="1" si="29"/>
        <v>0</v>
      </c>
      <c r="Q74" s="14">
        <f t="shared" ca="1" si="30"/>
        <v>0</v>
      </c>
      <c r="R74" s="14">
        <f t="shared" ca="1" si="31"/>
        <v>0</v>
      </c>
      <c r="S74" s="28">
        <f t="shared" ca="1" si="32"/>
        <v>0</v>
      </c>
      <c r="T74" s="14">
        <f t="shared" ca="1" si="33"/>
        <v>0</v>
      </c>
      <c r="U74" s="14">
        <f t="shared" ca="1" si="34"/>
        <v>0</v>
      </c>
      <c r="V74" s="14">
        <f t="shared" ca="1" si="35"/>
        <v>0</v>
      </c>
      <c r="W74" s="14">
        <f t="shared" ca="1" si="36"/>
        <v>0</v>
      </c>
      <c r="Y74" s="17">
        <f ca="1">IF($A74=0,0,SUMIF('Week 1 Roster'!$AZ:$AZ,$B74,'Week 1 Roster'!$AE:$AE))</f>
        <v>0</v>
      </c>
      <c r="Z74" s="17">
        <f ca="1">IF($A74=0,0,SUMIF('Week 1 Roster'!$AZ:$AZ,$B74,'Week 1 Roster'!$AG:$AG))</f>
        <v>0</v>
      </c>
      <c r="AA74" s="17">
        <f ca="1">IF($A74=0,0,SUMIF('Week 1 Roster'!$AZ:$AZ,$B74,'Week 1 Roster'!$AI:$AI))</f>
        <v>0</v>
      </c>
      <c r="AB74" s="17">
        <f ca="1">IF($A74=0,0,SUMIF('Week 1 Roster'!$AZ:$AZ,$B74,'Week 1 Roster'!$AK:$AK))</f>
        <v>0</v>
      </c>
      <c r="AC74" s="17">
        <f ca="1">IF($A74=0,0,SUMIF('Week 1 Roster'!$AZ:$AZ,$B74,'Week 1 Roster'!$AM:$AM))</f>
        <v>0</v>
      </c>
      <c r="AD74" s="17">
        <f ca="1">IF($A74=0,0,SUMIF('Week 1 Roster'!$AZ:$AZ,$B74,'Week 1 Roster'!$AO:$AO))</f>
        <v>0</v>
      </c>
      <c r="AE74" s="38">
        <f ca="1">IF($A74=0,0,SUMIF('Week 1 Roster'!$AZ:$AZ,$B74,'Week 1 Roster'!$AP:$AP))</f>
        <v>0</v>
      </c>
      <c r="AF74" s="17">
        <f ca="1">IF($A74=0,0,SUMIF('Week 1 Roster'!$AZ:$AZ,$B74,'Week 1 Roster'!$AQ:$AQ))</f>
        <v>0</v>
      </c>
      <c r="AG74" s="17">
        <f ca="1">IF($A74=0,0,SUMIF('Week 1 Roster'!$AZ:$AZ,$B74,'Week 1 Roster'!$AR:$AR))</f>
        <v>0</v>
      </c>
      <c r="AH74" s="17">
        <f ca="1">IF($A74=0,0,SUMIF('Week 1 Roster'!$AZ:$AZ,$B74,'Week 1 Roster'!$AS:$AS))</f>
        <v>0</v>
      </c>
      <c r="AI74" s="17">
        <f t="shared" ca="1" si="37"/>
        <v>0</v>
      </c>
      <c r="AK74" s="17">
        <f ca="1">IF($A74=0,0,SUMIF('Week 2 Roster'!$AZ:$AZ,$B74,'Week 2 Roster'!$AE:$AE))</f>
        <v>0</v>
      </c>
      <c r="AL74" s="17">
        <f ca="1">IF($A74=0,0,SUMIF('Week 2 Roster'!$AZ:$AZ,$B74,'Week 2 Roster'!$AG:$AG))</f>
        <v>0</v>
      </c>
      <c r="AM74" s="17">
        <f ca="1">IF($A74=0,0,SUMIF('Week 2 Roster'!$AZ:$AZ,$B74,'Week 2 Roster'!$AI:$AI))</f>
        <v>0</v>
      </c>
      <c r="AN74" s="17">
        <f ca="1">IF($A74=0,0,SUMIF('Week 2 Roster'!$AZ:$AZ,$B74,'Week 2 Roster'!$AK:$AK))</f>
        <v>0</v>
      </c>
      <c r="AO74" s="17">
        <f ca="1">IF($A74=0,0,SUMIF('Week 2 Roster'!$AZ:$AZ,$B74,'Week 2 Roster'!$AM:$AM))</f>
        <v>0</v>
      </c>
      <c r="AP74" s="17">
        <f ca="1">IF($A74=0,0,SUMIF('Week 2 Roster'!$AZ:$AZ,$B74,'Week 2 Roster'!$AO:$AO))</f>
        <v>0</v>
      </c>
      <c r="AQ74" s="38">
        <f ca="1">IF($A74=0,0,SUMIF('Week 2 Roster'!$AZ:$AZ,$B74,'Week 2 Roster'!$AP:$AP))</f>
        <v>0</v>
      </c>
      <c r="AR74" s="17">
        <f ca="1">IF($A74=0,0,SUMIF('Week 2 Roster'!$AZ:$AZ,$B74,'Week 2 Roster'!$AQ:$AQ))</f>
        <v>0</v>
      </c>
      <c r="AS74" s="17">
        <f ca="1">IF($A74=0,0,SUMIF('Week 2 Roster'!$AZ:$AZ,$B74,'Week 2 Roster'!$AR:$AR))</f>
        <v>0</v>
      </c>
      <c r="AT74" s="17">
        <f ca="1">IF($A74=0,0,SUMIF('Week 2 Roster'!$AZ:$AZ,$B74,'Week 2 Roster'!$AS:$AS))</f>
        <v>0</v>
      </c>
      <c r="AU74" s="17">
        <f t="shared" ca="1" si="38"/>
        <v>0</v>
      </c>
      <c r="AV74" s="17"/>
      <c r="AW74" s="25" t="str">
        <f>'Week 1 Roster'!A74</f>
        <v/>
      </c>
      <c r="AX74" s="25" t="str">
        <f>'Week 2 Roster'!A74</f>
        <v/>
      </c>
    </row>
    <row r="75" spans="1:50">
      <c r="A75" s="16" cm="1">
        <f t="array" aca="1" ref="A75" ca="1">_xlfn.NUMBERVALUE(INDIRECT(TEXT(MIN(IF(($AW$2:$AX$300&lt;&gt;"")*(COUNTIF($B$1:B74,$AW$2:$AX$300)=0),ROW($2:$300)*100+COLUMN($AW:$AX),7^8)),"R0C00"),)&amp;"")</f>
        <v>0</v>
      </c>
      <c r="B75" s="28" t="str">
        <f t="shared" ca="1" si="24"/>
        <v/>
      </c>
      <c r="C75" s="28" t="str">
        <f ca="1">IF($A75=0,"",VLOOKUP($B75,Employees!$A:$G,2,FALSE))</f>
        <v/>
      </c>
      <c r="D75" s="28" t="str">
        <f ca="1">IF($A75=0,"",VLOOKUP($B75,Employees!$A:$G,3,FALSE))</f>
        <v/>
      </c>
      <c r="E75" s="26" t="str">
        <f ca="1">IF($A75=0,"",VLOOKUP($B75,Employees!$A:$G,5,FALSE))</f>
        <v/>
      </c>
      <c r="F75" s="13" t="str">
        <f ca="1">IF($E75="","",ROUNDDOWN(YEARFRAC($E75, 'Week 1 Roster'!$D$1-1, 1), 0))</f>
        <v/>
      </c>
      <c r="G75" s="13" t="str">
        <f ca="1">IF($E75="","",ROUNDDOWN(YEARFRAC($E75, 'Week 1 Roster'!$D$1+14, 1), 0))</f>
        <v/>
      </c>
      <c r="H75" s="13" t="str">
        <f t="shared" ca="1" si="25"/>
        <v/>
      </c>
      <c r="I75" s="13" t="str">
        <f ca="1">IF($A75=0,"",VLOOKUP($B75,Employees!$A:$G,6,FALSE))</f>
        <v/>
      </c>
      <c r="J75" s="13" t="str">
        <f ca="1">IF($A75=0,"",VLOOKUP($B75,Employees!$A:$G,7,FALSE))</f>
        <v/>
      </c>
      <c r="K75" s="13" t="str">
        <f ca="1">IF($A75=0,"",IF(ISNA(VLOOKUP(A75,'Week 1 Roster'!A:C,2,0)),VLOOKUP(A75,'Week 2 Roster'!A:C,2,0),VLOOKUP(A75,'Week 1 Roster'!A:C,2,0)))</f>
        <v/>
      </c>
      <c r="L75" s="13" t="str">
        <f ca="1">IF($A75=0,"",VLOOKUP(K75,Stores!A:B,2,0))</f>
        <v/>
      </c>
      <c r="M75" s="14">
        <f t="shared" ca="1" si="26"/>
        <v>0</v>
      </c>
      <c r="N75" s="14">
        <f t="shared" ca="1" si="27"/>
        <v>0</v>
      </c>
      <c r="O75" s="14">
        <f t="shared" ca="1" si="28"/>
        <v>0</v>
      </c>
      <c r="P75" s="14">
        <f t="shared" ca="1" si="29"/>
        <v>0</v>
      </c>
      <c r="Q75" s="14">
        <f t="shared" ca="1" si="30"/>
        <v>0</v>
      </c>
      <c r="R75" s="14">
        <f t="shared" ca="1" si="31"/>
        <v>0</v>
      </c>
      <c r="S75" s="28">
        <f t="shared" ca="1" si="32"/>
        <v>0</v>
      </c>
      <c r="T75" s="14">
        <f t="shared" ca="1" si="33"/>
        <v>0</v>
      </c>
      <c r="U75" s="14">
        <f t="shared" ca="1" si="34"/>
        <v>0</v>
      </c>
      <c r="V75" s="14">
        <f t="shared" ca="1" si="35"/>
        <v>0</v>
      </c>
      <c r="W75" s="14">
        <f t="shared" ca="1" si="36"/>
        <v>0</v>
      </c>
      <c r="Y75" s="17">
        <f ca="1">IF($A75=0,0,SUMIF('Week 1 Roster'!$AZ:$AZ,$B75,'Week 1 Roster'!$AE:$AE))</f>
        <v>0</v>
      </c>
      <c r="Z75" s="17">
        <f ca="1">IF($A75=0,0,SUMIF('Week 1 Roster'!$AZ:$AZ,$B75,'Week 1 Roster'!$AG:$AG))</f>
        <v>0</v>
      </c>
      <c r="AA75" s="17">
        <f ca="1">IF($A75=0,0,SUMIF('Week 1 Roster'!$AZ:$AZ,$B75,'Week 1 Roster'!$AI:$AI))</f>
        <v>0</v>
      </c>
      <c r="AB75" s="17">
        <f ca="1">IF($A75=0,0,SUMIF('Week 1 Roster'!$AZ:$AZ,$B75,'Week 1 Roster'!$AK:$AK))</f>
        <v>0</v>
      </c>
      <c r="AC75" s="17">
        <f ca="1">IF($A75=0,0,SUMIF('Week 1 Roster'!$AZ:$AZ,$B75,'Week 1 Roster'!$AM:$AM))</f>
        <v>0</v>
      </c>
      <c r="AD75" s="17">
        <f ca="1">IF($A75=0,0,SUMIF('Week 1 Roster'!$AZ:$AZ,$B75,'Week 1 Roster'!$AO:$AO))</f>
        <v>0</v>
      </c>
      <c r="AE75" s="38">
        <f ca="1">IF($A75=0,0,SUMIF('Week 1 Roster'!$AZ:$AZ,$B75,'Week 1 Roster'!$AP:$AP))</f>
        <v>0</v>
      </c>
      <c r="AF75" s="17">
        <f ca="1">IF($A75=0,0,SUMIF('Week 1 Roster'!$AZ:$AZ,$B75,'Week 1 Roster'!$AQ:$AQ))</f>
        <v>0</v>
      </c>
      <c r="AG75" s="17">
        <f ca="1">IF($A75=0,0,SUMIF('Week 1 Roster'!$AZ:$AZ,$B75,'Week 1 Roster'!$AR:$AR))</f>
        <v>0</v>
      </c>
      <c r="AH75" s="17">
        <f ca="1">IF($A75=0,0,SUMIF('Week 1 Roster'!$AZ:$AZ,$B75,'Week 1 Roster'!$AS:$AS))</f>
        <v>0</v>
      </c>
      <c r="AI75" s="17">
        <f t="shared" ca="1" si="37"/>
        <v>0</v>
      </c>
      <c r="AK75" s="17">
        <f ca="1">IF($A75=0,0,SUMIF('Week 2 Roster'!$AZ:$AZ,$B75,'Week 2 Roster'!$AE:$AE))</f>
        <v>0</v>
      </c>
      <c r="AL75" s="17">
        <f ca="1">IF($A75=0,0,SUMIF('Week 2 Roster'!$AZ:$AZ,$B75,'Week 2 Roster'!$AG:$AG))</f>
        <v>0</v>
      </c>
      <c r="AM75" s="17">
        <f ca="1">IF($A75=0,0,SUMIF('Week 2 Roster'!$AZ:$AZ,$B75,'Week 2 Roster'!$AI:$AI))</f>
        <v>0</v>
      </c>
      <c r="AN75" s="17">
        <f ca="1">IF($A75=0,0,SUMIF('Week 2 Roster'!$AZ:$AZ,$B75,'Week 2 Roster'!$AK:$AK))</f>
        <v>0</v>
      </c>
      <c r="AO75" s="17">
        <f ca="1">IF($A75=0,0,SUMIF('Week 2 Roster'!$AZ:$AZ,$B75,'Week 2 Roster'!$AM:$AM))</f>
        <v>0</v>
      </c>
      <c r="AP75" s="17">
        <f ca="1">IF($A75=0,0,SUMIF('Week 2 Roster'!$AZ:$AZ,$B75,'Week 2 Roster'!$AO:$AO))</f>
        <v>0</v>
      </c>
      <c r="AQ75" s="38">
        <f ca="1">IF($A75=0,0,SUMIF('Week 2 Roster'!$AZ:$AZ,$B75,'Week 2 Roster'!$AP:$AP))</f>
        <v>0</v>
      </c>
      <c r="AR75" s="17">
        <f ca="1">IF($A75=0,0,SUMIF('Week 2 Roster'!$AZ:$AZ,$B75,'Week 2 Roster'!$AQ:$AQ))</f>
        <v>0</v>
      </c>
      <c r="AS75" s="17">
        <f ca="1">IF($A75=0,0,SUMIF('Week 2 Roster'!$AZ:$AZ,$B75,'Week 2 Roster'!$AR:$AR))</f>
        <v>0</v>
      </c>
      <c r="AT75" s="17">
        <f ca="1">IF($A75=0,0,SUMIF('Week 2 Roster'!$AZ:$AZ,$B75,'Week 2 Roster'!$AS:$AS))</f>
        <v>0</v>
      </c>
      <c r="AU75" s="17">
        <f t="shared" ca="1" si="38"/>
        <v>0</v>
      </c>
      <c r="AV75" s="17"/>
      <c r="AW75" s="25" t="str">
        <f>'Week 1 Roster'!A75</f>
        <v/>
      </c>
      <c r="AX75" s="25" t="str">
        <f>'Week 2 Roster'!A75</f>
        <v/>
      </c>
    </row>
    <row r="76" spans="1:50">
      <c r="A76" s="16" cm="1">
        <f t="array" aca="1" ref="A76" ca="1">_xlfn.NUMBERVALUE(INDIRECT(TEXT(MIN(IF(($AW$2:$AX$300&lt;&gt;"")*(COUNTIF($B$1:B75,$AW$2:$AX$300)=0),ROW($2:$300)*100+COLUMN($AW:$AX),7^8)),"R0C00"),)&amp;"")</f>
        <v>0</v>
      </c>
      <c r="B76" s="28" t="str">
        <f t="shared" ca="1" si="24"/>
        <v/>
      </c>
      <c r="C76" s="28" t="str">
        <f ca="1">IF($A76=0,"",VLOOKUP($B76,Employees!$A:$G,2,FALSE))</f>
        <v/>
      </c>
      <c r="D76" s="28" t="str">
        <f ca="1">IF($A76=0,"",VLOOKUP($B76,Employees!$A:$G,3,FALSE))</f>
        <v/>
      </c>
      <c r="E76" s="26" t="str">
        <f ca="1">IF($A76=0,"",VLOOKUP($B76,Employees!$A:$G,5,FALSE))</f>
        <v/>
      </c>
      <c r="F76" s="13" t="str">
        <f ca="1">IF($E76="","",ROUNDDOWN(YEARFRAC($E76, 'Week 1 Roster'!$D$1-1, 1), 0))</f>
        <v/>
      </c>
      <c r="G76" s="13" t="str">
        <f ca="1">IF($E76="","",ROUNDDOWN(YEARFRAC($E76, 'Week 1 Roster'!$D$1+14, 1), 0))</f>
        <v/>
      </c>
      <c r="H76" s="13" t="str">
        <f t="shared" ca="1" si="25"/>
        <v/>
      </c>
      <c r="I76" s="13" t="str">
        <f ca="1">IF($A76=0,"",VLOOKUP($B76,Employees!$A:$G,6,FALSE))</f>
        <v/>
      </c>
      <c r="J76" s="13" t="str">
        <f ca="1">IF($A76=0,"",VLOOKUP($B76,Employees!$A:$G,7,FALSE))</f>
        <v/>
      </c>
      <c r="K76" s="13" t="str">
        <f ca="1">IF($A76=0,"",IF(ISNA(VLOOKUP(A76,'Week 1 Roster'!A:C,2,0)),VLOOKUP(A76,'Week 2 Roster'!A:C,2,0),VLOOKUP(A76,'Week 1 Roster'!A:C,2,0)))</f>
        <v/>
      </c>
      <c r="L76" s="13" t="str">
        <f ca="1">IF($A76=0,"",VLOOKUP(K76,Stores!A:B,2,0))</f>
        <v/>
      </c>
      <c r="M76" s="14">
        <f t="shared" ca="1" si="26"/>
        <v>0</v>
      </c>
      <c r="N76" s="14">
        <f t="shared" ca="1" si="27"/>
        <v>0</v>
      </c>
      <c r="O76" s="14">
        <f t="shared" ca="1" si="28"/>
        <v>0</v>
      </c>
      <c r="P76" s="14">
        <f t="shared" ca="1" si="29"/>
        <v>0</v>
      </c>
      <c r="Q76" s="14">
        <f t="shared" ca="1" si="30"/>
        <v>0</v>
      </c>
      <c r="R76" s="14">
        <f t="shared" ca="1" si="31"/>
        <v>0</v>
      </c>
      <c r="S76" s="28">
        <f t="shared" ca="1" si="32"/>
        <v>0</v>
      </c>
      <c r="T76" s="14">
        <f t="shared" ca="1" si="33"/>
        <v>0</v>
      </c>
      <c r="U76" s="14">
        <f t="shared" ca="1" si="34"/>
        <v>0</v>
      </c>
      <c r="V76" s="14">
        <f t="shared" ca="1" si="35"/>
        <v>0</v>
      </c>
      <c r="W76" s="14">
        <f t="shared" ca="1" si="36"/>
        <v>0</v>
      </c>
      <c r="Y76" s="17">
        <f ca="1">IF($A76=0,0,SUMIF('Week 1 Roster'!$AZ:$AZ,$B76,'Week 1 Roster'!$AE:$AE))</f>
        <v>0</v>
      </c>
      <c r="Z76" s="17">
        <f ca="1">IF($A76=0,0,SUMIF('Week 1 Roster'!$AZ:$AZ,$B76,'Week 1 Roster'!$AG:$AG))</f>
        <v>0</v>
      </c>
      <c r="AA76" s="17">
        <f ca="1">IF($A76=0,0,SUMIF('Week 1 Roster'!$AZ:$AZ,$B76,'Week 1 Roster'!$AI:$AI))</f>
        <v>0</v>
      </c>
      <c r="AB76" s="17">
        <f ca="1">IF($A76=0,0,SUMIF('Week 1 Roster'!$AZ:$AZ,$B76,'Week 1 Roster'!$AK:$AK))</f>
        <v>0</v>
      </c>
      <c r="AC76" s="17">
        <f ca="1">IF($A76=0,0,SUMIF('Week 1 Roster'!$AZ:$AZ,$B76,'Week 1 Roster'!$AM:$AM))</f>
        <v>0</v>
      </c>
      <c r="AD76" s="17">
        <f ca="1">IF($A76=0,0,SUMIF('Week 1 Roster'!$AZ:$AZ,$B76,'Week 1 Roster'!$AO:$AO))</f>
        <v>0</v>
      </c>
      <c r="AE76" s="38">
        <f ca="1">IF($A76=0,0,SUMIF('Week 1 Roster'!$AZ:$AZ,$B76,'Week 1 Roster'!$AP:$AP))</f>
        <v>0</v>
      </c>
      <c r="AF76" s="17">
        <f ca="1">IF($A76=0,0,SUMIF('Week 1 Roster'!$AZ:$AZ,$B76,'Week 1 Roster'!$AQ:$AQ))</f>
        <v>0</v>
      </c>
      <c r="AG76" s="17">
        <f ca="1">IF($A76=0,0,SUMIF('Week 1 Roster'!$AZ:$AZ,$B76,'Week 1 Roster'!$AR:$AR))</f>
        <v>0</v>
      </c>
      <c r="AH76" s="17">
        <f ca="1">IF($A76=0,0,SUMIF('Week 1 Roster'!$AZ:$AZ,$B76,'Week 1 Roster'!$AS:$AS))</f>
        <v>0</v>
      </c>
      <c r="AI76" s="17">
        <f t="shared" ca="1" si="37"/>
        <v>0</v>
      </c>
      <c r="AK76" s="17">
        <f ca="1">IF($A76=0,0,SUMIF('Week 2 Roster'!$AZ:$AZ,$B76,'Week 2 Roster'!$AE:$AE))</f>
        <v>0</v>
      </c>
      <c r="AL76" s="17">
        <f ca="1">IF($A76=0,0,SUMIF('Week 2 Roster'!$AZ:$AZ,$B76,'Week 2 Roster'!$AG:$AG))</f>
        <v>0</v>
      </c>
      <c r="AM76" s="17">
        <f ca="1">IF($A76=0,0,SUMIF('Week 2 Roster'!$AZ:$AZ,$B76,'Week 2 Roster'!$AI:$AI))</f>
        <v>0</v>
      </c>
      <c r="AN76" s="17">
        <f ca="1">IF($A76=0,0,SUMIF('Week 2 Roster'!$AZ:$AZ,$B76,'Week 2 Roster'!$AK:$AK))</f>
        <v>0</v>
      </c>
      <c r="AO76" s="17">
        <f ca="1">IF($A76=0,0,SUMIF('Week 2 Roster'!$AZ:$AZ,$B76,'Week 2 Roster'!$AM:$AM))</f>
        <v>0</v>
      </c>
      <c r="AP76" s="17">
        <f ca="1">IF($A76=0,0,SUMIF('Week 2 Roster'!$AZ:$AZ,$B76,'Week 2 Roster'!$AO:$AO))</f>
        <v>0</v>
      </c>
      <c r="AQ76" s="38">
        <f ca="1">IF($A76=0,0,SUMIF('Week 2 Roster'!$AZ:$AZ,$B76,'Week 2 Roster'!$AP:$AP))</f>
        <v>0</v>
      </c>
      <c r="AR76" s="17">
        <f ca="1">IF($A76=0,0,SUMIF('Week 2 Roster'!$AZ:$AZ,$B76,'Week 2 Roster'!$AQ:$AQ))</f>
        <v>0</v>
      </c>
      <c r="AS76" s="17">
        <f ca="1">IF($A76=0,0,SUMIF('Week 2 Roster'!$AZ:$AZ,$B76,'Week 2 Roster'!$AR:$AR))</f>
        <v>0</v>
      </c>
      <c r="AT76" s="17">
        <f ca="1">IF($A76=0,0,SUMIF('Week 2 Roster'!$AZ:$AZ,$B76,'Week 2 Roster'!$AS:$AS))</f>
        <v>0</v>
      </c>
      <c r="AU76" s="17">
        <f t="shared" ca="1" si="38"/>
        <v>0</v>
      </c>
      <c r="AV76" s="17"/>
      <c r="AW76" s="25" t="str">
        <f>'Week 1 Roster'!A76</f>
        <v/>
      </c>
      <c r="AX76" s="25" t="str">
        <f>'Week 2 Roster'!A76</f>
        <v/>
      </c>
    </row>
    <row r="77" spans="1:50">
      <c r="A77" s="16" cm="1">
        <f t="array" aca="1" ref="A77" ca="1">_xlfn.NUMBERVALUE(INDIRECT(TEXT(MIN(IF(($AW$2:$AX$300&lt;&gt;"")*(COUNTIF($B$1:B76,$AW$2:$AX$300)=0),ROW($2:$300)*100+COLUMN($AW:$AX),7^8)),"R0C00"),)&amp;"")</f>
        <v>0</v>
      </c>
      <c r="B77" s="28" t="str">
        <f t="shared" ca="1" si="24"/>
        <v/>
      </c>
      <c r="C77" s="28" t="str">
        <f ca="1">IF($A77=0,"",VLOOKUP($B77,Employees!$A:$G,2,FALSE))</f>
        <v/>
      </c>
      <c r="D77" s="28" t="str">
        <f ca="1">IF($A77=0,"",VLOOKUP($B77,Employees!$A:$G,3,FALSE))</f>
        <v/>
      </c>
      <c r="E77" s="26" t="str">
        <f ca="1">IF($A77=0,"",VLOOKUP($B77,Employees!$A:$G,5,FALSE))</f>
        <v/>
      </c>
      <c r="F77" s="13" t="str">
        <f ca="1">IF($E77="","",ROUNDDOWN(YEARFRAC($E77, 'Week 1 Roster'!$D$1-1, 1), 0))</f>
        <v/>
      </c>
      <c r="G77" s="13" t="str">
        <f ca="1">IF($E77="","",ROUNDDOWN(YEARFRAC($E77, 'Week 1 Roster'!$D$1+14, 1), 0))</f>
        <v/>
      </c>
      <c r="H77" s="13" t="str">
        <f t="shared" ca="1" si="25"/>
        <v/>
      </c>
      <c r="I77" s="13" t="str">
        <f ca="1">IF($A77=0,"",VLOOKUP($B77,Employees!$A:$G,6,FALSE))</f>
        <v/>
      </c>
      <c r="J77" s="13" t="str">
        <f ca="1">IF($A77=0,"",VLOOKUP($B77,Employees!$A:$G,7,FALSE))</f>
        <v/>
      </c>
      <c r="K77" s="13" t="str">
        <f ca="1">IF($A77=0,"",IF(ISNA(VLOOKUP(A77,'Week 1 Roster'!A:C,2,0)),VLOOKUP(A77,'Week 2 Roster'!A:C,2,0),VLOOKUP(A77,'Week 1 Roster'!A:C,2,0)))</f>
        <v/>
      </c>
      <c r="L77" s="13" t="str">
        <f ca="1">IF($A77=0,"",VLOOKUP(K77,Stores!A:B,2,0))</f>
        <v/>
      </c>
      <c r="M77" s="14">
        <f t="shared" ca="1" si="26"/>
        <v>0</v>
      </c>
      <c r="N77" s="14">
        <f t="shared" ca="1" si="27"/>
        <v>0</v>
      </c>
      <c r="O77" s="14">
        <f t="shared" ca="1" si="28"/>
        <v>0</v>
      </c>
      <c r="P77" s="14">
        <f t="shared" ca="1" si="29"/>
        <v>0</v>
      </c>
      <c r="Q77" s="14">
        <f t="shared" ca="1" si="30"/>
        <v>0</v>
      </c>
      <c r="R77" s="14">
        <f t="shared" ca="1" si="31"/>
        <v>0</v>
      </c>
      <c r="S77" s="28">
        <f t="shared" ca="1" si="32"/>
        <v>0</v>
      </c>
      <c r="T77" s="14">
        <f t="shared" ca="1" si="33"/>
        <v>0</v>
      </c>
      <c r="U77" s="14">
        <f t="shared" ca="1" si="34"/>
        <v>0</v>
      </c>
      <c r="V77" s="14">
        <f t="shared" ca="1" si="35"/>
        <v>0</v>
      </c>
      <c r="W77" s="14">
        <f t="shared" ca="1" si="36"/>
        <v>0</v>
      </c>
      <c r="Y77" s="17">
        <f ca="1">IF($A77=0,0,SUMIF('Week 1 Roster'!$AZ:$AZ,$B77,'Week 1 Roster'!$AE:$AE))</f>
        <v>0</v>
      </c>
      <c r="Z77" s="17">
        <f ca="1">IF($A77=0,0,SUMIF('Week 1 Roster'!$AZ:$AZ,$B77,'Week 1 Roster'!$AG:$AG))</f>
        <v>0</v>
      </c>
      <c r="AA77" s="17">
        <f ca="1">IF($A77=0,0,SUMIF('Week 1 Roster'!$AZ:$AZ,$B77,'Week 1 Roster'!$AI:$AI))</f>
        <v>0</v>
      </c>
      <c r="AB77" s="17">
        <f ca="1">IF($A77=0,0,SUMIF('Week 1 Roster'!$AZ:$AZ,$B77,'Week 1 Roster'!$AK:$AK))</f>
        <v>0</v>
      </c>
      <c r="AC77" s="17">
        <f ca="1">IF($A77=0,0,SUMIF('Week 1 Roster'!$AZ:$AZ,$B77,'Week 1 Roster'!$AM:$AM))</f>
        <v>0</v>
      </c>
      <c r="AD77" s="17">
        <f ca="1">IF($A77=0,0,SUMIF('Week 1 Roster'!$AZ:$AZ,$B77,'Week 1 Roster'!$AO:$AO))</f>
        <v>0</v>
      </c>
      <c r="AE77" s="38">
        <f ca="1">IF($A77=0,0,SUMIF('Week 1 Roster'!$AZ:$AZ,$B77,'Week 1 Roster'!$AP:$AP))</f>
        <v>0</v>
      </c>
      <c r="AF77" s="17">
        <f ca="1">IF($A77=0,0,SUMIF('Week 1 Roster'!$AZ:$AZ,$B77,'Week 1 Roster'!$AQ:$AQ))</f>
        <v>0</v>
      </c>
      <c r="AG77" s="17">
        <f ca="1">IF($A77=0,0,SUMIF('Week 1 Roster'!$AZ:$AZ,$B77,'Week 1 Roster'!$AR:$AR))</f>
        <v>0</v>
      </c>
      <c r="AH77" s="17">
        <f ca="1">IF($A77=0,0,SUMIF('Week 1 Roster'!$AZ:$AZ,$B77,'Week 1 Roster'!$AS:$AS))</f>
        <v>0</v>
      </c>
      <c r="AI77" s="17">
        <f t="shared" ca="1" si="37"/>
        <v>0</v>
      </c>
      <c r="AK77" s="17">
        <f ca="1">IF($A77=0,0,SUMIF('Week 2 Roster'!$AZ:$AZ,$B77,'Week 2 Roster'!$AE:$AE))</f>
        <v>0</v>
      </c>
      <c r="AL77" s="17">
        <f ca="1">IF($A77=0,0,SUMIF('Week 2 Roster'!$AZ:$AZ,$B77,'Week 2 Roster'!$AG:$AG))</f>
        <v>0</v>
      </c>
      <c r="AM77" s="17">
        <f ca="1">IF($A77=0,0,SUMIF('Week 2 Roster'!$AZ:$AZ,$B77,'Week 2 Roster'!$AI:$AI))</f>
        <v>0</v>
      </c>
      <c r="AN77" s="17">
        <f ca="1">IF($A77=0,0,SUMIF('Week 2 Roster'!$AZ:$AZ,$B77,'Week 2 Roster'!$AK:$AK))</f>
        <v>0</v>
      </c>
      <c r="AO77" s="17">
        <f ca="1">IF($A77=0,0,SUMIF('Week 2 Roster'!$AZ:$AZ,$B77,'Week 2 Roster'!$AM:$AM))</f>
        <v>0</v>
      </c>
      <c r="AP77" s="17">
        <f ca="1">IF($A77=0,0,SUMIF('Week 2 Roster'!$AZ:$AZ,$B77,'Week 2 Roster'!$AO:$AO))</f>
        <v>0</v>
      </c>
      <c r="AQ77" s="38">
        <f ca="1">IF($A77=0,0,SUMIF('Week 2 Roster'!$AZ:$AZ,$B77,'Week 2 Roster'!$AP:$AP))</f>
        <v>0</v>
      </c>
      <c r="AR77" s="17">
        <f ca="1">IF($A77=0,0,SUMIF('Week 2 Roster'!$AZ:$AZ,$B77,'Week 2 Roster'!$AQ:$AQ))</f>
        <v>0</v>
      </c>
      <c r="AS77" s="17">
        <f ca="1">IF($A77=0,0,SUMIF('Week 2 Roster'!$AZ:$AZ,$B77,'Week 2 Roster'!$AR:$AR))</f>
        <v>0</v>
      </c>
      <c r="AT77" s="17">
        <f ca="1">IF($A77=0,0,SUMIF('Week 2 Roster'!$AZ:$AZ,$B77,'Week 2 Roster'!$AS:$AS))</f>
        <v>0</v>
      </c>
      <c r="AU77" s="17">
        <f t="shared" ca="1" si="38"/>
        <v>0</v>
      </c>
      <c r="AV77" s="17"/>
      <c r="AW77" s="25" t="str">
        <f>'Week 1 Roster'!A77</f>
        <v/>
      </c>
      <c r="AX77" s="25" t="str">
        <f>'Week 2 Roster'!A77</f>
        <v/>
      </c>
    </row>
    <row r="78" spans="1:50">
      <c r="A78" s="16" cm="1">
        <f t="array" aca="1" ref="A78" ca="1">_xlfn.NUMBERVALUE(INDIRECT(TEXT(MIN(IF(($AW$2:$AX$300&lt;&gt;"")*(COUNTIF($B$1:B77,$AW$2:$AX$300)=0),ROW($2:$300)*100+COLUMN($AW:$AX),7^8)),"R0C00"),)&amp;"")</f>
        <v>0</v>
      </c>
      <c r="B78" s="28" t="str">
        <f t="shared" ca="1" si="24"/>
        <v/>
      </c>
      <c r="C78" s="28" t="str">
        <f ca="1">IF($A78=0,"",VLOOKUP($B78,Employees!$A:$G,2,FALSE))</f>
        <v/>
      </c>
      <c r="D78" s="28" t="str">
        <f ca="1">IF($A78=0,"",VLOOKUP($B78,Employees!$A:$G,3,FALSE))</f>
        <v/>
      </c>
      <c r="E78" s="26" t="str">
        <f ca="1">IF($A78=0,"",VLOOKUP($B78,Employees!$A:$G,5,FALSE))</f>
        <v/>
      </c>
      <c r="F78" s="13" t="str">
        <f ca="1">IF($E78="","",ROUNDDOWN(YEARFRAC($E78, 'Week 1 Roster'!$D$1-1, 1), 0))</f>
        <v/>
      </c>
      <c r="G78" s="13" t="str">
        <f ca="1">IF($E78="","",ROUNDDOWN(YEARFRAC($E78, 'Week 1 Roster'!$D$1+14, 1), 0))</f>
        <v/>
      </c>
      <c r="H78" s="13" t="str">
        <f t="shared" ca="1" si="25"/>
        <v/>
      </c>
      <c r="I78" s="13" t="str">
        <f ca="1">IF($A78=0,"",VLOOKUP($B78,Employees!$A:$G,6,FALSE))</f>
        <v/>
      </c>
      <c r="J78" s="13" t="str">
        <f ca="1">IF($A78=0,"",VLOOKUP($B78,Employees!$A:$G,7,FALSE))</f>
        <v/>
      </c>
      <c r="K78" s="13" t="str">
        <f ca="1">IF($A78=0,"",IF(ISNA(VLOOKUP(A78,'Week 1 Roster'!A:C,2,0)),VLOOKUP(A78,'Week 2 Roster'!A:C,2,0),VLOOKUP(A78,'Week 1 Roster'!A:C,2,0)))</f>
        <v/>
      </c>
      <c r="L78" s="13" t="str">
        <f ca="1">IF($A78=0,"",VLOOKUP(K78,Stores!A:B,2,0))</f>
        <v/>
      </c>
      <c r="M78" s="14">
        <f t="shared" ca="1" si="26"/>
        <v>0</v>
      </c>
      <c r="N78" s="14">
        <f t="shared" ca="1" si="27"/>
        <v>0</v>
      </c>
      <c r="O78" s="14">
        <f t="shared" ca="1" si="28"/>
        <v>0</v>
      </c>
      <c r="P78" s="14">
        <f t="shared" ca="1" si="29"/>
        <v>0</v>
      </c>
      <c r="Q78" s="14">
        <f t="shared" ca="1" si="30"/>
        <v>0</v>
      </c>
      <c r="R78" s="14">
        <f t="shared" ca="1" si="31"/>
        <v>0</v>
      </c>
      <c r="S78" s="28">
        <f t="shared" ca="1" si="32"/>
        <v>0</v>
      </c>
      <c r="T78" s="14">
        <f t="shared" ca="1" si="33"/>
        <v>0</v>
      </c>
      <c r="U78" s="14">
        <f t="shared" ca="1" si="34"/>
        <v>0</v>
      </c>
      <c r="V78" s="14">
        <f t="shared" ca="1" si="35"/>
        <v>0</v>
      </c>
      <c r="W78" s="14">
        <f t="shared" ca="1" si="36"/>
        <v>0</v>
      </c>
      <c r="Y78" s="17">
        <f ca="1">IF($A78=0,0,SUMIF('Week 1 Roster'!$AZ:$AZ,$B78,'Week 1 Roster'!$AE:$AE))</f>
        <v>0</v>
      </c>
      <c r="Z78" s="17">
        <f ca="1">IF($A78=0,0,SUMIF('Week 1 Roster'!$AZ:$AZ,$B78,'Week 1 Roster'!$AG:$AG))</f>
        <v>0</v>
      </c>
      <c r="AA78" s="17">
        <f ca="1">IF($A78=0,0,SUMIF('Week 1 Roster'!$AZ:$AZ,$B78,'Week 1 Roster'!$AI:$AI))</f>
        <v>0</v>
      </c>
      <c r="AB78" s="17">
        <f ca="1">IF($A78=0,0,SUMIF('Week 1 Roster'!$AZ:$AZ,$B78,'Week 1 Roster'!$AK:$AK))</f>
        <v>0</v>
      </c>
      <c r="AC78" s="17">
        <f ca="1">IF($A78=0,0,SUMIF('Week 1 Roster'!$AZ:$AZ,$B78,'Week 1 Roster'!$AM:$AM))</f>
        <v>0</v>
      </c>
      <c r="AD78" s="17">
        <f ca="1">IF($A78=0,0,SUMIF('Week 1 Roster'!$AZ:$AZ,$B78,'Week 1 Roster'!$AO:$AO))</f>
        <v>0</v>
      </c>
      <c r="AE78" s="38">
        <f ca="1">IF($A78=0,0,SUMIF('Week 1 Roster'!$AZ:$AZ,$B78,'Week 1 Roster'!$AP:$AP))</f>
        <v>0</v>
      </c>
      <c r="AF78" s="17">
        <f ca="1">IF($A78=0,0,SUMIF('Week 1 Roster'!$AZ:$AZ,$B78,'Week 1 Roster'!$AQ:$AQ))</f>
        <v>0</v>
      </c>
      <c r="AG78" s="17">
        <f ca="1">IF($A78=0,0,SUMIF('Week 1 Roster'!$AZ:$AZ,$B78,'Week 1 Roster'!$AR:$AR))</f>
        <v>0</v>
      </c>
      <c r="AH78" s="17">
        <f ca="1">IF($A78=0,0,SUMIF('Week 1 Roster'!$AZ:$AZ,$B78,'Week 1 Roster'!$AS:$AS))</f>
        <v>0</v>
      </c>
      <c r="AI78" s="17">
        <f t="shared" ca="1" si="37"/>
        <v>0</v>
      </c>
      <c r="AK78" s="17">
        <f ca="1">IF($A78=0,0,SUMIF('Week 2 Roster'!$AZ:$AZ,$B78,'Week 2 Roster'!$AE:$AE))</f>
        <v>0</v>
      </c>
      <c r="AL78" s="17">
        <f ca="1">IF($A78=0,0,SUMIF('Week 2 Roster'!$AZ:$AZ,$B78,'Week 2 Roster'!$AG:$AG))</f>
        <v>0</v>
      </c>
      <c r="AM78" s="17">
        <f ca="1">IF($A78=0,0,SUMIF('Week 2 Roster'!$AZ:$AZ,$B78,'Week 2 Roster'!$AI:$AI))</f>
        <v>0</v>
      </c>
      <c r="AN78" s="17">
        <f ca="1">IF($A78=0,0,SUMIF('Week 2 Roster'!$AZ:$AZ,$B78,'Week 2 Roster'!$AK:$AK))</f>
        <v>0</v>
      </c>
      <c r="AO78" s="17">
        <f ca="1">IF($A78=0,0,SUMIF('Week 2 Roster'!$AZ:$AZ,$B78,'Week 2 Roster'!$AM:$AM))</f>
        <v>0</v>
      </c>
      <c r="AP78" s="17">
        <f ca="1">IF($A78=0,0,SUMIF('Week 2 Roster'!$AZ:$AZ,$B78,'Week 2 Roster'!$AO:$AO))</f>
        <v>0</v>
      </c>
      <c r="AQ78" s="38">
        <f ca="1">IF($A78=0,0,SUMIF('Week 2 Roster'!$AZ:$AZ,$B78,'Week 2 Roster'!$AP:$AP))</f>
        <v>0</v>
      </c>
      <c r="AR78" s="17">
        <f ca="1">IF($A78=0,0,SUMIF('Week 2 Roster'!$AZ:$AZ,$B78,'Week 2 Roster'!$AQ:$AQ))</f>
        <v>0</v>
      </c>
      <c r="AS78" s="17">
        <f ca="1">IF($A78=0,0,SUMIF('Week 2 Roster'!$AZ:$AZ,$B78,'Week 2 Roster'!$AR:$AR))</f>
        <v>0</v>
      </c>
      <c r="AT78" s="17">
        <f ca="1">IF($A78=0,0,SUMIF('Week 2 Roster'!$AZ:$AZ,$B78,'Week 2 Roster'!$AS:$AS))</f>
        <v>0</v>
      </c>
      <c r="AU78" s="17">
        <f t="shared" ca="1" si="38"/>
        <v>0</v>
      </c>
      <c r="AV78" s="17"/>
      <c r="AW78" s="25" t="str">
        <f>'Week 1 Roster'!A78</f>
        <v/>
      </c>
      <c r="AX78" s="25" t="str">
        <f>'Week 2 Roster'!A78</f>
        <v/>
      </c>
    </row>
    <row r="79" spans="1:50">
      <c r="A79" s="16" cm="1">
        <f t="array" aca="1" ref="A79" ca="1">_xlfn.NUMBERVALUE(INDIRECT(TEXT(MIN(IF(($AW$2:$AX$300&lt;&gt;"")*(COUNTIF($B$1:B78,$AW$2:$AX$300)=0),ROW($2:$300)*100+COLUMN($AW:$AX),7^8)),"R0C00"),)&amp;"")</f>
        <v>0</v>
      </c>
      <c r="B79" s="28" t="str">
        <f t="shared" ca="1" si="24"/>
        <v/>
      </c>
      <c r="C79" s="28" t="str">
        <f ca="1">IF($A79=0,"",VLOOKUP($B79,Employees!$A:$G,2,FALSE))</f>
        <v/>
      </c>
      <c r="D79" s="28" t="str">
        <f ca="1">IF($A79=0,"",VLOOKUP($B79,Employees!$A:$G,3,FALSE))</f>
        <v/>
      </c>
      <c r="E79" s="26" t="str">
        <f ca="1">IF($A79=0,"",VLOOKUP($B79,Employees!$A:$G,5,FALSE))</f>
        <v/>
      </c>
      <c r="F79" s="13" t="str">
        <f ca="1">IF($E79="","",ROUNDDOWN(YEARFRAC($E79, 'Week 1 Roster'!$D$1-1, 1), 0))</f>
        <v/>
      </c>
      <c r="G79" s="13" t="str">
        <f ca="1">IF($E79="","",ROUNDDOWN(YEARFRAC($E79, 'Week 1 Roster'!$D$1+14, 1), 0))</f>
        <v/>
      </c>
      <c r="H79" s="13" t="str">
        <f t="shared" ca="1" si="25"/>
        <v/>
      </c>
      <c r="I79" s="13" t="str">
        <f ca="1">IF($A79=0,"",VLOOKUP($B79,Employees!$A:$G,6,FALSE))</f>
        <v/>
      </c>
      <c r="J79" s="13" t="str">
        <f ca="1">IF($A79=0,"",VLOOKUP($B79,Employees!$A:$G,7,FALSE))</f>
        <v/>
      </c>
      <c r="K79" s="13" t="str">
        <f ca="1">IF($A79=0,"",IF(ISNA(VLOOKUP(A79,'Week 1 Roster'!A:C,2,0)),VLOOKUP(A79,'Week 2 Roster'!A:C,2,0),VLOOKUP(A79,'Week 1 Roster'!A:C,2,0)))</f>
        <v/>
      </c>
      <c r="L79" s="13" t="str">
        <f ca="1">IF($A79=0,"",VLOOKUP(K79,Stores!A:B,2,0))</f>
        <v/>
      </c>
      <c r="M79" s="14">
        <f t="shared" ca="1" si="26"/>
        <v>0</v>
      </c>
      <c r="N79" s="14">
        <f t="shared" ca="1" si="27"/>
        <v>0</v>
      </c>
      <c r="O79" s="14">
        <f t="shared" ca="1" si="28"/>
        <v>0</v>
      </c>
      <c r="P79" s="14">
        <f t="shared" ca="1" si="29"/>
        <v>0</v>
      </c>
      <c r="Q79" s="14">
        <f t="shared" ca="1" si="30"/>
        <v>0</v>
      </c>
      <c r="R79" s="14">
        <f t="shared" ca="1" si="31"/>
        <v>0</v>
      </c>
      <c r="S79" s="28">
        <f t="shared" ca="1" si="32"/>
        <v>0</v>
      </c>
      <c r="T79" s="14">
        <f t="shared" ca="1" si="33"/>
        <v>0</v>
      </c>
      <c r="U79" s="14">
        <f t="shared" ca="1" si="34"/>
        <v>0</v>
      </c>
      <c r="V79" s="14">
        <f t="shared" ca="1" si="35"/>
        <v>0</v>
      </c>
      <c r="W79" s="14">
        <f t="shared" ca="1" si="36"/>
        <v>0</v>
      </c>
      <c r="Y79" s="17">
        <f ca="1">IF($A79=0,0,SUMIF('Week 1 Roster'!$AZ:$AZ,$B79,'Week 1 Roster'!$AE:$AE))</f>
        <v>0</v>
      </c>
      <c r="Z79" s="17">
        <f ca="1">IF($A79=0,0,SUMIF('Week 1 Roster'!$AZ:$AZ,$B79,'Week 1 Roster'!$AG:$AG))</f>
        <v>0</v>
      </c>
      <c r="AA79" s="17">
        <f ca="1">IF($A79=0,0,SUMIF('Week 1 Roster'!$AZ:$AZ,$B79,'Week 1 Roster'!$AI:$AI))</f>
        <v>0</v>
      </c>
      <c r="AB79" s="17">
        <f ca="1">IF($A79=0,0,SUMIF('Week 1 Roster'!$AZ:$AZ,$B79,'Week 1 Roster'!$AK:$AK))</f>
        <v>0</v>
      </c>
      <c r="AC79" s="17">
        <f ca="1">IF($A79=0,0,SUMIF('Week 1 Roster'!$AZ:$AZ,$B79,'Week 1 Roster'!$AM:$AM))</f>
        <v>0</v>
      </c>
      <c r="AD79" s="17">
        <f ca="1">IF($A79=0,0,SUMIF('Week 1 Roster'!$AZ:$AZ,$B79,'Week 1 Roster'!$AO:$AO))</f>
        <v>0</v>
      </c>
      <c r="AE79" s="38">
        <f ca="1">IF($A79=0,0,SUMIF('Week 1 Roster'!$AZ:$AZ,$B79,'Week 1 Roster'!$AP:$AP))</f>
        <v>0</v>
      </c>
      <c r="AF79" s="17">
        <f ca="1">IF($A79=0,0,SUMIF('Week 1 Roster'!$AZ:$AZ,$B79,'Week 1 Roster'!$AQ:$AQ))</f>
        <v>0</v>
      </c>
      <c r="AG79" s="17">
        <f ca="1">IF($A79=0,0,SUMIF('Week 1 Roster'!$AZ:$AZ,$B79,'Week 1 Roster'!$AR:$AR))</f>
        <v>0</v>
      </c>
      <c r="AH79" s="17">
        <f ca="1">IF($A79=0,0,SUMIF('Week 1 Roster'!$AZ:$AZ,$B79,'Week 1 Roster'!$AS:$AS))</f>
        <v>0</v>
      </c>
      <c r="AI79" s="17">
        <f t="shared" ca="1" si="37"/>
        <v>0</v>
      </c>
      <c r="AK79" s="17">
        <f ca="1">IF($A79=0,0,SUMIF('Week 2 Roster'!$AZ:$AZ,$B79,'Week 2 Roster'!$AE:$AE))</f>
        <v>0</v>
      </c>
      <c r="AL79" s="17">
        <f ca="1">IF($A79=0,0,SUMIF('Week 2 Roster'!$AZ:$AZ,$B79,'Week 2 Roster'!$AG:$AG))</f>
        <v>0</v>
      </c>
      <c r="AM79" s="17">
        <f ca="1">IF($A79=0,0,SUMIF('Week 2 Roster'!$AZ:$AZ,$B79,'Week 2 Roster'!$AI:$AI))</f>
        <v>0</v>
      </c>
      <c r="AN79" s="17">
        <f ca="1">IF($A79=0,0,SUMIF('Week 2 Roster'!$AZ:$AZ,$B79,'Week 2 Roster'!$AK:$AK))</f>
        <v>0</v>
      </c>
      <c r="AO79" s="17">
        <f ca="1">IF($A79=0,0,SUMIF('Week 2 Roster'!$AZ:$AZ,$B79,'Week 2 Roster'!$AM:$AM))</f>
        <v>0</v>
      </c>
      <c r="AP79" s="17">
        <f ca="1">IF($A79=0,0,SUMIF('Week 2 Roster'!$AZ:$AZ,$B79,'Week 2 Roster'!$AO:$AO))</f>
        <v>0</v>
      </c>
      <c r="AQ79" s="38">
        <f ca="1">IF($A79=0,0,SUMIF('Week 2 Roster'!$AZ:$AZ,$B79,'Week 2 Roster'!$AP:$AP))</f>
        <v>0</v>
      </c>
      <c r="AR79" s="17">
        <f ca="1">IF($A79=0,0,SUMIF('Week 2 Roster'!$AZ:$AZ,$B79,'Week 2 Roster'!$AQ:$AQ))</f>
        <v>0</v>
      </c>
      <c r="AS79" s="17">
        <f ca="1">IF($A79=0,0,SUMIF('Week 2 Roster'!$AZ:$AZ,$B79,'Week 2 Roster'!$AR:$AR))</f>
        <v>0</v>
      </c>
      <c r="AT79" s="17">
        <f ca="1">IF($A79=0,0,SUMIF('Week 2 Roster'!$AZ:$AZ,$B79,'Week 2 Roster'!$AS:$AS))</f>
        <v>0</v>
      </c>
      <c r="AU79" s="17">
        <f t="shared" ca="1" si="38"/>
        <v>0</v>
      </c>
      <c r="AV79" s="17"/>
      <c r="AW79" s="25" t="str">
        <f>'Week 1 Roster'!A79</f>
        <v/>
      </c>
      <c r="AX79" s="25" t="str">
        <f>'Week 2 Roster'!A79</f>
        <v/>
      </c>
    </row>
    <row r="80" spans="1:50">
      <c r="A80" s="16" cm="1">
        <f t="array" aca="1" ref="A80" ca="1">_xlfn.NUMBERVALUE(INDIRECT(TEXT(MIN(IF(($AW$2:$AX$300&lt;&gt;"")*(COUNTIF($B$1:B79,$AW$2:$AX$300)=0),ROW($2:$300)*100+COLUMN($AW:$AX),7^8)),"R0C00"),)&amp;"")</f>
        <v>0</v>
      </c>
      <c r="B80" s="28" t="str">
        <f t="shared" ca="1" si="24"/>
        <v/>
      </c>
      <c r="C80" s="28" t="str">
        <f ca="1">IF($A80=0,"",VLOOKUP($B80,Employees!$A:$G,2,FALSE))</f>
        <v/>
      </c>
      <c r="D80" s="28" t="str">
        <f ca="1">IF($A80=0,"",VLOOKUP($B80,Employees!$A:$G,3,FALSE))</f>
        <v/>
      </c>
      <c r="E80" s="26" t="str">
        <f ca="1">IF($A80=0,"",VLOOKUP($B80,Employees!$A:$G,5,FALSE))</f>
        <v/>
      </c>
      <c r="F80" s="13" t="str">
        <f ca="1">IF($E80="","",ROUNDDOWN(YEARFRAC($E80, 'Week 1 Roster'!$D$1-1, 1), 0))</f>
        <v/>
      </c>
      <c r="G80" s="13" t="str">
        <f ca="1">IF($E80="","",ROUNDDOWN(YEARFRAC($E80, 'Week 1 Roster'!$D$1+14, 1), 0))</f>
        <v/>
      </c>
      <c r="H80" s="13" t="str">
        <f t="shared" ca="1" si="25"/>
        <v/>
      </c>
      <c r="I80" s="13" t="str">
        <f ca="1">IF($A80=0,"",VLOOKUP($B80,Employees!$A:$G,6,FALSE))</f>
        <v/>
      </c>
      <c r="J80" s="13" t="str">
        <f ca="1">IF($A80=0,"",VLOOKUP($B80,Employees!$A:$G,7,FALSE))</f>
        <v/>
      </c>
      <c r="K80" s="13" t="str">
        <f ca="1">IF($A80=0,"",IF(ISNA(VLOOKUP(A80,'Week 1 Roster'!A:C,2,0)),VLOOKUP(A80,'Week 2 Roster'!A:C,2,0),VLOOKUP(A80,'Week 1 Roster'!A:C,2,0)))</f>
        <v/>
      </c>
      <c r="L80" s="13" t="str">
        <f ca="1">IF($A80=0,"",VLOOKUP(K80,Stores!A:B,2,0))</f>
        <v/>
      </c>
      <c r="M80" s="14">
        <f t="shared" ca="1" si="26"/>
        <v>0</v>
      </c>
      <c r="N80" s="14">
        <f t="shared" ca="1" si="27"/>
        <v>0</v>
      </c>
      <c r="O80" s="14">
        <f t="shared" ca="1" si="28"/>
        <v>0</v>
      </c>
      <c r="P80" s="14">
        <f t="shared" ca="1" si="29"/>
        <v>0</v>
      </c>
      <c r="Q80" s="14">
        <f t="shared" ca="1" si="30"/>
        <v>0</v>
      </c>
      <c r="R80" s="14">
        <f t="shared" ca="1" si="31"/>
        <v>0</v>
      </c>
      <c r="S80" s="28">
        <f t="shared" ca="1" si="32"/>
        <v>0</v>
      </c>
      <c r="T80" s="14">
        <f t="shared" ca="1" si="33"/>
        <v>0</v>
      </c>
      <c r="U80" s="14">
        <f t="shared" ca="1" si="34"/>
        <v>0</v>
      </c>
      <c r="V80" s="14">
        <f t="shared" ca="1" si="35"/>
        <v>0</v>
      </c>
      <c r="W80" s="14">
        <f t="shared" ca="1" si="36"/>
        <v>0</v>
      </c>
      <c r="Y80" s="17">
        <f ca="1">IF($A80=0,0,SUMIF('Week 1 Roster'!$AZ:$AZ,$B80,'Week 1 Roster'!$AE:$AE))</f>
        <v>0</v>
      </c>
      <c r="Z80" s="17">
        <f ca="1">IF($A80=0,0,SUMIF('Week 1 Roster'!$AZ:$AZ,$B80,'Week 1 Roster'!$AG:$AG))</f>
        <v>0</v>
      </c>
      <c r="AA80" s="17">
        <f ca="1">IF($A80=0,0,SUMIF('Week 1 Roster'!$AZ:$AZ,$B80,'Week 1 Roster'!$AI:$AI))</f>
        <v>0</v>
      </c>
      <c r="AB80" s="17">
        <f ca="1">IF($A80=0,0,SUMIF('Week 1 Roster'!$AZ:$AZ,$B80,'Week 1 Roster'!$AK:$AK))</f>
        <v>0</v>
      </c>
      <c r="AC80" s="17">
        <f ca="1">IF($A80=0,0,SUMIF('Week 1 Roster'!$AZ:$AZ,$B80,'Week 1 Roster'!$AM:$AM))</f>
        <v>0</v>
      </c>
      <c r="AD80" s="17">
        <f ca="1">IF($A80=0,0,SUMIF('Week 1 Roster'!$AZ:$AZ,$B80,'Week 1 Roster'!$AO:$AO))</f>
        <v>0</v>
      </c>
      <c r="AE80" s="38">
        <f ca="1">IF($A80=0,0,SUMIF('Week 1 Roster'!$AZ:$AZ,$B80,'Week 1 Roster'!$AP:$AP))</f>
        <v>0</v>
      </c>
      <c r="AF80" s="17">
        <f ca="1">IF($A80=0,0,SUMIF('Week 1 Roster'!$AZ:$AZ,$B80,'Week 1 Roster'!$AQ:$AQ))</f>
        <v>0</v>
      </c>
      <c r="AG80" s="17">
        <f ca="1">IF($A80=0,0,SUMIF('Week 1 Roster'!$AZ:$AZ,$B80,'Week 1 Roster'!$AR:$AR))</f>
        <v>0</v>
      </c>
      <c r="AH80" s="17">
        <f ca="1">IF($A80=0,0,SUMIF('Week 1 Roster'!$AZ:$AZ,$B80,'Week 1 Roster'!$AS:$AS))</f>
        <v>0</v>
      </c>
      <c r="AI80" s="17">
        <f t="shared" ca="1" si="37"/>
        <v>0</v>
      </c>
      <c r="AK80" s="17">
        <f ca="1">IF($A80=0,0,SUMIF('Week 2 Roster'!$AZ:$AZ,$B80,'Week 2 Roster'!$AE:$AE))</f>
        <v>0</v>
      </c>
      <c r="AL80" s="17">
        <f ca="1">IF($A80=0,0,SUMIF('Week 2 Roster'!$AZ:$AZ,$B80,'Week 2 Roster'!$AG:$AG))</f>
        <v>0</v>
      </c>
      <c r="AM80" s="17">
        <f ca="1">IF($A80=0,0,SUMIF('Week 2 Roster'!$AZ:$AZ,$B80,'Week 2 Roster'!$AI:$AI))</f>
        <v>0</v>
      </c>
      <c r="AN80" s="17">
        <f ca="1">IF($A80=0,0,SUMIF('Week 2 Roster'!$AZ:$AZ,$B80,'Week 2 Roster'!$AK:$AK))</f>
        <v>0</v>
      </c>
      <c r="AO80" s="17">
        <f ca="1">IF($A80=0,0,SUMIF('Week 2 Roster'!$AZ:$AZ,$B80,'Week 2 Roster'!$AM:$AM))</f>
        <v>0</v>
      </c>
      <c r="AP80" s="17">
        <f ca="1">IF($A80=0,0,SUMIF('Week 2 Roster'!$AZ:$AZ,$B80,'Week 2 Roster'!$AO:$AO))</f>
        <v>0</v>
      </c>
      <c r="AQ80" s="38">
        <f ca="1">IF($A80=0,0,SUMIF('Week 2 Roster'!$AZ:$AZ,$B80,'Week 2 Roster'!$AP:$AP))</f>
        <v>0</v>
      </c>
      <c r="AR80" s="17">
        <f ca="1">IF($A80=0,0,SUMIF('Week 2 Roster'!$AZ:$AZ,$B80,'Week 2 Roster'!$AQ:$AQ))</f>
        <v>0</v>
      </c>
      <c r="AS80" s="17">
        <f ca="1">IF($A80=0,0,SUMIF('Week 2 Roster'!$AZ:$AZ,$B80,'Week 2 Roster'!$AR:$AR))</f>
        <v>0</v>
      </c>
      <c r="AT80" s="17">
        <f ca="1">IF($A80=0,0,SUMIF('Week 2 Roster'!$AZ:$AZ,$B80,'Week 2 Roster'!$AS:$AS))</f>
        <v>0</v>
      </c>
      <c r="AU80" s="17">
        <f t="shared" ca="1" si="38"/>
        <v>0</v>
      </c>
      <c r="AV80" s="17"/>
      <c r="AW80" s="25" t="str">
        <f>'Week 1 Roster'!A80</f>
        <v/>
      </c>
      <c r="AX80" s="25" t="str">
        <f>'Week 2 Roster'!A80</f>
        <v/>
      </c>
    </row>
    <row r="81" spans="1:50">
      <c r="A81" s="16" cm="1">
        <f t="array" aca="1" ref="A81" ca="1">_xlfn.NUMBERVALUE(INDIRECT(TEXT(MIN(IF(($AW$2:$AX$300&lt;&gt;"")*(COUNTIF($B$1:B80,$AW$2:$AX$300)=0),ROW($2:$300)*100+COLUMN($AW:$AX),7^8)),"R0C00"),)&amp;"")</f>
        <v>0</v>
      </c>
      <c r="B81" s="28" t="str">
        <f t="shared" ca="1" si="24"/>
        <v/>
      </c>
      <c r="C81" s="28" t="str">
        <f ca="1">IF($A81=0,"",VLOOKUP($B81,Employees!$A:$G,2,FALSE))</f>
        <v/>
      </c>
      <c r="D81" s="28" t="str">
        <f ca="1">IF($A81=0,"",VLOOKUP($B81,Employees!$A:$G,3,FALSE))</f>
        <v/>
      </c>
      <c r="E81" s="26" t="str">
        <f ca="1">IF($A81=0,"",VLOOKUP($B81,Employees!$A:$G,5,FALSE))</f>
        <v/>
      </c>
      <c r="F81" s="13" t="str">
        <f ca="1">IF($E81="","",ROUNDDOWN(YEARFRAC($E81, 'Week 1 Roster'!$D$1-1, 1), 0))</f>
        <v/>
      </c>
      <c r="G81" s="13" t="str">
        <f ca="1">IF($E81="","",ROUNDDOWN(YEARFRAC($E81, 'Week 1 Roster'!$D$1+14, 1), 0))</f>
        <v/>
      </c>
      <c r="H81" s="13" t="str">
        <f t="shared" ca="1" si="25"/>
        <v/>
      </c>
      <c r="I81" s="13" t="str">
        <f ca="1">IF($A81=0,"",VLOOKUP($B81,Employees!$A:$G,6,FALSE))</f>
        <v/>
      </c>
      <c r="J81" s="13" t="str">
        <f ca="1">IF($A81=0,"",VLOOKUP($B81,Employees!$A:$G,7,FALSE))</f>
        <v/>
      </c>
      <c r="K81" s="13" t="str">
        <f ca="1">IF($A81=0,"",IF(ISNA(VLOOKUP(A81,'Week 1 Roster'!A:C,2,0)),VLOOKUP(A81,'Week 2 Roster'!A:C,2,0),VLOOKUP(A81,'Week 1 Roster'!A:C,2,0)))</f>
        <v/>
      </c>
      <c r="L81" s="13" t="str">
        <f ca="1">IF($A81=0,"",VLOOKUP(K81,Stores!A:B,2,0))</f>
        <v/>
      </c>
      <c r="M81" s="14">
        <f t="shared" ca="1" si="26"/>
        <v>0</v>
      </c>
      <c r="N81" s="14">
        <f t="shared" ca="1" si="27"/>
        <v>0</v>
      </c>
      <c r="O81" s="14">
        <f t="shared" ca="1" si="28"/>
        <v>0</v>
      </c>
      <c r="P81" s="14">
        <f t="shared" ca="1" si="29"/>
        <v>0</v>
      </c>
      <c r="Q81" s="14">
        <f t="shared" ca="1" si="30"/>
        <v>0</v>
      </c>
      <c r="R81" s="14">
        <f t="shared" ca="1" si="31"/>
        <v>0</v>
      </c>
      <c r="S81" s="28">
        <f t="shared" ca="1" si="32"/>
        <v>0</v>
      </c>
      <c r="T81" s="14">
        <f t="shared" ca="1" si="33"/>
        <v>0</v>
      </c>
      <c r="U81" s="14">
        <f t="shared" ca="1" si="34"/>
        <v>0</v>
      </c>
      <c r="V81" s="14">
        <f t="shared" ca="1" si="35"/>
        <v>0</v>
      </c>
      <c r="W81" s="14">
        <f t="shared" ca="1" si="36"/>
        <v>0</v>
      </c>
      <c r="Y81" s="17">
        <f ca="1">IF($A81=0,0,SUMIF('Week 1 Roster'!$AZ:$AZ,$B81,'Week 1 Roster'!$AE:$AE))</f>
        <v>0</v>
      </c>
      <c r="Z81" s="17">
        <f ca="1">IF($A81=0,0,SUMIF('Week 1 Roster'!$AZ:$AZ,$B81,'Week 1 Roster'!$AG:$AG))</f>
        <v>0</v>
      </c>
      <c r="AA81" s="17">
        <f ca="1">IF($A81=0,0,SUMIF('Week 1 Roster'!$AZ:$AZ,$B81,'Week 1 Roster'!$AI:$AI))</f>
        <v>0</v>
      </c>
      <c r="AB81" s="17">
        <f ca="1">IF($A81=0,0,SUMIF('Week 1 Roster'!$AZ:$AZ,$B81,'Week 1 Roster'!$AK:$AK))</f>
        <v>0</v>
      </c>
      <c r="AC81" s="17">
        <f ca="1">IF($A81=0,0,SUMIF('Week 1 Roster'!$AZ:$AZ,$B81,'Week 1 Roster'!$AM:$AM))</f>
        <v>0</v>
      </c>
      <c r="AD81" s="17">
        <f ca="1">IF($A81=0,0,SUMIF('Week 1 Roster'!$AZ:$AZ,$B81,'Week 1 Roster'!$AO:$AO))</f>
        <v>0</v>
      </c>
      <c r="AE81" s="38">
        <f ca="1">IF($A81=0,0,SUMIF('Week 1 Roster'!$AZ:$AZ,$B81,'Week 1 Roster'!$AP:$AP))</f>
        <v>0</v>
      </c>
      <c r="AF81" s="17">
        <f ca="1">IF($A81=0,0,SUMIF('Week 1 Roster'!$AZ:$AZ,$B81,'Week 1 Roster'!$AQ:$AQ))</f>
        <v>0</v>
      </c>
      <c r="AG81" s="17">
        <f ca="1">IF($A81=0,0,SUMIF('Week 1 Roster'!$AZ:$AZ,$B81,'Week 1 Roster'!$AR:$AR))</f>
        <v>0</v>
      </c>
      <c r="AH81" s="17">
        <f ca="1">IF($A81=0,0,SUMIF('Week 1 Roster'!$AZ:$AZ,$B81,'Week 1 Roster'!$AS:$AS))</f>
        <v>0</v>
      </c>
      <c r="AI81" s="17">
        <f t="shared" ca="1" si="37"/>
        <v>0</v>
      </c>
      <c r="AK81" s="17">
        <f ca="1">IF($A81=0,0,SUMIF('Week 2 Roster'!$AZ:$AZ,$B81,'Week 2 Roster'!$AE:$AE))</f>
        <v>0</v>
      </c>
      <c r="AL81" s="17">
        <f ca="1">IF($A81=0,0,SUMIF('Week 2 Roster'!$AZ:$AZ,$B81,'Week 2 Roster'!$AG:$AG))</f>
        <v>0</v>
      </c>
      <c r="AM81" s="17">
        <f ca="1">IF($A81=0,0,SUMIF('Week 2 Roster'!$AZ:$AZ,$B81,'Week 2 Roster'!$AI:$AI))</f>
        <v>0</v>
      </c>
      <c r="AN81" s="17">
        <f ca="1">IF($A81=0,0,SUMIF('Week 2 Roster'!$AZ:$AZ,$B81,'Week 2 Roster'!$AK:$AK))</f>
        <v>0</v>
      </c>
      <c r="AO81" s="17">
        <f ca="1">IF($A81=0,0,SUMIF('Week 2 Roster'!$AZ:$AZ,$B81,'Week 2 Roster'!$AM:$AM))</f>
        <v>0</v>
      </c>
      <c r="AP81" s="17">
        <f ca="1">IF($A81=0,0,SUMIF('Week 2 Roster'!$AZ:$AZ,$B81,'Week 2 Roster'!$AO:$AO))</f>
        <v>0</v>
      </c>
      <c r="AQ81" s="38">
        <f ca="1">IF($A81=0,0,SUMIF('Week 2 Roster'!$AZ:$AZ,$B81,'Week 2 Roster'!$AP:$AP))</f>
        <v>0</v>
      </c>
      <c r="AR81" s="17">
        <f ca="1">IF($A81=0,0,SUMIF('Week 2 Roster'!$AZ:$AZ,$B81,'Week 2 Roster'!$AQ:$AQ))</f>
        <v>0</v>
      </c>
      <c r="AS81" s="17">
        <f ca="1">IF($A81=0,0,SUMIF('Week 2 Roster'!$AZ:$AZ,$B81,'Week 2 Roster'!$AR:$AR))</f>
        <v>0</v>
      </c>
      <c r="AT81" s="17">
        <f ca="1">IF($A81=0,0,SUMIF('Week 2 Roster'!$AZ:$AZ,$B81,'Week 2 Roster'!$AS:$AS))</f>
        <v>0</v>
      </c>
      <c r="AU81" s="17">
        <f t="shared" ca="1" si="38"/>
        <v>0</v>
      </c>
      <c r="AV81" s="17"/>
      <c r="AW81" s="25" t="str">
        <f>'Week 1 Roster'!A81</f>
        <v/>
      </c>
      <c r="AX81" s="25" t="str">
        <f>'Week 2 Roster'!A81</f>
        <v/>
      </c>
    </row>
    <row r="82" spans="1:50">
      <c r="A82" s="16" cm="1">
        <f t="array" aca="1" ref="A82" ca="1">_xlfn.NUMBERVALUE(INDIRECT(TEXT(MIN(IF(($AW$2:$AX$300&lt;&gt;"")*(COUNTIF($B$1:B81,$AW$2:$AX$300)=0),ROW($2:$300)*100+COLUMN($AW:$AX),7^8)),"R0C00"),)&amp;"")</f>
        <v>0</v>
      </c>
      <c r="B82" s="28" t="str">
        <f t="shared" ca="1" si="24"/>
        <v/>
      </c>
      <c r="C82" s="28" t="str">
        <f ca="1">IF($A82=0,"",VLOOKUP($B82,Employees!$A:$G,2,FALSE))</f>
        <v/>
      </c>
      <c r="D82" s="28" t="str">
        <f ca="1">IF($A82=0,"",VLOOKUP($B82,Employees!$A:$G,3,FALSE))</f>
        <v/>
      </c>
      <c r="E82" s="26" t="str">
        <f ca="1">IF($A82=0,"",VLOOKUP($B82,Employees!$A:$G,5,FALSE))</f>
        <v/>
      </c>
      <c r="F82" s="13" t="str">
        <f ca="1">IF($E82="","",ROUNDDOWN(YEARFRAC($E82, 'Week 1 Roster'!$D$1-1, 1), 0))</f>
        <v/>
      </c>
      <c r="G82" s="13" t="str">
        <f ca="1">IF($E82="","",ROUNDDOWN(YEARFRAC($E82, 'Week 1 Roster'!$D$1+14, 1), 0))</f>
        <v/>
      </c>
      <c r="H82" s="13" t="str">
        <f t="shared" ca="1" si="25"/>
        <v/>
      </c>
      <c r="I82" s="13" t="str">
        <f ca="1">IF($A82=0,"",VLOOKUP($B82,Employees!$A:$G,6,FALSE))</f>
        <v/>
      </c>
      <c r="J82" s="13" t="str">
        <f ca="1">IF($A82=0,"",VLOOKUP($B82,Employees!$A:$G,7,FALSE))</f>
        <v/>
      </c>
      <c r="K82" s="13" t="str">
        <f ca="1">IF($A82=0,"",IF(ISNA(VLOOKUP(A82,'Week 1 Roster'!A:C,2,0)),VLOOKUP(A82,'Week 2 Roster'!A:C,2,0),VLOOKUP(A82,'Week 1 Roster'!A:C,2,0)))</f>
        <v/>
      </c>
      <c r="L82" s="13" t="str">
        <f ca="1">IF($A82=0,"",VLOOKUP(K82,Stores!A:B,2,0))</f>
        <v/>
      </c>
      <c r="M82" s="14">
        <f t="shared" ca="1" si="26"/>
        <v>0</v>
      </c>
      <c r="N82" s="14">
        <f t="shared" ca="1" si="27"/>
        <v>0</v>
      </c>
      <c r="O82" s="14">
        <f t="shared" ca="1" si="28"/>
        <v>0</v>
      </c>
      <c r="P82" s="14">
        <f t="shared" ca="1" si="29"/>
        <v>0</v>
      </c>
      <c r="Q82" s="14">
        <f t="shared" ca="1" si="30"/>
        <v>0</v>
      </c>
      <c r="R82" s="14">
        <f t="shared" ca="1" si="31"/>
        <v>0</v>
      </c>
      <c r="S82" s="28">
        <f t="shared" ca="1" si="32"/>
        <v>0</v>
      </c>
      <c r="T82" s="14">
        <f t="shared" ca="1" si="33"/>
        <v>0</v>
      </c>
      <c r="U82" s="14">
        <f t="shared" ca="1" si="34"/>
        <v>0</v>
      </c>
      <c r="V82" s="14">
        <f t="shared" ca="1" si="35"/>
        <v>0</v>
      </c>
      <c r="W82" s="14">
        <f t="shared" ca="1" si="36"/>
        <v>0</v>
      </c>
      <c r="Y82" s="17">
        <f ca="1">IF($A82=0,0,SUMIF('Week 1 Roster'!$AZ:$AZ,$B82,'Week 1 Roster'!$AE:$AE))</f>
        <v>0</v>
      </c>
      <c r="Z82" s="17">
        <f ca="1">IF($A82=0,0,SUMIF('Week 1 Roster'!$AZ:$AZ,$B82,'Week 1 Roster'!$AG:$AG))</f>
        <v>0</v>
      </c>
      <c r="AA82" s="17">
        <f ca="1">IF($A82=0,0,SUMIF('Week 1 Roster'!$AZ:$AZ,$B82,'Week 1 Roster'!$AI:$AI))</f>
        <v>0</v>
      </c>
      <c r="AB82" s="17">
        <f ca="1">IF($A82=0,0,SUMIF('Week 1 Roster'!$AZ:$AZ,$B82,'Week 1 Roster'!$AK:$AK))</f>
        <v>0</v>
      </c>
      <c r="AC82" s="17">
        <f ca="1">IF($A82=0,0,SUMIF('Week 1 Roster'!$AZ:$AZ,$B82,'Week 1 Roster'!$AM:$AM))</f>
        <v>0</v>
      </c>
      <c r="AD82" s="17">
        <f ca="1">IF($A82=0,0,SUMIF('Week 1 Roster'!$AZ:$AZ,$B82,'Week 1 Roster'!$AO:$AO))</f>
        <v>0</v>
      </c>
      <c r="AE82" s="38">
        <f ca="1">IF($A82=0,0,SUMIF('Week 1 Roster'!$AZ:$AZ,$B82,'Week 1 Roster'!$AP:$AP))</f>
        <v>0</v>
      </c>
      <c r="AF82" s="17">
        <f ca="1">IF($A82=0,0,SUMIF('Week 1 Roster'!$AZ:$AZ,$B82,'Week 1 Roster'!$AQ:$AQ))</f>
        <v>0</v>
      </c>
      <c r="AG82" s="17">
        <f ca="1">IF($A82=0,0,SUMIF('Week 1 Roster'!$AZ:$AZ,$B82,'Week 1 Roster'!$AR:$AR))</f>
        <v>0</v>
      </c>
      <c r="AH82" s="17">
        <f ca="1">IF($A82=0,0,SUMIF('Week 1 Roster'!$AZ:$AZ,$B82,'Week 1 Roster'!$AS:$AS))</f>
        <v>0</v>
      </c>
      <c r="AI82" s="17">
        <f t="shared" ca="1" si="37"/>
        <v>0</v>
      </c>
      <c r="AK82" s="17">
        <f ca="1">IF($A82=0,0,SUMIF('Week 2 Roster'!$AZ:$AZ,$B82,'Week 2 Roster'!$AE:$AE))</f>
        <v>0</v>
      </c>
      <c r="AL82" s="17">
        <f ca="1">IF($A82=0,0,SUMIF('Week 2 Roster'!$AZ:$AZ,$B82,'Week 2 Roster'!$AG:$AG))</f>
        <v>0</v>
      </c>
      <c r="AM82" s="17">
        <f ca="1">IF($A82=0,0,SUMIF('Week 2 Roster'!$AZ:$AZ,$B82,'Week 2 Roster'!$AI:$AI))</f>
        <v>0</v>
      </c>
      <c r="AN82" s="17">
        <f ca="1">IF($A82=0,0,SUMIF('Week 2 Roster'!$AZ:$AZ,$B82,'Week 2 Roster'!$AK:$AK))</f>
        <v>0</v>
      </c>
      <c r="AO82" s="17">
        <f ca="1">IF($A82=0,0,SUMIF('Week 2 Roster'!$AZ:$AZ,$B82,'Week 2 Roster'!$AM:$AM))</f>
        <v>0</v>
      </c>
      <c r="AP82" s="17">
        <f ca="1">IF($A82=0,0,SUMIF('Week 2 Roster'!$AZ:$AZ,$B82,'Week 2 Roster'!$AO:$AO))</f>
        <v>0</v>
      </c>
      <c r="AQ82" s="38">
        <f ca="1">IF($A82=0,0,SUMIF('Week 2 Roster'!$AZ:$AZ,$B82,'Week 2 Roster'!$AP:$AP))</f>
        <v>0</v>
      </c>
      <c r="AR82" s="17">
        <f ca="1">IF($A82=0,0,SUMIF('Week 2 Roster'!$AZ:$AZ,$B82,'Week 2 Roster'!$AQ:$AQ))</f>
        <v>0</v>
      </c>
      <c r="AS82" s="17">
        <f ca="1">IF($A82=0,0,SUMIF('Week 2 Roster'!$AZ:$AZ,$B82,'Week 2 Roster'!$AR:$AR))</f>
        <v>0</v>
      </c>
      <c r="AT82" s="17">
        <f ca="1">IF($A82=0,0,SUMIF('Week 2 Roster'!$AZ:$AZ,$B82,'Week 2 Roster'!$AS:$AS))</f>
        <v>0</v>
      </c>
      <c r="AU82" s="17">
        <f t="shared" ca="1" si="38"/>
        <v>0</v>
      </c>
      <c r="AV82" s="17"/>
      <c r="AW82" s="25" t="str">
        <f>'Week 1 Roster'!A82</f>
        <v/>
      </c>
      <c r="AX82" s="25" t="str">
        <f>'Week 2 Roster'!A82</f>
        <v/>
      </c>
    </row>
    <row r="83" spans="1:50">
      <c r="A83" s="16" cm="1">
        <f t="array" aca="1" ref="A83" ca="1">_xlfn.NUMBERVALUE(INDIRECT(TEXT(MIN(IF(($AW$2:$AX$300&lt;&gt;"")*(COUNTIF($B$1:B82,$AW$2:$AX$300)=0),ROW($2:$300)*100+COLUMN($AW:$AX),7^8)),"R0C00"),)&amp;"")</f>
        <v>0</v>
      </c>
      <c r="B83" s="28" t="str">
        <f t="shared" ca="1" si="24"/>
        <v/>
      </c>
      <c r="C83" s="28" t="str">
        <f ca="1">IF($A83=0,"",VLOOKUP($B83,Employees!$A:$G,2,FALSE))</f>
        <v/>
      </c>
      <c r="D83" s="28" t="str">
        <f ca="1">IF($A83=0,"",VLOOKUP($B83,Employees!$A:$G,3,FALSE))</f>
        <v/>
      </c>
      <c r="E83" s="26" t="str">
        <f ca="1">IF($A83=0,"",VLOOKUP($B83,Employees!$A:$G,5,FALSE))</f>
        <v/>
      </c>
      <c r="F83" s="13" t="str">
        <f ca="1">IF($E83="","",ROUNDDOWN(YEARFRAC($E83, 'Week 1 Roster'!$D$1-1, 1), 0))</f>
        <v/>
      </c>
      <c r="G83" s="13" t="str">
        <f ca="1">IF($E83="","",ROUNDDOWN(YEARFRAC($E83, 'Week 1 Roster'!$D$1+14, 1), 0))</f>
        <v/>
      </c>
      <c r="H83" s="13" t="str">
        <f t="shared" ca="1" si="25"/>
        <v/>
      </c>
      <c r="I83" s="13" t="str">
        <f ca="1">IF($A83=0,"",VLOOKUP($B83,Employees!$A:$G,6,FALSE))</f>
        <v/>
      </c>
      <c r="J83" s="13" t="str">
        <f ca="1">IF($A83=0,"",VLOOKUP($B83,Employees!$A:$G,7,FALSE))</f>
        <v/>
      </c>
      <c r="K83" s="13" t="str">
        <f ca="1">IF($A83=0,"",IF(ISNA(VLOOKUP(A83,'Week 1 Roster'!A:C,2,0)),VLOOKUP(A83,'Week 2 Roster'!A:C,2,0),VLOOKUP(A83,'Week 1 Roster'!A:C,2,0)))</f>
        <v/>
      </c>
      <c r="L83" s="13" t="str">
        <f ca="1">IF($A83=0,"",VLOOKUP(K83,Stores!A:B,2,0))</f>
        <v/>
      </c>
      <c r="M83" s="14">
        <f t="shared" ca="1" si="26"/>
        <v>0</v>
      </c>
      <c r="N83" s="14">
        <f t="shared" ca="1" si="27"/>
        <v>0</v>
      </c>
      <c r="O83" s="14">
        <f t="shared" ca="1" si="28"/>
        <v>0</v>
      </c>
      <c r="P83" s="14">
        <f t="shared" ca="1" si="29"/>
        <v>0</v>
      </c>
      <c r="Q83" s="14">
        <f t="shared" ca="1" si="30"/>
        <v>0</v>
      </c>
      <c r="R83" s="14">
        <f t="shared" ca="1" si="31"/>
        <v>0</v>
      </c>
      <c r="S83" s="28">
        <f t="shared" ca="1" si="32"/>
        <v>0</v>
      </c>
      <c r="T83" s="14">
        <f t="shared" ca="1" si="33"/>
        <v>0</v>
      </c>
      <c r="U83" s="14">
        <f t="shared" ca="1" si="34"/>
        <v>0</v>
      </c>
      <c r="V83" s="14">
        <f t="shared" ca="1" si="35"/>
        <v>0</v>
      </c>
      <c r="W83" s="14">
        <f t="shared" ca="1" si="36"/>
        <v>0</v>
      </c>
      <c r="Y83" s="17">
        <f ca="1">IF($A83=0,0,SUMIF('Week 1 Roster'!$AZ:$AZ,$B83,'Week 1 Roster'!$AE:$AE))</f>
        <v>0</v>
      </c>
      <c r="Z83" s="17">
        <f ca="1">IF($A83=0,0,SUMIF('Week 1 Roster'!$AZ:$AZ,$B83,'Week 1 Roster'!$AG:$AG))</f>
        <v>0</v>
      </c>
      <c r="AA83" s="17">
        <f ca="1">IF($A83=0,0,SUMIF('Week 1 Roster'!$AZ:$AZ,$B83,'Week 1 Roster'!$AI:$AI))</f>
        <v>0</v>
      </c>
      <c r="AB83" s="17">
        <f ca="1">IF($A83=0,0,SUMIF('Week 1 Roster'!$AZ:$AZ,$B83,'Week 1 Roster'!$AK:$AK))</f>
        <v>0</v>
      </c>
      <c r="AC83" s="17">
        <f ca="1">IF($A83=0,0,SUMIF('Week 1 Roster'!$AZ:$AZ,$B83,'Week 1 Roster'!$AM:$AM))</f>
        <v>0</v>
      </c>
      <c r="AD83" s="17">
        <f ca="1">IF($A83=0,0,SUMIF('Week 1 Roster'!$AZ:$AZ,$B83,'Week 1 Roster'!$AO:$AO))</f>
        <v>0</v>
      </c>
      <c r="AE83" s="38">
        <f ca="1">IF($A83=0,0,SUMIF('Week 1 Roster'!$AZ:$AZ,$B83,'Week 1 Roster'!$AP:$AP))</f>
        <v>0</v>
      </c>
      <c r="AF83" s="17">
        <f ca="1">IF($A83=0,0,SUMIF('Week 1 Roster'!$AZ:$AZ,$B83,'Week 1 Roster'!$AQ:$AQ))</f>
        <v>0</v>
      </c>
      <c r="AG83" s="17">
        <f ca="1">IF($A83=0,0,SUMIF('Week 1 Roster'!$AZ:$AZ,$B83,'Week 1 Roster'!$AR:$AR))</f>
        <v>0</v>
      </c>
      <c r="AH83" s="17">
        <f ca="1">IF($A83=0,0,SUMIF('Week 1 Roster'!$AZ:$AZ,$B83,'Week 1 Roster'!$AS:$AS))</f>
        <v>0</v>
      </c>
      <c r="AI83" s="17">
        <f t="shared" ca="1" si="37"/>
        <v>0</v>
      </c>
      <c r="AK83" s="17">
        <f ca="1">IF($A83=0,0,SUMIF('Week 2 Roster'!$AZ:$AZ,$B83,'Week 2 Roster'!$AE:$AE))</f>
        <v>0</v>
      </c>
      <c r="AL83" s="17">
        <f ca="1">IF($A83=0,0,SUMIF('Week 2 Roster'!$AZ:$AZ,$B83,'Week 2 Roster'!$AG:$AG))</f>
        <v>0</v>
      </c>
      <c r="AM83" s="17">
        <f ca="1">IF($A83=0,0,SUMIF('Week 2 Roster'!$AZ:$AZ,$B83,'Week 2 Roster'!$AI:$AI))</f>
        <v>0</v>
      </c>
      <c r="AN83" s="17">
        <f ca="1">IF($A83=0,0,SUMIF('Week 2 Roster'!$AZ:$AZ,$B83,'Week 2 Roster'!$AK:$AK))</f>
        <v>0</v>
      </c>
      <c r="AO83" s="17">
        <f ca="1">IF($A83=0,0,SUMIF('Week 2 Roster'!$AZ:$AZ,$B83,'Week 2 Roster'!$AM:$AM))</f>
        <v>0</v>
      </c>
      <c r="AP83" s="17">
        <f ca="1">IF($A83=0,0,SUMIF('Week 2 Roster'!$AZ:$AZ,$B83,'Week 2 Roster'!$AO:$AO))</f>
        <v>0</v>
      </c>
      <c r="AQ83" s="38">
        <f ca="1">IF($A83=0,0,SUMIF('Week 2 Roster'!$AZ:$AZ,$B83,'Week 2 Roster'!$AP:$AP))</f>
        <v>0</v>
      </c>
      <c r="AR83" s="17">
        <f ca="1">IF($A83=0,0,SUMIF('Week 2 Roster'!$AZ:$AZ,$B83,'Week 2 Roster'!$AQ:$AQ))</f>
        <v>0</v>
      </c>
      <c r="AS83" s="17">
        <f ca="1">IF($A83=0,0,SUMIF('Week 2 Roster'!$AZ:$AZ,$B83,'Week 2 Roster'!$AR:$AR))</f>
        <v>0</v>
      </c>
      <c r="AT83" s="17">
        <f ca="1">IF($A83=0,0,SUMIF('Week 2 Roster'!$AZ:$AZ,$B83,'Week 2 Roster'!$AS:$AS))</f>
        <v>0</v>
      </c>
      <c r="AU83" s="17">
        <f t="shared" ca="1" si="38"/>
        <v>0</v>
      </c>
      <c r="AV83" s="17"/>
      <c r="AW83" s="25" t="str">
        <f>'Week 1 Roster'!A83</f>
        <v/>
      </c>
      <c r="AX83" s="25" t="str">
        <f>'Week 2 Roster'!A83</f>
        <v/>
      </c>
    </row>
    <row r="84" spans="1:50">
      <c r="A84" s="16" cm="1">
        <f t="array" aca="1" ref="A84" ca="1">_xlfn.NUMBERVALUE(INDIRECT(TEXT(MIN(IF(($AW$2:$AX$300&lt;&gt;"")*(COUNTIF($B$1:B83,$AW$2:$AX$300)=0),ROW($2:$300)*100+COLUMN($AW:$AX),7^8)),"R0C00"),)&amp;"")</f>
        <v>0</v>
      </c>
      <c r="B84" s="28" t="str">
        <f t="shared" ca="1" si="24"/>
        <v/>
      </c>
      <c r="C84" s="28" t="str">
        <f ca="1">IF($A84=0,"",VLOOKUP($B84,Employees!$A:$G,2,FALSE))</f>
        <v/>
      </c>
      <c r="D84" s="28" t="str">
        <f ca="1">IF($A84=0,"",VLOOKUP($B84,Employees!$A:$G,3,FALSE))</f>
        <v/>
      </c>
      <c r="E84" s="26" t="str">
        <f ca="1">IF($A84=0,"",VLOOKUP($B84,Employees!$A:$G,5,FALSE))</f>
        <v/>
      </c>
      <c r="F84" s="13" t="str">
        <f ca="1">IF($E84="","",ROUNDDOWN(YEARFRAC($E84, 'Week 1 Roster'!$D$1-1, 1), 0))</f>
        <v/>
      </c>
      <c r="G84" s="13" t="str">
        <f ca="1">IF($E84="","",ROUNDDOWN(YEARFRAC($E84, 'Week 1 Roster'!$D$1+14, 1), 0))</f>
        <v/>
      </c>
      <c r="H84" s="13" t="str">
        <f t="shared" ca="1" si="25"/>
        <v/>
      </c>
      <c r="I84" s="13" t="str">
        <f ca="1">IF($A84=0,"",VLOOKUP($B84,Employees!$A:$G,6,FALSE))</f>
        <v/>
      </c>
      <c r="J84" s="13" t="str">
        <f ca="1">IF($A84=0,"",VLOOKUP($B84,Employees!$A:$G,7,FALSE))</f>
        <v/>
      </c>
      <c r="K84" s="13" t="str">
        <f ca="1">IF($A84=0,"",IF(ISNA(VLOOKUP(A84,'Week 1 Roster'!A:C,2,0)),VLOOKUP(A84,'Week 2 Roster'!A:C,2,0),VLOOKUP(A84,'Week 1 Roster'!A:C,2,0)))</f>
        <v/>
      </c>
      <c r="L84" s="13" t="str">
        <f ca="1">IF($A84=0,"",VLOOKUP(K84,Stores!A:B,2,0))</f>
        <v/>
      </c>
      <c r="M84" s="14">
        <f t="shared" ca="1" si="26"/>
        <v>0</v>
      </c>
      <c r="N84" s="14">
        <f t="shared" ca="1" si="27"/>
        <v>0</v>
      </c>
      <c r="O84" s="14">
        <f t="shared" ca="1" si="28"/>
        <v>0</v>
      </c>
      <c r="P84" s="14">
        <f t="shared" ca="1" si="29"/>
        <v>0</v>
      </c>
      <c r="Q84" s="14">
        <f t="shared" ca="1" si="30"/>
        <v>0</v>
      </c>
      <c r="R84" s="14">
        <f t="shared" ca="1" si="31"/>
        <v>0</v>
      </c>
      <c r="S84" s="28">
        <f t="shared" ca="1" si="32"/>
        <v>0</v>
      </c>
      <c r="T84" s="14">
        <f t="shared" ca="1" si="33"/>
        <v>0</v>
      </c>
      <c r="U84" s="14">
        <f t="shared" ca="1" si="34"/>
        <v>0</v>
      </c>
      <c r="V84" s="14">
        <f t="shared" ca="1" si="35"/>
        <v>0</v>
      </c>
      <c r="W84" s="14">
        <f t="shared" ca="1" si="36"/>
        <v>0</v>
      </c>
      <c r="Y84" s="17">
        <f ca="1">IF($A84=0,0,SUMIF('Week 1 Roster'!$AZ:$AZ,$B84,'Week 1 Roster'!$AE:$AE))</f>
        <v>0</v>
      </c>
      <c r="Z84" s="17">
        <f ca="1">IF($A84=0,0,SUMIF('Week 1 Roster'!$AZ:$AZ,$B84,'Week 1 Roster'!$AG:$AG))</f>
        <v>0</v>
      </c>
      <c r="AA84" s="17">
        <f ca="1">IF($A84=0,0,SUMIF('Week 1 Roster'!$AZ:$AZ,$B84,'Week 1 Roster'!$AI:$AI))</f>
        <v>0</v>
      </c>
      <c r="AB84" s="17">
        <f ca="1">IF($A84=0,0,SUMIF('Week 1 Roster'!$AZ:$AZ,$B84,'Week 1 Roster'!$AK:$AK))</f>
        <v>0</v>
      </c>
      <c r="AC84" s="17">
        <f ca="1">IF($A84=0,0,SUMIF('Week 1 Roster'!$AZ:$AZ,$B84,'Week 1 Roster'!$AM:$AM))</f>
        <v>0</v>
      </c>
      <c r="AD84" s="17">
        <f ca="1">IF($A84=0,0,SUMIF('Week 1 Roster'!$AZ:$AZ,$B84,'Week 1 Roster'!$AO:$AO))</f>
        <v>0</v>
      </c>
      <c r="AE84" s="38">
        <f ca="1">IF($A84=0,0,SUMIF('Week 1 Roster'!$AZ:$AZ,$B84,'Week 1 Roster'!$AP:$AP))</f>
        <v>0</v>
      </c>
      <c r="AF84" s="17">
        <f ca="1">IF($A84=0,0,SUMIF('Week 1 Roster'!$AZ:$AZ,$B84,'Week 1 Roster'!$AQ:$AQ))</f>
        <v>0</v>
      </c>
      <c r="AG84" s="17">
        <f ca="1">IF($A84=0,0,SUMIF('Week 1 Roster'!$AZ:$AZ,$B84,'Week 1 Roster'!$AR:$AR))</f>
        <v>0</v>
      </c>
      <c r="AH84" s="17">
        <f ca="1">IF($A84=0,0,SUMIF('Week 1 Roster'!$AZ:$AZ,$B84,'Week 1 Roster'!$AS:$AS))</f>
        <v>0</v>
      </c>
      <c r="AI84" s="17">
        <f t="shared" ca="1" si="37"/>
        <v>0</v>
      </c>
      <c r="AK84" s="17">
        <f ca="1">IF($A84=0,0,SUMIF('Week 2 Roster'!$AZ:$AZ,$B84,'Week 2 Roster'!$AE:$AE))</f>
        <v>0</v>
      </c>
      <c r="AL84" s="17">
        <f ca="1">IF($A84=0,0,SUMIF('Week 2 Roster'!$AZ:$AZ,$B84,'Week 2 Roster'!$AG:$AG))</f>
        <v>0</v>
      </c>
      <c r="AM84" s="17">
        <f ca="1">IF($A84=0,0,SUMIF('Week 2 Roster'!$AZ:$AZ,$B84,'Week 2 Roster'!$AI:$AI))</f>
        <v>0</v>
      </c>
      <c r="AN84" s="17">
        <f ca="1">IF($A84=0,0,SUMIF('Week 2 Roster'!$AZ:$AZ,$B84,'Week 2 Roster'!$AK:$AK))</f>
        <v>0</v>
      </c>
      <c r="AO84" s="17">
        <f ca="1">IF($A84=0,0,SUMIF('Week 2 Roster'!$AZ:$AZ,$B84,'Week 2 Roster'!$AM:$AM))</f>
        <v>0</v>
      </c>
      <c r="AP84" s="17">
        <f ca="1">IF($A84=0,0,SUMIF('Week 2 Roster'!$AZ:$AZ,$B84,'Week 2 Roster'!$AO:$AO))</f>
        <v>0</v>
      </c>
      <c r="AQ84" s="38">
        <f ca="1">IF($A84=0,0,SUMIF('Week 2 Roster'!$AZ:$AZ,$B84,'Week 2 Roster'!$AP:$AP))</f>
        <v>0</v>
      </c>
      <c r="AR84" s="17">
        <f ca="1">IF($A84=0,0,SUMIF('Week 2 Roster'!$AZ:$AZ,$B84,'Week 2 Roster'!$AQ:$AQ))</f>
        <v>0</v>
      </c>
      <c r="AS84" s="17">
        <f ca="1">IF($A84=0,0,SUMIF('Week 2 Roster'!$AZ:$AZ,$B84,'Week 2 Roster'!$AR:$AR))</f>
        <v>0</v>
      </c>
      <c r="AT84" s="17">
        <f ca="1">IF($A84=0,0,SUMIF('Week 2 Roster'!$AZ:$AZ,$B84,'Week 2 Roster'!$AS:$AS))</f>
        <v>0</v>
      </c>
      <c r="AU84" s="17">
        <f t="shared" ca="1" si="38"/>
        <v>0</v>
      </c>
      <c r="AV84" s="17"/>
      <c r="AW84" s="25" t="str">
        <f>'Week 1 Roster'!A84</f>
        <v/>
      </c>
      <c r="AX84" s="25" t="str">
        <f>'Week 2 Roster'!A84</f>
        <v/>
      </c>
    </row>
    <row r="85" spans="1:50">
      <c r="A85" s="16" cm="1">
        <f t="array" aca="1" ref="A85" ca="1">_xlfn.NUMBERVALUE(INDIRECT(TEXT(MIN(IF(($AW$2:$AX$300&lt;&gt;"")*(COUNTIF($B$1:B84,$AW$2:$AX$300)=0),ROW($2:$300)*100+COLUMN($AW:$AX),7^8)),"R0C00"),)&amp;"")</f>
        <v>0</v>
      </c>
      <c r="B85" s="28" t="str">
        <f t="shared" ca="1" si="24"/>
        <v/>
      </c>
      <c r="C85" s="28" t="str">
        <f ca="1">IF($A85=0,"",VLOOKUP($B85,Employees!$A:$G,2,FALSE))</f>
        <v/>
      </c>
      <c r="D85" s="28" t="str">
        <f ca="1">IF($A85=0,"",VLOOKUP($B85,Employees!$A:$G,3,FALSE))</f>
        <v/>
      </c>
      <c r="E85" s="26" t="str">
        <f ca="1">IF($A85=0,"",VLOOKUP($B85,Employees!$A:$G,5,FALSE))</f>
        <v/>
      </c>
      <c r="F85" s="13" t="str">
        <f ca="1">IF($E85="","",ROUNDDOWN(YEARFRAC($E85, 'Week 1 Roster'!$D$1-1, 1), 0))</f>
        <v/>
      </c>
      <c r="G85" s="13" t="str">
        <f ca="1">IF($E85="","",ROUNDDOWN(YEARFRAC($E85, 'Week 1 Roster'!$D$1+14, 1), 0))</f>
        <v/>
      </c>
      <c r="H85" s="13" t="str">
        <f t="shared" ca="1" si="25"/>
        <v/>
      </c>
      <c r="I85" s="13" t="str">
        <f ca="1">IF($A85=0,"",VLOOKUP($B85,Employees!$A:$G,6,FALSE))</f>
        <v/>
      </c>
      <c r="J85" s="13" t="str">
        <f ca="1">IF($A85=0,"",VLOOKUP($B85,Employees!$A:$G,7,FALSE))</f>
        <v/>
      </c>
      <c r="K85" s="13" t="str">
        <f ca="1">IF($A85=0,"",IF(ISNA(VLOOKUP(A85,'Week 1 Roster'!A:C,2,0)),VLOOKUP(A85,'Week 2 Roster'!A:C,2,0),VLOOKUP(A85,'Week 1 Roster'!A:C,2,0)))</f>
        <v/>
      </c>
      <c r="L85" s="13" t="str">
        <f ca="1">IF($A85=0,"",VLOOKUP(K85,Stores!A:B,2,0))</f>
        <v/>
      </c>
      <c r="M85" s="14">
        <f t="shared" ca="1" si="26"/>
        <v>0</v>
      </c>
      <c r="N85" s="14">
        <f t="shared" ca="1" si="27"/>
        <v>0</v>
      </c>
      <c r="O85" s="14">
        <f t="shared" ca="1" si="28"/>
        <v>0</v>
      </c>
      <c r="P85" s="14">
        <f t="shared" ca="1" si="29"/>
        <v>0</v>
      </c>
      <c r="Q85" s="14">
        <f t="shared" ca="1" si="30"/>
        <v>0</v>
      </c>
      <c r="R85" s="14">
        <f t="shared" ca="1" si="31"/>
        <v>0</v>
      </c>
      <c r="S85" s="28">
        <f t="shared" ca="1" si="32"/>
        <v>0</v>
      </c>
      <c r="T85" s="14">
        <f t="shared" ca="1" si="33"/>
        <v>0</v>
      </c>
      <c r="U85" s="14">
        <f t="shared" ca="1" si="34"/>
        <v>0</v>
      </c>
      <c r="V85" s="14">
        <f t="shared" ca="1" si="35"/>
        <v>0</v>
      </c>
      <c r="W85" s="14">
        <f t="shared" ca="1" si="36"/>
        <v>0</v>
      </c>
      <c r="Y85" s="17">
        <f ca="1">IF($A85=0,0,SUMIF('Week 1 Roster'!$AZ:$AZ,$B85,'Week 1 Roster'!$AE:$AE))</f>
        <v>0</v>
      </c>
      <c r="Z85" s="17">
        <f ca="1">IF($A85=0,0,SUMIF('Week 1 Roster'!$AZ:$AZ,$B85,'Week 1 Roster'!$AG:$AG))</f>
        <v>0</v>
      </c>
      <c r="AA85" s="17">
        <f ca="1">IF($A85=0,0,SUMIF('Week 1 Roster'!$AZ:$AZ,$B85,'Week 1 Roster'!$AI:$AI))</f>
        <v>0</v>
      </c>
      <c r="AB85" s="17">
        <f ca="1">IF($A85=0,0,SUMIF('Week 1 Roster'!$AZ:$AZ,$B85,'Week 1 Roster'!$AK:$AK))</f>
        <v>0</v>
      </c>
      <c r="AC85" s="17">
        <f ca="1">IF($A85=0,0,SUMIF('Week 1 Roster'!$AZ:$AZ,$B85,'Week 1 Roster'!$AM:$AM))</f>
        <v>0</v>
      </c>
      <c r="AD85" s="17">
        <f ca="1">IF($A85=0,0,SUMIF('Week 1 Roster'!$AZ:$AZ,$B85,'Week 1 Roster'!$AO:$AO))</f>
        <v>0</v>
      </c>
      <c r="AE85" s="38">
        <f ca="1">IF($A85=0,0,SUMIF('Week 1 Roster'!$AZ:$AZ,$B85,'Week 1 Roster'!$AP:$AP))</f>
        <v>0</v>
      </c>
      <c r="AF85" s="17">
        <f ca="1">IF($A85=0,0,SUMIF('Week 1 Roster'!$AZ:$AZ,$B85,'Week 1 Roster'!$AQ:$AQ))</f>
        <v>0</v>
      </c>
      <c r="AG85" s="17">
        <f ca="1">IF($A85=0,0,SUMIF('Week 1 Roster'!$AZ:$AZ,$B85,'Week 1 Roster'!$AR:$AR))</f>
        <v>0</v>
      </c>
      <c r="AH85" s="17">
        <f ca="1">IF($A85=0,0,SUMIF('Week 1 Roster'!$AZ:$AZ,$B85,'Week 1 Roster'!$AS:$AS))</f>
        <v>0</v>
      </c>
      <c r="AI85" s="17">
        <f t="shared" ca="1" si="37"/>
        <v>0</v>
      </c>
      <c r="AK85" s="17">
        <f ca="1">IF($A85=0,0,SUMIF('Week 2 Roster'!$AZ:$AZ,$B85,'Week 2 Roster'!$AE:$AE))</f>
        <v>0</v>
      </c>
      <c r="AL85" s="17">
        <f ca="1">IF($A85=0,0,SUMIF('Week 2 Roster'!$AZ:$AZ,$B85,'Week 2 Roster'!$AG:$AG))</f>
        <v>0</v>
      </c>
      <c r="AM85" s="17">
        <f ca="1">IF($A85=0,0,SUMIF('Week 2 Roster'!$AZ:$AZ,$B85,'Week 2 Roster'!$AI:$AI))</f>
        <v>0</v>
      </c>
      <c r="AN85" s="17">
        <f ca="1">IF($A85=0,0,SUMIF('Week 2 Roster'!$AZ:$AZ,$B85,'Week 2 Roster'!$AK:$AK))</f>
        <v>0</v>
      </c>
      <c r="AO85" s="17">
        <f ca="1">IF($A85=0,0,SUMIF('Week 2 Roster'!$AZ:$AZ,$B85,'Week 2 Roster'!$AM:$AM))</f>
        <v>0</v>
      </c>
      <c r="AP85" s="17">
        <f ca="1">IF($A85=0,0,SUMIF('Week 2 Roster'!$AZ:$AZ,$B85,'Week 2 Roster'!$AO:$AO))</f>
        <v>0</v>
      </c>
      <c r="AQ85" s="38">
        <f ca="1">IF($A85=0,0,SUMIF('Week 2 Roster'!$AZ:$AZ,$B85,'Week 2 Roster'!$AP:$AP))</f>
        <v>0</v>
      </c>
      <c r="AR85" s="17">
        <f ca="1">IF($A85=0,0,SUMIF('Week 2 Roster'!$AZ:$AZ,$B85,'Week 2 Roster'!$AQ:$AQ))</f>
        <v>0</v>
      </c>
      <c r="AS85" s="17">
        <f ca="1">IF($A85=0,0,SUMIF('Week 2 Roster'!$AZ:$AZ,$B85,'Week 2 Roster'!$AR:$AR))</f>
        <v>0</v>
      </c>
      <c r="AT85" s="17">
        <f ca="1">IF($A85=0,0,SUMIF('Week 2 Roster'!$AZ:$AZ,$B85,'Week 2 Roster'!$AS:$AS))</f>
        <v>0</v>
      </c>
      <c r="AU85" s="17">
        <f t="shared" ca="1" si="38"/>
        <v>0</v>
      </c>
      <c r="AV85" s="17"/>
      <c r="AW85" s="25" t="str">
        <f>'Week 1 Roster'!A85</f>
        <v/>
      </c>
      <c r="AX85" s="25" t="str">
        <f>'Week 2 Roster'!A85</f>
        <v/>
      </c>
    </row>
    <row r="86" spans="1:50">
      <c r="A86" s="16" cm="1">
        <f t="array" aca="1" ref="A86" ca="1">_xlfn.NUMBERVALUE(INDIRECT(TEXT(MIN(IF(($AW$2:$AX$300&lt;&gt;"")*(COUNTIF($B$1:B85,$AW$2:$AX$300)=0),ROW($2:$300)*100+COLUMN($AW:$AX),7^8)),"R0C00"),)&amp;"")</f>
        <v>0</v>
      </c>
      <c r="B86" s="28" t="str">
        <f t="shared" ca="1" si="24"/>
        <v/>
      </c>
      <c r="C86" s="28" t="str">
        <f ca="1">IF($A86=0,"",VLOOKUP($B86,Employees!$A:$G,2,FALSE))</f>
        <v/>
      </c>
      <c r="D86" s="28" t="str">
        <f ca="1">IF($A86=0,"",VLOOKUP($B86,Employees!$A:$G,3,FALSE))</f>
        <v/>
      </c>
      <c r="E86" s="26" t="str">
        <f ca="1">IF($A86=0,"",VLOOKUP($B86,Employees!$A:$G,5,FALSE))</f>
        <v/>
      </c>
      <c r="F86" s="13" t="str">
        <f ca="1">IF($E86="","",ROUNDDOWN(YEARFRAC($E86, 'Week 1 Roster'!$D$1-1, 1), 0))</f>
        <v/>
      </c>
      <c r="G86" s="13" t="str">
        <f ca="1">IF($E86="","",ROUNDDOWN(YEARFRAC($E86, 'Week 1 Roster'!$D$1+14, 1), 0))</f>
        <v/>
      </c>
      <c r="H86" s="13" t="str">
        <f t="shared" ca="1" si="25"/>
        <v/>
      </c>
      <c r="I86" s="13" t="str">
        <f ca="1">IF($A86=0,"",VLOOKUP($B86,Employees!$A:$G,6,FALSE))</f>
        <v/>
      </c>
      <c r="J86" s="13" t="str">
        <f ca="1">IF($A86=0,"",VLOOKUP($B86,Employees!$A:$G,7,FALSE))</f>
        <v/>
      </c>
      <c r="K86" s="13" t="str">
        <f ca="1">IF($A86=0,"",IF(ISNA(VLOOKUP(A86,'Week 1 Roster'!A:C,2,0)),VLOOKUP(A86,'Week 2 Roster'!A:C,2,0),VLOOKUP(A86,'Week 1 Roster'!A:C,2,0)))</f>
        <v/>
      </c>
      <c r="L86" s="13" t="str">
        <f ca="1">IF($A86=0,"",VLOOKUP(K86,Stores!A:B,2,0))</f>
        <v/>
      </c>
      <c r="M86" s="14">
        <f t="shared" ca="1" si="26"/>
        <v>0</v>
      </c>
      <c r="N86" s="14">
        <f t="shared" ca="1" si="27"/>
        <v>0</v>
      </c>
      <c r="O86" s="14">
        <f t="shared" ca="1" si="28"/>
        <v>0</v>
      </c>
      <c r="P86" s="14">
        <f t="shared" ca="1" si="29"/>
        <v>0</v>
      </c>
      <c r="Q86" s="14">
        <f t="shared" ca="1" si="30"/>
        <v>0</v>
      </c>
      <c r="R86" s="14">
        <f t="shared" ca="1" si="31"/>
        <v>0</v>
      </c>
      <c r="S86" s="28">
        <f t="shared" ca="1" si="32"/>
        <v>0</v>
      </c>
      <c r="T86" s="14">
        <f t="shared" ca="1" si="33"/>
        <v>0</v>
      </c>
      <c r="U86" s="14">
        <f t="shared" ca="1" si="34"/>
        <v>0</v>
      </c>
      <c r="V86" s="14">
        <f t="shared" ca="1" si="35"/>
        <v>0</v>
      </c>
      <c r="W86" s="14">
        <f t="shared" ca="1" si="36"/>
        <v>0</v>
      </c>
      <c r="Y86" s="17">
        <f ca="1">IF($A86=0,0,SUMIF('Week 1 Roster'!$AZ:$AZ,$B86,'Week 1 Roster'!$AE:$AE))</f>
        <v>0</v>
      </c>
      <c r="Z86" s="17">
        <f ca="1">IF($A86=0,0,SUMIF('Week 1 Roster'!$AZ:$AZ,$B86,'Week 1 Roster'!$AG:$AG))</f>
        <v>0</v>
      </c>
      <c r="AA86" s="17">
        <f ca="1">IF($A86=0,0,SUMIF('Week 1 Roster'!$AZ:$AZ,$B86,'Week 1 Roster'!$AI:$AI))</f>
        <v>0</v>
      </c>
      <c r="AB86" s="17">
        <f ca="1">IF($A86=0,0,SUMIF('Week 1 Roster'!$AZ:$AZ,$B86,'Week 1 Roster'!$AK:$AK))</f>
        <v>0</v>
      </c>
      <c r="AC86" s="17">
        <f ca="1">IF($A86=0,0,SUMIF('Week 1 Roster'!$AZ:$AZ,$B86,'Week 1 Roster'!$AM:$AM))</f>
        <v>0</v>
      </c>
      <c r="AD86" s="17">
        <f ca="1">IF($A86=0,0,SUMIF('Week 1 Roster'!$AZ:$AZ,$B86,'Week 1 Roster'!$AO:$AO))</f>
        <v>0</v>
      </c>
      <c r="AE86" s="38">
        <f ca="1">IF($A86=0,0,SUMIF('Week 1 Roster'!$AZ:$AZ,$B86,'Week 1 Roster'!$AP:$AP))</f>
        <v>0</v>
      </c>
      <c r="AF86" s="17">
        <f ca="1">IF($A86=0,0,SUMIF('Week 1 Roster'!$AZ:$AZ,$B86,'Week 1 Roster'!$AQ:$AQ))</f>
        <v>0</v>
      </c>
      <c r="AG86" s="17">
        <f ca="1">IF($A86=0,0,SUMIF('Week 1 Roster'!$AZ:$AZ,$B86,'Week 1 Roster'!$AR:$AR))</f>
        <v>0</v>
      </c>
      <c r="AH86" s="17">
        <f ca="1">IF($A86=0,0,SUMIF('Week 1 Roster'!$AZ:$AZ,$B86,'Week 1 Roster'!$AS:$AS))</f>
        <v>0</v>
      </c>
      <c r="AI86" s="17">
        <f t="shared" ca="1" si="37"/>
        <v>0</v>
      </c>
      <c r="AK86" s="17">
        <f ca="1">IF($A86=0,0,SUMIF('Week 2 Roster'!$AZ:$AZ,$B86,'Week 2 Roster'!$AE:$AE))</f>
        <v>0</v>
      </c>
      <c r="AL86" s="17">
        <f ca="1">IF($A86=0,0,SUMIF('Week 2 Roster'!$AZ:$AZ,$B86,'Week 2 Roster'!$AG:$AG))</f>
        <v>0</v>
      </c>
      <c r="AM86" s="17">
        <f ca="1">IF($A86=0,0,SUMIF('Week 2 Roster'!$AZ:$AZ,$B86,'Week 2 Roster'!$AI:$AI))</f>
        <v>0</v>
      </c>
      <c r="AN86" s="17">
        <f ca="1">IF($A86=0,0,SUMIF('Week 2 Roster'!$AZ:$AZ,$B86,'Week 2 Roster'!$AK:$AK))</f>
        <v>0</v>
      </c>
      <c r="AO86" s="17">
        <f ca="1">IF($A86=0,0,SUMIF('Week 2 Roster'!$AZ:$AZ,$B86,'Week 2 Roster'!$AM:$AM))</f>
        <v>0</v>
      </c>
      <c r="AP86" s="17">
        <f ca="1">IF($A86=0,0,SUMIF('Week 2 Roster'!$AZ:$AZ,$B86,'Week 2 Roster'!$AO:$AO))</f>
        <v>0</v>
      </c>
      <c r="AQ86" s="38">
        <f ca="1">IF($A86=0,0,SUMIF('Week 2 Roster'!$AZ:$AZ,$B86,'Week 2 Roster'!$AP:$AP))</f>
        <v>0</v>
      </c>
      <c r="AR86" s="17">
        <f ca="1">IF($A86=0,0,SUMIF('Week 2 Roster'!$AZ:$AZ,$B86,'Week 2 Roster'!$AQ:$AQ))</f>
        <v>0</v>
      </c>
      <c r="AS86" s="17">
        <f ca="1">IF($A86=0,0,SUMIF('Week 2 Roster'!$AZ:$AZ,$B86,'Week 2 Roster'!$AR:$AR))</f>
        <v>0</v>
      </c>
      <c r="AT86" s="17">
        <f ca="1">IF($A86=0,0,SUMIF('Week 2 Roster'!$AZ:$AZ,$B86,'Week 2 Roster'!$AS:$AS))</f>
        <v>0</v>
      </c>
      <c r="AU86" s="17">
        <f t="shared" ca="1" si="38"/>
        <v>0</v>
      </c>
      <c r="AV86" s="17"/>
      <c r="AW86" s="25" t="str">
        <f>'Week 1 Roster'!A86</f>
        <v/>
      </c>
      <c r="AX86" s="25" t="str">
        <f>'Week 2 Roster'!A86</f>
        <v/>
      </c>
    </row>
    <row r="87" spans="1:50">
      <c r="A87" s="16" cm="1">
        <f t="array" aca="1" ref="A87" ca="1">_xlfn.NUMBERVALUE(INDIRECT(TEXT(MIN(IF(($AW$2:$AX$300&lt;&gt;"")*(COUNTIF($B$1:B86,$AW$2:$AX$300)=0),ROW($2:$300)*100+COLUMN($AW:$AX),7^8)),"R0C00"),)&amp;"")</f>
        <v>0</v>
      </c>
      <c r="B87" s="28" t="str">
        <f t="shared" ca="1" si="24"/>
        <v/>
      </c>
      <c r="C87" s="28" t="str">
        <f ca="1">IF($A87=0,"",VLOOKUP($B87,Employees!$A:$G,2,FALSE))</f>
        <v/>
      </c>
      <c r="D87" s="28" t="str">
        <f ca="1">IF($A87=0,"",VLOOKUP($B87,Employees!$A:$G,3,FALSE))</f>
        <v/>
      </c>
      <c r="E87" s="26" t="str">
        <f ca="1">IF($A87=0,"",VLOOKUP($B87,Employees!$A:$G,5,FALSE))</f>
        <v/>
      </c>
      <c r="F87" s="13" t="str">
        <f ca="1">IF($E87="","",ROUNDDOWN(YEARFRAC($E87, 'Week 1 Roster'!$D$1-1, 1), 0))</f>
        <v/>
      </c>
      <c r="G87" s="13" t="str">
        <f ca="1">IF($E87="","",ROUNDDOWN(YEARFRAC($E87, 'Week 1 Roster'!$D$1+14, 1), 0))</f>
        <v/>
      </c>
      <c r="H87" s="13" t="str">
        <f t="shared" ca="1" si="25"/>
        <v/>
      </c>
      <c r="I87" s="13" t="str">
        <f ca="1">IF($A87=0,"",VLOOKUP($B87,Employees!$A:$G,6,FALSE))</f>
        <v/>
      </c>
      <c r="J87" s="13" t="str">
        <f ca="1">IF($A87=0,"",VLOOKUP($B87,Employees!$A:$G,7,FALSE))</f>
        <v/>
      </c>
      <c r="K87" s="13" t="str">
        <f ca="1">IF($A87=0,"",IF(ISNA(VLOOKUP(A87,'Week 1 Roster'!A:C,2,0)),VLOOKUP(A87,'Week 2 Roster'!A:C,2,0),VLOOKUP(A87,'Week 1 Roster'!A:C,2,0)))</f>
        <v/>
      </c>
      <c r="L87" s="13" t="str">
        <f ca="1">IF($A87=0,"",VLOOKUP(K87,Stores!A:B,2,0))</f>
        <v/>
      </c>
      <c r="M87" s="14">
        <f t="shared" ca="1" si="26"/>
        <v>0</v>
      </c>
      <c r="N87" s="14">
        <f t="shared" ca="1" si="27"/>
        <v>0</v>
      </c>
      <c r="O87" s="14">
        <f t="shared" ca="1" si="28"/>
        <v>0</v>
      </c>
      <c r="P87" s="14">
        <f t="shared" ca="1" si="29"/>
        <v>0</v>
      </c>
      <c r="Q87" s="14">
        <f t="shared" ca="1" si="30"/>
        <v>0</v>
      </c>
      <c r="R87" s="14">
        <f t="shared" ca="1" si="31"/>
        <v>0</v>
      </c>
      <c r="S87" s="28">
        <f t="shared" ca="1" si="32"/>
        <v>0</v>
      </c>
      <c r="T87" s="14">
        <f t="shared" ca="1" si="33"/>
        <v>0</v>
      </c>
      <c r="U87" s="14">
        <f t="shared" ca="1" si="34"/>
        <v>0</v>
      </c>
      <c r="V87" s="14">
        <f t="shared" ca="1" si="35"/>
        <v>0</v>
      </c>
      <c r="W87" s="14">
        <f t="shared" ca="1" si="36"/>
        <v>0</v>
      </c>
      <c r="Y87" s="17">
        <f ca="1">IF($A87=0,0,SUMIF('Week 1 Roster'!$AZ:$AZ,$B87,'Week 1 Roster'!$AE:$AE))</f>
        <v>0</v>
      </c>
      <c r="Z87" s="17">
        <f ca="1">IF($A87=0,0,SUMIF('Week 1 Roster'!$AZ:$AZ,$B87,'Week 1 Roster'!$AG:$AG))</f>
        <v>0</v>
      </c>
      <c r="AA87" s="17">
        <f ca="1">IF($A87=0,0,SUMIF('Week 1 Roster'!$AZ:$AZ,$B87,'Week 1 Roster'!$AI:$AI))</f>
        <v>0</v>
      </c>
      <c r="AB87" s="17">
        <f ca="1">IF($A87=0,0,SUMIF('Week 1 Roster'!$AZ:$AZ,$B87,'Week 1 Roster'!$AK:$AK))</f>
        <v>0</v>
      </c>
      <c r="AC87" s="17">
        <f ca="1">IF($A87=0,0,SUMIF('Week 1 Roster'!$AZ:$AZ,$B87,'Week 1 Roster'!$AM:$AM))</f>
        <v>0</v>
      </c>
      <c r="AD87" s="17">
        <f ca="1">IF($A87=0,0,SUMIF('Week 1 Roster'!$AZ:$AZ,$B87,'Week 1 Roster'!$AO:$AO))</f>
        <v>0</v>
      </c>
      <c r="AE87" s="38">
        <f ca="1">IF($A87=0,0,SUMIF('Week 1 Roster'!$AZ:$AZ,$B87,'Week 1 Roster'!$AP:$AP))</f>
        <v>0</v>
      </c>
      <c r="AF87" s="17">
        <f ca="1">IF($A87=0,0,SUMIF('Week 1 Roster'!$AZ:$AZ,$B87,'Week 1 Roster'!$AQ:$AQ))</f>
        <v>0</v>
      </c>
      <c r="AG87" s="17">
        <f ca="1">IF($A87=0,0,SUMIF('Week 1 Roster'!$AZ:$AZ,$B87,'Week 1 Roster'!$AR:$AR))</f>
        <v>0</v>
      </c>
      <c r="AH87" s="17">
        <f ca="1">IF($A87=0,0,SUMIF('Week 1 Roster'!$AZ:$AZ,$B87,'Week 1 Roster'!$AS:$AS))</f>
        <v>0</v>
      </c>
      <c r="AI87" s="17">
        <f t="shared" ca="1" si="37"/>
        <v>0</v>
      </c>
      <c r="AK87" s="17">
        <f ca="1">IF($A87=0,0,SUMIF('Week 2 Roster'!$AZ:$AZ,$B87,'Week 2 Roster'!$AE:$AE))</f>
        <v>0</v>
      </c>
      <c r="AL87" s="17">
        <f ca="1">IF($A87=0,0,SUMIF('Week 2 Roster'!$AZ:$AZ,$B87,'Week 2 Roster'!$AG:$AG))</f>
        <v>0</v>
      </c>
      <c r="AM87" s="17">
        <f ca="1">IF($A87=0,0,SUMIF('Week 2 Roster'!$AZ:$AZ,$B87,'Week 2 Roster'!$AI:$AI))</f>
        <v>0</v>
      </c>
      <c r="AN87" s="17">
        <f ca="1">IF($A87=0,0,SUMIF('Week 2 Roster'!$AZ:$AZ,$B87,'Week 2 Roster'!$AK:$AK))</f>
        <v>0</v>
      </c>
      <c r="AO87" s="17">
        <f ca="1">IF($A87=0,0,SUMIF('Week 2 Roster'!$AZ:$AZ,$B87,'Week 2 Roster'!$AM:$AM))</f>
        <v>0</v>
      </c>
      <c r="AP87" s="17">
        <f ca="1">IF($A87=0,0,SUMIF('Week 2 Roster'!$AZ:$AZ,$B87,'Week 2 Roster'!$AO:$AO))</f>
        <v>0</v>
      </c>
      <c r="AQ87" s="38">
        <f ca="1">IF($A87=0,0,SUMIF('Week 2 Roster'!$AZ:$AZ,$B87,'Week 2 Roster'!$AP:$AP))</f>
        <v>0</v>
      </c>
      <c r="AR87" s="17">
        <f ca="1">IF($A87=0,0,SUMIF('Week 2 Roster'!$AZ:$AZ,$B87,'Week 2 Roster'!$AQ:$AQ))</f>
        <v>0</v>
      </c>
      <c r="AS87" s="17">
        <f ca="1">IF($A87=0,0,SUMIF('Week 2 Roster'!$AZ:$AZ,$B87,'Week 2 Roster'!$AR:$AR))</f>
        <v>0</v>
      </c>
      <c r="AT87" s="17">
        <f ca="1">IF($A87=0,0,SUMIF('Week 2 Roster'!$AZ:$AZ,$B87,'Week 2 Roster'!$AS:$AS))</f>
        <v>0</v>
      </c>
      <c r="AU87" s="17">
        <f t="shared" ca="1" si="38"/>
        <v>0</v>
      </c>
      <c r="AV87" s="17"/>
      <c r="AW87" s="25" t="str">
        <f>'Week 1 Roster'!A87</f>
        <v/>
      </c>
      <c r="AX87" s="25" t="str">
        <f>'Week 2 Roster'!A87</f>
        <v/>
      </c>
    </row>
    <row r="88" spans="1:50">
      <c r="A88" s="16" cm="1">
        <f t="array" aca="1" ref="A88" ca="1">_xlfn.NUMBERVALUE(INDIRECT(TEXT(MIN(IF(($AW$2:$AX$300&lt;&gt;"")*(COUNTIF($B$1:B87,$AW$2:$AX$300)=0),ROW($2:$300)*100+COLUMN($AW:$AX),7^8)),"R0C00"),)&amp;"")</f>
        <v>0</v>
      </c>
      <c r="B88" s="28" t="str">
        <f t="shared" ca="1" si="24"/>
        <v/>
      </c>
      <c r="C88" s="28" t="str">
        <f ca="1">IF($A88=0,"",VLOOKUP($B88,Employees!$A:$G,2,FALSE))</f>
        <v/>
      </c>
      <c r="D88" s="28" t="str">
        <f ca="1">IF($A88=0,"",VLOOKUP($B88,Employees!$A:$G,3,FALSE))</f>
        <v/>
      </c>
      <c r="E88" s="26" t="str">
        <f ca="1">IF($A88=0,"",VLOOKUP($B88,Employees!$A:$G,5,FALSE))</f>
        <v/>
      </c>
      <c r="F88" s="13" t="str">
        <f ca="1">IF($E88="","",ROUNDDOWN(YEARFRAC($E88, 'Week 1 Roster'!$D$1-1, 1), 0))</f>
        <v/>
      </c>
      <c r="G88" s="13" t="str">
        <f ca="1">IF($E88="","",ROUNDDOWN(YEARFRAC($E88, 'Week 1 Roster'!$D$1+14, 1), 0))</f>
        <v/>
      </c>
      <c r="H88" s="13" t="str">
        <f t="shared" ca="1" si="25"/>
        <v/>
      </c>
      <c r="I88" s="13" t="str">
        <f ca="1">IF($A88=0,"",VLOOKUP($B88,Employees!$A:$G,6,FALSE))</f>
        <v/>
      </c>
      <c r="J88" s="13" t="str">
        <f ca="1">IF($A88=0,"",VLOOKUP($B88,Employees!$A:$G,7,FALSE))</f>
        <v/>
      </c>
      <c r="K88" s="13" t="str">
        <f ca="1">IF($A88=0,"",IF(ISNA(VLOOKUP(A88,'Week 1 Roster'!A:C,2,0)),VLOOKUP(A88,'Week 2 Roster'!A:C,2,0),VLOOKUP(A88,'Week 1 Roster'!A:C,2,0)))</f>
        <v/>
      </c>
      <c r="L88" s="13" t="str">
        <f ca="1">IF($A88=0,"",VLOOKUP(K88,Stores!A:B,2,0))</f>
        <v/>
      </c>
      <c r="M88" s="14">
        <f t="shared" ca="1" si="26"/>
        <v>0</v>
      </c>
      <c r="N88" s="14">
        <f t="shared" ca="1" si="27"/>
        <v>0</v>
      </c>
      <c r="O88" s="14">
        <f t="shared" ca="1" si="28"/>
        <v>0</v>
      </c>
      <c r="P88" s="14">
        <f t="shared" ca="1" si="29"/>
        <v>0</v>
      </c>
      <c r="Q88" s="14">
        <f t="shared" ca="1" si="30"/>
        <v>0</v>
      </c>
      <c r="R88" s="14">
        <f t="shared" ca="1" si="31"/>
        <v>0</v>
      </c>
      <c r="S88" s="28">
        <f t="shared" ca="1" si="32"/>
        <v>0</v>
      </c>
      <c r="T88" s="14">
        <f t="shared" ca="1" si="33"/>
        <v>0</v>
      </c>
      <c r="U88" s="14">
        <f t="shared" ca="1" si="34"/>
        <v>0</v>
      </c>
      <c r="V88" s="14">
        <f t="shared" ca="1" si="35"/>
        <v>0</v>
      </c>
      <c r="W88" s="14">
        <f t="shared" ca="1" si="36"/>
        <v>0</v>
      </c>
      <c r="Y88" s="17">
        <f ca="1">IF($A88=0,0,SUMIF('Week 1 Roster'!$AZ:$AZ,$B88,'Week 1 Roster'!$AE:$AE))</f>
        <v>0</v>
      </c>
      <c r="Z88" s="17">
        <f ca="1">IF($A88=0,0,SUMIF('Week 1 Roster'!$AZ:$AZ,$B88,'Week 1 Roster'!$AG:$AG))</f>
        <v>0</v>
      </c>
      <c r="AA88" s="17">
        <f ca="1">IF($A88=0,0,SUMIF('Week 1 Roster'!$AZ:$AZ,$B88,'Week 1 Roster'!$AI:$AI))</f>
        <v>0</v>
      </c>
      <c r="AB88" s="17">
        <f ca="1">IF($A88=0,0,SUMIF('Week 1 Roster'!$AZ:$AZ,$B88,'Week 1 Roster'!$AK:$AK))</f>
        <v>0</v>
      </c>
      <c r="AC88" s="17">
        <f ca="1">IF($A88=0,0,SUMIF('Week 1 Roster'!$AZ:$AZ,$B88,'Week 1 Roster'!$AM:$AM))</f>
        <v>0</v>
      </c>
      <c r="AD88" s="17">
        <f ca="1">IF($A88=0,0,SUMIF('Week 1 Roster'!$AZ:$AZ,$B88,'Week 1 Roster'!$AO:$AO))</f>
        <v>0</v>
      </c>
      <c r="AE88" s="38">
        <f ca="1">IF($A88=0,0,SUMIF('Week 1 Roster'!$AZ:$AZ,$B88,'Week 1 Roster'!$AP:$AP))</f>
        <v>0</v>
      </c>
      <c r="AF88" s="17">
        <f ca="1">IF($A88=0,0,SUMIF('Week 1 Roster'!$AZ:$AZ,$B88,'Week 1 Roster'!$AQ:$AQ))</f>
        <v>0</v>
      </c>
      <c r="AG88" s="17">
        <f ca="1">IF($A88=0,0,SUMIF('Week 1 Roster'!$AZ:$AZ,$B88,'Week 1 Roster'!$AR:$AR))</f>
        <v>0</v>
      </c>
      <c r="AH88" s="17">
        <f ca="1">IF($A88=0,0,SUMIF('Week 1 Roster'!$AZ:$AZ,$B88,'Week 1 Roster'!$AS:$AS))</f>
        <v>0</v>
      </c>
      <c r="AI88" s="17">
        <f t="shared" ca="1" si="37"/>
        <v>0</v>
      </c>
      <c r="AK88" s="17">
        <f ca="1">IF($A88=0,0,SUMIF('Week 2 Roster'!$AZ:$AZ,$B88,'Week 2 Roster'!$AE:$AE))</f>
        <v>0</v>
      </c>
      <c r="AL88" s="17">
        <f ca="1">IF($A88=0,0,SUMIF('Week 2 Roster'!$AZ:$AZ,$B88,'Week 2 Roster'!$AG:$AG))</f>
        <v>0</v>
      </c>
      <c r="AM88" s="17">
        <f ca="1">IF($A88=0,0,SUMIF('Week 2 Roster'!$AZ:$AZ,$B88,'Week 2 Roster'!$AI:$AI))</f>
        <v>0</v>
      </c>
      <c r="AN88" s="17">
        <f ca="1">IF($A88=0,0,SUMIF('Week 2 Roster'!$AZ:$AZ,$B88,'Week 2 Roster'!$AK:$AK))</f>
        <v>0</v>
      </c>
      <c r="AO88" s="17">
        <f ca="1">IF($A88=0,0,SUMIF('Week 2 Roster'!$AZ:$AZ,$B88,'Week 2 Roster'!$AM:$AM))</f>
        <v>0</v>
      </c>
      <c r="AP88" s="17">
        <f ca="1">IF($A88=0,0,SUMIF('Week 2 Roster'!$AZ:$AZ,$B88,'Week 2 Roster'!$AO:$AO))</f>
        <v>0</v>
      </c>
      <c r="AQ88" s="38">
        <f ca="1">IF($A88=0,0,SUMIF('Week 2 Roster'!$AZ:$AZ,$B88,'Week 2 Roster'!$AP:$AP))</f>
        <v>0</v>
      </c>
      <c r="AR88" s="17">
        <f ca="1">IF($A88=0,0,SUMIF('Week 2 Roster'!$AZ:$AZ,$B88,'Week 2 Roster'!$AQ:$AQ))</f>
        <v>0</v>
      </c>
      <c r="AS88" s="17">
        <f ca="1">IF($A88=0,0,SUMIF('Week 2 Roster'!$AZ:$AZ,$B88,'Week 2 Roster'!$AR:$AR))</f>
        <v>0</v>
      </c>
      <c r="AT88" s="17">
        <f ca="1">IF($A88=0,0,SUMIF('Week 2 Roster'!$AZ:$AZ,$B88,'Week 2 Roster'!$AS:$AS))</f>
        <v>0</v>
      </c>
      <c r="AU88" s="17">
        <f t="shared" ca="1" si="38"/>
        <v>0</v>
      </c>
      <c r="AV88" s="17"/>
      <c r="AW88" s="25" t="str">
        <f>'Week 1 Roster'!A88</f>
        <v/>
      </c>
      <c r="AX88" s="25" t="str">
        <f>'Week 2 Roster'!A88</f>
        <v/>
      </c>
    </row>
    <row r="89" spans="1:50">
      <c r="A89" s="16" cm="1">
        <f t="array" aca="1" ref="A89" ca="1">_xlfn.NUMBERVALUE(INDIRECT(TEXT(MIN(IF(($AW$2:$AX$300&lt;&gt;"")*(COUNTIF($B$1:B88,$AW$2:$AX$300)=0),ROW($2:$300)*100+COLUMN($AW:$AX),7^8)),"R0C00"),)&amp;"")</f>
        <v>0</v>
      </c>
      <c r="B89" s="28" t="str">
        <f t="shared" ca="1" si="24"/>
        <v/>
      </c>
      <c r="C89" s="28" t="str">
        <f ca="1">IF($A89=0,"",VLOOKUP($B89,Employees!$A:$G,2,FALSE))</f>
        <v/>
      </c>
      <c r="D89" s="28" t="str">
        <f ca="1">IF($A89=0,"",VLOOKUP($B89,Employees!$A:$G,3,FALSE))</f>
        <v/>
      </c>
      <c r="E89" s="26" t="str">
        <f ca="1">IF($A89=0,"",VLOOKUP($B89,Employees!$A:$G,5,FALSE))</f>
        <v/>
      </c>
      <c r="F89" s="13" t="str">
        <f ca="1">IF($E89="","",ROUNDDOWN(YEARFRAC($E89, 'Week 1 Roster'!$D$1-1, 1), 0))</f>
        <v/>
      </c>
      <c r="G89" s="13" t="str">
        <f ca="1">IF($E89="","",ROUNDDOWN(YEARFRAC($E89, 'Week 1 Roster'!$D$1+14, 1), 0))</f>
        <v/>
      </c>
      <c r="H89" s="13" t="str">
        <f t="shared" ca="1" si="25"/>
        <v/>
      </c>
      <c r="I89" s="13" t="str">
        <f ca="1">IF($A89=0,"",VLOOKUP($B89,Employees!$A:$G,6,FALSE))</f>
        <v/>
      </c>
      <c r="J89" s="13" t="str">
        <f ca="1">IF($A89=0,"",VLOOKUP($B89,Employees!$A:$G,7,FALSE))</f>
        <v/>
      </c>
      <c r="K89" s="13" t="str">
        <f ca="1">IF($A89=0,"",IF(ISNA(VLOOKUP(A89,'Week 1 Roster'!A:C,2,0)),VLOOKUP(A89,'Week 2 Roster'!A:C,2,0),VLOOKUP(A89,'Week 1 Roster'!A:C,2,0)))</f>
        <v/>
      </c>
      <c r="L89" s="13" t="str">
        <f ca="1">IF($A89=0,"",VLOOKUP(K89,Stores!A:B,2,0))</f>
        <v/>
      </c>
      <c r="M89" s="14">
        <f t="shared" ca="1" si="26"/>
        <v>0</v>
      </c>
      <c r="N89" s="14">
        <f t="shared" ca="1" si="27"/>
        <v>0</v>
      </c>
      <c r="O89" s="14">
        <f t="shared" ca="1" si="28"/>
        <v>0</v>
      </c>
      <c r="P89" s="14">
        <f t="shared" ca="1" si="29"/>
        <v>0</v>
      </c>
      <c r="Q89" s="14">
        <f t="shared" ca="1" si="30"/>
        <v>0</v>
      </c>
      <c r="R89" s="14">
        <f t="shared" ca="1" si="31"/>
        <v>0</v>
      </c>
      <c r="S89" s="28">
        <f t="shared" ca="1" si="32"/>
        <v>0</v>
      </c>
      <c r="T89" s="14">
        <f t="shared" ca="1" si="33"/>
        <v>0</v>
      </c>
      <c r="U89" s="14">
        <f t="shared" ca="1" si="34"/>
        <v>0</v>
      </c>
      <c r="V89" s="14">
        <f t="shared" ca="1" si="35"/>
        <v>0</v>
      </c>
      <c r="W89" s="14">
        <f t="shared" ca="1" si="36"/>
        <v>0</v>
      </c>
      <c r="Y89" s="17">
        <f ca="1">IF($A89=0,0,SUMIF('Week 1 Roster'!$AZ:$AZ,$B89,'Week 1 Roster'!$AE:$AE))</f>
        <v>0</v>
      </c>
      <c r="Z89" s="17">
        <f ca="1">IF($A89=0,0,SUMIF('Week 1 Roster'!$AZ:$AZ,$B89,'Week 1 Roster'!$AG:$AG))</f>
        <v>0</v>
      </c>
      <c r="AA89" s="17">
        <f ca="1">IF($A89=0,0,SUMIF('Week 1 Roster'!$AZ:$AZ,$B89,'Week 1 Roster'!$AI:$AI))</f>
        <v>0</v>
      </c>
      <c r="AB89" s="17">
        <f ca="1">IF($A89=0,0,SUMIF('Week 1 Roster'!$AZ:$AZ,$B89,'Week 1 Roster'!$AK:$AK))</f>
        <v>0</v>
      </c>
      <c r="AC89" s="17">
        <f ca="1">IF($A89=0,0,SUMIF('Week 1 Roster'!$AZ:$AZ,$B89,'Week 1 Roster'!$AM:$AM))</f>
        <v>0</v>
      </c>
      <c r="AD89" s="17">
        <f ca="1">IF($A89=0,0,SUMIF('Week 1 Roster'!$AZ:$AZ,$B89,'Week 1 Roster'!$AO:$AO))</f>
        <v>0</v>
      </c>
      <c r="AE89" s="38">
        <f ca="1">IF($A89=0,0,SUMIF('Week 1 Roster'!$AZ:$AZ,$B89,'Week 1 Roster'!$AP:$AP))</f>
        <v>0</v>
      </c>
      <c r="AF89" s="17">
        <f ca="1">IF($A89=0,0,SUMIF('Week 1 Roster'!$AZ:$AZ,$B89,'Week 1 Roster'!$AQ:$AQ))</f>
        <v>0</v>
      </c>
      <c r="AG89" s="17">
        <f ca="1">IF($A89=0,0,SUMIF('Week 1 Roster'!$AZ:$AZ,$B89,'Week 1 Roster'!$AR:$AR))</f>
        <v>0</v>
      </c>
      <c r="AH89" s="17">
        <f ca="1">IF($A89=0,0,SUMIF('Week 1 Roster'!$AZ:$AZ,$B89,'Week 1 Roster'!$AS:$AS))</f>
        <v>0</v>
      </c>
      <c r="AI89" s="17">
        <f t="shared" ca="1" si="37"/>
        <v>0</v>
      </c>
      <c r="AK89" s="17">
        <f ca="1">IF($A89=0,0,SUMIF('Week 2 Roster'!$AZ:$AZ,$B89,'Week 2 Roster'!$AE:$AE))</f>
        <v>0</v>
      </c>
      <c r="AL89" s="17">
        <f ca="1">IF($A89=0,0,SUMIF('Week 2 Roster'!$AZ:$AZ,$B89,'Week 2 Roster'!$AG:$AG))</f>
        <v>0</v>
      </c>
      <c r="AM89" s="17">
        <f ca="1">IF($A89=0,0,SUMIF('Week 2 Roster'!$AZ:$AZ,$B89,'Week 2 Roster'!$AI:$AI))</f>
        <v>0</v>
      </c>
      <c r="AN89" s="17">
        <f ca="1">IF($A89=0,0,SUMIF('Week 2 Roster'!$AZ:$AZ,$B89,'Week 2 Roster'!$AK:$AK))</f>
        <v>0</v>
      </c>
      <c r="AO89" s="17">
        <f ca="1">IF($A89=0,0,SUMIF('Week 2 Roster'!$AZ:$AZ,$B89,'Week 2 Roster'!$AM:$AM))</f>
        <v>0</v>
      </c>
      <c r="AP89" s="17">
        <f ca="1">IF($A89=0,0,SUMIF('Week 2 Roster'!$AZ:$AZ,$B89,'Week 2 Roster'!$AO:$AO))</f>
        <v>0</v>
      </c>
      <c r="AQ89" s="38">
        <f ca="1">IF($A89=0,0,SUMIF('Week 2 Roster'!$AZ:$AZ,$B89,'Week 2 Roster'!$AP:$AP))</f>
        <v>0</v>
      </c>
      <c r="AR89" s="17">
        <f ca="1">IF($A89=0,0,SUMIF('Week 2 Roster'!$AZ:$AZ,$B89,'Week 2 Roster'!$AQ:$AQ))</f>
        <v>0</v>
      </c>
      <c r="AS89" s="17">
        <f ca="1">IF($A89=0,0,SUMIF('Week 2 Roster'!$AZ:$AZ,$B89,'Week 2 Roster'!$AR:$AR))</f>
        <v>0</v>
      </c>
      <c r="AT89" s="17">
        <f ca="1">IF($A89=0,0,SUMIF('Week 2 Roster'!$AZ:$AZ,$B89,'Week 2 Roster'!$AS:$AS))</f>
        <v>0</v>
      </c>
      <c r="AU89" s="17">
        <f t="shared" ca="1" si="38"/>
        <v>0</v>
      </c>
      <c r="AV89" s="17"/>
      <c r="AW89" s="25" t="str">
        <f>'Week 1 Roster'!A89</f>
        <v/>
      </c>
      <c r="AX89" s="25" t="str">
        <f>'Week 2 Roster'!A89</f>
        <v/>
      </c>
    </row>
    <row r="90" spans="1:50">
      <c r="A90" s="16" cm="1">
        <f t="array" aca="1" ref="A90" ca="1">_xlfn.NUMBERVALUE(INDIRECT(TEXT(MIN(IF(($AW$2:$AX$300&lt;&gt;"")*(COUNTIF($B$1:B89,$AW$2:$AX$300)=0),ROW($2:$300)*100+COLUMN($AW:$AX),7^8)),"R0C00"),)&amp;"")</f>
        <v>0</v>
      </c>
      <c r="B90" s="28" t="str">
        <f t="shared" ca="1" si="24"/>
        <v/>
      </c>
      <c r="C90" s="28" t="str">
        <f ca="1">IF($A90=0,"",VLOOKUP($B90,Employees!$A:$G,2,FALSE))</f>
        <v/>
      </c>
      <c r="D90" s="28" t="str">
        <f ca="1">IF($A90=0,"",VLOOKUP($B90,Employees!$A:$G,3,FALSE))</f>
        <v/>
      </c>
      <c r="E90" s="26" t="str">
        <f ca="1">IF($A90=0,"",VLOOKUP($B90,Employees!$A:$G,5,FALSE))</f>
        <v/>
      </c>
      <c r="F90" s="13" t="str">
        <f ca="1">IF($E90="","",ROUNDDOWN(YEARFRAC($E90, 'Week 1 Roster'!$D$1-1, 1), 0))</f>
        <v/>
      </c>
      <c r="G90" s="13" t="str">
        <f ca="1">IF($E90="","",ROUNDDOWN(YEARFRAC($E90, 'Week 1 Roster'!$D$1+14, 1), 0))</f>
        <v/>
      </c>
      <c r="H90" s="13" t="str">
        <f t="shared" ca="1" si="25"/>
        <v/>
      </c>
      <c r="I90" s="13" t="str">
        <f ca="1">IF($A90=0,"",VLOOKUP($B90,Employees!$A:$G,6,FALSE))</f>
        <v/>
      </c>
      <c r="J90" s="13" t="str">
        <f ca="1">IF($A90=0,"",VLOOKUP($B90,Employees!$A:$G,7,FALSE))</f>
        <v/>
      </c>
      <c r="K90" s="13" t="str">
        <f ca="1">IF($A90=0,"",IF(ISNA(VLOOKUP(A90,'Week 1 Roster'!A:C,2,0)),VLOOKUP(A90,'Week 2 Roster'!A:C,2,0),VLOOKUP(A90,'Week 1 Roster'!A:C,2,0)))</f>
        <v/>
      </c>
      <c r="L90" s="13" t="str">
        <f ca="1">IF($A90=0,"",VLOOKUP(K90,Stores!A:B,2,0))</f>
        <v/>
      </c>
      <c r="M90" s="14">
        <f t="shared" ca="1" si="26"/>
        <v>0</v>
      </c>
      <c r="N90" s="14">
        <f t="shared" ca="1" si="27"/>
        <v>0</v>
      </c>
      <c r="O90" s="14">
        <f t="shared" ca="1" si="28"/>
        <v>0</v>
      </c>
      <c r="P90" s="14">
        <f t="shared" ca="1" si="29"/>
        <v>0</v>
      </c>
      <c r="Q90" s="14">
        <f t="shared" ca="1" si="30"/>
        <v>0</v>
      </c>
      <c r="R90" s="14">
        <f t="shared" ca="1" si="31"/>
        <v>0</v>
      </c>
      <c r="S90" s="28">
        <f t="shared" ca="1" si="32"/>
        <v>0</v>
      </c>
      <c r="T90" s="14">
        <f t="shared" ca="1" si="33"/>
        <v>0</v>
      </c>
      <c r="U90" s="14">
        <f t="shared" ca="1" si="34"/>
        <v>0</v>
      </c>
      <c r="V90" s="14">
        <f t="shared" ca="1" si="35"/>
        <v>0</v>
      </c>
      <c r="W90" s="14">
        <f t="shared" ca="1" si="36"/>
        <v>0</v>
      </c>
      <c r="Y90" s="17">
        <f ca="1">IF($A90=0,0,SUMIF('Week 1 Roster'!$AZ:$AZ,$B90,'Week 1 Roster'!$AE:$AE))</f>
        <v>0</v>
      </c>
      <c r="Z90" s="17">
        <f ca="1">IF($A90=0,0,SUMIF('Week 1 Roster'!$AZ:$AZ,$B90,'Week 1 Roster'!$AG:$AG))</f>
        <v>0</v>
      </c>
      <c r="AA90" s="17">
        <f ca="1">IF($A90=0,0,SUMIF('Week 1 Roster'!$AZ:$AZ,$B90,'Week 1 Roster'!$AI:$AI))</f>
        <v>0</v>
      </c>
      <c r="AB90" s="17">
        <f ca="1">IF($A90=0,0,SUMIF('Week 1 Roster'!$AZ:$AZ,$B90,'Week 1 Roster'!$AK:$AK))</f>
        <v>0</v>
      </c>
      <c r="AC90" s="17">
        <f ca="1">IF($A90=0,0,SUMIF('Week 1 Roster'!$AZ:$AZ,$B90,'Week 1 Roster'!$AM:$AM))</f>
        <v>0</v>
      </c>
      <c r="AD90" s="17">
        <f ca="1">IF($A90=0,0,SUMIF('Week 1 Roster'!$AZ:$AZ,$B90,'Week 1 Roster'!$AO:$AO))</f>
        <v>0</v>
      </c>
      <c r="AE90" s="38">
        <f ca="1">IF($A90=0,0,SUMIF('Week 1 Roster'!$AZ:$AZ,$B90,'Week 1 Roster'!$AP:$AP))</f>
        <v>0</v>
      </c>
      <c r="AF90" s="17">
        <f ca="1">IF($A90=0,0,SUMIF('Week 1 Roster'!$AZ:$AZ,$B90,'Week 1 Roster'!$AQ:$AQ))</f>
        <v>0</v>
      </c>
      <c r="AG90" s="17">
        <f ca="1">IF($A90=0,0,SUMIF('Week 1 Roster'!$AZ:$AZ,$B90,'Week 1 Roster'!$AR:$AR))</f>
        <v>0</v>
      </c>
      <c r="AH90" s="17">
        <f ca="1">IF($A90=0,0,SUMIF('Week 1 Roster'!$AZ:$AZ,$B90,'Week 1 Roster'!$AS:$AS))</f>
        <v>0</v>
      </c>
      <c r="AI90" s="17">
        <f t="shared" ca="1" si="37"/>
        <v>0</v>
      </c>
      <c r="AK90" s="17">
        <f ca="1">IF($A90=0,0,SUMIF('Week 2 Roster'!$AZ:$AZ,$B90,'Week 2 Roster'!$AE:$AE))</f>
        <v>0</v>
      </c>
      <c r="AL90" s="17">
        <f ca="1">IF($A90=0,0,SUMIF('Week 2 Roster'!$AZ:$AZ,$B90,'Week 2 Roster'!$AG:$AG))</f>
        <v>0</v>
      </c>
      <c r="AM90" s="17">
        <f ca="1">IF($A90=0,0,SUMIF('Week 2 Roster'!$AZ:$AZ,$B90,'Week 2 Roster'!$AI:$AI))</f>
        <v>0</v>
      </c>
      <c r="AN90" s="17">
        <f ca="1">IF($A90=0,0,SUMIF('Week 2 Roster'!$AZ:$AZ,$B90,'Week 2 Roster'!$AK:$AK))</f>
        <v>0</v>
      </c>
      <c r="AO90" s="17">
        <f ca="1">IF($A90=0,0,SUMIF('Week 2 Roster'!$AZ:$AZ,$B90,'Week 2 Roster'!$AM:$AM))</f>
        <v>0</v>
      </c>
      <c r="AP90" s="17">
        <f ca="1">IF($A90=0,0,SUMIF('Week 2 Roster'!$AZ:$AZ,$B90,'Week 2 Roster'!$AO:$AO))</f>
        <v>0</v>
      </c>
      <c r="AQ90" s="38">
        <f ca="1">IF($A90=0,0,SUMIF('Week 2 Roster'!$AZ:$AZ,$B90,'Week 2 Roster'!$AP:$AP))</f>
        <v>0</v>
      </c>
      <c r="AR90" s="17">
        <f ca="1">IF($A90=0,0,SUMIF('Week 2 Roster'!$AZ:$AZ,$B90,'Week 2 Roster'!$AQ:$AQ))</f>
        <v>0</v>
      </c>
      <c r="AS90" s="17">
        <f ca="1">IF($A90=0,0,SUMIF('Week 2 Roster'!$AZ:$AZ,$B90,'Week 2 Roster'!$AR:$AR))</f>
        <v>0</v>
      </c>
      <c r="AT90" s="17">
        <f ca="1">IF($A90=0,0,SUMIF('Week 2 Roster'!$AZ:$AZ,$B90,'Week 2 Roster'!$AS:$AS))</f>
        <v>0</v>
      </c>
      <c r="AU90" s="17">
        <f t="shared" ca="1" si="38"/>
        <v>0</v>
      </c>
      <c r="AV90" s="17"/>
      <c r="AW90" s="25" t="str">
        <f>'Week 1 Roster'!A90</f>
        <v/>
      </c>
      <c r="AX90" s="25" t="str">
        <f>'Week 2 Roster'!A90</f>
        <v/>
      </c>
    </row>
    <row r="91" spans="1:50">
      <c r="A91" s="16" cm="1">
        <f t="array" aca="1" ref="A91" ca="1">_xlfn.NUMBERVALUE(INDIRECT(TEXT(MIN(IF(($AW$2:$AX$300&lt;&gt;"")*(COUNTIF($B$1:B90,$AW$2:$AX$300)=0),ROW($2:$300)*100+COLUMN($AW:$AX),7^8)),"R0C00"),)&amp;"")</f>
        <v>0</v>
      </c>
      <c r="B91" s="28" t="str">
        <f t="shared" ca="1" si="24"/>
        <v/>
      </c>
      <c r="C91" s="28" t="str">
        <f ca="1">IF($A91=0,"",VLOOKUP($B91,Employees!$A:$G,2,FALSE))</f>
        <v/>
      </c>
      <c r="D91" s="28" t="str">
        <f ca="1">IF($A91=0,"",VLOOKUP($B91,Employees!$A:$G,3,FALSE))</f>
        <v/>
      </c>
      <c r="E91" s="26" t="str">
        <f ca="1">IF($A91=0,"",VLOOKUP($B91,Employees!$A:$G,5,FALSE))</f>
        <v/>
      </c>
      <c r="F91" s="13" t="str">
        <f ca="1">IF($E91="","",ROUNDDOWN(YEARFRAC($E91, 'Week 1 Roster'!$D$1-1, 1), 0))</f>
        <v/>
      </c>
      <c r="G91" s="13" t="str">
        <f ca="1">IF($E91="","",ROUNDDOWN(YEARFRAC($E91, 'Week 1 Roster'!$D$1+14, 1), 0))</f>
        <v/>
      </c>
      <c r="H91" s="13" t="str">
        <f t="shared" ca="1" si="25"/>
        <v/>
      </c>
      <c r="I91" s="13" t="str">
        <f ca="1">IF($A91=0,"",VLOOKUP($B91,Employees!$A:$G,6,FALSE))</f>
        <v/>
      </c>
      <c r="J91" s="13" t="str">
        <f ca="1">IF($A91=0,"",VLOOKUP($B91,Employees!$A:$G,7,FALSE))</f>
        <v/>
      </c>
      <c r="K91" s="13" t="str">
        <f ca="1">IF($A91=0,"",IF(ISNA(VLOOKUP(A91,'Week 1 Roster'!A:C,2,0)),VLOOKUP(A91,'Week 2 Roster'!A:C,2,0),VLOOKUP(A91,'Week 1 Roster'!A:C,2,0)))</f>
        <v/>
      </c>
      <c r="L91" s="13" t="str">
        <f ca="1">IF($A91=0,"",VLOOKUP(K91,Stores!A:B,2,0))</f>
        <v/>
      </c>
      <c r="M91" s="14">
        <f t="shared" ca="1" si="26"/>
        <v>0</v>
      </c>
      <c r="N91" s="14">
        <f t="shared" ca="1" si="27"/>
        <v>0</v>
      </c>
      <c r="O91" s="14">
        <f t="shared" ca="1" si="28"/>
        <v>0</v>
      </c>
      <c r="P91" s="14">
        <f t="shared" ca="1" si="29"/>
        <v>0</v>
      </c>
      <c r="Q91" s="14">
        <f t="shared" ca="1" si="30"/>
        <v>0</v>
      </c>
      <c r="R91" s="14">
        <f t="shared" ca="1" si="31"/>
        <v>0</v>
      </c>
      <c r="S91" s="28">
        <f t="shared" ca="1" si="32"/>
        <v>0</v>
      </c>
      <c r="T91" s="14">
        <f t="shared" ca="1" si="33"/>
        <v>0</v>
      </c>
      <c r="U91" s="14">
        <f t="shared" ca="1" si="34"/>
        <v>0</v>
      </c>
      <c r="V91" s="14">
        <f t="shared" ca="1" si="35"/>
        <v>0</v>
      </c>
      <c r="W91" s="14">
        <f t="shared" ca="1" si="36"/>
        <v>0</v>
      </c>
      <c r="Y91" s="17">
        <f ca="1">IF($A91=0,0,SUMIF('Week 1 Roster'!$AZ:$AZ,$B91,'Week 1 Roster'!$AE:$AE))</f>
        <v>0</v>
      </c>
      <c r="Z91" s="17">
        <f ca="1">IF($A91=0,0,SUMIF('Week 1 Roster'!$AZ:$AZ,$B91,'Week 1 Roster'!$AG:$AG))</f>
        <v>0</v>
      </c>
      <c r="AA91" s="17">
        <f ca="1">IF($A91=0,0,SUMIF('Week 1 Roster'!$AZ:$AZ,$B91,'Week 1 Roster'!$AI:$AI))</f>
        <v>0</v>
      </c>
      <c r="AB91" s="17">
        <f ca="1">IF($A91=0,0,SUMIF('Week 1 Roster'!$AZ:$AZ,$B91,'Week 1 Roster'!$AK:$AK))</f>
        <v>0</v>
      </c>
      <c r="AC91" s="17">
        <f ca="1">IF($A91=0,0,SUMIF('Week 1 Roster'!$AZ:$AZ,$B91,'Week 1 Roster'!$AM:$AM))</f>
        <v>0</v>
      </c>
      <c r="AD91" s="17">
        <f ca="1">IF($A91=0,0,SUMIF('Week 1 Roster'!$AZ:$AZ,$B91,'Week 1 Roster'!$AO:$AO))</f>
        <v>0</v>
      </c>
      <c r="AE91" s="38">
        <f ca="1">IF($A91=0,0,SUMIF('Week 1 Roster'!$AZ:$AZ,$B91,'Week 1 Roster'!$AP:$AP))</f>
        <v>0</v>
      </c>
      <c r="AF91" s="17">
        <f ca="1">IF($A91=0,0,SUMIF('Week 1 Roster'!$AZ:$AZ,$B91,'Week 1 Roster'!$AQ:$AQ))</f>
        <v>0</v>
      </c>
      <c r="AG91" s="17">
        <f ca="1">IF($A91=0,0,SUMIF('Week 1 Roster'!$AZ:$AZ,$B91,'Week 1 Roster'!$AR:$AR))</f>
        <v>0</v>
      </c>
      <c r="AH91" s="17">
        <f ca="1">IF($A91=0,0,SUMIF('Week 1 Roster'!$AZ:$AZ,$B91,'Week 1 Roster'!$AS:$AS))</f>
        <v>0</v>
      </c>
      <c r="AI91" s="17">
        <f t="shared" ca="1" si="37"/>
        <v>0</v>
      </c>
      <c r="AK91" s="17">
        <f ca="1">IF($A91=0,0,SUMIF('Week 2 Roster'!$AZ:$AZ,$B91,'Week 2 Roster'!$AE:$AE))</f>
        <v>0</v>
      </c>
      <c r="AL91" s="17">
        <f ca="1">IF($A91=0,0,SUMIF('Week 2 Roster'!$AZ:$AZ,$B91,'Week 2 Roster'!$AG:$AG))</f>
        <v>0</v>
      </c>
      <c r="AM91" s="17">
        <f ca="1">IF($A91=0,0,SUMIF('Week 2 Roster'!$AZ:$AZ,$B91,'Week 2 Roster'!$AI:$AI))</f>
        <v>0</v>
      </c>
      <c r="AN91" s="17">
        <f ca="1">IF($A91=0,0,SUMIF('Week 2 Roster'!$AZ:$AZ,$B91,'Week 2 Roster'!$AK:$AK))</f>
        <v>0</v>
      </c>
      <c r="AO91" s="17">
        <f ca="1">IF($A91=0,0,SUMIF('Week 2 Roster'!$AZ:$AZ,$B91,'Week 2 Roster'!$AM:$AM))</f>
        <v>0</v>
      </c>
      <c r="AP91" s="17">
        <f ca="1">IF($A91=0,0,SUMIF('Week 2 Roster'!$AZ:$AZ,$B91,'Week 2 Roster'!$AO:$AO))</f>
        <v>0</v>
      </c>
      <c r="AQ91" s="38">
        <f ca="1">IF($A91=0,0,SUMIF('Week 2 Roster'!$AZ:$AZ,$B91,'Week 2 Roster'!$AP:$AP))</f>
        <v>0</v>
      </c>
      <c r="AR91" s="17">
        <f ca="1">IF($A91=0,0,SUMIF('Week 2 Roster'!$AZ:$AZ,$B91,'Week 2 Roster'!$AQ:$AQ))</f>
        <v>0</v>
      </c>
      <c r="AS91" s="17">
        <f ca="1">IF($A91=0,0,SUMIF('Week 2 Roster'!$AZ:$AZ,$B91,'Week 2 Roster'!$AR:$AR))</f>
        <v>0</v>
      </c>
      <c r="AT91" s="17">
        <f ca="1">IF($A91=0,0,SUMIF('Week 2 Roster'!$AZ:$AZ,$B91,'Week 2 Roster'!$AS:$AS))</f>
        <v>0</v>
      </c>
      <c r="AU91" s="17">
        <f t="shared" ca="1" si="38"/>
        <v>0</v>
      </c>
      <c r="AV91" s="17"/>
      <c r="AW91" s="25" t="str">
        <f>'Week 1 Roster'!A91</f>
        <v/>
      </c>
      <c r="AX91" s="25" t="str">
        <f>'Week 2 Roster'!A91</f>
        <v/>
      </c>
    </row>
    <row r="92" spans="1:50">
      <c r="A92" s="16" cm="1">
        <f t="array" aca="1" ref="A92" ca="1">_xlfn.NUMBERVALUE(INDIRECT(TEXT(MIN(IF(($AW$2:$AX$300&lt;&gt;"")*(COUNTIF($B$1:B91,$AW$2:$AX$300)=0),ROW($2:$300)*100+COLUMN($AW:$AX),7^8)),"R0C00"),)&amp;"")</f>
        <v>0</v>
      </c>
      <c r="B92" s="28" t="str">
        <f t="shared" ca="1" si="24"/>
        <v/>
      </c>
      <c r="C92" s="28" t="str">
        <f ca="1">IF($A92=0,"",VLOOKUP($B92,Employees!$A:$G,2,FALSE))</f>
        <v/>
      </c>
      <c r="D92" s="28" t="str">
        <f ca="1">IF($A92=0,"",VLOOKUP($B92,Employees!$A:$G,3,FALSE))</f>
        <v/>
      </c>
      <c r="E92" s="26" t="str">
        <f ca="1">IF($A92=0,"",VLOOKUP($B92,Employees!$A:$G,5,FALSE))</f>
        <v/>
      </c>
      <c r="F92" s="13" t="str">
        <f ca="1">IF($E92="","",ROUNDDOWN(YEARFRAC($E92, 'Week 1 Roster'!$D$1-1, 1), 0))</f>
        <v/>
      </c>
      <c r="G92" s="13" t="str">
        <f ca="1">IF($E92="","",ROUNDDOWN(YEARFRAC($E92, 'Week 1 Roster'!$D$1+14, 1), 0))</f>
        <v/>
      </c>
      <c r="H92" s="13" t="str">
        <f t="shared" ca="1" si="25"/>
        <v/>
      </c>
      <c r="I92" s="13" t="str">
        <f ca="1">IF($A92=0,"",VLOOKUP($B92,Employees!$A:$G,6,FALSE))</f>
        <v/>
      </c>
      <c r="J92" s="13" t="str">
        <f ca="1">IF($A92=0,"",VLOOKUP($B92,Employees!$A:$G,7,FALSE))</f>
        <v/>
      </c>
      <c r="K92" s="13" t="str">
        <f ca="1">IF($A92=0,"",IF(ISNA(VLOOKUP(A92,'Week 1 Roster'!A:C,2,0)),VLOOKUP(A92,'Week 2 Roster'!A:C,2,0),VLOOKUP(A92,'Week 1 Roster'!A:C,2,0)))</f>
        <v/>
      </c>
      <c r="L92" s="13" t="str">
        <f ca="1">IF($A92=0,"",VLOOKUP(K92,Stores!A:B,2,0))</f>
        <v/>
      </c>
      <c r="M92" s="14">
        <f t="shared" ca="1" si="26"/>
        <v>0</v>
      </c>
      <c r="N92" s="14">
        <f t="shared" ca="1" si="27"/>
        <v>0</v>
      </c>
      <c r="O92" s="14">
        <f t="shared" ca="1" si="28"/>
        <v>0</v>
      </c>
      <c r="P92" s="14">
        <f t="shared" ca="1" si="29"/>
        <v>0</v>
      </c>
      <c r="Q92" s="14">
        <f t="shared" ca="1" si="30"/>
        <v>0</v>
      </c>
      <c r="R92" s="14">
        <f t="shared" ca="1" si="31"/>
        <v>0</v>
      </c>
      <c r="S92" s="28">
        <f t="shared" ca="1" si="32"/>
        <v>0</v>
      </c>
      <c r="T92" s="14">
        <f t="shared" ca="1" si="33"/>
        <v>0</v>
      </c>
      <c r="U92" s="14">
        <f t="shared" ca="1" si="34"/>
        <v>0</v>
      </c>
      <c r="V92" s="14">
        <f t="shared" ca="1" si="35"/>
        <v>0</v>
      </c>
      <c r="W92" s="14">
        <f t="shared" ca="1" si="36"/>
        <v>0</v>
      </c>
      <c r="Y92" s="17">
        <f ca="1">IF($A92=0,0,SUMIF('Week 1 Roster'!$AZ:$AZ,$B92,'Week 1 Roster'!$AE:$AE))</f>
        <v>0</v>
      </c>
      <c r="Z92" s="17">
        <f ca="1">IF($A92=0,0,SUMIF('Week 1 Roster'!$AZ:$AZ,$B92,'Week 1 Roster'!$AG:$AG))</f>
        <v>0</v>
      </c>
      <c r="AA92" s="17">
        <f ca="1">IF($A92=0,0,SUMIF('Week 1 Roster'!$AZ:$AZ,$B92,'Week 1 Roster'!$AI:$AI))</f>
        <v>0</v>
      </c>
      <c r="AB92" s="17">
        <f ca="1">IF($A92=0,0,SUMIF('Week 1 Roster'!$AZ:$AZ,$B92,'Week 1 Roster'!$AK:$AK))</f>
        <v>0</v>
      </c>
      <c r="AC92" s="17">
        <f ca="1">IF($A92=0,0,SUMIF('Week 1 Roster'!$AZ:$AZ,$B92,'Week 1 Roster'!$AM:$AM))</f>
        <v>0</v>
      </c>
      <c r="AD92" s="17">
        <f ca="1">IF($A92=0,0,SUMIF('Week 1 Roster'!$AZ:$AZ,$B92,'Week 1 Roster'!$AO:$AO))</f>
        <v>0</v>
      </c>
      <c r="AE92" s="38">
        <f ca="1">IF($A92=0,0,SUMIF('Week 1 Roster'!$AZ:$AZ,$B92,'Week 1 Roster'!$AP:$AP))</f>
        <v>0</v>
      </c>
      <c r="AF92" s="17">
        <f ca="1">IF($A92=0,0,SUMIF('Week 1 Roster'!$AZ:$AZ,$B92,'Week 1 Roster'!$AQ:$AQ))</f>
        <v>0</v>
      </c>
      <c r="AG92" s="17">
        <f ca="1">IF($A92=0,0,SUMIF('Week 1 Roster'!$AZ:$AZ,$B92,'Week 1 Roster'!$AR:$AR))</f>
        <v>0</v>
      </c>
      <c r="AH92" s="17">
        <f ca="1">IF($A92=0,0,SUMIF('Week 1 Roster'!$AZ:$AZ,$B92,'Week 1 Roster'!$AS:$AS))</f>
        <v>0</v>
      </c>
      <c r="AI92" s="17">
        <f t="shared" ca="1" si="37"/>
        <v>0</v>
      </c>
      <c r="AK92" s="17">
        <f ca="1">IF($A92=0,0,SUMIF('Week 2 Roster'!$AZ:$AZ,$B92,'Week 2 Roster'!$AE:$AE))</f>
        <v>0</v>
      </c>
      <c r="AL92" s="17">
        <f ca="1">IF($A92=0,0,SUMIF('Week 2 Roster'!$AZ:$AZ,$B92,'Week 2 Roster'!$AG:$AG))</f>
        <v>0</v>
      </c>
      <c r="AM92" s="17">
        <f ca="1">IF($A92=0,0,SUMIF('Week 2 Roster'!$AZ:$AZ,$B92,'Week 2 Roster'!$AI:$AI))</f>
        <v>0</v>
      </c>
      <c r="AN92" s="17">
        <f ca="1">IF($A92=0,0,SUMIF('Week 2 Roster'!$AZ:$AZ,$B92,'Week 2 Roster'!$AK:$AK))</f>
        <v>0</v>
      </c>
      <c r="AO92" s="17">
        <f ca="1">IF($A92=0,0,SUMIF('Week 2 Roster'!$AZ:$AZ,$B92,'Week 2 Roster'!$AM:$AM))</f>
        <v>0</v>
      </c>
      <c r="AP92" s="17">
        <f ca="1">IF($A92=0,0,SUMIF('Week 2 Roster'!$AZ:$AZ,$B92,'Week 2 Roster'!$AO:$AO))</f>
        <v>0</v>
      </c>
      <c r="AQ92" s="38">
        <f ca="1">IF($A92=0,0,SUMIF('Week 2 Roster'!$AZ:$AZ,$B92,'Week 2 Roster'!$AP:$AP))</f>
        <v>0</v>
      </c>
      <c r="AR92" s="17">
        <f ca="1">IF($A92=0,0,SUMIF('Week 2 Roster'!$AZ:$AZ,$B92,'Week 2 Roster'!$AQ:$AQ))</f>
        <v>0</v>
      </c>
      <c r="AS92" s="17">
        <f ca="1">IF($A92=0,0,SUMIF('Week 2 Roster'!$AZ:$AZ,$B92,'Week 2 Roster'!$AR:$AR))</f>
        <v>0</v>
      </c>
      <c r="AT92" s="17">
        <f ca="1">IF($A92=0,0,SUMIF('Week 2 Roster'!$AZ:$AZ,$B92,'Week 2 Roster'!$AS:$AS))</f>
        <v>0</v>
      </c>
      <c r="AU92" s="17">
        <f t="shared" ca="1" si="38"/>
        <v>0</v>
      </c>
      <c r="AV92" s="17"/>
      <c r="AW92" s="25" t="str">
        <f>'Week 1 Roster'!A92</f>
        <v/>
      </c>
      <c r="AX92" s="25" t="str">
        <f>'Week 2 Roster'!A92</f>
        <v/>
      </c>
    </row>
    <row r="93" spans="1:50">
      <c r="A93" s="16" cm="1">
        <f t="array" aca="1" ref="A93" ca="1">_xlfn.NUMBERVALUE(INDIRECT(TEXT(MIN(IF(($AW$2:$AX$300&lt;&gt;"")*(COUNTIF($B$1:B92,$AW$2:$AX$300)=0),ROW($2:$300)*100+COLUMN($AW:$AX),7^8)),"R0C00"),)&amp;"")</f>
        <v>0</v>
      </c>
      <c r="B93" s="28" t="str">
        <f t="shared" ca="1" si="24"/>
        <v/>
      </c>
      <c r="C93" s="28" t="str">
        <f ca="1">IF($A93=0,"",VLOOKUP($B93,Employees!$A:$G,2,FALSE))</f>
        <v/>
      </c>
      <c r="D93" s="28" t="str">
        <f ca="1">IF($A93=0,"",VLOOKUP($B93,Employees!$A:$G,3,FALSE))</f>
        <v/>
      </c>
      <c r="E93" s="26" t="str">
        <f ca="1">IF($A93=0,"",VLOOKUP($B93,Employees!$A:$G,5,FALSE))</f>
        <v/>
      </c>
      <c r="F93" s="13" t="str">
        <f ca="1">IF($E93="","",ROUNDDOWN(YEARFRAC($E93, 'Week 1 Roster'!$D$1-1, 1), 0))</f>
        <v/>
      </c>
      <c r="G93" s="13" t="str">
        <f ca="1">IF($E93="","",ROUNDDOWN(YEARFRAC($E93, 'Week 1 Roster'!$D$1+14, 1), 0))</f>
        <v/>
      </c>
      <c r="H93" s="13" t="str">
        <f t="shared" ca="1" si="25"/>
        <v/>
      </c>
      <c r="I93" s="13" t="str">
        <f ca="1">IF($A93=0,"",VLOOKUP($B93,Employees!$A:$G,6,FALSE))</f>
        <v/>
      </c>
      <c r="J93" s="13" t="str">
        <f ca="1">IF($A93=0,"",VLOOKUP($B93,Employees!$A:$G,7,FALSE))</f>
        <v/>
      </c>
      <c r="K93" s="13" t="str">
        <f ca="1">IF($A93=0,"",IF(ISNA(VLOOKUP(A93,'Week 1 Roster'!A:C,2,0)),VLOOKUP(A93,'Week 2 Roster'!A:C,2,0),VLOOKUP(A93,'Week 1 Roster'!A:C,2,0)))</f>
        <v/>
      </c>
      <c r="L93" s="13" t="str">
        <f ca="1">IF($A93=0,"",VLOOKUP(K93,Stores!A:B,2,0))</f>
        <v/>
      </c>
      <c r="M93" s="14">
        <f t="shared" ca="1" si="26"/>
        <v>0</v>
      </c>
      <c r="N93" s="14">
        <f t="shared" ca="1" si="27"/>
        <v>0</v>
      </c>
      <c r="O93" s="14">
        <f t="shared" ca="1" si="28"/>
        <v>0</v>
      </c>
      <c r="P93" s="14">
        <f t="shared" ca="1" si="29"/>
        <v>0</v>
      </c>
      <c r="Q93" s="14">
        <f t="shared" ca="1" si="30"/>
        <v>0</v>
      </c>
      <c r="R93" s="14">
        <f t="shared" ca="1" si="31"/>
        <v>0</v>
      </c>
      <c r="S93" s="28">
        <f t="shared" ca="1" si="32"/>
        <v>0</v>
      </c>
      <c r="T93" s="14">
        <f t="shared" ca="1" si="33"/>
        <v>0</v>
      </c>
      <c r="U93" s="14">
        <f t="shared" ca="1" si="34"/>
        <v>0</v>
      </c>
      <c r="V93" s="14">
        <f t="shared" ca="1" si="35"/>
        <v>0</v>
      </c>
      <c r="W93" s="14">
        <f t="shared" ca="1" si="36"/>
        <v>0</v>
      </c>
      <c r="Y93" s="17">
        <f ca="1">IF($A93=0,0,SUMIF('Week 1 Roster'!$AZ:$AZ,$B93,'Week 1 Roster'!$AE:$AE))</f>
        <v>0</v>
      </c>
      <c r="Z93" s="17">
        <f ca="1">IF($A93=0,0,SUMIF('Week 1 Roster'!$AZ:$AZ,$B93,'Week 1 Roster'!$AG:$AG))</f>
        <v>0</v>
      </c>
      <c r="AA93" s="17">
        <f ca="1">IF($A93=0,0,SUMIF('Week 1 Roster'!$AZ:$AZ,$B93,'Week 1 Roster'!$AI:$AI))</f>
        <v>0</v>
      </c>
      <c r="AB93" s="17">
        <f ca="1">IF($A93=0,0,SUMIF('Week 1 Roster'!$AZ:$AZ,$B93,'Week 1 Roster'!$AK:$AK))</f>
        <v>0</v>
      </c>
      <c r="AC93" s="17">
        <f ca="1">IF($A93=0,0,SUMIF('Week 1 Roster'!$AZ:$AZ,$B93,'Week 1 Roster'!$AM:$AM))</f>
        <v>0</v>
      </c>
      <c r="AD93" s="17">
        <f ca="1">IF($A93=0,0,SUMIF('Week 1 Roster'!$AZ:$AZ,$B93,'Week 1 Roster'!$AO:$AO))</f>
        <v>0</v>
      </c>
      <c r="AE93" s="38">
        <f ca="1">IF($A93=0,0,SUMIF('Week 1 Roster'!$AZ:$AZ,$B93,'Week 1 Roster'!$AP:$AP))</f>
        <v>0</v>
      </c>
      <c r="AF93" s="17">
        <f ca="1">IF($A93=0,0,SUMIF('Week 1 Roster'!$AZ:$AZ,$B93,'Week 1 Roster'!$AQ:$AQ))</f>
        <v>0</v>
      </c>
      <c r="AG93" s="17">
        <f ca="1">IF($A93=0,0,SUMIF('Week 1 Roster'!$AZ:$AZ,$B93,'Week 1 Roster'!$AR:$AR))</f>
        <v>0</v>
      </c>
      <c r="AH93" s="17">
        <f ca="1">IF($A93=0,0,SUMIF('Week 1 Roster'!$AZ:$AZ,$B93,'Week 1 Roster'!$AS:$AS))</f>
        <v>0</v>
      </c>
      <c r="AI93" s="17">
        <f t="shared" ca="1" si="37"/>
        <v>0</v>
      </c>
      <c r="AK93" s="17">
        <f ca="1">IF($A93=0,0,SUMIF('Week 2 Roster'!$AZ:$AZ,$B93,'Week 2 Roster'!$AE:$AE))</f>
        <v>0</v>
      </c>
      <c r="AL93" s="17">
        <f ca="1">IF($A93=0,0,SUMIF('Week 2 Roster'!$AZ:$AZ,$B93,'Week 2 Roster'!$AG:$AG))</f>
        <v>0</v>
      </c>
      <c r="AM93" s="17">
        <f ca="1">IF($A93=0,0,SUMIF('Week 2 Roster'!$AZ:$AZ,$B93,'Week 2 Roster'!$AI:$AI))</f>
        <v>0</v>
      </c>
      <c r="AN93" s="17">
        <f ca="1">IF($A93=0,0,SUMIF('Week 2 Roster'!$AZ:$AZ,$B93,'Week 2 Roster'!$AK:$AK))</f>
        <v>0</v>
      </c>
      <c r="AO93" s="17">
        <f ca="1">IF($A93=0,0,SUMIF('Week 2 Roster'!$AZ:$AZ,$B93,'Week 2 Roster'!$AM:$AM))</f>
        <v>0</v>
      </c>
      <c r="AP93" s="17">
        <f ca="1">IF($A93=0,0,SUMIF('Week 2 Roster'!$AZ:$AZ,$B93,'Week 2 Roster'!$AO:$AO))</f>
        <v>0</v>
      </c>
      <c r="AQ93" s="38">
        <f ca="1">IF($A93=0,0,SUMIF('Week 2 Roster'!$AZ:$AZ,$B93,'Week 2 Roster'!$AP:$AP))</f>
        <v>0</v>
      </c>
      <c r="AR93" s="17">
        <f ca="1">IF($A93=0,0,SUMIF('Week 2 Roster'!$AZ:$AZ,$B93,'Week 2 Roster'!$AQ:$AQ))</f>
        <v>0</v>
      </c>
      <c r="AS93" s="17">
        <f ca="1">IF($A93=0,0,SUMIF('Week 2 Roster'!$AZ:$AZ,$B93,'Week 2 Roster'!$AR:$AR))</f>
        <v>0</v>
      </c>
      <c r="AT93" s="17">
        <f ca="1">IF($A93=0,0,SUMIF('Week 2 Roster'!$AZ:$AZ,$B93,'Week 2 Roster'!$AS:$AS))</f>
        <v>0</v>
      </c>
      <c r="AU93" s="17">
        <f t="shared" ca="1" si="38"/>
        <v>0</v>
      </c>
      <c r="AV93" s="17"/>
      <c r="AW93" s="25" t="str">
        <f>'Week 1 Roster'!A93</f>
        <v/>
      </c>
      <c r="AX93" s="25" t="str">
        <f>'Week 2 Roster'!A93</f>
        <v/>
      </c>
    </row>
    <row r="94" spans="1:50">
      <c r="A94" s="16" cm="1">
        <f t="array" aca="1" ref="A94" ca="1">_xlfn.NUMBERVALUE(INDIRECT(TEXT(MIN(IF(($AW$2:$AX$300&lt;&gt;"")*(COUNTIF($B$1:B93,$AW$2:$AX$300)=0),ROW($2:$300)*100+COLUMN($AW:$AX),7^8)),"R0C00"),)&amp;"")</f>
        <v>0</v>
      </c>
      <c r="B94" s="28" t="str">
        <f t="shared" ca="1" si="24"/>
        <v/>
      </c>
      <c r="C94" s="28" t="str">
        <f ca="1">IF($A94=0,"",VLOOKUP($B94,Employees!$A:$G,2,FALSE))</f>
        <v/>
      </c>
      <c r="D94" s="28" t="str">
        <f ca="1">IF($A94=0,"",VLOOKUP($B94,Employees!$A:$G,3,FALSE))</f>
        <v/>
      </c>
      <c r="E94" s="26" t="str">
        <f ca="1">IF($A94=0,"",VLOOKUP($B94,Employees!$A:$G,5,FALSE))</f>
        <v/>
      </c>
      <c r="F94" s="13" t="str">
        <f ca="1">IF($E94="","",ROUNDDOWN(YEARFRAC($E94, 'Week 1 Roster'!$D$1-1, 1), 0))</f>
        <v/>
      </c>
      <c r="G94" s="13" t="str">
        <f ca="1">IF($E94="","",ROUNDDOWN(YEARFRAC($E94, 'Week 1 Roster'!$D$1+14, 1), 0))</f>
        <v/>
      </c>
      <c r="H94" s="13" t="str">
        <f t="shared" ca="1" si="25"/>
        <v/>
      </c>
      <c r="I94" s="13" t="str">
        <f ca="1">IF($A94=0,"",VLOOKUP($B94,Employees!$A:$G,6,FALSE))</f>
        <v/>
      </c>
      <c r="J94" s="13" t="str">
        <f ca="1">IF($A94=0,"",VLOOKUP($B94,Employees!$A:$G,7,FALSE))</f>
        <v/>
      </c>
      <c r="K94" s="13" t="str">
        <f ca="1">IF($A94=0,"",IF(ISNA(VLOOKUP(A94,'Week 1 Roster'!A:C,2,0)),VLOOKUP(A94,'Week 2 Roster'!A:C,2,0),VLOOKUP(A94,'Week 1 Roster'!A:C,2,0)))</f>
        <v/>
      </c>
      <c r="L94" s="13" t="str">
        <f ca="1">IF($A94=0,"",VLOOKUP(K94,Stores!A:B,2,0))</f>
        <v/>
      </c>
      <c r="M94" s="14">
        <f t="shared" ca="1" si="26"/>
        <v>0</v>
      </c>
      <c r="N94" s="14">
        <f t="shared" ca="1" si="27"/>
        <v>0</v>
      </c>
      <c r="O94" s="14">
        <f t="shared" ca="1" si="28"/>
        <v>0</v>
      </c>
      <c r="P94" s="14">
        <f t="shared" ca="1" si="29"/>
        <v>0</v>
      </c>
      <c r="Q94" s="14">
        <f t="shared" ca="1" si="30"/>
        <v>0</v>
      </c>
      <c r="R94" s="14">
        <f t="shared" ca="1" si="31"/>
        <v>0</v>
      </c>
      <c r="S94" s="28">
        <f t="shared" ca="1" si="32"/>
        <v>0</v>
      </c>
      <c r="T94" s="14">
        <f t="shared" ca="1" si="33"/>
        <v>0</v>
      </c>
      <c r="U94" s="14">
        <f t="shared" ca="1" si="34"/>
        <v>0</v>
      </c>
      <c r="V94" s="14">
        <f t="shared" ca="1" si="35"/>
        <v>0</v>
      </c>
      <c r="W94" s="14">
        <f t="shared" ca="1" si="36"/>
        <v>0</v>
      </c>
      <c r="Y94" s="17">
        <f ca="1">IF($A94=0,0,SUMIF('Week 1 Roster'!$AZ:$AZ,$B94,'Week 1 Roster'!$AE:$AE))</f>
        <v>0</v>
      </c>
      <c r="Z94" s="17">
        <f ca="1">IF($A94=0,0,SUMIF('Week 1 Roster'!$AZ:$AZ,$B94,'Week 1 Roster'!$AG:$AG))</f>
        <v>0</v>
      </c>
      <c r="AA94" s="17">
        <f ca="1">IF($A94=0,0,SUMIF('Week 1 Roster'!$AZ:$AZ,$B94,'Week 1 Roster'!$AI:$AI))</f>
        <v>0</v>
      </c>
      <c r="AB94" s="17">
        <f ca="1">IF($A94=0,0,SUMIF('Week 1 Roster'!$AZ:$AZ,$B94,'Week 1 Roster'!$AK:$AK))</f>
        <v>0</v>
      </c>
      <c r="AC94" s="17">
        <f ca="1">IF($A94=0,0,SUMIF('Week 1 Roster'!$AZ:$AZ,$B94,'Week 1 Roster'!$AM:$AM))</f>
        <v>0</v>
      </c>
      <c r="AD94" s="17">
        <f ca="1">IF($A94=0,0,SUMIF('Week 1 Roster'!$AZ:$AZ,$B94,'Week 1 Roster'!$AO:$AO))</f>
        <v>0</v>
      </c>
      <c r="AE94" s="38">
        <f ca="1">IF($A94=0,0,SUMIF('Week 1 Roster'!$AZ:$AZ,$B94,'Week 1 Roster'!$AP:$AP))</f>
        <v>0</v>
      </c>
      <c r="AF94" s="17">
        <f ca="1">IF($A94=0,0,SUMIF('Week 1 Roster'!$AZ:$AZ,$B94,'Week 1 Roster'!$AQ:$AQ))</f>
        <v>0</v>
      </c>
      <c r="AG94" s="17">
        <f ca="1">IF($A94=0,0,SUMIF('Week 1 Roster'!$AZ:$AZ,$B94,'Week 1 Roster'!$AR:$AR))</f>
        <v>0</v>
      </c>
      <c r="AH94" s="17">
        <f ca="1">IF($A94=0,0,SUMIF('Week 1 Roster'!$AZ:$AZ,$B94,'Week 1 Roster'!$AS:$AS))</f>
        <v>0</v>
      </c>
      <c r="AI94" s="17">
        <f t="shared" ca="1" si="37"/>
        <v>0</v>
      </c>
      <c r="AK94" s="17">
        <f ca="1">IF($A94=0,0,SUMIF('Week 2 Roster'!$AZ:$AZ,$B94,'Week 2 Roster'!$AE:$AE))</f>
        <v>0</v>
      </c>
      <c r="AL94" s="17">
        <f ca="1">IF($A94=0,0,SUMIF('Week 2 Roster'!$AZ:$AZ,$B94,'Week 2 Roster'!$AG:$AG))</f>
        <v>0</v>
      </c>
      <c r="AM94" s="17">
        <f ca="1">IF($A94=0,0,SUMIF('Week 2 Roster'!$AZ:$AZ,$B94,'Week 2 Roster'!$AI:$AI))</f>
        <v>0</v>
      </c>
      <c r="AN94" s="17">
        <f ca="1">IF($A94=0,0,SUMIF('Week 2 Roster'!$AZ:$AZ,$B94,'Week 2 Roster'!$AK:$AK))</f>
        <v>0</v>
      </c>
      <c r="AO94" s="17">
        <f ca="1">IF($A94=0,0,SUMIF('Week 2 Roster'!$AZ:$AZ,$B94,'Week 2 Roster'!$AM:$AM))</f>
        <v>0</v>
      </c>
      <c r="AP94" s="17">
        <f ca="1">IF($A94=0,0,SUMIF('Week 2 Roster'!$AZ:$AZ,$B94,'Week 2 Roster'!$AO:$AO))</f>
        <v>0</v>
      </c>
      <c r="AQ94" s="38">
        <f ca="1">IF($A94=0,0,SUMIF('Week 2 Roster'!$AZ:$AZ,$B94,'Week 2 Roster'!$AP:$AP))</f>
        <v>0</v>
      </c>
      <c r="AR94" s="17">
        <f ca="1">IF($A94=0,0,SUMIF('Week 2 Roster'!$AZ:$AZ,$B94,'Week 2 Roster'!$AQ:$AQ))</f>
        <v>0</v>
      </c>
      <c r="AS94" s="17">
        <f ca="1">IF($A94=0,0,SUMIF('Week 2 Roster'!$AZ:$AZ,$B94,'Week 2 Roster'!$AR:$AR))</f>
        <v>0</v>
      </c>
      <c r="AT94" s="17">
        <f ca="1">IF($A94=0,0,SUMIF('Week 2 Roster'!$AZ:$AZ,$B94,'Week 2 Roster'!$AS:$AS))</f>
        <v>0</v>
      </c>
      <c r="AU94" s="17">
        <f t="shared" ca="1" si="38"/>
        <v>0</v>
      </c>
      <c r="AV94" s="17"/>
      <c r="AW94" s="25" t="str">
        <f>'Week 1 Roster'!A94</f>
        <v/>
      </c>
      <c r="AX94" s="25" t="str">
        <f>'Week 2 Roster'!A94</f>
        <v/>
      </c>
    </row>
    <row r="95" spans="1:50">
      <c r="A95" s="16" cm="1">
        <f t="array" aca="1" ref="A95" ca="1">_xlfn.NUMBERVALUE(INDIRECT(TEXT(MIN(IF(($AW$2:$AX$300&lt;&gt;"")*(COUNTIF($B$1:B94,$AW$2:$AX$300)=0),ROW($2:$300)*100+COLUMN($AW:$AX),7^8)),"R0C00"),)&amp;"")</f>
        <v>0</v>
      </c>
      <c r="B95" s="28" t="str">
        <f t="shared" ca="1" si="24"/>
        <v/>
      </c>
      <c r="C95" s="28" t="str">
        <f ca="1">IF($A95=0,"",VLOOKUP($B95,Employees!$A:$G,2,FALSE))</f>
        <v/>
      </c>
      <c r="D95" s="28" t="str">
        <f ca="1">IF($A95=0,"",VLOOKUP($B95,Employees!$A:$G,3,FALSE))</f>
        <v/>
      </c>
      <c r="E95" s="26" t="str">
        <f ca="1">IF($A95=0,"",VLOOKUP($B95,Employees!$A:$G,5,FALSE))</f>
        <v/>
      </c>
      <c r="F95" s="13" t="str">
        <f ca="1">IF($E95="","",ROUNDDOWN(YEARFRAC($E95, 'Week 1 Roster'!$D$1-1, 1), 0))</f>
        <v/>
      </c>
      <c r="G95" s="13" t="str">
        <f ca="1">IF($E95="","",ROUNDDOWN(YEARFRAC($E95, 'Week 1 Roster'!$D$1+14, 1), 0))</f>
        <v/>
      </c>
      <c r="H95" s="13" t="str">
        <f t="shared" ca="1" si="25"/>
        <v/>
      </c>
      <c r="I95" s="13" t="str">
        <f ca="1">IF($A95=0,"",VLOOKUP($B95,Employees!$A:$G,6,FALSE))</f>
        <v/>
      </c>
      <c r="J95" s="13" t="str">
        <f ca="1">IF($A95=0,"",VLOOKUP($B95,Employees!$A:$G,7,FALSE))</f>
        <v/>
      </c>
      <c r="K95" s="13" t="str">
        <f ca="1">IF($A95=0,"",IF(ISNA(VLOOKUP(A95,'Week 1 Roster'!A:C,2,0)),VLOOKUP(A95,'Week 2 Roster'!A:C,2,0),VLOOKUP(A95,'Week 1 Roster'!A:C,2,0)))</f>
        <v/>
      </c>
      <c r="L95" s="13" t="str">
        <f ca="1">IF($A95=0,"",VLOOKUP(K95,Stores!A:B,2,0))</f>
        <v/>
      </c>
      <c r="M95" s="14">
        <f t="shared" ca="1" si="26"/>
        <v>0</v>
      </c>
      <c r="N95" s="14">
        <f t="shared" ca="1" si="27"/>
        <v>0</v>
      </c>
      <c r="O95" s="14">
        <f t="shared" ca="1" si="28"/>
        <v>0</v>
      </c>
      <c r="P95" s="14">
        <f t="shared" ca="1" si="29"/>
        <v>0</v>
      </c>
      <c r="Q95" s="14">
        <f t="shared" ca="1" si="30"/>
        <v>0</v>
      </c>
      <c r="R95" s="14">
        <f t="shared" ca="1" si="31"/>
        <v>0</v>
      </c>
      <c r="S95" s="28">
        <f t="shared" ca="1" si="32"/>
        <v>0</v>
      </c>
      <c r="T95" s="14">
        <f t="shared" ca="1" si="33"/>
        <v>0</v>
      </c>
      <c r="U95" s="14">
        <f t="shared" ca="1" si="34"/>
        <v>0</v>
      </c>
      <c r="V95" s="14">
        <f t="shared" ca="1" si="35"/>
        <v>0</v>
      </c>
      <c r="W95" s="14">
        <f t="shared" ca="1" si="36"/>
        <v>0</v>
      </c>
      <c r="Y95" s="17">
        <f ca="1">IF($A95=0,0,SUMIF('Week 1 Roster'!$AZ:$AZ,$B95,'Week 1 Roster'!$AE:$AE))</f>
        <v>0</v>
      </c>
      <c r="Z95" s="17">
        <f ca="1">IF($A95=0,0,SUMIF('Week 1 Roster'!$AZ:$AZ,$B95,'Week 1 Roster'!$AG:$AG))</f>
        <v>0</v>
      </c>
      <c r="AA95" s="17">
        <f ca="1">IF($A95=0,0,SUMIF('Week 1 Roster'!$AZ:$AZ,$B95,'Week 1 Roster'!$AI:$AI))</f>
        <v>0</v>
      </c>
      <c r="AB95" s="17">
        <f ca="1">IF($A95=0,0,SUMIF('Week 1 Roster'!$AZ:$AZ,$B95,'Week 1 Roster'!$AK:$AK))</f>
        <v>0</v>
      </c>
      <c r="AC95" s="17">
        <f ca="1">IF($A95=0,0,SUMIF('Week 1 Roster'!$AZ:$AZ,$B95,'Week 1 Roster'!$AM:$AM))</f>
        <v>0</v>
      </c>
      <c r="AD95" s="17">
        <f ca="1">IF($A95=0,0,SUMIF('Week 1 Roster'!$AZ:$AZ,$B95,'Week 1 Roster'!$AO:$AO))</f>
        <v>0</v>
      </c>
      <c r="AE95" s="38">
        <f ca="1">IF($A95=0,0,SUMIF('Week 1 Roster'!$AZ:$AZ,$B95,'Week 1 Roster'!$AP:$AP))</f>
        <v>0</v>
      </c>
      <c r="AF95" s="17">
        <f ca="1">IF($A95=0,0,SUMIF('Week 1 Roster'!$AZ:$AZ,$B95,'Week 1 Roster'!$AQ:$AQ))</f>
        <v>0</v>
      </c>
      <c r="AG95" s="17">
        <f ca="1">IF($A95=0,0,SUMIF('Week 1 Roster'!$AZ:$AZ,$B95,'Week 1 Roster'!$AR:$AR))</f>
        <v>0</v>
      </c>
      <c r="AH95" s="17">
        <f ca="1">IF($A95=0,0,SUMIF('Week 1 Roster'!$AZ:$AZ,$B95,'Week 1 Roster'!$AS:$AS))</f>
        <v>0</v>
      </c>
      <c r="AI95" s="17">
        <f t="shared" ca="1" si="37"/>
        <v>0</v>
      </c>
      <c r="AK95" s="17">
        <f ca="1">IF($A95=0,0,SUMIF('Week 2 Roster'!$AZ:$AZ,$B95,'Week 2 Roster'!$AE:$AE))</f>
        <v>0</v>
      </c>
      <c r="AL95" s="17">
        <f ca="1">IF($A95=0,0,SUMIF('Week 2 Roster'!$AZ:$AZ,$B95,'Week 2 Roster'!$AG:$AG))</f>
        <v>0</v>
      </c>
      <c r="AM95" s="17">
        <f ca="1">IF($A95=0,0,SUMIF('Week 2 Roster'!$AZ:$AZ,$B95,'Week 2 Roster'!$AI:$AI))</f>
        <v>0</v>
      </c>
      <c r="AN95" s="17">
        <f ca="1">IF($A95=0,0,SUMIF('Week 2 Roster'!$AZ:$AZ,$B95,'Week 2 Roster'!$AK:$AK))</f>
        <v>0</v>
      </c>
      <c r="AO95" s="17">
        <f ca="1">IF($A95=0,0,SUMIF('Week 2 Roster'!$AZ:$AZ,$B95,'Week 2 Roster'!$AM:$AM))</f>
        <v>0</v>
      </c>
      <c r="AP95" s="17">
        <f ca="1">IF($A95=0,0,SUMIF('Week 2 Roster'!$AZ:$AZ,$B95,'Week 2 Roster'!$AO:$AO))</f>
        <v>0</v>
      </c>
      <c r="AQ95" s="38">
        <f ca="1">IF($A95=0,0,SUMIF('Week 2 Roster'!$AZ:$AZ,$B95,'Week 2 Roster'!$AP:$AP))</f>
        <v>0</v>
      </c>
      <c r="AR95" s="17">
        <f ca="1">IF($A95=0,0,SUMIF('Week 2 Roster'!$AZ:$AZ,$B95,'Week 2 Roster'!$AQ:$AQ))</f>
        <v>0</v>
      </c>
      <c r="AS95" s="17">
        <f ca="1">IF($A95=0,0,SUMIF('Week 2 Roster'!$AZ:$AZ,$B95,'Week 2 Roster'!$AR:$AR))</f>
        <v>0</v>
      </c>
      <c r="AT95" s="17">
        <f ca="1">IF($A95=0,0,SUMIF('Week 2 Roster'!$AZ:$AZ,$B95,'Week 2 Roster'!$AS:$AS))</f>
        <v>0</v>
      </c>
      <c r="AU95" s="17">
        <f t="shared" ca="1" si="38"/>
        <v>0</v>
      </c>
      <c r="AV95" s="17"/>
      <c r="AW95" s="25" t="str">
        <f>'Week 1 Roster'!A95</f>
        <v/>
      </c>
      <c r="AX95" s="25" t="str">
        <f>'Week 2 Roster'!A95</f>
        <v/>
      </c>
    </row>
    <row r="96" spans="1:50">
      <c r="A96" s="16" cm="1">
        <f t="array" aca="1" ref="A96" ca="1">_xlfn.NUMBERVALUE(INDIRECT(TEXT(MIN(IF(($AW$2:$AX$300&lt;&gt;"")*(COUNTIF($B$1:B95,$AW$2:$AX$300)=0),ROW($2:$300)*100+COLUMN($AW:$AX),7^8)),"R0C00"),)&amp;"")</f>
        <v>0</v>
      </c>
      <c r="B96" s="28" t="str">
        <f t="shared" ca="1" si="24"/>
        <v/>
      </c>
      <c r="C96" s="28" t="str">
        <f ca="1">IF($A96=0,"",VLOOKUP($B96,Employees!$A:$G,2,FALSE))</f>
        <v/>
      </c>
      <c r="D96" s="28" t="str">
        <f ca="1">IF($A96=0,"",VLOOKUP($B96,Employees!$A:$G,3,FALSE))</f>
        <v/>
      </c>
      <c r="E96" s="26" t="str">
        <f ca="1">IF($A96=0,"",VLOOKUP($B96,Employees!$A:$G,5,FALSE))</f>
        <v/>
      </c>
      <c r="F96" s="13" t="str">
        <f ca="1">IF($E96="","",ROUNDDOWN(YEARFRAC($E96, 'Week 1 Roster'!$D$1-1, 1), 0))</f>
        <v/>
      </c>
      <c r="G96" s="13" t="str">
        <f ca="1">IF($E96="","",ROUNDDOWN(YEARFRAC($E96, 'Week 1 Roster'!$D$1+14, 1), 0))</f>
        <v/>
      </c>
      <c r="H96" s="13" t="str">
        <f t="shared" ca="1" si="25"/>
        <v/>
      </c>
      <c r="I96" s="13" t="str">
        <f ca="1">IF($A96=0,"",VLOOKUP($B96,Employees!$A:$G,6,FALSE))</f>
        <v/>
      </c>
      <c r="J96" s="13" t="str">
        <f ca="1">IF($A96=0,"",VLOOKUP($B96,Employees!$A:$G,7,FALSE))</f>
        <v/>
      </c>
      <c r="K96" s="13" t="str">
        <f ca="1">IF($A96=0,"",IF(ISNA(VLOOKUP(A96,'Week 1 Roster'!A:C,2,0)),VLOOKUP(A96,'Week 2 Roster'!A:C,2,0),VLOOKUP(A96,'Week 1 Roster'!A:C,2,0)))</f>
        <v/>
      </c>
      <c r="L96" s="13" t="str">
        <f ca="1">IF($A96=0,"",VLOOKUP(K96,Stores!A:B,2,0))</f>
        <v/>
      </c>
      <c r="M96" s="14">
        <f t="shared" ca="1" si="26"/>
        <v>0</v>
      </c>
      <c r="N96" s="14">
        <f t="shared" ca="1" si="27"/>
        <v>0</v>
      </c>
      <c r="O96" s="14">
        <f t="shared" ca="1" si="28"/>
        <v>0</v>
      </c>
      <c r="P96" s="14">
        <f t="shared" ca="1" si="29"/>
        <v>0</v>
      </c>
      <c r="Q96" s="14">
        <f t="shared" ca="1" si="30"/>
        <v>0</v>
      </c>
      <c r="R96" s="14">
        <f t="shared" ca="1" si="31"/>
        <v>0</v>
      </c>
      <c r="S96" s="28">
        <f t="shared" ca="1" si="32"/>
        <v>0</v>
      </c>
      <c r="T96" s="14">
        <f t="shared" ca="1" si="33"/>
        <v>0</v>
      </c>
      <c r="U96" s="14">
        <f t="shared" ca="1" si="34"/>
        <v>0</v>
      </c>
      <c r="V96" s="14">
        <f t="shared" ca="1" si="35"/>
        <v>0</v>
      </c>
      <c r="W96" s="14">
        <f t="shared" ca="1" si="36"/>
        <v>0</v>
      </c>
      <c r="Y96" s="17">
        <f ca="1">IF($A96=0,0,SUMIF('Week 1 Roster'!$AZ:$AZ,$B96,'Week 1 Roster'!$AE:$AE))</f>
        <v>0</v>
      </c>
      <c r="Z96" s="17">
        <f ca="1">IF($A96=0,0,SUMIF('Week 1 Roster'!$AZ:$AZ,$B96,'Week 1 Roster'!$AG:$AG))</f>
        <v>0</v>
      </c>
      <c r="AA96" s="17">
        <f ca="1">IF($A96=0,0,SUMIF('Week 1 Roster'!$AZ:$AZ,$B96,'Week 1 Roster'!$AI:$AI))</f>
        <v>0</v>
      </c>
      <c r="AB96" s="17">
        <f ca="1">IF($A96=0,0,SUMIF('Week 1 Roster'!$AZ:$AZ,$B96,'Week 1 Roster'!$AK:$AK))</f>
        <v>0</v>
      </c>
      <c r="AC96" s="17">
        <f ca="1">IF($A96=0,0,SUMIF('Week 1 Roster'!$AZ:$AZ,$B96,'Week 1 Roster'!$AM:$AM))</f>
        <v>0</v>
      </c>
      <c r="AD96" s="17">
        <f ca="1">IF($A96=0,0,SUMIF('Week 1 Roster'!$AZ:$AZ,$B96,'Week 1 Roster'!$AO:$AO))</f>
        <v>0</v>
      </c>
      <c r="AE96" s="38">
        <f ca="1">IF($A96=0,0,SUMIF('Week 1 Roster'!$AZ:$AZ,$B96,'Week 1 Roster'!$AP:$AP))</f>
        <v>0</v>
      </c>
      <c r="AF96" s="17">
        <f ca="1">IF($A96=0,0,SUMIF('Week 1 Roster'!$AZ:$AZ,$B96,'Week 1 Roster'!$AQ:$AQ))</f>
        <v>0</v>
      </c>
      <c r="AG96" s="17">
        <f ca="1">IF($A96=0,0,SUMIF('Week 1 Roster'!$AZ:$AZ,$B96,'Week 1 Roster'!$AR:$AR))</f>
        <v>0</v>
      </c>
      <c r="AH96" s="17">
        <f ca="1">IF($A96=0,0,SUMIF('Week 1 Roster'!$AZ:$AZ,$B96,'Week 1 Roster'!$AS:$AS))</f>
        <v>0</v>
      </c>
      <c r="AI96" s="17">
        <f t="shared" ca="1" si="37"/>
        <v>0</v>
      </c>
      <c r="AK96" s="17">
        <f ca="1">IF($A96=0,0,SUMIF('Week 2 Roster'!$AZ:$AZ,$B96,'Week 2 Roster'!$AE:$AE))</f>
        <v>0</v>
      </c>
      <c r="AL96" s="17">
        <f ca="1">IF($A96=0,0,SUMIF('Week 2 Roster'!$AZ:$AZ,$B96,'Week 2 Roster'!$AG:$AG))</f>
        <v>0</v>
      </c>
      <c r="AM96" s="17">
        <f ca="1">IF($A96=0,0,SUMIF('Week 2 Roster'!$AZ:$AZ,$B96,'Week 2 Roster'!$AI:$AI))</f>
        <v>0</v>
      </c>
      <c r="AN96" s="17">
        <f ca="1">IF($A96=0,0,SUMIF('Week 2 Roster'!$AZ:$AZ,$B96,'Week 2 Roster'!$AK:$AK))</f>
        <v>0</v>
      </c>
      <c r="AO96" s="17">
        <f ca="1">IF($A96=0,0,SUMIF('Week 2 Roster'!$AZ:$AZ,$B96,'Week 2 Roster'!$AM:$AM))</f>
        <v>0</v>
      </c>
      <c r="AP96" s="17">
        <f ca="1">IF($A96=0,0,SUMIF('Week 2 Roster'!$AZ:$AZ,$B96,'Week 2 Roster'!$AO:$AO))</f>
        <v>0</v>
      </c>
      <c r="AQ96" s="38">
        <f ca="1">IF($A96=0,0,SUMIF('Week 2 Roster'!$AZ:$AZ,$B96,'Week 2 Roster'!$AP:$AP))</f>
        <v>0</v>
      </c>
      <c r="AR96" s="17">
        <f ca="1">IF($A96=0,0,SUMIF('Week 2 Roster'!$AZ:$AZ,$B96,'Week 2 Roster'!$AQ:$AQ))</f>
        <v>0</v>
      </c>
      <c r="AS96" s="17">
        <f ca="1">IF($A96=0,0,SUMIF('Week 2 Roster'!$AZ:$AZ,$B96,'Week 2 Roster'!$AR:$AR))</f>
        <v>0</v>
      </c>
      <c r="AT96" s="17">
        <f ca="1">IF($A96=0,0,SUMIF('Week 2 Roster'!$AZ:$AZ,$B96,'Week 2 Roster'!$AS:$AS))</f>
        <v>0</v>
      </c>
      <c r="AU96" s="17">
        <f t="shared" ca="1" si="38"/>
        <v>0</v>
      </c>
      <c r="AV96" s="17"/>
      <c r="AW96" s="25" t="str">
        <f>'Week 1 Roster'!A96</f>
        <v/>
      </c>
      <c r="AX96" s="25" t="str">
        <f>'Week 2 Roster'!A96</f>
        <v/>
      </c>
    </row>
    <row r="97" spans="1:50">
      <c r="A97" s="16" cm="1">
        <f t="array" aca="1" ref="A97" ca="1">_xlfn.NUMBERVALUE(INDIRECT(TEXT(MIN(IF(($AW$2:$AX$300&lt;&gt;"")*(COUNTIF($B$1:B96,$AW$2:$AX$300)=0),ROW($2:$300)*100+COLUMN($AW:$AX),7^8)),"R0C00"),)&amp;"")</f>
        <v>0</v>
      </c>
      <c r="B97" s="28" t="str">
        <f t="shared" ca="1" si="24"/>
        <v/>
      </c>
      <c r="C97" s="28" t="str">
        <f ca="1">IF($A97=0,"",VLOOKUP($B97,Employees!$A:$G,2,FALSE))</f>
        <v/>
      </c>
      <c r="D97" s="28" t="str">
        <f ca="1">IF($A97=0,"",VLOOKUP($B97,Employees!$A:$G,3,FALSE))</f>
        <v/>
      </c>
      <c r="E97" s="26" t="str">
        <f ca="1">IF($A97=0,"",VLOOKUP($B97,Employees!$A:$G,5,FALSE))</f>
        <v/>
      </c>
      <c r="F97" s="13" t="str">
        <f ca="1">IF($E97="","",ROUNDDOWN(YEARFRAC($E97, 'Week 1 Roster'!$D$1-1, 1), 0))</f>
        <v/>
      </c>
      <c r="G97" s="13" t="str">
        <f ca="1">IF($E97="","",ROUNDDOWN(YEARFRAC($E97, 'Week 1 Roster'!$D$1+14, 1), 0))</f>
        <v/>
      </c>
      <c r="H97" s="13" t="str">
        <f t="shared" ca="1" si="25"/>
        <v/>
      </c>
      <c r="I97" s="13" t="str">
        <f ca="1">IF($A97=0,"",VLOOKUP($B97,Employees!$A:$G,6,FALSE))</f>
        <v/>
      </c>
      <c r="J97" s="13" t="str">
        <f ca="1">IF($A97=0,"",VLOOKUP($B97,Employees!$A:$G,7,FALSE))</f>
        <v/>
      </c>
      <c r="K97" s="13" t="str">
        <f ca="1">IF($A97=0,"",IF(ISNA(VLOOKUP(A97,'Week 1 Roster'!A:C,2,0)),VLOOKUP(A97,'Week 2 Roster'!A:C,2,0),VLOOKUP(A97,'Week 1 Roster'!A:C,2,0)))</f>
        <v/>
      </c>
      <c r="L97" s="13" t="str">
        <f ca="1">IF($A97=0,"",VLOOKUP(K97,Stores!A:B,2,0))</f>
        <v/>
      </c>
      <c r="M97" s="14">
        <f t="shared" ca="1" si="26"/>
        <v>0</v>
      </c>
      <c r="N97" s="14">
        <f t="shared" ca="1" si="27"/>
        <v>0</v>
      </c>
      <c r="O97" s="14">
        <f t="shared" ca="1" si="28"/>
        <v>0</v>
      </c>
      <c r="P97" s="14">
        <f t="shared" ca="1" si="29"/>
        <v>0</v>
      </c>
      <c r="Q97" s="14">
        <f t="shared" ca="1" si="30"/>
        <v>0</v>
      </c>
      <c r="R97" s="14">
        <f t="shared" ca="1" si="31"/>
        <v>0</v>
      </c>
      <c r="S97" s="28">
        <f t="shared" ca="1" si="32"/>
        <v>0</v>
      </c>
      <c r="T97" s="14">
        <f t="shared" ca="1" si="33"/>
        <v>0</v>
      </c>
      <c r="U97" s="14">
        <f t="shared" ca="1" si="34"/>
        <v>0</v>
      </c>
      <c r="V97" s="14">
        <f t="shared" ca="1" si="35"/>
        <v>0</v>
      </c>
      <c r="W97" s="14">
        <f t="shared" ca="1" si="36"/>
        <v>0</v>
      </c>
      <c r="Y97" s="17">
        <f ca="1">IF($A97=0,0,SUMIF('Week 1 Roster'!$AZ:$AZ,$B97,'Week 1 Roster'!$AE:$AE))</f>
        <v>0</v>
      </c>
      <c r="Z97" s="17">
        <f ca="1">IF($A97=0,0,SUMIF('Week 1 Roster'!$AZ:$AZ,$B97,'Week 1 Roster'!$AG:$AG))</f>
        <v>0</v>
      </c>
      <c r="AA97" s="17">
        <f ca="1">IF($A97=0,0,SUMIF('Week 1 Roster'!$AZ:$AZ,$B97,'Week 1 Roster'!$AI:$AI))</f>
        <v>0</v>
      </c>
      <c r="AB97" s="17">
        <f ca="1">IF($A97=0,0,SUMIF('Week 1 Roster'!$AZ:$AZ,$B97,'Week 1 Roster'!$AK:$AK))</f>
        <v>0</v>
      </c>
      <c r="AC97" s="17">
        <f ca="1">IF($A97=0,0,SUMIF('Week 1 Roster'!$AZ:$AZ,$B97,'Week 1 Roster'!$AM:$AM))</f>
        <v>0</v>
      </c>
      <c r="AD97" s="17">
        <f ca="1">IF($A97=0,0,SUMIF('Week 1 Roster'!$AZ:$AZ,$B97,'Week 1 Roster'!$AO:$AO))</f>
        <v>0</v>
      </c>
      <c r="AE97" s="38">
        <f ca="1">IF($A97=0,0,SUMIF('Week 1 Roster'!$AZ:$AZ,$B97,'Week 1 Roster'!$AP:$AP))</f>
        <v>0</v>
      </c>
      <c r="AF97" s="17">
        <f ca="1">IF($A97=0,0,SUMIF('Week 1 Roster'!$AZ:$AZ,$B97,'Week 1 Roster'!$AQ:$AQ))</f>
        <v>0</v>
      </c>
      <c r="AG97" s="17">
        <f ca="1">IF($A97=0,0,SUMIF('Week 1 Roster'!$AZ:$AZ,$B97,'Week 1 Roster'!$AR:$AR))</f>
        <v>0</v>
      </c>
      <c r="AH97" s="17">
        <f ca="1">IF($A97=0,0,SUMIF('Week 1 Roster'!$AZ:$AZ,$B97,'Week 1 Roster'!$AS:$AS))</f>
        <v>0</v>
      </c>
      <c r="AI97" s="17">
        <f t="shared" ca="1" si="37"/>
        <v>0</v>
      </c>
      <c r="AK97" s="17">
        <f ca="1">IF($A97=0,0,SUMIF('Week 2 Roster'!$AZ:$AZ,$B97,'Week 2 Roster'!$AE:$AE))</f>
        <v>0</v>
      </c>
      <c r="AL97" s="17">
        <f ca="1">IF($A97=0,0,SUMIF('Week 2 Roster'!$AZ:$AZ,$B97,'Week 2 Roster'!$AG:$AG))</f>
        <v>0</v>
      </c>
      <c r="AM97" s="17">
        <f ca="1">IF($A97=0,0,SUMIF('Week 2 Roster'!$AZ:$AZ,$B97,'Week 2 Roster'!$AI:$AI))</f>
        <v>0</v>
      </c>
      <c r="AN97" s="17">
        <f ca="1">IF($A97=0,0,SUMIF('Week 2 Roster'!$AZ:$AZ,$B97,'Week 2 Roster'!$AK:$AK))</f>
        <v>0</v>
      </c>
      <c r="AO97" s="17">
        <f ca="1">IF($A97=0,0,SUMIF('Week 2 Roster'!$AZ:$AZ,$B97,'Week 2 Roster'!$AM:$AM))</f>
        <v>0</v>
      </c>
      <c r="AP97" s="17">
        <f ca="1">IF($A97=0,0,SUMIF('Week 2 Roster'!$AZ:$AZ,$B97,'Week 2 Roster'!$AO:$AO))</f>
        <v>0</v>
      </c>
      <c r="AQ97" s="38">
        <f ca="1">IF($A97=0,0,SUMIF('Week 2 Roster'!$AZ:$AZ,$B97,'Week 2 Roster'!$AP:$AP))</f>
        <v>0</v>
      </c>
      <c r="AR97" s="17">
        <f ca="1">IF($A97=0,0,SUMIF('Week 2 Roster'!$AZ:$AZ,$B97,'Week 2 Roster'!$AQ:$AQ))</f>
        <v>0</v>
      </c>
      <c r="AS97" s="17">
        <f ca="1">IF($A97=0,0,SUMIF('Week 2 Roster'!$AZ:$AZ,$B97,'Week 2 Roster'!$AR:$AR))</f>
        <v>0</v>
      </c>
      <c r="AT97" s="17">
        <f ca="1">IF($A97=0,0,SUMIF('Week 2 Roster'!$AZ:$AZ,$B97,'Week 2 Roster'!$AS:$AS))</f>
        <v>0</v>
      </c>
      <c r="AU97" s="17">
        <f t="shared" ca="1" si="38"/>
        <v>0</v>
      </c>
      <c r="AV97" s="17"/>
      <c r="AW97" s="25" t="str">
        <f>'Week 1 Roster'!A97</f>
        <v/>
      </c>
      <c r="AX97" s="25" t="str">
        <f>'Week 2 Roster'!A97</f>
        <v/>
      </c>
    </row>
    <row r="98" spans="1:50">
      <c r="A98" s="16" cm="1">
        <f t="array" aca="1" ref="A98" ca="1">_xlfn.NUMBERVALUE(INDIRECT(TEXT(MIN(IF(($AW$2:$AX$300&lt;&gt;"")*(COUNTIF($B$1:B97,$AW$2:$AX$300)=0),ROW($2:$300)*100+COLUMN($AW:$AX),7^8)),"R0C00"),)&amp;"")</f>
        <v>0</v>
      </c>
      <c r="B98" s="28" t="str">
        <f t="shared" ca="1" si="24"/>
        <v/>
      </c>
      <c r="C98" s="28" t="str">
        <f ca="1">IF($A98=0,"",VLOOKUP($B98,Employees!$A:$G,2,FALSE))</f>
        <v/>
      </c>
      <c r="D98" s="28" t="str">
        <f ca="1">IF($A98=0,"",VLOOKUP($B98,Employees!$A:$G,3,FALSE))</f>
        <v/>
      </c>
      <c r="E98" s="26" t="str">
        <f ca="1">IF($A98=0,"",VLOOKUP($B98,Employees!$A:$G,5,FALSE))</f>
        <v/>
      </c>
      <c r="F98" s="13" t="str">
        <f ca="1">IF($E98="","",ROUNDDOWN(YEARFRAC($E98, 'Week 1 Roster'!$D$1-1, 1), 0))</f>
        <v/>
      </c>
      <c r="G98" s="13" t="str">
        <f ca="1">IF($E98="","",ROUNDDOWN(YEARFRAC($E98, 'Week 1 Roster'!$D$1+14, 1), 0))</f>
        <v/>
      </c>
      <c r="H98" s="13" t="str">
        <f t="shared" ca="1" si="25"/>
        <v/>
      </c>
      <c r="I98" s="13" t="str">
        <f ca="1">IF($A98=0,"",VLOOKUP($B98,Employees!$A:$G,6,FALSE))</f>
        <v/>
      </c>
      <c r="J98" s="13" t="str">
        <f ca="1">IF($A98=0,"",VLOOKUP($B98,Employees!$A:$G,7,FALSE))</f>
        <v/>
      </c>
      <c r="K98" s="13" t="str">
        <f ca="1">IF($A98=0,"",IF(ISNA(VLOOKUP(A98,'Week 1 Roster'!A:C,2,0)),VLOOKUP(A98,'Week 2 Roster'!A:C,2,0),VLOOKUP(A98,'Week 1 Roster'!A:C,2,0)))</f>
        <v/>
      </c>
      <c r="L98" s="13" t="str">
        <f ca="1">IF($A98=0,"",VLOOKUP(K98,Stores!A:B,2,0))</f>
        <v/>
      </c>
      <c r="M98" s="14">
        <f t="shared" ca="1" si="26"/>
        <v>0</v>
      </c>
      <c r="N98" s="14">
        <f t="shared" ca="1" si="27"/>
        <v>0</v>
      </c>
      <c r="O98" s="14">
        <f t="shared" ca="1" si="28"/>
        <v>0</v>
      </c>
      <c r="P98" s="14">
        <f t="shared" ca="1" si="29"/>
        <v>0</v>
      </c>
      <c r="Q98" s="14">
        <f t="shared" ca="1" si="30"/>
        <v>0</v>
      </c>
      <c r="R98" s="14">
        <f t="shared" ca="1" si="31"/>
        <v>0</v>
      </c>
      <c r="S98" s="28">
        <f t="shared" ca="1" si="32"/>
        <v>0</v>
      </c>
      <c r="T98" s="14">
        <f t="shared" ca="1" si="33"/>
        <v>0</v>
      </c>
      <c r="U98" s="14">
        <f t="shared" ca="1" si="34"/>
        <v>0</v>
      </c>
      <c r="V98" s="14">
        <f t="shared" ca="1" si="35"/>
        <v>0</v>
      </c>
      <c r="W98" s="14">
        <f t="shared" ca="1" si="36"/>
        <v>0</v>
      </c>
      <c r="Y98" s="17">
        <f ca="1">IF($A98=0,0,SUMIF('Week 1 Roster'!$AZ:$AZ,$B98,'Week 1 Roster'!$AE:$AE))</f>
        <v>0</v>
      </c>
      <c r="Z98" s="17">
        <f ca="1">IF($A98=0,0,SUMIF('Week 1 Roster'!$AZ:$AZ,$B98,'Week 1 Roster'!$AG:$AG))</f>
        <v>0</v>
      </c>
      <c r="AA98" s="17">
        <f ca="1">IF($A98=0,0,SUMIF('Week 1 Roster'!$AZ:$AZ,$B98,'Week 1 Roster'!$AI:$AI))</f>
        <v>0</v>
      </c>
      <c r="AB98" s="17">
        <f ca="1">IF($A98=0,0,SUMIF('Week 1 Roster'!$AZ:$AZ,$B98,'Week 1 Roster'!$AK:$AK))</f>
        <v>0</v>
      </c>
      <c r="AC98" s="17">
        <f ca="1">IF($A98=0,0,SUMIF('Week 1 Roster'!$AZ:$AZ,$B98,'Week 1 Roster'!$AM:$AM))</f>
        <v>0</v>
      </c>
      <c r="AD98" s="17">
        <f ca="1">IF($A98=0,0,SUMIF('Week 1 Roster'!$AZ:$AZ,$B98,'Week 1 Roster'!$AO:$AO))</f>
        <v>0</v>
      </c>
      <c r="AE98" s="38">
        <f ca="1">IF($A98=0,0,SUMIF('Week 1 Roster'!$AZ:$AZ,$B98,'Week 1 Roster'!$AP:$AP))</f>
        <v>0</v>
      </c>
      <c r="AF98" s="17">
        <f ca="1">IF($A98=0,0,SUMIF('Week 1 Roster'!$AZ:$AZ,$B98,'Week 1 Roster'!$AQ:$AQ))</f>
        <v>0</v>
      </c>
      <c r="AG98" s="17">
        <f ca="1">IF($A98=0,0,SUMIF('Week 1 Roster'!$AZ:$AZ,$B98,'Week 1 Roster'!$AR:$AR))</f>
        <v>0</v>
      </c>
      <c r="AH98" s="17">
        <f ca="1">IF($A98=0,0,SUMIF('Week 1 Roster'!$AZ:$AZ,$B98,'Week 1 Roster'!$AS:$AS))</f>
        <v>0</v>
      </c>
      <c r="AI98" s="17">
        <f t="shared" ca="1" si="37"/>
        <v>0</v>
      </c>
      <c r="AK98" s="17">
        <f ca="1">IF($A98=0,0,SUMIF('Week 2 Roster'!$AZ:$AZ,$B98,'Week 2 Roster'!$AE:$AE))</f>
        <v>0</v>
      </c>
      <c r="AL98" s="17">
        <f ca="1">IF($A98=0,0,SUMIF('Week 2 Roster'!$AZ:$AZ,$B98,'Week 2 Roster'!$AG:$AG))</f>
        <v>0</v>
      </c>
      <c r="AM98" s="17">
        <f ca="1">IF($A98=0,0,SUMIF('Week 2 Roster'!$AZ:$AZ,$B98,'Week 2 Roster'!$AI:$AI))</f>
        <v>0</v>
      </c>
      <c r="AN98" s="17">
        <f ca="1">IF($A98=0,0,SUMIF('Week 2 Roster'!$AZ:$AZ,$B98,'Week 2 Roster'!$AK:$AK))</f>
        <v>0</v>
      </c>
      <c r="AO98" s="17">
        <f ca="1">IF($A98=0,0,SUMIF('Week 2 Roster'!$AZ:$AZ,$B98,'Week 2 Roster'!$AM:$AM))</f>
        <v>0</v>
      </c>
      <c r="AP98" s="17">
        <f ca="1">IF($A98=0,0,SUMIF('Week 2 Roster'!$AZ:$AZ,$B98,'Week 2 Roster'!$AO:$AO))</f>
        <v>0</v>
      </c>
      <c r="AQ98" s="38">
        <f ca="1">IF($A98=0,0,SUMIF('Week 2 Roster'!$AZ:$AZ,$B98,'Week 2 Roster'!$AP:$AP))</f>
        <v>0</v>
      </c>
      <c r="AR98" s="17">
        <f ca="1">IF($A98=0,0,SUMIF('Week 2 Roster'!$AZ:$AZ,$B98,'Week 2 Roster'!$AQ:$AQ))</f>
        <v>0</v>
      </c>
      <c r="AS98" s="17">
        <f ca="1">IF($A98=0,0,SUMIF('Week 2 Roster'!$AZ:$AZ,$B98,'Week 2 Roster'!$AR:$AR))</f>
        <v>0</v>
      </c>
      <c r="AT98" s="17">
        <f ca="1">IF($A98=0,0,SUMIF('Week 2 Roster'!$AZ:$AZ,$B98,'Week 2 Roster'!$AS:$AS))</f>
        <v>0</v>
      </c>
      <c r="AU98" s="17">
        <f t="shared" ca="1" si="38"/>
        <v>0</v>
      </c>
      <c r="AV98" s="17"/>
      <c r="AW98" s="25" t="str">
        <f>'Week 1 Roster'!A98</f>
        <v/>
      </c>
      <c r="AX98" s="25" t="str">
        <f>'Week 2 Roster'!A98</f>
        <v/>
      </c>
    </row>
    <row r="99" spans="1:50">
      <c r="A99" s="16" cm="1">
        <f t="array" aca="1" ref="A99" ca="1">_xlfn.NUMBERVALUE(INDIRECT(TEXT(MIN(IF(($AW$2:$AX$300&lt;&gt;"")*(COUNTIF($B$1:B98,$AW$2:$AX$300)=0),ROW($2:$300)*100+COLUMN($AW:$AX),7^8)),"R0C00"),)&amp;"")</f>
        <v>0</v>
      </c>
      <c r="B99" s="28" t="str">
        <f t="shared" ca="1" si="24"/>
        <v/>
      </c>
      <c r="C99" s="28" t="str">
        <f ca="1">IF($A99=0,"",VLOOKUP($B99,Employees!$A:$G,2,FALSE))</f>
        <v/>
      </c>
      <c r="D99" s="28" t="str">
        <f ca="1">IF($A99=0,"",VLOOKUP($B99,Employees!$A:$G,3,FALSE))</f>
        <v/>
      </c>
      <c r="E99" s="26" t="str">
        <f ca="1">IF($A99=0,"",VLOOKUP($B99,Employees!$A:$G,5,FALSE))</f>
        <v/>
      </c>
      <c r="F99" s="13" t="str">
        <f ca="1">IF($E99="","",ROUNDDOWN(YEARFRAC($E99, 'Week 1 Roster'!$D$1-1, 1), 0))</f>
        <v/>
      </c>
      <c r="G99" s="13" t="str">
        <f ca="1">IF($E99="","",ROUNDDOWN(YEARFRAC($E99, 'Week 1 Roster'!$D$1+14, 1), 0))</f>
        <v/>
      </c>
      <c r="H99" s="13" t="str">
        <f t="shared" ca="1" si="25"/>
        <v/>
      </c>
      <c r="I99" s="13" t="str">
        <f ca="1">IF($A99=0,"",VLOOKUP($B99,Employees!$A:$G,6,FALSE))</f>
        <v/>
      </c>
      <c r="J99" s="13" t="str">
        <f ca="1">IF($A99=0,"",VLOOKUP($B99,Employees!$A:$G,7,FALSE))</f>
        <v/>
      </c>
      <c r="K99" s="13" t="str">
        <f ca="1">IF($A99=0,"",IF(ISNA(VLOOKUP(A99,'Week 1 Roster'!A:C,2,0)),VLOOKUP(A99,'Week 2 Roster'!A:C,2,0),VLOOKUP(A99,'Week 1 Roster'!A:C,2,0)))</f>
        <v/>
      </c>
      <c r="L99" s="13" t="str">
        <f ca="1">IF($A99=0,"",VLOOKUP(K99,Stores!A:B,2,0))</f>
        <v/>
      </c>
      <c r="M99" s="14">
        <f t="shared" ca="1" si="26"/>
        <v>0</v>
      </c>
      <c r="N99" s="14">
        <f t="shared" ca="1" si="27"/>
        <v>0</v>
      </c>
      <c r="O99" s="14">
        <f t="shared" ca="1" si="28"/>
        <v>0</v>
      </c>
      <c r="P99" s="14">
        <f t="shared" ca="1" si="29"/>
        <v>0</v>
      </c>
      <c r="Q99" s="14">
        <f t="shared" ca="1" si="30"/>
        <v>0</v>
      </c>
      <c r="R99" s="14">
        <f t="shared" ca="1" si="31"/>
        <v>0</v>
      </c>
      <c r="S99" s="28">
        <f t="shared" ca="1" si="32"/>
        <v>0</v>
      </c>
      <c r="T99" s="14">
        <f t="shared" ca="1" si="33"/>
        <v>0</v>
      </c>
      <c r="U99" s="14">
        <f t="shared" ca="1" si="34"/>
        <v>0</v>
      </c>
      <c r="V99" s="14">
        <f t="shared" ca="1" si="35"/>
        <v>0</v>
      </c>
      <c r="W99" s="14">
        <f t="shared" ca="1" si="36"/>
        <v>0</v>
      </c>
      <c r="Y99" s="17">
        <f ca="1">IF($A99=0,0,SUMIF('Week 1 Roster'!$AZ:$AZ,$B99,'Week 1 Roster'!$AE:$AE))</f>
        <v>0</v>
      </c>
      <c r="Z99" s="17">
        <f ca="1">IF($A99=0,0,SUMIF('Week 1 Roster'!$AZ:$AZ,$B99,'Week 1 Roster'!$AG:$AG))</f>
        <v>0</v>
      </c>
      <c r="AA99" s="17">
        <f ca="1">IF($A99=0,0,SUMIF('Week 1 Roster'!$AZ:$AZ,$B99,'Week 1 Roster'!$AI:$AI))</f>
        <v>0</v>
      </c>
      <c r="AB99" s="17">
        <f ca="1">IF($A99=0,0,SUMIF('Week 1 Roster'!$AZ:$AZ,$B99,'Week 1 Roster'!$AK:$AK))</f>
        <v>0</v>
      </c>
      <c r="AC99" s="17">
        <f ca="1">IF($A99=0,0,SUMIF('Week 1 Roster'!$AZ:$AZ,$B99,'Week 1 Roster'!$AM:$AM))</f>
        <v>0</v>
      </c>
      <c r="AD99" s="17">
        <f ca="1">IF($A99=0,0,SUMIF('Week 1 Roster'!$AZ:$AZ,$B99,'Week 1 Roster'!$AO:$AO))</f>
        <v>0</v>
      </c>
      <c r="AE99" s="38">
        <f ca="1">IF($A99=0,0,SUMIF('Week 1 Roster'!$AZ:$AZ,$B99,'Week 1 Roster'!$AP:$AP))</f>
        <v>0</v>
      </c>
      <c r="AF99" s="17">
        <f ca="1">IF($A99=0,0,SUMIF('Week 1 Roster'!$AZ:$AZ,$B99,'Week 1 Roster'!$AQ:$AQ))</f>
        <v>0</v>
      </c>
      <c r="AG99" s="17">
        <f ca="1">IF($A99=0,0,SUMIF('Week 1 Roster'!$AZ:$AZ,$B99,'Week 1 Roster'!$AR:$AR))</f>
        <v>0</v>
      </c>
      <c r="AH99" s="17">
        <f ca="1">IF($A99=0,0,SUMIF('Week 1 Roster'!$AZ:$AZ,$B99,'Week 1 Roster'!$AS:$AS))</f>
        <v>0</v>
      </c>
      <c r="AI99" s="17">
        <f t="shared" ca="1" si="37"/>
        <v>0</v>
      </c>
      <c r="AK99" s="17">
        <f ca="1">IF($A99=0,0,SUMIF('Week 2 Roster'!$AZ:$AZ,$B99,'Week 2 Roster'!$AE:$AE))</f>
        <v>0</v>
      </c>
      <c r="AL99" s="17">
        <f ca="1">IF($A99=0,0,SUMIF('Week 2 Roster'!$AZ:$AZ,$B99,'Week 2 Roster'!$AG:$AG))</f>
        <v>0</v>
      </c>
      <c r="AM99" s="17">
        <f ca="1">IF($A99=0,0,SUMIF('Week 2 Roster'!$AZ:$AZ,$B99,'Week 2 Roster'!$AI:$AI))</f>
        <v>0</v>
      </c>
      <c r="AN99" s="17">
        <f ca="1">IF($A99=0,0,SUMIF('Week 2 Roster'!$AZ:$AZ,$B99,'Week 2 Roster'!$AK:$AK))</f>
        <v>0</v>
      </c>
      <c r="AO99" s="17">
        <f ca="1">IF($A99=0,0,SUMIF('Week 2 Roster'!$AZ:$AZ,$B99,'Week 2 Roster'!$AM:$AM))</f>
        <v>0</v>
      </c>
      <c r="AP99" s="17">
        <f ca="1">IF($A99=0,0,SUMIF('Week 2 Roster'!$AZ:$AZ,$B99,'Week 2 Roster'!$AO:$AO))</f>
        <v>0</v>
      </c>
      <c r="AQ99" s="38">
        <f ca="1">IF($A99=0,0,SUMIF('Week 2 Roster'!$AZ:$AZ,$B99,'Week 2 Roster'!$AP:$AP))</f>
        <v>0</v>
      </c>
      <c r="AR99" s="17">
        <f ca="1">IF($A99=0,0,SUMIF('Week 2 Roster'!$AZ:$AZ,$B99,'Week 2 Roster'!$AQ:$AQ))</f>
        <v>0</v>
      </c>
      <c r="AS99" s="17">
        <f ca="1">IF($A99=0,0,SUMIF('Week 2 Roster'!$AZ:$AZ,$B99,'Week 2 Roster'!$AR:$AR))</f>
        <v>0</v>
      </c>
      <c r="AT99" s="17">
        <f ca="1">IF($A99=0,0,SUMIF('Week 2 Roster'!$AZ:$AZ,$B99,'Week 2 Roster'!$AS:$AS))</f>
        <v>0</v>
      </c>
      <c r="AU99" s="17">
        <f t="shared" ca="1" si="38"/>
        <v>0</v>
      </c>
      <c r="AV99" s="17"/>
      <c r="AW99" s="25" t="str">
        <f>'Week 1 Roster'!A99</f>
        <v/>
      </c>
      <c r="AX99" s="25" t="str">
        <f>'Week 2 Roster'!A99</f>
        <v/>
      </c>
    </row>
    <row r="100" spans="1:50">
      <c r="A100" s="16" cm="1">
        <f t="array" aca="1" ref="A100" ca="1">_xlfn.NUMBERVALUE(INDIRECT(TEXT(MIN(IF(($AW$2:$AX$300&lt;&gt;"")*(COUNTIF($B$1:B99,$AW$2:$AX$300)=0),ROW($2:$300)*100+COLUMN($AW:$AX),7^8)),"R0C00"),)&amp;"")</f>
        <v>0</v>
      </c>
      <c r="B100" s="28" t="str">
        <f t="shared" ca="1" si="24"/>
        <v/>
      </c>
      <c r="C100" s="28" t="str">
        <f ca="1">IF($A100=0,"",VLOOKUP($B100,Employees!$A:$G,2,FALSE))</f>
        <v/>
      </c>
      <c r="D100" s="28" t="str">
        <f ca="1">IF($A100=0,"",VLOOKUP($B100,Employees!$A:$G,3,FALSE))</f>
        <v/>
      </c>
      <c r="E100" s="26" t="str">
        <f ca="1">IF($A100=0,"",VLOOKUP($B100,Employees!$A:$G,5,FALSE))</f>
        <v/>
      </c>
      <c r="F100" s="13" t="str">
        <f ca="1">IF($E100="","",ROUNDDOWN(YEARFRAC($E100, 'Week 1 Roster'!$D$1-1, 1), 0))</f>
        <v/>
      </c>
      <c r="G100" s="13" t="str">
        <f ca="1">IF($E100="","",ROUNDDOWN(YEARFRAC($E100, 'Week 1 Roster'!$D$1+14, 1), 0))</f>
        <v/>
      </c>
      <c r="H100" s="13" t="str">
        <f t="shared" ca="1" si="25"/>
        <v/>
      </c>
      <c r="I100" s="13" t="str">
        <f ca="1">IF($A100=0,"",VLOOKUP($B100,Employees!$A:$G,6,FALSE))</f>
        <v/>
      </c>
      <c r="J100" s="13" t="str">
        <f ca="1">IF($A100=0,"",VLOOKUP($B100,Employees!$A:$G,7,FALSE))</f>
        <v/>
      </c>
      <c r="K100" s="13" t="str">
        <f ca="1">IF($A100=0,"",IF(ISNA(VLOOKUP(A100,'Week 1 Roster'!A:C,2,0)),VLOOKUP(A100,'Week 2 Roster'!A:C,2,0),VLOOKUP(A100,'Week 1 Roster'!A:C,2,0)))</f>
        <v/>
      </c>
      <c r="L100" s="13" t="str">
        <f ca="1">IF($A100=0,"",VLOOKUP(K100,Stores!A:B,2,0))</f>
        <v/>
      </c>
      <c r="M100" s="14">
        <f t="shared" ca="1" si="26"/>
        <v>0</v>
      </c>
      <c r="N100" s="14">
        <f t="shared" ca="1" si="27"/>
        <v>0</v>
      </c>
      <c r="O100" s="14">
        <f t="shared" ca="1" si="28"/>
        <v>0</v>
      </c>
      <c r="P100" s="14">
        <f t="shared" ca="1" si="29"/>
        <v>0</v>
      </c>
      <c r="Q100" s="14">
        <f t="shared" ca="1" si="30"/>
        <v>0</v>
      </c>
      <c r="R100" s="14">
        <f t="shared" ca="1" si="31"/>
        <v>0</v>
      </c>
      <c r="S100" s="28">
        <f t="shared" ca="1" si="32"/>
        <v>0</v>
      </c>
      <c r="T100" s="14">
        <f t="shared" ca="1" si="33"/>
        <v>0</v>
      </c>
      <c r="U100" s="14">
        <f t="shared" ca="1" si="34"/>
        <v>0</v>
      </c>
      <c r="V100" s="14">
        <f t="shared" ca="1" si="35"/>
        <v>0</v>
      </c>
      <c r="W100" s="14">
        <f t="shared" ca="1" si="36"/>
        <v>0</v>
      </c>
      <c r="Y100" s="17">
        <f ca="1">IF($A100=0,0,SUMIF('Week 1 Roster'!$AZ:$AZ,$B100,'Week 1 Roster'!$AE:$AE))</f>
        <v>0</v>
      </c>
      <c r="Z100" s="17">
        <f ca="1">IF($A100=0,0,SUMIF('Week 1 Roster'!$AZ:$AZ,$B100,'Week 1 Roster'!$AG:$AG))</f>
        <v>0</v>
      </c>
      <c r="AA100" s="17">
        <f ca="1">IF($A100=0,0,SUMIF('Week 1 Roster'!$AZ:$AZ,$B100,'Week 1 Roster'!$AI:$AI))</f>
        <v>0</v>
      </c>
      <c r="AB100" s="17">
        <f ca="1">IF($A100=0,0,SUMIF('Week 1 Roster'!$AZ:$AZ,$B100,'Week 1 Roster'!$AK:$AK))</f>
        <v>0</v>
      </c>
      <c r="AC100" s="17">
        <f ca="1">IF($A100=0,0,SUMIF('Week 1 Roster'!$AZ:$AZ,$B100,'Week 1 Roster'!$AM:$AM))</f>
        <v>0</v>
      </c>
      <c r="AD100" s="17">
        <f ca="1">IF($A100=0,0,SUMIF('Week 1 Roster'!$AZ:$AZ,$B100,'Week 1 Roster'!$AO:$AO))</f>
        <v>0</v>
      </c>
      <c r="AE100" s="38">
        <f ca="1">IF($A100=0,0,SUMIF('Week 1 Roster'!$AZ:$AZ,$B100,'Week 1 Roster'!$AP:$AP))</f>
        <v>0</v>
      </c>
      <c r="AF100" s="17">
        <f ca="1">IF($A100=0,0,SUMIF('Week 1 Roster'!$AZ:$AZ,$B100,'Week 1 Roster'!$AQ:$AQ))</f>
        <v>0</v>
      </c>
      <c r="AG100" s="17">
        <f ca="1">IF($A100=0,0,SUMIF('Week 1 Roster'!$AZ:$AZ,$B100,'Week 1 Roster'!$AR:$AR))</f>
        <v>0</v>
      </c>
      <c r="AH100" s="17">
        <f ca="1">IF($A100=0,0,SUMIF('Week 1 Roster'!$AZ:$AZ,$B100,'Week 1 Roster'!$AS:$AS))</f>
        <v>0</v>
      </c>
      <c r="AI100" s="17">
        <f t="shared" ca="1" si="37"/>
        <v>0</v>
      </c>
      <c r="AK100" s="17">
        <f ca="1">IF($A100=0,0,SUMIF('Week 2 Roster'!$AZ:$AZ,$B100,'Week 2 Roster'!$AE:$AE))</f>
        <v>0</v>
      </c>
      <c r="AL100" s="17">
        <f ca="1">IF($A100=0,0,SUMIF('Week 2 Roster'!$AZ:$AZ,$B100,'Week 2 Roster'!$AG:$AG))</f>
        <v>0</v>
      </c>
      <c r="AM100" s="17">
        <f ca="1">IF($A100=0,0,SUMIF('Week 2 Roster'!$AZ:$AZ,$B100,'Week 2 Roster'!$AI:$AI))</f>
        <v>0</v>
      </c>
      <c r="AN100" s="17">
        <f ca="1">IF($A100=0,0,SUMIF('Week 2 Roster'!$AZ:$AZ,$B100,'Week 2 Roster'!$AK:$AK))</f>
        <v>0</v>
      </c>
      <c r="AO100" s="17">
        <f ca="1">IF($A100=0,0,SUMIF('Week 2 Roster'!$AZ:$AZ,$B100,'Week 2 Roster'!$AM:$AM))</f>
        <v>0</v>
      </c>
      <c r="AP100" s="17">
        <f ca="1">IF($A100=0,0,SUMIF('Week 2 Roster'!$AZ:$AZ,$B100,'Week 2 Roster'!$AO:$AO))</f>
        <v>0</v>
      </c>
      <c r="AQ100" s="38">
        <f ca="1">IF($A100=0,0,SUMIF('Week 2 Roster'!$AZ:$AZ,$B100,'Week 2 Roster'!$AP:$AP))</f>
        <v>0</v>
      </c>
      <c r="AR100" s="17">
        <f ca="1">IF($A100=0,0,SUMIF('Week 2 Roster'!$AZ:$AZ,$B100,'Week 2 Roster'!$AQ:$AQ))</f>
        <v>0</v>
      </c>
      <c r="AS100" s="17">
        <f ca="1">IF($A100=0,0,SUMIF('Week 2 Roster'!$AZ:$AZ,$B100,'Week 2 Roster'!$AR:$AR))</f>
        <v>0</v>
      </c>
      <c r="AT100" s="17">
        <f ca="1">IF($A100=0,0,SUMIF('Week 2 Roster'!$AZ:$AZ,$B100,'Week 2 Roster'!$AS:$AS))</f>
        <v>0</v>
      </c>
      <c r="AU100" s="17">
        <f t="shared" ca="1" si="38"/>
        <v>0</v>
      </c>
      <c r="AV100" s="17"/>
      <c r="AW100" s="25" t="str">
        <f>'Week 1 Roster'!A100</f>
        <v/>
      </c>
      <c r="AX100" s="25" t="str">
        <f>'Week 2 Roster'!A100</f>
        <v/>
      </c>
    </row>
    <row r="101" spans="1:50">
      <c r="A101" s="16" cm="1">
        <f t="array" aca="1" ref="A101" ca="1">_xlfn.NUMBERVALUE(INDIRECT(TEXT(MIN(IF(($AW$2:$AX$300&lt;&gt;"")*(COUNTIF($B$1:B100,$AW$2:$AX$300)=0),ROW($2:$300)*100+COLUMN($AW:$AX),7^8)),"R0C00"),)&amp;"")</f>
        <v>0</v>
      </c>
      <c r="B101" s="28" t="str">
        <f t="shared" ca="1" si="24"/>
        <v/>
      </c>
      <c r="C101" s="28" t="str">
        <f ca="1">IF($A101=0,"",VLOOKUP($B101,Employees!$A:$G,2,FALSE))</f>
        <v/>
      </c>
      <c r="D101" s="28" t="str">
        <f ca="1">IF($A101=0,"",VLOOKUP($B101,Employees!$A:$G,3,FALSE))</f>
        <v/>
      </c>
      <c r="E101" s="26" t="str">
        <f ca="1">IF($A101=0,"",VLOOKUP($B101,Employees!$A:$G,5,FALSE))</f>
        <v/>
      </c>
      <c r="F101" s="13" t="str">
        <f ca="1">IF($E101="","",ROUNDDOWN(YEARFRAC($E101, 'Week 1 Roster'!$D$1-1, 1), 0))</f>
        <v/>
      </c>
      <c r="G101" s="13" t="str">
        <f ca="1">IF($E101="","",ROUNDDOWN(YEARFRAC($E101, 'Week 1 Roster'!$D$1+14, 1), 0))</f>
        <v/>
      </c>
      <c r="H101" s="13" t="str">
        <f t="shared" ca="1" si="25"/>
        <v/>
      </c>
      <c r="I101" s="13" t="str">
        <f ca="1">IF($A101=0,"",VLOOKUP($B101,Employees!$A:$G,6,FALSE))</f>
        <v/>
      </c>
      <c r="J101" s="13" t="str">
        <f ca="1">IF($A101=0,"",VLOOKUP($B101,Employees!$A:$G,7,FALSE))</f>
        <v/>
      </c>
      <c r="K101" s="13" t="str">
        <f ca="1">IF($A101=0,"",IF(ISNA(VLOOKUP(A101,'Week 1 Roster'!A:C,2,0)),VLOOKUP(A101,'Week 2 Roster'!A:C,2,0),VLOOKUP(A101,'Week 1 Roster'!A:C,2,0)))</f>
        <v/>
      </c>
      <c r="L101" s="13" t="str">
        <f ca="1">IF($A101=0,"",VLOOKUP(K101,Stores!A:B,2,0))</f>
        <v/>
      </c>
      <c r="M101" s="14">
        <f t="shared" ca="1" si="26"/>
        <v>0</v>
      </c>
      <c r="N101" s="14">
        <f t="shared" ca="1" si="27"/>
        <v>0</v>
      </c>
      <c r="O101" s="14">
        <f t="shared" ca="1" si="28"/>
        <v>0</v>
      </c>
      <c r="P101" s="14">
        <f t="shared" ca="1" si="29"/>
        <v>0</v>
      </c>
      <c r="Q101" s="14">
        <f t="shared" ca="1" si="30"/>
        <v>0</v>
      </c>
      <c r="R101" s="14">
        <f t="shared" ca="1" si="31"/>
        <v>0</v>
      </c>
      <c r="S101" s="28">
        <f t="shared" ca="1" si="32"/>
        <v>0</v>
      </c>
      <c r="T101" s="14">
        <f t="shared" ca="1" si="33"/>
        <v>0</v>
      </c>
      <c r="U101" s="14">
        <f t="shared" ca="1" si="34"/>
        <v>0</v>
      </c>
      <c r="V101" s="14">
        <f t="shared" ca="1" si="35"/>
        <v>0</v>
      </c>
      <c r="W101" s="14">
        <f t="shared" ca="1" si="36"/>
        <v>0</v>
      </c>
      <c r="Y101" s="17">
        <f ca="1">IF($A101=0,0,SUMIF('Week 1 Roster'!$AZ:$AZ,$B101,'Week 1 Roster'!$AE:$AE))</f>
        <v>0</v>
      </c>
      <c r="Z101" s="17">
        <f ca="1">IF($A101=0,0,SUMIF('Week 1 Roster'!$AZ:$AZ,$B101,'Week 1 Roster'!$AG:$AG))</f>
        <v>0</v>
      </c>
      <c r="AA101" s="17">
        <f ca="1">IF($A101=0,0,SUMIF('Week 1 Roster'!$AZ:$AZ,$B101,'Week 1 Roster'!$AI:$AI))</f>
        <v>0</v>
      </c>
      <c r="AB101" s="17">
        <f ca="1">IF($A101=0,0,SUMIF('Week 1 Roster'!$AZ:$AZ,$B101,'Week 1 Roster'!$AK:$AK))</f>
        <v>0</v>
      </c>
      <c r="AC101" s="17">
        <f ca="1">IF($A101=0,0,SUMIF('Week 1 Roster'!$AZ:$AZ,$B101,'Week 1 Roster'!$AM:$AM))</f>
        <v>0</v>
      </c>
      <c r="AD101" s="17">
        <f ca="1">IF($A101=0,0,SUMIF('Week 1 Roster'!$AZ:$AZ,$B101,'Week 1 Roster'!$AO:$AO))</f>
        <v>0</v>
      </c>
      <c r="AE101" s="38">
        <f ca="1">IF($A101=0,0,SUMIF('Week 1 Roster'!$AZ:$AZ,$B101,'Week 1 Roster'!$AP:$AP))</f>
        <v>0</v>
      </c>
      <c r="AF101" s="17">
        <f ca="1">IF($A101=0,0,SUMIF('Week 1 Roster'!$AZ:$AZ,$B101,'Week 1 Roster'!$AQ:$AQ))</f>
        <v>0</v>
      </c>
      <c r="AG101" s="17">
        <f ca="1">IF($A101=0,0,SUMIF('Week 1 Roster'!$AZ:$AZ,$B101,'Week 1 Roster'!$AR:$AR))</f>
        <v>0</v>
      </c>
      <c r="AH101" s="17">
        <f ca="1">IF($A101=0,0,SUMIF('Week 1 Roster'!$AZ:$AZ,$B101,'Week 1 Roster'!$AS:$AS))</f>
        <v>0</v>
      </c>
      <c r="AI101" s="17">
        <f t="shared" ca="1" si="37"/>
        <v>0</v>
      </c>
      <c r="AK101" s="17">
        <f ca="1">IF($A101=0,0,SUMIF('Week 2 Roster'!$AZ:$AZ,$B101,'Week 2 Roster'!$AE:$AE))</f>
        <v>0</v>
      </c>
      <c r="AL101" s="17">
        <f ca="1">IF($A101=0,0,SUMIF('Week 2 Roster'!$AZ:$AZ,$B101,'Week 2 Roster'!$AG:$AG))</f>
        <v>0</v>
      </c>
      <c r="AM101" s="17">
        <f ca="1">IF($A101=0,0,SUMIF('Week 2 Roster'!$AZ:$AZ,$B101,'Week 2 Roster'!$AI:$AI))</f>
        <v>0</v>
      </c>
      <c r="AN101" s="17">
        <f ca="1">IF($A101=0,0,SUMIF('Week 2 Roster'!$AZ:$AZ,$B101,'Week 2 Roster'!$AK:$AK))</f>
        <v>0</v>
      </c>
      <c r="AO101" s="17">
        <f ca="1">IF($A101=0,0,SUMIF('Week 2 Roster'!$AZ:$AZ,$B101,'Week 2 Roster'!$AM:$AM))</f>
        <v>0</v>
      </c>
      <c r="AP101" s="17">
        <f ca="1">IF($A101=0,0,SUMIF('Week 2 Roster'!$AZ:$AZ,$B101,'Week 2 Roster'!$AO:$AO))</f>
        <v>0</v>
      </c>
      <c r="AQ101" s="38">
        <f ca="1">IF($A101=0,0,SUMIF('Week 2 Roster'!$AZ:$AZ,$B101,'Week 2 Roster'!$AP:$AP))</f>
        <v>0</v>
      </c>
      <c r="AR101" s="17">
        <f ca="1">IF($A101=0,0,SUMIF('Week 2 Roster'!$AZ:$AZ,$B101,'Week 2 Roster'!$AQ:$AQ))</f>
        <v>0</v>
      </c>
      <c r="AS101" s="17">
        <f ca="1">IF($A101=0,0,SUMIF('Week 2 Roster'!$AZ:$AZ,$B101,'Week 2 Roster'!$AR:$AR))</f>
        <v>0</v>
      </c>
      <c r="AT101" s="17">
        <f ca="1">IF($A101=0,0,SUMIF('Week 2 Roster'!$AZ:$AZ,$B101,'Week 2 Roster'!$AS:$AS))</f>
        <v>0</v>
      </c>
      <c r="AU101" s="17">
        <f t="shared" ca="1" si="38"/>
        <v>0</v>
      </c>
      <c r="AV101" s="17"/>
    </row>
    <row r="102" spans="1:50">
      <c r="A102" s="16" cm="1">
        <f t="array" aca="1" ref="A102" ca="1">_xlfn.NUMBERVALUE(INDIRECT(TEXT(MIN(IF(($AW$2:$AX$300&lt;&gt;"")*(COUNTIF($B$1:B101,$AW$2:$AX$300)=0),ROW($2:$300)*100+COLUMN($AW:$AX),7^8)),"R0C00"),)&amp;"")</f>
        <v>0</v>
      </c>
      <c r="B102" s="28" t="str">
        <f t="shared" ca="1" si="24"/>
        <v/>
      </c>
      <c r="C102" s="28" t="str">
        <f ca="1">IF($A102=0,"",VLOOKUP($B102,Employees!$A:$G,2,FALSE))</f>
        <v/>
      </c>
      <c r="D102" s="28" t="str">
        <f ca="1">IF($A102=0,"",VLOOKUP($B102,Employees!$A:$G,3,FALSE))</f>
        <v/>
      </c>
      <c r="E102" s="26" t="str">
        <f ca="1">IF($A102=0,"",VLOOKUP($B102,Employees!$A:$G,5,FALSE))</f>
        <v/>
      </c>
      <c r="F102" s="13" t="str">
        <f ca="1">IF($E102="","",ROUNDDOWN(YEARFRAC($E102, 'Week 1 Roster'!$D$1-1, 1), 0))</f>
        <v/>
      </c>
      <c r="G102" s="13" t="str">
        <f ca="1">IF($E102="","",ROUNDDOWN(YEARFRAC($E102, 'Week 1 Roster'!$D$1+14, 1), 0))</f>
        <v/>
      </c>
      <c r="H102" s="13" t="str">
        <f t="shared" ca="1" si="25"/>
        <v/>
      </c>
      <c r="I102" s="13" t="str">
        <f ca="1">IF($A102=0,"",VLOOKUP($B102,Employees!$A:$G,6,FALSE))</f>
        <v/>
      </c>
      <c r="J102" s="13" t="str">
        <f ca="1">IF($A102=0,"",VLOOKUP($B102,Employees!$A:$G,7,FALSE))</f>
        <v/>
      </c>
      <c r="K102" s="13" t="str">
        <f ca="1">IF($A102=0,"",IF(ISNA(VLOOKUP(A102,'Week 1 Roster'!A:C,2,0)),VLOOKUP(A102,'Week 2 Roster'!A:C,2,0),VLOOKUP(A102,'Week 1 Roster'!A:C,2,0)))</f>
        <v/>
      </c>
      <c r="L102" s="13" t="str">
        <f ca="1">IF($A102=0,"",VLOOKUP(K102,Stores!A:B,2,0))</f>
        <v/>
      </c>
      <c r="M102" s="14">
        <f t="shared" ca="1" si="26"/>
        <v>0</v>
      </c>
      <c r="N102" s="14">
        <f t="shared" ca="1" si="27"/>
        <v>0</v>
      </c>
      <c r="O102" s="14">
        <f t="shared" ca="1" si="28"/>
        <v>0</v>
      </c>
      <c r="P102" s="14">
        <f t="shared" ca="1" si="29"/>
        <v>0</v>
      </c>
      <c r="Q102" s="14">
        <f t="shared" ca="1" si="30"/>
        <v>0</v>
      </c>
      <c r="R102" s="14">
        <f t="shared" ca="1" si="31"/>
        <v>0</v>
      </c>
      <c r="S102" s="28">
        <f t="shared" ca="1" si="32"/>
        <v>0</v>
      </c>
      <c r="T102" s="14">
        <f t="shared" ca="1" si="33"/>
        <v>0</v>
      </c>
      <c r="U102" s="14">
        <f t="shared" ca="1" si="34"/>
        <v>0</v>
      </c>
      <c r="V102" s="14">
        <f t="shared" ca="1" si="35"/>
        <v>0</v>
      </c>
      <c r="W102" s="14">
        <f t="shared" ca="1" si="36"/>
        <v>0</v>
      </c>
      <c r="Y102" s="17">
        <f ca="1">IF($A102=0,0,SUMIF('Week 1 Roster'!$AZ:$AZ,$B102,'Week 1 Roster'!$AE:$AE))</f>
        <v>0</v>
      </c>
      <c r="Z102" s="17">
        <f ca="1">IF($A102=0,0,SUMIF('Week 1 Roster'!$AZ:$AZ,$B102,'Week 1 Roster'!$AG:$AG))</f>
        <v>0</v>
      </c>
      <c r="AA102" s="17">
        <f ca="1">IF($A102=0,0,SUMIF('Week 1 Roster'!$AZ:$AZ,$B102,'Week 1 Roster'!$AI:$AI))</f>
        <v>0</v>
      </c>
      <c r="AB102" s="17">
        <f ca="1">IF($A102=0,0,SUMIF('Week 1 Roster'!$AZ:$AZ,$B102,'Week 1 Roster'!$AK:$AK))</f>
        <v>0</v>
      </c>
      <c r="AC102" s="17">
        <f ca="1">IF($A102=0,0,SUMIF('Week 1 Roster'!$AZ:$AZ,$B102,'Week 1 Roster'!$AM:$AM))</f>
        <v>0</v>
      </c>
      <c r="AD102" s="17">
        <f ca="1">IF($A102=0,0,SUMIF('Week 1 Roster'!$AZ:$AZ,$B102,'Week 1 Roster'!$AO:$AO))</f>
        <v>0</v>
      </c>
      <c r="AE102" s="38">
        <f ca="1">IF($A102=0,0,SUMIF('Week 1 Roster'!$AZ:$AZ,$B102,'Week 1 Roster'!$AP:$AP))</f>
        <v>0</v>
      </c>
      <c r="AF102" s="17">
        <f ca="1">IF($A102=0,0,SUMIF('Week 1 Roster'!$AZ:$AZ,$B102,'Week 1 Roster'!$AQ:$AQ))</f>
        <v>0</v>
      </c>
      <c r="AG102" s="17">
        <f ca="1">IF($A102=0,0,SUMIF('Week 1 Roster'!$AZ:$AZ,$B102,'Week 1 Roster'!$AR:$AR))</f>
        <v>0</v>
      </c>
      <c r="AH102" s="17">
        <f ca="1">IF($A102=0,0,SUMIF('Week 1 Roster'!$AZ:$AZ,$B102,'Week 1 Roster'!$AS:$AS))</f>
        <v>0</v>
      </c>
      <c r="AI102" s="17">
        <f t="shared" ca="1" si="37"/>
        <v>0</v>
      </c>
      <c r="AK102" s="17">
        <f ca="1">IF($A102=0,0,SUMIF('Week 2 Roster'!$AZ:$AZ,$B102,'Week 2 Roster'!$AE:$AE))</f>
        <v>0</v>
      </c>
      <c r="AL102" s="17">
        <f ca="1">IF($A102=0,0,SUMIF('Week 2 Roster'!$AZ:$AZ,$B102,'Week 2 Roster'!$AG:$AG))</f>
        <v>0</v>
      </c>
      <c r="AM102" s="17">
        <f ca="1">IF($A102=0,0,SUMIF('Week 2 Roster'!$AZ:$AZ,$B102,'Week 2 Roster'!$AI:$AI))</f>
        <v>0</v>
      </c>
      <c r="AN102" s="17">
        <f ca="1">IF($A102=0,0,SUMIF('Week 2 Roster'!$AZ:$AZ,$B102,'Week 2 Roster'!$AK:$AK))</f>
        <v>0</v>
      </c>
      <c r="AO102" s="17">
        <f ca="1">IF($A102=0,0,SUMIF('Week 2 Roster'!$AZ:$AZ,$B102,'Week 2 Roster'!$AM:$AM))</f>
        <v>0</v>
      </c>
      <c r="AP102" s="17">
        <f ca="1">IF($A102=0,0,SUMIF('Week 2 Roster'!$AZ:$AZ,$B102,'Week 2 Roster'!$AO:$AO))</f>
        <v>0</v>
      </c>
      <c r="AQ102" s="38">
        <f ca="1">IF($A102=0,0,SUMIF('Week 2 Roster'!$AZ:$AZ,$B102,'Week 2 Roster'!$AP:$AP))</f>
        <v>0</v>
      </c>
      <c r="AR102" s="17">
        <f ca="1">IF($A102=0,0,SUMIF('Week 2 Roster'!$AZ:$AZ,$B102,'Week 2 Roster'!$AQ:$AQ))</f>
        <v>0</v>
      </c>
      <c r="AS102" s="17">
        <f ca="1">IF($A102=0,0,SUMIF('Week 2 Roster'!$AZ:$AZ,$B102,'Week 2 Roster'!$AR:$AR))</f>
        <v>0</v>
      </c>
      <c r="AT102" s="17">
        <f ca="1">IF($A102=0,0,SUMIF('Week 2 Roster'!$AZ:$AZ,$B102,'Week 2 Roster'!$AS:$AS))</f>
        <v>0</v>
      </c>
      <c r="AU102" s="17">
        <f t="shared" ca="1" si="38"/>
        <v>0</v>
      </c>
      <c r="AV102" s="17"/>
    </row>
    <row r="103" spans="1:50">
      <c r="A103" s="16" cm="1">
        <f t="array" aca="1" ref="A103" ca="1">_xlfn.NUMBERVALUE(INDIRECT(TEXT(MIN(IF(($AW$2:$AX$300&lt;&gt;"")*(COUNTIF($B$1:B102,$AW$2:$AX$300)=0),ROW($2:$300)*100+COLUMN($AW:$AX),7^8)),"R0C00"),)&amp;"")</f>
        <v>0</v>
      </c>
      <c r="B103" s="28" t="str">
        <f t="shared" ca="1" si="24"/>
        <v/>
      </c>
      <c r="C103" s="28" t="str">
        <f ca="1">IF($A103=0,"",VLOOKUP($B103,Employees!$A:$G,2,FALSE))</f>
        <v/>
      </c>
      <c r="D103" s="28" t="str">
        <f ca="1">IF($A103=0,"",VLOOKUP($B103,Employees!$A:$G,3,FALSE))</f>
        <v/>
      </c>
      <c r="E103" s="26" t="str">
        <f ca="1">IF($A103=0,"",VLOOKUP($B103,Employees!$A:$G,5,FALSE))</f>
        <v/>
      </c>
      <c r="F103" s="13" t="str">
        <f ca="1">IF($E103="","",ROUNDDOWN(YEARFRAC($E103, 'Week 1 Roster'!$D$1-1, 1), 0))</f>
        <v/>
      </c>
      <c r="G103" s="13" t="str">
        <f ca="1">IF($E103="","",ROUNDDOWN(YEARFRAC($E103, 'Week 1 Roster'!$D$1+14, 1), 0))</f>
        <v/>
      </c>
      <c r="H103" s="13" t="str">
        <f t="shared" ca="1" si="25"/>
        <v/>
      </c>
      <c r="I103" s="13" t="str">
        <f ca="1">IF($A103=0,"",VLOOKUP($B103,Employees!$A:$G,6,FALSE))</f>
        <v/>
      </c>
      <c r="J103" s="13" t="str">
        <f ca="1">IF($A103=0,"",VLOOKUP($B103,Employees!$A:$G,7,FALSE))</f>
        <v/>
      </c>
      <c r="K103" s="13" t="str">
        <f ca="1">IF($A103=0,"",IF(ISNA(VLOOKUP(A103,'Week 1 Roster'!A:C,2,0)),VLOOKUP(A103,'Week 2 Roster'!A:C,2,0),VLOOKUP(A103,'Week 1 Roster'!A:C,2,0)))</f>
        <v/>
      </c>
      <c r="L103" s="13" t="str">
        <f ca="1">IF($A103=0,"",VLOOKUP(K103,Stores!A:B,2,0))</f>
        <v/>
      </c>
      <c r="M103" s="14">
        <f t="shared" ca="1" si="26"/>
        <v>0</v>
      </c>
      <c r="N103" s="14">
        <f t="shared" ca="1" si="27"/>
        <v>0</v>
      </c>
      <c r="O103" s="14">
        <f t="shared" ca="1" si="28"/>
        <v>0</v>
      </c>
      <c r="P103" s="14">
        <f t="shared" ca="1" si="29"/>
        <v>0</v>
      </c>
      <c r="Q103" s="14">
        <f t="shared" ca="1" si="30"/>
        <v>0</v>
      </c>
      <c r="R103" s="14">
        <f t="shared" ca="1" si="31"/>
        <v>0</v>
      </c>
      <c r="S103" s="28">
        <f t="shared" ca="1" si="32"/>
        <v>0</v>
      </c>
      <c r="T103" s="14">
        <f t="shared" ca="1" si="33"/>
        <v>0</v>
      </c>
      <c r="U103" s="14">
        <f t="shared" ca="1" si="34"/>
        <v>0</v>
      </c>
      <c r="V103" s="14">
        <f t="shared" ca="1" si="35"/>
        <v>0</v>
      </c>
      <c r="W103" s="14">
        <f t="shared" ca="1" si="36"/>
        <v>0</v>
      </c>
      <c r="Y103" s="17">
        <f ca="1">IF($A103=0,0,SUMIF('Week 1 Roster'!$AZ:$AZ,$B103,'Week 1 Roster'!$AE:$AE))</f>
        <v>0</v>
      </c>
      <c r="Z103" s="17">
        <f ca="1">IF($A103=0,0,SUMIF('Week 1 Roster'!$AZ:$AZ,$B103,'Week 1 Roster'!$AG:$AG))</f>
        <v>0</v>
      </c>
      <c r="AA103" s="17">
        <f ca="1">IF($A103=0,0,SUMIF('Week 1 Roster'!$AZ:$AZ,$B103,'Week 1 Roster'!$AI:$AI))</f>
        <v>0</v>
      </c>
      <c r="AB103" s="17">
        <f ca="1">IF($A103=0,0,SUMIF('Week 1 Roster'!$AZ:$AZ,$B103,'Week 1 Roster'!$AK:$AK))</f>
        <v>0</v>
      </c>
      <c r="AC103" s="17">
        <f ca="1">IF($A103=0,0,SUMIF('Week 1 Roster'!$AZ:$AZ,$B103,'Week 1 Roster'!$AM:$AM))</f>
        <v>0</v>
      </c>
      <c r="AD103" s="17">
        <f ca="1">IF($A103=0,0,SUMIF('Week 1 Roster'!$AZ:$AZ,$B103,'Week 1 Roster'!$AO:$AO))</f>
        <v>0</v>
      </c>
      <c r="AE103" s="38">
        <f ca="1">IF($A103=0,0,SUMIF('Week 1 Roster'!$AZ:$AZ,$B103,'Week 1 Roster'!$AP:$AP))</f>
        <v>0</v>
      </c>
      <c r="AF103" s="17">
        <f ca="1">IF($A103=0,0,SUMIF('Week 1 Roster'!$AZ:$AZ,$B103,'Week 1 Roster'!$AQ:$AQ))</f>
        <v>0</v>
      </c>
      <c r="AG103" s="17">
        <f ca="1">IF($A103=0,0,SUMIF('Week 1 Roster'!$AZ:$AZ,$B103,'Week 1 Roster'!$AR:$AR))</f>
        <v>0</v>
      </c>
      <c r="AH103" s="17">
        <f ca="1">IF($A103=0,0,SUMIF('Week 1 Roster'!$AZ:$AZ,$B103,'Week 1 Roster'!$AS:$AS))</f>
        <v>0</v>
      </c>
      <c r="AI103" s="17">
        <f t="shared" ca="1" si="37"/>
        <v>0</v>
      </c>
      <c r="AK103" s="17">
        <f ca="1">IF($A103=0,0,SUMIF('Week 2 Roster'!$AZ:$AZ,$B103,'Week 2 Roster'!$AE:$AE))</f>
        <v>0</v>
      </c>
      <c r="AL103" s="17">
        <f ca="1">IF($A103=0,0,SUMIF('Week 2 Roster'!$AZ:$AZ,$B103,'Week 2 Roster'!$AG:$AG))</f>
        <v>0</v>
      </c>
      <c r="AM103" s="17">
        <f ca="1">IF($A103=0,0,SUMIF('Week 2 Roster'!$AZ:$AZ,$B103,'Week 2 Roster'!$AI:$AI))</f>
        <v>0</v>
      </c>
      <c r="AN103" s="17">
        <f ca="1">IF($A103=0,0,SUMIF('Week 2 Roster'!$AZ:$AZ,$B103,'Week 2 Roster'!$AK:$AK))</f>
        <v>0</v>
      </c>
      <c r="AO103" s="17">
        <f ca="1">IF($A103=0,0,SUMIF('Week 2 Roster'!$AZ:$AZ,$B103,'Week 2 Roster'!$AM:$AM))</f>
        <v>0</v>
      </c>
      <c r="AP103" s="17">
        <f ca="1">IF($A103=0,0,SUMIF('Week 2 Roster'!$AZ:$AZ,$B103,'Week 2 Roster'!$AO:$AO))</f>
        <v>0</v>
      </c>
      <c r="AQ103" s="38">
        <f ca="1">IF($A103=0,0,SUMIF('Week 2 Roster'!$AZ:$AZ,$B103,'Week 2 Roster'!$AP:$AP))</f>
        <v>0</v>
      </c>
      <c r="AR103" s="17">
        <f ca="1">IF($A103=0,0,SUMIF('Week 2 Roster'!$AZ:$AZ,$B103,'Week 2 Roster'!$AQ:$AQ))</f>
        <v>0</v>
      </c>
      <c r="AS103" s="17">
        <f ca="1">IF($A103=0,0,SUMIF('Week 2 Roster'!$AZ:$AZ,$B103,'Week 2 Roster'!$AR:$AR))</f>
        <v>0</v>
      </c>
      <c r="AT103" s="17">
        <f ca="1">IF($A103=0,0,SUMIF('Week 2 Roster'!$AZ:$AZ,$B103,'Week 2 Roster'!$AS:$AS))</f>
        <v>0</v>
      </c>
      <c r="AU103" s="17">
        <f t="shared" ca="1" si="38"/>
        <v>0</v>
      </c>
      <c r="AV103" s="17"/>
    </row>
    <row r="104" spans="1:50">
      <c r="A104" s="16" cm="1">
        <f t="array" aca="1" ref="A104" ca="1">_xlfn.NUMBERVALUE(INDIRECT(TEXT(MIN(IF(($AW$2:$AX$300&lt;&gt;"")*(COUNTIF($B$1:B103,$AW$2:$AX$300)=0),ROW($2:$300)*100+COLUMN($AW:$AX),7^8)),"R0C00"),)&amp;"")</f>
        <v>0</v>
      </c>
      <c r="B104" s="28" t="str">
        <f t="shared" ca="1" si="24"/>
        <v/>
      </c>
      <c r="C104" s="28" t="str">
        <f ca="1">IF($A104=0,"",VLOOKUP($B104,Employees!$A:$G,2,FALSE))</f>
        <v/>
      </c>
      <c r="D104" s="28" t="str">
        <f ca="1">IF($A104=0,"",VLOOKUP($B104,Employees!$A:$G,3,FALSE))</f>
        <v/>
      </c>
      <c r="E104" s="26" t="str">
        <f ca="1">IF($A104=0,"",VLOOKUP($B104,Employees!$A:$G,5,FALSE))</f>
        <v/>
      </c>
      <c r="F104" s="13" t="str">
        <f ca="1">IF($E104="","",ROUNDDOWN(YEARFRAC($E104, 'Week 1 Roster'!$D$1-1, 1), 0))</f>
        <v/>
      </c>
      <c r="G104" s="13" t="str">
        <f ca="1">IF($E104="","",ROUNDDOWN(YEARFRAC($E104, 'Week 1 Roster'!$D$1+14, 1), 0))</f>
        <v/>
      </c>
      <c r="H104" s="13" t="str">
        <f t="shared" ca="1" si="25"/>
        <v/>
      </c>
      <c r="I104" s="13" t="str">
        <f ca="1">IF($A104=0,"",VLOOKUP($B104,Employees!$A:$G,6,FALSE))</f>
        <v/>
      </c>
      <c r="J104" s="13" t="str">
        <f ca="1">IF($A104=0,"",VLOOKUP($B104,Employees!$A:$G,7,FALSE))</f>
        <v/>
      </c>
      <c r="K104" s="13" t="str">
        <f ca="1">IF($A104=0,"",IF(ISNA(VLOOKUP(A104,'Week 1 Roster'!A:C,2,0)),VLOOKUP(A104,'Week 2 Roster'!A:C,2,0),VLOOKUP(A104,'Week 1 Roster'!A:C,2,0)))</f>
        <v/>
      </c>
      <c r="L104" s="13" t="str">
        <f ca="1">IF($A104=0,"",VLOOKUP(K104,Stores!A:B,2,0))</f>
        <v/>
      </c>
      <c r="M104" s="14">
        <f t="shared" ca="1" si="26"/>
        <v>0</v>
      </c>
      <c r="N104" s="14">
        <f t="shared" ca="1" si="27"/>
        <v>0</v>
      </c>
      <c r="O104" s="14">
        <f t="shared" ca="1" si="28"/>
        <v>0</v>
      </c>
      <c r="P104" s="14">
        <f t="shared" ca="1" si="29"/>
        <v>0</v>
      </c>
      <c r="Q104" s="14">
        <f t="shared" ca="1" si="30"/>
        <v>0</v>
      </c>
      <c r="R104" s="14">
        <f t="shared" ca="1" si="31"/>
        <v>0</v>
      </c>
      <c r="S104" s="28">
        <f t="shared" ca="1" si="32"/>
        <v>0</v>
      </c>
      <c r="T104" s="14">
        <f t="shared" ca="1" si="33"/>
        <v>0</v>
      </c>
      <c r="U104" s="14">
        <f t="shared" ca="1" si="34"/>
        <v>0</v>
      </c>
      <c r="V104" s="14">
        <f t="shared" ca="1" si="35"/>
        <v>0</v>
      </c>
      <c r="W104" s="14">
        <f t="shared" ca="1" si="36"/>
        <v>0</v>
      </c>
      <c r="Y104" s="17">
        <f ca="1">IF($A104=0,0,SUMIF('Week 1 Roster'!$AZ:$AZ,$B104,'Week 1 Roster'!$AE:$AE))</f>
        <v>0</v>
      </c>
      <c r="Z104" s="17">
        <f ca="1">IF($A104=0,0,SUMIF('Week 1 Roster'!$AZ:$AZ,$B104,'Week 1 Roster'!$AG:$AG))</f>
        <v>0</v>
      </c>
      <c r="AA104" s="17">
        <f ca="1">IF($A104=0,0,SUMIF('Week 1 Roster'!$AZ:$AZ,$B104,'Week 1 Roster'!$AI:$AI))</f>
        <v>0</v>
      </c>
      <c r="AB104" s="17">
        <f ca="1">IF($A104=0,0,SUMIF('Week 1 Roster'!$AZ:$AZ,$B104,'Week 1 Roster'!$AK:$AK))</f>
        <v>0</v>
      </c>
      <c r="AC104" s="17">
        <f ca="1">IF($A104=0,0,SUMIF('Week 1 Roster'!$AZ:$AZ,$B104,'Week 1 Roster'!$AM:$AM))</f>
        <v>0</v>
      </c>
      <c r="AD104" s="17">
        <f ca="1">IF($A104=0,0,SUMIF('Week 1 Roster'!$AZ:$AZ,$B104,'Week 1 Roster'!$AO:$AO))</f>
        <v>0</v>
      </c>
      <c r="AE104" s="38">
        <f ca="1">IF($A104=0,0,SUMIF('Week 1 Roster'!$AZ:$AZ,$B104,'Week 1 Roster'!$AP:$AP))</f>
        <v>0</v>
      </c>
      <c r="AF104" s="17">
        <f ca="1">IF($A104=0,0,SUMIF('Week 1 Roster'!$AZ:$AZ,$B104,'Week 1 Roster'!$AQ:$AQ))</f>
        <v>0</v>
      </c>
      <c r="AG104" s="17">
        <f ca="1">IF($A104=0,0,SUMIF('Week 1 Roster'!$AZ:$AZ,$B104,'Week 1 Roster'!$AR:$AR))</f>
        <v>0</v>
      </c>
      <c r="AH104" s="17">
        <f ca="1">IF($A104=0,0,SUMIF('Week 1 Roster'!$AZ:$AZ,$B104,'Week 1 Roster'!$AS:$AS))</f>
        <v>0</v>
      </c>
      <c r="AI104" s="17">
        <f t="shared" ca="1" si="37"/>
        <v>0</v>
      </c>
      <c r="AK104" s="17">
        <f ca="1">IF($A104=0,0,SUMIF('Week 2 Roster'!$AZ:$AZ,$B104,'Week 2 Roster'!$AE:$AE))</f>
        <v>0</v>
      </c>
      <c r="AL104" s="17">
        <f ca="1">IF($A104=0,0,SUMIF('Week 2 Roster'!$AZ:$AZ,$B104,'Week 2 Roster'!$AG:$AG))</f>
        <v>0</v>
      </c>
      <c r="AM104" s="17">
        <f ca="1">IF($A104=0,0,SUMIF('Week 2 Roster'!$AZ:$AZ,$B104,'Week 2 Roster'!$AI:$AI))</f>
        <v>0</v>
      </c>
      <c r="AN104" s="17">
        <f ca="1">IF($A104=0,0,SUMIF('Week 2 Roster'!$AZ:$AZ,$B104,'Week 2 Roster'!$AK:$AK))</f>
        <v>0</v>
      </c>
      <c r="AO104" s="17">
        <f ca="1">IF($A104=0,0,SUMIF('Week 2 Roster'!$AZ:$AZ,$B104,'Week 2 Roster'!$AM:$AM))</f>
        <v>0</v>
      </c>
      <c r="AP104" s="17">
        <f ca="1">IF($A104=0,0,SUMIF('Week 2 Roster'!$AZ:$AZ,$B104,'Week 2 Roster'!$AO:$AO))</f>
        <v>0</v>
      </c>
      <c r="AQ104" s="38">
        <f ca="1">IF($A104=0,0,SUMIF('Week 2 Roster'!$AZ:$AZ,$B104,'Week 2 Roster'!$AP:$AP))</f>
        <v>0</v>
      </c>
      <c r="AR104" s="17">
        <f ca="1">IF($A104=0,0,SUMIF('Week 2 Roster'!$AZ:$AZ,$B104,'Week 2 Roster'!$AQ:$AQ))</f>
        <v>0</v>
      </c>
      <c r="AS104" s="17">
        <f ca="1">IF($A104=0,0,SUMIF('Week 2 Roster'!$AZ:$AZ,$B104,'Week 2 Roster'!$AR:$AR))</f>
        <v>0</v>
      </c>
      <c r="AT104" s="17">
        <f ca="1">IF($A104=0,0,SUMIF('Week 2 Roster'!$AZ:$AZ,$B104,'Week 2 Roster'!$AS:$AS))</f>
        <v>0</v>
      </c>
      <c r="AU104" s="17">
        <f t="shared" ca="1" si="38"/>
        <v>0</v>
      </c>
      <c r="AV104" s="17"/>
    </row>
    <row r="105" spans="1:50">
      <c r="A105" s="16" cm="1">
        <f t="array" aca="1" ref="A105" ca="1">_xlfn.NUMBERVALUE(INDIRECT(TEXT(MIN(IF(($AW$2:$AX$300&lt;&gt;"")*(COUNTIF($B$1:B104,$AW$2:$AX$300)=0),ROW($2:$300)*100+COLUMN($AW:$AX),7^8)),"R0C00"),)&amp;"")</f>
        <v>0</v>
      </c>
      <c r="B105" s="28" t="str">
        <f t="shared" ca="1" si="24"/>
        <v/>
      </c>
      <c r="C105" s="28" t="str">
        <f ca="1">IF($A105=0,"",VLOOKUP($B105,Employees!$A:$G,2,FALSE))</f>
        <v/>
      </c>
      <c r="D105" s="28" t="str">
        <f ca="1">IF($A105=0,"",VLOOKUP($B105,Employees!$A:$G,3,FALSE))</f>
        <v/>
      </c>
      <c r="E105" s="26" t="str">
        <f ca="1">IF($A105=0,"",VLOOKUP($B105,Employees!$A:$G,5,FALSE))</f>
        <v/>
      </c>
      <c r="F105" s="13" t="str">
        <f ca="1">IF($E105="","",ROUNDDOWN(YEARFRAC($E105, 'Week 1 Roster'!$D$1-1, 1), 0))</f>
        <v/>
      </c>
      <c r="G105" s="13" t="str">
        <f ca="1">IF($E105="","",ROUNDDOWN(YEARFRAC($E105, 'Week 1 Roster'!$D$1+14, 1), 0))</f>
        <v/>
      </c>
      <c r="H105" s="13" t="str">
        <f t="shared" ca="1" si="25"/>
        <v/>
      </c>
      <c r="I105" s="13" t="str">
        <f ca="1">IF($A105=0,"",VLOOKUP($B105,Employees!$A:$G,6,FALSE))</f>
        <v/>
      </c>
      <c r="J105" s="13" t="str">
        <f ca="1">IF($A105=0,"",VLOOKUP($B105,Employees!$A:$G,7,FALSE))</f>
        <v/>
      </c>
      <c r="K105" s="13" t="str">
        <f ca="1">IF($A105=0,"",IF(ISNA(VLOOKUP(A105,'Week 1 Roster'!A:C,2,0)),VLOOKUP(A105,'Week 2 Roster'!A:C,2,0),VLOOKUP(A105,'Week 1 Roster'!A:C,2,0)))</f>
        <v/>
      </c>
      <c r="L105" s="13" t="str">
        <f ca="1">IF($A105=0,"",VLOOKUP(K105,Stores!A:B,2,0))</f>
        <v/>
      </c>
      <c r="M105" s="14">
        <f t="shared" ca="1" si="26"/>
        <v>0</v>
      </c>
      <c r="N105" s="14">
        <f t="shared" ca="1" si="27"/>
        <v>0</v>
      </c>
      <c r="O105" s="14">
        <f t="shared" ca="1" si="28"/>
        <v>0</v>
      </c>
      <c r="P105" s="14">
        <f t="shared" ca="1" si="29"/>
        <v>0</v>
      </c>
      <c r="Q105" s="14">
        <f t="shared" ca="1" si="30"/>
        <v>0</v>
      </c>
      <c r="R105" s="14">
        <f t="shared" ca="1" si="31"/>
        <v>0</v>
      </c>
      <c r="S105" s="28">
        <f t="shared" ca="1" si="32"/>
        <v>0</v>
      </c>
      <c r="T105" s="14">
        <f t="shared" ca="1" si="33"/>
        <v>0</v>
      </c>
      <c r="U105" s="14">
        <f t="shared" ca="1" si="34"/>
        <v>0</v>
      </c>
      <c r="V105" s="14">
        <f t="shared" ca="1" si="35"/>
        <v>0</v>
      </c>
      <c r="W105" s="14">
        <f t="shared" ca="1" si="36"/>
        <v>0</v>
      </c>
      <c r="Y105" s="17">
        <f ca="1">IF($A105=0,0,SUMIF('Week 1 Roster'!$AZ:$AZ,$B105,'Week 1 Roster'!$AE:$AE))</f>
        <v>0</v>
      </c>
      <c r="Z105" s="17">
        <f ca="1">IF($A105=0,0,SUMIF('Week 1 Roster'!$AZ:$AZ,$B105,'Week 1 Roster'!$AG:$AG))</f>
        <v>0</v>
      </c>
      <c r="AA105" s="17">
        <f ca="1">IF($A105=0,0,SUMIF('Week 1 Roster'!$AZ:$AZ,$B105,'Week 1 Roster'!$AI:$AI))</f>
        <v>0</v>
      </c>
      <c r="AB105" s="17">
        <f ca="1">IF($A105=0,0,SUMIF('Week 1 Roster'!$AZ:$AZ,$B105,'Week 1 Roster'!$AK:$AK))</f>
        <v>0</v>
      </c>
      <c r="AC105" s="17">
        <f ca="1">IF($A105=0,0,SUMIF('Week 1 Roster'!$AZ:$AZ,$B105,'Week 1 Roster'!$AM:$AM))</f>
        <v>0</v>
      </c>
      <c r="AD105" s="17">
        <f ca="1">IF($A105=0,0,SUMIF('Week 1 Roster'!$AZ:$AZ,$B105,'Week 1 Roster'!$AO:$AO))</f>
        <v>0</v>
      </c>
      <c r="AE105" s="38">
        <f ca="1">IF($A105=0,0,SUMIF('Week 1 Roster'!$AZ:$AZ,$B105,'Week 1 Roster'!$AP:$AP))</f>
        <v>0</v>
      </c>
      <c r="AF105" s="17">
        <f ca="1">IF($A105=0,0,SUMIF('Week 1 Roster'!$AZ:$AZ,$B105,'Week 1 Roster'!$AQ:$AQ))</f>
        <v>0</v>
      </c>
      <c r="AG105" s="17">
        <f ca="1">IF($A105=0,0,SUMIF('Week 1 Roster'!$AZ:$AZ,$B105,'Week 1 Roster'!$AR:$AR))</f>
        <v>0</v>
      </c>
      <c r="AH105" s="17">
        <f ca="1">IF($A105=0,0,SUMIF('Week 1 Roster'!$AZ:$AZ,$B105,'Week 1 Roster'!$AS:$AS))</f>
        <v>0</v>
      </c>
      <c r="AI105" s="17">
        <f t="shared" ca="1" si="37"/>
        <v>0</v>
      </c>
      <c r="AK105" s="17">
        <f ca="1">IF($A105=0,0,SUMIF('Week 2 Roster'!$AZ:$AZ,$B105,'Week 2 Roster'!$AE:$AE))</f>
        <v>0</v>
      </c>
      <c r="AL105" s="17">
        <f ca="1">IF($A105=0,0,SUMIF('Week 2 Roster'!$AZ:$AZ,$B105,'Week 2 Roster'!$AG:$AG))</f>
        <v>0</v>
      </c>
      <c r="AM105" s="17">
        <f ca="1">IF($A105=0,0,SUMIF('Week 2 Roster'!$AZ:$AZ,$B105,'Week 2 Roster'!$AI:$AI))</f>
        <v>0</v>
      </c>
      <c r="AN105" s="17">
        <f ca="1">IF($A105=0,0,SUMIF('Week 2 Roster'!$AZ:$AZ,$B105,'Week 2 Roster'!$AK:$AK))</f>
        <v>0</v>
      </c>
      <c r="AO105" s="17">
        <f ca="1">IF($A105=0,0,SUMIF('Week 2 Roster'!$AZ:$AZ,$B105,'Week 2 Roster'!$AM:$AM))</f>
        <v>0</v>
      </c>
      <c r="AP105" s="17">
        <f ca="1">IF($A105=0,0,SUMIF('Week 2 Roster'!$AZ:$AZ,$B105,'Week 2 Roster'!$AO:$AO))</f>
        <v>0</v>
      </c>
      <c r="AQ105" s="38">
        <f ca="1">IF($A105=0,0,SUMIF('Week 2 Roster'!$AZ:$AZ,$B105,'Week 2 Roster'!$AP:$AP))</f>
        <v>0</v>
      </c>
      <c r="AR105" s="17">
        <f ca="1">IF($A105=0,0,SUMIF('Week 2 Roster'!$AZ:$AZ,$B105,'Week 2 Roster'!$AQ:$AQ))</f>
        <v>0</v>
      </c>
      <c r="AS105" s="17">
        <f ca="1">IF($A105=0,0,SUMIF('Week 2 Roster'!$AZ:$AZ,$B105,'Week 2 Roster'!$AR:$AR))</f>
        <v>0</v>
      </c>
      <c r="AT105" s="17">
        <f ca="1">IF($A105=0,0,SUMIF('Week 2 Roster'!$AZ:$AZ,$B105,'Week 2 Roster'!$AS:$AS))</f>
        <v>0</v>
      </c>
      <c r="AU105" s="17">
        <f t="shared" ca="1" si="38"/>
        <v>0</v>
      </c>
      <c r="AV105" s="17"/>
    </row>
    <row r="106" spans="1:50">
      <c r="A106" s="16" cm="1">
        <f t="array" aca="1" ref="A106" ca="1">_xlfn.NUMBERVALUE(INDIRECT(TEXT(MIN(IF(($AW$2:$AX$300&lt;&gt;"")*(COUNTIF($B$1:B105,$AW$2:$AX$300)=0),ROW($2:$300)*100+COLUMN($AW:$AX),7^8)),"R0C00"),)&amp;"")</f>
        <v>0</v>
      </c>
      <c r="B106" s="28" t="str">
        <f t="shared" ca="1" si="24"/>
        <v/>
      </c>
      <c r="C106" s="28" t="str">
        <f ca="1">IF($A106=0,"",VLOOKUP($B106,Employees!$A:$G,2,FALSE))</f>
        <v/>
      </c>
      <c r="D106" s="28" t="str">
        <f ca="1">IF($A106=0,"",VLOOKUP($B106,Employees!$A:$G,3,FALSE))</f>
        <v/>
      </c>
      <c r="E106" s="26" t="str">
        <f ca="1">IF($A106=0,"",VLOOKUP($B106,Employees!$A:$G,5,FALSE))</f>
        <v/>
      </c>
      <c r="F106" s="13" t="str">
        <f ca="1">IF($E106="","",ROUNDDOWN(YEARFRAC($E106, 'Week 1 Roster'!$D$1-1, 1), 0))</f>
        <v/>
      </c>
      <c r="G106" s="13" t="str">
        <f ca="1">IF($E106="","",ROUNDDOWN(YEARFRAC($E106, 'Week 1 Roster'!$D$1+14, 1), 0))</f>
        <v/>
      </c>
      <c r="H106" s="13" t="str">
        <f t="shared" ca="1" si="25"/>
        <v/>
      </c>
      <c r="I106" s="13" t="str">
        <f ca="1">IF($A106=0,"",VLOOKUP($B106,Employees!$A:$G,6,FALSE))</f>
        <v/>
      </c>
      <c r="J106" s="13" t="str">
        <f ca="1">IF($A106=0,"",VLOOKUP($B106,Employees!$A:$G,7,FALSE))</f>
        <v/>
      </c>
      <c r="K106" s="13" t="str">
        <f ca="1">IF($A106=0,"",IF(ISNA(VLOOKUP(A106,'Week 1 Roster'!A:C,2,0)),VLOOKUP(A106,'Week 2 Roster'!A:C,2,0),VLOOKUP(A106,'Week 1 Roster'!A:C,2,0)))</f>
        <v/>
      </c>
      <c r="L106" s="13" t="str">
        <f ca="1">IF($A106=0,"",VLOOKUP(K106,Stores!A:B,2,0))</f>
        <v/>
      </c>
      <c r="M106" s="14">
        <f t="shared" ca="1" si="26"/>
        <v>0</v>
      </c>
      <c r="N106" s="14">
        <f t="shared" ca="1" si="27"/>
        <v>0</v>
      </c>
      <c r="O106" s="14">
        <f t="shared" ca="1" si="28"/>
        <v>0</v>
      </c>
      <c r="P106" s="14">
        <f t="shared" ca="1" si="29"/>
        <v>0</v>
      </c>
      <c r="Q106" s="14">
        <f t="shared" ca="1" si="30"/>
        <v>0</v>
      </c>
      <c r="R106" s="14">
        <f t="shared" ca="1" si="31"/>
        <v>0</v>
      </c>
      <c r="S106" s="28">
        <f t="shared" ca="1" si="32"/>
        <v>0</v>
      </c>
      <c r="T106" s="14">
        <f t="shared" ca="1" si="33"/>
        <v>0</v>
      </c>
      <c r="U106" s="14">
        <f t="shared" ca="1" si="34"/>
        <v>0</v>
      </c>
      <c r="V106" s="14">
        <f t="shared" ca="1" si="35"/>
        <v>0</v>
      </c>
      <c r="W106" s="14">
        <f t="shared" ca="1" si="36"/>
        <v>0</v>
      </c>
      <c r="Y106" s="17">
        <f ca="1">IF($A106=0,0,SUMIF('Week 1 Roster'!$AZ:$AZ,$B106,'Week 1 Roster'!$AE:$AE))</f>
        <v>0</v>
      </c>
      <c r="Z106" s="17">
        <f ca="1">IF($A106=0,0,SUMIF('Week 1 Roster'!$AZ:$AZ,$B106,'Week 1 Roster'!$AG:$AG))</f>
        <v>0</v>
      </c>
      <c r="AA106" s="17">
        <f ca="1">IF($A106=0,0,SUMIF('Week 1 Roster'!$AZ:$AZ,$B106,'Week 1 Roster'!$AI:$AI))</f>
        <v>0</v>
      </c>
      <c r="AB106" s="17">
        <f ca="1">IF($A106=0,0,SUMIF('Week 1 Roster'!$AZ:$AZ,$B106,'Week 1 Roster'!$AK:$AK))</f>
        <v>0</v>
      </c>
      <c r="AC106" s="17">
        <f ca="1">IF($A106=0,0,SUMIF('Week 1 Roster'!$AZ:$AZ,$B106,'Week 1 Roster'!$AM:$AM))</f>
        <v>0</v>
      </c>
      <c r="AD106" s="17">
        <f ca="1">IF($A106=0,0,SUMIF('Week 1 Roster'!$AZ:$AZ,$B106,'Week 1 Roster'!$AO:$AO))</f>
        <v>0</v>
      </c>
      <c r="AE106" s="38">
        <f ca="1">IF($A106=0,0,SUMIF('Week 1 Roster'!$AZ:$AZ,$B106,'Week 1 Roster'!$AP:$AP))</f>
        <v>0</v>
      </c>
      <c r="AF106" s="17">
        <f ca="1">IF($A106=0,0,SUMIF('Week 1 Roster'!$AZ:$AZ,$B106,'Week 1 Roster'!$AQ:$AQ))</f>
        <v>0</v>
      </c>
      <c r="AG106" s="17">
        <f ca="1">IF($A106=0,0,SUMIF('Week 1 Roster'!$AZ:$AZ,$B106,'Week 1 Roster'!$AR:$AR))</f>
        <v>0</v>
      </c>
      <c r="AH106" s="17">
        <f ca="1">IF($A106=0,0,SUMIF('Week 1 Roster'!$AZ:$AZ,$B106,'Week 1 Roster'!$AS:$AS))</f>
        <v>0</v>
      </c>
      <c r="AI106" s="17">
        <f t="shared" ca="1" si="37"/>
        <v>0</v>
      </c>
      <c r="AK106" s="17">
        <f ca="1">IF($A106=0,0,SUMIF('Week 2 Roster'!$AZ:$AZ,$B106,'Week 2 Roster'!$AE:$AE))</f>
        <v>0</v>
      </c>
      <c r="AL106" s="17">
        <f ca="1">IF($A106=0,0,SUMIF('Week 2 Roster'!$AZ:$AZ,$B106,'Week 2 Roster'!$AG:$AG))</f>
        <v>0</v>
      </c>
      <c r="AM106" s="17">
        <f ca="1">IF($A106=0,0,SUMIF('Week 2 Roster'!$AZ:$AZ,$B106,'Week 2 Roster'!$AI:$AI))</f>
        <v>0</v>
      </c>
      <c r="AN106" s="17">
        <f ca="1">IF($A106=0,0,SUMIF('Week 2 Roster'!$AZ:$AZ,$B106,'Week 2 Roster'!$AK:$AK))</f>
        <v>0</v>
      </c>
      <c r="AO106" s="17">
        <f ca="1">IF($A106=0,0,SUMIF('Week 2 Roster'!$AZ:$AZ,$B106,'Week 2 Roster'!$AM:$AM))</f>
        <v>0</v>
      </c>
      <c r="AP106" s="17">
        <f ca="1">IF($A106=0,0,SUMIF('Week 2 Roster'!$AZ:$AZ,$B106,'Week 2 Roster'!$AO:$AO))</f>
        <v>0</v>
      </c>
      <c r="AQ106" s="38">
        <f ca="1">IF($A106=0,0,SUMIF('Week 2 Roster'!$AZ:$AZ,$B106,'Week 2 Roster'!$AP:$AP))</f>
        <v>0</v>
      </c>
      <c r="AR106" s="17">
        <f ca="1">IF($A106=0,0,SUMIF('Week 2 Roster'!$AZ:$AZ,$B106,'Week 2 Roster'!$AQ:$AQ))</f>
        <v>0</v>
      </c>
      <c r="AS106" s="17">
        <f ca="1">IF($A106=0,0,SUMIF('Week 2 Roster'!$AZ:$AZ,$B106,'Week 2 Roster'!$AR:$AR))</f>
        <v>0</v>
      </c>
      <c r="AT106" s="17">
        <f ca="1">IF($A106=0,0,SUMIF('Week 2 Roster'!$AZ:$AZ,$B106,'Week 2 Roster'!$AS:$AS))</f>
        <v>0</v>
      </c>
      <c r="AU106" s="17">
        <f t="shared" ca="1" si="38"/>
        <v>0</v>
      </c>
      <c r="AV106" s="17"/>
    </row>
    <row r="107" spans="1:50">
      <c r="A107" s="16" cm="1">
        <f t="array" aca="1" ref="A107" ca="1">_xlfn.NUMBERVALUE(INDIRECT(TEXT(MIN(IF(($AW$2:$AX$300&lt;&gt;"")*(COUNTIF($B$1:B106,$AW$2:$AX$300)=0),ROW($2:$300)*100+COLUMN($AW:$AX),7^8)),"R0C00"),)&amp;"")</f>
        <v>0</v>
      </c>
      <c r="B107" s="28" t="str">
        <f t="shared" ca="1" si="24"/>
        <v/>
      </c>
      <c r="C107" s="28" t="str">
        <f ca="1">IF($A107=0,"",VLOOKUP($B107,Employees!$A:$G,2,FALSE))</f>
        <v/>
      </c>
      <c r="D107" s="28" t="str">
        <f ca="1">IF($A107=0,"",VLOOKUP($B107,Employees!$A:$G,3,FALSE))</f>
        <v/>
      </c>
      <c r="E107" s="26" t="str">
        <f ca="1">IF($A107=0,"",VLOOKUP($B107,Employees!$A:$G,5,FALSE))</f>
        <v/>
      </c>
      <c r="F107" s="13" t="str">
        <f ca="1">IF($E107="","",ROUNDDOWN(YEARFRAC($E107, 'Week 1 Roster'!$D$1-1, 1), 0))</f>
        <v/>
      </c>
      <c r="G107" s="13" t="str">
        <f ca="1">IF($E107="","",ROUNDDOWN(YEARFRAC($E107, 'Week 1 Roster'!$D$1+14, 1), 0))</f>
        <v/>
      </c>
      <c r="H107" s="13" t="str">
        <f t="shared" ca="1" si="25"/>
        <v/>
      </c>
      <c r="I107" s="13" t="str">
        <f ca="1">IF($A107=0,"",VLOOKUP($B107,Employees!$A:$G,6,FALSE))</f>
        <v/>
      </c>
      <c r="J107" s="13" t="str">
        <f ca="1">IF($A107=0,"",VLOOKUP($B107,Employees!$A:$G,7,FALSE))</f>
        <v/>
      </c>
      <c r="K107" s="13" t="str">
        <f ca="1">IF($A107=0,"",IF(ISNA(VLOOKUP(A107,'Week 1 Roster'!A:C,2,0)),VLOOKUP(A107,'Week 2 Roster'!A:C,2,0),VLOOKUP(A107,'Week 1 Roster'!A:C,2,0)))</f>
        <v/>
      </c>
      <c r="L107" s="13" t="str">
        <f ca="1">IF($A107=0,"",VLOOKUP(K107,Stores!A:B,2,0))</f>
        <v/>
      </c>
      <c r="M107" s="14">
        <f t="shared" ca="1" si="26"/>
        <v>0</v>
      </c>
      <c r="N107" s="14">
        <f t="shared" ca="1" si="27"/>
        <v>0</v>
      </c>
      <c r="O107" s="14">
        <f t="shared" ca="1" si="28"/>
        <v>0</v>
      </c>
      <c r="P107" s="14">
        <f t="shared" ca="1" si="29"/>
        <v>0</v>
      </c>
      <c r="Q107" s="14">
        <f t="shared" ca="1" si="30"/>
        <v>0</v>
      </c>
      <c r="R107" s="14">
        <f t="shared" ca="1" si="31"/>
        <v>0</v>
      </c>
      <c r="S107" s="28">
        <f t="shared" ca="1" si="32"/>
        <v>0</v>
      </c>
      <c r="T107" s="14">
        <f t="shared" ca="1" si="33"/>
        <v>0</v>
      </c>
      <c r="U107" s="14">
        <f t="shared" ca="1" si="34"/>
        <v>0</v>
      </c>
      <c r="V107" s="14">
        <f t="shared" ca="1" si="35"/>
        <v>0</v>
      </c>
      <c r="W107" s="14">
        <f t="shared" ca="1" si="36"/>
        <v>0</v>
      </c>
      <c r="Y107" s="17">
        <f ca="1">IF($A107=0,0,SUMIF('Week 1 Roster'!$AZ:$AZ,$B107,'Week 1 Roster'!$AE:$AE))</f>
        <v>0</v>
      </c>
      <c r="Z107" s="17">
        <f ca="1">IF($A107=0,0,SUMIF('Week 1 Roster'!$AZ:$AZ,$B107,'Week 1 Roster'!$AG:$AG))</f>
        <v>0</v>
      </c>
      <c r="AA107" s="17">
        <f ca="1">IF($A107=0,0,SUMIF('Week 1 Roster'!$AZ:$AZ,$B107,'Week 1 Roster'!$AI:$AI))</f>
        <v>0</v>
      </c>
      <c r="AB107" s="17">
        <f ca="1">IF($A107=0,0,SUMIF('Week 1 Roster'!$AZ:$AZ,$B107,'Week 1 Roster'!$AK:$AK))</f>
        <v>0</v>
      </c>
      <c r="AC107" s="17">
        <f ca="1">IF($A107=0,0,SUMIF('Week 1 Roster'!$AZ:$AZ,$B107,'Week 1 Roster'!$AM:$AM))</f>
        <v>0</v>
      </c>
      <c r="AD107" s="17">
        <f ca="1">IF($A107=0,0,SUMIF('Week 1 Roster'!$AZ:$AZ,$B107,'Week 1 Roster'!$AO:$AO))</f>
        <v>0</v>
      </c>
      <c r="AE107" s="38">
        <f ca="1">IF($A107=0,0,SUMIF('Week 1 Roster'!$AZ:$AZ,$B107,'Week 1 Roster'!$AP:$AP))</f>
        <v>0</v>
      </c>
      <c r="AF107" s="17">
        <f ca="1">IF($A107=0,0,SUMIF('Week 1 Roster'!$AZ:$AZ,$B107,'Week 1 Roster'!$AQ:$AQ))</f>
        <v>0</v>
      </c>
      <c r="AG107" s="17">
        <f ca="1">IF($A107=0,0,SUMIF('Week 1 Roster'!$AZ:$AZ,$B107,'Week 1 Roster'!$AR:$AR))</f>
        <v>0</v>
      </c>
      <c r="AH107" s="17">
        <f ca="1">IF($A107=0,0,SUMIF('Week 1 Roster'!$AZ:$AZ,$B107,'Week 1 Roster'!$AS:$AS))</f>
        <v>0</v>
      </c>
      <c r="AI107" s="17">
        <f t="shared" ca="1" si="37"/>
        <v>0</v>
      </c>
      <c r="AK107" s="17">
        <f ca="1">IF($A107=0,0,SUMIF('Week 2 Roster'!$AZ:$AZ,$B107,'Week 2 Roster'!$AE:$AE))</f>
        <v>0</v>
      </c>
      <c r="AL107" s="17">
        <f ca="1">IF($A107=0,0,SUMIF('Week 2 Roster'!$AZ:$AZ,$B107,'Week 2 Roster'!$AG:$AG))</f>
        <v>0</v>
      </c>
      <c r="AM107" s="17">
        <f ca="1">IF($A107=0,0,SUMIF('Week 2 Roster'!$AZ:$AZ,$B107,'Week 2 Roster'!$AI:$AI))</f>
        <v>0</v>
      </c>
      <c r="AN107" s="17">
        <f ca="1">IF($A107=0,0,SUMIF('Week 2 Roster'!$AZ:$AZ,$B107,'Week 2 Roster'!$AK:$AK))</f>
        <v>0</v>
      </c>
      <c r="AO107" s="17">
        <f ca="1">IF($A107=0,0,SUMIF('Week 2 Roster'!$AZ:$AZ,$B107,'Week 2 Roster'!$AM:$AM))</f>
        <v>0</v>
      </c>
      <c r="AP107" s="17">
        <f ca="1">IF($A107=0,0,SUMIF('Week 2 Roster'!$AZ:$AZ,$B107,'Week 2 Roster'!$AO:$AO))</f>
        <v>0</v>
      </c>
      <c r="AQ107" s="38">
        <f ca="1">IF($A107=0,0,SUMIF('Week 2 Roster'!$AZ:$AZ,$B107,'Week 2 Roster'!$AP:$AP))</f>
        <v>0</v>
      </c>
      <c r="AR107" s="17">
        <f ca="1">IF($A107=0,0,SUMIF('Week 2 Roster'!$AZ:$AZ,$B107,'Week 2 Roster'!$AQ:$AQ))</f>
        <v>0</v>
      </c>
      <c r="AS107" s="17">
        <f ca="1">IF($A107=0,0,SUMIF('Week 2 Roster'!$AZ:$AZ,$B107,'Week 2 Roster'!$AR:$AR))</f>
        <v>0</v>
      </c>
      <c r="AT107" s="17">
        <f ca="1">IF($A107=0,0,SUMIF('Week 2 Roster'!$AZ:$AZ,$B107,'Week 2 Roster'!$AS:$AS))</f>
        <v>0</v>
      </c>
      <c r="AU107" s="17">
        <f t="shared" ca="1" si="38"/>
        <v>0</v>
      </c>
      <c r="AV107" s="17"/>
    </row>
    <row r="108" spans="1:50">
      <c r="A108" s="16" cm="1">
        <f t="array" aca="1" ref="A108" ca="1">_xlfn.NUMBERVALUE(INDIRECT(TEXT(MIN(IF(($AW$2:$AX$300&lt;&gt;"")*(COUNTIF($B$1:B107,$AW$2:$AX$300)=0),ROW($2:$300)*100+COLUMN($AW:$AX),7^8)),"R0C00"),)&amp;"")</f>
        <v>0</v>
      </c>
      <c r="B108" s="28" t="str">
        <f t="shared" ca="1" si="24"/>
        <v/>
      </c>
      <c r="C108" s="28" t="str">
        <f ca="1">IF($A108=0,"",VLOOKUP($B108,Employees!$A:$G,2,FALSE))</f>
        <v/>
      </c>
      <c r="D108" s="28" t="str">
        <f ca="1">IF($A108=0,"",VLOOKUP($B108,Employees!$A:$G,3,FALSE))</f>
        <v/>
      </c>
      <c r="E108" s="26" t="str">
        <f ca="1">IF($A108=0,"",VLOOKUP($B108,Employees!$A:$G,5,FALSE))</f>
        <v/>
      </c>
      <c r="F108" s="13" t="str">
        <f ca="1">IF($E108="","",ROUNDDOWN(YEARFRAC($E108, 'Week 1 Roster'!$D$1-1, 1), 0))</f>
        <v/>
      </c>
      <c r="G108" s="13" t="str">
        <f ca="1">IF($E108="","",ROUNDDOWN(YEARFRAC($E108, 'Week 1 Roster'!$D$1+14, 1), 0))</f>
        <v/>
      </c>
      <c r="H108" s="13" t="str">
        <f t="shared" ca="1" si="25"/>
        <v/>
      </c>
      <c r="I108" s="13" t="str">
        <f ca="1">IF($A108=0,"",VLOOKUP($B108,Employees!$A:$G,6,FALSE))</f>
        <v/>
      </c>
      <c r="J108" s="13" t="str">
        <f ca="1">IF($A108=0,"",VLOOKUP($B108,Employees!$A:$G,7,FALSE))</f>
        <v/>
      </c>
      <c r="K108" s="13" t="str">
        <f ca="1">IF($A108=0,"",IF(ISNA(VLOOKUP(A108,'Week 1 Roster'!A:C,2,0)),VLOOKUP(A108,'Week 2 Roster'!A:C,2,0),VLOOKUP(A108,'Week 1 Roster'!A:C,2,0)))</f>
        <v/>
      </c>
      <c r="L108" s="13" t="str">
        <f ca="1">IF($A108=0,"",VLOOKUP(K108,Stores!A:B,2,0))</f>
        <v/>
      </c>
      <c r="M108" s="14">
        <f t="shared" ca="1" si="26"/>
        <v>0</v>
      </c>
      <c r="N108" s="14">
        <f t="shared" ca="1" si="27"/>
        <v>0</v>
      </c>
      <c r="O108" s="14">
        <f t="shared" ca="1" si="28"/>
        <v>0</v>
      </c>
      <c r="P108" s="14">
        <f t="shared" ca="1" si="29"/>
        <v>0</v>
      </c>
      <c r="Q108" s="14">
        <f t="shared" ca="1" si="30"/>
        <v>0</v>
      </c>
      <c r="R108" s="14">
        <f t="shared" ca="1" si="31"/>
        <v>0</v>
      </c>
      <c r="S108" s="28">
        <f t="shared" ca="1" si="32"/>
        <v>0</v>
      </c>
      <c r="T108" s="14">
        <f t="shared" ca="1" si="33"/>
        <v>0</v>
      </c>
      <c r="U108" s="14">
        <f t="shared" ca="1" si="34"/>
        <v>0</v>
      </c>
      <c r="V108" s="14">
        <f t="shared" ca="1" si="35"/>
        <v>0</v>
      </c>
      <c r="W108" s="14">
        <f t="shared" ca="1" si="36"/>
        <v>0</v>
      </c>
      <c r="Y108" s="17">
        <f ca="1">IF($A108=0,0,SUMIF('Week 1 Roster'!$AZ:$AZ,$B108,'Week 1 Roster'!$AE:$AE))</f>
        <v>0</v>
      </c>
      <c r="Z108" s="17">
        <f ca="1">IF($A108=0,0,SUMIF('Week 1 Roster'!$AZ:$AZ,$B108,'Week 1 Roster'!$AG:$AG))</f>
        <v>0</v>
      </c>
      <c r="AA108" s="17">
        <f ca="1">IF($A108=0,0,SUMIF('Week 1 Roster'!$AZ:$AZ,$B108,'Week 1 Roster'!$AI:$AI))</f>
        <v>0</v>
      </c>
      <c r="AB108" s="17">
        <f ca="1">IF($A108=0,0,SUMIF('Week 1 Roster'!$AZ:$AZ,$B108,'Week 1 Roster'!$AK:$AK))</f>
        <v>0</v>
      </c>
      <c r="AC108" s="17">
        <f ca="1">IF($A108=0,0,SUMIF('Week 1 Roster'!$AZ:$AZ,$B108,'Week 1 Roster'!$AM:$AM))</f>
        <v>0</v>
      </c>
      <c r="AD108" s="17">
        <f ca="1">IF($A108=0,0,SUMIF('Week 1 Roster'!$AZ:$AZ,$B108,'Week 1 Roster'!$AO:$AO))</f>
        <v>0</v>
      </c>
      <c r="AE108" s="38">
        <f ca="1">IF($A108=0,0,SUMIF('Week 1 Roster'!$AZ:$AZ,$B108,'Week 1 Roster'!$AP:$AP))</f>
        <v>0</v>
      </c>
      <c r="AF108" s="17">
        <f ca="1">IF($A108=0,0,SUMIF('Week 1 Roster'!$AZ:$AZ,$B108,'Week 1 Roster'!$AQ:$AQ))</f>
        <v>0</v>
      </c>
      <c r="AG108" s="17">
        <f ca="1">IF($A108=0,0,SUMIF('Week 1 Roster'!$AZ:$AZ,$B108,'Week 1 Roster'!$AR:$AR))</f>
        <v>0</v>
      </c>
      <c r="AH108" s="17">
        <f ca="1">IF($A108=0,0,SUMIF('Week 1 Roster'!$AZ:$AZ,$B108,'Week 1 Roster'!$AS:$AS))</f>
        <v>0</v>
      </c>
      <c r="AI108" s="17">
        <f t="shared" ca="1" si="37"/>
        <v>0</v>
      </c>
      <c r="AK108" s="17">
        <f ca="1">IF($A108=0,0,SUMIF('Week 2 Roster'!$AZ:$AZ,$B108,'Week 2 Roster'!$AE:$AE))</f>
        <v>0</v>
      </c>
      <c r="AL108" s="17">
        <f ca="1">IF($A108=0,0,SUMIF('Week 2 Roster'!$AZ:$AZ,$B108,'Week 2 Roster'!$AG:$AG))</f>
        <v>0</v>
      </c>
      <c r="AM108" s="17">
        <f ca="1">IF($A108=0,0,SUMIF('Week 2 Roster'!$AZ:$AZ,$B108,'Week 2 Roster'!$AI:$AI))</f>
        <v>0</v>
      </c>
      <c r="AN108" s="17">
        <f ca="1">IF($A108=0,0,SUMIF('Week 2 Roster'!$AZ:$AZ,$B108,'Week 2 Roster'!$AK:$AK))</f>
        <v>0</v>
      </c>
      <c r="AO108" s="17">
        <f ca="1">IF($A108=0,0,SUMIF('Week 2 Roster'!$AZ:$AZ,$B108,'Week 2 Roster'!$AM:$AM))</f>
        <v>0</v>
      </c>
      <c r="AP108" s="17">
        <f ca="1">IF($A108=0,0,SUMIF('Week 2 Roster'!$AZ:$AZ,$B108,'Week 2 Roster'!$AO:$AO))</f>
        <v>0</v>
      </c>
      <c r="AQ108" s="38">
        <f ca="1">IF($A108=0,0,SUMIF('Week 2 Roster'!$AZ:$AZ,$B108,'Week 2 Roster'!$AP:$AP))</f>
        <v>0</v>
      </c>
      <c r="AR108" s="17">
        <f ca="1">IF($A108=0,0,SUMIF('Week 2 Roster'!$AZ:$AZ,$B108,'Week 2 Roster'!$AQ:$AQ))</f>
        <v>0</v>
      </c>
      <c r="AS108" s="17">
        <f ca="1">IF($A108=0,0,SUMIF('Week 2 Roster'!$AZ:$AZ,$B108,'Week 2 Roster'!$AR:$AR))</f>
        <v>0</v>
      </c>
      <c r="AT108" s="17">
        <f ca="1">IF($A108=0,0,SUMIF('Week 2 Roster'!$AZ:$AZ,$B108,'Week 2 Roster'!$AS:$AS))</f>
        <v>0</v>
      </c>
      <c r="AU108" s="17">
        <f t="shared" ca="1" si="38"/>
        <v>0</v>
      </c>
      <c r="AV108" s="17"/>
    </row>
    <row r="109" spans="1:50">
      <c r="A109" s="16" cm="1">
        <f t="array" aca="1" ref="A109" ca="1">_xlfn.NUMBERVALUE(INDIRECT(TEXT(MIN(IF(($AW$2:$AX$300&lt;&gt;"")*(COUNTIF($B$1:B108,$AW$2:$AX$300)=0),ROW($2:$300)*100+COLUMN($AW:$AX),7^8)),"R0C00"),)&amp;"")</f>
        <v>0</v>
      </c>
      <c r="B109" s="28" t="str">
        <f t="shared" ca="1" si="24"/>
        <v/>
      </c>
      <c r="C109" s="28" t="str">
        <f ca="1">IF($A109=0,"",VLOOKUP($B109,Employees!$A:$G,2,FALSE))</f>
        <v/>
      </c>
      <c r="D109" s="28" t="str">
        <f ca="1">IF($A109=0,"",VLOOKUP($B109,Employees!$A:$G,3,FALSE))</f>
        <v/>
      </c>
      <c r="E109" s="26" t="str">
        <f ca="1">IF($A109=0,"",VLOOKUP($B109,Employees!$A:$G,5,FALSE))</f>
        <v/>
      </c>
      <c r="F109" s="13" t="str">
        <f ca="1">IF($E109="","",ROUNDDOWN(YEARFRAC($E109, 'Week 1 Roster'!$D$1-1, 1), 0))</f>
        <v/>
      </c>
      <c r="G109" s="13" t="str">
        <f ca="1">IF($E109="","",ROUNDDOWN(YEARFRAC($E109, 'Week 1 Roster'!$D$1+14, 1), 0))</f>
        <v/>
      </c>
      <c r="H109" s="13" t="str">
        <f t="shared" ca="1" si="25"/>
        <v/>
      </c>
      <c r="I109" s="13" t="str">
        <f ca="1">IF($A109=0,"",VLOOKUP($B109,Employees!$A:$G,6,FALSE))</f>
        <v/>
      </c>
      <c r="J109" s="13" t="str">
        <f ca="1">IF($A109=0,"",VLOOKUP($B109,Employees!$A:$G,7,FALSE))</f>
        <v/>
      </c>
      <c r="K109" s="13" t="str">
        <f ca="1">IF($A109=0,"",IF(ISNA(VLOOKUP(A109,'Week 1 Roster'!A:C,2,0)),VLOOKUP(A109,'Week 2 Roster'!A:C,2,0),VLOOKUP(A109,'Week 1 Roster'!A:C,2,0)))</f>
        <v/>
      </c>
      <c r="L109" s="13" t="str">
        <f ca="1">IF($A109=0,"",VLOOKUP(K109,Stores!A:B,2,0))</f>
        <v/>
      </c>
      <c r="M109" s="14">
        <f t="shared" ca="1" si="26"/>
        <v>0</v>
      </c>
      <c r="N109" s="14">
        <f t="shared" ca="1" si="27"/>
        <v>0</v>
      </c>
      <c r="O109" s="14">
        <f t="shared" ca="1" si="28"/>
        <v>0</v>
      </c>
      <c r="P109" s="14">
        <f t="shared" ca="1" si="29"/>
        <v>0</v>
      </c>
      <c r="Q109" s="14">
        <f t="shared" ca="1" si="30"/>
        <v>0</v>
      </c>
      <c r="R109" s="14">
        <f t="shared" ca="1" si="31"/>
        <v>0</v>
      </c>
      <c r="S109" s="28">
        <f t="shared" ca="1" si="32"/>
        <v>0</v>
      </c>
      <c r="T109" s="14">
        <f t="shared" ca="1" si="33"/>
        <v>0</v>
      </c>
      <c r="U109" s="14">
        <f t="shared" ca="1" si="34"/>
        <v>0</v>
      </c>
      <c r="V109" s="14">
        <f t="shared" ca="1" si="35"/>
        <v>0</v>
      </c>
      <c r="W109" s="14">
        <f t="shared" ca="1" si="36"/>
        <v>0</v>
      </c>
      <c r="Y109" s="17">
        <f ca="1">IF($A109=0,0,SUMIF('Week 1 Roster'!$AZ:$AZ,$B109,'Week 1 Roster'!$AE:$AE))</f>
        <v>0</v>
      </c>
      <c r="Z109" s="17">
        <f ca="1">IF($A109=0,0,SUMIF('Week 1 Roster'!$AZ:$AZ,$B109,'Week 1 Roster'!$AG:$AG))</f>
        <v>0</v>
      </c>
      <c r="AA109" s="17">
        <f ca="1">IF($A109=0,0,SUMIF('Week 1 Roster'!$AZ:$AZ,$B109,'Week 1 Roster'!$AI:$AI))</f>
        <v>0</v>
      </c>
      <c r="AB109" s="17">
        <f ca="1">IF($A109=0,0,SUMIF('Week 1 Roster'!$AZ:$AZ,$B109,'Week 1 Roster'!$AK:$AK))</f>
        <v>0</v>
      </c>
      <c r="AC109" s="17">
        <f ca="1">IF($A109=0,0,SUMIF('Week 1 Roster'!$AZ:$AZ,$B109,'Week 1 Roster'!$AM:$AM))</f>
        <v>0</v>
      </c>
      <c r="AD109" s="17">
        <f ca="1">IF($A109=0,0,SUMIF('Week 1 Roster'!$AZ:$AZ,$B109,'Week 1 Roster'!$AO:$AO))</f>
        <v>0</v>
      </c>
      <c r="AE109" s="38">
        <f ca="1">IF($A109=0,0,SUMIF('Week 1 Roster'!$AZ:$AZ,$B109,'Week 1 Roster'!$AP:$AP))</f>
        <v>0</v>
      </c>
      <c r="AF109" s="17">
        <f ca="1">IF($A109=0,0,SUMIF('Week 1 Roster'!$AZ:$AZ,$B109,'Week 1 Roster'!$AQ:$AQ))</f>
        <v>0</v>
      </c>
      <c r="AG109" s="17">
        <f ca="1">IF($A109=0,0,SUMIF('Week 1 Roster'!$AZ:$AZ,$B109,'Week 1 Roster'!$AR:$AR))</f>
        <v>0</v>
      </c>
      <c r="AH109" s="17">
        <f ca="1">IF($A109=0,0,SUMIF('Week 1 Roster'!$AZ:$AZ,$B109,'Week 1 Roster'!$AS:$AS))</f>
        <v>0</v>
      </c>
      <c r="AI109" s="17">
        <f t="shared" ca="1" si="37"/>
        <v>0</v>
      </c>
      <c r="AK109" s="17">
        <f ca="1">IF($A109=0,0,SUMIF('Week 2 Roster'!$AZ:$AZ,$B109,'Week 2 Roster'!$AE:$AE))</f>
        <v>0</v>
      </c>
      <c r="AL109" s="17">
        <f ca="1">IF($A109=0,0,SUMIF('Week 2 Roster'!$AZ:$AZ,$B109,'Week 2 Roster'!$AG:$AG))</f>
        <v>0</v>
      </c>
      <c r="AM109" s="17">
        <f ca="1">IF($A109=0,0,SUMIF('Week 2 Roster'!$AZ:$AZ,$B109,'Week 2 Roster'!$AI:$AI))</f>
        <v>0</v>
      </c>
      <c r="AN109" s="17">
        <f ca="1">IF($A109=0,0,SUMIF('Week 2 Roster'!$AZ:$AZ,$B109,'Week 2 Roster'!$AK:$AK))</f>
        <v>0</v>
      </c>
      <c r="AO109" s="17">
        <f ca="1">IF($A109=0,0,SUMIF('Week 2 Roster'!$AZ:$AZ,$B109,'Week 2 Roster'!$AM:$AM))</f>
        <v>0</v>
      </c>
      <c r="AP109" s="17">
        <f ca="1">IF($A109=0,0,SUMIF('Week 2 Roster'!$AZ:$AZ,$B109,'Week 2 Roster'!$AO:$AO))</f>
        <v>0</v>
      </c>
      <c r="AQ109" s="38">
        <f ca="1">IF($A109=0,0,SUMIF('Week 2 Roster'!$AZ:$AZ,$B109,'Week 2 Roster'!$AP:$AP))</f>
        <v>0</v>
      </c>
      <c r="AR109" s="17">
        <f ca="1">IF($A109=0,0,SUMIF('Week 2 Roster'!$AZ:$AZ,$B109,'Week 2 Roster'!$AQ:$AQ))</f>
        <v>0</v>
      </c>
      <c r="AS109" s="17">
        <f ca="1">IF($A109=0,0,SUMIF('Week 2 Roster'!$AZ:$AZ,$B109,'Week 2 Roster'!$AR:$AR))</f>
        <v>0</v>
      </c>
      <c r="AT109" s="17">
        <f ca="1">IF($A109=0,0,SUMIF('Week 2 Roster'!$AZ:$AZ,$B109,'Week 2 Roster'!$AS:$AS))</f>
        <v>0</v>
      </c>
      <c r="AU109" s="17">
        <f t="shared" ca="1" si="38"/>
        <v>0</v>
      </c>
      <c r="AV109" s="17"/>
    </row>
    <row r="110" spans="1:50">
      <c r="A110" s="16" cm="1">
        <f t="array" aca="1" ref="A110" ca="1">_xlfn.NUMBERVALUE(INDIRECT(TEXT(MIN(IF(($AW$2:$AX$300&lt;&gt;"")*(COUNTIF($B$1:B109,$AW$2:$AX$300)=0),ROW($2:$300)*100+COLUMN($AW:$AX),7^8)),"R0C00"),)&amp;"")</f>
        <v>0</v>
      </c>
      <c r="B110" s="28" t="str">
        <f t="shared" ca="1" si="24"/>
        <v/>
      </c>
      <c r="C110" s="28" t="str">
        <f ca="1">IF($A110=0,"",VLOOKUP($B110,Employees!$A:$G,2,FALSE))</f>
        <v/>
      </c>
      <c r="D110" s="28" t="str">
        <f ca="1">IF($A110=0,"",VLOOKUP($B110,Employees!$A:$G,3,FALSE))</f>
        <v/>
      </c>
      <c r="E110" s="26" t="str">
        <f ca="1">IF($A110=0,"",VLOOKUP($B110,Employees!$A:$G,5,FALSE))</f>
        <v/>
      </c>
      <c r="F110" s="13" t="str">
        <f ca="1">IF($E110="","",ROUNDDOWN(YEARFRAC($E110, 'Week 1 Roster'!$D$1-1, 1), 0))</f>
        <v/>
      </c>
      <c r="G110" s="13" t="str">
        <f ca="1">IF($E110="","",ROUNDDOWN(YEARFRAC($E110, 'Week 1 Roster'!$D$1+14, 1), 0))</f>
        <v/>
      </c>
      <c r="H110" s="13" t="str">
        <f t="shared" ca="1" si="25"/>
        <v/>
      </c>
      <c r="I110" s="13" t="str">
        <f ca="1">IF($A110=0,"",VLOOKUP($B110,Employees!$A:$G,6,FALSE))</f>
        <v/>
      </c>
      <c r="J110" s="13" t="str">
        <f ca="1">IF($A110=0,"",VLOOKUP($B110,Employees!$A:$G,7,FALSE))</f>
        <v/>
      </c>
      <c r="K110" s="13" t="str">
        <f ca="1">IF($A110=0,"",IF(ISNA(VLOOKUP(A110,'Week 1 Roster'!A:C,2,0)),VLOOKUP(A110,'Week 2 Roster'!A:C,2,0),VLOOKUP(A110,'Week 1 Roster'!A:C,2,0)))</f>
        <v/>
      </c>
      <c r="L110" s="13" t="str">
        <f ca="1">IF($A110=0,"",VLOOKUP(K110,Stores!A:B,2,0))</f>
        <v/>
      </c>
      <c r="M110" s="14">
        <f t="shared" ca="1" si="26"/>
        <v>0</v>
      </c>
      <c r="N110" s="14">
        <f t="shared" ca="1" si="27"/>
        <v>0</v>
      </c>
      <c r="O110" s="14">
        <f t="shared" ca="1" si="28"/>
        <v>0</v>
      </c>
      <c r="P110" s="14">
        <f t="shared" ca="1" si="29"/>
        <v>0</v>
      </c>
      <c r="Q110" s="14">
        <f t="shared" ca="1" si="30"/>
        <v>0</v>
      </c>
      <c r="R110" s="14">
        <f t="shared" ca="1" si="31"/>
        <v>0</v>
      </c>
      <c r="S110" s="28">
        <f t="shared" ca="1" si="32"/>
        <v>0</v>
      </c>
      <c r="T110" s="14">
        <f t="shared" ca="1" si="33"/>
        <v>0</v>
      </c>
      <c r="U110" s="14">
        <f t="shared" ca="1" si="34"/>
        <v>0</v>
      </c>
      <c r="V110" s="14">
        <f t="shared" ca="1" si="35"/>
        <v>0</v>
      </c>
      <c r="W110" s="14">
        <f t="shared" ca="1" si="36"/>
        <v>0</v>
      </c>
      <c r="Y110" s="17">
        <f ca="1">IF($A110=0,0,SUMIF('Week 1 Roster'!$AZ:$AZ,$B110,'Week 1 Roster'!$AE:$AE))</f>
        <v>0</v>
      </c>
      <c r="Z110" s="17">
        <f ca="1">IF($A110=0,0,SUMIF('Week 1 Roster'!$AZ:$AZ,$B110,'Week 1 Roster'!$AG:$AG))</f>
        <v>0</v>
      </c>
      <c r="AA110" s="17">
        <f ca="1">IF($A110=0,0,SUMIF('Week 1 Roster'!$AZ:$AZ,$B110,'Week 1 Roster'!$AI:$AI))</f>
        <v>0</v>
      </c>
      <c r="AB110" s="17">
        <f ca="1">IF($A110=0,0,SUMIF('Week 1 Roster'!$AZ:$AZ,$B110,'Week 1 Roster'!$AK:$AK))</f>
        <v>0</v>
      </c>
      <c r="AC110" s="17">
        <f ca="1">IF($A110=0,0,SUMIF('Week 1 Roster'!$AZ:$AZ,$B110,'Week 1 Roster'!$AM:$AM))</f>
        <v>0</v>
      </c>
      <c r="AD110" s="17">
        <f ca="1">IF($A110=0,0,SUMIF('Week 1 Roster'!$AZ:$AZ,$B110,'Week 1 Roster'!$AO:$AO))</f>
        <v>0</v>
      </c>
      <c r="AE110" s="38">
        <f ca="1">IF($A110=0,0,SUMIF('Week 1 Roster'!$AZ:$AZ,$B110,'Week 1 Roster'!$AP:$AP))</f>
        <v>0</v>
      </c>
      <c r="AF110" s="17">
        <f ca="1">IF($A110=0,0,SUMIF('Week 1 Roster'!$AZ:$AZ,$B110,'Week 1 Roster'!$AQ:$AQ))</f>
        <v>0</v>
      </c>
      <c r="AG110" s="17">
        <f ca="1">IF($A110=0,0,SUMIF('Week 1 Roster'!$AZ:$AZ,$B110,'Week 1 Roster'!$AR:$AR))</f>
        <v>0</v>
      </c>
      <c r="AH110" s="17">
        <f ca="1">IF($A110=0,0,SUMIF('Week 1 Roster'!$AZ:$AZ,$B110,'Week 1 Roster'!$AS:$AS))</f>
        <v>0</v>
      </c>
      <c r="AI110" s="17">
        <f t="shared" ca="1" si="37"/>
        <v>0</v>
      </c>
      <c r="AK110" s="17">
        <f ca="1">IF($A110=0,0,SUMIF('Week 2 Roster'!$AZ:$AZ,$B110,'Week 2 Roster'!$AE:$AE))</f>
        <v>0</v>
      </c>
      <c r="AL110" s="17">
        <f ca="1">IF($A110=0,0,SUMIF('Week 2 Roster'!$AZ:$AZ,$B110,'Week 2 Roster'!$AG:$AG))</f>
        <v>0</v>
      </c>
      <c r="AM110" s="17">
        <f ca="1">IF($A110=0,0,SUMIF('Week 2 Roster'!$AZ:$AZ,$B110,'Week 2 Roster'!$AI:$AI))</f>
        <v>0</v>
      </c>
      <c r="AN110" s="17">
        <f ca="1">IF($A110=0,0,SUMIF('Week 2 Roster'!$AZ:$AZ,$B110,'Week 2 Roster'!$AK:$AK))</f>
        <v>0</v>
      </c>
      <c r="AO110" s="17">
        <f ca="1">IF($A110=0,0,SUMIF('Week 2 Roster'!$AZ:$AZ,$B110,'Week 2 Roster'!$AM:$AM))</f>
        <v>0</v>
      </c>
      <c r="AP110" s="17">
        <f ca="1">IF($A110=0,0,SUMIF('Week 2 Roster'!$AZ:$AZ,$B110,'Week 2 Roster'!$AO:$AO))</f>
        <v>0</v>
      </c>
      <c r="AQ110" s="38">
        <f ca="1">IF($A110=0,0,SUMIF('Week 2 Roster'!$AZ:$AZ,$B110,'Week 2 Roster'!$AP:$AP))</f>
        <v>0</v>
      </c>
      <c r="AR110" s="17">
        <f ca="1">IF($A110=0,0,SUMIF('Week 2 Roster'!$AZ:$AZ,$B110,'Week 2 Roster'!$AQ:$AQ))</f>
        <v>0</v>
      </c>
      <c r="AS110" s="17">
        <f ca="1">IF($A110=0,0,SUMIF('Week 2 Roster'!$AZ:$AZ,$B110,'Week 2 Roster'!$AR:$AR))</f>
        <v>0</v>
      </c>
      <c r="AT110" s="17">
        <f ca="1">IF($A110=0,0,SUMIF('Week 2 Roster'!$AZ:$AZ,$B110,'Week 2 Roster'!$AS:$AS))</f>
        <v>0</v>
      </c>
      <c r="AU110" s="17">
        <f t="shared" ca="1" si="38"/>
        <v>0</v>
      </c>
      <c r="AV110" s="17"/>
    </row>
    <row r="111" spans="1:50">
      <c r="A111" s="16" cm="1">
        <f t="array" aca="1" ref="A111" ca="1">_xlfn.NUMBERVALUE(INDIRECT(TEXT(MIN(IF(($AW$2:$AX$300&lt;&gt;"")*(COUNTIF($B$1:B110,$AW$2:$AX$300)=0),ROW($2:$300)*100+COLUMN($AW:$AX),7^8)),"R0C00"),)&amp;"")</f>
        <v>0</v>
      </c>
      <c r="B111" s="28" t="str">
        <f t="shared" ca="1" si="24"/>
        <v/>
      </c>
      <c r="C111" s="28" t="str">
        <f ca="1">IF($A111=0,"",VLOOKUP($B111,Employees!$A:$G,2,FALSE))</f>
        <v/>
      </c>
      <c r="D111" s="28" t="str">
        <f ca="1">IF($A111=0,"",VLOOKUP($B111,Employees!$A:$G,3,FALSE))</f>
        <v/>
      </c>
      <c r="E111" s="26" t="str">
        <f ca="1">IF($A111=0,"",VLOOKUP($B111,Employees!$A:$G,5,FALSE))</f>
        <v/>
      </c>
      <c r="F111" s="13" t="str">
        <f ca="1">IF($E111="","",ROUNDDOWN(YEARFRAC($E111, 'Week 1 Roster'!$D$1-1, 1), 0))</f>
        <v/>
      </c>
      <c r="G111" s="13" t="str">
        <f ca="1">IF($E111="","",ROUNDDOWN(YEARFRAC($E111, 'Week 1 Roster'!$D$1+14, 1), 0))</f>
        <v/>
      </c>
      <c r="H111" s="13" t="str">
        <f t="shared" ca="1" si="25"/>
        <v/>
      </c>
      <c r="I111" s="13" t="str">
        <f ca="1">IF($A111=0,"",VLOOKUP($B111,Employees!$A:$G,6,FALSE))</f>
        <v/>
      </c>
      <c r="J111" s="13" t="str">
        <f ca="1">IF($A111=0,"",VLOOKUP($B111,Employees!$A:$G,7,FALSE))</f>
        <v/>
      </c>
      <c r="K111" s="13" t="str">
        <f ca="1">IF($A111=0,"",IF(ISNA(VLOOKUP(A111,'Week 1 Roster'!A:C,2,0)),VLOOKUP(A111,'Week 2 Roster'!A:C,2,0),VLOOKUP(A111,'Week 1 Roster'!A:C,2,0)))</f>
        <v/>
      </c>
      <c r="L111" s="13" t="str">
        <f ca="1">IF($A111=0,"",VLOOKUP(K111,Stores!A:B,2,0))</f>
        <v/>
      </c>
      <c r="M111" s="14">
        <f t="shared" ca="1" si="26"/>
        <v>0</v>
      </c>
      <c r="N111" s="14">
        <f t="shared" ca="1" si="27"/>
        <v>0</v>
      </c>
      <c r="O111" s="14">
        <f t="shared" ca="1" si="28"/>
        <v>0</v>
      </c>
      <c r="P111" s="14">
        <f t="shared" ca="1" si="29"/>
        <v>0</v>
      </c>
      <c r="Q111" s="14">
        <f t="shared" ca="1" si="30"/>
        <v>0</v>
      </c>
      <c r="R111" s="14">
        <f t="shared" ca="1" si="31"/>
        <v>0</v>
      </c>
      <c r="S111" s="28">
        <f t="shared" ca="1" si="32"/>
        <v>0</v>
      </c>
      <c r="T111" s="14">
        <f t="shared" ca="1" si="33"/>
        <v>0</v>
      </c>
      <c r="U111" s="14">
        <f t="shared" ca="1" si="34"/>
        <v>0</v>
      </c>
      <c r="V111" s="14">
        <f t="shared" ca="1" si="35"/>
        <v>0</v>
      </c>
      <c r="W111" s="14">
        <f t="shared" ca="1" si="36"/>
        <v>0</v>
      </c>
      <c r="Y111" s="17">
        <f ca="1">IF($A111=0,0,SUMIF('Week 1 Roster'!$AZ:$AZ,$B111,'Week 1 Roster'!$AE:$AE))</f>
        <v>0</v>
      </c>
      <c r="Z111" s="17">
        <f ca="1">IF($A111=0,0,SUMIF('Week 1 Roster'!$AZ:$AZ,$B111,'Week 1 Roster'!$AG:$AG))</f>
        <v>0</v>
      </c>
      <c r="AA111" s="17">
        <f ca="1">IF($A111=0,0,SUMIF('Week 1 Roster'!$AZ:$AZ,$B111,'Week 1 Roster'!$AI:$AI))</f>
        <v>0</v>
      </c>
      <c r="AB111" s="17">
        <f ca="1">IF($A111=0,0,SUMIF('Week 1 Roster'!$AZ:$AZ,$B111,'Week 1 Roster'!$AK:$AK))</f>
        <v>0</v>
      </c>
      <c r="AC111" s="17">
        <f ca="1">IF($A111=0,0,SUMIF('Week 1 Roster'!$AZ:$AZ,$B111,'Week 1 Roster'!$AM:$AM))</f>
        <v>0</v>
      </c>
      <c r="AD111" s="17">
        <f ca="1">IF($A111=0,0,SUMIF('Week 1 Roster'!$AZ:$AZ,$B111,'Week 1 Roster'!$AO:$AO))</f>
        <v>0</v>
      </c>
      <c r="AE111" s="38">
        <f ca="1">IF($A111=0,0,SUMIF('Week 1 Roster'!$AZ:$AZ,$B111,'Week 1 Roster'!$AP:$AP))</f>
        <v>0</v>
      </c>
      <c r="AF111" s="17">
        <f ca="1">IF($A111=0,0,SUMIF('Week 1 Roster'!$AZ:$AZ,$B111,'Week 1 Roster'!$AQ:$AQ))</f>
        <v>0</v>
      </c>
      <c r="AG111" s="17">
        <f ca="1">IF($A111=0,0,SUMIF('Week 1 Roster'!$AZ:$AZ,$B111,'Week 1 Roster'!$AR:$AR))</f>
        <v>0</v>
      </c>
      <c r="AH111" s="17">
        <f ca="1">IF($A111=0,0,SUMIF('Week 1 Roster'!$AZ:$AZ,$B111,'Week 1 Roster'!$AS:$AS))</f>
        <v>0</v>
      </c>
      <c r="AI111" s="17">
        <f t="shared" ca="1" si="37"/>
        <v>0</v>
      </c>
      <c r="AK111" s="17">
        <f ca="1">IF($A111=0,0,SUMIF('Week 2 Roster'!$AZ:$AZ,$B111,'Week 2 Roster'!$AE:$AE))</f>
        <v>0</v>
      </c>
      <c r="AL111" s="17">
        <f ca="1">IF($A111=0,0,SUMIF('Week 2 Roster'!$AZ:$AZ,$B111,'Week 2 Roster'!$AG:$AG))</f>
        <v>0</v>
      </c>
      <c r="AM111" s="17">
        <f ca="1">IF($A111=0,0,SUMIF('Week 2 Roster'!$AZ:$AZ,$B111,'Week 2 Roster'!$AI:$AI))</f>
        <v>0</v>
      </c>
      <c r="AN111" s="17">
        <f ca="1">IF($A111=0,0,SUMIF('Week 2 Roster'!$AZ:$AZ,$B111,'Week 2 Roster'!$AK:$AK))</f>
        <v>0</v>
      </c>
      <c r="AO111" s="17">
        <f ca="1">IF($A111=0,0,SUMIF('Week 2 Roster'!$AZ:$AZ,$B111,'Week 2 Roster'!$AM:$AM))</f>
        <v>0</v>
      </c>
      <c r="AP111" s="17">
        <f ca="1">IF($A111=0,0,SUMIF('Week 2 Roster'!$AZ:$AZ,$B111,'Week 2 Roster'!$AO:$AO))</f>
        <v>0</v>
      </c>
      <c r="AQ111" s="38">
        <f ca="1">IF($A111=0,0,SUMIF('Week 2 Roster'!$AZ:$AZ,$B111,'Week 2 Roster'!$AP:$AP))</f>
        <v>0</v>
      </c>
      <c r="AR111" s="17">
        <f ca="1">IF($A111=0,0,SUMIF('Week 2 Roster'!$AZ:$AZ,$B111,'Week 2 Roster'!$AQ:$AQ))</f>
        <v>0</v>
      </c>
      <c r="AS111" s="17">
        <f ca="1">IF($A111=0,0,SUMIF('Week 2 Roster'!$AZ:$AZ,$B111,'Week 2 Roster'!$AR:$AR))</f>
        <v>0</v>
      </c>
      <c r="AT111" s="17">
        <f ca="1">IF($A111=0,0,SUMIF('Week 2 Roster'!$AZ:$AZ,$B111,'Week 2 Roster'!$AS:$AS))</f>
        <v>0</v>
      </c>
      <c r="AU111" s="17">
        <f t="shared" ca="1" si="38"/>
        <v>0</v>
      </c>
      <c r="AV111" s="17"/>
    </row>
    <row r="112" spans="1:50">
      <c r="A112" s="16" cm="1">
        <f t="array" aca="1" ref="A112" ca="1">_xlfn.NUMBERVALUE(INDIRECT(TEXT(MIN(IF(($AW$2:$AX$300&lt;&gt;"")*(COUNTIF($B$1:B111,$AW$2:$AX$300)=0),ROW($2:$300)*100+COLUMN($AW:$AX),7^8)),"R0C00"),)&amp;"")</f>
        <v>0</v>
      </c>
      <c r="B112" s="28" t="str">
        <f t="shared" ca="1" si="24"/>
        <v/>
      </c>
      <c r="C112" s="28" t="str">
        <f ca="1">IF($A112=0,"",VLOOKUP($B112,Employees!$A:$G,2,FALSE))</f>
        <v/>
      </c>
      <c r="D112" s="28" t="str">
        <f ca="1">IF($A112=0,"",VLOOKUP($B112,Employees!$A:$G,3,FALSE))</f>
        <v/>
      </c>
      <c r="E112" s="26" t="str">
        <f ca="1">IF($A112=0,"",VLOOKUP($B112,Employees!$A:$G,5,FALSE))</f>
        <v/>
      </c>
      <c r="F112" s="13" t="str">
        <f ca="1">IF($E112="","",ROUNDDOWN(YEARFRAC($E112, 'Week 1 Roster'!$D$1-1, 1), 0))</f>
        <v/>
      </c>
      <c r="G112" s="13" t="str">
        <f ca="1">IF($E112="","",ROUNDDOWN(YEARFRAC($E112, 'Week 1 Roster'!$D$1+14, 1), 0))</f>
        <v/>
      </c>
      <c r="H112" s="13" t="str">
        <f t="shared" ca="1" si="25"/>
        <v/>
      </c>
      <c r="I112" s="13" t="str">
        <f ca="1">IF($A112=0,"",VLOOKUP($B112,Employees!$A:$G,6,FALSE))</f>
        <v/>
      </c>
      <c r="J112" s="13" t="str">
        <f ca="1">IF($A112=0,"",VLOOKUP($B112,Employees!$A:$G,7,FALSE))</f>
        <v/>
      </c>
      <c r="K112" s="13" t="str">
        <f ca="1">IF($A112=0,"",IF(ISNA(VLOOKUP(A112,'Week 1 Roster'!A:C,2,0)),VLOOKUP(A112,'Week 2 Roster'!A:C,2,0),VLOOKUP(A112,'Week 1 Roster'!A:C,2,0)))</f>
        <v/>
      </c>
      <c r="L112" s="13" t="str">
        <f ca="1">IF($A112=0,"",VLOOKUP(K112,Stores!A:B,2,0))</f>
        <v/>
      </c>
      <c r="M112" s="14">
        <f t="shared" ca="1" si="26"/>
        <v>0</v>
      </c>
      <c r="N112" s="14">
        <f t="shared" ca="1" si="27"/>
        <v>0</v>
      </c>
      <c r="O112" s="14">
        <f t="shared" ca="1" si="28"/>
        <v>0</v>
      </c>
      <c r="P112" s="14">
        <f t="shared" ca="1" si="29"/>
        <v>0</v>
      </c>
      <c r="Q112" s="14">
        <f t="shared" ca="1" si="30"/>
        <v>0</v>
      </c>
      <c r="R112" s="14">
        <f t="shared" ca="1" si="31"/>
        <v>0</v>
      </c>
      <c r="S112" s="28">
        <f t="shared" ca="1" si="32"/>
        <v>0</v>
      </c>
      <c r="T112" s="14">
        <f t="shared" ca="1" si="33"/>
        <v>0</v>
      </c>
      <c r="U112" s="14">
        <f t="shared" ca="1" si="34"/>
        <v>0</v>
      </c>
      <c r="V112" s="14">
        <f t="shared" ca="1" si="35"/>
        <v>0</v>
      </c>
      <c r="W112" s="14">
        <f t="shared" ca="1" si="36"/>
        <v>0</v>
      </c>
      <c r="Y112" s="17">
        <f ca="1">IF($A112=0,0,SUMIF('Week 1 Roster'!$AZ:$AZ,$B112,'Week 1 Roster'!$AE:$AE))</f>
        <v>0</v>
      </c>
      <c r="Z112" s="17">
        <f ca="1">IF($A112=0,0,SUMIF('Week 1 Roster'!$AZ:$AZ,$B112,'Week 1 Roster'!$AG:$AG))</f>
        <v>0</v>
      </c>
      <c r="AA112" s="17">
        <f ca="1">IF($A112=0,0,SUMIF('Week 1 Roster'!$AZ:$AZ,$B112,'Week 1 Roster'!$AI:$AI))</f>
        <v>0</v>
      </c>
      <c r="AB112" s="17">
        <f ca="1">IF($A112=0,0,SUMIF('Week 1 Roster'!$AZ:$AZ,$B112,'Week 1 Roster'!$AK:$AK))</f>
        <v>0</v>
      </c>
      <c r="AC112" s="17">
        <f ca="1">IF($A112=0,0,SUMIF('Week 1 Roster'!$AZ:$AZ,$B112,'Week 1 Roster'!$AM:$AM))</f>
        <v>0</v>
      </c>
      <c r="AD112" s="17">
        <f ca="1">IF($A112=0,0,SUMIF('Week 1 Roster'!$AZ:$AZ,$B112,'Week 1 Roster'!$AO:$AO))</f>
        <v>0</v>
      </c>
      <c r="AE112" s="38">
        <f ca="1">IF($A112=0,0,SUMIF('Week 1 Roster'!$AZ:$AZ,$B112,'Week 1 Roster'!$AP:$AP))</f>
        <v>0</v>
      </c>
      <c r="AF112" s="17">
        <f ca="1">IF($A112=0,0,SUMIF('Week 1 Roster'!$AZ:$AZ,$B112,'Week 1 Roster'!$AQ:$AQ))</f>
        <v>0</v>
      </c>
      <c r="AG112" s="17">
        <f ca="1">IF($A112=0,0,SUMIF('Week 1 Roster'!$AZ:$AZ,$B112,'Week 1 Roster'!$AR:$AR))</f>
        <v>0</v>
      </c>
      <c r="AH112" s="17">
        <f ca="1">IF($A112=0,0,SUMIF('Week 1 Roster'!$AZ:$AZ,$B112,'Week 1 Roster'!$AS:$AS))</f>
        <v>0</v>
      </c>
      <c r="AI112" s="17">
        <f t="shared" ca="1" si="37"/>
        <v>0</v>
      </c>
      <c r="AK112" s="17">
        <f ca="1">IF($A112=0,0,SUMIF('Week 2 Roster'!$AZ:$AZ,$B112,'Week 2 Roster'!$AE:$AE))</f>
        <v>0</v>
      </c>
      <c r="AL112" s="17">
        <f ca="1">IF($A112=0,0,SUMIF('Week 2 Roster'!$AZ:$AZ,$B112,'Week 2 Roster'!$AG:$AG))</f>
        <v>0</v>
      </c>
      <c r="AM112" s="17">
        <f ca="1">IF($A112=0,0,SUMIF('Week 2 Roster'!$AZ:$AZ,$B112,'Week 2 Roster'!$AI:$AI))</f>
        <v>0</v>
      </c>
      <c r="AN112" s="17">
        <f ca="1">IF($A112=0,0,SUMIF('Week 2 Roster'!$AZ:$AZ,$B112,'Week 2 Roster'!$AK:$AK))</f>
        <v>0</v>
      </c>
      <c r="AO112" s="17">
        <f ca="1">IF($A112=0,0,SUMIF('Week 2 Roster'!$AZ:$AZ,$B112,'Week 2 Roster'!$AM:$AM))</f>
        <v>0</v>
      </c>
      <c r="AP112" s="17">
        <f ca="1">IF($A112=0,0,SUMIF('Week 2 Roster'!$AZ:$AZ,$B112,'Week 2 Roster'!$AO:$AO))</f>
        <v>0</v>
      </c>
      <c r="AQ112" s="38">
        <f ca="1">IF($A112=0,0,SUMIF('Week 2 Roster'!$AZ:$AZ,$B112,'Week 2 Roster'!$AP:$AP))</f>
        <v>0</v>
      </c>
      <c r="AR112" s="17">
        <f ca="1">IF($A112=0,0,SUMIF('Week 2 Roster'!$AZ:$AZ,$B112,'Week 2 Roster'!$AQ:$AQ))</f>
        <v>0</v>
      </c>
      <c r="AS112" s="17">
        <f ca="1">IF($A112=0,0,SUMIF('Week 2 Roster'!$AZ:$AZ,$B112,'Week 2 Roster'!$AR:$AR))</f>
        <v>0</v>
      </c>
      <c r="AT112" s="17">
        <f ca="1">IF($A112=0,0,SUMIF('Week 2 Roster'!$AZ:$AZ,$B112,'Week 2 Roster'!$AS:$AS))</f>
        <v>0</v>
      </c>
      <c r="AU112" s="17">
        <f t="shared" ca="1" si="38"/>
        <v>0</v>
      </c>
      <c r="AV112" s="17"/>
    </row>
    <row r="113" spans="1:48">
      <c r="A113" s="16" cm="1">
        <f t="array" aca="1" ref="A113" ca="1">_xlfn.NUMBERVALUE(INDIRECT(TEXT(MIN(IF(($AW$2:$AX$300&lt;&gt;"")*(COUNTIF($B$1:B112,$AW$2:$AX$300)=0),ROW($2:$300)*100+COLUMN($AW:$AX),7^8)),"R0C00"),)&amp;"")</f>
        <v>0</v>
      </c>
      <c r="B113" s="28" t="str">
        <f t="shared" ca="1" si="24"/>
        <v/>
      </c>
      <c r="C113" s="28" t="str">
        <f ca="1">IF($A113=0,"",VLOOKUP($B113,Employees!$A:$G,2,FALSE))</f>
        <v/>
      </c>
      <c r="D113" s="28" t="str">
        <f ca="1">IF($A113=0,"",VLOOKUP($B113,Employees!$A:$G,3,FALSE))</f>
        <v/>
      </c>
      <c r="E113" s="26" t="str">
        <f ca="1">IF($A113=0,"",VLOOKUP($B113,Employees!$A:$G,5,FALSE))</f>
        <v/>
      </c>
      <c r="F113" s="13" t="str">
        <f ca="1">IF($E113="","",ROUNDDOWN(YEARFRAC($E113, 'Week 1 Roster'!$D$1-1, 1), 0))</f>
        <v/>
      </c>
      <c r="G113" s="13" t="str">
        <f ca="1">IF($E113="","",ROUNDDOWN(YEARFRAC($E113, 'Week 1 Roster'!$D$1+14, 1), 0))</f>
        <v/>
      </c>
      <c r="H113" s="13" t="str">
        <f t="shared" ca="1" si="25"/>
        <v/>
      </c>
      <c r="I113" s="13" t="str">
        <f ca="1">IF($A113=0,"",VLOOKUP($B113,Employees!$A:$G,6,FALSE))</f>
        <v/>
      </c>
      <c r="J113" s="13" t="str">
        <f ca="1">IF($A113=0,"",VLOOKUP($B113,Employees!$A:$G,7,FALSE))</f>
        <v/>
      </c>
      <c r="K113" s="13" t="str">
        <f ca="1">IF($A113=0,"",IF(ISNA(VLOOKUP(A113,'Week 1 Roster'!A:C,2,0)),VLOOKUP(A113,'Week 2 Roster'!A:C,2,0),VLOOKUP(A113,'Week 1 Roster'!A:C,2,0)))</f>
        <v/>
      </c>
      <c r="L113" s="13" t="str">
        <f ca="1">IF($A113=0,"",VLOOKUP(K113,Stores!A:B,2,0))</f>
        <v/>
      </c>
      <c r="M113" s="14">
        <f t="shared" ca="1" si="26"/>
        <v>0</v>
      </c>
      <c r="N113" s="14">
        <f t="shared" ca="1" si="27"/>
        <v>0</v>
      </c>
      <c r="O113" s="14">
        <f t="shared" ca="1" si="28"/>
        <v>0</v>
      </c>
      <c r="P113" s="14">
        <f t="shared" ca="1" si="29"/>
        <v>0</v>
      </c>
      <c r="Q113" s="14">
        <f t="shared" ca="1" si="30"/>
        <v>0</v>
      </c>
      <c r="R113" s="14">
        <f t="shared" ca="1" si="31"/>
        <v>0</v>
      </c>
      <c r="S113" s="28">
        <f t="shared" ca="1" si="32"/>
        <v>0</v>
      </c>
      <c r="T113" s="14">
        <f t="shared" ca="1" si="33"/>
        <v>0</v>
      </c>
      <c r="U113" s="14">
        <f t="shared" ca="1" si="34"/>
        <v>0</v>
      </c>
      <c r="V113" s="14">
        <f t="shared" ca="1" si="35"/>
        <v>0</v>
      </c>
      <c r="W113" s="14">
        <f t="shared" ca="1" si="36"/>
        <v>0</v>
      </c>
      <c r="Y113" s="17">
        <f ca="1">IF($A113=0,0,SUMIF('Week 1 Roster'!$AZ:$AZ,$B113,'Week 1 Roster'!$AE:$AE))</f>
        <v>0</v>
      </c>
      <c r="Z113" s="17">
        <f ca="1">IF($A113=0,0,SUMIF('Week 1 Roster'!$AZ:$AZ,$B113,'Week 1 Roster'!$AG:$AG))</f>
        <v>0</v>
      </c>
      <c r="AA113" s="17">
        <f ca="1">IF($A113=0,0,SUMIF('Week 1 Roster'!$AZ:$AZ,$B113,'Week 1 Roster'!$AI:$AI))</f>
        <v>0</v>
      </c>
      <c r="AB113" s="17">
        <f ca="1">IF($A113=0,0,SUMIF('Week 1 Roster'!$AZ:$AZ,$B113,'Week 1 Roster'!$AK:$AK))</f>
        <v>0</v>
      </c>
      <c r="AC113" s="17">
        <f ca="1">IF($A113=0,0,SUMIF('Week 1 Roster'!$AZ:$AZ,$B113,'Week 1 Roster'!$AM:$AM))</f>
        <v>0</v>
      </c>
      <c r="AD113" s="17">
        <f ca="1">IF($A113=0,0,SUMIF('Week 1 Roster'!$AZ:$AZ,$B113,'Week 1 Roster'!$AO:$AO))</f>
        <v>0</v>
      </c>
      <c r="AE113" s="38">
        <f ca="1">IF($A113=0,0,SUMIF('Week 1 Roster'!$AZ:$AZ,$B113,'Week 1 Roster'!$AP:$AP))</f>
        <v>0</v>
      </c>
      <c r="AF113" s="17">
        <f ca="1">IF($A113=0,0,SUMIF('Week 1 Roster'!$AZ:$AZ,$B113,'Week 1 Roster'!$AQ:$AQ))</f>
        <v>0</v>
      </c>
      <c r="AG113" s="17">
        <f ca="1">IF($A113=0,0,SUMIF('Week 1 Roster'!$AZ:$AZ,$B113,'Week 1 Roster'!$AR:$AR))</f>
        <v>0</v>
      </c>
      <c r="AH113" s="17">
        <f ca="1">IF($A113=0,0,SUMIF('Week 1 Roster'!$AZ:$AZ,$B113,'Week 1 Roster'!$AS:$AS))</f>
        <v>0</v>
      </c>
      <c r="AI113" s="17">
        <f t="shared" ca="1" si="37"/>
        <v>0</v>
      </c>
      <c r="AK113" s="17">
        <f ca="1">IF($A113=0,0,SUMIF('Week 2 Roster'!$AZ:$AZ,$B113,'Week 2 Roster'!$AE:$AE))</f>
        <v>0</v>
      </c>
      <c r="AL113" s="17">
        <f ca="1">IF($A113=0,0,SUMIF('Week 2 Roster'!$AZ:$AZ,$B113,'Week 2 Roster'!$AG:$AG))</f>
        <v>0</v>
      </c>
      <c r="AM113" s="17">
        <f ca="1">IF($A113=0,0,SUMIF('Week 2 Roster'!$AZ:$AZ,$B113,'Week 2 Roster'!$AI:$AI))</f>
        <v>0</v>
      </c>
      <c r="AN113" s="17">
        <f ca="1">IF($A113=0,0,SUMIF('Week 2 Roster'!$AZ:$AZ,$B113,'Week 2 Roster'!$AK:$AK))</f>
        <v>0</v>
      </c>
      <c r="AO113" s="17">
        <f ca="1">IF($A113=0,0,SUMIF('Week 2 Roster'!$AZ:$AZ,$B113,'Week 2 Roster'!$AM:$AM))</f>
        <v>0</v>
      </c>
      <c r="AP113" s="17">
        <f ca="1">IF($A113=0,0,SUMIF('Week 2 Roster'!$AZ:$AZ,$B113,'Week 2 Roster'!$AO:$AO))</f>
        <v>0</v>
      </c>
      <c r="AQ113" s="38">
        <f ca="1">IF($A113=0,0,SUMIF('Week 2 Roster'!$AZ:$AZ,$B113,'Week 2 Roster'!$AP:$AP))</f>
        <v>0</v>
      </c>
      <c r="AR113" s="17">
        <f ca="1">IF($A113=0,0,SUMIF('Week 2 Roster'!$AZ:$AZ,$B113,'Week 2 Roster'!$AQ:$AQ))</f>
        <v>0</v>
      </c>
      <c r="AS113" s="17">
        <f ca="1">IF($A113=0,0,SUMIF('Week 2 Roster'!$AZ:$AZ,$B113,'Week 2 Roster'!$AR:$AR))</f>
        <v>0</v>
      </c>
      <c r="AT113" s="17">
        <f ca="1">IF($A113=0,0,SUMIF('Week 2 Roster'!$AZ:$AZ,$B113,'Week 2 Roster'!$AS:$AS))</f>
        <v>0</v>
      </c>
      <c r="AU113" s="17">
        <f t="shared" ca="1" si="38"/>
        <v>0</v>
      </c>
      <c r="AV113" s="17"/>
    </row>
    <row r="114" spans="1:48">
      <c r="A114" s="16" cm="1">
        <f t="array" aca="1" ref="A114" ca="1">_xlfn.NUMBERVALUE(INDIRECT(TEXT(MIN(IF(($AW$2:$AX$300&lt;&gt;"")*(COUNTIF($B$1:B113,$AW$2:$AX$300)=0),ROW($2:$300)*100+COLUMN($AW:$AX),7^8)),"R0C00"),)&amp;"")</f>
        <v>0</v>
      </c>
      <c r="B114" s="28" t="str">
        <f t="shared" ca="1" si="24"/>
        <v/>
      </c>
      <c r="C114" s="28" t="str">
        <f ca="1">IF($A114=0,"",VLOOKUP($B114,Employees!$A:$G,2,FALSE))</f>
        <v/>
      </c>
      <c r="D114" s="28" t="str">
        <f ca="1">IF($A114=0,"",VLOOKUP($B114,Employees!$A:$G,3,FALSE))</f>
        <v/>
      </c>
      <c r="E114" s="26" t="str">
        <f ca="1">IF($A114=0,"",VLOOKUP($B114,Employees!$A:$G,5,FALSE))</f>
        <v/>
      </c>
      <c r="F114" s="13" t="str">
        <f ca="1">IF($E114="","",ROUNDDOWN(YEARFRAC($E114, 'Week 1 Roster'!$D$1-1, 1), 0))</f>
        <v/>
      </c>
      <c r="G114" s="13" t="str">
        <f ca="1">IF($E114="","",ROUNDDOWN(YEARFRAC($E114, 'Week 1 Roster'!$D$1+14, 1), 0))</f>
        <v/>
      </c>
      <c r="H114" s="13" t="str">
        <f t="shared" ca="1" si="25"/>
        <v/>
      </c>
      <c r="I114" s="13" t="str">
        <f ca="1">IF($A114=0,"",VLOOKUP($B114,Employees!$A:$G,6,FALSE))</f>
        <v/>
      </c>
      <c r="J114" s="13" t="str">
        <f ca="1">IF($A114=0,"",VLOOKUP($B114,Employees!$A:$G,7,FALSE))</f>
        <v/>
      </c>
      <c r="K114" s="13" t="str">
        <f ca="1">IF($A114=0,"",IF(ISNA(VLOOKUP(A114,'Week 1 Roster'!A:C,2,0)),VLOOKUP(A114,'Week 2 Roster'!A:C,2,0),VLOOKUP(A114,'Week 1 Roster'!A:C,2,0)))</f>
        <v/>
      </c>
      <c r="L114" s="13" t="str">
        <f ca="1">IF($A114=0,"",VLOOKUP(K114,Stores!A:B,2,0))</f>
        <v/>
      </c>
      <c r="M114" s="14">
        <f t="shared" ca="1" si="26"/>
        <v>0</v>
      </c>
      <c r="N114" s="14">
        <f t="shared" ca="1" si="27"/>
        <v>0</v>
      </c>
      <c r="O114" s="14">
        <f t="shared" ca="1" si="28"/>
        <v>0</v>
      </c>
      <c r="P114" s="14">
        <f t="shared" ca="1" si="29"/>
        <v>0</v>
      </c>
      <c r="Q114" s="14">
        <f t="shared" ca="1" si="30"/>
        <v>0</v>
      </c>
      <c r="R114" s="14">
        <f t="shared" ca="1" si="31"/>
        <v>0</v>
      </c>
      <c r="S114" s="28">
        <f t="shared" ca="1" si="32"/>
        <v>0</v>
      </c>
      <c r="T114" s="14">
        <f t="shared" ca="1" si="33"/>
        <v>0</v>
      </c>
      <c r="U114" s="14">
        <f t="shared" ca="1" si="34"/>
        <v>0</v>
      </c>
      <c r="V114" s="14">
        <f t="shared" ca="1" si="35"/>
        <v>0</v>
      </c>
      <c r="W114" s="14">
        <f t="shared" ca="1" si="36"/>
        <v>0</v>
      </c>
      <c r="Y114" s="17">
        <f ca="1">IF($A114=0,0,SUMIF('Week 1 Roster'!$AZ:$AZ,$B114,'Week 1 Roster'!$AE:$AE))</f>
        <v>0</v>
      </c>
      <c r="Z114" s="17">
        <f ca="1">IF($A114=0,0,SUMIF('Week 1 Roster'!$AZ:$AZ,$B114,'Week 1 Roster'!$AG:$AG))</f>
        <v>0</v>
      </c>
      <c r="AA114" s="17">
        <f ca="1">IF($A114=0,0,SUMIF('Week 1 Roster'!$AZ:$AZ,$B114,'Week 1 Roster'!$AI:$AI))</f>
        <v>0</v>
      </c>
      <c r="AB114" s="17">
        <f ca="1">IF($A114=0,0,SUMIF('Week 1 Roster'!$AZ:$AZ,$B114,'Week 1 Roster'!$AK:$AK))</f>
        <v>0</v>
      </c>
      <c r="AC114" s="17">
        <f ca="1">IF($A114=0,0,SUMIF('Week 1 Roster'!$AZ:$AZ,$B114,'Week 1 Roster'!$AM:$AM))</f>
        <v>0</v>
      </c>
      <c r="AD114" s="17">
        <f ca="1">IF($A114=0,0,SUMIF('Week 1 Roster'!$AZ:$AZ,$B114,'Week 1 Roster'!$AO:$AO))</f>
        <v>0</v>
      </c>
      <c r="AE114" s="38">
        <f ca="1">IF($A114=0,0,SUMIF('Week 1 Roster'!$AZ:$AZ,$B114,'Week 1 Roster'!$AP:$AP))</f>
        <v>0</v>
      </c>
      <c r="AF114" s="17">
        <f ca="1">IF($A114=0,0,SUMIF('Week 1 Roster'!$AZ:$AZ,$B114,'Week 1 Roster'!$AQ:$AQ))</f>
        <v>0</v>
      </c>
      <c r="AG114" s="17">
        <f ca="1">IF($A114=0,0,SUMIF('Week 1 Roster'!$AZ:$AZ,$B114,'Week 1 Roster'!$AR:$AR))</f>
        <v>0</v>
      </c>
      <c r="AH114" s="17">
        <f ca="1">IF($A114=0,0,SUMIF('Week 1 Roster'!$AZ:$AZ,$B114,'Week 1 Roster'!$AS:$AS))</f>
        <v>0</v>
      </c>
      <c r="AI114" s="17">
        <f t="shared" ca="1" si="37"/>
        <v>0</v>
      </c>
      <c r="AK114" s="17">
        <f ca="1">IF($A114=0,0,SUMIF('Week 2 Roster'!$AZ:$AZ,$B114,'Week 2 Roster'!$AE:$AE))</f>
        <v>0</v>
      </c>
      <c r="AL114" s="17">
        <f ca="1">IF($A114=0,0,SUMIF('Week 2 Roster'!$AZ:$AZ,$B114,'Week 2 Roster'!$AG:$AG))</f>
        <v>0</v>
      </c>
      <c r="AM114" s="17">
        <f ca="1">IF($A114=0,0,SUMIF('Week 2 Roster'!$AZ:$AZ,$B114,'Week 2 Roster'!$AI:$AI))</f>
        <v>0</v>
      </c>
      <c r="AN114" s="17">
        <f ca="1">IF($A114=0,0,SUMIF('Week 2 Roster'!$AZ:$AZ,$B114,'Week 2 Roster'!$AK:$AK))</f>
        <v>0</v>
      </c>
      <c r="AO114" s="17">
        <f ca="1">IF($A114=0,0,SUMIF('Week 2 Roster'!$AZ:$AZ,$B114,'Week 2 Roster'!$AM:$AM))</f>
        <v>0</v>
      </c>
      <c r="AP114" s="17">
        <f ca="1">IF($A114=0,0,SUMIF('Week 2 Roster'!$AZ:$AZ,$B114,'Week 2 Roster'!$AO:$AO))</f>
        <v>0</v>
      </c>
      <c r="AQ114" s="38">
        <f ca="1">IF($A114=0,0,SUMIF('Week 2 Roster'!$AZ:$AZ,$B114,'Week 2 Roster'!$AP:$AP))</f>
        <v>0</v>
      </c>
      <c r="AR114" s="17">
        <f ca="1">IF($A114=0,0,SUMIF('Week 2 Roster'!$AZ:$AZ,$B114,'Week 2 Roster'!$AQ:$AQ))</f>
        <v>0</v>
      </c>
      <c r="AS114" s="17">
        <f ca="1">IF($A114=0,0,SUMIF('Week 2 Roster'!$AZ:$AZ,$B114,'Week 2 Roster'!$AR:$AR))</f>
        <v>0</v>
      </c>
      <c r="AT114" s="17">
        <f ca="1">IF($A114=0,0,SUMIF('Week 2 Roster'!$AZ:$AZ,$B114,'Week 2 Roster'!$AS:$AS))</f>
        <v>0</v>
      </c>
      <c r="AU114" s="17">
        <f t="shared" ca="1" si="38"/>
        <v>0</v>
      </c>
      <c r="AV114" s="17"/>
    </row>
    <row r="115" spans="1:48">
      <c r="A115" s="16" cm="1">
        <f t="array" aca="1" ref="A115" ca="1">_xlfn.NUMBERVALUE(INDIRECT(TEXT(MIN(IF(($AW$2:$AX$300&lt;&gt;"")*(COUNTIF($B$1:B114,$AW$2:$AX$300)=0),ROW($2:$300)*100+COLUMN($AW:$AX),7^8)),"R0C00"),)&amp;"")</f>
        <v>0</v>
      </c>
      <c r="B115" s="28" t="str">
        <f t="shared" ca="1" si="24"/>
        <v/>
      </c>
      <c r="C115" s="28" t="str">
        <f ca="1">IF($A115=0,"",VLOOKUP($B115,Employees!$A:$G,2,FALSE))</f>
        <v/>
      </c>
      <c r="D115" s="28" t="str">
        <f ca="1">IF($A115=0,"",VLOOKUP($B115,Employees!$A:$G,3,FALSE))</f>
        <v/>
      </c>
      <c r="E115" s="26" t="str">
        <f ca="1">IF($A115=0,"",VLOOKUP($B115,Employees!$A:$G,5,FALSE))</f>
        <v/>
      </c>
      <c r="F115" s="13" t="str">
        <f ca="1">IF($E115="","",ROUNDDOWN(YEARFRAC($E115, 'Week 1 Roster'!$D$1-1, 1), 0))</f>
        <v/>
      </c>
      <c r="G115" s="13" t="str">
        <f ca="1">IF($E115="","",ROUNDDOWN(YEARFRAC($E115, 'Week 1 Roster'!$D$1+14, 1), 0))</f>
        <v/>
      </c>
      <c r="H115" s="13" t="str">
        <f t="shared" ca="1" si="25"/>
        <v/>
      </c>
      <c r="I115" s="13" t="str">
        <f ca="1">IF($A115=0,"",VLOOKUP($B115,Employees!$A:$G,6,FALSE))</f>
        <v/>
      </c>
      <c r="J115" s="13" t="str">
        <f ca="1">IF($A115=0,"",VLOOKUP($B115,Employees!$A:$G,7,FALSE))</f>
        <v/>
      </c>
      <c r="K115" s="13" t="str">
        <f ca="1">IF($A115=0,"",IF(ISNA(VLOOKUP(A115,'Week 1 Roster'!A:C,2,0)),VLOOKUP(A115,'Week 2 Roster'!A:C,2,0),VLOOKUP(A115,'Week 1 Roster'!A:C,2,0)))</f>
        <v/>
      </c>
      <c r="L115" s="13" t="str">
        <f ca="1">IF($A115=0,"",VLOOKUP(K115,Stores!A:B,2,0))</f>
        <v/>
      </c>
      <c r="M115" s="14">
        <f t="shared" ca="1" si="26"/>
        <v>0</v>
      </c>
      <c r="N115" s="14">
        <f t="shared" ca="1" si="27"/>
        <v>0</v>
      </c>
      <c r="O115" s="14">
        <f t="shared" ca="1" si="28"/>
        <v>0</v>
      </c>
      <c r="P115" s="14">
        <f t="shared" ca="1" si="29"/>
        <v>0</v>
      </c>
      <c r="Q115" s="14">
        <f t="shared" ca="1" si="30"/>
        <v>0</v>
      </c>
      <c r="R115" s="14">
        <f t="shared" ca="1" si="31"/>
        <v>0</v>
      </c>
      <c r="S115" s="28">
        <f t="shared" ca="1" si="32"/>
        <v>0</v>
      </c>
      <c r="T115" s="14">
        <f t="shared" ca="1" si="33"/>
        <v>0</v>
      </c>
      <c r="U115" s="14">
        <f t="shared" ca="1" si="34"/>
        <v>0</v>
      </c>
      <c r="V115" s="14">
        <f t="shared" ca="1" si="35"/>
        <v>0</v>
      </c>
      <c r="W115" s="14">
        <f t="shared" ca="1" si="36"/>
        <v>0</v>
      </c>
      <c r="Y115" s="17">
        <f ca="1">IF($A115=0,0,SUMIF('Week 1 Roster'!$AZ:$AZ,$B115,'Week 1 Roster'!$AE:$AE))</f>
        <v>0</v>
      </c>
      <c r="Z115" s="17">
        <f ca="1">IF($A115=0,0,SUMIF('Week 1 Roster'!$AZ:$AZ,$B115,'Week 1 Roster'!$AG:$AG))</f>
        <v>0</v>
      </c>
      <c r="AA115" s="17">
        <f ca="1">IF($A115=0,0,SUMIF('Week 1 Roster'!$AZ:$AZ,$B115,'Week 1 Roster'!$AI:$AI))</f>
        <v>0</v>
      </c>
      <c r="AB115" s="17">
        <f ca="1">IF($A115=0,0,SUMIF('Week 1 Roster'!$AZ:$AZ,$B115,'Week 1 Roster'!$AK:$AK))</f>
        <v>0</v>
      </c>
      <c r="AC115" s="17">
        <f ca="1">IF($A115=0,0,SUMIF('Week 1 Roster'!$AZ:$AZ,$B115,'Week 1 Roster'!$AM:$AM))</f>
        <v>0</v>
      </c>
      <c r="AD115" s="17">
        <f ca="1">IF($A115=0,0,SUMIF('Week 1 Roster'!$AZ:$AZ,$B115,'Week 1 Roster'!$AO:$AO))</f>
        <v>0</v>
      </c>
      <c r="AE115" s="38">
        <f ca="1">IF($A115=0,0,SUMIF('Week 1 Roster'!$AZ:$AZ,$B115,'Week 1 Roster'!$AP:$AP))</f>
        <v>0</v>
      </c>
      <c r="AF115" s="17">
        <f ca="1">IF($A115=0,0,SUMIF('Week 1 Roster'!$AZ:$AZ,$B115,'Week 1 Roster'!$AQ:$AQ))</f>
        <v>0</v>
      </c>
      <c r="AG115" s="17">
        <f ca="1">IF($A115=0,0,SUMIF('Week 1 Roster'!$AZ:$AZ,$B115,'Week 1 Roster'!$AR:$AR))</f>
        <v>0</v>
      </c>
      <c r="AH115" s="17">
        <f ca="1">IF($A115=0,0,SUMIF('Week 1 Roster'!$AZ:$AZ,$B115,'Week 1 Roster'!$AS:$AS))</f>
        <v>0</v>
      </c>
      <c r="AI115" s="17">
        <f t="shared" ca="1" si="37"/>
        <v>0</v>
      </c>
      <c r="AK115" s="17">
        <f ca="1">IF($A115=0,0,SUMIF('Week 2 Roster'!$AZ:$AZ,$B115,'Week 2 Roster'!$AE:$AE))</f>
        <v>0</v>
      </c>
      <c r="AL115" s="17">
        <f ca="1">IF($A115=0,0,SUMIF('Week 2 Roster'!$AZ:$AZ,$B115,'Week 2 Roster'!$AG:$AG))</f>
        <v>0</v>
      </c>
      <c r="AM115" s="17">
        <f ca="1">IF($A115=0,0,SUMIF('Week 2 Roster'!$AZ:$AZ,$B115,'Week 2 Roster'!$AI:$AI))</f>
        <v>0</v>
      </c>
      <c r="AN115" s="17">
        <f ca="1">IF($A115=0,0,SUMIF('Week 2 Roster'!$AZ:$AZ,$B115,'Week 2 Roster'!$AK:$AK))</f>
        <v>0</v>
      </c>
      <c r="AO115" s="17">
        <f ca="1">IF($A115=0,0,SUMIF('Week 2 Roster'!$AZ:$AZ,$B115,'Week 2 Roster'!$AM:$AM))</f>
        <v>0</v>
      </c>
      <c r="AP115" s="17">
        <f ca="1">IF($A115=0,0,SUMIF('Week 2 Roster'!$AZ:$AZ,$B115,'Week 2 Roster'!$AO:$AO))</f>
        <v>0</v>
      </c>
      <c r="AQ115" s="38">
        <f ca="1">IF($A115=0,0,SUMIF('Week 2 Roster'!$AZ:$AZ,$B115,'Week 2 Roster'!$AP:$AP))</f>
        <v>0</v>
      </c>
      <c r="AR115" s="17">
        <f ca="1">IF($A115=0,0,SUMIF('Week 2 Roster'!$AZ:$AZ,$B115,'Week 2 Roster'!$AQ:$AQ))</f>
        <v>0</v>
      </c>
      <c r="AS115" s="17">
        <f ca="1">IF($A115=0,0,SUMIF('Week 2 Roster'!$AZ:$AZ,$B115,'Week 2 Roster'!$AR:$AR))</f>
        <v>0</v>
      </c>
      <c r="AT115" s="17">
        <f ca="1">IF($A115=0,0,SUMIF('Week 2 Roster'!$AZ:$AZ,$B115,'Week 2 Roster'!$AS:$AS))</f>
        <v>0</v>
      </c>
      <c r="AU115" s="17">
        <f t="shared" ca="1" si="38"/>
        <v>0</v>
      </c>
      <c r="AV115" s="17"/>
    </row>
    <row r="116" spans="1:48">
      <c r="A116" s="16" cm="1">
        <f t="array" aca="1" ref="A116" ca="1">_xlfn.NUMBERVALUE(INDIRECT(TEXT(MIN(IF(($AW$2:$AX$300&lt;&gt;"")*(COUNTIF($B$1:B115,$AW$2:$AX$300)=0),ROW($2:$300)*100+COLUMN($AW:$AX),7^8)),"R0C00"),)&amp;"")</f>
        <v>0</v>
      </c>
      <c r="B116" s="28" t="str">
        <f t="shared" ca="1" si="24"/>
        <v/>
      </c>
      <c r="C116" s="28" t="str">
        <f ca="1">IF($A116=0,"",VLOOKUP($B116,Employees!$A:$G,2,FALSE))</f>
        <v/>
      </c>
      <c r="D116" s="28" t="str">
        <f ca="1">IF($A116=0,"",VLOOKUP($B116,Employees!$A:$G,3,FALSE))</f>
        <v/>
      </c>
      <c r="E116" s="26" t="str">
        <f ca="1">IF($A116=0,"",VLOOKUP($B116,Employees!$A:$G,5,FALSE))</f>
        <v/>
      </c>
      <c r="F116" s="13" t="str">
        <f ca="1">IF($E116="","",ROUNDDOWN(YEARFRAC($E116, 'Week 1 Roster'!$D$1-1, 1), 0))</f>
        <v/>
      </c>
      <c r="G116" s="13" t="str">
        <f ca="1">IF($E116="","",ROUNDDOWN(YEARFRAC($E116, 'Week 1 Roster'!$D$1+14, 1), 0))</f>
        <v/>
      </c>
      <c r="H116" s="13" t="str">
        <f t="shared" ca="1" si="25"/>
        <v/>
      </c>
      <c r="I116" s="13" t="str">
        <f ca="1">IF($A116=0,"",VLOOKUP($B116,Employees!$A:$G,6,FALSE))</f>
        <v/>
      </c>
      <c r="J116" s="13" t="str">
        <f ca="1">IF($A116=0,"",VLOOKUP($B116,Employees!$A:$G,7,FALSE))</f>
        <v/>
      </c>
      <c r="K116" s="13" t="str">
        <f ca="1">IF($A116=0,"",IF(ISNA(VLOOKUP(A116,'Week 1 Roster'!A:C,2,0)),VLOOKUP(A116,'Week 2 Roster'!A:C,2,0),VLOOKUP(A116,'Week 1 Roster'!A:C,2,0)))</f>
        <v/>
      </c>
      <c r="L116" s="13" t="str">
        <f ca="1">IF($A116=0,"",VLOOKUP(K116,Stores!A:B,2,0))</f>
        <v/>
      </c>
      <c r="M116" s="14">
        <f t="shared" ca="1" si="26"/>
        <v>0</v>
      </c>
      <c r="N116" s="14">
        <f t="shared" ca="1" si="27"/>
        <v>0</v>
      </c>
      <c r="O116" s="14">
        <f t="shared" ca="1" si="28"/>
        <v>0</v>
      </c>
      <c r="P116" s="14">
        <f t="shared" ca="1" si="29"/>
        <v>0</v>
      </c>
      <c r="Q116" s="14">
        <f t="shared" ca="1" si="30"/>
        <v>0</v>
      </c>
      <c r="R116" s="14">
        <f t="shared" ca="1" si="31"/>
        <v>0</v>
      </c>
      <c r="S116" s="28">
        <f t="shared" ca="1" si="32"/>
        <v>0</v>
      </c>
      <c r="T116" s="14">
        <f t="shared" ca="1" si="33"/>
        <v>0</v>
      </c>
      <c r="U116" s="14">
        <f t="shared" ca="1" si="34"/>
        <v>0</v>
      </c>
      <c r="V116" s="14">
        <f t="shared" ca="1" si="35"/>
        <v>0</v>
      </c>
      <c r="W116" s="14">
        <f t="shared" ca="1" si="36"/>
        <v>0</v>
      </c>
      <c r="Y116" s="17">
        <f ca="1">IF($A116=0,0,SUMIF('Week 1 Roster'!$AZ:$AZ,$B116,'Week 1 Roster'!$AE:$AE))</f>
        <v>0</v>
      </c>
      <c r="Z116" s="17">
        <f ca="1">IF($A116=0,0,SUMIF('Week 1 Roster'!$AZ:$AZ,$B116,'Week 1 Roster'!$AG:$AG))</f>
        <v>0</v>
      </c>
      <c r="AA116" s="17">
        <f ca="1">IF($A116=0,0,SUMIF('Week 1 Roster'!$AZ:$AZ,$B116,'Week 1 Roster'!$AI:$AI))</f>
        <v>0</v>
      </c>
      <c r="AB116" s="17">
        <f ca="1">IF($A116=0,0,SUMIF('Week 1 Roster'!$AZ:$AZ,$B116,'Week 1 Roster'!$AK:$AK))</f>
        <v>0</v>
      </c>
      <c r="AC116" s="17">
        <f ca="1">IF($A116=0,0,SUMIF('Week 1 Roster'!$AZ:$AZ,$B116,'Week 1 Roster'!$AM:$AM))</f>
        <v>0</v>
      </c>
      <c r="AD116" s="17">
        <f ca="1">IF($A116=0,0,SUMIF('Week 1 Roster'!$AZ:$AZ,$B116,'Week 1 Roster'!$AO:$AO))</f>
        <v>0</v>
      </c>
      <c r="AE116" s="38">
        <f ca="1">IF($A116=0,0,SUMIF('Week 1 Roster'!$AZ:$AZ,$B116,'Week 1 Roster'!$AP:$AP))</f>
        <v>0</v>
      </c>
      <c r="AF116" s="17">
        <f ca="1">IF($A116=0,0,SUMIF('Week 1 Roster'!$AZ:$AZ,$B116,'Week 1 Roster'!$AQ:$AQ))</f>
        <v>0</v>
      </c>
      <c r="AG116" s="17">
        <f ca="1">IF($A116=0,0,SUMIF('Week 1 Roster'!$AZ:$AZ,$B116,'Week 1 Roster'!$AR:$AR))</f>
        <v>0</v>
      </c>
      <c r="AH116" s="17">
        <f ca="1">IF($A116=0,0,SUMIF('Week 1 Roster'!$AZ:$AZ,$B116,'Week 1 Roster'!$AS:$AS))</f>
        <v>0</v>
      </c>
      <c r="AI116" s="17">
        <f t="shared" ca="1" si="37"/>
        <v>0</v>
      </c>
      <c r="AK116" s="17">
        <f ca="1">IF($A116=0,0,SUMIF('Week 2 Roster'!$AZ:$AZ,$B116,'Week 2 Roster'!$AE:$AE))</f>
        <v>0</v>
      </c>
      <c r="AL116" s="17">
        <f ca="1">IF($A116=0,0,SUMIF('Week 2 Roster'!$AZ:$AZ,$B116,'Week 2 Roster'!$AG:$AG))</f>
        <v>0</v>
      </c>
      <c r="AM116" s="17">
        <f ca="1">IF($A116=0,0,SUMIF('Week 2 Roster'!$AZ:$AZ,$B116,'Week 2 Roster'!$AI:$AI))</f>
        <v>0</v>
      </c>
      <c r="AN116" s="17">
        <f ca="1">IF($A116=0,0,SUMIF('Week 2 Roster'!$AZ:$AZ,$B116,'Week 2 Roster'!$AK:$AK))</f>
        <v>0</v>
      </c>
      <c r="AO116" s="17">
        <f ca="1">IF($A116=0,0,SUMIF('Week 2 Roster'!$AZ:$AZ,$B116,'Week 2 Roster'!$AM:$AM))</f>
        <v>0</v>
      </c>
      <c r="AP116" s="17">
        <f ca="1">IF($A116=0,0,SUMIF('Week 2 Roster'!$AZ:$AZ,$B116,'Week 2 Roster'!$AO:$AO))</f>
        <v>0</v>
      </c>
      <c r="AQ116" s="38">
        <f ca="1">IF($A116=0,0,SUMIF('Week 2 Roster'!$AZ:$AZ,$B116,'Week 2 Roster'!$AP:$AP))</f>
        <v>0</v>
      </c>
      <c r="AR116" s="17">
        <f ca="1">IF($A116=0,0,SUMIF('Week 2 Roster'!$AZ:$AZ,$B116,'Week 2 Roster'!$AQ:$AQ))</f>
        <v>0</v>
      </c>
      <c r="AS116" s="17">
        <f ca="1">IF($A116=0,0,SUMIF('Week 2 Roster'!$AZ:$AZ,$B116,'Week 2 Roster'!$AR:$AR))</f>
        <v>0</v>
      </c>
      <c r="AT116" s="17">
        <f ca="1">IF($A116=0,0,SUMIF('Week 2 Roster'!$AZ:$AZ,$B116,'Week 2 Roster'!$AS:$AS))</f>
        <v>0</v>
      </c>
      <c r="AU116" s="17">
        <f t="shared" ca="1" si="38"/>
        <v>0</v>
      </c>
      <c r="AV116" s="17"/>
    </row>
    <row r="117" spans="1:48">
      <c r="A117" s="16" cm="1">
        <f t="array" aca="1" ref="A117" ca="1">_xlfn.NUMBERVALUE(INDIRECT(TEXT(MIN(IF(($AW$2:$AX$300&lt;&gt;"")*(COUNTIF($B$1:B116,$AW$2:$AX$300)=0),ROW($2:$300)*100+COLUMN($AW:$AX),7^8)),"R0C00"),)&amp;"")</f>
        <v>0</v>
      </c>
      <c r="B117" s="28" t="str">
        <f t="shared" ca="1" si="24"/>
        <v/>
      </c>
      <c r="C117" s="28" t="str">
        <f ca="1">IF($A117=0,"",VLOOKUP($B117,Employees!$A:$G,2,FALSE))</f>
        <v/>
      </c>
      <c r="D117" s="28" t="str">
        <f ca="1">IF($A117=0,"",VLOOKUP($B117,Employees!$A:$G,3,FALSE))</f>
        <v/>
      </c>
      <c r="E117" s="26" t="str">
        <f ca="1">IF($A117=0,"",VLOOKUP($B117,Employees!$A:$G,5,FALSE))</f>
        <v/>
      </c>
      <c r="F117" s="13" t="str">
        <f ca="1">IF($E117="","",ROUNDDOWN(YEARFRAC($E117, 'Week 1 Roster'!$D$1-1, 1), 0))</f>
        <v/>
      </c>
      <c r="G117" s="13" t="str">
        <f ca="1">IF($E117="","",ROUNDDOWN(YEARFRAC($E117, 'Week 1 Roster'!$D$1+14, 1), 0))</f>
        <v/>
      </c>
      <c r="H117" s="13" t="str">
        <f t="shared" ca="1" si="25"/>
        <v/>
      </c>
      <c r="I117" s="13" t="str">
        <f ca="1">IF($A117=0,"",VLOOKUP($B117,Employees!$A:$G,6,FALSE))</f>
        <v/>
      </c>
      <c r="J117" s="13" t="str">
        <f ca="1">IF($A117=0,"",VLOOKUP($B117,Employees!$A:$G,7,FALSE))</f>
        <v/>
      </c>
      <c r="K117" s="13" t="str">
        <f ca="1">IF($A117=0,"",IF(ISNA(VLOOKUP(A117,'Week 1 Roster'!A:C,2,0)),VLOOKUP(A117,'Week 2 Roster'!A:C,2,0),VLOOKUP(A117,'Week 1 Roster'!A:C,2,0)))</f>
        <v/>
      </c>
      <c r="L117" s="13" t="str">
        <f ca="1">IF($A117=0,"",VLOOKUP(K117,Stores!A:B,2,0))</f>
        <v/>
      </c>
      <c r="M117" s="14">
        <f t="shared" ca="1" si="26"/>
        <v>0</v>
      </c>
      <c r="N117" s="14">
        <f t="shared" ca="1" si="27"/>
        <v>0</v>
      </c>
      <c r="O117" s="14">
        <f t="shared" ca="1" si="28"/>
        <v>0</v>
      </c>
      <c r="P117" s="14">
        <f t="shared" ca="1" si="29"/>
        <v>0</v>
      </c>
      <c r="Q117" s="14">
        <f t="shared" ca="1" si="30"/>
        <v>0</v>
      </c>
      <c r="R117" s="14">
        <f t="shared" ca="1" si="31"/>
        <v>0</v>
      </c>
      <c r="S117" s="28">
        <f t="shared" ca="1" si="32"/>
        <v>0</v>
      </c>
      <c r="T117" s="14">
        <f t="shared" ca="1" si="33"/>
        <v>0</v>
      </c>
      <c r="U117" s="14">
        <f t="shared" ca="1" si="34"/>
        <v>0</v>
      </c>
      <c r="V117" s="14">
        <f t="shared" ca="1" si="35"/>
        <v>0</v>
      </c>
      <c r="W117" s="14">
        <f t="shared" ca="1" si="36"/>
        <v>0</v>
      </c>
      <c r="Y117" s="17">
        <f ca="1">IF($A117=0,0,SUMIF('Week 1 Roster'!$AZ:$AZ,$B117,'Week 1 Roster'!$AE:$AE))</f>
        <v>0</v>
      </c>
      <c r="Z117" s="17">
        <f ca="1">IF($A117=0,0,SUMIF('Week 1 Roster'!$AZ:$AZ,$B117,'Week 1 Roster'!$AG:$AG))</f>
        <v>0</v>
      </c>
      <c r="AA117" s="17">
        <f ca="1">IF($A117=0,0,SUMIF('Week 1 Roster'!$AZ:$AZ,$B117,'Week 1 Roster'!$AI:$AI))</f>
        <v>0</v>
      </c>
      <c r="AB117" s="17">
        <f ca="1">IF($A117=0,0,SUMIF('Week 1 Roster'!$AZ:$AZ,$B117,'Week 1 Roster'!$AK:$AK))</f>
        <v>0</v>
      </c>
      <c r="AC117" s="17">
        <f ca="1">IF($A117=0,0,SUMIF('Week 1 Roster'!$AZ:$AZ,$B117,'Week 1 Roster'!$AM:$AM))</f>
        <v>0</v>
      </c>
      <c r="AD117" s="17">
        <f ca="1">IF($A117=0,0,SUMIF('Week 1 Roster'!$AZ:$AZ,$B117,'Week 1 Roster'!$AO:$AO))</f>
        <v>0</v>
      </c>
      <c r="AE117" s="38">
        <f ca="1">IF($A117=0,0,SUMIF('Week 1 Roster'!$AZ:$AZ,$B117,'Week 1 Roster'!$AP:$AP))</f>
        <v>0</v>
      </c>
      <c r="AF117" s="17">
        <f ca="1">IF($A117=0,0,SUMIF('Week 1 Roster'!$AZ:$AZ,$B117,'Week 1 Roster'!$AQ:$AQ))</f>
        <v>0</v>
      </c>
      <c r="AG117" s="17">
        <f ca="1">IF($A117=0,0,SUMIF('Week 1 Roster'!$AZ:$AZ,$B117,'Week 1 Roster'!$AR:$AR))</f>
        <v>0</v>
      </c>
      <c r="AH117" s="17">
        <f ca="1">IF($A117=0,0,SUMIF('Week 1 Roster'!$AZ:$AZ,$B117,'Week 1 Roster'!$AS:$AS))</f>
        <v>0</v>
      </c>
      <c r="AI117" s="17">
        <f t="shared" ca="1" si="37"/>
        <v>0</v>
      </c>
      <c r="AK117" s="17">
        <f ca="1">IF($A117=0,0,SUMIF('Week 2 Roster'!$AZ:$AZ,$B117,'Week 2 Roster'!$AE:$AE))</f>
        <v>0</v>
      </c>
      <c r="AL117" s="17">
        <f ca="1">IF($A117=0,0,SUMIF('Week 2 Roster'!$AZ:$AZ,$B117,'Week 2 Roster'!$AG:$AG))</f>
        <v>0</v>
      </c>
      <c r="AM117" s="17">
        <f ca="1">IF($A117=0,0,SUMIF('Week 2 Roster'!$AZ:$AZ,$B117,'Week 2 Roster'!$AI:$AI))</f>
        <v>0</v>
      </c>
      <c r="AN117" s="17">
        <f ca="1">IF($A117=0,0,SUMIF('Week 2 Roster'!$AZ:$AZ,$B117,'Week 2 Roster'!$AK:$AK))</f>
        <v>0</v>
      </c>
      <c r="AO117" s="17">
        <f ca="1">IF($A117=0,0,SUMIF('Week 2 Roster'!$AZ:$AZ,$B117,'Week 2 Roster'!$AM:$AM))</f>
        <v>0</v>
      </c>
      <c r="AP117" s="17">
        <f ca="1">IF($A117=0,0,SUMIF('Week 2 Roster'!$AZ:$AZ,$B117,'Week 2 Roster'!$AO:$AO))</f>
        <v>0</v>
      </c>
      <c r="AQ117" s="38">
        <f ca="1">IF($A117=0,0,SUMIF('Week 2 Roster'!$AZ:$AZ,$B117,'Week 2 Roster'!$AP:$AP))</f>
        <v>0</v>
      </c>
      <c r="AR117" s="17">
        <f ca="1">IF($A117=0,0,SUMIF('Week 2 Roster'!$AZ:$AZ,$B117,'Week 2 Roster'!$AQ:$AQ))</f>
        <v>0</v>
      </c>
      <c r="AS117" s="17">
        <f ca="1">IF($A117=0,0,SUMIF('Week 2 Roster'!$AZ:$AZ,$B117,'Week 2 Roster'!$AR:$AR))</f>
        <v>0</v>
      </c>
      <c r="AT117" s="17">
        <f ca="1">IF($A117=0,0,SUMIF('Week 2 Roster'!$AZ:$AZ,$B117,'Week 2 Roster'!$AS:$AS))</f>
        <v>0</v>
      </c>
      <c r="AU117" s="17">
        <f t="shared" ca="1" si="38"/>
        <v>0</v>
      </c>
      <c r="AV117" s="17"/>
    </row>
    <row r="118" spans="1:48">
      <c r="A118" s="16" cm="1">
        <f t="array" aca="1" ref="A118" ca="1">_xlfn.NUMBERVALUE(INDIRECT(TEXT(MIN(IF(($AW$2:$AX$300&lt;&gt;"")*(COUNTIF($B$1:B117,$AW$2:$AX$300)=0),ROW($2:$300)*100+COLUMN($AW:$AX),7^8)),"R0C00"),)&amp;"")</f>
        <v>0</v>
      </c>
      <c r="B118" s="28" t="str">
        <f t="shared" ca="1" si="24"/>
        <v/>
      </c>
      <c r="C118" s="28" t="str">
        <f ca="1">IF($A118=0,"",VLOOKUP($B118,Employees!$A:$G,2,FALSE))</f>
        <v/>
      </c>
      <c r="D118" s="28" t="str">
        <f ca="1">IF($A118=0,"",VLOOKUP($B118,Employees!$A:$G,3,FALSE))</f>
        <v/>
      </c>
      <c r="E118" s="26" t="str">
        <f ca="1">IF($A118=0,"",VLOOKUP($B118,Employees!$A:$G,5,FALSE))</f>
        <v/>
      </c>
      <c r="F118" s="13" t="str">
        <f ca="1">IF($E118="","",ROUNDDOWN(YEARFRAC($E118, 'Week 1 Roster'!$D$1-1, 1), 0))</f>
        <v/>
      </c>
      <c r="G118" s="13" t="str">
        <f ca="1">IF($E118="","",ROUNDDOWN(YEARFRAC($E118, 'Week 1 Roster'!$D$1+14, 1), 0))</f>
        <v/>
      </c>
      <c r="H118" s="13" t="str">
        <f t="shared" ca="1" si="25"/>
        <v/>
      </c>
      <c r="I118" s="13" t="str">
        <f ca="1">IF($A118=0,"",VLOOKUP($B118,Employees!$A:$G,6,FALSE))</f>
        <v/>
      </c>
      <c r="J118" s="13" t="str">
        <f ca="1">IF($A118=0,"",VLOOKUP($B118,Employees!$A:$G,7,FALSE))</f>
        <v/>
      </c>
      <c r="K118" s="13" t="str">
        <f ca="1">IF($A118=0,"",IF(ISNA(VLOOKUP(A118,'Week 1 Roster'!A:C,2,0)),VLOOKUP(A118,'Week 2 Roster'!A:C,2,0),VLOOKUP(A118,'Week 1 Roster'!A:C,2,0)))</f>
        <v/>
      </c>
      <c r="L118" s="13" t="str">
        <f ca="1">IF($A118=0,"",VLOOKUP(K118,Stores!A:B,2,0))</f>
        <v/>
      </c>
      <c r="M118" s="14">
        <f t="shared" ca="1" si="26"/>
        <v>0</v>
      </c>
      <c r="N118" s="14">
        <f t="shared" ca="1" si="27"/>
        <v>0</v>
      </c>
      <c r="O118" s="14">
        <f t="shared" ca="1" si="28"/>
        <v>0</v>
      </c>
      <c r="P118" s="14">
        <f t="shared" ca="1" si="29"/>
        <v>0</v>
      </c>
      <c r="Q118" s="14">
        <f t="shared" ca="1" si="30"/>
        <v>0</v>
      </c>
      <c r="R118" s="14">
        <f t="shared" ca="1" si="31"/>
        <v>0</v>
      </c>
      <c r="S118" s="28">
        <f t="shared" ca="1" si="32"/>
        <v>0</v>
      </c>
      <c r="T118" s="14">
        <f t="shared" ca="1" si="33"/>
        <v>0</v>
      </c>
      <c r="U118" s="14">
        <f t="shared" ca="1" si="34"/>
        <v>0</v>
      </c>
      <c r="V118" s="14">
        <f t="shared" ca="1" si="35"/>
        <v>0</v>
      </c>
      <c r="W118" s="14">
        <f t="shared" ca="1" si="36"/>
        <v>0</v>
      </c>
      <c r="Y118" s="17">
        <f ca="1">IF($A118=0,0,SUMIF('Week 1 Roster'!$AZ:$AZ,$B118,'Week 1 Roster'!$AE:$AE))</f>
        <v>0</v>
      </c>
      <c r="Z118" s="17">
        <f ca="1">IF($A118=0,0,SUMIF('Week 1 Roster'!$AZ:$AZ,$B118,'Week 1 Roster'!$AG:$AG))</f>
        <v>0</v>
      </c>
      <c r="AA118" s="17">
        <f ca="1">IF($A118=0,0,SUMIF('Week 1 Roster'!$AZ:$AZ,$B118,'Week 1 Roster'!$AI:$AI))</f>
        <v>0</v>
      </c>
      <c r="AB118" s="17">
        <f ca="1">IF($A118=0,0,SUMIF('Week 1 Roster'!$AZ:$AZ,$B118,'Week 1 Roster'!$AK:$AK))</f>
        <v>0</v>
      </c>
      <c r="AC118" s="17">
        <f ca="1">IF($A118=0,0,SUMIF('Week 1 Roster'!$AZ:$AZ,$B118,'Week 1 Roster'!$AM:$AM))</f>
        <v>0</v>
      </c>
      <c r="AD118" s="17">
        <f ca="1">IF($A118=0,0,SUMIF('Week 1 Roster'!$AZ:$AZ,$B118,'Week 1 Roster'!$AO:$AO))</f>
        <v>0</v>
      </c>
      <c r="AE118" s="38">
        <f ca="1">IF($A118=0,0,SUMIF('Week 1 Roster'!$AZ:$AZ,$B118,'Week 1 Roster'!$AP:$AP))</f>
        <v>0</v>
      </c>
      <c r="AF118" s="17">
        <f ca="1">IF($A118=0,0,SUMIF('Week 1 Roster'!$AZ:$AZ,$B118,'Week 1 Roster'!$AQ:$AQ))</f>
        <v>0</v>
      </c>
      <c r="AG118" s="17">
        <f ca="1">IF($A118=0,0,SUMIF('Week 1 Roster'!$AZ:$AZ,$B118,'Week 1 Roster'!$AR:$AR))</f>
        <v>0</v>
      </c>
      <c r="AH118" s="17">
        <f ca="1">IF($A118=0,0,SUMIF('Week 1 Roster'!$AZ:$AZ,$B118,'Week 1 Roster'!$AS:$AS))</f>
        <v>0</v>
      </c>
      <c r="AI118" s="17">
        <f t="shared" ca="1" si="37"/>
        <v>0</v>
      </c>
      <c r="AK118" s="17">
        <f ca="1">IF($A118=0,0,SUMIF('Week 2 Roster'!$AZ:$AZ,$B118,'Week 2 Roster'!$AE:$AE))</f>
        <v>0</v>
      </c>
      <c r="AL118" s="17">
        <f ca="1">IF($A118=0,0,SUMIF('Week 2 Roster'!$AZ:$AZ,$B118,'Week 2 Roster'!$AG:$AG))</f>
        <v>0</v>
      </c>
      <c r="AM118" s="17">
        <f ca="1">IF($A118=0,0,SUMIF('Week 2 Roster'!$AZ:$AZ,$B118,'Week 2 Roster'!$AI:$AI))</f>
        <v>0</v>
      </c>
      <c r="AN118" s="17">
        <f ca="1">IF($A118=0,0,SUMIF('Week 2 Roster'!$AZ:$AZ,$B118,'Week 2 Roster'!$AK:$AK))</f>
        <v>0</v>
      </c>
      <c r="AO118" s="17">
        <f ca="1">IF($A118=0,0,SUMIF('Week 2 Roster'!$AZ:$AZ,$B118,'Week 2 Roster'!$AM:$AM))</f>
        <v>0</v>
      </c>
      <c r="AP118" s="17">
        <f ca="1">IF($A118=0,0,SUMIF('Week 2 Roster'!$AZ:$AZ,$B118,'Week 2 Roster'!$AO:$AO))</f>
        <v>0</v>
      </c>
      <c r="AQ118" s="38">
        <f ca="1">IF($A118=0,0,SUMIF('Week 2 Roster'!$AZ:$AZ,$B118,'Week 2 Roster'!$AP:$AP))</f>
        <v>0</v>
      </c>
      <c r="AR118" s="17">
        <f ca="1">IF($A118=0,0,SUMIF('Week 2 Roster'!$AZ:$AZ,$B118,'Week 2 Roster'!$AQ:$AQ))</f>
        <v>0</v>
      </c>
      <c r="AS118" s="17">
        <f ca="1">IF($A118=0,0,SUMIF('Week 2 Roster'!$AZ:$AZ,$B118,'Week 2 Roster'!$AR:$AR))</f>
        <v>0</v>
      </c>
      <c r="AT118" s="17">
        <f ca="1">IF($A118=0,0,SUMIF('Week 2 Roster'!$AZ:$AZ,$B118,'Week 2 Roster'!$AS:$AS))</f>
        <v>0</v>
      </c>
      <c r="AU118" s="17">
        <f t="shared" ca="1" si="38"/>
        <v>0</v>
      </c>
      <c r="AV118" s="17"/>
    </row>
    <row r="119" spans="1:48">
      <c r="A119" s="16" cm="1">
        <f t="array" aca="1" ref="A119" ca="1">_xlfn.NUMBERVALUE(INDIRECT(TEXT(MIN(IF(($AW$2:$AX$300&lt;&gt;"")*(COUNTIF($B$1:B118,$AW$2:$AX$300)=0),ROW($2:$300)*100+COLUMN($AW:$AX),7^8)),"R0C00"),)&amp;"")</f>
        <v>0</v>
      </c>
      <c r="B119" s="28" t="str">
        <f t="shared" ca="1" si="24"/>
        <v/>
      </c>
      <c r="C119" s="28" t="str">
        <f ca="1">IF($A119=0,"",VLOOKUP($B119,Employees!$A:$G,2,FALSE))</f>
        <v/>
      </c>
      <c r="D119" s="28" t="str">
        <f ca="1">IF($A119=0,"",VLOOKUP($B119,Employees!$A:$G,3,FALSE))</f>
        <v/>
      </c>
      <c r="E119" s="26" t="str">
        <f ca="1">IF($A119=0,"",VLOOKUP($B119,Employees!$A:$G,5,FALSE))</f>
        <v/>
      </c>
      <c r="F119" s="13" t="str">
        <f ca="1">IF($E119="","",ROUNDDOWN(YEARFRAC($E119, 'Week 1 Roster'!$D$1-1, 1), 0))</f>
        <v/>
      </c>
      <c r="G119" s="13" t="str">
        <f ca="1">IF($E119="","",ROUNDDOWN(YEARFRAC($E119, 'Week 1 Roster'!$D$1+14, 1), 0))</f>
        <v/>
      </c>
      <c r="H119" s="13" t="str">
        <f t="shared" ca="1" si="25"/>
        <v/>
      </c>
      <c r="I119" s="13" t="str">
        <f ca="1">IF($A119=0,"",VLOOKUP($B119,Employees!$A:$G,6,FALSE))</f>
        <v/>
      </c>
      <c r="J119" s="13" t="str">
        <f ca="1">IF($A119=0,"",VLOOKUP($B119,Employees!$A:$G,7,FALSE))</f>
        <v/>
      </c>
      <c r="K119" s="13" t="str">
        <f ca="1">IF($A119=0,"",IF(ISNA(VLOOKUP(A119,'Week 1 Roster'!A:C,2,0)),VLOOKUP(A119,'Week 2 Roster'!A:C,2,0),VLOOKUP(A119,'Week 1 Roster'!A:C,2,0)))</f>
        <v/>
      </c>
      <c r="L119" s="13" t="str">
        <f ca="1">IF($A119=0,"",VLOOKUP(K119,Stores!A:B,2,0))</f>
        <v/>
      </c>
      <c r="M119" s="14">
        <f t="shared" ca="1" si="26"/>
        <v>0</v>
      </c>
      <c r="N119" s="14">
        <f t="shared" ca="1" si="27"/>
        <v>0</v>
      </c>
      <c r="O119" s="14">
        <f t="shared" ca="1" si="28"/>
        <v>0</v>
      </c>
      <c r="P119" s="14">
        <f t="shared" ca="1" si="29"/>
        <v>0</v>
      </c>
      <c r="Q119" s="14">
        <f t="shared" ca="1" si="30"/>
        <v>0</v>
      </c>
      <c r="R119" s="14">
        <f t="shared" ca="1" si="31"/>
        <v>0</v>
      </c>
      <c r="S119" s="28">
        <f t="shared" ca="1" si="32"/>
        <v>0</v>
      </c>
      <c r="T119" s="14">
        <f t="shared" ca="1" si="33"/>
        <v>0</v>
      </c>
      <c r="U119" s="14">
        <f t="shared" ca="1" si="34"/>
        <v>0</v>
      </c>
      <c r="V119" s="14">
        <f t="shared" ca="1" si="35"/>
        <v>0</v>
      </c>
      <c r="W119" s="14">
        <f t="shared" ca="1" si="36"/>
        <v>0</v>
      </c>
      <c r="Y119" s="17">
        <f ca="1">IF($A119=0,0,SUMIF('Week 1 Roster'!$AZ:$AZ,$B119,'Week 1 Roster'!$AE:$AE))</f>
        <v>0</v>
      </c>
      <c r="Z119" s="17">
        <f ca="1">IF($A119=0,0,SUMIF('Week 1 Roster'!$AZ:$AZ,$B119,'Week 1 Roster'!$AG:$AG))</f>
        <v>0</v>
      </c>
      <c r="AA119" s="17">
        <f ca="1">IF($A119=0,0,SUMIF('Week 1 Roster'!$AZ:$AZ,$B119,'Week 1 Roster'!$AI:$AI))</f>
        <v>0</v>
      </c>
      <c r="AB119" s="17">
        <f ca="1">IF($A119=0,0,SUMIF('Week 1 Roster'!$AZ:$AZ,$B119,'Week 1 Roster'!$AK:$AK))</f>
        <v>0</v>
      </c>
      <c r="AC119" s="17">
        <f ca="1">IF($A119=0,0,SUMIF('Week 1 Roster'!$AZ:$AZ,$B119,'Week 1 Roster'!$AM:$AM))</f>
        <v>0</v>
      </c>
      <c r="AD119" s="17">
        <f ca="1">IF($A119=0,0,SUMIF('Week 1 Roster'!$AZ:$AZ,$B119,'Week 1 Roster'!$AO:$AO))</f>
        <v>0</v>
      </c>
      <c r="AE119" s="38">
        <f ca="1">IF($A119=0,0,SUMIF('Week 1 Roster'!$AZ:$AZ,$B119,'Week 1 Roster'!$AP:$AP))</f>
        <v>0</v>
      </c>
      <c r="AF119" s="17">
        <f ca="1">IF($A119=0,0,SUMIF('Week 1 Roster'!$AZ:$AZ,$B119,'Week 1 Roster'!$AQ:$AQ))</f>
        <v>0</v>
      </c>
      <c r="AG119" s="17">
        <f ca="1">IF($A119=0,0,SUMIF('Week 1 Roster'!$AZ:$AZ,$B119,'Week 1 Roster'!$AR:$AR))</f>
        <v>0</v>
      </c>
      <c r="AH119" s="17">
        <f ca="1">IF($A119=0,0,SUMIF('Week 1 Roster'!$AZ:$AZ,$B119,'Week 1 Roster'!$AS:$AS))</f>
        <v>0</v>
      </c>
      <c r="AI119" s="17">
        <f t="shared" ca="1" si="37"/>
        <v>0</v>
      </c>
      <c r="AK119" s="17">
        <f ca="1">IF($A119=0,0,SUMIF('Week 2 Roster'!$AZ:$AZ,$B119,'Week 2 Roster'!$AE:$AE))</f>
        <v>0</v>
      </c>
      <c r="AL119" s="17">
        <f ca="1">IF($A119=0,0,SUMIF('Week 2 Roster'!$AZ:$AZ,$B119,'Week 2 Roster'!$AG:$AG))</f>
        <v>0</v>
      </c>
      <c r="AM119" s="17">
        <f ca="1">IF($A119=0,0,SUMIF('Week 2 Roster'!$AZ:$AZ,$B119,'Week 2 Roster'!$AI:$AI))</f>
        <v>0</v>
      </c>
      <c r="AN119" s="17">
        <f ca="1">IF($A119=0,0,SUMIF('Week 2 Roster'!$AZ:$AZ,$B119,'Week 2 Roster'!$AK:$AK))</f>
        <v>0</v>
      </c>
      <c r="AO119" s="17">
        <f ca="1">IF($A119=0,0,SUMIF('Week 2 Roster'!$AZ:$AZ,$B119,'Week 2 Roster'!$AM:$AM))</f>
        <v>0</v>
      </c>
      <c r="AP119" s="17">
        <f ca="1">IF($A119=0,0,SUMIF('Week 2 Roster'!$AZ:$AZ,$B119,'Week 2 Roster'!$AO:$AO))</f>
        <v>0</v>
      </c>
      <c r="AQ119" s="38">
        <f ca="1">IF($A119=0,0,SUMIF('Week 2 Roster'!$AZ:$AZ,$B119,'Week 2 Roster'!$AP:$AP))</f>
        <v>0</v>
      </c>
      <c r="AR119" s="17">
        <f ca="1">IF($A119=0,0,SUMIF('Week 2 Roster'!$AZ:$AZ,$B119,'Week 2 Roster'!$AQ:$AQ))</f>
        <v>0</v>
      </c>
      <c r="AS119" s="17">
        <f ca="1">IF($A119=0,0,SUMIF('Week 2 Roster'!$AZ:$AZ,$B119,'Week 2 Roster'!$AR:$AR))</f>
        <v>0</v>
      </c>
      <c r="AT119" s="17">
        <f ca="1">IF($A119=0,0,SUMIF('Week 2 Roster'!$AZ:$AZ,$B119,'Week 2 Roster'!$AS:$AS))</f>
        <v>0</v>
      </c>
      <c r="AU119" s="17">
        <f t="shared" ca="1" si="38"/>
        <v>0</v>
      </c>
      <c r="AV119" s="17"/>
    </row>
    <row r="120" spans="1:48">
      <c r="A120" s="16" cm="1">
        <f t="array" aca="1" ref="A120" ca="1">_xlfn.NUMBERVALUE(INDIRECT(TEXT(MIN(IF(($AW$2:$AX$300&lt;&gt;"")*(COUNTIF($B$1:B119,$AW$2:$AX$300)=0),ROW($2:$300)*100+COLUMN($AW:$AX),7^8)),"R0C00"),)&amp;"")</f>
        <v>0</v>
      </c>
      <c r="B120" s="28" t="str">
        <f t="shared" ca="1" si="24"/>
        <v/>
      </c>
      <c r="C120" s="28" t="str">
        <f ca="1">IF($A120=0,"",VLOOKUP($B120,Employees!$A:$G,2,FALSE))</f>
        <v/>
      </c>
      <c r="D120" s="28" t="str">
        <f ca="1">IF($A120=0,"",VLOOKUP($B120,Employees!$A:$G,3,FALSE))</f>
        <v/>
      </c>
      <c r="E120" s="26" t="str">
        <f ca="1">IF($A120=0,"",VLOOKUP($B120,Employees!$A:$G,5,FALSE))</f>
        <v/>
      </c>
      <c r="F120" s="13" t="str">
        <f ca="1">IF($E120="","",ROUNDDOWN(YEARFRAC($E120, 'Week 1 Roster'!$D$1-1, 1), 0))</f>
        <v/>
      </c>
      <c r="G120" s="13" t="str">
        <f ca="1">IF($E120="","",ROUNDDOWN(YEARFRAC($E120, 'Week 1 Roster'!$D$1+14, 1), 0))</f>
        <v/>
      </c>
      <c r="H120" s="13" t="str">
        <f t="shared" ca="1" si="25"/>
        <v/>
      </c>
      <c r="I120" s="13" t="str">
        <f ca="1">IF($A120=0,"",VLOOKUP($B120,Employees!$A:$G,6,FALSE))</f>
        <v/>
      </c>
      <c r="J120" s="13" t="str">
        <f ca="1">IF($A120=0,"",VLOOKUP($B120,Employees!$A:$G,7,FALSE))</f>
        <v/>
      </c>
      <c r="K120" s="13" t="str">
        <f ca="1">IF($A120=0,"",IF(ISNA(VLOOKUP(A120,'Week 1 Roster'!A:C,2,0)),VLOOKUP(A120,'Week 2 Roster'!A:C,2,0),VLOOKUP(A120,'Week 1 Roster'!A:C,2,0)))</f>
        <v/>
      </c>
      <c r="L120" s="13" t="str">
        <f ca="1">IF($A120=0,"",VLOOKUP(K120,Stores!A:B,2,0))</f>
        <v/>
      </c>
      <c r="M120" s="14">
        <f t="shared" ca="1" si="26"/>
        <v>0</v>
      </c>
      <c r="N120" s="14">
        <f t="shared" ca="1" si="27"/>
        <v>0</v>
      </c>
      <c r="O120" s="14">
        <f t="shared" ca="1" si="28"/>
        <v>0</v>
      </c>
      <c r="P120" s="14">
        <f t="shared" ca="1" si="29"/>
        <v>0</v>
      </c>
      <c r="Q120" s="14">
        <f t="shared" ca="1" si="30"/>
        <v>0</v>
      </c>
      <c r="R120" s="14">
        <f t="shared" ca="1" si="31"/>
        <v>0</v>
      </c>
      <c r="S120" s="28">
        <f t="shared" ca="1" si="32"/>
        <v>0</v>
      </c>
      <c r="T120" s="14">
        <f t="shared" ca="1" si="33"/>
        <v>0</v>
      </c>
      <c r="U120" s="14">
        <f t="shared" ca="1" si="34"/>
        <v>0</v>
      </c>
      <c r="V120" s="14">
        <f t="shared" ca="1" si="35"/>
        <v>0</v>
      </c>
      <c r="W120" s="14">
        <f t="shared" ca="1" si="36"/>
        <v>0</v>
      </c>
      <c r="Y120" s="17">
        <f ca="1">IF($A120=0,0,SUMIF('Week 1 Roster'!$AZ:$AZ,$B120,'Week 1 Roster'!$AE:$AE))</f>
        <v>0</v>
      </c>
      <c r="Z120" s="17">
        <f ca="1">IF($A120=0,0,SUMIF('Week 1 Roster'!$AZ:$AZ,$B120,'Week 1 Roster'!$AG:$AG))</f>
        <v>0</v>
      </c>
      <c r="AA120" s="17">
        <f ca="1">IF($A120=0,0,SUMIF('Week 1 Roster'!$AZ:$AZ,$B120,'Week 1 Roster'!$AI:$AI))</f>
        <v>0</v>
      </c>
      <c r="AB120" s="17">
        <f ca="1">IF($A120=0,0,SUMIF('Week 1 Roster'!$AZ:$AZ,$B120,'Week 1 Roster'!$AK:$AK))</f>
        <v>0</v>
      </c>
      <c r="AC120" s="17">
        <f ca="1">IF($A120=0,0,SUMIF('Week 1 Roster'!$AZ:$AZ,$B120,'Week 1 Roster'!$AM:$AM))</f>
        <v>0</v>
      </c>
      <c r="AD120" s="17">
        <f ca="1">IF($A120=0,0,SUMIF('Week 1 Roster'!$AZ:$AZ,$B120,'Week 1 Roster'!$AO:$AO))</f>
        <v>0</v>
      </c>
      <c r="AE120" s="38">
        <f ca="1">IF($A120=0,0,SUMIF('Week 1 Roster'!$AZ:$AZ,$B120,'Week 1 Roster'!$AP:$AP))</f>
        <v>0</v>
      </c>
      <c r="AF120" s="17">
        <f ca="1">IF($A120=0,0,SUMIF('Week 1 Roster'!$AZ:$AZ,$B120,'Week 1 Roster'!$AQ:$AQ))</f>
        <v>0</v>
      </c>
      <c r="AG120" s="17">
        <f ca="1">IF($A120=0,0,SUMIF('Week 1 Roster'!$AZ:$AZ,$B120,'Week 1 Roster'!$AR:$AR))</f>
        <v>0</v>
      </c>
      <c r="AH120" s="17">
        <f ca="1">IF($A120=0,0,SUMIF('Week 1 Roster'!$AZ:$AZ,$B120,'Week 1 Roster'!$AS:$AS))</f>
        <v>0</v>
      </c>
      <c r="AI120" s="17">
        <f t="shared" ca="1" si="37"/>
        <v>0</v>
      </c>
      <c r="AK120" s="17">
        <f ca="1">IF($A120=0,0,SUMIF('Week 2 Roster'!$AZ:$AZ,$B120,'Week 2 Roster'!$AE:$AE))</f>
        <v>0</v>
      </c>
      <c r="AL120" s="17">
        <f ca="1">IF($A120=0,0,SUMIF('Week 2 Roster'!$AZ:$AZ,$B120,'Week 2 Roster'!$AG:$AG))</f>
        <v>0</v>
      </c>
      <c r="AM120" s="17">
        <f ca="1">IF($A120=0,0,SUMIF('Week 2 Roster'!$AZ:$AZ,$B120,'Week 2 Roster'!$AI:$AI))</f>
        <v>0</v>
      </c>
      <c r="AN120" s="17">
        <f ca="1">IF($A120=0,0,SUMIF('Week 2 Roster'!$AZ:$AZ,$B120,'Week 2 Roster'!$AK:$AK))</f>
        <v>0</v>
      </c>
      <c r="AO120" s="17">
        <f ca="1">IF($A120=0,0,SUMIF('Week 2 Roster'!$AZ:$AZ,$B120,'Week 2 Roster'!$AM:$AM))</f>
        <v>0</v>
      </c>
      <c r="AP120" s="17">
        <f ca="1">IF($A120=0,0,SUMIF('Week 2 Roster'!$AZ:$AZ,$B120,'Week 2 Roster'!$AO:$AO))</f>
        <v>0</v>
      </c>
      <c r="AQ120" s="38">
        <f ca="1">IF($A120=0,0,SUMIF('Week 2 Roster'!$AZ:$AZ,$B120,'Week 2 Roster'!$AP:$AP))</f>
        <v>0</v>
      </c>
      <c r="AR120" s="17">
        <f ca="1">IF($A120=0,0,SUMIF('Week 2 Roster'!$AZ:$AZ,$B120,'Week 2 Roster'!$AQ:$AQ))</f>
        <v>0</v>
      </c>
      <c r="AS120" s="17">
        <f ca="1">IF($A120=0,0,SUMIF('Week 2 Roster'!$AZ:$AZ,$B120,'Week 2 Roster'!$AR:$AR))</f>
        <v>0</v>
      </c>
      <c r="AT120" s="17">
        <f ca="1">IF($A120=0,0,SUMIF('Week 2 Roster'!$AZ:$AZ,$B120,'Week 2 Roster'!$AS:$AS))</f>
        <v>0</v>
      </c>
      <c r="AU120" s="17">
        <f t="shared" ca="1" si="38"/>
        <v>0</v>
      </c>
      <c r="AV120" s="17"/>
    </row>
    <row r="121" spans="1:48">
      <c r="A121" s="16" cm="1">
        <f t="array" aca="1" ref="A121" ca="1">_xlfn.NUMBERVALUE(INDIRECT(TEXT(MIN(IF(($AW$2:$AX$300&lt;&gt;"")*(COUNTIF($B$1:B120,$AW$2:$AX$300)=0),ROW($2:$300)*100+COLUMN($AW:$AX),7^8)),"R0C00"),)&amp;"")</f>
        <v>0</v>
      </c>
      <c r="B121" s="28" t="str">
        <f t="shared" ca="1" si="24"/>
        <v/>
      </c>
      <c r="C121" s="28" t="str">
        <f ca="1">IF($A121=0,"",VLOOKUP($B121,Employees!$A:$G,2,FALSE))</f>
        <v/>
      </c>
      <c r="D121" s="28" t="str">
        <f ca="1">IF($A121=0,"",VLOOKUP($B121,Employees!$A:$G,3,FALSE))</f>
        <v/>
      </c>
      <c r="E121" s="26" t="str">
        <f ca="1">IF($A121=0,"",VLOOKUP($B121,Employees!$A:$G,5,FALSE))</f>
        <v/>
      </c>
      <c r="F121" s="13" t="str">
        <f ca="1">IF($E121="","",ROUNDDOWN(YEARFRAC($E121, 'Week 1 Roster'!$D$1-1, 1), 0))</f>
        <v/>
      </c>
      <c r="G121" s="13" t="str">
        <f ca="1">IF($E121="","",ROUNDDOWN(YEARFRAC($E121, 'Week 1 Roster'!$D$1+14, 1), 0))</f>
        <v/>
      </c>
      <c r="H121" s="13" t="str">
        <f t="shared" ca="1" si="25"/>
        <v/>
      </c>
      <c r="I121" s="13" t="str">
        <f ca="1">IF($A121=0,"",VLOOKUP($B121,Employees!$A:$G,6,FALSE))</f>
        <v/>
      </c>
      <c r="J121" s="13" t="str">
        <f ca="1">IF($A121=0,"",VLOOKUP($B121,Employees!$A:$G,7,FALSE))</f>
        <v/>
      </c>
      <c r="K121" s="13" t="str">
        <f ca="1">IF($A121=0,"",IF(ISNA(VLOOKUP(A121,'Week 1 Roster'!A:C,2,0)),VLOOKUP(A121,'Week 2 Roster'!A:C,2,0),VLOOKUP(A121,'Week 1 Roster'!A:C,2,0)))</f>
        <v/>
      </c>
      <c r="L121" s="13" t="str">
        <f ca="1">IF($A121=0,"",VLOOKUP(K121,Stores!A:B,2,0))</f>
        <v/>
      </c>
      <c r="M121" s="14">
        <f t="shared" ca="1" si="26"/>
        <v>0</v>
      </c>
      <c r="N121" s="14">
        <f t="shared" ca="1" si="27"/>
        <v>0</v>
      </c>
      <c r="O121" s="14">
        <f t="shared" ca="1" si="28"/>
        <v>0</v>
      </c>
      <c r="P121" s="14">
        <f t="shared" ca="1" si="29"/>
        <v>0</v>
      </c>
      <c r="Q121" s="14">
        <f t="shared" ca="1" si="30"/>
        <v>0</v>
      </c>
      <c r="R121" s="14">
        <f t="shared" ca="1" si="31"/>
        <v>0</v>
      </c>
      <c r="S121" s="28">
        <f t="shared" ca="1" si="32"/>
        <v>0</v>
      </c>
      <c r="T121" s="14">
        <f t="shared" ca="1" si="33"/>
        <v>0</v>
      </c>
      <c r="U121" s="14">
        <f t="shared" ca="1" si="34"/>
        <v>0</v>
      </c>
      <c r="V121" s="14">
        <f t="shared" ca="1" si="35"/>
        <v>0</v>
      </c>
      <c r="W121" s="14">
        <f t="shared" ca="1" si="36"/>
        <v>0</v>
      </c>
      <c r="Y121" s="17">
        <f ca="1">IF($A121=0,0,SUMIF('Week 1 Roster'!$AZ:$AZ,$B121,'Week 1 Roster'!$AE:$AE))</f>
        <v>0</v>
      </c>
      <c r="Z121" s="17">
        <f ca="1">IF($A121=0,0,SUMIF('Week 1 Roster'!$AZ:$AZ,$B121,'Week 1 Roster'!$AG:$AG))</f>
        <v>0</v>
      </c>
      <c r="AA121" s="17">
        <f ca="1">IF($A121=0,0,SUMIF('Week 1 Roster'!$AZ:$AZ,$B121,'Week 1 Roster'!$AI:$AI))</f>
        <v>0</v>
      </c>
      <c r="AB121" s="17">
        <f ca="1">IF($A121=0,0,SUMIF('Week 1 Roster'!$AZ:$AZ,$B121,'Week 1 Roster'!$AK:$AK))</f>
        <v>0</v>
      </c>
      <c r="AC121" s="17">
        <f ca="1">IF($A121=0,0,SUMIF('Week 1 Roster'!$AZ:$AZ,$B121,'Week 1 Roster'!$AM:$AM))</f>
        <v>0</v>
      </c>
      <c r="AD121" s="17">
        <f ca="1">IF($A121=0,0,SUMIF('Week 1 Roster'!$AZ:$AZ,$B121,'Week 1 Roster'!$AO:$AO))</f>
        <v>0</v>
      </c>
      <c r="AE121" s="38">
        <f ca="1">IF($A121=0,0,SUMIF('Week 1 Roster'!$AZ:$AZ,$B121,'Week 1 Roster'!$AP:$AP))</f>
        <v>0</v>
      </c>
      <c r="AF121" s="17">
        <f ca="1">IF($A121=0,0,SUMIF('Week 1 Roster'!$AZ:$AZ,$B121,'Week 1 Roster'!$AQ:$AQ))</f>
        <v>0</v>
      </c>
      <c r="AG121" s="17">
        <f ca="1">IF($A121=0,0,SUMIF('Week 1 Roster'!$AZ:$AZ,$B121,'Week 1 Roster'!$AR:$AR))</f>
        <v>0</v>
      </c>
      <c r="AH121" s="17">
        <f ca="1">IF($A121=0,0,SUMIF('Week 1 Roster'!$AZ:$AZ,$B121,'Week 1 Roster'!$AS:$AS))</f>
        <v>0</v>
      </c>
      <c r="AI121" s="17">
        <f t="shared" ca="1" si="37"/>
        <v>0</v>
      </c>
      <c r="AK121" s="17">
        <f ca="1">IF($A121=0,0,SUMIF('Week 2 Roster'!$AZ:$AZ,$B121,'Week 2 Roster'!$AE:$AE))</f>
        <v>0</v>
      </c>
      <c r="AL121" s="17">
        <f ca="1">IF($A121=0,0,SUMIF('Week 2 Roster'!$AZ:$AZ,$B121,'Week 2 Roster'!$AG:$AG))</f>
        <v>0</v>
      </c>
      <c r="AM121" s="17">
        <f ca="1">IF($A121=0,0,SUMIF('Week 2 Roster'!$AZ:$AZ,$B121,'Week 2 Roster'!$AI:$AI))</f>
        <v>0</v>
      </c>
      <c r="AN121" s="17">
        <f ca="1">IF($A121=0,0,SUMIF('Week 2 Roster'!$AZ:$AZ,$B121,'Week 2 Roster'!$AK:$AK))</f>
        <v>0</v>
      </c>
      <c r="AO121" s="17">
        <f ca="1">IF($A121=0,0,SUMIF('Week 2 Roster'!$AZ:$AZ,$B121,'Week 2 Roster'!$AM:$AM))</f>
        <v>0</v>
      </c>
      <c r="AP121" s="17">
        <f ca="1">IF($A121=0,0,SUMIF('Week 2 Roster'!$AZ:$AZ,$B121,'Week 2 Roster'!$AO:$AO))</f>
        <v>0</v>
      </c>
      <c r="AQ121" s="38">
        <f ca="1">IF($A121=0,0,SUMIF('Week 2 Roster'!$AZ:$AZ,$B121,'Week 2 Roster'!$AP:$AP))</f>
        <v>0</v>
      </c>
      <c r="AR121" s="17">
        <f ca="1">IF($A121=0,0,SUMIF('Week 2 Roster'!$AZ:$AZ,$B121,'Week 2 Roster'!$AQ:$AQ))</f>
        <v>0</v>
      </c>
      <c r="AS121" s="17">
        <f ca="1">IF($A121=0,0,SUMIF('Week 2 Roster'!$AZ:$AZ,$B121,'Week 2 Roster'!$AR:$AR))</f>
        <v>0</v>
      </c>
      <c r="AT121" s="17">
        <f ca="1">IF($A121=0,0,SUMIF('Week 2 Roster'!$AZ:$AZ,$B121,'Week 2 Roster'!$AS:$AS))</f>
        <v>0</v>
      </c>
      <c r="AU121" s="17">
        <f t="shared" ca="1" si="38"/>
        <v>0</v>
      </c>
      <c r="AV121" s="17"/>
    </row>
    <row r="122" spans="1:48">
      <c r="A122" s="16" cm="1">
        <f t="array" aca="1" ref="A122" ca="1">_xlfn.NUMBERVALUE(INDIRECT(TEXT(MIN(IF(($AW$2:$AX$300&lt;&gt;"")*(COUNTIF($B$1:B121,$AW$2:$AX$300)=0),ROW($2:$300)*100+COLUMN($AW:$AX),7^8)),"R0C00"),)&amp;"")</f>
        <v>0</v>
      </c>
      <c r="B122" s="28" t="str">
        <f t="shared" ca="1" si="24"/>
        <v/>
      </c>
      <c r="C122" s="28" t="str">
        <f ca="1">IF($A122=0,"",VLOOKUP($B122,Employees!$A:$G,2,FALSE))</f>
        <v/>
      </c>
      <c r="D122" s="28" t="str">
        <f ca="1">IF($A122=0,"",VLOOKUP($B122,Employees!$A:$G,3,FALSE))</f>
        <v/>
      </c>
      <c r="E122" s="26" t="str">
        <f ca="1">IF($A122=0,"",VLOOKUP($B122,Employees!$A:$G,5,FALSE))</f>
        <v/>
      </c>
      <c r="F122" s="13" t="str">
        <f ca="1">IF($E122="","",ROUNDDOWN(YEARFRAC($E122, 'Week 1 Roster'!$D$1-1, 1), 0))</f>
        <v/>
      </c>
      <c r="G122" s="13" t="str">
        <f ca="1">IF($E122="","",ROUNDDOWN(YEARFRAC($E122, 'Week 1 Roster'!$D$1+14, 1), 0))</f>
        <v/>
      </c>
      <c r="H122" s="13" t="str">
        <f t="shared" ca="1" si="25"/>
        <v/>
      </c>
      <c r="I122" s="13" t="str">
        <f ca="1">IF($A122=0,"",VLOOKUP($B122,Employees!$A:$G,6,FALSE))</f>
        <v/>
      </c>
      <c r="J122" s="13" t="str">
        <f ca="1">IF($A122=0,"",VLOOKUP($B122,Employees!$A:$G,7,FALSE))</f>
        <v/>
      </c>
      <c r="K122" s="13" t="str">
        <f ca="1">IF($A122=0,"",IF(ISNA(VLOOKUP(A122,'Week 1 Roster'!A:C,2,0)),VLOOKUP(A122,'Week 2 Roster'!A:C,2,0),VLOOKUP(A122,'Week 1 Roster'!A:C,2,0)))</f>
        <v/>
      </c>
      <c r="L122" s="13" t="str">
        <f ca="1">IF($A122=0,"",VLOOKUP(K122,Stores!A:B,2,0))</f>
        <v/>
      </c>
      <c r="M122" s="14">
        <f t="shared" ca="1" si="26"/>
        <v>0</v>
      </c>
      <c r="N122" s="14">
        <f t="shared" ca="1" si="27"/>
        <v>0</v>
      </c>
      <c r="O122" s="14">
        <f t="shared" ca="1" si="28"/>
        <v>0</v>
      </c>
      <c r="P122" s="14">
        <f t="shared" ca="1" si="29"/>
        <v>0</v>
      </c>
      <c r="Q122" s="14">
        <f t="shared" ca="1" si="30"/>
        <v>0</v>
      </c>
      <c r="R122" s="14">
        <f t="shared" ca="1" si="31"/>
        <v>0</v>
      </c>
      <c r="S122" s="28">
        <f t="shared" ca="1" si="32"/>
        <v>0</v>
      </c>
      <c r="T122" s="14">
        <f t="shared" ca="1" si="33"/>
        <v>0</v>
      </c>
      <c r="U122" s="14">
        <f t="shared" ca="1" si="34"/>
        <v>0</v>
      </c>
      <c r="V122" s="14">
        <f t="shared" ca="1" si="35"/>
        <v>0</v>
      </c>
      <c r="W122" s="14">
        <f t="shared" ca="1" si="36"/>
        <v>0</v>
      </c>
      <c r="Y122" s="17">
        <f ca="1">IF($A122=0,0,SUMIF('Week 1 Roster'!$AZ:$AZ,$B122,'Week 1 Roster'!$AE:$AE))</f>
        <v>0</v>
      </c>
      <c r="Z122" s="17">
        <f ca="1">IF($A122=0,0,SUMIF('Week 1 Roster'!$AZ:$AZ,$B122,'Week 1 Roster'!$AG:$AG))</f>
        <v>0</v>
      </c>
      <c r="AA122" s="17">
        <f ca="1">IF($A122=0,0,SUMIF('Week 1 Roster'!$AZ:$AZ,$B122,'Week 1 Roster'!$AI:$AI))</f>
        <v>0</v>
      </c>
      <c r="AB122" s="17">
        <f ca="1">IF($A122=0,0,SUMIF('Week 1 Roster'!$AZ:$AZ,$B122,'Week 1 Roster'!$AK:$AK))</f>
        <v>0</v>
      </c>
      <c r="AC122" s="17">
        <f ca="1">IF($A122=0,0,SUMIF('Week 1 Roster'!$AZ:$AZ,$B122,'Week 1 Roster'!$AM:$AM))</f>
        <v>0</v>
      </c>
      <c r="AD122" s="17">
        <f ca="1">IF($A122=0,0,SUMIF('Week 1 Roster'!$AZ:$AZ,$B122,'Week 1 Roster'!$AO:$AO))</f>
        <v>0</v>
      </c>
      <c r="AE122" s="38">
        <f ca="1">IF($A122=0,0,SUMIF('Week 1 Roster'!$AZ:$AZ,$B122,'Week 1 Roster'!$AP:$AP))</f>
        <v>0</v>
      </c>
      <c r="AF122" s="17">
        <f ca="1">IF($A122=0,0,SUMIF('Week 1 Roster'!$AZ:$AZ,$B122,'Week 1 Roster'!$AQ:$AQ))</f>
        <v>0</v>
      </c>
      <c r="AG122" s="17">
        <f ca="1">IF($A122=0,0,SUMIF('Week 1 Roster'!$AZ:$AZ,$B122,'Week 1 Roster'!$AR:$AR))</f>
        <v>0</v>
      </c>
      <c r="AH122" s="17">
        <f ca="1">IF($A122=0,0,SUMIF('Week 1 Roster'!$AZ:$AZ,$B122,'Week 1 Roster'!$AS:$AS))</f>
        <v>0</v>
      </c>
      <c r="AI122" s="17">
        <f t="shared" ca="1" si="37"/>
        <v>0</v>
      </c>
      <c r="AK122" s="17">
        <f ca="1">IF($A122=0,0,SUMIF('Week 2 Roster'!$AZ:$AZ,$B122,'Week 2 Roster'!$AE:$AE))</f>
        <v>0</v>
      </c>
      <c r="AL122" s="17">
        <f ca="1">IF($A122=0,0,SUMIF('Week 2 Roster'!$AZ:$AZ,$B122,'Week 2 Roster'!$AG:$AG))</f>
        <v>0</v>
      </c>
      <c r="AM122" s="17">
        <f ca="1">IF($A122=0,0,SUMIF('Week 2 Roster'!$AZ:$AZ,$B122,'Week 2 Roster'!$AI:$AI))</f>
        <v>0</v>
      </c>
      <c r="AN122" s="17">
        <f ca="1">IF($A122=0,0,SUMIF('Week 2 Roster'!$AZ:$AZ,$B122,'Week 2 Roster'!$AK:$AK))</f>
        <v>0</v>
      </c>
      <c r="AO122" s="17">
        <f ca="1">IF($A122=0,0,SUMIF('Week 2 Roster'!$AZ:$AZ,$B122,'Week 2 Roster'!$AM:$AM))</f>
        <v>0</v>
      </c>
      <c r="AP122" s="17">
        <f ca="1">IF($A122=0,0,SUMIF('Week 2 Roster'!$AZ:$AZ,$B122,'Week 2 Roster'!$AO:$AO))</f>
        <v>0</v>
      </c>
      <c r="AQ122" s="38">
        <f ca="1">IF($A122=0,0,SUMIF('Week 2 Roster'!$AZ:$AZ,$B122,'Week 2 Roster'!$AP:$AP))</f>
        <v>0</v>
      </c>
      <c r="AR122" s="17">
        <f ca="1">IF($A122=0,0,SUMIF('Week 2 Roster'!$AZ:$AZ,$B122,'Week 2 Roster'!$AQ:$AQ))</f>
        <v>0</v>
      </c>
      <c r="AS122" s="17">
        <f ca="1">IF($A122=0,0,SUMIF('Week 2 Roster'!$AZ:$AZ,$B122,'Week 2 Roster'!$AR:$AR))</f>
        <v>0</v>
      </c>
      <c r="AT122" s="17">
        <f ca="1">IF($A122=0,0,SUMIF('Week 2 Roster'!$AZ:$AZ,$B122,'Week 2 Roster'!$AS:$AS))</f>
        <v>0</v>
      </c>
      <c r="AU122" s="17">
        <f t="shared" ca="1" si="38"/>
        <v>0</v>
      </c>
      <c r="AV122" s="17"/>
    </row>
    <row r="123" spans="1:48">
      <c r="A123" s="16" cm="1">
        <f t="array" aca="1" ref="A123" ca="1">_xlfn.NUMBERVALUE(INDIRECT(TEXT(MIN(IF(($AW$2:$AX$300&lt;&gt;"")*(COUNTIF($B$1:B122,$AW$2:$AX$300)=0),ROW($2:$300)*100+COLUMN($AW:$AX),7^8)),"R0C00"),)&amp;"")</f>
        <v>0</v>
      </c>
      <c r="B123" s="28" t="str">
        <f t="shared" ca="1" si="24"/>
        <v/>
      </c>
      <c r="C123" s="28" t="str">
        <f ca="1">IF($A123=0,"",VLOOKUP($B123,Employees!$A:$G,2,FALSE))</f>
        <v/>
      </c>
      <c r="D123" s="28" t="str">
        <f ca="1">IF($A123=0,"",VLOOKUP($B123,Employees!$A:$G,3,FALSE))</f>
        <v/>
      </c>
      <c r="E123" s="26" t="str">
        <f ca="1">IF($A123=0,"",VLOOKUP($B123,Employees!$A:$G,5,FALSE))</f>
        <v/>
      </c>
      <c r="F123" s="13" t="str">
        <f ca="1">IF($E123="","",ROUNDDOWN(YEARFRAC($E123, 'Week 1 Roster'!$D$1-1, 1), 0))</f>
        <v/>
      </c>
      <c r="G123" s="13" t="str">
        <f ca="1">IF($E123="","",ROUNDDOWN(YEARFRAC($E123, 'Week 1 Roster'!$D$1+14, 1), 0))</f>
        <v/>
      </c>
      <c r="H123" s="13" t="str">
        <f t="shared" ca="1" si="25"/>
        <v/>
      </c>
      <c r="I123" s="13" t="str">
        <f ca="1">IF($A123=0,"",VLOOKUP($B123,Employees!$A:$G,6,FALSE))</f>
        <v/>
      </c>
      <c r="J123" s="13" t="str">
        <f ca="1">IF($A123=0,"",VLOOKUP($B123,Employees!$A:$G,7,FALSE))</f>
        <v/>
      </c>
      <c r="K123" s="13" t="str">
        <f ca="1">IF($A123=0,"",IF(ISNA(VLOOKUP(A123,'Week 1 Roster'!A:C,2,0)),VLOOKUP(A123,'Week 2 Roster'!A:C,2,0),VLOOKUP(A123,'Week 1 Roster'!A:C,2,0)))</f>
        <v/>
      </c>
      <c r="L123" s="13" t="str">
        <f ca="1">IF($A123=0,"",VLOOKUP(K123,Stores!A:B,2,0))</f>
        <v/>
      </c>
      <c r="M123" s="14">
        <f t="shared" ca="1" si="26"/>
        <v>0</v>
      </c>
      <c r="N123" s="14">
        <f t="shared" ca="1" si="27"/>
        <v>0</v>
      </c>
      <c r="O123" s="14">
        <f t="shared" ca="1" si="28"/>
        <v>0</v>
      </c>
      <c r="P123" s="14">
        <f t="shared" ca="1" si="29"/>
        <v>0</v>
      </c>
      <c r="Q123" s="14">
        <f t="shared" ca="1" si="30"/>
        <v>0</v>
      </c>
      <c r="R123" s="14">
        <f t="shared" ca="1" si="31"/>
        <v>0</v>
      </c>
      <c r="S123" s="28">
        <f t="shared" ca="1" si="32"/>
        <v>0</v>
      </c>
      <c r="T123" s="14">
        <f t="shared" ca="1" si="33"/>
        <v>0</v>
      </c>
      <c r="U123" s="14">
        <f t="shared" ca="1" si="34"/>
        <v>0</v>
      </c>
      <c r="V123" s="14">
        <f t="shared" ca="1" si="35"/>
        <v>0</v>
      </c>
      <c r="W123" s="14">
        <f t="shared" ca="1" si="36"/>
        <v>0</v>
      </c>
      <c r="Y123" s="17">
        <f ca="1">IF($A123=0,0,SUMIF('Week 1 Roster'!$AZ:$AZ,$B123,'Week 1 Roster'!$AE:$AE))</f>
        <v>0</v>
      </c>
      <c r="Z123" s="17">
        <f ca="1">IF($A123=0,0,SUMIF('Week 1 Roster'!$AZ:$AZ,$B123,'Week 1 Roster'!$AG:$AG))</f>
        <v>0</v>
      </c>
      <c r="AA123" s="17">
        <f ca="1">IF($A123=0,0,SUMIF('Week 1 Roster'!$AZ:$AZ,$B123,'Week 1 Roster'!$AI:$AI))</f>
        <v>0</v>
      </c>
      <c r="AB123" s="17">
        <f ca="1">IF($A123=0,0,SUMIF('Week 1 Roster'!$AZ:$AZ,$B123,'Week 1 Roster'!$AK:$AK))</f>
        <v>0</v>
      </c>
      <c r="AC123" s="17">
        <f ca="1">IF($A123=0,0,SUMIF('Week 1 Roster'!$AZ:$AZ,$B123,'Week 1 Roster'!$AM:$AM))</f>
        <v>0</v>
      </c>
      <c r="AD123" s="17">
        <f ca="1">IF($A123=0,0,SUMIF('Week 1 Roster'!$AZ:$AZ,$B123,'Week 1 Roster'!$AO:$AO))</f>
        <v>0</v>
      </c>
      <c r="AE123" s="38">
        <f ca="1">IF($A123=0,0,SUMIF('Week 1 Roster'!$AZ:$AZ,$B123,'Week 1 Roster'!$AP:$AP))</f>
        <v>0</v>
      </c>
      <c r="AF123" s="17">
        <f ca="1">IF($A123=0,0,SUMIF('Week 1 Roster'!$AZ:$AZ,$B123,'Week 1 Roster'!$AQ:$AQ))</f>
        <v>0</v>
      </c>
      <c r="AG123" s="17">
        <f ca="1">IF($A123=0,0,SUMIF('Week 1 Roster'!$AZ:$AZ,$B123,'Week 1 Roster'!$AR:$AR))</f>
        <v>0</v>
      </c>
      <c r="AH123" s="17">
        <f ca="1">IF($A123=0,0,SUMIF('Week 1 Roster'!$AZ:$AZ,$B123,'Week 1 Roster'!$AS:$AS))</f>
        <v>0</v>
      </c>
      <c r="AI123" s="17">
        <f t="shared" ca="1" si="37"/>
        <v>0</v>
      </c>
      <c r="AK123" s="17">
        <f ca="1">IF($A123=0,0,SUMIF('Week 2 Roster'!$AZ:$AZ,$B123,'Week 2 Roster'!$AE:$AE))</f>
        <v>0</v>
      </c>
      <c r="AL123" s="17">
        <f ca="1">IF($A123=0,0,SUMIF('Week 2 Roster'!$AZ:$AZ,$B123,'Week 2 Roster'!$AG:$AG))</f>
        <v>0</v>
      </c>
      <c r="AM123" s="17">
        <f ca="1">IF($A123=0,0,SUMIF('Week 2 Roster'!$AZ:$AZ,$B123,'Week 2 Roster'!$AI:$AI))</f>
        <v>0</v>
      </c>
      <c r="AN123" s="17">
        <f ca="1">IF($A123=0,0,SUMIF('Week 2 Roster'!$AZ:$AZ,$B123,'Week 2 Roster'!$AK:$AK))</f>
        <v>0</v>
      </c>
      <c r="AO123" s="17">
        <f ca="1">IF($A123=0,0,SUMIF('Week 2 Roster'!$AZ:$AZ,$B123,'Week 2 Roster'!$AM:$AM))</f>
        <v>0</v>
      </c>
      <c r="AP123" s="17">
        <f ca="1">IF($A123=0,0,SUMIF('Week 2 Roster'!$AZ:$AZ,$B123,'Week 2 Roster'!$AO:$AO))</f>
        <v>0</v>
      </c>
      <c r="AQ123" s="38">
        <f ca="1">IF($A123=0,0,SUMIF('Week 2 Roster'!$AZ:$AZ,$B123,'Week 2 Roster'!$AP:$AP))</f>
        <v>0</v>
      </c>
      <c r="AR123" s="17">
        <f ca="1">IF($A123=0,0,SUMIF('Week 2 Roster'!$AZ:$AZ,$B123,'Week 2 Roster'!$AQ:$AQ))</f>
        <v>0</v>
      </c>
      <c r="AS123" s="17">
        <f ca="1">IF($A123=0,0,SUMIF('Week 2 Roster'!$AZ:$AZ,$B123,'Week 2 Roster'!$AR:$AR))</f>
        <v>0</v>
      </c>
      <c r="AT123" s="17">
        <f ca="1">IF($A123=0,0,SUMIF('Week 2 Roster'!$AZ:$AZ,$B123,'Week 2 Roster'!$AS:$AS))</f>
        <v>0</v>
      </c>
      <c r="AU123" s="17">
        <f t="shared" ca="1" si="38"/>
        <v>0</v>
      </c>
      <c r="AV123" s="17"/>
    </row>
    <row r="124" spans="1:48">
      <c r="A124" s="16" cm="1">
        <f t="array" aca="1" ref="A124" ca="1">_xlfn.NUMBERVALUE(INDIRECT(TEXT(MIN(IF(($AW$2:$AX$300&lt;&gt;"")*(COUNTIF($B$1:B123,$AW$2:$AX$300)=0),ROW($2:$300)*100+COLUMN($AW:$AX),7^8)),"R0C00"),)&amp;"")</f>
        <v>0</v>
      </c>
      <c r="B124" s="28" t="str">
        <f t="shared" ca="1" si="24"/>
        <v/>
      </c>
      <c r="C124" s="28" t="str">
        <f ca="1">IF($A124=0,"",VLOOKUP($B124,Employees!$A:$G,2,FALSE))</f>
        <v/>
      </c>
      <c r="D124" s="28" t="str">
        <f ca="1">IF($A124=0,"",VLOOKUP($B124,Employees!$A:$G,3,FALSE))</f>
        <v/>
      </c>
      <c r="E124" s="26" t="str">
        <f ca="1">IF($A124=0,"",VLOOKUP($B124,Employees!$A:$G,5,FALSE))</f>
        <v/>
      </c>
      <c r="F124" s="13" t="str">
        <f ca="1">IF($E124="","",ROUNDDOWN(YEARFRAC($E124, 'Week 1 Roster'!$D$1-1, 1), 0))</f>
        <v/>
      </c>
      <c r="G124" s="13" t="str">
        <f ca="1">IF($E124="","",ROUNDDOWN(YEARFRAC($E124, 'Week 1 Roster'!$D$1+14, 1), 0))</f>
        <v/>
      </c>
      <c r="H124" s="13" t="str">
        <f t="shared" ca="1" si="25"/>
        <v/>
      </c>
      <c r="I124" s="13" t="str">
        <f ca="1">IF($A124=0,"",VLOOKUP($B124,Employees!$A:$G,6,FALSE))</f>
        <v/>
      </c>
      <c r="J124" s="13" t="str">
        <f ca="1">IF($A124=0,"",VLOOKUP($B124,Employees!$A:$G,7,FALSE))</f>
        <v/>
      </c>
      <c r="K124" s="13" t="str">
        <f ca="1">IF($A124=0,"",IF(ISNA(VLOOKUP(A124,'Week 1 Roster'!A:C,2,0)),VLOOKUP(A124,'Week 2 Roster'!A:C,2,0),VLOOKUP(A124,'Week 1 Roster'!A:C,2,0)))</f>
        <v/>
      </c>
      <c r="L124" s="13" t="str">
        <f ca="1">IF($A124=0,"",VLOOKUP(K124,Stores!A:B,2,0))</f>
        <v/>
      </c>
      <c r="M124" s="14">
        <f t="shared" ca="1" si="26"/>
        <v>0</v>
      </c>
      <c r="N124" s="14">
        <f t="shared" ca="1" si="27"/>
        <v>0</v>
      </c>
      <c r="O124" s="14">
        <f t="shared" ca="1" si="28"/>
        <v>0</v>
      </c>
      <c r="P124" s="14">
        <f t="shared" ca="1" si="29"/>
        <v>0</v>
      </c>
      <c r="Q124" s="14">
        <f t="shared" ca="1" si="30"/>
        <v>0</v>
      </c>
      <c r="R124" s="14">
        <f t="shared" ca="1" si="31"/>
        <v>0</v>
      </c>
      <c r="S124" s="28">
        <f t="shared" ca="1" si="32"/>
        <v>0</v>
      </c>
      <c r="T124" s="14">
        <f t="shared" ca="1" si="33"/>
        <v>0</v>
      </c>
      <c r="U124" s="14">
        <f t="shared" ca="1" si="34"/>
        <v>0</v>
      </c>
      <c r="V124" s="14">
        <f t="shared" ca="1" si="35"/>
        <v>0</v>
      </c>
      <c r="W124" s="14">
        <f t="shared" ca="1" si="36"/>
        <v>0</v>
      </c>
      <c r="Y124" s="17">
        <f ca="1">IF($A124=0,0,SUMIF('Week 1 Roster'!$AZ:$AZ,$B124,'Week 1 Roster'!$AE:$AE))</f>
        <v>0</v>
      </c>
      <c r="Z124" s="17">
        <f ca="1">IF($A124=0,0,SUMIF('Week 1 Roster'!$AZ:$AZ,$B124,'Week 1 Roster'!$AG:$AG))</f>
        <v>0</v>
      </c>
      <c r="AA124" s="17">
        <f ca="1">IF($A124=0,0,SUMIF('Week 1 Roster'!$AZ:$AZ,$B124,'Week 1 Roster'!$AI:$AI))</f>
        <v>0</v>
      </c>
      <c r="AB124" s="17">
        <f ca="1">IF($A124=0,0,SUMIF('Week 1 Roster'!$AZ:$AZ,$B124,'Week 1 Roster'!$AK:$AK))</f>
        <v>0</v>
      </c>
      <c r="AC124" s="17">
        <f ca="1">IF($A124=0,0,SUMIF('Week 1 Roster'!$AZ:$AZ,$B124,'Week 1 Roster'!$AM:$AM))</f>
        <v>0</v>
      </c>
      <c r="AD124" s="17">
        <f ca="1">IF($A124=0,0,SUMIF('Week 1 Roster'!$AZ:$AZ,$B124,'Week 1 Roster'!$AO:$AO))</f>
        <v>0</v>
      </c>
      <c r="AE124" s="38">
        <f ca="1">IF($A124=0,0,SUMIF('Week 1 Roster'!$AZ:$AZ,$B124,'Week 1 Roster'!$AP:$AP))</f>
        <v>0</v>
      </c>
      <c r="AF124" s="17">
        <f ca="1">IF($A124=0,0,SUMIF('Week 1 Roster'!$AZ:$AZ,$B124,'Week 1 Roster'!$AQ:$AQ))</f>
        <v>0</v>
      </c>
      <c r="AG124" s="17">
        <f ca="1">IF($A124=0,0,SUMIF('Week 1 Roster'!$AZ:$AZ,$B124,'Week 1 Roster'!$AR:$AR))</f>
        <v>0</v>
      </c>
      <c r="AH124" s="17">
        <f ca="1">IF($A124=0,0,SUMIF('Week 1 Roster'!$AZ:$AZ,$B124,'Week 1 Roster'!$AS:$AS))</f>
        <v>0</v>
      </c>
      <c r="AI124" s="17">
        <f t="shared" ca="1" si="37"/>
        <v>0</v>
      </c>
      <c r="AK124" s="17">
        <f ca="1">IF($A124=0,0,SUMIF('Week 2 Roster'!$AZ:$AZ,$B124,'Week 2 Roster'!$AE:$AE))</f>
        <v>0</v>
      </c>
      <c r="AL124" s="17">
        <f ca="1">IF($A124=0,0,SUMIF('Week 2 Roster'!$AZ:$AZ,$B124,'Week 2 Roster'!$AG:$AG))</f>
        <v>0</v>
      </c>
      <c r="AM124" s="17">
        <f ca="1">IF($A124=0,0,SUMIF('Week 2 Roster'!$AZ:$AZ,$B124,'Week 2 Roster'!$AI:$AI))</f>
        <v>0</v>
      </c>
      <c r="AN124" s="17">
        <f ca="1">IF($A124=0,0,SUMIF('Week 2 Roster'!$AZ:$AZ,$B124,'Week 2 Roster'!$AK:$AK))</f>
        <v>0</v>
      </c>
      <c r="AO124" s="17">
        <f ca="1">IF($A124=0,0,SUMIF('Week 2 Roster'!$AZ:$AZ,$B124,'Week 2 Roster'!$AM:$AM))</f>
        <v>0</v>
      </c>
      <c r="AP124" s="17">
        <f ca="1">IF($A124=0,0,SUMIF('Week 2 Roster'!$AZ:$AZ,$B124,'Week 2 Roster'!$AO:$AO))</f>
        <v>0</v>
      </c>
      <c r="AQ124" s="38">
        <f ca="1">IF($A124=0,0,SUMIF('Week 2 Roster'!$AZ:$AZ,$B124,'Week 2 Roster'!$AP:$AP))</f>
        <v>0</v>
      </c>
      <c r="AR124" s="17">
        <f ca="1">IF($A124=0,0,SUMIF('Week 2 Roster'!$AZ:$AZ,$B124,'Week 2 Roster'!$AQ:$AQ))</f>
        <v>0</v>
      </c>
      <c r="AS124" s="17">
        <f ca="1">IF($A124=0,0,SUMIF('Week 2 Roster'!$AZ:$AZ,$B124,'Week 2 Roster'!$AR:$AR))</f>
        <v>0</v>
      </c>
      <c r="AT124" s="17">
        <f ca="1">IF($A124=0,0,SUMIF('Week 2 Roster'!$AZ:$AZ,$B124,'Week 2 Roster'!$AS:$AS))</f>
        <v>0</v>
      </c>
      <c r="AU124" s="17">
        <f t="shared" ca="1" si="38"/>
        <v>0</v>
      </c>
      <c r="AV124" s="17"/>
    </row>
    <row r="125" spans="1:48">
      <c r="A125" s="16" cm="1">
        <f t="array" aca="1" ref="A125" ca="1">_xlfn.NUMBERVALUE(INDIRECT(TEXT(MIN(IF(($AW$2:$AX$300&lt;&gt;"")*(COUNTIF($B$1:B124,$AW$2:$AX$300)=0),ROW($2:$300)*100+COLUMN($AW:$AX),7^8)),"R0C00"),)&amp;"")</f>
        <v>0</v>
      </c>
      <c r="B125" s="28" t="str">
        <f t="shared" ca="1" si="24"/>
        <v/>
      </c>
      <c r="C125" s="28" t="str">
        <f ca="1">IF($A125=0,"",VLOOKUP($B125,Employees!$A:$G,2,FALSE))</f>
        <v/>
      </c>
      <c r="D125" s="28" t="str">
        <f ca="1">IF($A125=0,"",VLOOKUP($B125,Employees!$A:$G,3,FALSE))</f>
        <v/>
      </c>
      <c r="E125" s="26" t="str">
        <f ca="1">IF($A125=0,"",VLOOKUP($B125,Employees!$A:$G,5,FALSE))</f>
        <v/>
      </c>
      <c r="F125" s="13" t="str">
        <f ca="1">IF($E125="","",ROUNDDOWN(YEARFRAC($E125, 'Week 1 Roster'!$D$1-1, 1), 0))</f>
        <v/>
      </c>
      <c r="G125" s="13" t="str">
        <f ca="1">IF($E125="","",ROUNDDOWN(YEARFRAC($E125, 'Week 1 Roster'!$D$1+14, 1), 0))</f>
        <v/>
      </c>
      <c r="H125" s="13" t="str">
        <f t="shared" ca="1" si="25"/>
        <v/>
      </c>
      <c r="I125" s="13" t="str">
        <f ca="1">IF($A125=0,"",VLOOKUP($B125,Employees!$A:$G,6,FALSE))</f>
        <v/>
      </c>
      <c r="J125" s="13" t="str">
        <f ca="1">IF($A125=0,"",VLOOKUP($B125,Employees!$A:$G,7,FALSE))</f>
        <v/>
      </c>
      <c r="K125" s="13" t="str">
        <f ca="1">IF($A125=0,"",IF(ISNA(VLOOKUP(A125,'Week 1 Roster'!A:C,2,0)),VLOOKUP(A125,'Week 2 Roster'!A:C,2,0),VLOOKUP(A125,'Week 1 Roster'!A:C,2,0)))</f>
        <v/>
      </c>
      <c r="L125" s="13" t="str">
        <f ca="1">IF($A125=0,"",VLOOKUP(K125,Stores!A:B,2,0))</f>
        <v/>
      </c>
      <c r="M125" s="14">
        <f t="shared" ca="1" si="26"/>
        <v>0</v>
      </c>
      <c r="N125" s="14">
        <f t="shared" ca="1" si="27"/>
        <v>0</v>
      </c>
      <c r="O125" s="14">
        <f t="shared" ca="1" si="28"/>
        <v>0</v>
      </c>
      <c r="P125" s="14">
        <f t="shared" ca="1" si="29"/>
        <v>0</v>
      </c>
      <c r="Q125" s="14">
        <f t="shared" ca="1" si="30"/>
        <v>0</v>
      </c>
      <c r="R125" s="14">
        <f t="shared" ca="1" si="31"/>
        <v>0</v>
      </c>
      <c r="S125" s="28">
        <f t="shared" ca="1" si="32"/>
        <v>0</v>
      </c>
      <c r="T125" s="14">
        <f t="shared" ca="1" si="33"/>
        <v>0</v>
      </c>
      <c r="U125" s="14">
        <f t="shared" ca="1" si="34"/>
        <v>0</v>
      </c>
      <c r="V125" s="14">
        <f t="shared" ca="1" si="35"/>
        <v>0</v>
      </c>
      <c r="W125" s="14">
        <f t="shared" ca="1" si="36"/>
        <v>0</v>
      </c>
      <c r="Y125" s="17">
        <f ca="1">IF($A125=0,0,SUMIF('Week 1 Roster'!$AZ:$AZ,$B125,'Week 1 Roster'!$AE:$AE))</f>
        <v>0</v>
      </c>
      <c r="Z125" s="17">
        <f ca="1">IF($A125=0,0,SUMIF('Week 1 Roster'!$AZ:$AZ,$B125,'Week 1 Roster'!$AG:$AG))</f>
        <v>0</v>
      </c>
      <c r="AA125" s="17">
        <f ca="1">IF($A125=0,0,SUMIF('Week 1 Roster'!$AZ:$AZ,$B125,'Week 1 Roster'!$AI:$AI))</f>
        <v>0</v>
      </c>
      <c r="AB125" s="17">
        <f ca="1">IF($A125=0,0,SUMIF('Week 1 Roster'!$AZ:$AZ,$B125,'Week 1 Roster'!$AK:$AK))</f>
        <v>0</v>
      </c>
      <c r="AC125" s="17">
        <f ca="1">IF($A125=0,0,SUMIF('Week 1 Roster'!$AZ:$AZ,$B125,'Week 1 Roster'!$AM:$AM))</f>
        <v>0</v>
      </c>
      <c r="AD125" s="17">
        <f ca="1">IF($A125=0,0,SUMIF('Week 1 Roster'!$AZ:$AZ,$B125,'Week 1 Roster'!$AO:$AO))</f>
        <v>0</v>
      </c>
      <c r="AE125" s="38">
        <f ca="1">IF($A125=0,0,SUMIF('Week 1 Roster'!$AZ:$AZ,$B125,'Week 1 Roster'!$AP:$AP))</f>
        <v>0</v>
      </c>
      <c r="AF125" s="17">
        <f ca="1">IF($A125=0,0,SUMIF('Week 1 Roster'!$AZ:$AZ,$B125,'Week 1 Roster'!$AQ:$AQ))</f>
        <v>0</v>
      </c>
      <c r="AG125" s="17">
        <f ca="1">IF($A125=0,0,SUMIF('Week 1 Roster'!$AZ:$AZ,$B125,'Week 1 Roster'!$AR:$AR))</f>
        <v>0</v>
      </c>
      <c r="AH125" s="17">
        <f ca="1">IF($A125=0,0,SUMIF('Week 1 Roster'!$AZ:$AZ,$B125,'Week 1 Roster'!$AS:$AS))</f>
        <v>0</v>
      </c>
      <c r="AI125" s="17">
        <f t="shared" ca="1" si="37"/>
        <v>0</v>
      </c>
      <c r="AK125" s="17">
        <f ca="1">IF($A125=0,0,SUMIF('Week 2 Roster'!$AZ:$AZ,$B125,'Week 2 Roster'!$AE:$AE))</f>
        <v>0</v>
      </c>
      <c r="AL125" s="17">
        <f ca="1">IF($A125=0,0,SUMIF('Week 2 Roster'!$AZ:$AZ,$B125,'Week 2 Roster'!$AG:$AG))</f>
        <v>0</v>
      </c>
      <c r="AM125" s="17">
        <f ca="1">IF($A125=0,0,SUMIF('Week 2 Roster'!$AZ:$AZ,$B125,'Week 2 Roster'!$AI:$AI))</f>
        <v>0</v>
      </c>
      <c r="AN125" s="17">
        <f ca="1">IF($A125=0,0,SUMIF('Week 2 Roster'!$AZ:$AZ,$B125,'Week 2 Roster'!$AK:$AK))</f>
        <v>0</v>
      </c>
      <c r="AO125" s="17">
        <f ca="1">IF($A125=0,0,SUMIF('Week 2 Roster'!$AZ:$AZ,$B125,'Week 2 Roster'!$AM:$AM))</f>
        <v>0</v>
      </c>
      <c r="AP125" s="17">
        <f ca="1">IF($A125=0,0,SUMIF('Week 2 Roster'!$AZ:$AZ,$B125,'Week 2 Roster'!$AO:$AO))</f>
        <v>0</v>
      </c>
      <c r="AQ125" s="38">
        <f ca="1">IF($A125=0,0,SUMIF('Week 2 Roster'!$AZ:$AZ,$B125,'Week 2 Roster'!$AP:$AP))</f>
        <v>0</v>
      </c>
      <c r="AR125" s="17">
        <f ca="1">IF($A125=0,0,SUMIF('Week 2 Roster'!$AZ:$AZ,$B125,'Week 2 Roster'!$AQ:$AQ))</f>
        <v>0</v>
      </c>
      <c r="AS125" s="17">
        <f ca="1">IF($A125=0,0,SUMIF('Week 2 Roster'!$AZ:$AZ,$B125,'Week 2 Roster'!$AR:$AR))</f>
        <v>0</v>
      </c>
      <c r="AT125" s="17">
        <f ca="1">IF($A125=0,0,SUMIF('Week 2 Roster'!$AZ:$AZ,$B125,'Week 2 Roster'!$AS:$AS))</f>
        <v>0</v>
      </c>
      <c r="AU125" s="17">
        <f t="shared" ca="1" si="38"/>
        <v>0</v>
      </c>
      <c r="AV125" s="17"/>
    </row>
    <row r="126" spans="1:48">
      <c r="A126" s="16" cm="1">
        <f t="array" aca="1" ref="A126" ca="1">_xlfn.NUMBERVALUE(INDIRECT(TEXT(MIN(IF(($AW$2:$AX$300&lt;&gt;"")*(COUNTIF($B$1:B125,$AW$2:$AX$300)=0),ROW($2:$300)*100+COLUMN($AW:$AX),7^8)),"R0C00"),)&amp;"")</f>
        <v>0</v>
      </c>
      <c r="B126" s="28" t="str">
        <f t="shared" ca="1" si="24"/>
        <v/>
      </c>
      <c r="C126" s="28" t="str">
        <f ca="1">IF($A126=0,"",VLOOKUP($B126,Employees!$A:$G,2,FALSE))</f>
        <v/>
      </c>
      <c r="D126" s="28" t="str">
        <f ca="1">IF($A126=0,"",VLOOKUP($B126,Employees!$A:$G,3,FALSE))</f>
        <v/>
      </c>
      <c r="E126" s="26" t="str">
        <f ca="1">IF($A126=0,"",VLOOKUP($B126,Employees!$A:$G,5,FALSE))</f>
        <v/>
      </c>
      <c r="F126" s="13" t="str">
        <f ca="1">IF($E126="","",ROUNDDOWN(YEARFRAC($E126, 'Week 1 Roster'!$D$1-1, 1), 0))</f>
        <v/>
      </c>
      <c r="G126" s="13" t="str">
        <f ca="1">IF($E126="","",ROUNDDOWN(YEARFRAC($E126, 'Week 1 Roster'!$D$1+14, 1), 0))</f>
        <v/>
      </c>
      <c r="H126" s="13" t="str">
        <f t="shared" ca="1" si="25"/>
        <v/>
      </c>
      <c r="I126" s="13" t="str">
        <f ca="1">IF($A126=0,"",VLOOKUP($B126,Employees!$A:$G,6,FALSE))</f>
        <v/>
      </c>
      <c r="J126" s="13" t="str">
        <f ca="1">IF($A126=0,"",VLOOKUP($B126,Employees!$A:$G,7,FALSE))</f>
        <v/>
      </c>
      <c r="K126" s="13" t="str">
        <f ca="1">IF($A126=0,"",IF(ISNA(VLOOKUP(A126,'Week 1 Roster'!A:C,2,0)),VLOOKUP(A126,'Week 2 Roster'!A:C,2,0),VLOOKUP(A126,'Week 1 Roster'!A:C,2,0)))</f>
        <v/>
      </c>
      <c r="L126" s="13" t="str">
        <f ca="1">IF($A126=0,"",VLOOKUP(K126,Stores!A:B,2,0))</f>
        <v/>
      </c>
      <c r="M126" s="14">
        <f t="shared" ca="1" si="26"/>
        <v>0</v>
      </c>
      <c r="N126" s="14">
        <f t="shared" ca="1" si="27"/>
        <v>0</v>
      </c>
      <c r="O126" s="14">
        <f t="shared" ca="1" si="28"/>
        <v>0</v>
      </c>
      <c r="P126" s="14">
        <f t="shared" ca="1" si="29"/>
        <v>0</v>
      </c>
      <c r="Q126" s="14">
        <f t="shared" ca="1" si="30"/>
        <v>0</v>
      </c>
      <c r="R126" s="14">
        <f t="shared" ca="1" si="31"/>
        <v>0</v>
      </c>
      <c r="S126" s="28">
        <f t="shared" ca="1" si="32"/>
        <v>0</v>
      </c>
      <c r="T126" s="14">
        <f t="shared" ca="1" si="33"/>
        <v>0</v>
      </c>
      <c r="U126" s="14">
        <f t="shared" ca="1" si="34"/>
        <v>0</v>
      </c>
      <c r="V126" s="14">
        <f t="shared" ca="1" si="35"/>
        <v>0</v>
      </c>
      <c r="W126" s="14">
        <f t="shared" ca="1" si="36"/>
        <v>0</v>
      </c>
      <c r="Y126" s="17">
        <f ca="1">IF($A126=0,0,SUMIF('Week 1 Roster'!$AZ:$AZ,$B126,'Week 1 Roster'!$AE:$AE))</f>
        <v>0</v>
      </c>
      <c r="Z126" s="17">
        <f ca="1">IF($A126=0,0,SUMIF('Week 1 Roster'!$AZ:$AZ,$B126,'Week 1 Roster'!$AG:$AG))</f>
        <v>0</v>
      </c>
      <c r="AA126" s="17">
        <f ca="1">IF($A126=0,0,SUMIF('Week 1 Roster'!$AZ:$AZ,$B126,'Week 1 Roster'!$AI:$AI))</f>
        <v>0</v>
      </c>
      <c r="AB126" s="17">
        <f ca="1">IF($A126=0,0,SUMIF('Week 1 Roster'!$AZ:$AZ,$B126,'Week 1 Roster'!$AK:$AK))</f>
        <v>0</v>
      </c>
      <c r="AC126" s="17">
        <f ca="1">IF($A126=0,0,SUMIF('Week 1 Roster'!$AZ:$AZ,$B126,'Week 1 Roster'!$AM:$AM))</f>
        <v>0</v>
      </c>
      <c r="AD126" s="17">
        <f ca="1">IF($A126=0,0,SUMIF('Week 1 Roster'!$AZ:$AZ,$B126,'Week 1 Roster'!$AO:$AO))</f>
        <v>0</v>
      </c>
      <c r="AE126" s="38">
        <f ca="1">IF($A126=0,0,SUMIF('Week 1 Roster'!$AZ:$AZ,$B126,'Week 1 Roster'!$AP:$AP))</f>
        <v>0</v>
      </c>
      <c r="AF126" s="17">
        <f ca="1">IF($A126=0,0,SUMIF('Week 1 Roster'!$AZ:$AZ,$B126,'Week 1 Roster'!$AQ:$AQ))</f>
        <v>0</v>
      </c>
      <c r="AG126" s="17">
        <f ca="1">IF($A126=0,0,SUMIF('Week 1 Roster'!$AZ:$AZ,$B126,'Week 1 Roster'!$AR:$AR))</f>
        <v>0</v>
      </c>
      <c r="AH126" s="17">
        <f ca="1">IF($A126=0,0,SUMIF('Week 1 Roster'!$AZ:$AZ,$B126,'Week 1 Roster'!$AS:$AS))</f>
        <v>0</v>
      </c>
      <c r="AI126" s="17">
        <f t="shared" ca="1" si="37"/>
        <v>0</v>
      </c>
      <c r="AK126" s="17">
        <f ca="1">IF($A126=0,0,SUMIF('Week 2 Roster'!$AZ:$AZ,$B126,'Week 2 Roster'!$AE:$AE))</f>
        <v>0</v>
      </c>
      <c r="AL126" s="17">
        <f ca="1">IF($A126=0,0,SUMIF('Week 2 Roster'!$AZ:$AZ,$B126,'Week 2 Roster'!$AG:$AG))</f>
        <v>0</v>
      </c>
      <c r="AM126" s="17">
        <f ca="1">IF($A126=0,0,SUMIF('Week 2 Roster'!$AZ:$AZ,$B126,'Week 2 Roster'!$AI:$AI))</f>
        <v>0</v>
      </c>
      <c r="AN126" s="17">
        <f ca="1">IF($A126=0,0,SUMIF('Week 2 Roster'!$AZ:$AZ,$B126,'Week 2 Roster'!$AK:$AK))</f>
        <v>0</v>
      </c>
      <c r="AO126" s="17">
        <f ca="1">IF($A126=0,0,SUMIF('Week 2 Roster'!$AZ:$AZ,$B126,'Week 2 Roster'!$AM:$AM))</f>
        <v>0</v>
      </c>
      <c r="AP126" s="17">
        <f ca="1">IF($A126=0,0,SUMIF('Week 2 Roster'!$AZ:$AZ,$B126,'Week 2 Roster'!$AO:$AO))</f>
        <v>0</v>
      </c>
      <c r="AQ126" s="38">
        <f ca="1">IF($A126=0,0,SUMIF('Week 2 Roster'!$AZ:$AZ,$B126,'Week 2 Roster'!$AP:$AP))</f>
        <v>0</v>
      </c>
      <c r="AR126" s="17">
        <f ca="1">IF($A126=0,0,SUMIF('Week 2 Roster'!$AZ:$AZ,$B126,'Week 2 Roster'!$AQ:$AQ))</f>
        <v>0</v>
      </c>
      <c r="AS126" s="17">
        <f ca="1">IF($A126=0,0,SUMIF('Week 2 Roster'!$AZ:$AZ,$B126,'Week 2 Roster'!$AR:$AR))</f>
        <v>0</v>
      </c>
      <c r="AT126" s="17">
        <f ca="1">IF($A126=0,0,SUMIF('Week 2 Roster'!$AZ:$AZ,$B126,'Week 2 Roster'!$AS:$AS))</f>
        <v>0</v>
      </c>
      <c r="AU126" s="17">
        <f t="shared" ca="1" si="38"/>
        <v>0</v>
      </c>
      <c r="AV126" s="17"/>
    </row>
    <row r="127" spans="1:48">
      <c r="A127" s="16" cm="1">
        <f t="array" aca="1" ref="A127" ca="1">_xlfn.NUMBERVALUE(INDIRECT(TEXT(MIN(IF(($AW$2:$AX$300&lt;&gt;"")*(COUNTIF($B$1:B126,$AW$2:$AX$300)=0),ROW($2:$300)*100+COLUMN($AW:$AX),7^8)),"R0C00"),)&amp;"")</f>
        <v>0</v>
      </c>
      <c r="B127" s="28" t="str">
        <f t="shared" ca="1" si="24"/>
        <v/>
      </c>
      <c r="C127" s="28" t="str">
        <f ca="1">IF($A127=0,"",VLOOKUP($B127,Employees!$A:$G,2,FALSE))</f>
        <v/>
      </c>
      <c r="D127" s="28" t="str">
        <f ca="1">IF($A127=0,"",VLOOKUP($B127,Employees!$A:$G,3,FALSE))</f>
        <v/>
      </c>
      <c r="E127" s="26" t="str">
        <f ca="1">IF($A127=0,"",VLOOKUP($B127,Employees!$A:$G,5,FALSE))</f>
        <v/>
      </c>
      <c r="F127" s="13" t="str">
        <f ca="1">IF($E127="","",ROUNDDOWN(YEARFRAC($E127, 'Week 1 Roster'!$D$1-1, 1), 0))</f>
        <v/>
      </c>
      <c r="G127" s="13" t="str">
        <f ca="1">IF($E127="","",ROUNDDOWN(YEARFRAC($E127, 'Week 1 Roster'!$D$1+14, 1), 0))</f>
        <v/>
      </c>
      <c r="H127" s="13" t="str">
        <f t="shared" ca="1" si="25"/>
        <v/>
      </c>
      <c r="I127" s="13" t="str">
        <f ca="1">IF($A127=0,"",VLOOKUP($B127,Employees!$A:$G,6,FALSE))</f>
        <v/>
      </c>
      <c r="J127" s="13" t="str">
        <f ca="1">IF($A127=0,"",VLOOKUP($B127,Employees!$A:$G,7,FALSE))</f>
        <v/>
      </c>
      <c r="K127" s="13" t="str">
        <f ca="1">IF($A127=0,"",IF(ISNA(VLOOKUP(A127,'Week 1 Roster'!A:C,2,0)),VLOOKUP(A127,'Week 2 Roster'!A:C,2,0),VLOOKUP(A127,'Week 1 Roster'!A:C,2,0)))</f>
        <v/>
      </c>
      <c r="L127" s="13" t="str">
        <f ca="1">IF($A127=0,"",VLOOKUP(K127,Stores!A:B,2,0))</f>
        <v/>
      </c>
      <c r="M127" s="14">
        <f t="shared" ca="1" si="26"/>
        <v>0</v>
      </c>
      <c r="N127" s="14">
        <f t="shared" ca="1" si="27"/>
        <v>0</v>
      </c>
      <c r="O127" s="14">
        <f t="shared" ca="1" si="28"/>
        <v>0</v>
      </c>
      <c r="P127" s="14">
        <f t="shared" ca="1" si="29"/>
        <v>0</v>
      </c>
      <c r="Q127" s="14">
        <f t="shared" ca="1" si="30"/>
        <v>0</v>
      </c>
      <c r="R127" s="14">
        <f t="shared" ca="1" si="31"/>
        <v>0</v>
      </c>
      <c r="S127" s="28">
        <f t="shared" ca="1" si="32"/>
        <v>0</v>
      </c>
      <c r="T127" s="14">
        <f t="shared" ca="1" si="33"/>
        <v>0</v>
      </c>
      <c r="U127" s="14">
        <f t="shared" ca="1" si="34"/>
        <v>0</v>
      </c>
      <c r="V127" s="14">
        <f t="shared" ca="1" si="35"/>
        <v>0</v>
      </c>
      <c r="W127" s="14">
        <f t="shared" ca="1" si="36"/>
        <v>0</v>
      </c>
      <c r="Y127" s="17">
        <f ca="1">IF($A127=0,0,SUMIF('Week 1 Roster'!$AZ:$AZ,$B127,'Week 1 Roster'!$AE:$AE))</f>
        <v>0</v>
      </c>
      <c r="Z127" s="17">
        <f ca="1">IF($A127=0,0,SUMIF('Week 1 Roster'!$AZ:$AZ,$B127,'Week 1 Roster'!$AG:$AG))</f>
        <v>0</v>
      </c>
      <c r="AA127" s="17">
        <f ca="1">IF($A127=0,0,SUMIF('Week 1 Roster'!$AZ:$AZ,$B127,'Week 1 Roster'!$AI:$AI))</f>
        <v>0</v>
      </c>
      <c r="AB127" s="17">
        <f ca="1">IF($A127=0,0,SUMIF('Week 1 Roster'!$AZ:$AZ,$B127,'Week 1 Roster'!$AK:$AK))</f>
        <v>0</v>
      </c>
      <c r="AC127" s="17">
        <f ca="1">IF($A127=0,0,SUMIF('Week 1 Roster'!$AZ:$AZ,$B127,'Week 1 Roster'!$AM:$AM))</f>
        <v>0</v>
      </c>
      <c r="AD127" s="17">
        <f ca="1">IF($A127=0,0,SUMIF('Week 1 Roster'!$AZ:$AZ,$B127,'Week 1 Roster'!$AO:$AO))</f>
        <v>0</v>
      </c>
      <c r="AE127" s="38">
        <f ca="1">IF($A127=0,0,SUMIF('Week 1 Roster'!$AZ:$AZ,$B127,'Week 1 Roster'!$AP:$AP))</f>
        <v>0</v>
      </c>
      <c r="AF127" s="17">
        <f ca="1">IF($A127=0,0,SUMIF('Week 1 Roster'!$AZ:$AZ,$B127,'Week 1 Roster'!$AQ:$AQ))</f>
        <v>0</v>
      </c>
      <c r="AG127" s="17">
        <f ca="1">IF($A127=0,0,SUMIF('Week 1 Roster'!$AZ:$AZ,$B127,'Week 1 Roster'!$AR:$AR))</f>
        <v>0</v>
      </c>
      <c r="AH127" s="17">
        <f ca="1">IF($A127=0,0,SUMIF('Week 1 Roster'!$AZ:$AZ,$B127,'Week 1 Roster'!$AS:$AS))</f>
        <v>0</v>
      </c>
      <c r="AI127" s="17">
        <f t="shared" ca="1" si="37"/>
        <v>0</v>
      </c>
      <c r="AK127" s="17">
        <f ca="1">IF($A127=0,0,SUMIF('Week 2 Roster'!$AZ:$AZ,$B127,'Week 2 Roster'!$AE:$AE))</f>
        <v>0</v>
      </c>
      <c r="AL127" s="17">
        <f ca="1">IF($A127=0,0,SUMIF('Week 2 Roster'!$AZ:$AZ,$B127,'Week 2 Roster'!$AG:$AG))</f>
        <v>0</v>
      </c>
      <c r="AM127" s="17">
        <f ca="1">IF($A127=0,0,SUMIF('Week 2 Roster'!$AZ:$AZ,$B127,'Week 2 Roster'!$AI:$AI))</f>
        <v>0</v>
      </c>
      <c r="AN127" s="17">
        <f ca="1">IF($A127=0,0,SUMIF('Week 2 Roster'!$AZ:$AZ,$B127,'Week 2 Roster'!$AK:$AK))</f>
        <v>0</v>
      </c>
      <c r="AO127" s="17">
        <f ca="1">IF($A127=0,0,SUMIF('Week 2 Roster'!$AZ:$AZ,$B127,'Week 2 Roster'!$AM:$AM))</f>
        <v>0</v>
      </c>
      <c r="AP127" s="17">
        <f ca="1">IF($A127=0,0,SUMIF('Week 2 Roster'!$AZ:$AZ,$B127,'Week 2 Roster'!$AO:$AO))</f>
        <v>0</v>
      </c>
      <c r="AQ127" s="38">
        <f ca="1">IF($A127=0,0,SUMIF('Week 2 Roster'!$AZ:$AZ,$B127,'Week 2 Roster'!$AP:$AP))</f>
        <v>0</v>
      </c>
      <c r="AR127" s="17">
        <f ca="1">IF($A127=0,0,SUMIF('Week 2 Roster'!$AZ:$AZ,$B127,'Week 2 Roster'!$AQ:$AQ))</f>
        <v>0</v>
      </c>
      <c r="AS127" s="17">
        <f ca="1">IF($A127=0,0,SUMIF('Week 2 Roster'!$AZ:$AZ,$B127,'Week 2 Roster'!$AR:$AR))</f>
        <v>0</v>
      </c>
      <c r="AT127" s="17">
        <f ca="1">IF($A127=0,0,SUMIF('Week 2 Roster'!$AZ:$AZ,$B127,'Week 2 Roster'!$AS:$AS))</f>
        <v>0</v>
      </c>
      <c r="AU127" s="17">
        <f t="shared" ca="1" si="38"/>
        <v>0</v>
      </c>
      <c r="AV127" s="17"/>
    </row>
    <row r="128" spans="1:48">
      <c r="A128" s="16" cm="1">
        <f t="array" aca="1" ref="A128" ca="1">_xlfn.NUMBERVALUE(INDIRECT(TEXT(MIN(IF(($AW$2:$AX$300&lt;&gt;"")*(COUNTIF($B$1:B127,$AW$2:$AX$300)=0),ROW($2:$300)*100+COLUMN($AW:$AX),7^8)),"R0C00"),)&amp;"")</f>
        <v>0</v>
      </c>
      <c r="B128" s="28" t="str">
        <f t="shared" ca="1" si="24"/>
        <v/>
      </c>
      <c r="C128" s="28" t="str">
        <f ca="1">IF($A128=0,"",VLOOKUP($B128,Employees!$A:$G,2,FALSE))</f>
        <v/>
      </c>
      <c r="D128" s="28" t="str">
        <f ca="1">IF($A128=0,"",VLOOKUP($B128,Employees!$A:$G,3,FALSE))</f>
        <v/>
      </c>
      <c r="E128" s="26" t="str">
        <f ca="1">IF($A128=0,"",VLOOKUP($B128,Employees!$A:$G,5,FALSE))</f>
        <v/>
      </c>
      <c r="F128" s="13" t="str">
        <f ca="1">IF($E128="","",ROUNDDOWN(YEARFRAC($E128, 'Week 1 Roster'!$D$1-1, 1), 0))</f>
        <v/>
      </c>
      <c r="G128" s="13" t="str">
        <f ca="1">IF($E128="","",ROUNDDOWN(YEARFRAC($E128, 'Week 1 Roster'!$D$1+14, 1), 0))</f>
        <v/>
      </c>
      <c r="H128" s="13" t="str">
        <f t="shared" ca="1" si="25"/>
        <v/>
      </c>
      <c r="I128" s="13" t="str">
        <f ca="1">IF($A128=0,"",VLOOKUP($B128,Employees!$A:$G,6,FALSE))</f>
        <v/>
      </c>
      <c r="J128" s="13" t="str">
        <f ca="1">IF($A128=0,"",VLOOKUP($B128,Employees!$A:$G,7,FALSE))</f>
        <v/>
      </c>
      <c r="K128" s="13" t="str">
        <f ca="1">IF($A128=0,"",IF(ISNA(VLOOKUP(A128,'Week 1 Roster'!A:C,2,0)),VLOOKUP(A128,'Week 2 Roster'!A:C,2,0),VLOOKUP(A128,'Week 1 Roster'!A:C,2,0)))</f>
        <v/>
      </c>
      <c r="L128" s="13" t="str">
        <f ca="1">IF($A128=0,"",VLOOKUP(K128,Stores!A:B,2,0))</f>
        <v/>
      </c>
      <c r="M128" s="14">
        <f t="shared" ca="1" si="26"/>
        <v>0</v>
      </c>
      <c r="N128" s="14">
        <f t="shared" ca="1" si="27"/>
        <v>0</v>
      </c>
      <c r="O128" s="14">
        <f t="shared" ca="1" si="28"/>
        <v>0</v>
      </c>
      <c r="P128" s="14">
        <f t="shared" ca="1" si="29"/>
        <v>0</v>
      </c>
      <c r="Q128" s="14">
        <f t="shared" ca="1" si="30"/>
        <v>0</v>
      </c>
      <c r="R128" s="14">
        <f t="shared" ca="1" si="31"/>
        <v>0</v>
      </c>
      <c r="S128" s="28">
        <f t="shared" ca="1" si="32"/>
        <v>0</v>
      </c>
      <c r="T128" s="14">
        <f t="shared" ca="1" si="33"/>
        <v>0</v>
      </c>
      <c r="U128" s="14">
        <f t="shared" ca="1" si="34"/>
        <v>0</v>
      </c>
      <c r="V128" s="14">
        <f t="shared" ca="1" si="35"/>
        <v>0</v>
      </c>
      <c r="W128" s="14">
        <f t="shared" ca="1" si="36"/>
        <v>0</v>
      </c>
      <c r="Y128" s="17">
        <f ca="1">IF($A128=0,0,SUMIF('Week 1 Roster'!$AZ:$AZ,$B128,'Week 1 Roster'!$AE:$AE))</f>
        <v>0</v>
      </c>
      <c r="Z128" s="17">
        <f ca="1">IF($A128=0,0,SUMIF('Week 1 Roster'!$AZ:$AZ,$B128,'Week 1 Roster'!$AG:$AG))</f>
        <v>0</v>
      </c>
      <c r="AA128" s="17">
        <f ca="1">IF($A128=0,0,SUMIF('Week 1 Roster'!$AZ:$AZ,$B128,'Week 1 Roster'!$AI:$AI))</f>
        <v>0</v>
      </c>
      <c r="AB128" s="17">
        <f ca="1">IF($A128=0,0,SUMIF('Week 1 Roster'!$AZ:$AZ,$B128,'Week 1 Roster'!$AK:$AK))</f>
        <v>0</v>
      </c>
      <c r="AC128" s="17">
        <f ca="1">IF($A128=0,0,SUMIF('Week 1 Roster'!$AZ:$AZ,$B128,'Week 1 Roster'!$AM:$AM))</f>
        <v>0</v>
      </c>
      <c r="AD128" s="17">
        <f ca="1">IF($A128=0,0,SUMIF('Week 1 Roster'!$AZ:$AZ,$B128,'Week 1 Roster'!$AO:$AO))</f>
        <v>0</v>
      </c>
      <c r="AE128" s="38">
        <f ca="1">IF($A128=0,0,SUMIF('Week 1 Roster'!$AZ:$AZ,$B128,'Week 1 Roster'!$AP:$AP))</f>
        <v>0</v>
      </c>
      <c r="AF128" s="17">
        <f ca="1">IF($A128=0,0,SUMIF('Week 1 Roster'!$AZ:$AZ,$B128,'Week 1 Roster'!$AQ:$AQ))</f>
        <v>0</v>
      </c>
      <c r="AG128" s="17">
        <f ca="1">IF($A128=0,0,SUMIF('Week 1 Roster'!$AZ:$AZ,$B128,'Week 1 Roster'!$AR:$AR))</f>
        <v>0</v>
      </c>
      <c r="AH128" s="17">
        <f ca="1">IF($A128=0,0,SUMIF('Week 1 Roster'!$AZ:$AZ,$B128,'Week 1 Roster'!$AS:$AS))</f>
        <v>0</v>
      </c>
      <c r="AI128" s="17">
        <f t="shared" ca="1" si="37"/>
        <v>0</v>
      </c>
      <c r="AK128" s="17">
        <f ca="1">IF($A128=0,0,SUMIF('Week 2 Roster'!$AZ:$AZ,$B128,'Week 2 Roster'!$AE:$AE))</f>
        <v>0</v>
      </c>
      <c r="AL128" s="17">
        <f ca="1">IF($A128=0,0,SUMIF('Week 2 Roster'!$AZ:$AZ,$B128,'Week 2 Roster'!$AG:$AG))</f>
        <v>0</v>
      </c>
      <c r="AM128" s="17">
        <f ca="1">IF($A128=0,0,SUMIF('Week 2 Roster'!$AZ:$AZ,$B128,'Week 2 Roster'!$AI:$AI))</f>
        <v>0</v>
      </c>
      <c r="AN128" s="17">
        <f ca="1">IF($A128=0,0,SUMIF('Week 2 Roster'!$AZ:$AZ,$B128,'Week 2 Roster'!$AK:$AK))</f>
        <v>0</v>
      </c>
      <c r="AO128" s="17">
        <f ca="1">IF($A128=0,0,SUMIF('Week 2 Roster'!$AZ:$AZ,$B128,'Week 2 Roster'!$AM:$AM))</f>
        <v>0</v>
      </c>
      <c r="AP128" s="17">
        <f ca="1">IF($A128=0,0,SUMIF('Week 2 Roster'!$AZ:$AZ,$B128,'Week 2 Roster'!$AO:$AO))</f>
        <v>0</v>
      </c>
      <c r="AQ128" s="38">
        <f ca="1">IF($A128=0,0,SUMIF('Week 2 Roster'!$AZ:$AZ,$B128,'Week 2 Roster'!$AP:$AP))</f>
        <v>0</v>
      </c>
      <c r="AR128" s="17">
        <f ca="1">IF($A128=0,0,SUMIF('Week 2 Roster'!$AZ:$AZ,$B128,'Week 2 Roster'!$AQ:$AQ))</f>
        <v>0</v>
      </c>
      <c r="AS128" s="17">
        <f ca="1">IF($A128=0,0,SUMIF('Week 2 Roster'!$AZ:$AZ,$B128,'Week 2 Roster'!$AR:$AR))</f>
        <v>0</v>
      </c>
      <c r="AT128" s="17">
        <f ca="1">IF($A128=0,0,SUMIF('Week 2 Roster'!$AZ:$AZ,$B128,'Week 2 Roster'!$AS:$AS))</f>
        <v>0</v>
      </c>
      <c r="AU128" s="17">
        <f t="shared" ca="1" si="38"/>
        <v>0</v>
      </c>
      <c r="AV128" s="17"/>
    </row>
    <row r="129" spans="1:48">
      <c r="A129" s="16" cm="1">
        <f t="array" aca="1" ref="A129" ca="1">_xlfn.NUMBERVALUE(INDIRECT(TEXT(MIN(IF(($AW$2:$AX$300&lt;&gt;"")*(COUNTIF($B$1:B128,$AW$2:$AX$300)=0),ROW($2:$300)*100+COLUMN($AW:$AX),7^8)),"R0C00"),)&amp;"")</f>
        <v>0</v>
      </c>
      <c r="B129" s="28" t="str">
        <f t="shared" ca="1" si="24"/>
        <v/>
      </c>
      <c r="C129" s="28" t="str">
        <f ca="1">IF($A129=0,"",VLOOKUP($B129,Employees!$A:$G,2,FALSE))</f>
        <v/>
      </c>
      <c r="D129" s="28" t="str">
        <f ca="1">IF($A129=0,"",VLOOKUP($B129,Employees!$A:$G,3,FALSE))</f>
        <v/>
      </c>
      <c r="E129" s="26" t="str">
        <f ca="1">IF($A129=0,"",VLOOKUP($B129,Employees!$A:$G,5,FALSE))</f>
        <v/>
      </c>
      <c r="F129" s="13" t="str">
        <f ca="1">IF($E129="","",ROUNDDOWN(YEARFRAC($E129, 'Week 1 Roster'!$D$1-1, 1), 0))</f>
        <v/>
      </c>
      <c r="G129" s="13" t="str">
        <f ca="1">IF($E129="","",ROUNDDOWN(YEARFRAC($E129, 'Week 1 Roster'!$D$1+14, 1), 0))</f>
        <v/>
      </c>
      <c r="H129" s="13" t="str">
        <f t="shared" ca="1" si="25"/>
        <v/>
      </c>
      <c r="I129" s="13" t="str">
        <f ca="1">IF($A129=0,"",VLOOKUP($B129,Employees!$A:$G,6,FALSE))</f>
        <v/>
      </c>
      <c r="J129" s="13" t="str">
        <f ca="1">IF($A129=0,"",VLOOKUP($B129,Employees!$A:$G,7,FALSE))</f>
        <v/>
      </c>
      <c r="K129" s="13" t="str">
        <f ca="1">IF($A129=0,"",IF(ISNA(VLOOKUP(A129,'Week 1 Roster'!A:C,2,0)),VLOOKUP(A129,'Week 2 Roster'!A:C,2,0),VLOOKUP(A129,'Week 1 Roster'!A:C,2,0)))</f>
        <v/>
      </c>
      <c r="L129" s="13" t="str">
        <f ca="1">IF($A129=0,"",VLOOKUP(K129,Stores!A:B,2,0))</f>
        <v/>
      </c>
      <c r="M129" s="14">
        <f t="shared" ca="1" si="26"/>
        <v>0</v>
      </c>
      <c r="N129" s="14">
        <f t="shared" ca="1" si="27"/>
        <v>0</v>
      </c>
      <c r="O129" s="14">
        <f t="shared" ca="1" si="28"/>
        <v>0</v>
      </c>
      <c r="P129" s="14">
        <f t="shared" ca="1" si="29"/>
        <v>0</v>
      </c>
      <c r="Q129" s="14">
        <f t="shared" ca="1" si="30"/>
        <v>0</v>
      </c>
      <c r="R129" s="14">
        <f t="shared" ca="1" si="31"/>
        <v>0</v>
      </c>
      <c r="S129" s="28">
        <f t="shared" ca="1" si="32"/>
        <v>0</v>
      </c>
      <c r="T129" s="14">
        <f t="shared" ca="1" si="33"/>
        <v>0</v>
      </c>
      <c r="U129" s="14">
        <f t="shared" ca="1" si="34"/>
        <v>0</v>
      </c>
      <c r="V129" s="14">
        <f t="shared" ca="1" si="35"/>
        <v>0</v>
      </c>
      <c r="W129" s="14">
        <f t="shared" ca="1" si="36"/>
        <v>0</v>
      </c>
      <c r="Y129" s="17">
        <f ca="1">IF($A129=0,0,SUMIF('Week 1 Roster'!$AZ:$AZ,$B129,'Week 1 Roster'!$AE:$AE))</f>
        <v>0</v>
      </c>
      <c r="Z129" s="17">
        <f ca="1">IF($A129=0,0,SUMIF('Week 1 Roster'!$AZ:$AZ,$B129,'Week 1 Roster'!$AG:$AG))</f>
        <v>0</v>
      </c>
      <c r="AA129" s="17">
        <f ca="1">IF($A129=0,0,SUMIF('Week 1 Roster'!$AZ:$AZ,$B129,'Week 1 Roster'!$AI:$AI))</f>
        <v>0</v>
      </c>
      <c r="AB129" s="17">
        <f ca="1">IF($A129=0,0,SUMIF('Week 1 Roster'!$AZ:$AZ,$B129,'Week 1 Roster'!$AK:$AK))</f>
        <v>0</v>
      </c>
      <c r="AC129" s="17">
        <f ca="1">IF($A129=0,0,SUMIF('Week 1 Roster'!$AZ:$AZ,$B129,'Week 1 Roster'!$AM:$AM))</f>
        <v>0</v>
      </c>
      <c r="AD129" s="17">
        <f ca="1">IF($A129=0,0,SUMIF('Week 1 Roster'!$AZ:$AZ,$B129,'Week 1 Roster'!$AO:$AO))</f>
        <v>0</v>
      </c>
      <c r="AE129" s="38">
        <f ca="1">IF($A129=0,0,SUMIF('Week 1 Roster'!$AZ:$AZ,$B129,'Week 1 Roster'!$AP:$AP))</f>
        <v>0</v>
      </c>
      <c r="AF129" s="17">
        <f ca="1">IF($A129=0,0,SUMIF('Week 1 Roster'!$AZ:$AZ,$B129,'Week 1 Roster'!$AQ:$AQ))</f>
        <v>0</v>
      </c>
      <c r="AG129" s="17">
        <f ca="1">IF($A129=0,0,SUMIF('Week 1 Roster'!$AZ:$AZ,$B129,'Week 1 Roster'!$AR:$AR))</f>
        <v>0</v>
      </c>
      <c r="AH129" s="17">
        <f ca="1">IF($A129=0,0,SUMIF('Week 1 Roster'!$AZ:$AZ,$B129,'Week 1 Roster'!$AS:$AS))</f>
        <v>0</v>
      </c>
      <c r="AI129" s="17">
        <f t="shared" ca="1" si="37"/>
        <v>0</v>
      </c>
      <c r="AK129" s="17">
        <f ca="1">IF($A129=0,0,SUMIF('Week 2 Roster'!$AZ:$AZ,$B129,'Week 2 Roster'!$AE:$AE))</f>
        <v>0</v>
      </c>
      <c r="AL129" s="17">
        <f ca="1">IF($A129=0,0,SUMIF('Week 2 Roster'!$AZ:$AZ,$B129,'Week 2 Roster'!$AG:$AG))</f>
        <v>0</v>
      </c>
      <c r="AM129" s="17">
        <f ca="1">IF($A129=0,0,SUMIF('Week 2 Roster'!$AZ:$AZ,$B129,'Week 2 Roster'!$AI:$AI))</f>
        <v>0</v>
      </c>
      <c r="AN129" s="17">
        <f ca="1">IF($A129=0,0,SUMIF('Week 2 Roster'!$AZ:$AZ,$B129,'Week 2 Roster'!$AK:$AK))</f>
        <v>0</v>
      </c>
      <c r="AO129" s="17">
        <f ca="1">IF($A129=0,0,SUMIF('Week 2 Roster'!$AZ:$AZ,$B129,'Week 2 Roster'!$AM:$AM))</f>
        <v>0</v>
      </c>
      <c r="AP129" s="17">
        <f ca="1">IF($A129=0,0,SUMIF('Week 2 Roster'!$AZ:$AZ,$B129,'Week 2 Roster'!$AO:$AO))</f>
        <v>0</v>
      </c>
      <c r="AQ129" s="38">
        <f ca="1">IF($A129=0,0,SUMIF('Week 2 Roster'!$AZ:$AZ,$B129,'Week 2 Roster'!$AP:$AP))</f>
        <v>0</v>
      </c>
      <c r="AR129" s="17">
        <f ca="1">IF($A129=0,0,SUMIF('Week 2 Roster'!$AZ:$AZ,$B129,'Week 2 Roster'!$AQ:$AQ))</f>
        <v>0</v>
      </c>
      <c r="AS129" s="17">
        <f ca="1">IF($A129=0,0,SUMIF('Week 2 Roster'!$AZ:$AZ,$B129,'Week 2 Roster'!$AR:$AR))</f>
        <v>0</v>
      </c>
      <c r="AT129" s="17">
        <f ca="1">IF($A129=0,0,SUMIF('Week 2 Roster'!$AZ:$AZ,$B129,'Week 2 Roster'!$AS:$AS))</f>
        <v>0</v>
      </c>
      <c r="AU129" s="17">
        <f t="shared" ca="1" si="38"/>
        <v>0</v>
      </c>
      <c r="AV129" s="17"/>
    </row>
    <row r="130" spans="1:48">
      <c r="A130" s="16" cm="1">
        <f t="array" aca="1" ref="A130" ca="1">_xlfn.NUMBERVALUE(INDIRECT(TEXT(MIN(IF(($AW$2:$AX$300&lt;&gt;"")*(COUNTIF($B$1:B129,$AW$2:$AX$300)=0),ROW($2:$300)*100+COLUMN($AW:$AX),7^8)),"R0C00"),)&amp;"")</f>
        <v>0</v>
      </c>
      <c r="B130" s="28" t="str">
        <f t="shared" ca="1" si="24"/>
        <v/>
      </c>
      <c r="C130" s="28" t="str">
        <f ca="1">IF($A130=0,"",VLOOKUP($B130,Employees!$A:$G,2,FALSE))</f>
        <v/>
      </c>
      <c r="D130" s="28" t="str">
        <f ca="1">IF($A130=0,"",VLOOKUP($B130,Employees!$A:$G,3,FALSE))</f>
        <v/>
      </c>
      <c r="E130" s="26" t="str">
        <f ca="1">IF($A130=0,"",VLOOKUP($B130,Employees!$A:$G,5,FALSE))</f>
        <v/>
      </c>
      <c r="F130" s="13" t="str">
        <f ca="1">IF($E130="","",ROUNDDOWN(YEARFRAC($E130, 'Week 1 Roster'!$D$1-1, 1), 0))</f>
        <v/>
      </c>
      <c r="G130" s="13" t="str">
        <f ca="1">IF($E130="","",ROUNDDOWN(YEARFRAC($E130, 'Week 1 Roster'!$D$1+14, 1), 0))</f>
        <v/>
      </c>
      <c r="H130" s="13" t="str">
        <f t="shared" ca="1" si="25"/>
        <v/>
      </c>
      <c r="I130" s="13" t="str">
        <f ca="1">IF($A130=0,"",VLOOKUP($B130,Employees!$A:$G,6,FALSE))</f>
        <v/>
      </c>
      <c r="J130" s="13" t="str">
        <f ca="1">IF($A130=0,"",VLOOKUP($B130,Employees!$A:$G,7,FALSE))</f>
        <v/>
      </c>
      <c r="K130" s="13" t="str">
        <f ca="1">IF($A130=0,"",IF(ISNA(VLOOKUP(A130,'Week 1 Roster'!A:C,2,0)),VLOOKUP(A130,'Week 2 Roster'!A:C,2,0),VLOOKUP(A130,'Week 1 Roster'!A:C,2,0)))</f>
        <v/>
      </c>
      <c r="L130" s="13" t="str">
        <f ca="1">IF($A130=0,"",VLOOKUP(K130,Stores!A:B,2,0))</f>
        <v/>
      </c>
      <c r="M130" s="14">
        <f t="shared" ca="1" si="26"/>
        <v>0</v>
      </c>
      <c r="N130" s="14">
        <f t="shared" ca="1" si="27"/>
        <v>0</v>
      </c>
      <c r="O130" s="14">
        <f t="shared" ca="1" si="28"/>
        <v>0</v>
      </c>
      <c r="P130" s="14">
        <f t="shared" ca="1" si="29"/>
        <v>0</v>
      </c>
      <c r="Q130" s="14">
        <f t="shared" ca="1" si="30"/>
        <v>0</v>
      </c>
      <c r="R130" s="14">
        <f t="shared" ca="1" si="31"/>
        <v>0</v>
      </c>
      <c r="S130" s="28">
        <f t="shared" ca="1" si="32"/>
        <v>0</v>
      </c>
      <c r="T130" s="14">
        <f t="shared" ca="1" si="33"/>
        <v>0</v>
      </c>
      <c r="U130" s="14">
        <f t="shared" ca="1" si="34"/>
        <v>0</v>
      </c>
      <c r="V130" s="14">
        <f t="shared" ca="1" si="35"/>
        <v>0</v>
      </c>
      <c r="W130" s="14">
        <f t="shared" ca="1" si="36"/>
        <v>0</v>
      </c>
      <c r="Y130" s="17">
        <f ca="1">IF($A130=0,0,SUMIF('Week 1 Roster'!$AZ:$AZ,$B130,'Week 1 Roster'!$AE:$AE))</f>
        <v>0</v>
      </c>
      <c r="Z130" s="17">
        <f ca="1">IF($A130=0,0,SUMIF('Week 1 Roster'!$AZ:$AZ,$B130,'Week 1 Roster'!$AG:$AG))</f>
        <v>0</v>
      </c>
      <c r="AA130" s="17">
        <f ca="1">IF($A130=0,0,SUMIF('Week 1 Roster'!$AZ:$AZ,$B130,'Week 1 Roster'!$AI:$AI))</f>
        <v>0</v>
      </c>
      <c r="AB130" s="17">
        <f ca="1">IF($A130=0,0,SUMIF('Week 1 Roster'!$AZ:$AZ,$B130,'Week 1 Roster'!$AK:$AK))</f>
        <v>0</v>
      </c>
      <c r="AC130" s="17">
        <f ca="1">IF($A130=0,0,SUMIF('Week 1 Roster'!$AZ:$AZ,$B130,'Week 1 Roster'!$AM:$AM))</f>
        <v>0</v>
      </c>
      <c r="AD130" s="17">
        <f ca="1">IF($A130=0,0,SUMIF('Week 1 Roster'!$AZ:$AZ,$B130,'Week 1 Roster'!$AO:$AO))</f>
        <v>0</v>
      </c>
      <c r="AE130" s="38">
        <f ca="1">IF($A130=0,0,SUMIF('Week 1 Roster'!$AZ:$AZ,$B130,'Week 1 Roster'!$AP:$AP))</f>
        <v>0</v>
      </c>
      <c r="AF130" s="17">
        <f ca="1">IF($A130=0,0,SUMIF('Week 1 Roster'!$AZ:$AZ,$B130,'Week 1 Roster'!$AQ:$AQ))</f>
        <v>0</v>
      </c>
      <c r="AG130" s="17">
        <f ca="1">IF($A130=0,0,SUMIF('Week 1 Roster'!$AZ:$AZ,$B130,'Week 1 Roster'!$AR:$AR))</f>
        <v>0</v>
      </c>
      <c r="AH130" s="17">
        <f ca="1">IF($A130=0,0,SUMIF('Week 1 Roster'!$AZ:$AZ,$B130,'Week 1 Roster'!$AS:$AS))</f>
        <v>0</v>
      </c>
      <c r="AI130" s="17">
        <f t="shared" ca="1" si="37"/>
        <v>0</v>
      </c>
      <c r="AK130" s="17">
        <f ca="1">IF($A130=0,0,SUMIF('Week 2 Roster'!$AZ:$AZ,$B130,'Week 2 Roster'!$AE:$AE))</f>
        <v>0</v>
      </c>
      <c r="AL130" s="17">
        <f ca="1">IF($A130=0,0,SUMIF('Week 2 Roster'!$AZ:$AZ,$B130,'Week 2 Roster'!$AG:$AG))</f>
        <v>0</v>
      </c>
      <c r="AM130" s="17">
        <f ca="1">IF($A130=0,0,SUMIF('Week 2 Roster'!$AZ:$AZ,$B130,'Week 2 Roster'!$AI:$AI))</f>
        <v>0</v>
      </c>
      <c r="AN130" s="17">
        <f ca="1">IF($A130=0,0,SUMIF('Week 2 Roster'!$AZ:$AZ,$B130,'Week 2 Roster'!$AK:$AK))</f>
        <v>0</v>
      </c>
      <c r="AO130" s="17">
        <f ca="1">IF($A130=0,0,SUMIF('Week 2 Roster'!$AZ:$AZ,$B130,'Week 2 Roster'!$AM:$AM))</f>
        <v>0</v>
      </c>
      <c r="AP130" s="17">
        <f ca="1">IF($A130=0,0,SUMIF('Week 2 Roster'!$AZ:$AZ,$B130,'Week 2 Roster'!$AO:$AO))</f>
        <v>0</v>
      </c>
      <c r="AQ130" s="38">
        <f ca="1">IF($A130=0,0,SUMIF('Week 2 Roster'!$AZ:$AZ,$B130,'Week 2 Roster'!$AP:$AP))</f>
        <v>0</v>
      </c>
      <c r="AR130" s="17">
        <f ca="1">IF($A130=0,0,SUMIF('Week 2 Roster'!$AZ:$AZ,$B130,'Week 2 Roster'!$AQ:$AQ))</f>
        <v>0</v>
      </c>
      <c r="AS130" s="17">
        <f ca="1">IF($A130=0,0,SUMIF('Week 2 Roster'!$AZ:$AZ,$B130,'Week 2 Roster'!$AR:$AR))</f>
        <v>0</v>
      </c>
      <c r="AT130" s="17">
        <f ca="1">IF($A130=0,0,SUMIF('Week 2 Roster'!$AZ:$AZ,$B130,'Week 2 Roster'!$AS:$AS))</f>
        <v>0</v>
      </c>
      <c r="AU130" s="17">
        <f t="shared" ca="1" si="38"/>
        <v>0</v>
      </c>
      <c r="AV130" s="17"/>
    </row>
    <row r="131" spans="1:48">
      <c r="A131" s="16" cm="1">
        <f t="array" aca="1" ref="A131" ca="1">_xlfn.NUMBERVALUE(INDIRECT(TEXT(MIN(IF(($AW$2:$AX$300&lt;&gt;"")*(COUNTIF($B$1:B130,$AW$2:$AX$300)=0),ROW($2:$300)*100+COLUMN($AW:$AX),7^8)),"R0C00"),)&amp;"")</f>
        <v>0</v>
      </c>
      <c r="B131" s="28" t="str">
        <f t="shared" ref="B131:B194" ca="1" si="39">IF(A131=0,"",_xlfn.NUMBERVALUE(A131))</f>
        <v/>
      </c>
      <c r="C131" s="28" t="str">
        <f ca="1">IF($A131=0,"",VLOOKUP($B131,Employees!$A:$G,2,FALSE))</f>
        <v/>
      </c>
      <c r="D131" s="28" t="str">
        <f ca="1">IF($A131=0,"",VLOOKUP($B131,Employees!$A:$G,3,FALSE))</f>
        <v/>
      </c>
      <c r="E131" s="26" t="str">
        <f ca="1">IF($A131=0,"",VLOOKUP($B131,Employees!$A:$G,5,FALSE))</f>
        <v/>
      </c>
      <c r="F131" s="13" t="str">
        <f ca="1">IF($E131="","",ROUNDDOWN(YEARFRAC($E131, 'Week 1 Roster'!$D$1-1, 1), 0))</f>
        <v/>
      </c>
      <c r="G131" s="13" t="str">
        <f ca="1">IF($E131="","",ROUNDDOWN(YEARFRAC($E131, 'Week 1 Roster'!$D$1+14, 1), 0))</f>
        <v/>
      </c>
      <c r="H131" s="13" t="str">
        <f t="shared" ref="H131:H194" ca="1" si="40">IF($E131="","",IF(AND(F131&lt;21,F131&lt;&gt;G131),TRUE,FALSE))</f>
        <v/>
      </c>
      <c r="I131" s="13" t="str">
        <f ca="1">IF($A131=0,"",VLOOKUP($B131,Employees!$A:$G,6,FALSE))</f>
        <v/>
      </c>
      <c r="J131" s="13" t="str">
        <f ca="1">IF($A131=0,"",VLOOKUP($B131,Employees!$A:$G,7,FALSE))</f>
        <v/>
      </c>
      <c r="K131" s="13" t="str">
        <f ca="1">IF($A131=0,"",IF(ISNA(VLOOKUP(A131,'Week 1 Roster'!A:C,2,0)),VLOOKUP(A131,'Week 2 Roster'!A:C,2,0),VLOOKUP(A131,'Week 1 Roster'!A:C,2,0)))</f>
        <v/>
      </c>
      <c r="L131" s="13" t="str">
        <f ca="1">IF($A131=0,"",VLOOKUP(K131,Stores!A:B,2,0))</f>
        <v/>
      </c>
      <c r="M131" s="14">
        <f t="shared" ref="M131:M194" ca="1" si="41">Y131+AK131</f>
        <v>0</v>
      </c>
      <c r="N131" s="14">
        <f t="shared" ref="N131:N194" ca="1" si="42">Z131+AL131</f>
        <v>0</v>
      </c>
      <c r="O131" s="14">
        <f t="shared" ref="O131:O194" ca="1" si="43">AA131+AM131</f>
        <v>0</v>
      </c>
      <c r="P131" s="14">
        <f t="shared" ref="P131:P194" ca="1" si="44">AB131+AN131</f>
        <v>0</v>
      </c>
      <c r="Q131" s="14">
        <f t="shared" ref="Q131:Q194" ca="1" si="45">AC131+AO131</f>
        <v>0</v>
      </c>
      <c r="R131" s="14">
        <f t="shared" ref="R131:R194" ca="1" si="46">AD131+AP131</f>
        <v>0</v>
      </c>
      <c r="S131" s="28">
        <f t="shared" ref="S131:S194" ca="1" si="47">AE131+AQ131</f>
        <v>0</v>
      </c>
      <c r="T131" s="14">
        <f t="shared" ref="T131:T194" ca="1" si="48">AF131+AR131</f>
        <v>0</v>
      </c>
      <c r="U131" s="14">
        <f t="shared" ref="U131:U194" ca="1" si="49">AG131+AS131</f>
        <v>0</v>
      </c>
      <c r="V131" s="14">
        <f t="shared" ref="V131:V194" ca="1" si="50">AH131+AT131</f>
        <v>0</v>
      </c>
      <c r="W131" s="14">
        <f t="shared" ref="W131:W194" ca="1" si="51">SUM(M131:R131,T131:V131)</f>
        <v>0</v>
      </c>
      <c r="Y131" s="17">
        <f ca="1">IF($A131=0,0,SUMIF('Week 1 Roster'!$AZ:$AZ,$B131,'Week 1 Roster'!$AE:$AE))</f>
        <v>0</v>
      </c>
      <c r="Z131" s="17">
        <f ca="1">IF($A131=0,0,SUMIF('Week 1 Roster'!$AZ:$AZ,$B131,'Week 1 Roster'!$AG:$AG))</f>
        <v>0</v>
      </c>
      <c r="AA131" s="17">
        <f ca="1">IF($A131=0,0,SUMIF('Week 1 Roster'!$AZ:$AZ,$B131,'Week 1 Roster'!$AI:$AI))</f>
        <v>0</v>
      </c>
      <c r="AB131" s="17">
        <f ca="1">IF($A131=0,0,SUMIF('Week 1 Roster'!$AZ:$AZ,$B131,'Week 1 Roster'!$AK:$AK))</f>
        <v>0</v>
      </c>
      <c r="AC131" s="17">
        <f ca="1">IF($A131=0,0,SUMIF('Week 1 Roster'!$AZ:$AZ,$B131,'Week 1 Roster'!$AM:$AM))</f>
        <v>0</v>
      </c>
      <c r="AD131" s="17">
        <f ca="1">IF($A131=0,0,SUMIF('Week 1 Roster'!$AZ:$AZ,$B131,'Week 1 Roster'!$AO:$AO))</f>
        <v>0</v>
      </c>
      <c r="AE131" s="38">
        <f ca="1">IF($A131=0,0,SUMIF('Week 1 Roster'!$AZ:$AZ,$B131,'Week 1 Roster'!$AP:$AP))</f>
        <v>0</v>
      </c>
      <c r="AF131" s="17">
        <f ca="1">IF($A131=0,0,SUMIF('Week 1 Roster'!$AZ:$AZ,$B131,'Week 1 Roster'!$AQ:$AQ))</f>
        <v>0</v>
      </c>
      <c r="AG131" s="17">
        <f ca="1">IF($A131=0,0,SUMIF('Week 1 Roster'!$AZ:$AZ,$B131,'Week 1 Roster'!$AR:$AR))</f>
        <v>0</v>
      </c>
      <c r="AH131" s="17">
        <f ca="1">IF($A131=0,0,SUMIF('Week 1 Roster'!$AZ:$AZ,$B131,'Week 1 Roster'!$AS:$AS))</f>
        <v>0</v>
      </c>
      <c r="AI131" s="17">
        <f t="shared" ref="AI131:AI194" ca="1" si="52">SUM(Y131:AD131,AF131:AH131)</f>
        <v>0</v>
      </c>
      <c r="AK131" s="17">
        <f ca="1">IF($A131=0,0,SUMIF('Week 2 Roster'!$AZ:$AZ,$B131,'Week 2 Roster'!$AE:$AE))</f>
        <v>0</v>
      </c>
      <c r="AL131" s="17">
        <f ca="1">IF($A131=0,0,SUMIF('Week 2 Roster'!$AZ:$AZ,$B131,'Week 2 Roster'!$AG:$AG))</f>
        <v>0</v>
      </c>
      <c r="AM131" s="17">
        <f ca="1">IF($A131=0,0,SUMIF('Week 2 Roster'!$AZ:$AZ,$B131,'Week 2 Roster'!$AI:$AI))</f>
        <v>0</v>
      </c>
      <c r="AN131" s="17">
        <f ca="1">IF($A131=0,0,SUMIF('Week 2 Roster'!$AZ:$AZ,$B131,'Week 2 Roster'!$AK:$AK))</f>
        <v>0</v>
      </c>
      <c r="AO131" s="17">
        <f ca="1">IF($A131=0,0,SUMIF('Week 2 Roster'!$AZ:$AZ,$B131,'Week 2 Roster'!$AM:$AM))</f>
        <v>0</v>
      </c>
      <c r="AP131" s="17">
        <f ca="1">IF($A131=0,0,SUMIF('Week 2 Roster'!$AZ:$AZ,$B131,'Week 2 Roster'!$AO:$AO))</f>
        <v>0</v>
      </c>
      <c r="AQ131" s="38">
        <f ca="1">IF($A131=0,0,SUMIF('Week 2 Roster'!$AZ:$AZ,$B131,'Week 2 Roster'!$AP:$AP))</f>
        <v>0</v>
      </c>
      <c r="AR131" s="17">
        <f ca="1">IF($A131=0,0,SUMIF('Week 2 Roster'!$AZ:$AZ,$B131,'Week 2 Roster'!$AQ:$AQ))</f>
        <v>0</v>
      </c>
      <c r="AS131" s="17">
        <f ca="1">IF($A131=0,0,SUMIF('Week 2 Roster'!$AZ:$AZ,$B131,'Week 2 Roster'!$AR:$AR))</f>
        <v>0</v>
      </c>
      <c r="AT131" s="17">
        <f ca="1">IF($A131=0,0,SUMIF('Week 2 Roster'!$AZ:$AZ,$B131,'Week 2 Roster'!$AS:$AS))</f>
        <v>0</v>
      </c>
      <c r="AU131" s="17">
        <f t="shared" ref="AU131:AU194" ca="1" si="53">SUM(AK131:AP131,AR131:AT131)</f>
        <v>0</v>
      </c>
      <c r="AV131" s="17"/>
    </row>
    <row r="132" spans="1:48">
      <c r="A132" s="16" cm="1">
        <f t="array" aca="1" ref="A132" ca="1">_xlfn.NUMBERVALUE(INDIRECT(TEXT(MIN(IF(($AW$2:$AX$300&lt;&gt;"")*(COUNTIF($B$1:B131,$AW$2:$AX$300)=0),ROW($2:$300)*100+COLUMN($AW:$AX),7^8)),"R0C00"),)&amp;"")</f>
        <v>0</v>
      </c>
      <c r="B132" s="28" t="str">
        <f t="shared" ca="1" si="39"/>
        <v/>
      </c>
      <c r="C132" s="28" t="str">
        <f ca="1">IF($A132=0,"",VLOOKUP($B132,Employees!$A:$G,2,FALSE))</f>
        <v/>
      </c>
      <c r="D132" s="28" t="str">
        <f ca="1">IF($A132=0,"",VLOOKUP($B132,Employees!$A:$G,3,FALSE))</f>
        <v/>
      </c>
      <c r="E132" s="26" t="str">
        <f ca="1">IF($A132=0,"",VLOOKUP($B132,Employees!$A:$G,5,FALSE))</f>
        <v/>
      </c>
      <c r="F132" s="13" t="str">
        <f ca="1">IF($E132="","",ROUNDDOWN(YEARFRAC($E132, 'Week 1 Roster'!$D$1-1, 1), 0))</f>
        <v/>
      </c>
      <c r="G132" s="13" t="str">
        <f ca="1">IF($E132="","",ROUNDDOWN(YEARFRAC($E132, 'Week 1 Roster'!$D$1+14, 1), 0))</f>
        <v/>
      </c>
      <c r="H132" s="13" t="str">
        <f t="shared" ca="1" si="40"/>
        <v/>
      </c>
      <c r="I132" s="13" t="str">
        <f ca="1">IF($A132=0,"",VLOOKUP($B132,Employees!$A:$G,6,FALSE))</f>
        <v/>
      </c>
      <c r="J132" s="13" t="str">
        <f ca="1">IF($A132=0,"",VLOOKUP($B132,Employees!$A:$G,7,FALSE))</f>
        <v/>
      </c>
      <c r="K132" s="13" t="str">
        <f ca="1">IF($A132=0,"",IF(ISNA(VLOOKUP(A132,'Week 1 Roster'!A:C,2,0)),VLOOKUP(A132,'Week 2 Roster'!A:C,2,0),VLOOKUP(A132,'Week 1 Roster'!A:C,2,0)))</f>
        <v/>
      </c>
      <c r="L132" s="13" t="str">
        <f ca="1">IF($A132=0,"",VLOOKUP(K132,Stores!A:B,2,0))</f>
        <v/>
      </c>
      <c r="M132" s="14">
        <f t="shared" ca="1" si="41"/>
        <v>0</v>
      </c>
      <c r="N132" s="14">
        <f t="shared" ca="1" si="42"/>
        <v>0</v>
      </c>
      <c r="O132" s="14">
        <f t="shared" ca="1" si="43"/>
        <v>0</v>
      </c>
      <c r="P132" s="14">
        <f t="shared" ca="1" si="44"/>
        <v>0</v>
      </c>
      <c r="Q132" s="14">
        <f t="shared" ca="1" si="45"/>
        <v>0</v>
      </c>
      <c r="R132" s="14">
        <f t="shared" ca="1" si="46"/>
        <v>0</v>
      </c>
      <c r="S132" s="28">
        <f t="shared" ca="1" si="47"/>
        <v>0</v>
      </c>
      <c r="T132" s="14">
        <f t="shared" ca="1" si="48"/>
        <v>0</v>
      </c>
      <c r="U132" s="14">
        <f t="shared" ca="1" si="49"/>
        <v>0</v>
      </c>
      <c r="V132" s="14">
        <f t="shared" ca="1" si="50"/>
        <v>0</v>
      </c>
      <c r="W132" s="14">
        <f t="shared" ca="1" si="51"/>
        <v>0</v>
      </c>
      <c r="Y132" s="17">
        <f ca="1">IF($A132=0,0,SUMIF('Week 1 Roster'!$AZ:$AZ,$B132,'Week 1 Roster'!$AE:$AE))</f>
        <v>0</v>
      </c>
      <c r="Z132" s="17">
        <f ca="1">IF($A132=0,0,SUMIF('Week 1 Roster'!$AZ:$AZ,$B132,'Week 1 Roster'!$AG:$AG))</f>
        <v>0</v>
      </c>
      <c r="AA132" s="17">
        <f ca="1">IF($A132=0,0,SUMIF('Week 1 Roster'!$AZ:$AZ,$B132,'Week 1 Roster'!$AI:$AI))</f>
        <v>0</v>
      </c>
      <c r="AB132" s="17">
        <f ca="1">IF($A132=0,0,SUMIF('Week 1 Roster'!$AZ:$AZ,$B132,'Week 1 Roster'!$AK:$AK))</f>
        <v>0</v>
      </c>
      <c r="AC132" s="17">
        <f ca="1">IF($A132=0,0,SUMIF('Week 1 Roster'!$AZ:$AZ,$B132,'Week 1 Roster'!$AM:$AM))</f>
        <v>0</v>
      </c>
      <c r="AD132" s="17">
        <f ca="1">IF($A132=0,0,SUMIF('Week 1 Roster'!$AZ:$AZ,$B132,'Week 1 Roster'!$AO:$AO))</f>
        <v>0</v>
      </c>
      <c r="AE132" s="38">
        <f ca="1">IF($A132=0,0,SUMIF('Week 1 Roster'!$AZ:$AZ,$B132,'Week 1 Roster'!$AP:$AP))</f>
        <v>0</v>
      </c>
      <c r="AF132" s="17">
        <f ca="1">IF($A132=0,0,SUMIF('Week 1 Roster'!$AZ:$AZ,$B132,'Week 1 Roster'!$AQ:$AQ))</f>
        <v>0</v>
      </c>
      <c r="AG132" s="17">
        <f ca="1">IF($A132=0,0,SUMIF('Week 1 Roster'!$AZ:$AZ,$B132,'Week 1 Roster'!$AR:$AR))</f>
        <v>0</v>
      </c>
      <c r="AH132" s="17">
        <f ca="1">IF($A132=0,0,SUMIF('Week 1 Roster'!$AZ:$AZ,$B132,'Week 1 Roster'!$AS:$AS))</f>
        <v>0</v>
      </c>
      <c r="AI132" s="17">
        <f t="shared" ca="1" si="52"/>
        <v>0</v>
      </c>
      <c r="AK132" s="17">
        <f ca="1">IF($A132=0,0,SUMIF('Week 2 Roster'!$AZ:$AZ,$B132,'Week 2 Roster'!$AE:$AE))</f>
        <v>0</v>
      </c>
      <c r="AL132" s="17">
        <f ca="1">IF($A132=0,0,SUMIF('Week 2 Roster'!$AZ:$AZ,$B132,'Week 2 Roster'!$AG:$AG))</f>
        <v>0</v>
      </c>
      <c r="AM132" s="17">
        <f ca="1">IF($A132=0,0,SUMIF('Week 2 Roster'!$AZ:$AZ,$B132,'Week 2 Roster'!$AI:$AI))</f>
        <v>0</v>
      </c>
      <c r="AN132" s="17">
        <f ca="1">IF($A132=0,0,SUMIF('Week 2 Roster'!$AZ:$AZ,$B132,'Week 2 Roster'!$AK:$AK))</f>
        <v>0</v>
      </c>
      <c r="AO132" s="17">
        <f ca="1">IF($A132=0,0,SUMIF('Week 2 Roster'!$AZ:$AZ,$B132,'Week 2 Roster'!$AM:$AM))</f>
        <v>0</v>
      </c>
      <c r="AP132" s="17">
        <f ca="1">IF($A132=0,0,SUMIF('Week 2 Roster'!$AZ:$AZ,$B132,'Week 2 Roster'!$AO:$AO))</f>
        <v>0</v>
      </c>
      <c r="AQ132" s="38">
        <f ca="1">IF($A132=0,0,SUMIF('Week 2 Roster'!$AZ:$AZ,$B132,'Week 2 Roster'!$AP:$AP))</f>
        <v>0</v>
      </c>
      <c r="AR132" s="17">
        <f ca="1">IF($A132=0,0,SUMIF('Week 2 Roster'!$AZ:$AZ,$B132,'Week 2 Roster'!$AQ:$AQ))</f>
        <v>0</v>
      </c>
      <c r="AS132" s="17">
        <f ca="1">IF($A132=0,0,SUMIF('Week 2 Roster'!$AZ:$AZ,$B132,'Week 2 Roster'!$AR:$AR))</f>
        <v>0</v>
      </c>
      <c r="AT132" s="17">
        <f ca="1">IF($A132=0,0,SUMIF('Week 2 Roster'!$AZ:$AZ,$B132,'Week 2 Roster'!$AS:$AS))</f>
        <v>0</v>
      </c>
      <c r="AU132" s="17">
        <f t="shared" ca="1" si="53"/>
        <v>0</v>
      </c>
      <c r="AV132" s="17"/>
    </row>
    <row r="133" spans="1:48">
      <c r="A133" s="16" cm="1">
        <f t="array" aca="1" ref="A133" ca="1">_xlfn.NUMBERVALUE(INDIRECT(TEXT(MIN(IF(($AW$2:$AX$300&lt;&gt;"")*(COUNTIF($B$1:B132,$AW$2:$AX$300)=0),ROW($2:$300)*100+COLUMN($AW:$AX),7^8)),"R0C00"),)&amp;"")</f>
        <v>0</v>
      </c>
      <c r="B133" s="28" t="str">
        <f t="shared" ca="1" si="39"/>
        <v/>
      </c>
      <c r="C133" s="28" t="str">
        <f ca="1">IF($A133=0,"",VLOOKUP($B133,Employees!$A:$G,2,FALSE))</f>
        <v/>
      </c>
      <c r="D133" s="28" t="str">
        <f ca="1">IF($A133=0,"",VLOOKUP($B133,Employees!$A:$G,3,FALSE))</f>
        <v/>
      </c>
      <c r="E133" s="26" t="str">
        <f ca="1">IF($A133=0,"",VLOOKUP($B133,Employees!$A:$G,5,FALSE))</f>
        <v/>
      </c>
      <c r="F133" s="13" t="str">
        <f ca="1">IF($E133="","",ROUNDDOWN(YEARFRAC($E133, 'Week 1 Roster'!$D$1-1, 1), 0))</f>
        <v/>
      </c>
      <c r="G133" s="13" t="str">
        <f ca="1">IF($E133="","",ROUNDDOWN(YEARFRAC($E133, 'Week 1 Roster'!$D$1+14, 1), 0))</f>
        <v/>
      </c>
      <c r="H133" s="13" t="str">
        <f t="shared" ca="1" si="40"/>
        <v/>
      </c>
      <c r="I133" s="13" t="str">
        <f ca="1">IF($A133=0,"",VLOOKUP($B133,Employees!$A:$G,6,FALSE))</f>
        <v/>
      </c>
      <c r="J133" s="13" t="str">
        <f ca="1">IF($A133=0,"",VLOOKUP($B133,Employees!$A:$G,7,FALSE))</f>
        <v/>
      </c>
      <c r="K133" s="13" t="str">
        <f ca="1">IF($A133=0,"",IF(ISNA(VLOOKUP(A133,'Week 1 Roster'!A:C,2,0)),VLOOKUP(A133,'Week 2 Roster'!A:C,2,0),VLOOKUP(A133,'Week 1 Roster'!A:C,2,0)))</f>
        <v/>
      </c>
      <c r="L133" s="13" t="str">
        <f ca="1">IF($A133=0,"",VLOOKUP(K133,Stores!A:B,2,0))</f>
        <v/>
      </c>
      <c r="M133" s="14">
        <f t="shared" ca="1" si="41"/>
        <v>0</v>
      </c>
      <c r="N133" s="14">
        <f t="shared" ca="1" si="42"/>
        <v>0</v>
      </c>
      <c r="O133" s="14">
        <f t="shared" ca="1" si="43"/>
        <v>0</v>
      </c>
      <c r="P133" s="14">
        <f t="shared" ca="1" si="44"/>
        <v>0</v>
      </c>
      <c r="Q133" s="14">
        <f t="shared" ca="1" si="45"/>
        <v>0</v>
      </c>
      <c r="R133" s="14">
        <f t="shared" ca="1" si="46"/>
        <v>0</v>
      </c>
      <c r="S133" s="28">
        <f t="shared" ca="1" si="47"/>
        <v>0</v>
      </c>
      <c r="T133" s="14">
        <f t="shared" ca="1" si="48"/>
        <v>0</v>
      </c>
      <c r="U133" s="14">
        <f t="shared" ca="1" si="49"/>
        <v>0</v>
      </c>
      <c r="V133" s="14">
        <f t="shared" ca="1" si="50"/>
        <v>0</v>
      </c>
      <c r="W133" s="14">
        <f t="shared" ca="1" si="51"/>
        <v>0</v>
      </c>
      <c r="Y133" s="17">
        <f ca="1">IF($A133=0,0,SUMIF('Week 1 Roster'!$AZ:$AZ,$B133,'Week 1 Roster'!$AE:$AE))</f>
        <v>0</v>
      </c>
      <c r="Z133" s="17">
        <f ca="1">IF($A133=0,0,SUMIF('Week 1 Roster'!$AZ:$AZ,$B133,'Week 1 Roster'!$AG:$AG))</f>
        <v>0</v>
      </c>
      <c r="AA133" s="17">
        <f ca="1">IF($A133=0,0,SUMIF('Week 1 Roster'!$AZ:$AZ,$B133,'Week 1 Roster'!$AI:$AI))</f>
        <v>0</v>
      </c>
      <c r="AB133" s="17">
        <f ca="1">IF($A133=0,0,SUMIF('Week 1 Roster'!$AZ:$AZ,$B133,'Week 1 Roster'!$AK:$AK))</f>
        <v>0</v>
      </c>
      <c r="AC133" s="17">
        <f ca="1">IF($A133=0,0,SUMIF('Week 1 Roster'!$AZ:$AZ,$B133,'Week 1 Roster'!$AM:$AM))</f>
        <v>0</v>
      </c>
      <c r="AD133" s="17">
        <f ca="1">IF($A133=0,0,SUMIF('Week 1 Roster'!$AZ:$AZ,$B133,'Week 1 Roster'!$AO:$AO))</f>
        <v>0</v>
      </c>
      <c r="AE133" s="38">
        <f ca="1">IF($A133=0,0,SUMIF('Week 1 Roster'!$AZ:$AZ,$B133,'Week 1 Roster'!$AP:$AP))</f>
        <v>0</v>
      </c>
      <c r="AF133" s="17">
        <f ca="1">IF($A133=0,0,SUMIF('Week 1 Roster'!$AZ:$AZ,$B133,'Week 1 Roster'!$AQ:$AQ))</f>
        <v>0</v>
      </c>
      <c r="AG133" s="17">
        <f ca="1">IF($A133=0,0,SUMIF('Week 1 Roster'!$AZ:$AZ,$B133,'Week 1 Roster'!$AR:$AR))</f>
        <v>0</v>
      </c>
      <c r="AH133" s="17">
        <f ca="1">IF($A133=0,0,SUMIF('Week 1 Roster'!$AZ:$AZ,$B133,'Week 1 Roster'!$AS:$AS))</f>
        <v>0</v>
      </c>
      <c r="AI133" s="17">
        <f t="shared" ca="1" si="52"/>
        <v>0</v>
      </c>
      <c r="AK133" s="17">
        <f ca="1">IF($A133=0,0,SUMIF('Week 2 Roster'!$AZ:$AZ,$B133,'Week 2 Roster'!$AE:$AE))</f>
        <v>0</v>
      </c>
      <c r="AL133" s="17">
        <f ca="1">IF($A133=0,0,SUMIF('Week 2 Roster'!$AZ:$AZ,$B133,'Week 2 Roster'!$AG:$AG))</f>
        <v>0</v>
      </c>
      <c r="AM133" s="17">
        <f ca="1">IF($A133=0,0,SUMIF('Week 2 Roster'!$AZ:$AZ,$B133,'Week 2 Roster'!$AI:$AI))</f>
        <v>0</v>
      </c>
      <c r="AN133" s="17">
        <f ca="1">IF($A133=0,0,SUMIF('Week 2 Roster'!$AZ:$AZ,$B133,'Week 2 Roster'!$AK:$AK))</f>
        <v>0</v>
      </c>
      <c r="AO133" s="17">
        <f ca="1">IF($A133=0,0,SUMIF('Week 2 Roster'!$AZ:$AZ,$B133,'Week 2 Roster'!$AM:$AM))</f>
        <v>0</v>
      </c>
      <c r="AP133" s="17">
        <f ca="1">IF($A133=0,0,SUMIF('Week 2 Roster'!$AZ:$AZ,$B133,'Week 2 Roster'!$AO:$AO))</f>
        <v>0</v>
      </c>
      <c r="AQ133" s="38">
        <f ca="1">IF($A133=0,0,SUMIF('Week 2 Roster'!$AZ:$AZ,$B133,'Week 2 Roster'!$AP:$AP))</f>
        <v>0</v>
      </c>
      <c r="AR133" s="17">
        <f ca="1">IF($A133=0,0,SUMIF('Week 2 Roster'!$AZ:$AZ,$B133,'Week 2 Roster'!$AQ:$AQ))</f>
        <v>0</v>
      </c>
      <c r="AS133" s="17">
        <f ca="1">IF($A133=0,0,SUMIF('Week 2 Roster'!$AZ:$AZ,$B133,'Week 2 Roster'!$AR:$AR))</f>
        <v>0</v>
      </c>
      <c r="AT133" s="17">
        <f ca="1">IF($A133=0,0,SUMIF('Week 2 Roster'!$AZ:$AZ,$B133,'Week 2 Roster'!$AS:$AS))</f>
        <v>0</v>
      </c>
      <c r="AU133" s="17">
        <f t="shared" ca="1" si="53"/>
        <v>0</v>
      </c>
      <c r="AV133" s="17"/>
    </row>
    <row r="134" spans="1:48">
      <c r="A134" s="16" cm="1">
        <f t="array" aca="1" ref="A134" ca="1">_xlfn.NUMBERVALUE(INDIRECT(TEXT(MIN(IF(($AW$2:$AX$300&lt;&gt;"")*(COUNTIF($B$1:B133,$AW$2:$AX$300)=0),ROW($2:$300)*100+COLUMN($AW:$AX),7^8)),"R0C00"),)&amp;"")</f>
        <v>0</v>
      </c>
      <c r="B134" s="28" t="str">
        <f t="shared" ca="1" si="39"/>
        <v/>
      </c>
      <c r="C134" s="28" t="str">
        <f ca="1">IF($A134=0,"",VLOOKUP($B134,Employees!$A:$G,2,FALSE))</f>
        <v/>
      </c>
      <c r="D134" s="28" t="str">
        <f ca="1">IF($A134=0,"",VLOOKUP($B134,Employees!$A:$G,3,FALSE))</f>
        <v/>
      </c>
      <c r="E134" s="26" t="str">
        <f ca="1">IF($A134=0,"",VLOOKUP($B134,Employees!$A:$G,5,FALSE))</f>
        <v/>
      </c>
      <c r="F134" s="13" t="str">
        <f ca="1">IF($E134="","",ROUNDDOWN(YEARFRAC($E134, 'Week 1 Roster'!$D$1-1, 1), 0))</f>
        <v/>
      </c>
      <c r="G134" s="13" t="str">
        <f ca="1">IF($E134="","",ROUNDDOWN(YEARFRAC($E134, 'Week 1 Roster'!$D$1+14, 1), 0))</f>
        <v/>
      </c>
      <c r="H134" s="13" t="str">
        <f t="shared" ca="1" si="40"/>
        <v/>
      </c>
      <c r="I134" s="13" t="str">
        <f ca="1">IF($A134=0,"",VLOOKUP($B134,Employees!$A:$G,6,FALSE))</f>
        <v/>
      </c>
      <c r="J134" s="13" t="str">
        <f ca="1">IF($A134=0,"",VLOOKUP($B134,Employees!$A:$G,7,FALSE))</f>
        <v/>
      </c>
      <c r="K134" s="13" t="str">
        <f ca="1">IF($A134=0,"",IF(ISNA(VLOOKUP(A134,'Week 1 Roster'!A:C,2,0)),VLOOKUP(A134,'Week 2 Roster'!A:C,2,0),VLOOKUP(A134,'Week 1 Roster'!A:C,2,0)))</f>
        <v/>
      </c>
      <c r="L134" s="13" t="str">
        <f ca="1">IF($A134=0,"",VLOOKUP(K134,Stores!A:B,2,0))</f>
        <v/>
      </c>
      <c r="M134" s="14">
        <f t="shared" ca="1" si="41"/>
        <v>0</v>
      </c>
      <c r="N134" s="14">
        <f t="shared" ca="1" si="42"/>
        <v>0</v>
      </c>
      <c r="O134" s="14">
        <f t="shared" ca="1" si="43"/>
        <v>0</v>
      </c>
      <c r="P134" s="14">
        <f t="shared" ca="1" si="44"/>
        <v>0</v>
      </c>
      <c r="Q134" s="14">
        <f t="shared" ca="1" si="45"/>
        <v>0</v>
      </c>
      <c r="R134" s="14">
        <f t="shared" ca="1" si="46"/>
        <v>0</v>
      </c>
      <c r="S134" s="28">
        <f t="shared" ca="1" si="47"/>
        <v>0</v>
      </c>
      <c r="T134" s="14">
        <f t="shared" ca="1" si="48"/>
        <v>0</v>
      </c>
      <c r="U134" s="14">
        <f t="shared" ca="1" si="49"/>
        <v>0</v>
      </c>
      <c r="V134" s="14">
        <f t="shared" ca="1" si="50"/>
        <v>0</v>
      </c>
      <c r="W134" s="14">
        <f t="shared" ca="1" si="51"/>
        <v>0</v>
      </c>
      <c r="Y134" s="17">
        <f ca="1">IF($A134=0,0,SUMIF('Week 1 Roster'!$AZ:$AZ,$B134,'Week 1 Roster'!$AE:$AE))</f>
        <v>0</v>
      </c>
      <c r="Z134" s="17">
        <f ca="1">IF($A134=0,0,SUMIF('Week 1 Roster'!$AZ:$AZ,$B134,'Week 1 Roster'!$AG:$AG))</f>
        <v>0</v>
      </c>
      <c r="AA134" s="17">
        <f ca="1">IF($A134=0,0,SUMIF('Week 1 Roster'!$AZ:$AZ,$B134,'Week 1 Roster'!$AI:$AI))</f>
        <v>0</v>
      </c>
      <c r="AB134" s="17">
        <f ca="1">IF($A134=0,0,SUMIF('Week 1 Roster'!$AZ:$AZ,$B134,'Week 1 Roster'!$AK:$AK))</f>
        <v>0</v>
      </c>
      <c r="AC134" s="17">
        <f ca="1">IF($A134=0,0,SUMIF('Week 1 Roster'!$AZ:$AZ,$B134,'Week 1 Roster'!$AM:$AM))</f>
        <v>0</v>
      </c>
      <c r="AD134" s="17">
        <f ca="1">IF($A134=0,0,SUMIF('Week 1 Roster'!$AZ:$AZ,$B134,'Week 1 Roster'!$AO:$AO))</f>
        <v>0</v>
      </c>
      <c r="AE134" s="38">
        <f ca="1">IF($A134=0,0,SUMIF('Week 1 Roster'!$AZ:$AZ,$B134,'Week 1 Roster'!$AP:$AP))</f>
        <v>0</v>
      </c>
      <c r="AF134" s="17">
        <f ca="1">IF($A134=0,0,SUMIF('Week 1 Roster'!$AZ:$AZ,$B134,'Week 1 Roster'!$AQ:$AQ))</f>
        <v>0</v>
      </c>
      <c r="AG134" s="17">
        <f ca="1">IF($A134=0,0,SUMIF('Week 1 Roster'!$AZ:$AZ,$B134,'Week 1 Roster'!$AR:$AR))</f>
        <v>0</v>
      </c>
      <c r="AH134" s="17">
        <f ca="1">IF($A134=0,0,SUMIF('Week 1 Roster'!$AZ:$AZ,$B134,'Week 1 Roster'!$AS:$AS))</f>
        <v>0</v>
      </c>
      <c r="AI134" s="17">
        <f t="shared" ca="1" si="52"/>
        <v>0</v>
      </c>
      <c r="AK134" s="17">
        <f ca="1">IF($A134=0,0,SUMIF('Week 2 Roster'!$AZ:$AZ,$B134,'Week 2 Roster'!$AE:$AE))</f>
        <v>0</v>
      </c>
      <c r="AL134" s="17">
        <f ca="1">IF($A134=0,0,SUMIF('Week 2 Roster'!$AZ:$AZ,$B134,'Week 2 Roster'!$AG:$AG))</f>
        <v>0</v>
      </c>
      <c r="AM134" s="17">
        <f ca="1">IF($A134=0,0,SUMIF('Week 2 Roster'!$AZ:$AZ,$B134,'Week 2 Roster'!$AI:$AI))</f>
        <v>0</v>
      </c>
      <c r="AN134" s="17">
        <f ca="1">IF($A134=0,0,SUMIF('Week 2 Roster'!$AZ:$AZ,$B134,'Week 2 Roster'!$AK:$AK))</f>
        <v>0</v>
      </c>
      <c r="AO134" s="17">
        <f ca="1">IF($A134=0,0,SUMIF('Week 2 Roster'!$AZ:$AZ,$B134,'Week 2 Roster'!$AM:$AM))</f>
        <v>0</v>
      </c>
      <c r="AP134" s="17">
        <f ca="1">IF($A134=0,0,SUMIF('Week 2 Roster'!$AZ:$AZ,$B134,'Week 2 Roster'!$AO:$AO))</f>
        <v>0</v>
      </c>
      <c r="AQ134" s="38">
        <f ca="1">IF($A134=0,0,SUMIF('Week 2 Roster'!$AZ:$AZ,$B134,'Week 2 Roster'!$AP:$AP))</f>
        <v>0</v>
      </c>
      <c r="AR134" s="17">
        <f ca="1">IF($A134=0,0,SUMIF('Week 2 Roster'!$AZ:$AZ,$B134,'Week 2 Roster'!$AQ:$AQ))</f>
        <v>0</v>
      </c>
      <c r="AS134" s="17">
        <f ca="1">IF($A134=0,0,SUMIF('Week 2 Roster'!$AZ:$AZ,$B134,'Week 2 Roster'!$AR:$AR))</f>
        <v>0</v>
      </c>
      <c r="AT134" s="17">
        <f ca="1">IF($A134=0,0,SUMIF('Week 2 Roster'!$AZ:$AZ,$B134,'Week 2 Roster'!$AS:$AS))</f>
        <v>0</v>
      </c>
      <c r="AU134" s="17">
        <f t="shared" ca="1" si="53"/>
        <v>0</v>
      </c>
      <c r="AV134" s="17"/>
    </row>
    <row r="135" spans="1:48">
      <c r="A135" s="16" cm="1">
        <f t="array" aca="1" ref="A135" ca="1">_xlfn.NUMBERVALUE(INDIRECT(TEXT(MIN(IF(($AW$2:$AX$300&lt;&gt;"")*(COUNTIF($B$1:B134,$AW$2:$AX$300)=0),ROW($2:$300)*100+COLUMN($AW:$AX),7^8)),"R0C00"),)&amp;"")</f>
        <v>0</v>
      </c>
      <c r="B135" s="28" t="str">
        <f t="shared" ca="1" si="39"/>
        <v/>
      </c>
      <c r="C135" s="28" t="str">
        <f ca="1">IF($A135=0,"",VLOOKUP($B135,Employees!$A:$G,2,FALSE))</f>
        <v/>
      </c>
      <c r="D135" s="28" t="str">
        <f ca="1">IF($A135=0,"",VLOOKUP($B135,Employees!$A:$G,3,FALSE))</f>
        <v/>
      </c>
      <c r="E135" s="26" t="str">
        <f ca="1">IF($A135=0,"",VLOOKUP($B135,Employees!$A:$G,5,FALSE))</f>
        <v/>
      </c>
      <c r="F135" s="13" t="str">
        <f ca="1">IF($E135="","",ROUNDDOWN(YEARFRAC($E135, 'Week 1 Roster'!$D$1-1, 1), 0))</f>
        <v/>
      </c>
      <c r="G135" s="13" t="str">
        <f ca="1">IF($E135="","",ROUNDDOWN(YEARFRAC($E135, 'Week 1 Roster'!$D$1+14, 1), 0))</f>
        <v/>
      </c>
      <c r="H135" s="13" t="str">
        <f t="shared" ca="1" si="40"/>
        <v/>
      </c>
      <c r="I135" s="13" t="str">
        <f ca="1">IF($A135=0,"",VLOOKUP($B135,Employees!$A:$G,6,FALSE))</f>
        <v/>
      </c>
      <c r="J135" s="13" t="str">
        <f ca="1">IF($A135=0,"",VLOOKUP($B135,Employees!$A:$G,7,FALSE))</f>
        <v/>
      </c>
      <c r="K135" s="13" t="str">
        <f ca="1">IF($A135=0,"",IF(ISNA(VLOOKUP(A135,'Week 1 Roster'!A:C,2,0)),VLOOKUP(A135,'Week 2 Roster'!A:C,2,0),VLOOKUP(A135,'Week 1 Roster'!A:C,2,0)))</f>
        <v/>
      </c>
      <c r="L135" s="13" t="str">
        <f ca="1">IF($A135=0,"",VLOOKUP(K135,Stores!A:B,2,0))</f>
        <v/>
      </c>
      <c r="M135" s="14">
        <f t="shared" ca="1" si="41"/>
        <v>0</v>
      </c>
      <c r="N135" s="14">
        <f t="shared" ca="1" si="42"/>
        <v>0</v>
      </c>
      <c r="O135" s="14">
        <f t="shared" ca="1" si="43"/>
        <v>0</v>
      </c>
      <c r="P135" s="14">
        <f t="shared" ca="1" si="44"/>
        <v>0</v>
      </c>
      <c r="Q135" s="14">
        <f t="shared" ca="1" si="45"/>
        <v>0</v>
      </c>
      <c r="R135" s="14">
        <f t="shared" ca="1" si="46"/>
        <v>0</v>
      </c>
      <c r="S135" s="28">
        <f t="shared" ca="1" si="47"/>
        <v>0</v>
      </c>
      <c r="T135" s="14">
        <f t="shared" ca="1" si="48"/>
        <v>0</v>
      </c>
      <c r="U135" s="14">
        <f t="shared" ca="1" si="49"/>
        <v>0</v>
      </c>
      <c r="V135" s="14">
        <f t="shared" ca="1" si="50"/>
        <v>0</v>
      </c>
      <c r="W135" s="14">
        <f t="shared" ca="1" si="51"/>
        <v>0</v>
      </c>
      <c r="Y135" s="17">
        <f ca="1">IF($A135=0,0,SUMIF('Week 1 Roster'!$AZ:$AZ,$B135,'Week 1 Roster'!$AE:$AE))</f>
        <v>0</v>
      </c>
      <c r="Z135" s="17">
        <f ca="1">IF($A135=0,0,SUMIF('Week 1 Roster'!$AZ:$AZ,$B135,'Week 1 Roster'!$AG:$AG))</f>
        <v>0</v>
      </c>
      <c r="AA135" s="17">
        <f ca="1">IF($A135=0,0,SUMIF('Week 1 Roster'!$AZ:$AZ,$B135,'Week 1 Roster'!$AI:$AI))</f>
        <v>0</v>
      </c>
      <c r="AB135" s="17">
        <f ca="1">IF($A135=0,0,SUMIF('Week 1 Roster'!$AZ:$AZ,$B135,'Week 1 Roster'!$AK:$AK))</f>
        <v>0</v>
      </c>
      <c r="AC135" s="17">
        <f ca="1">IF($A135=0,0,SUMIF('Week 1 Roster'!$AZ:$AZ,$B135,'Week 1 Roster'!$AM:$AM))</f>
        <v>0</v>
      </c>
      <c r="AD135" s="17">
        <f ca="1">IF($A135=0,0,SUMIF('Week 1 Roster'!$AZ:$AZ,$B135,'Week 1 Roster'!$AO:$AO))</f>
        <v>0</v>
      </c>
      <c r="AE135" s="38">
        <f ca="1">IF($A135=0,0,SUMIF('Week 1 Roster'!$AZ:$AZ,$B135,'Week 1 Roster'!$AP:$AP))</f>
        <v>0</v>
      </c>
      <c r="AF135" s="17">
        <f ca="1">IF($A135=0,0,SUMIF('Week 1 Roster'!$AZ:$AZ,$B135,'Week 1 Roster'!$AQ:$AQ))</f>
        <v>0</v>
      </c>
      <c r="AG135" s="17">
        <f ca="1">IF($A135=0,0,SUMIF('Week 1 Roster'!$AZ:$AZ,$B135,'Week 1 Roster'!$AR:$AR))</f>
        <v>0</v>
      </c>
      <c r="AH135" s="17">
        <f ca="1">IF($A135=0,0,SUMIF('Week 1 Roster'!$AZ:$AZ,$B135,'Week 1 Roster'!$AS:$AS))</f>
        <v>0</v>
      </c>
      <c r="AI135" s="17">
        <f t="shared" ca="1" si="52"/>
        <v>0</v>
      </c>
      <c r="AK135" s="17">
        <f ca="1">IF($A135=0,0,SUMIF('Week 2 Roster'!$AZ:$AZ,$B135,'Week 2 Roster'!$AE:$AE))</f>
        <v>0</v>
      </c>
      <c r="AL135" s="17">
        <f ca="1">IF($A135=0,0,SUMIF('Week 2 Roster'!$AZ:$AZ,$B135,'Week 2 Roster'!$AG:$AG))</f>
        <v>0</v>
      </c>
      <c r="AM135" s="17">
        <f ca="1">IF($A135=0,0,SUMIF('Week 2 Roster'!$AZ:$AZ,$B135,'Week 2 Roster'!$AI:$AI))</f>
        <v>0</v>
      </c>
      <c r="AN135" s="17">
        <f ca="1">IF($A135=0,0,SUMIF('Week 2 Roster'!$AZ:$AZ,$B135,'Week 2 Roster'!$AK:$AK))</f>
        <v>0</v>
      </c>
      <c r="AO135" s="17">
        <f ca="1">IF($A135=0,0,SUMIF('Week 2 Roster'!$AZ:$AZ,$B135,'Week 2 Roster'!$AM:$AM))</f>
        <v>0</v>
      </c>
      <c r="AP135" s="17">
        <f ca="1">IF($A135=0,0,SUMIF('Week 2 Roster'!$AZ:$AZ,$B135,'Week 2 Roster'!$AO:$AO))</f>
        <v>0</v>
      </c>
      <c r="AQ135" s="38">
        <f ca="1">IF($A135=0,0,SUMIF('Week 2 Roster'!$AZ:$AZ,$B135,'Week 2 Roster'!$AP:$AP))</f>
        <v>0</v>
      </c>
      <c r="AR135" s="17">
        <f ca="1">IF($A135=0,0,SUMIF('Week 2 Roster'!$AZ:$AZ,$B135,'Week 2 Roster'!$AQ:$AQ))</f>
        <v>0</v>
      </c>
      <c r="AS135" s="17">
        <f ca="1">IF($A135=0,0,SUMIF('Week 2 Roster'!$AZ:$AZ,$B135,'Week 2 Roster'!$AR:$AR))</f>
        <v>0</v>
      </c>
      <c r="AT135" s="17">
        <f ca="1">IF($A135=0,0,SUMIF('Week 2 Roster'!$AZ:$AZ,$B135,'Week 2 Roster'!$AS:$AS))</f>
        <v>0</v>
      </c>
      <c r="AU135" s="17">
        <f t="shared" ca="1" si="53"/>
        <v>0</v>
      </c>
      <c r="AV135" s="17"/>
    </row>
    <row r="136" spans="1:48">
      <c r="A136" s="16" cm="1">
        <f t="array" aca="1" ref="A136" ca="1">_xlfn.NUMBERVALUE(INDIRECT(TEXT(MIN(IF(($AW$2:$AX$300&lt;&gt;"")*(COUNTIF($B$1:B135,$AW$2:$AX$300)=0),ROW($2:$300)*100+COLUMN($AW:$AX),7^8)),"R0C00"),)&amp;"")</f>
        <v>0</v>
      </c>
      <c r="B136" s="28" t="str">
        <f t="shared" ca="1" si="39"/>
        <v/>
      </c>
      <c r="C136" s="28" t="str">
        <f ca="1">IF($A136=0,"",VLOOKUP($B136,Employees!$A:$G,2,FALSE))</f>
        <v/>
      </c>
      <c r="D136" s="28" t="str">
        <f ca="1">IF($A136=0,"",VLOOKUP($B136,Employees!$A:$G,3,FALSE))</f>
        <v/>
      </c>
      <c r="E136" s="26" t="str">
        <f ca="1">IF($A136=0,"",VLOOKUP($B136,Employees!$A:$G,5,FALSE))</f>
        <v/>
      </c>
      <c r="F136" s="13" t="str">
        <f ca="1">IF($E136="","",ROUNDDOWN(YEARFRAC($E136, 'Week 1 Roster'!$D$1-1, 1), 0))</f>
        <v/>
      </c>
      <c r="G136" s="13" t="str">
        <f ca="1">IF($E136="","",ROUNDDOWN(YEARFRAC($E136, 'Week 1 Roster'!$D$1+14, 1), 0))</f>
        <v/>
      </c>
      <c r="H136" s="13" t="str">
        <f t="shared" ca="1" si="40"/>
        <v/>
      </c>
      <c r="I136" s="13" t="str">
        <f ca="1">IF($A136=0,"",VLOOKUP($B136,Employees!$A:$G,6,FALSE))</f>
        <v/>
      </c>
      <c r="J136" s="13" t="str">
        <f ca="1">IF($A136=0,"",VLOOKUP($B136,Employees!$A:$G,7,FALSE))</f>
        <v/>
      </c>
      <c r="K136" s="13" t="str">
        <f ca="1">IF($A136=0,"",IF(ISNA(VLOOKUP(A136,'Week 1 Roster'!A:C,2,0)),VLOOKUP(A136,'Week 2 Roster'!A:C,2,0),VLOOKUP(A136,'Week 1 Roster'!A:C,2,0)))</f>
        <v/>
      </c>
      <c r="L136" s="13" t="str">
        <f ca="1">IF($A136=0,"",VLOOKUP(K136,Stores!A:B,2,0))</f>
        <v/>
      </c>
      <c r="M136" s="14">
        <f t="shared" ca="1" si="41"/>
        <v>0</v>
      </c>
      <c r="N136" s="14">
        <f t="shared" ca="1" si="42"/>
        <v>0</v>
      </c>
      <c r="O136" s="14">
        <f t="shared" ca="1" si="43"/>
        <v>0</v>
      </c>
      <c r="P136" s="14">
        <f t="shared" ca="1" si="44"/>
        <v>0</v>
      </c>
      <c r="Q136" s="14">
        <f t="shared" ca="1" si="45"/>
        <v>0</v>
      </c>
      <c r="R136" s="14">
        <f t="shared" ca="1" si="46"/>
        <v>0</v>
      </c>
      <c r="S136" s="28">
        <f t="shared" ca="1" si="47"/>
        <v>0</v>
      </c>
      <c r="T136" s="14">
        <f t="shared" ca="1" si="48"/>
        <v>0</v>
      </c>
      <c r="U136" s="14">
        <f t="shared" ca="1" si="49"/>
        <v>0</v>
      </c>
      <c r="V136" s="14">
        <f t="shared" ca="1" si="50"/>
        <v>0</v>
      </c>
      <c r="W136" s="14">
        <f t="shared" ca="1" si="51"/>
        <v>0</v>
      </c>
      <c r="Y136" s="17">
        <f ca="1">IF($A136=0,0,SUMIF('Week 1 Roster'!$AZ:$AZ,$B136,'Week 1 Roster'!$AE:$AE))</f>
        <v>0</v>
      </c>
      <c r="Z136" s="17">
        <f ca="1">IF($A136=0,0,SUMIF('Week 1 Roster'!$AZ:$AZ,$B136,'Week 1 Roster'!$AG:$AG))</f>
        <v>0</v>
      </c>
      <c r="AA136" s="17">
        <f ca="1">IF($A136=0,0,SUMIF('Week 1 Roster'!$AZ:$AZ,$B136,'Week 1 Roster'!$AI:$AI))</f>
        <v>0</v>
      </c>
      <c r="AB136" s="17">
        <f ca="1">IF($A136=0,0,SUMIF('Week 1 Roster'!$AZ:$AZ,$B136,'Week 1 Roster'!$AK:$AK))</f>
        <v>0</v>
      </c>
      <c r="AC136" s="17">
        <f ca="1">IF($A136=0,0,SUMIF('Week 1 Roster'!$AZ:$AZ,$B136,'Week 1 Roster'!$AM:$AM))</f>
        <v>0</v>
      </c>
      <c r="AD136" s="17">
        <f ca="1">IF($A136=0,0,SUMIF('Week 1 Roster'!$AZ:$AZ,$B136,'Week 1 Roster'!$AO:$AO))</f>
        <v>0</v>
      </c>
      <c r="AE136" s="38">
        <f ca="1">IF($A136=0,0,SUMIF('Week 1 Roster'!$AZ:$AZ,$B136,'Week 1 Roster'!$AP:$AP))</f>
        <v>0</v>
      </c>
      <c r="AF136" s="17">
        <f ca="1">IF($A136=0,0,SUMIF('Week 1 Roster'!$AZ:$AZ,$B136,'Week 1 Roster'!$AQ:$AQ))</f>
        <v>0</v>
      </c>
      <c r="AG136" s="17">
        <f ca="1">IF($A136=0,0,SUMIF('Week 1 Roster'!$AZ:$AZ,$B136,'Week 1 Roster'!$AR:$AR))</f>
        <v>0</v>
      </c>
      <c r="AH136" s="17">
        <f ca="1">IF($A136=0,0,SUMIF('Week 1 Roster'!$AZ:$AZ,$B136,'Week 1 Roster'!$AS:$AS))</f>
        <v>0</v>
      </c>
      <c r="AI136" s="17">
        <f t="shared" ca="1" si="52"/>
        <v>0</v>
      </c>
      <c r="AK136" s="17">
        <f ca="1">IF($A136=0,0,SUMIF('Week 2 Roster'!$AZ:$AZ,$B136,'Week 2 Roster'!$AE:$AE))</f>
        <v>0</v>
      </c>
      <c r="AL136" s="17">
        <f ca="1">IF($A136=0,0,SUMIF('Week 2 Roster'!$AZ:$AZ,$B136,'Week 2 Roster'!$AG:$AG))</f>
        <v>0</v>
      </c>
      <c r="AM136" s="17">
        <f ca="1">IF($A136=0,0,SUMIF('Week 2 Roster'!$AZ:$AZ,$B136,'Week 2 Roster'!$AI:$AI))</f>
        <v>0</v>
      </c>
      <c r="AN136" s="17">
        <f ca="1">IF($A136=0,0,SUMIF('Week 2 Roster'!$AZ:$AZ,$B136,'Week 2 Roster'!$AK:$AK))</f>
        <v>0</v>
      </c>
      <c r="AO136" s="17">
        <f ca="1">IF($A136=0,0,SUMIF('Week 2 Roster'!$AZ:$AZ,$B136,'Week 2 Roster'!$AM:$AM))</f>
        <v>0</v>
      </c>
      <c r="AP136" s="17">
        <f ca="1">IF($A136=0,0,SUMIF('Week 2 Roster'!$AZ:$AZ,$B136,'Week 2 Roster'!$AO:$AO))</f>
        <v>0</v>
      </c>
      <c r="AQ136" s="38">
        <f ca="1">IF($A136=0,0,SUMIF('Week 2 Roster'!$AZ:$AZ,$B136,'Week 2 Roster'!$AP:$AP))</f>
        <v>0</v>
      </c>
      <c r="AR136" s="17">
        <f ca="1">IF($A136=0,0,SUMIF('Week 2 Roster'!$AZ:$AZ,$B136,'Week 2 Roster'!$AQ:$AQ))</f>
        <v>0</v>
      </c>
      <c r="AS136" s="17">
        <f ca="1">IF($A136=0,0,SUMIF('Week 2 Roster'!$AZ:$AZ,$B136,'Week 2 Roster'!$AR:$AR))</f>
        <v>0</v>
      </c>
      <c r="AT136" s="17">
        <f ca="1">IF($A136=0,0,SUMIF('Week 2 Roster'!$AZ:$AZ,$B136,'Week 2 Roster'!$AS:$AS))</f>
        <v>0</v>
      </c>
      <c r="AU136" s="17">
        <f t="shared" ca="1" si="53"/>
        <v>0</v>
      </c>
      <c r="AV136" s="17"/>
    </row>
    <row r="137" spans="1:48">
      <c r="A137" s="16" cm="1">
        <f t="array" aca="1" ref="A137" ca="1">_xlfn.NUMBERVALUE(INDIRECT(TEXT(MIN(IF(($AW$2:$AX$300&lt;&gt;"")*(COUNTIF($B$1:B136,$AW$2:$AX$300)=0),ROW($2:$300)*100+COLUMN($AW:$AX),7^8)),"R0C00"),)&amp;"")</f>
        <v>0</v>
      </c>
      <c r="B137" s="28" t="str">
        <f t="shared" ca="1" si="39"/>
        <v/>
      </c>
      <c r="C137" s="28" t="str">
        <f ca="1">IF($A137=0,"",VLOOKUP($B137,Employees!$A:$G,2,FALSE))</f>
        <v/>
      </c>
      <c r="D137" s="28" t="str">
        <f ca="1">IF($A137=0,"",VLOOKUP($B137,Employees!$A:$G,3,FALSE))</f>
        <v/>
      </c>
      <c r="E137" s="26" t="str">
        <f ca="1">IF($A137=0,"",VLOOKUP($B137,Employees!$A:$G,5,FALSE))</f>
        <v/>
      </c>
      <c r="F137" s="13" t="str">
        <f ca="1">IF($E137="","",ROUNDDOWN(YEARFRAC($E137, 'Week 1 Roster'!$D$1-1, 1), 0))</f>
        <v/>
      </c>
      <c r="G137" s="13" t="str">
        <f ca="1">IF($E137="","",ROUNDDOWN(YEARFRAC($E137, 'Week 1 Roster'!$D$1+14, 1), 0))</f>
        <v/>
      </c>
      <c r="H137" s="13" t="str">
        <f t="shared" ca="1" si="40"/>
        <v/>
      </c>
      <c r="I137" s="13" t="str">
        <f ca="1">IF($A137=0,"",VLOOKUP($B137,Employees!$A:$G,6,FALSE))</f>
        <v/>
      </c>
      <c r="J137" s="13" t="str">
        <f ca="1">IF($A137=0,"",VLOOKUP($B137,Employees!$A:$G,7,FALSE))</f>
        <v/>
      </c>
      <c r="K137" s="13" t="str">
        <f ca="1">IF($A137=0,"",IF(ISNA(VLOOKUP(A137,'Week 1 Roster'!A:C,2,0)),VLOOKUP(A137,'Week 2 Roster'!A:C,2,0),VLOOKUP(A137,'Week 1 Roster'!A:C,2,0)))</f>
        <v/>
      </c>
      <c r="L137" s="13" t="str">
        <f ca="1">IF($A137=0,"",VLOOKUP(K137,Stores!A:B,2,0))</f>
        <v/>
      </c>
      <c r="M137" s="14">
        <f t="shared" ca="1" si="41"/>
        <v>0</v>
      </c>
      <c r="N137" s="14">
        <f t="shared" ca="1" si="42"/>
        <v>0</v>
      </c>
      <c r="O137" s="14">
        <f t="shared" ca="1" si="43"/>
        <v>0</v>
      </c>
      <c r="P137" s="14">
        <f t="shared" ca="1" si="44"/>
        <v>0</v>
      </c>
      <c r="Q137" s="14">
        <f t="shared" ca="1" si="45"/>
        <v>0</v>
      </c>
      <c r="R137" s="14">
        <f t="shared" ca="1" si="46"/>
        <v>0</v>
      </c>
      <c r="S137" s="28">
        <f t="shared" ca="1" si="47"/>
        <v>0</v>
      </c>
      <c r="T137" s="14">
        <f t="shared" ca="1" si="48"/>
        <v>0</v>
      </c>
      <c r="U137" s="14">
        <f t="shared" ca="1" si="49"/>
        <v>0</v>
      </c>
      <c r="V137" s="14">
        <f t="shared" ca="1" si="50"/>
        <v>0</v>
      </c>
      <c r="W137" s="14">
        <f t="shared" ca="1" si="51"/>
        <v>0</v>
      </c>
      <c r="Y137" s="17">
        <f ca="1">IF($A137=0,0,SUMIF('Week 1 Roster'!$AZ:$AZ,$B137,'Week 1 Roster'!$AE:$AE))</f>
        <v>0</v>
      </c>
      <c r="Z137" s="17">
        <f ca="1">IF($A137=0,0,SUMIF('Week 1 Roster'!$AZ:$AZ,$B137,'Week 1 Roster'!$AG:$AG))</f>
        <v>0</v>
      </c>
      <c r="AA137" s="17">
        <f ca="1">IF($A137=0,0,SUMIF('Week 1 Roster'!$AZ:$AZ,$B137,'Week 1 Roster'!$AI:$AI))</f>
        <v>0</v>
      </c>
      <c r="AB137" s="17">
        <f ca="1">IF($A137=0,0,SUMIF('Week 1 Roster'!$AZ:$AZ,$B137,'Week 1 Roster'!$AK:$AK))</f>
        <v>0</v>
      </c>
      <c r="AC137" s="17">
        <f ca="1">IF($A137=0,0,SUMIF('Week 1 Roster'!$AZ:$AZ,$B137,'Week 1 Roster'!$AM:$AM))</f>
        <v>0</v>
      </c>
      <c r="AD137" s="17">
        <f ca="1">IF($A137=0,0,SUMIF('Week 1 Roster'!$AZ:$AZ,$B137,'Week 1 Roster'!$AO:$AO))</f>
        <v>0</v>
      </c>
      <c r="AE137" s="38">
        <f ca="1">IF($A137=0,0,SUMIF('Week 1 Roster'!$AZ:$AZ,$B137,'Week 1 Roster'!$AP:$AP))</f>
        <v>0</v>
      </c>
      <c r="AF137" s="17">
        <f ca="1">IF($A137=0,0,SUMIF('Week 1 Roster'!$AZ:$AZ,$B137,'Week 1 Roster'!$AQ:$AQ))</f>
        <v>0</v>
      </c>
      <c r="AG137" s="17">
        <f ca="1">IF($A137=0,0,SUMIF('Week 1 Roster'!$AZ:$AZ,$B137,'Week 1 Roster'!$AR:$AR))</f>
        <v>0</v>
      </c>
      <c r="AH137" s="17">
        <f ca="1">IF($A137=0,0,SUMIF('Week 1 Roster'!$AZ:$AZ,$B137,'Week 1 Roster'!$AS:$AS))</f>
        <v>0</v>
      </c>
      <c r="AI137" s="17">
        <f t="shared" ca="1" si="52"/>
        <v>0</v>
      </c>
      <c r="AK137" s="17">
        <f ca="1">IF($A137=0,0,SUMIF('Week 2 Roster'!$AZ:$AZ,$B137,'Week 2 Roster'!$AE:$AE))</f>
        <v>0</v>
      </c>
      <c r="AL137" s="17">
        <f ca="1">IF($A137=0,0,SUMIF('Week 2 Roster'!$AZ:$AZ,$B137,'Week 2 Roster'!$AG:$AG))</f>
        <v>0</v>
      </c>
      <c r="AM137" s="17">
        <f ca="1">IF($A137=0,0,SUMIF('Week 2 Roster'!$AZ:$AZ,$B137,'Week 2 Roster'!$AI:$AI))</f>
        <v>0</v>
      </c>
      <c r="AN137" s="17">
        <f ca="1">IF($A137=0,0,SUMIF('Week 2 Roster'!$AZ:$AZ,$B137,'Week 2 Roster'!$AK:$AK))</f>
        <v>0</v>
      </c>
      <c r="AO137" s="17">
        <f ca="1">IF($A137=0,0,SUMIF('Week 2 Roster'!$AZ:$AZ,$B137,'Week 2 Roster'!$AM:$AM))</f>
        <v>0</v>
      </c>
      <c r="AP137" s="17">
        <f ca="1">IF($A137=0,0,SUMIF('Week 2 Roster'!$AZ:$AZ,$B137,'Week 2 Roster'!$AO:$AO))</f>
        <v>0</v>
      </c>
      <c r="AQ137" s="38">
        <f ca="1">IF($A137=0,0,SUMIF('Week 2 Roster'!$AZ:$AZ,$B137,'Week 2 Roster'!$AP:$AP))</f>
        <v>0</v>
      </c>
      <c r="AR137" s="17">
        <f ca="1">IF($A137=0,0,SUMIF('Week 2 Roster'!$AZ:$AZ,$B137,'Week 2 Roster'!$AQ:$AQ))</f>
        <v>0</v>
      </c>
      <c r="AS137" s="17">
        <f ca="1">IF($A137=0,0,SUMIF('Week 2 Roster'!$AZ:$AZ,$B137,'Week 2 Roster'!$AR:$AR))</f>
        <v>0</v>
      </c>
      <c r="AT137" s="17">
        <f ca="1">IF($A137=0,0,SUMIF('Week 2 Roster'!$AZ:$AZ,$B137,'Week 2 Roster'!$AS:$AS))</f>
        <v>0</v>
      </c>
      <c r="AU137" s="17">
        <f t="shared" ca="1" si="53"/>
        <v>0</v>
      </c>
      <c r="AV137" s="17"/>
    </row>
    <row r="138" spans="1:48">
      <c r="A138" s="16" cm="1">
        <f t="array" aca="1" ref="A138" ca="1">_xlfn.NUMBERVALUE(INDIRECT(TEXT(MIN(IF(($AW$2:$AX$300&lt;&gt;"")*(COUNTIF($B$1:B137,$AW$2:$AX$300)=0),ROW($2:$300)*100+COLUMN($AW:$AX),7^8)),"R0C00"),)&amp;"")</f>
        <v>0</v>
      </c>
      <c r="B138" s="28" t="str">
        <f t="shared" ca="1" si="39"/>
        <v/>
      </c>
      <c r="C138" s="28" t="str">
        <f ca="1">IF($A138=0,"",VLOOKUP($B138,Employees!$A:$G,2,FALSE))</f>
        <v/>
      </c>
      <c r="D138" s="28" t="str">
        <f ca="1">IF($A138=0,"",VLOOKUP($B138,Employees!$A:$G,3,FALSE))</f>
        <v/>
      </c>
      <c r="E138" s="26" t="str">
        <f ca="1">IF($A138=0,"",VLOOKUP($B138,Employees!$A:$G,5,FALSE))</f>
        <v/>
      </c>
      <c r="F138" s="13" t="str">
        <f ca="1">IF($E138="","",ROUNDDOWN(YEARFRAC($E138, 'Week 1 Roster'!$D$1-1, 1), 0))</f>
        <v/>
      </c>
      <c r="G138" s="13" t="str">
        <f ca="1">IF($E138="","",ROUNDDOWN(YEARFRAC($E138, 'Week 1 Roster'!$D$1+14, 1), 0))</f>
        <v/>
      </c>
      <c r="H138" s="13" t="str">
        <f t="shared" ca="1" si="40"/>
        <v/>
      </c>
      <c r="I138" s="13" t="str">
        <f ca="1">IF($A138=0,"",VLOOKUP($B138,Employees!$A:$G,6,FALSE))</f>
        <v/>
      </c>
      <c r="J138" s="13" t="str">
        <f ca="1">IF($A138=0,"",VLOOKUP($B138,Employees!$A:$G,7,FALSE))</f>
        <v/>
      </c>
      <c r="K138" s="13" t="str">
        <f ca="1">IF($A138=0,"",IF(ISNA(VLOOKUP(A138,'Week 1 Roster'!A:C,2,0)),VLOOKUP(A138,'Week 2 Roster'!A:C,2,0),VLOOKUP(A138,'Week 1 Roster'!A:C,2,0)))</f>
        <v/>
      </c>
      <c r="L138" s="13" t="str">
        <f ca="1">IF($A138=0,"",VLOOKUP(K138,Stores!A:B,2,0))</f>
        <v/>
      </c>
      <c r="M138" s="14">
        <f t="shared" ca="1" si="41"/>
        <v>0</v>
      </c>
      <c r="N138" s="14">
        <f t="shared" ca="1" si="42"/>
        <v>0</v>
      </c>
      <c r="O138" s="14">
        <f t="shared" ca="1" si="43"/>
        <v>0</v>
      </c>
      <c r="P138" s="14">
        <f t="shared" ca="1" si="44"/>
        <v>0</v>
      </c>
      <c r="Q138" s="14">
        <f t="shared" ca="1" si="45"/>
        <v>0</v>
      </c>
      <c r="R138" s="14">
        <f t="shared" ca="1" si="46"/>
        <v>0</v>
      </c>
      <c r="S138" s="28">
        <f t="shared" ca="1" si="47"/>
        <v>0</v>
      </c>
      <c r="T138" s="14">
        <f t="shared" ca="1" si="48"/>
        <v>0</v>
      </c>
      <c r="U138" s="14">
        <f t="shared" ca="1" si="49"/>
        <v>0</v>
      </c>
      <c r="V138" s="14">
        <f t="shared" ca="1" si="50"/>
        <v>0</v>
      </c>
      <c r="W138" s="14">
        <f t="shared" ca="1" si="51"/>
        <v>0</v>
      </c>
      <c r="Y138" s="17">
        <f ca="1">IF($A138=0,0,SUMIF('Week 1 Roster'!$AZ:$AZ,$B138,'Week 1 Roster'!$AE:$AE))</f>
        <v>0</v>
      </c>
      <c r="Z138" s="17">
        <f ca="1">IF($A138=0,0,SUMIF('Week 1 Roster'!$AZ:$AZ,$B138,'Week 1 Roster'!$AG:$AG))</f>
        <v>0</v>
      </c>
      <c r="AA138" s="17">
        <f ca="1">IF($A138=0,0,SUMIF('Week 1 Roster'!$AZ:$AZ,$B138,'Week 1 Roster'!$AI:$AI))</f>
        <v>0</v>
      </c>
      <c r="AB138" s="17">
        <f ca="1">IF($A138=0,0,SUMIF('Week 1 Roster'!$AZ:$AZ,$B138,'Week 1 Roster'!$AK:$AK))</f>
        <v>0</v>
      </c>
      <c r="AC138" s="17">
        <f ca="1">IF($A138=0,0,SUMIF('Week 1 Roster'!$AZ:$AZ,$B138,'Week 1 Roster'!$AM:$AM))</f>
        <v>0</v>
      </c>
      <c r="AD138" s="17">
        <f ca="1">IF($A138=0,0,SUMIF('Week 1 Roster'!$AZ:$AZ,$B138,'Week 1 Roster'!$AO:$AO))</f>
        <v>0</v>
      </c>
      <c r="AE138" s="38">
        <f ca="1">IF($A138=0,0,SUMIF('Week 1 Roster'!$AZ:$AZ,$B138,'Week 1 Roster'!$AP:$AP))</f>
        <v>0</v>
      </c>
      <c r="AF138" s="17">
        <f ca="1">IF($A138=0,0,SUMIF('Week 1 Roster'!$AZ:$AZ,$B138,'Week 1 Roster'!$AQ:$AQ))</f>
        <v>0</v>
      </c>
      <c r="AG138" s="17">
        <f ca="1">IF($A138=0,0,SUMIF('Week 1 Roster'!$AZ:$AZ,$B138,'Week 1 Roster'!$AR:$AR))</f>
        <v>0</v>
      </c>
      <c r="AH138" s="17">
        <f ca="1">IF($A138=0,0,SUMIF('Week 1 Roster'!$AZ:$AZ,$B138,'Week 1 Roster'!$AS:$AS))</f>
        <v>0</v>
      </c>
      <c r="AI138" s="17">
        <f t="shared" ca="1" si="52"/>
        <v>0</v>
      </c>
      <c r="AK138" s="17">
        <f ca="1">IF($A138=0,0,SUMIF('Week 2 Roster'!$AZ:$AZ,$B138,'Week 2 Roster'!$AE:$AE))</f>
        <v>0</v>
      </c>
      <c r="AL138" s="17">
        <f ca="1">IF($A138=0,0,SUMIF('Week 2 Roster'!$AZ:$AZ,$B138,'Week 2 Roster'!$AG:$AG))</f>
        <v>0</v>
      </c>
      <c r="AM138" s="17">
        <f ca="1">IF($A138=0,0,SUMIF('Week 2 Roster'!$AZ:$AZ,$B138,'Week 2 Roster'!$AI:$AI))</f>
        <v>0</v>
      </c>
      <c r="AN138" s="17">
        <f ca="1">IF($A138=0,0,SUMIF('Week 2 Roster'!$AZ:$AZ,$B138,'Week 2 Roster'!$AK:$AK))</f>
        <v>0</v>
      </c>
      <c r="AO138" s="17">
        <f ca="1">IF($A138=0,0,SUMIF('Week 2 Roster'!$AZ:$AZ,$B138,'Week 2 Roster'!$AM:$AM))</f>
        <v>0</v>
      </c>
      <c r="AP138" s="17">
        <f ca="1">IF($A138=0,0,SUMIF('Week 2 Roster'!$AZ:$AZ,$B138,'Week 2 Roster'!$AO:$AO))</f>
        <v>0</v>
      </c>
      <c r="AQ138" s="38">
        <f ca="1">IF($A138=0,0,SUMIF('Week 2 Roster'!$AZ:$AZ,$B138,'Week 2 Roster'!$AP:$AP))</f>
        <v>0</v>
      </c>
      <c r="AR138" s="17">
        <f ca="1">IF($A138=0,0,SUMIF('Week 2 Roster'!$AZ:$AZ,$B138,'Week 2 Roster'!$AQ:$AQ))</f>
        <v>0</v>
      </c>
      <c r="AS138" s="17">
        <f ca="1">IF($A138=0,0,SUMIF('Week 2 Roster'!$AZ:$AZ,$B138,'Week 2 Roster'!$AR:$AR))</f>
        <v>0</v>
      </c>
      <c r="AT138" s="17">
        <f ca="1">IF($A138=0,0,SUMIF('Week 2 Roster'!$AZ:$AZ,$B138,'Week 2 Roster'!$AS:$AS))</f>
        <v>0</v>
      </c>
      <c r="AU138" s="17">
        <f t="shared" ca="1" si="53"/>
        <v>0</v>
      </c>
      <c r="AV138" s="17"/>
    </row>
    <row r="139" spans="1:48">
      <c r="A139" s="16" cm="1">
        <f t="array" aca="1" ref="A139" ca="1">_xlfn.NUMBERVALUE(INDIRECT(TEXT(MIN(IF(($AW$2:$AX$300&lt;&gt;"")*(COUNTIF($B$1:B138,$AW$2:$AX$300)=0),ROW($2:$300)*100+COLUMN($AW:$AX),7^8)),"R0C00"),)&amp;"")</f>
        <v>0</v>
      </c>
      <c r="B139" s="28" t="str">
        <f t="shared" ca="1" si="39"/>
        <v/>
      </c>
      <c r="C139" s="28" t="str">
        <f ca="1">IF($A139=0,"",VLOOKUP($B139,Employees!$A:$G,2,FALSE))</f>
        <v/>
      </c>
      <c r="D139" s="28" t="str">
        <f ca="1">IF($A139=0,"",VLOOKUP($B139,Employees!$A:$G,3,FALSE))</f>
        <v/>
      </c>
      <c r="E139" s="26" t="str">
        <f ca="1">IF($A139=0,"",VLOOKUP($B139,Employees!$A:$G,5,FALSE))</f>
        <v/>
      </c>
      <c r="F139" s="13" t="str">
        <f ca="1">IF($E139="","",ROUNDDOWN(YEARFRAC($E139, 'Week 1 Roster'!$D$1-1, 1), 0))</f>
        <v/>
      </c>
      <c r="G139" s="13" t="str">
        <f ca="1">IF($E139="","",ROUNDDOWN(YEARFRAC($E139, 'Week 1 Roster'!$D$1+14, 1), 0))</f>
        <v/>
      </c>
      <c r="H139" s="13" t="str">
        <f t="shared" ca="1" si="40"/>
        <v/>
      </c>
      <c r="I139" s="13" t="str">
        <f ca="1">IF($A139=0,"",VLOOKUP($B139,Employees!$A:$G,6,FALSE))</f>
        <v/>
      </c>
      <c r="J139" s="13" t="str">
        <f ca="1">IF($A139=0,"",VLOOKUP($B139,Employees!$A:$G,7,FALSE))</f>
        <v/>
      </c>
      <c r="K139" s="13" t="str">
        <f ca="1">IF($A139=0,"",IF(ISNA(VLOOKUP(A139,'Week 1 Roster'!A:C,2,0)),VLOOKUP(A139,'Week 2 Roster'!A:C,2,0),VLOOKUP(A139,'Week 1 Roster'!A:C,2,0)))</f>
        <v/>
      </c>
      <c r="L139" s="13" t="str">
        <f ca="1">IF($A139=0,"",VLOOKUP(K139,Stores!A:B,2,0))</f>
        <v/>
      </c>
      <c r="M139" s="14">
        <f t="shared" ca="1" si="41"/>
        <v>0</v>
      </c>
      <c r="N139" s="14">
        <f t="shared" ca="1" si="42"/>
        <v>0</v>
      </c>
      <c r="O139" s="14">
        <f t="shared" ca="1" si="43"/>
        <v>0</v>
      </c>
      <c r="P139" s="14">
        <f t="shared" ca="1" si="44"/>
        <v>0</v>
      </c>
      <c r="Q139" s="14">
        <f t="shared" ca="1" si="45"/>
        <v>0</v>
      </c>
      <c r="R139" s="14">
        <f t="shared" ca="1" si="46"/>
        <v>0</v>
      </c>
      <c r="S139" s="28">
        <f t="shared" ca="1" si="47"/>
        <v>0</v>
      </c>
      <c r="T139" s="14">
        <f t="shared" ca="1" si="48"/>
        <v>0</v>
      </c>
      <c r="U139" s="14">
        <f t="shared" ca="1" si="49"/>
        <v>0</v>
      </c>
      <c r="V139" s="14">
        <f t="shared" ca="1" si="50"/>
        <v>0</v>
      </c>
      <c r="W139" s="14">
        <f t="shared" ca="1" si="51"/>
        <v>0</v>
      </c>
      <c r="Y139" s="17">
        <f ca="1">IF($A139=0,0,SUMIF('Week 1 Roster'!$AZ:$AZ,$B139,'Week 1 Roster'!$AE:$AE))</f>
        <v>0</v>
      </c>
      <c r="Z139" s="17">
        <f ca="1">IF($A139=0,0,SUMIF('Week 1 Roster'!$AZ:$AZ,$B139,'Week 1 Roster'!$AG:$AG))</f>
        <v>0</v>
      </c>
      <c r="AA139" s="17">
        <f ca="1">IF($A139=0,0,SUMIF('Week 1 Roster'!$AZ:$AZ,$B139,'Week 1 Roster'!$AI:$AI))</f>
        <v>0</v>
      </c>
      <c r="AB139" s="17">
        <f ca="1">IF($A139=0,0,SUMIF('Week 1 Roster'!$AZ:$AZ,$B139,'Week 1 Roster'!$AK:$AK))</f>
        <v>0</v>
      </c>
      <c r="AC139" s="17">
        <f ca="1">IF($A139=0,0,SUMIF('Week 1 Roster'!$AZ:$AZ,$B139,'Week 1 Roster'!$AM:$AM))</f>
        <v>0</v>
      </c>
      <c r="AD139" s="17">
        <f ca="1">IF($A139=0,0,SUMIF('Week 1 Roster'!$AZ:$AZ,$B139,'Week 1 Roster'!$AO:$AO))</f>
        <v>0</v>
      </c>
      <c r="AE139" s="38">
        <f ca="1">IF($A139=0,0,SUMIF('Week 1 Roster'!$AZ:$AZ,$B139,'Week 1 Roster'!$AP:$AP))</f>
        <v>0</v>
      </c>
      <c r="AF139" s="17">
        <f ca="1">IF($A139=0,0,SUMIF('Week 1 Roster'!$AZ:$AZ,$B139,'Week 1 Roster'!$AQ:$AQ))</f>
        <v>0</v>
      </c>
      <c r="AG139" s="17">
        <f ca="1">IF($A139=0,0,SUMIF('Week 1 Roster'!$AZ:$AZ,$B139,'Week 1 Roster'!$AR:$AR))</f>
        <v>0</v>
      </c>
      <c r="AH139" s="17">
        <f ca="1">IF($A139=0,0,SUMIF('Week 1 Roster'!$AZ:$AZ,$B139,'Week 1 Roster'!$AS:$AS))</f>
        <v>0</v>
      </c>
      <c r="AI139" s="17">
        <f t="shared" ca="1" si="52"/>
        <v>0</v>
      </c>
      <c r="AK139" s="17">
        <f ca="1">IF($A139=0,0,SUMIF('Week 2 Roster'!$AZ:$AZ,$B139,'Week 2 Roster'!$AE:$AE))</f>
        <v>0</v>
      </c>
      <c r="AL139" s="17">
        <f ca="1">IF($A139=0,0,SUMIF('Week 2 Roster'!$AZ:$AZ,$B139,'Week 2 Roster'!$AG:$AG))</f>
        <v>0</v>
      </c>
      <c r="AM139" s="17">
        <f ca="1">IF($A139=0,0,SUMIF('Week 2 Roster'!$AZ:$AZ,$B139,'Week 2 Roster'!$AI:$AI))</f>
        <v>0</v>
      </c>
      <c r="AN139" s="17">
        <f ca="1">IF($A139=0,0,SUMIF('Week 2 Roster'!$AZ:$AZ,$B139,'Week 2 Roster'!$AK:$AK))</f>
        <v>0</v>
      </c>
      <c r="AO139" s="17">
        <f ca="1">IF($A139=0,0,SUMIF('Week 2 Roster'!$AZ:$AZ,$B139,'Week 2 Roster'!$AM:$AM))</f>
        <v>0</v>
      </c>
      <c r="AP139" s="17">
        <f ca="1">IF($A139=0,0,SUMIF('Week 2 Roster'!$AZ:$AZ,$B139,'Week 2 Roster'!$AO:$AO))</f>
        <v>0</v>
      </c>
      <c r="AQ139" s="38">
        <f ca="1">IF($A139=0,0,SUMIF('Week 2 Roster'!$AZ:$AZ,$B139,'Week 2 Roster'!$AP:$AP))</f>
        <v>0</v>
      </c>
      <c r="AR139" s="17">
        <f ca="1">IF($A139=0,0,SUMIF('Week 2 Roster'!$AZ:$AZ,$B139,'Week 2 Roster'!$AQ:$AQ))</f>
        <v>0</v>
      </c>
      <c r="AS139" s="17">
        <f ca="1">IF($A139=0,0,SUMIF('Week 2 Roster'!$AZ:$AZ,$B139,'Week 2 Roster'!$AR:$AR))</f>
        <v>0</v>
      </c>
      <c r="AT139" s="17">
        <f ca="1">IF($A139=0,0,SUMIF('Week 2 Roster'!$AZ:$AZ,$B139,'Week 2 Roster'!$AS:$AS))</f>
        <v>0</v>
      </c>
      <c r="AU139" s="17">
        <f t="shared" ca="1" si="53"/>
        <v>0</v>
      </c>
      <c r="AV139" s="17"/>
    </row>
    <row r="140" spans="1:48">
      <c r="A140" s="16" cm="1">
        <f t="array" aca="1" ref="A140" ca="1">_xlfn.NUMBERVALUE(INDIRECT(TEXT(MIN(IF(($AW$2:$AX$300&lt;&gt;"")*(COUNTIF($B$1:B139,$AW$2:$AX$300)=0),ROW($2:$300)*100+COLUMN($AW:$AX),7^8)),"R0C00"),)&amp;"")</f>
        <v>0</v>
      </c>
      <c r="B140" s="28" t="str">
        <f t="shared" ca="1" si="39"/>
        <v/>
      </c>
      <c r="C140" s="28" t="str">
        <f ca="1">IF($A140=0,"",VLOOKUP($B140,Employees!$A:$G,2,FALSE))</f>
        <v/>
      </c>
      <c r="D140" s="28" t="str">
        <f ca="1">IF($A140=0,"",VLOOKUP($B140,Employees!$A:$G,3,FALSE))</f>
        <v/>
      </c>
      <c r="E140" s="26" t="str">
        <f ca="1">IF($A140=0,"",VLOOKUP($B140,Employees!$A:$G,5,FALSE))</f>
        <v/>
      </c>
      <c r="F140" s="13" t="str">
        <f ca="1">IF($E140="","",ROUNDDOWN(YEARFRAC($E140, 'Week 1 Roster'!$D$1-1, 1), 0))</f>
        <v/>
      </c>
      <c r="G140" s="13" t="str">
        <f ca="1">IF($E140="","",ROUNDDOWN(YEARFRAC($E140, 'Week 1 Roster'!$D$1+14, 1), 0))</f>
        <v/>
      </c>
      <c r="H140" s="13" t="str">
        <f t="shared" ca="1" si="40"/>
        <v/>
      </c>
      <c r="I140" s="13" t="str">
        <f ca="1">IF($A140=0,"",VLOOKUP($B140,Employees!$A:$G,6,FALSE))</f>
        <v/>
      </c>
      <c r="J140" s="13" t="str">
        <f ca="1">IF($A140=0,"",VLOOKUP($B140,Employees!$A:$G,7,FALSE))</f>
        <v/>
      </c>
      <c r="K140" s="13" t="str">
        <f ca="1">IF($A140=0,"",IF(ISNA(VLOOKUP(A140,'Week 1 Roster'!A:C,2,0)),VLOOKUP(A140,'Week 2 Roster'!A:C,2,0),VLOOKUP(A140,'Week 1 Roster'!A:C,2,0)))</f>
        <v/>
      </c>
      <c r="L140" s="13" t="str">
        <f ca="1">IF($A140=0,"",VLOOKUP(K140,Stores!A:B,2,0))</f>
        <v/>
      </c>
      <c r="M140" s="14">
        <f t="shared" ca="1" si="41"/>
        <v>0</v>
      </c>
      <c r="N140" s="14">
        <f t="shared" ca="1" si="42"/>
        <v>0</v>
      </c>
      <c r="O140" s="14">
        <f t="shared" ca="1" si="43"/>
        <v>0</v>
      </c>
      <c r="P140" s="14">
        <f t="shared" ca="1" si="44"/>
        <v>0</v>
      </c>
      <c r="Q140" s="14">
        <f t="shared" ca="1" si="45"/>
        <v>0</v>
      </c>
      <c r="R140" s="14">
        <f t="shared" ca="1" si="46"/>
        <v>0</v>
      </c>
      <c r="S140" s="28">
        <f t="shared" ca="1" si="47"/>
        <v>0</v>
      </c>
      <c r="T140" s="14">
        <f t="shared" ca="1" si="48"/>
        <v>0</v>
      </c>
      <c r="U140" s="14">
        <f t="shared" ca="1" si="49"/>
        <v>0</v>
      </c>
      <c r="V140" s="14">
        <f t="shared" ca="1" si="50"/>
        <v>0</v>
      </c>
      <c r="W140" s="14">
        <f t="shared" ca="1" si="51"/>
        <v>0</v>
      </c>
      <c r="Y140" s="17">
        <f ca="1">IF($A140=0,0,SUMIF('Week 1 Roster'!$AZ:$AZ,$B140,'Week 1 Roster'!$AE:$AE))</f>
        <v>0</v>
      </c>
      <c r="Z140" s="17">
        <f ca="1">IF($A140=0,0,SUMIF('Week 1 Roster'!$AZ:$AZ,$B140,'Week 1 Roster'!$AG:$AG))</f>
        <v>0</v>
      </c>
      <c r="AA140" s="17">
        <f ca="1">IF($A140=0,0,SUMIF('Week 1 Roster'!$AZ:$AZ,$B140,'Week 1 Roster'!$AI:$AI))</f>
        <v>0</v>
      </c>
      <c r="AB140" s="17">
        <f ca="1">IF($A140=0,0,SUMIF('Week 1 Roster'!$AZ:$AZ,$B140,'Week 1 Roster'!$AK:$AK))</f>
        <v>0</v>
      </c>
      <c r="AC140" s="17">
        <f ca="1">IF($A140=0,0,SUMIF('Week 1 Roster'!$AZ:$AZ,$B140,'Week 1 Roster'!$AM:$AM))</f>
        <v>0</v>
      </c>
      <c r="AD140" s="17">
        <f ca="1">IF($A140=0,0,SUMIF('Week 1 Roster'!$AZ:$AZ,$B140,'Week 1 Roster'!$AO:$AO))</f>
        <v>0</v>
      </c>
      <c r="AE140" s="38">
        <f ca="1">IF($A140=0,0,SUMIF('Week 1 Roster'!$AZ:$AZ,$B140,'Week 1 Roster'!$AP:$AP))</f>
        <v>0</v>
      </c>
      <c r="AF140" s="17">
        <f ca="1">IF($A140=0,0,SUMIF('Week 1 Roster'!$AZ:$AZ,$B140,'Week 1 Roster'!$AQ:$AQ))</f>
        <v>0</v>
      </c>
      <c r="AG140" s="17">
        <f ca="1">IF($A140=0,0,SUMIF('Week 1 Roster'!$AZ:$AZ,$B140,'Week 1 Roster'!$AR:$AR))</f>
        <v>0</v>
      </c>
      <c r="AH140" s="17">
        <f ca="1">IF($A140=0,0,SUMIF('Week 1 Roster'!$AZ:$AZ,$B140,'Week 1 Roster'!$AS:$AS))</f>
        <v>0</v>
      </c>
      <c r="AI140" s="17">
        <f t="shared" ca="1" si="52"/>
        <v>0</v>
      </c>
      <c r="AK140" s="17">
        <f ca="1">IF($A140=0,0,SUMIF('Week 2 Roster'!$AZ:$AZ,$B140,'Week 2 Roster'!$AE:$AE))</f>
        <v>0</v>
      </c>
      <c r="AL140" s="17">
        <f ca="1">IF($A140=0,0,SUMIF('Week 2 Roster'!$AZ:$AZ,$B140,'Week 2 Roster'!$AG:$AG))</f>
        <v>0</v>
      </c>
      <c r="AM140" s="17">
        <f ca="1">IF($A140=0,0,SUMIF('Week 2 Roster'!$AZ:$AZ,$B140,'Week 2 Roster'!$AI:$AI))</f>
        <v>0</v>
      </c>
      <c r="AN140" s="17">
        <f ca="1">IF($A140=0,0,SUMIF('Week 2 Roster'!$AZ:$AZ,$B140,'Week 2 Roster'!$AK:$AK))</f>
        <v>0</v>
      </c>
      <c r="AO140" s="17">
        <f ca="1">IF($A140=0,0,SUMIF('Week 2 Roster'!$AZ:$AZ,$B140,'Week 2 Roster'!$AM:$AM))</f>
        <v>0</v>
      </c>
      <c r="AP140" s="17">
        <f ca="1">IF($A140=0,0,SUMIF('Week 2 Roster'!$AZ:$AZ,$B140,'Week 2 Roster'!$AO:$AO))</f>
        <v>0</v>
      </c>
      <c r="AQ140" s="38">
        <f ca="1">IF($A140=0,0,SUMIF('Week 2 Roster'!$AZ:$AZ,$B140,'Week 2 Roster'!$AP:$AP))</f>
        <v>0</v>
      </c>
      <c r="AR140" s="17">
        <f ca="1">IF($A140=0,0,SUMIF('Week 2 Roster'!$AZ:$AZ,$B140,'Week 2 Roster'!$AQ:$AQ))</f>
        <v>0</v>
      </c>
      <c r="AS140" s="17">
        <f ca="1">IF($A140=0,0,SUMIF('Week 2 Roster'!$AZ:$AZ,$B140,'Week 2 Roster'!$AR:$AR))</f>
        <v>0</v>
      </c>
      <c r="AT140" s="17">
        <f ca="1">IF($A140=0,0,SUMIF('Week 2 Roster'!$AZ:$AZ,$B140,'Week 2 Roster'!$AS:$AS))</f>
        <v>0</v>
      </c>
      <c r="AU140" s="17">
        <f t="shared" ca="1" si="53"/>
        <v>0</v>
      </c>
      <c r="AV140" s="17"/>
    </row>
    <row r="141" spans="1:48">
      <c r="A141" s="16" cm="1">
        <f t="array" aca="1" ref="A141" ca="1">_xlfn.NUMBERVALUE(INDIRECT(TEXT(MIN(IF(($AW$2:$AX$300&lt;&gt;"")*(COUNTIF($B$1:B140,$AW$2:$AX$300)=0),ROW($2:$300)*100+COLUMN($AW:$AX),7^8)),"R0C00"),)&amp;"")</f>
        <v>0</v>
      </c>
      <c r="B141" s="28" t="str">
        <f t="shared" ca="1" si="39"/>
        <v/>
      </c>
      <c r="C141" s="28" t="str">
        <f ca="1">IF($A141=0,"",VLOOKUP($B141,Employees!$A:$G,2,FALSE))</f>
        <v/>
      </c>
      <c r="D141" s="28" t="str">
        <f ca="1">IF($A141=0,"",VLOOKUP($B141,Employees!$A:$G,3,FALSE))</f>
        <v/>
      </c>
      <c r="E141" s="26" t="str">
        <f ca="1">IF($A141=0,"",VLOOKUP($B141,Employees!$A:$G,5,FALSE))</f>
        <v/>
      </c>
      <c r="F141" s="13" t="str">
        <f ca="1">IF($E141="","",ROUNDDOWN(YEARFRAC($E141, 'Week 1 Roster'!$D$1-1, 1), 0))</f>
        <v/>
      </c>
      <c r="G141" s="13" t="str">
        <f ca="1">IF($E141="","",ROUNDDOWN(YEARFRAC($E141, 'Week 1 Roster'!$D$1+14, 1), 0))</f>
        <v/>
      </c>
      <c r="H141" s="13" t="str">
        <f t="shared" ca="1" si="40"/>
        <v/>
      </c>
      <c r="I141" s="13" t="str">
        <f ca="1">IF($A141=0,"",VLOOKUP($B141,Employees!$A:$G,6,FALSE))</f>
        <v/>
      </c>
      <c r="J141" s="13" t="str">
        <f ca="1">IF($A141=0,"",VLOOKUP($B141,Employees!$A:$G,7,FALSE))</f>
        <v/>
      </c>
      <c r="K141" s="13" t="str">
        <f ca="1">IF($A141=0,"",IF(ISNA(VLOOKUP(A141,'Week 1 Roster'!A:C,2,0)),VLOOKUP(A141,'Week 2 Roster'!A:C,2,0),VLOOKUP(A141,'Week 1 Roster'!A:C,2,0)))</f>
        <v/>
      </c>
      <c r="L141" s="13" t="str">
        <f ca="1">IF($A141=0,"",VLOOKUP(K141,Stores!A:B,2,0))</f>
        <v/>
      </c>
      <c r="M141" s="14">
        <f t="shared" ca="1" si="41"/>
        <v>0</v>
      </c>
      <c r="N141" s="14">
        <f t="shared" ca="1" si="42"/>
        <v>0</v>
      </c>
      <c r="O141" s="14">
        <f t="shared" ca="1" si="43"/>
        <v>0</v>
      </c>
      <c r="P141" s="14">
        <f t="shared" ca="1" si="44"/>
        <v>0</v>
      </c>
      <c r="Q141" s="14">
        <f t="shared" ca="1" si="45"/>
        <v>0</v>
      </c>
      <c r="R141" s="14">
        <f t="shared" ca="1" si="46"/>
        <v>0</v>
      </c>
      <c r="S141" s="28">
        <f t="shared" ca="1" si="47"/>
        <v>0</v>
      </c>
      <c r="T141" s="14">
        <f t="shared" ca="1" si="48"/>
        <v>0</v>
      </c>
      <c r="U141" s="14">
        <f t="shared" ca="1" si="49"/>
        <v>0</v>
      </c>
      <c r="V141" s="14">
        <f t="shared" ca="1" si="50"/>
        <v>0</v>
      </c>
      <c r="W141" s="14">
        <f t="shared" ca="1" si="51"/>
        <v>0</v>
      </c>
      <c r="Y141" s="17">
        <f ca="1">IF($A141=0,0,SUMIF('Week 1 Roster'!$AZ:$AZ,$B141,'Week 1 Roster'!$AE:$AE))</f>
        <v>0</v>
      </c>
      <c r="Z141" s="17">
        <f ca="1">IF($A141=0,0,SUMIF('Week 1 Roster'!$AZ:$AZ,$B141,'Week 1 Roster'!$AG:$AG))</f>
        <v>0</v>
      </c>
      <c r="AA141" s="17">
        <f ca="1">IF($A141=0,0,SUMIF('Week 1 Roster'!$AZ:$AZ,$B141,'Week 1 Roster'!$AI:$AI))</f>
        <v>0</v>
      </c>
      <c r="AB141" s="17">
        <f ca="1">IF($A141=0,0,SUMIF('Week 1 Roster'!$AZ:$AZ,$B141,'Week 1 Roster'!$AK:$AK))</f>
        <v>0</v>
      </c>
      <c r="AC141" s="17">
        <f ca="1">IF($A141=0,0,SUMIF('Week 1 Roster'!$AZ:$AZ,$B141,'Week 1 Roster'!$AM:$AM))</f>
        <v>0</v>
      </c>
      <c r="AD141" s="17">
        <f ca="1">IF($A141=0,0,SUMIF('Week 1 Roster'!$AZ:$AZ,$B141,'Week 1 Roster'!$AO:$AO))</f>
        <v>0</v>
      </c>
      <c r="AE141" s="38">
        <f ca="1">IF($A141=0,0,SUMIF('Week 1 Roster'!$AZ:$AZ,$B141,'Week 1 Roster'!$AP:$AP))</f>
        <v>0</v>
      </c>
      <c r="AF141" s="17">
        <f ca="1">IF($A141=0,0,SUMIF('Week 1 Roster'!$AZ:$AZ,$B141,'Week 1 Roster'!$AQ:$AQ))</f>
        <v>0</v>
      </c>
      <c r="AG141" s="17">
        <f ca="1">IF($A141=0,0,SUMIF('Week 1 Roster'!$AZ:$AZ,$B141,'Week 1 Roster'!$AR:$AR))</f>
        <v>0</v>
      </c>
      <c r="AH141" s="17">
        <f ca="1">IF($A141=0,0,SUMIF('Week 1 Roster'!$AZ:$AZ,$B141,'Week 1 Roster'!$AS:$AS))</f>
        <v>0</v>
      </c>
      <c r="AI141" s="17">
        <f t="shared" ca="1" si="52"/>
        <v>0</v>
      </c>
      <c r="AK141" s="17">
        <f ca="1">IF($A141=0,0,SUMIF('Week 2 Roster'!$AZ:$AZ,$B141,'Week 2 Roster'!$AE:$AE))</f>
        <v>0</v>
      </c>
      <c r="AL141" s="17">
        <f ca="1">IF($A141=0,0,SUMIF('Week 2 Roster'!$AZ:$AZ,$B141,'Week 2 Roster'!$AG:$AG))</f>
        <v>0</v>
      </c>
      <c r="AM141" s="17">
        <f ca="1">IF($A141=0,0,SUMIF('Week 2 Roster'!$AZ:$AZ,$B141,'Week 2 Roster'!$AI:$AI))</f>
        <v>0</v>
      </c>
      <c r="AN141" s="17">
        <f ca="1">IF($A141=0,0,SUMIF('Week 2 Roster'!$AZ:$AZ,$B141,'Week 2 Roster'!$AK:$AK))</f>
        <v>0</v>
      </c>
      <c r="AO141" s="17">
        <f ca="1">IF($A141=0,0,SUMIF('Week 2 Roster'!$AZ:$AZ,$B141,'Week 2 Roster'!$AM:$AM))</f>
        <v>0</v>
      </c>
      <c r="AP141" s="17">
        <f ca="1">IF($A141=0,0,SUMIF('Week 2 Roster'!$AZ:$AZ,$B141,'Week 2 Roster'!$AO:$AO))</f>
        <v>0</v>
      </c>
      <c r="AQ141" s="38">
        <f ca="1">IF($A141=0,0,SUMIF('Week 2 Roster'!$AZ:$AZ,$B141,'Week 2 Roster'!$AP:$AP))</f>
        <v>0</v>
      </c>
      <c r="AR141" s="17">
        <f ca="1">IF($A141=0,0,SUMIF('Week 2 Roster'!$AZ:$AZ,$B141,'Week 2 Roster'!$AQ:$AQ))</f>
        <v>0</v>
      </c>
      <c r="AS141" s="17">
        <f ca="1">IF($A141=0,0,SUMIF('Week 2 Roster'!$AZ:$AZ,$B141,'Week 2 Roster'!$AR:$AR))</f>
        <v>0</v>
      </c>
      <c r="AT141" s="17">
        <f ca="1">IF($A141=0,0,SUMIF('Week 2 Roster'!$AZ:$AZ,$B141,'Week 2 Roster'!$AS:$AS))</f>
        <v>0</v>
      </c>
      <c r="AU141" s="17">
        <f t="shared" ca="1" si="53"/>
        <v>0</v>
      </c>
      <c r="AV141" s="17"/>
    </row>
    <row r="142" spans="1:48">
      <c r="A142" s="16" cm="1">
        <f t="array" aca="1" ref="A142" ca="1">_xlfn.NUMBERVALUE(INDIRECT(TEXT(MIN(IF(($AW$2:$AX$300&lt;&gt;"")*(COUNTIF($B$1:B141,$AW$2:$AX$300)=0),ROW($2:$300)*100+COLUMN($AW:$AX),7^8)),"R0C00"),)&amp;"")</f>
        <v>0</v>
      </c>
      <c r="B142" s="28" t="str">
        <f t="shared" ca="1" si="39"/>
        <v/>
      </c>
      <c r="C142" s="28" t="str">
        <f ca="1">IF($A142=0,"",VLOOKUP($B142,Employees!$A:$G,2,FALSE))</f>
        <v/>
      </c>
      <c r="D142" s="28" t="str">
        <f ca="1">IF($A142=0,"",VLOOKUP($B142,Employees!$A:$G,3,FALSE))</f>
        <v/>
      </c>
      <c r="E142" s="26" t="str">
        <f ca="1">IF($A142=0,"",VLOOKUP($B142,Employees!$A:$G,5,FALSE))</f>
        <v/>
      </c>
      <c r="F142" s="13" t="str">
        <f ca="1">IF($E142="","",ROUNDDOWN(YEARFRAC($E142, 'Week 1 Roster'!$D$1-1, 1), 0))</f>
        <v/>
      </c>
      <c r="G142" s="13" t="str">
        <f ca="1">IF($E142="","",ROUNDDOWN(YEARFRAC($E142, 'Week 1 Roster'!$D$1+14, 1), 0))</f>
        <v/>
      </c>
      <c r="H142" s="13" t="str">
        <f t="shared" ca="1" si="40"/>
        <v/>
      </c>
      <c r="I142" s="13" t="str">
        <f ca="1">IF($A142=0,"",VLOOKUP($B142,Employees!$A:$G,6,FALSE))</f>
        <v/>
      </c>
      <c r="J142" s="13" t="str">
        <f ca="1">IF($A142=0,"",VLOOKUP($B142,Employees!$A:$G,7,FALSE))</f>
        <v/>
      </c>
      <c r="K142" s="13" t="str">
        <f ca="1">IF($A142=0,"",IF(ISNA(VLOOKUP(A142,'Week 1 Roster'!A:C,2,0)),VLOOKUP(A142,'Week 2 Roster'!A:C,2,0),VLOOKUP(A142,'Week 1 Roster'!A:C,2,0)))</f>
        <v/>
      </c>
      <c r="L142" s="13" t="str">
        <f ca="1">IF($A142=0,"",VLOOKUP(K142,Stores!A:B,2,0))</f>
        <v/>
      </c>
      <c r="M142" s="14">
        <f t="shared" ca="1" si="41"/>
        <v>0</v>
      </c>
      <c r="N142" s="14">
        <f t="shared" ca="1" si="42"/>
        <v>0</v>
      </c>
      <c r="O142" s="14">
        <f t="shared" ca="1" si="43"/>
        <v>0</v>
      </c>
      <c r="P142" s="14">
        <f t="shared" ca="1" si="44"/>
        <v>0</v>
      </c>
      <c r="Q142" s="14">
        <f t="shared" ca="1" si="45"/>
        <v>0</v>
      </c>
      <c r="R142" s="14">
        <f t="shared" ca="1" si="46"/>
        <v>0</v>
      </c>
      <c r="S142" s="28">
        <f t="shared" ca="1" si="47"/>
        <v>0</v>
      </c>
      <c r="T142" s="14">
        <f t="shared" ca="1" si="48"/>
        <v>0</v>
      </c>
      <c r="U142" s="14">
        <f t="shared" ca="1" si="49"/>
        <v>0</v>
      </c>
      <c r="V142" s="14">
        <f t="shared" ca="1" si="50"/>
        <v>0</v>
      </c>
      <c r="W142" s="14">
        <f t="shared" ca="1" si="51"/>
        <v>0</v>
      </c>
      <c r="Y142" s="17">
        <f ca="1">IF($A142=0,0,SUMIF('Week 1 Roster'!$AZ:$AZ,$B142,'Week 1 Roster'!$AE:$AE))</f>
        <v>0</v>
      </c>
      <c r="Z142" s="17">
        <f ca="1">IF($A142=0,0,SUMIF('Week 1 Roster'!$AZ:$AZ,$B142,'Week 1 Roster'!$AG:$AG))</f>
        <v>0</v>
      </c>
      <c r="AA142" s="17">
        <f ca="1">IF($A142=0,0,SUMIF('Week 1 Roster'!$AZ:$AZ,$B142,'Week 1 Roster'!$AI:$AI))</f>
        <v>0</v>
      </c>
      <c r="AB142" s="17">
        <f ca="1">IF($A142=0,0,SUMIF('Week 1 Roster'!$AZ:$AZ,$B142,'Week 1 Roster'!$AK:$AK))</f>
        <v>0</v>
      </c>
      <c r="AC142" s="17">
        <f ca="1">IF($A142=0,0,SUMIF('Week 1 Roster'!$AZ:$AZ,$B142,'Week 1 Roster'!$AM:$AM))</f>
        <v>0</v>
      </c>
      <c r="AD142" s="17">
        <f ca="1">IF($A142=0,0,SUMIF('Week 1 Roster'!$AZ:$AZ,$B142,'Week 1 Roster'!$AO:$AO))</f>
        <v>0</v>
      </c>
      <c r="AE142" s="38">
        <f ca="1">IF($A142=0,0,SUMIF('Week 1 Roster'!$AZ:$AZ,$B142,'Week 1 Roster'!$AP:$AP))</f>
        <v>0</v>
      </c>
      <c r="AF142" s="17">
        <f ca="1">IF($A142=0,0,SUMIF('Week 1 Roster'!$AZ:$AZ,$B142,'Week 1 Roster'!$AQ:$AQ))</f>
        <v>0</v>
      </c>
      <c r="AG142" s="17">
        <f ca="1">IF($A142=0,0,SUMIF('Week 1 Roster'!$AZ:$AZ,$B142,'Week 1 Roster'!$AR:$AR))</f>
        <v>0</v>
      </c>
      <c r="AH142" s="17">
        <f ca="1">IF($A142=0,0,SUMIF('Week 1 Roster'!$AZ:$AZ,$B142,'Week 1 Roster'!$AS:$AS))</f>
        <v>0</v>
      </c>
      <c r="AI142" s="17">
        <f t="shared" ca="1" si="52"/>
        <v>0</v>
      </c>
      <c r="AK142" s="17">
        <f ca="1">IF($A142=0,0,SUMIF('Week 2 Roster'!$AZ:$AZ,$B142,'Week 2 Roster'!$AE:$AE))</f>
        <v>0</v>
      </c>
      <c r="AL142" s="17">
        <f ca="1">IF($A142=0,0,SUMIF('Week 2 Roster'!$AZ:$AZ,$B142,'Week 2 Roster'!$AG:$AG))</f>
        <v>0</v>
      </c>
      <c r="AM142" s="17">
        <f ca="1">IF($A142=0,0,SUMIF('Week 2 Roster'!$AZ:$AZ,$B142,'Week 2 Roster'!$AI:$AI))</f>
        <v>0</v>
      </c>
      <c r="AN142" s="17">
        <f ca="1">IF($A142=0,0,SUMIF('Week 2 Roster'!$AZ:$AZ,$B142,'Week 2 Roster'!$AK:$AK))</f>
        <v>0</v>
      </c>
      <c r="AO142" s="17">
        <f ca="1">IF($A142=0,0,SUMIF('Week 2 Roster'!$AZ:$AZ,$B142,'Week 2 Roster'!$AM:$AM))</f>
        <v>0</v>
      </c>
      <c r="AP142" s="17">
        <f ca="1">IF($A142=0,0,SUMIF('Week 2 Roster'!$AZ:$AZ,$B142,'Week 2 Roster'!$AO:$AO))</f>
        <v>0</v>
      </c>
      <c r="AQ142" s="38">
        <f ca="1">IF($A142=0,0,SUMIF('Week 2 Roster'!$AZ:$AZ,$B142,'Week 2 Roster'!$AP:$AP))</f>
        <v>0</v>
      </c>
      <c r="AR142" s="17">
        <f ca="1">IF($A142=0,0,SUMIF('Week 2 Roster'!$AZ:$AZ,$B142,'Week 2 Roster'!$AQ:$AQ))</f>
        <v>0</v>
      </c>
      <c r="AS142" s="17">
        <f ca="1">IF($A142=0,0,SUMIF('Week 2 Roster'!$AZ:$AZ,$B142,'Week 2 Roster'!$AR:$AR))</f>
        <v>0</v>
      </c>
      <c r="AT142" s="17">
        <f ca="1">IF($A142=0,0,SUMIF('Week 2 Roster'!$AZ:$AZ,$B142,'Week 2 Roster'!$AS:$AS))</f>
        <v>0</v>
      </c>
      <c r="AU142" s="17">
        <f t="shared" ca="1" si="53"/>
        <v>0</v>
      </c>
      <c r="AV142" s="17"/>
    </row>
    <row r="143" spans="1:48">
      <c r="A143" s="16" cm="1">
        <f t="array" aca="1" ref="A143" ca="1">_xlfn.NUMBERVALUE(INDIRECT(TEXT(MIN(IF(($AW$2:$AX$300&lt;&gt;"")*(COUNTIF($B$1:B142,$AW$2:$AX$300)=0),ROW($2:$300)*100+COLUMN($AW:$AX),7^8)),"R0C00"),)&amp;"")</f>
        <v>0</v>
      </c>
      <c r="B143" s="28" t="str">
        <f t="shared" ca="1" si="39"/>
        <v/>
      </c>
      <c r="C143" s="28" t="str">
        <f ca="1">IF($A143=0,"",VLOOKUP($B143,Employees!$A:$G,2,FALSE))</f>
        <v/>
      </c>
      <c r="D143" s="28" t="str">
        <f ca="1">IF($A143=0,"",VLOOKUP($B143,Employees!$A:$G,3,FALSE))</f>
        <v/>
      </c>
      <c r="E143" s="26" t="str">
        <f ca="1">IF($A143=0,"",VLOOKUP($B143,Employees!$A:$G,5,FALSE))</f>
        <v/>
      </c>
      <c r="F143" s="13" t="str">
        <f ca="1">IF($E143="","",ROUNDDOWN(YEARFRAC($E143, 'Week 1 Roster'!$D$1-1, 1), 0))</f>
        <v/>
      </c>
      <c r="G143" s="13" t="str">
        <f ca="1">IF($E143="","",ROUNDDOWN(YEARFRAC($E143, 'Week 1 Roster'!$D$1+14, 1), 0))</f>
        <v/>
      </c>
      <c r="H143" s="13" t="str">
        <f t="shared" ca="1" si="40"/>
        <v/>
      </c>
      <c r="I143" s="13" t="str">
        <f ca="1">IF($A143=0,"",VLOOKUP($B143,Employees!$A:$G,6,FALSE))</f>
        <v/>
      </c>
      <c r="J143" s="13" t="str">
        <f ca="1">IF($A143=0,"",VLOOKUP($B143,Employees!$A:$G,7,FALSE))</f>
        <v/>
      </c>
      <c r="K143" s="13" t="str">
        <f ca="1">IF($A143=0,"",IF(ISNA(VLOOKUP(A143,'Week 1 Roster'!A:C,2,0)),VLOOKUP(A143,'Week 2 Roster'!A:C,2,0),VLOOKUP(A143,'Week 1 Roster'!A:C,2,0)))</f>
        <v/>
      </c>
      <c r="L143" s="13" t="str">
        <f ca="1">IF($A143=0,"",VLOOKUP(K143,Stores!A:B,2,0))</f>
        <v/>
      </c>
      <c r="M143" s="14">
        <f t="shared" ca="1" si="41"/>
        <v>0</v>
      </c>
      <c r="N143" s="14">
        <f t="shared" ca="1" si="42"/>
        <v>0</v>
      </c>
      <c r="O143" s="14">
        <f t="shared" ca="1" si="43"/>
        <v>0</v>
      </c>
      <c r="P143" s="14">
        <f t="shared" ca="1" si="44"/>
        <v>0</v>
      </c>
      <c r="Q143" s="14">
        <f t="shared" ca="1" si="45"/>
        <v>0</v>
      </c>
      <c r="R143" s="14">
        <f t="shared" ca="1" si="46"/>
        <v>0</v>
      </c>
      <c r="S143" s="28">
        <f t="shared" ca="1" si="47"/>
        <v>0</v>
      </c>
      <c r="T143" s="14">
        <f t="shared" ca="1" si="48"/>
        <v>0</v>
      </c>
      <c r="U143" s="14">
        <f t="shared" ca="1" si="49"/>
        <v>0</v>
      </c>
      <c r="V143" s="14">
        <f t="shared" ca="1" si="50"/>
        <v>0</v>
      </c>
      <c r="W143" s="14">
        <f t="shared" ca="1" si="51"/>
        <v>0</v>
      </c>
      <c r="Y143" s="17">
        <f ca="1">IF($A143=0,0,SUMIF('Week 1 Roster'!$AZ:$AZ,$B143,'Week 1 Roster'!$AE:$AE))</f>
        <v>0</v>
      </c>
      <c r="Z143" s="17">
        <f ca="1">IF($A143=0,0,SUMIF('Week 1 Roster'!$AZ:$AZ,$B143,'Week 1 Roster'!$AG:$AG))</f>
        <v>0</v>
      </c>
      <c r="AA143" s="17">
        <f ca="1">IF($A143=0,0,SUMIF('Week 1 Roster'!$AZ:$AZ,$B143,'Week 1 Roster'!$AI:$AI))</f>
        <v>0</v>
      </c>
      <c r="AB143" s="17">
        <f ca="1">IF($A143=0,0,SUMIF('Week 1 Roster'!$AZ:$AZ,$B143,'Week 1 Roster'!$AK:$AK))</f>
        <v>0</v>
      </c>
      <c r="AC143" s="17">
        <f ca="1">IF($A143=0,0,SUMIF('Week 1 Roster'!$AZ:$AZ,$B143,'Week 1 Roster'!$AM:$AM))</f>
        <v>0</v>
      </c>
      <c r="AD143" s="17">
        <f ca="1">IF($A143=0,0,SUMIF('Week 1 Roster'!$AZ:$AZ,$B143,'Week 1 Roster'!$AO:$AO))</f>
        <v>0</v>
      </c>
      <c r="AE143" s="38">
        <f ca="1">IF($A143=0,0,SUMIF('Week 1 Roster'!$AZ:$AZ,$B143,'Week 1 Roster'!$AP:$AP))</f>
        <v>0</v>
      </c>
      <c r="AF143" s="17">
        <f ca="1">IF($A143=0,0,SUMIF('Week 1 Roster'!$AZ:$AZ,$B143,'Week 1 Roster'!$AQ:$AQ))</f>
        <v>0</v>
      </c>
      <c r="AG143" s="17">
        <f ca="1">IF($A143=0,0,SUMIF('Week 1 Roster'!$AZ:$AZ,$B143,'Week 1 Roster'!$AR:$AR))</f>
        <v>0</v>
      </c>
      <c r="AH143" s="17">
        <f ca="1">IF($A143=0,0,SUMIF('Week 1 Roster'!$AZ:$AZ,$B143,'Week 1 Roster'!$AS:$AS))</f>
        <v>0</v>
      </c>
      <c r="AI143" s="17">
        <f t="shared" ca="1" si="52"/>
        <v>0</v>
      </c>
      <c r="AK143" s="17">
        <f ca="1">IF($A143=0,0,SUMIF('Week 2 Roster'!$AZ:$AZ,$B143,'Week 2 Roster'!$AE:$AE))</f>
        <v>0</v>
      </c>
      <c r="AL143" s="17">
        <f ca="1">IF($A143=0,0,SUMIF('Week 2 Roster'!$AZ:$AZ,$B143,'Week 2 Roster'!$AG:$AG))</f>
        <v>0</v>
      </c>
      <c r="AM143" s="17">
        <f ca="1">IF($A143=0,0,SUMIF('Week 2 Roster'!$AZ:$AZ,$B143,'Week 2 Roster'!$AI:$AI))</f>
        <v>0</v>
      </c>
      <c r="AN143" s="17">
        <f ca="1">IF($A143=0,0,SUMIF('Week 2 Roster'!$AZ:$AZ,$B143,'Week 2 Roster'!$AK:$AK))</f>
        <v>0</v>
      </c>
      <c r="AO143" s="17">
        <f ca="1">IF($A143=0,0,SUMIF('Week 2 Roster'!$AZ:$AZ,$B143,'Week 2 Roster'!$AM:$AM))</f>
        <v>0</v>
      </c>
      <c r="AP143" s="17">
        <f ca="1">IF($A143=0,0,SUMIF('Week 2 Roster'!$AZ:$AZ,$B143,'Week 2 Roster'!$AO:$AO))</f>
        <v>0</v>
      </c>
      <c r="AQ143" s="38">
        <f ca="1">IF($A143=0,0,SUMIF('Week 2 Roster'!$AZ:$AZ,$B143,'Week 2 Roster'!$AP:$AP))</f>
        <v>0</v>
      </c>
      <c r="AR143" s="17">
        <f ca="1">IF($A143=0,0,SUMIF('Week 2 Roster'!$AZ:$AZ,$B143,'Week 2 Roster'!$AQ:$AQ))</f>
        <v>0</v>
      </c>
      <c r="AS143" s="17">
        <f ca="1">IF($A143=0,0,SUMIF('Week 2 Roster'!$AZ:$AZ,$B143,'Week 2 Roster'!$AR:$AR))</f>
        <v>0</v>
      </c>
      <c r="AT143" s="17">
        <f ca="1">IF($A143=0,0,SUMIF('Week 2 Roster'!$AZ:$AZ,$B143,'Week 2 Roster'!$AS:$AS))</f>
        <v>0</v>
      </c>
      <c r="AU143" s="17">
        <f t="shared" ca="1" si="53"/>
        <v>0</v>
      </c>
      <c r="AV143" s="17"/>
    </row>
    <row r="144" spans="1:48">
      <c r="A144" s="16" cm="1">
        <f t="array" aca="1" ref="A144" ca="1">_xlfn.NUMBERVALUE(INDIRECT(TEXT(MIN(IF(($AW$2:$AX$300&lt;&gt;"")*(COUNTIF($B$1:B143,$AW$2:$AX$300)=0),ROW($2:$300)*100+COLUMN($AW:$AX),7^8)),"R0C00"),)&amp;"")</f>
        <v>0</v>
      </c>
      <c r="B144" s="28" t="str">
        <f t="shared" ca="1" si="39"/>
        <v/>
      </c>
      <c r="C144" s="28" t="str">
        <f ca="1">IF($A144=0,"",VLOOKUP($B144,Employees!$A:$G,2,FALSE))</f>
        <v/>
      </c>
      <c r="D144" s="28" t="str">
        <f ca="1">IF($A144=0,"",VLOOKUP($B144,Employees!$A:$G,3,FALSE))</f>
        <v/>
      </c>
      <c r="E144" s="26" t="str">
        <f ca="1">IF($A144=0,"",VLOOKUP($B144,Employees!$A:$G,5,FALSE))</f>
        <v/>
      </c>
      <c r="F144" s="13" t="str">
        <f ca="1">IF($E144="","",ROUNDDOWN(YEARFRAC($E144, 'Week 1 Roster'!$D$1-1, 1), 0))</f>
        <v/>
      </c>
      <c r="G144" s="13" t="str">
        <f ca="1">IF($E144="","",ROUNDDOWN(YEARFRAC($E144, 'Week 1 Roster'!$D$1+14, 1), 0))</f>
        <v/>
      </c>
      <c r="H144" s="13" t="str">
        <f t="shared" ca="1" si="40"/>
        <v/>
      </c>
      <c r="I144" s="13" t="str">
        <f ca="1">IF($A144=0,"",VLOOKUP($B144,Employees!$A:$G,6,FALSE))</f>
        <v/>
      </c>
      <c r="J144" s="13" t="str">
        <f ca="1">IF($A144=0,"",VLOOKUP($B144,Employees!$A:$G,7,FALSE))</f>
        <v/>
      </c>
      <c r="K144" s="13" t="str">
        <f ca="1">IF($A144=0,"",IF(ISNA(VLOOKUP(A144,'Week 1 Roster'!A:C,2,0)),VLOOKUP(A144,'Week 2 Roster'!A:C,2,0),VLOOKUP(A144,'Week 1 Roster'!A:C,2,0)))</f>
        <v/>
      </c>
      <c r="L144" s="13" t="str">
        <f ca="1">IF($A144=0,"",VLOOKUP(K144,Stores!A:B,2,0))</f>
        <v/>
      </c>
      <c r="M144" s="14">
        <f t="shared" ca="1" si="41"/>
        <v>0</v>
      </c>
      <c r="N144" s="14">
        <f t="shared" ca="1" si="42"/>
        <v>0</v>
      </c>
      <c r="O144" s="14">
        <f t="shared" ca="1" si="43"/>
        <v>0</v>
      </c>
      <c r="P144" s="14">
        <f t="shared" ca="1" si="44"/>
        <v>0</v>
      </c>
      <c r="Q144" s="14">
        <f t="shared" ca="1" si="45"/>
        <v>0</v>
      </c>
      <c r="R144" s="14">
        <f t="shared" ca="1" si="46"/>
        <v>0</v>
      </c>
      <c r="S144" s="28">
        <f t="shared" ca="1" si="47"/>
        <v>0</v>
      </c>
      <c r="T144" s="14">
        <f t="shared" ca="1" si="48"/>
        <v>0</v>
      </c>
      <c r="U144" s="14">
        <f t="shared" ca="1" si="49"/>
        <v>0</v>
      </c>
      <c r="V144" s="14">
        <f t="shared" ca="1" si="50"/>
        <v>0</v>
      </c>
      <c r="W144" s="14">
        <f t="shared" ca="1" si="51"/>
        <v>0</v>
      </c>
      <c r="Y144" s="17">
        <f ca="1">IF($A144=0,0,SUMIF('Week 1 Roster'!$AZ:$AZ,$B144,'Week 1 Roster'!$AE:$AE))</f>
        <v>0</v>
      </c>
      <c r="Z144" s="17">
        <f ca="1">IF($A144=0,0,SUMIF('Week 1 Roster'!$AZ:$AZ,$B144,'Week 1 Roster'!$AG:$AG))</f>
        <v>0</v>
      </c>
      <c r="AA144" s="17">
        <f ca="1">IF($A144=0,0,SUMIF('Week 1 Roster'!$AZ:$AZ,$B144,'Week 1 Roster'!$AI:$AI))</f>
        <v>0</v>
      </c>
      <c r="AB144" s="17">
        <f ca="1">IF($A144=0,0,SUMIF('Week 1 Roster'!$AZ:$AZ,$B144,'Week 1 Roster'!$AK:$AK))</f>
        <v>0</v>
      </c>
      <c r="AC144" s="17">
        <f ca="1">IF($A144=0,0,SUMIF('Week 1 Roster'!$AZ:$AZ,$B144,'Week 1 Roster'!$AM:$AM))</f>
        <v>0</v>
      </c>
      <c r="AD144" s="17">
        <f ca="1">IF($A144=0,0,SUMIF('Week 1 Roster'!$AZ:$AZ,$B144,'Week 1 Roster'!$AO:$AO))</f>
        <v>0</v>
      </c>
      <c r="AE144" s="38">
        <f ca="1">IF($A144=0,0,SUMIF('Week 1 Roster'!$AZ:$AZ,$B144,'Week 1 Roster'!$AP:$AP))</f>
        <v>0</v>
      </c>
      <c r="AF144" s="17">
        <f ca="1">IF($A144=0,0,SUMIF('Week 1 Roster'!$AZ:$AZ,$B144,'Week 1 Roster'!$AQ:$AQ))</f>
        <v>0</v>
      </c>
      <c r="AG144" s="17">
        <f ca="1">IF($A144=0,0,SUMIF('Week 1 Roster'!$AZ:$AZ,$B144,'Week 1 Roster'!$AR:$AR))</f>
        <v>0</v>
      </c>
      <c r="AH144" s="17">
        <f ca="1">IF($A144=0,0,SUMIF('Week 1 Roster'!$AZ:$AZ,$B144,'Week 1 Roster'!$AS:$AS))</f>
        <v>0</v>
      </c>
      <c r="AI144" s="17">
        <f t="shared" ca="1" si="52"/>
        <v>0</v>
      </c>
      <c r="AK144" s="17">
        <f ca="1">IF($A144=0,0,SUMIF('Week 2 Roster'!$AZ:$AZ,$B144,'Week 2 Roster'!$AE:$AE))</f>
        <v>0</v>
      </c>
      <c r="AL144" s="17">
        <f ca="1">IF($A144=0,0,SUMIF('Week 2 Roster'!$AZ:$AZ,$B144,'Week 2 Roster'!$AG:$AG))</f>
        <v>0</v>
      </c>
      <c r="AM144" s="17">
        <f ca="1">IF($A144=0,0,SUMIF('Week 2 Roster'!$AZ:$AZ,$B144,'Week 2 Roster'!$AI:$AI))</f>
        <v>0</v>
      </c>
      <c r="AN144" s="17">
        <f ca="1">IF($A144=0,0,SUMIF('Week 2 Roster'!$AZ:$AZ,$B144,'Week 2 Roster'!$AK:$AK))</f>
        <v>0</v>
      </c>
      <c r="AO144" s="17">
        <f ca="1">IF($A144=0,0,SUMIF('Week 2 Roster'!$AZ:$AZ,$B144,'Week 2 Roster'!$AM:$AM))</f>
        <v>0</v>
      </c>
      <c r="AP144" s="17">
        <f ca="1">IF($A144=0,0,SUMIF('Week 2 Roster'!$AZ:$AZ,$B144,'Week 2 Roster'!$AO:$AO))</f>
        <v>0</v>
      </c>
      <c r="AQ144" s="38">
        <f ca="1">IF($A144=0,0,SUMIF('Week 2 Roster'!$AZ:$AZ,$B144,'Week 2 Roster'!$AP:$AP))</f>
        <v>0</v>
      </c>
      <c r="AR144" s="17">
        <f ca="1">IF($A144=0,0,SUMIF('Week 2 Roster'!$AZ:$AZ,$B144,'Week 2 Roster'!$AQ:$AQ))</f>
        <v>0</v>
      </c>
      <c r="AS144" s="17">
        <f ca="1">IF($A144=0,0,SUMIF('Week 2 Roster'!$AZ:$AZ,$B144,'Week 2 Roster'!$AR:$AR))</f>
        <v>0</v>
      </c>
      <c r="AT144" s="17">
        <f ca="1">IF($A144=0,0,SUMIF('Week 2 Roster'!$AZ:$AZ,$B144,'Week 2 Roster'!$AS:$AS))</f>
        <v>0</v>
      </c>
      <c r="AU144" s="17">
        <f t="shared" ca="1" si="53"/>
        <v>0</v>
      </c>
      <c r="AV144" s="17"/>
    </row>
    <row r="145" spans="1:48">
      <c r="A145" s="16" cm="1">
        <f t="array" aca="1" ref="A145" ca="1">_xlfn.NUMBERVALUE(INDIRECT(TEXT(MIN(IF(($AW$2:$AX$300&lt;&gt;"")*(COUNTIF($B$1:B144,$AW$2:$AX$300)=0),ROW($2:$300)*100+COLUMN($AW:$AX),7^8)),"R0C00"),)&amp;"")</f>
        <v>0</v>
      </c>
      <c r="B145" s="28" t="str">
        <f t="shared" ca="1" si="39"/>
        <v/>
      </c>
      <c r="C145" s="28" t="str">
        <f ca="1">IF($A145=0,"",VLOOKUP($B145,Employees!$A:$G,2,FALSE))</f>
        <v/>
      </c>
      <c r="D145" s="28" t="str">
        <f ca="1">IF($A145=0,"",VLOOKUP($B145,Employees!$A:$G,3,FALSE))</f>
        <v/>
      </c>
      <c r="E145" s="26" t="str">
        <f ca="1">IF($A145=0,"",VLOOKUP($B145,Employees!$A:$G,5,FALSE))</f>
        <v/>
      </c>
      <c r="F145" s="13" t="str">
        <f ca="1">IF($E145="","",ROUNDDOWN(YEARFRAC($E145, 'Week 1 Roster'!$D$1-1, 1), 0))</f>
        <v/>
      </c>
      <c r="G145" s="13" t="str">
        <f ca="1">IF($E145="","",ROUNDDOWN(YEARFRAC($E145, 'Week 1 Roster'!$D$1+14, 1), 0))</f>
        <v/>
      </c>
      <c r="H145" s="13" t="str">
        <f t="shared" ca="1" si="40"/>
        <v/>
      </c>
      <c r="I145" s="13" t="str">
        <f ca="1">IF($A145=0,"",VLOOKUP($B145,Employees!$A:$G,6,FALSE))</f>
        <v/>
      </c>
      <c r="J145" s="13" t="str">
        <f ca="1">IF($A145=0,"",VLOOKUP($B145,Employees!$A:$G,7,FALSE))</f>
        <v/>
      </c>
      <c r="K145" s="13" t="str">
        <f ca="1">IF($A145=0,"",IF(ISNA(VLOOKUP(A145,'Week 1 Roster'!A:C,2,0)),VLOOKUP(A145,'Week 2 Roster'!A:C,2,0),VLOOKUP(A145,'Week 1 Roster'!A:C,2,0)))</f>
        <v/>
      </c>
      <c r="L145" s="13" t="str">
        <f ca="1">IF($A145=0,"",VLOOKUP(K145,Stores!A:B,2,0))</f>
        <v/>
      </c>
      <c r="M145" s="14">
        <f t="shared" ca="1" si="41"/>
        <v>0</v>
      </c>
      <c r="N145" s="14">
        <f t="shared" ca="1" si="42"/>
        <v>0</v>
      </c>
      <c r="O145" s="14">
        <f t="shared" ca="1" si="43"/>
        <v>0</v>
      </c>
      <c r="P145" s="14">
        <f t="shared" ca="1" si="44"/>
        <v>0</v>
      </c>
      <c r="Q145" s="14">
        <f t="shared" ca="1" si="45"/>
        <v>0</v>
      </c>
      <c r="R145" s="14">
        <f t="shared" ca="1" si="46"/>
        <v>0</v>
      </c>
      <c r="S145" s="28">
        <f t="shared" ca="1" si="47"/>
        <v>0</v>
      </c>
      <c r="T145" s="14">
        <f t="shared" ca="1" si="48"/>
        <v>0</v>
      </c>
      <c r="U145" s="14">
        <f t="shared" ca="1" si="49"/>
        <v>0</v>
      </c>
      <c r="V145" s="14">
        <f t="shared" ca="1" si="50"/>
        <v>0</v>
      </c>
      <c r="W145" s="14">
        <f t="shared" ca="1" si="51"/>
        <v>0</v>
      </c>
      <c r="Y145" s="17">
        <f ca="1">IF($A145=0,0,SUMIF('Week 1 Roster'!$AZ:$AZ,$B145,'Week 1 Roster'!$AE:$AE))</f>
        <v>0</v>
      </c>
      <c r="Z145" s="17">
        <f ca="1">IF($A145=0,0,SUMIF('Week 1 Roster'!$AZ:$AZ,$B145,'Week 1 Roster'!$AG:$AG))</f>
        <v>0</v>
      </c>
      <c r="AA145" s="17">
        <f ca="1">IF($A145=0,0,SUMIF('Week 1 Roster'!$AZ:$AZ,$B145,'Week 1 Roster'!$AI:$AI))</f>
        <v>0</v>
      </c>
      <c r="AB145" s="17">
        <f ca="1">IF($A145=0,0,SUMIF('Week 1 Roster'!$AZ:$AZ,$B145,'Week 1 Roster'!$AK:$AK))</f>
        <v>0</v>
      </c>
      <c r="AC145" s="17">
        <f ca="1">IF($A145=0,0,SUMIF('Week 1 Roster'!$AZ:$AZ,$B145,'Week 1 Roster'!$AM:$AM))</f>
        <v>0</v>
      </c>
      <c r="AD145" s="17">
        <f ca="1">IF($A145=0,0,SUMIF('Week 1 Roster'!$AZ:$AZ,$B145,'Week 1 Roster'!$AO:$AO))</f>
        <v>0</v>
      </c>
      <c r="AE145" s="38">
        <f ca="1">IF($A145=0,0,SUMIF('Week 1 Roster'!$AZ:$AZ,$B145,'Week 1 Roster'!$AP:$AP))</f>
        <v>0</v>
      </c>
      <c r="AF145" s="17">
        <f ca="1">IF($A145=0,0,SUMIF('Week 1 Roster'!$AZ:$AZ,$B145,'Week 1 Roster'!$AQ:$AQ))</f>
        <v>0</v>
      </c>
      <c r="AG145" s="17">
        <f ca="1">IF($A145=0,0,SUMIF('Week 1 Roster'!$AZ:$AZ,$B145,'Week 1 Roster'!$AR:$AR))</f>
        <v>0</v>
      </c>
      <c r="AH145" s="17">
        <f ca="1">IF($A145=0,0,SUMIF('Week 1 Roster'!$AZ:$AZ,$B145,'Week 1 Roster'!$AS:$AS))</f>
        <v>0</v>
      </c>
      <c r="AI145" s="17">
        <f t="shared" ca="1" si="52"/>
        <v>0</v>
      </c>
      <c r="AK145" s="17">
        <f ca="1">IF($A145=0,0,SUMIF('Week 2 Roster'!$AZ:$AZ,$B145,'Week 2 Roster'!$AE:$AE))</f>
        <v>0</v>
      </c>
      <c r="AL145" s="17">
        <f ca="1">IF($A145=0,0,SUMIF('Week 2 Roster'!$AZ:$AZ,$B145,'Week 2 Roster'!$AG:$AG))</f>
        <v>0</v>
      </c>
      <c r="AM145" s="17">
        <f ca="1">IF($A145=0,0,SUMIF('Week 2 Roster'!$AZ:$AZ,$B145,'Week 2 Roster'!$AI:$AI))</f>
        <v>0</v>
      </c>
      <c r="AN145" s="17">
        <f ca="1">IF($A145=0,0,SUMIF('Week 2 Roster'!$AZ:$AZ,$B145,'Week 2 Roster'!$AK:$AK))</f>
        <v>0</v>
      </c>
      <c r="AO145" s="17">
        <f ca="1">IF($A145=0,0,SUMIF('Week 2 Roster'!$AZ:$AZ,$B145,'Week 2 Roster'!$AM:$AM))</f>
        <v>0</v>
      </c>
      <c r="AP145" s="17">
        <f ca="1">IF($A145=0,0,SUMIF('Week 2 Roster'!$AZ:$AZ,$B145,'Week 2 Roster'!$AO:$AO))</f>
        <v>0</v>
      </c>
      <c r="AQ145" s="38">
        <f ca="1">IF($A145=0,0,SUMIF('Week 2 Roster'!$AZ:$AZ,$B145,'Week 2 Roster'!$AP:$AP))</f>
        <v>0</v>
      </c>
      <c r="AR145" s="17">
        <f ca="1">IF($A145=0,0,SUMIF('Week 2 Roster'!$AZ:$AZ,$B145,'Week 2 Roster'!$AQ:$AQ))</f>
        <v>0</v>
      </c>
      <c r="AS145" s="17">
        <f ca="1">IF($A145=0,0,SUMIF('Week 2 Roster'!$AZ:$AZ,$B145,'Week 2 Roster'!$AR:$AR))</f>
        <v>0</v>
      </c>
      <c r="AT145" s="17">
        <f ca="1">IF($A145=0,0,SUMIF('Week 2 Roster'!$AZ:$AZ,$B145,'Week 2 Roster'!$AS:$AS))</f>
        <v>0</v>
      </c>
      <c r="AU145" s="17">
        <f t="shared" ca="1" si="53"/>
        <v>0</v>
      </c>
      <c r="AV145" s="17"/>
    </row>
    <row r="146" spans="1:48">
      <c r="A146" s="16" cm="1">
        <f t="array" aca="1" ref="A146" ca="1">_xlfn.NUMBERVALUE(INDIRECT(TEXT(MIN(IF(($AW$2:$AX$300&lt;&gt;"")*(COUNTIF($B$1:B145,$AW$2:$AX$300)=0),ROW($2:$300)*100+COLUMN($AW:$AX),7^8)),"R0C00"),)&amp;"")</f>
        <v>0</v>
      </c>
      <c r="B146" s="28" t="str">
        <f t="shared" ca="1" si="39"/>
        <v/>
      </c>
      <c r="C146" s="28" t="str">
        <f ca="1">IF($A146=0,"",VLOOKUP($B146,Employees!$A:$G,2,FALSE))</f>
        <v/>
      </c>
      <c r="D146" s="28" t="str">
        <f ca="1">IF($A146=0,"",VLOOKUP($B146,Employees!$A:$G,3,FALSE))</f>
        <v/>
      </c>
      <c r="E146" s="26" t="str">
        <f ca="1">IF($A146=0,"",VLOOKUP($B146,Employees!$A:$G,5,FALSE))</f>
        <v/>
      </c>
      <c r="F146" s="13" t="str">
        <f ca="1">IF($E146="","",ROUNDDOWN(YEARFRAC($E146, 'Week 1 Roster'!$D$1-1, 1), 0))</f>
        <v/>
      </c>
      <c r="G146" s="13" t="str">
        <f ca="1">IF($E146="","",ROUNDDOWN(YEARFRAC($E146, 'Week 1 Roster'!$D$1+14, 1), 0))</f>
        <v/>
      </c>
      <c r="H146" s="13" t="str">
        <f t="shared" ca="1" si="40"/>
        <v/>
      </c>
      <c r="I146" s="13" t="str">
        <f ca="1">IF($A146=0,"",VLOOKUP($B146,Employees!$A:$G,6,FALSE))</f>
        <v/>
      </c>
      <c r="J146" s="13" t="str">
        <f ca="1">IF($A146=0,"",VLOOKUP($B146,Employees!$A:$G,7,FALSE))</f>
        <v/>
      </c>
      <c r="K146" s="13" t="str">
        <f ca="1">IF($A146=0,"",IF(ISNA(VLOOKUP(A146,'Week 1 Roster'!A:C,2,0)),VLOOKUP(A146,'Week 2 Roster'!A:C,2,0),VLOOKUP(A146,'Week 1 Roster'!A:C,2,0)))</f>
        <v/>
      </c>
      <c r="L146" s="13" t="str">
        <f ca="1">IF($A146=0,"",VLOOKUP(K146,Stores!A:B,2,0))</f>
        <v/>
      </c>
      <c r="M146" s="14">
        <f t="shared" ca="1" si="41"/>
        <v>0</v>
      </c>
      <c r="N146" s="14">
        <f t="shared" ca="1" si="42"/>
        <v>0</v>
      </c>
      <c r="O146" s="14">
        <f t="shared" ca="1" si="43"/>
        <v>0</v>
      </c>
      <c r="P146" s="14">
        <f t="shared" ca="1" si="44"/>
        <v>0</v>
      </c>
      <c r="Q146" s="14">
        <f t="shared" ca="1" si="45"/>
        <v>0</v>
      </c>
      <c r="R146" s="14">
        <f t="shared" ca="1" si="46"/>
        <v>0</v>
      </c>
      <c r="S146" s="28">
        <f t="shared" ca="1" si="47"/>
        <v>0</v>
      </c>
      <c r="T146" s="14">
        <f t="shared" ca="1" si="48"/>
        <v>0</v>
      </c>
      <c r="U146" s="14">
        <f t="shared" ca="1" si="49"/>
        <v>0</v>
      </c>
      <c r="V146" s="14">
        <f t="shared" ca="1" si="50"/>
        <v>0</v>
      </c>
      <c r="W146" s="14">
        <f t="shared" ca="1" si="51"/>
        <v>0</v>
      </c>
      <c r="Y146" s="17">
        <f ca="1">IF($A146=0,0,SUMIF('Week 1 Roster'!$AZ:$AZ,$B146,'Week 1 Roster'!$AE:$AE))</f>
        <v>0</v>
      </c>
      <c r="Z146" s="17">
        <f ca="1">IF($A146=0,0,SUMIF('Week 1 Roster'!$AZ:$AZ,$B146,'Week 1 Roster'!$AG:$AG))</f>
        <v>0</v>
      </c>
      <c r="AA146" s="17">
        <f ca="1">IF($A146=0,0,SUMIF('Week 1 Roster'!$AZ:$AZ,$B146,'Week 1 Roster'!$AI:$AI))</f>
        <v>0</v>
      </c>
      <c r="AB146" s="17">
        <f ca="1">IF($A146=0,0,SUMIF('Week 1 Roster'!$AZ:$AZ,$B146,'Week 1 Roster'!$AK:$AK))</f>
        <v>0</v>
      </c>
      <c r="AC146" s="17">
        <f ca="1">IF($A146=0,0,SUMIF('Week 1 Roster'!$AZ:$AZ,$B146,'Week 1 Roster'!$AM:$AM))</f>
        <v>0</v>
      </c>
      <c r="AD146" s="17">
        <f ca="1">IF($A146=0,0,SUMIF('Week 1 Roster'!$AZ:$AZ,$B146,'Week 1 Roster'!$AO:$AO))</f>
        <v>0</v>
      </c>
      <c r="AE146" s="38">
        <f ca="1">IF($A146=0,0,SUMIF('Week 1 Roster'!$AZ:$AZ,$B146,'Week 1 Roster'!$AP:$AP))</f>
        <v>0</v>
      </c>
      <c r="AF146" s="17">
        <f ca="1">IF($A146=0,0,SUMIF('Week 1 Roster'!$AZ:$AZ,$B146,'Week 1 Roster'!$AQ:$AQ))</f>
        <v>0</v>
      </c>
      <c r="AG146" s="17">
        <f ca="1">IF($A146=0,0,SUMIF('Week 1 Roster'!$AZ:$AZ,$B146,'Week 1 Roster'!$AR:$AR))</f>
        <v>0</v>
      </c>
      <c r="AH146" s="17">
        <f ca="1">IF($A146=0,0,SUMIF('Week 1 Roster'!$AZ:$AZ,$B146,'Week 1 Roster'!$AS:$AS))</f>
        <v>0</v>
      </c>
      <c r="AI146" s="17">
        <f t="shared" ca="1" si="52"/>
        <v>0</v>
      </c>
      <c r="AK146" s="17">
        <f ca="1">IF($A146=0,0,SUMIF('Week 2 Roster'!$AZ:$AZ,$B146,'Week 2 Roster'!$AE:$AE))</f>
        <v>0</v>
      </c>
      <c r="AL146" s="17">
        <f ca="1">IF($A146=0,0,SUMIF('Week 2 Roster'!$AZ:$AZ,$B146,'Week 2 Roster'!$AG:$AG))</f>
        <v>0</v>
      </c>
      <c r="AM146" s="17">
        <f ca="1">IF($A146=0,0,SUMIF('Week 2 Roster'!$AZ:$AZ,$B146,'Week 2 Roster'!$AI:$AI))</f>
        <v>0</v>
      </c>
      <c r="AN146" s="17">
        <f ca="1">IF($A146=0,0,SUMIF('Week 2 Roster'!$AZ:$AZ,$B146,'Week 2 Roster'!$AK:$AK))</f>
        <v>0</v>
      </c>
      <c r="AO146" s="17">
        <f ca="1">IF($A146=0,0,SUMIF('Week 2 Roster'!$AZ:$AZ,$B146,'Week 2 Roster'!$AM:$AM))</f>
        <v>0</v>
      </c>
      <c r="AP146" s="17">
        <f ca="1">IF($A146=0,0,SUMIF('Week 2 Roster'!$AZ:$AZ,$B146,'Week 2 Roster'!$AO:$AO))</f>
        <v>0</v>
      </c>
      <c r="AQ146" s="38">
        <f ca="1">IF($A146=0,0,SUMIF('Week 2 Roster'!$AZ:$AZ,$B146,'Week 2 Roster'!$AP:$AP))</f>
        <v>0</v>
      </c>
      <c r="AR146" s="17">
        <f ca="1">IF($A146=0,0,SUMIF('Week 2 Roster'!$AZ:$AZ,$B146,'Week 2 Roster'!$AQ:$AQ))</f>
        <v>0</v>
      </c>
      <c r="AS146" s="17">
        <f ca="1">IF($A146=0,0,SUMIF('Week 2 Roster'!$AZ:$AZ,$B146,'Week 2 Roster'!$AR:$AR))</f>
        <v>0</v>
      </c>
      <c r="AT146" s="17">
        <f ca="1">IF($A146=0,0,SUMIF('Week 2 Roster'!$AZ:$AZ,$B146,'Week 2 Roster'!$AS:$AS))</f>
        <v>0</v>
      </c>
      <c r="AU146" s="17">
        <f t="shared" ca="1" si="53"/>
        <v>0</v>
      </c>
      <c r="AV146" s="17"/>
    </row>
    <row r="147" spans="1:48">
      <c r="A147" s="16" cm="1">
        <f t="array" aca="1" ref="A147" ca="1">_xlfn.NUMBERVALUE(INDIRECT(TEXT(MIN(IF(($AW$2:$AX$300&lt;&gt;"")*(COUNTIF($B$1:B146,$AW$2:$AX$300)=0),ROW($2:$300)*100+COLUMN($AW:$AX),7^8)),"R0C00"),)&amp;"")</f>
        <v>0</v>
      </c>
      <c r="B147" s="28" t="str">
        <f t="shared" ca="1" si="39"/>
        <v/>
      </c>
      <c r="C147" s="28" t="str">
        <f ca="1">IF($A147=0,"",VLOOKUP($B147,Employees!$A:$G,2,FALSE))</f>
        <v/>
      </c>
      <c r="D147" s="28" t="str">
        <f ca="1">IF($A147=0,"",VLOOKUP($B147,Employees!$A:$G,3,FALSE))</f>
        <v/>
      </c>
      <c r="E147" s="26" t="str">
        <f ca="1">IF($A147=0,"",VLOOKUP($B147,Employees!$A:$G,5,FALSE))</f>
        <v/>
      </c>
      <c r="F147" s="13" t="str">
        <f ca="1">IF($E147="","",ROUNDDOWN(YEARFRAC($E147, 'Week 1 Roster'!$D$1-1, 1), 0))</f>
        <v/>
      </c>
      <c r="G147" s="13" t="str">
        <f ca="1">IF($E147="","",ROUNDDOWN(YEARFRAC($E147, 'Week 1 Roster'!$D$1+14, 1), 0))</f>
        <v/>
      </c>
      <c r="H147" s="13" t="str">
        <f t="shared" ca="1" si="40"/>
        <v/>
      </c>
      <c r="I147" s="13" t="str">
        <f ca="1">IF($A147=0,"",VLOOKUP($B147,Employees!$A:$G,6,FALSE))</f>
        <v/>
      </c>
      <c r="J147" s="13" t="str">
        <f ca="1">IF($A147=0,"",VLOOKUP($B147,Employees!$A:$G,7,FALSE))</f>
        <v/>
      </c>
      <c r="K147" s="13" t="str">
        <f ca="1">IF($A147=0,"",IF(ISNA(VLOOKUP(A147,'Week 1 Roster'!A:C,2,0)),VLOOKUP(A147,'Week 2 Roster'!A:C,2,0),VLOOKUP(A147,'Week 1 Roster'!A:C,2,0)))</f>
        <v/>
      </c>
      <c r="L147" s="13" t="str">
        <f ca="1">IF($A147=0,"",VLOOKUP(K147,Stores!A:B,2,0))</f>
        <v/>
      </c>
      <c r="M147" s="14">
        <f t="shared" ca="1" si="41"/>
        <v>0</v>
      </c>
      <c r="N147" s="14">
        <f t="shared" ca="1" si="42"/>
        <v>0</v>
      </c>
      <c r="O147" s="14">
        <f t="shared" ca="1" si="43"/>
        <v>0</v>
      </c>
      <c r="P147" s="14">
        <f t="shared" ca="1" si="44"/>
        <v>0</v>
      </c>
      <c r="Q147" s="14">
        <f t="shared" ca="1" si="45"/>
        <v>0</v>
      </c>
      <c r="R147" s="14">
        <f t="shared" ca="1" si="46"/>
        <v>0</v>
      </c>
      <c r="S147" s="28">
        <f t="shared" ca="1" si="47"/>
        <v>0</v>
      </c>
      <c r="T147" s="14">
        <f t="shared" ca="1" si="48"/>
        <v>0</v>
      </c>
      <c r="U147" s="14">
        <f t="shared" ca="1" si="49"/>
        <v>0</v>
      </c>
      <c r="V147" s="14">
        <f t="shared" ca="1" si="50"/>
        <v>0</v>
      </c>
      <c r="W147" s="14">
        <f t="shared" ca="1" si="51"/>
        <v>0</v>
      </c>
      <c r="Y147" s="17">
        <f ca="1">IF($A147=0,0,SUMIF('Week 1 Roster'!$AZ:$AZ,$B147,'Week 1 Roster'!$AE:$AE))</f>
        <v>0</v>
      </c>
      <c r="Z147" s="17">
        <f ca="1">IF($A147=0,0,SUMIF('Week 1 Roster'!$AZ:$AZ,$B147,'Week 1 Roster'!$AG:$AG))</f>
        <v>0</v>
      </c>
      <c r="AA147" s="17">
        <f ca="1">IF($A147=0,0,SUMIF('Week 1 Roster'!$AZ:$AZ,$B147,'Week 1 Roster'!$AI:$AI))</f>
        <v>0</v>
      </c>
      <c r="AB147" s="17">
        <f ca="1">IF($A147=0,0,SUMIF('Week 1 Roster'!$AZ:$AZ,$B147,'Week 1 Roster'!$AK:$AK))</f>
        <v>0</v>
      </c>
      <c r="AC147" s="17">
        <f ca="1">IF($A147=0,0,SUMIF('Week 1 Roster'!$AZ:$AZ,$B147,'Week 1 Roster'!$AM:$AM))</f>
        <v>0</v>
      </c>
      <c r="AD147" s="17">
        <f ca="1">IF($A147=0,0,SUMIF('Week 1 Roster'!$AZ:$AZ,$B147,'Week 1 Roster'!$AO:$AO))</f>
        <v>0</v>
      </c>
      <c r="AE147" s="38">
        <f ca="1">IF($A147=0,0,SUMIF('Week 1 Roster'!$AZ:$AZ,$B147,'Week 1 Roster'!$AP:$AP))</f>
        <v>0</v>
      </c>
      <c r="AF147" s="17">
        <f ca="1">IF($A147=0,0,SUMIF('Week 1 Roster'!$AZ:$AZ,$B147,'Week 1 Roster'!$AQ:$AQ))</f>
        <v>0</v>
      </c>
      <c r="AG147" s="17">
        <f ca="1">IF($A147=0,0,SUMIF('Week 1 Roster'!$AZ:$AZ,$B147,'Week 1 Roster'!$AR:$AR))</f>
        <v>0</v>
      </c>
      <c r="AH147" s="17">
        <f ca="1">IF($A147=0,0,SUMIF('Week 1 Roster'!$AZ:$AZ,$B147,'Week 1 Roster'!$AS:$AS))</f>
        <v>0</v>
      </c>
      <c r="AI147" s="17">
        <f t="shared" ca="1" si="52"/>
        <v>0</v>
      </c>
      <c r="AK147" s="17">
        <f ca="1">IF($A147=0,0,SUMIF('Week 2 Roster'!$AZ:$AZ,$B147,'Week 2 Roster'!$AE:$AE))</f>
        <v>0</v>
      </c>
      <c r="AL147" s="17">
        <f ca="1">IF($A147=0,0,SUMIF('Week 2 Roster'!$AZ:$AZ,$B147,'Week 2 Roster'!$AG:$AG))</f>
        <v>0</v>
      </c>
      <c r="AM147" s="17">
        <f ca="1">IF($A147=0,0,SUMIF('Week 2 Roster'!$AZ:$AZ,$B147,'Week 2 Roster'!$AI:$AI))</f>
        <v>0</v>
      </c>
      <c r="AN147" s="17">
        <f ca="1">IF($A147=0,0,SUMIF('Week 2 Roster'!$AZ:$AZ,$B147,'Week 2 Roster'!$AK:$AK))</f>
        <v>0</v>
      </c>
      <c r="AO147" s="17">
        <f ca="1">IF($A147=0,0,SUMIF('Week 2 Roster'!$AZ:$AZ,$B147,'Week 2 Roster'!$AM:$AM))</f>
        <v>0</v>
      </c>
      <c r="AP147" s="17">
        <f ca="1">IF($A147=0,0,SUMIF('Week 2 Roster'!$AZ:$AZ,$B147,'Week 2 Roster'!$AO:$AO))</f>
        <v>0</v>
      </c>
      <c r="AQ147" s="38">
        <f ca="1">IF($A147=0,0,SUMIF('Week 2 Roster'!$AZ:$AZ,$B147,'Week 2 Roster'!$AP:$AP))</f>
        <v>0</v>
      </c>
      <c r="AR147" s="17">
        <f ca="1">IF($A147=0,0,SUMIF('Week 2 Roster'!$AZ:$AZ,$B147,'Week 2 Roster'!$AQ:$AQ))</f>
        <v>0</v>
      </c>
      <c r="AS147" s="17">
        <f ca="1">IF($A147=0,0,SUMIF('Week 2 Roster'!$AZ:$AZ,$B147,'Week 2 Roster'!$AR:$AR))</f>
        <v>0</v>
      </c>
      <c r="AT147" s="17">
        <f ca="1">IF($A147=0,0,SUMIF('Week 2 Roster'!$AZ:$AZ,$B147,'Week 2 Roster'!$AS:$AS))</f>
        <v>0</v>
      </c>
      <c r="AU147" s="17">
        <f t="shared" ca="1" si="53"/>
        <v>0</v>
      </c>
      <c r="AV147" s="17"/>
    </row>
    <row r="148" spans="1:48">
      <c r="A148" s="16" cm="1">
        <f t="array" aca="1" ref="A148" ca="1">_xlfn.NUMBERVALUE(INDIRECT(TEXT(MIN(IF(($AW$2:$AX$300&lt;&gt;"")*(COUNTIF($B$1:B147,$AW$2:$AX$300)=0),ROW($2:$300)*100+COLUMN($AW:$AX),7^8)),"R0C00"),)&amp;"")</f>
        <v>0</v>
      </c>
      <c r="B148" s="28" t="str">
        <f t="shared" ca="1" si="39"/>
        <v/>
      </c>
      <c r="C148" s="28" t="str">
        <f ca="1">IF($A148=0,"",VLOOKUP($B148,Employees!$A:$G,2,FALSE))</f>
        <v/>
      </c>
      <c r="D148" s="28" t="str">
        <f ca="1">IF($A148=0,"",VLOOKUP($B148,Employees!$A:$G,3,FALSE))</f>
        <v/>
      </c>
      <c r="E148" s="26" t="str">
        <f ca="1">IF($A148=0,"",VLOOKUP($B148,Employees!$A:$G,5,FALSE))</f>
        <v/>
      </c>
      <c r="F148" s="13" t="str">
        <f ca="1">IF($E148="","",ROUNDDOWN(YEARFRAC($E148, 'Week 1 Roster'!$D$1-1, 1), 0))</f>
        <v/>
      </c>
      <c r="G148" s="13" t="str">
        <f ca="1">IF($E148="","",ROUNDDOWN(YEARFRAC($E148, 'Week 1 Roster'!$D$1+14, 1), 0))</f>
        <v/>
      </c>
      <c r="H148" s="13" t="str">
        <f t="shared" ca="1" si="40"/>
        <v/>
      </c>
      <c r="I148" s="13" t="str">
        <f ca="1">IF($A148=0,"",VLOOKUP($B148,Employees!$A:$G,6,FALSE))</f>
        <v/>
      </c>
      <c r="J148" s="13" t="str">
        <f ca="1">IF($A148=0,"",VLOOKUP($B148,Employees!$A:$G,7,FALSE))</f>
        <v/>
      </c>
      <c r="K148" s="13" t="str">
        <f ca="1">IF($A148=0,"",IF(ISNA(VLOOKUP(A148,'Week 1 Roster'!A:C,2,0)),VLOOKUP(A148,'Week 2 Roster'!A:C,2,0),VLOOKUP(A148,'Week 1 Roster'!A:C,2,0)))</f>
        <v/>
      </c>
      <c r="L148" s="13" t="str">
        <f ca="1">IF($A148=0,"",VLOOKUP(K148,Stores!A:B,2,0))</f>
        <v/>
      </c>
      <c r="M148" s="14">
        <f t="shared" ca="1" si="41"/>
        <v>0</v>
      </c>
      <c r="N148" s="14">
        <f t="shared" ca="1" si="42"/>
        <v>0</v>
      </c>
      <c r="O148" s="14">
        <f t="shared" ca="1" si="43"/>
        <v>0</v>
      </c>
      <c r="P148" s="14">
        <f t="shared" ca="1" si="44"/>
        <v>0</v>
      </c>
      <c r="Q148" s="14">
        <f t="shared" ca="1" si="45"/>
        <v>0</v>
      </c>
      <c r="R148" s="14">
        <f t="shared" ca="1" si="46"/>
        <v>0</v>
      </c>
      <c r="S148" s="28">
        <f t="shared" ca="1" si="47"/>
        <v>0</v>
      </c>
      <c r="T148" s="14">
        <f t="shared" ca="1" si="48"/>
        <v>0</v>
      </c>
      <c r="U148" s="14">
        <f t="shared" ca="1" si="49"/>
        <v>0</v>
      </c>
      <c r="V148" s="14">
        <f t="shared" ca="1" si="50"/>
        <v>0</v>
      </c>
      <c r="W148" s="14">
        <f t="shared" ca="1" si="51"/>
        <v>0</v>
      </c>
      <c r="Y148" s="17">
        <f ca="1">IF($A148=0,0,SUMIF('Week 1 Roster'!$AZ:$AZ,$B148,'Week 1 Roster'!$AE:$AE))</f>
        <v>0</v>
      </c>
      <c r="Z148" s="17">
        <f ca="1">IF($A148=0,0,SUMIF('Week 1 Roster'!$AZ:$AZ,$B148,'Week 1 Roster'!$AG:$AG))</f>
        <v>0</v>
      </c>
      <c r="AA148" s="17">
        <f ca="1">IF($A148=0,0,SUMIF('Week 1 Roster'!$AZ:$AZ,$B148,'Week 1 Roster'!$AI:$AI))</f>
        <v>0</v>
      </c>
      <c r="AB148" s="17">
        <f ca="1">IF($A148=0,0,SUMIF('Week 1 Roster'!$AZ:$AZ,$B148,'Week 1 Roster'!$AK:$AK))</f>
        <v>0</v>
      </c>
      <c r="AC148" s="17">
        <f ca="1">IF($A148=0,0,SUMIF('Week 1 Roster'!$AZ:$AZ,$B148,'Week 1 Roster'!$AM:$AM))</f>
        <v>0</v>
      </c>
      <c r="AD148" s="17">
        <f ca="1">IF($A148=0,0,SUMIF('Week 1 Roster'!$AZ:$AZ,$B148,'Week 1 Roster'!$AO:$AO))</f>
        <v>0</v>
      </c>
      <c r="AE148" s="38">
        <f ca="1">IF($A148=0,0,SUMIF('Week 1 Roster'!$AZ:$AZ,$B148,'Week 1 Roster'!$AP:$AP))</f>
        <v>0</v>
      </c>
      <c r="AF148" s="17">
        <f ca="1">IF($A148=0,0,SUMIF('Week 1 Roster'!$AZ:$AZ,$B148,'Week 1 Roster'!$AQ:$AQ))</f>
        <v>0</v>
      </c>
      <c r="AG148" s="17">
        <f ca="1">IF($A148=0,0,SUMIF('Week 1 Roster'!$AZ:$AZ,$B148,'Week 1 Roster'!$AR:$AR))</f>
        <v>0</v>
      </c>
      <c r="AH148" s="17">
        <f ca="1">IF($A148=0,0,SUMIF('Week 1 Roster'!$AZ:$AZ,$B148,'Week 1 Roster'!$AS:$AS))</f>
        <v>0</v>
      </c>
      <c r="AI148" s="17">
        <f t="shared" ca="1" si="52"/>
        <v>0</v>
      </c>
      <c r="AK148" s="17">
        <f ca="1">IF($A148=0,0,SUMIF('Week 2 Roster'!$AZ:$AZ,$B148,'Week 2 Roster'!$AE:$AE))</f>
        <v>0</v>
      </c>
      <c r="AL148" s="17">
        <f ca="1">IF($A148=0,0,SUMIF('Week 2 Roster'!$AZ:$AZ,$B148,'Week 2 Roster'!$AG:$AG))</f>
        <v>0</v>
      </c>
      <c r="AM148" s="17">
        <f ca="1">IF($A148=0,0,SUMIF('Week 2 Roster'!$AZ:$AZ,$B148,'Week 2 Roster'!$AI:$AI))</f>
        <v>0</v>
      </c>
      <c r="AN148" s="17">
        <f ca="1">IF($A148=0,0,SUMIF('Week 2 Roster'!$AZ:$AZ,$B148,'Week 2 Roster'!$AK:$AK))</f>
        <v>0</v>
      </c>
      <c r="AO148" s="17">
        <f ca="1">IF($A148=0,0,SUMIF('Week 2 Roster'!$AZ:$AZ,$B148,'Week 2 Roster'!$AM:$AM))</f>
        <v>0</v>
      </c>
      <c r="AP148" s="17">
        <f ca="1">IF($A148=0,0,SUMIF('Week 2 Roster'!$AZ:$AZ,$B148,'Week 2 Roster'!$AO:$AO))</f>
        <v>0</v>
      </c>
      <c r="AQ148" s="38">
        <f ca="1">IF($A148=0,0,SUMIF('Week 2 Roster'!$AZ:$AZ,$B148,'Week 2 Roster'!$AP:$AP))</f>
        <v>0</v>
      </c>
      <c r="AR148" s="17">
        <f ca="1">IF($A148=0,0,SUMIF('Week 2 Roster'!$AZ:$AZ,$B148,'Week 2 Roster'!$AQ:$AQ))</f>
        <v>0</v>
      </c>
      <c r="AS148" s="17">
        <f ca="1">IF($A148=0,0,SUMIF('Week 2 Roster'!$AZ:$AZ,$B148,'Week 2 Roster'!$AR:$AR))</f>
        <v>0</v>
      </c>
      <c r="AT148" s="17">
        <f ca="1">IF($A148=0,0,SUMIF('Week 2 Roster'!$AZ:$AZ,$B148,'Week 2 Roster'!$AS:$AS))</f>
        <v>0</v>
      </c>
      <c r="AU148" s="17">
        <f t="shared" ca="1" si="53"/>
        <v>0</v>
      </c>
      <c r="AV148" s="17"/>
    </row>
    <row r="149" spans="1:48">
      <c r="A149" s="16" cm="1">
        <f t="array" aca="1" ref="A149" ca="1">_xlfn.NUMBERVALUE(INDIRECT(TEXT(MIN(IF(($AW$2:$AX$300&lt;&gt;"")*(COUNTIF($B$1:B148,$AW$2:$AX$300)=0),ROW($2:$300)*100+COLUMN($AW:$AX),7^8)),"R0C00"),)&amp;"")</f>
        <v>0</v>
      </c>
      <c r="B149" s="28" t="str">
        <f t="shared" ca="1" si="39"/>
        <v/>
      </c>
      <c r="C149" s="28" t="str">
        <f ca="1">IF($A149=0,"",VLOOKUP($B149,Employees!$A:$G,2,FALSE))</f>
        <v/>
      </c>
      <c r="D149" s="28" t="str">
        <f ca="1">IF($A149=0,"",VLOOKUP($B149,Employees!$A:$G,3,FALSE))</f>
        <v/>
      </c>
      <c r="E149" s="26" t="str">
        <f ca="1">IF($A149=0,"",VLOOKUP($B149,Employees!$A:$G,5,FALSE))</f>
        <v/>
      </c>
      <c r="F149" s="13" t="str">
        <f ca="1">IF($E149="","",ROUNDDOWN(YEARFRAC($E149, 'Week 1 Roster'!$D$1-1, 1), 0))</f>
        <v/>
      </c>
      <c r="G149" s="13" t="str">
        <f ca="1">IF($E149="","",ROUNDDOWN(YEARFRAC($E149, 'Week 1 Roster'!$D$1+14, 1), 0))</f>
        <v/>
      </c>
      <c r="H149" s="13" t="str">
        <f t="shared" ca="1" si="40"/>
        <v/>
      </c>
      <c r="I149" s="13" t="str">
        <f ca="1">IF($A149=0,"",VLOOKUP($B149,Employees!$A:$G,6,FALSE))</f>
        <v/>
      </c>
      <c r="J149" s="13" t="str">
        <f ca="1">IF($A149=0,"",VLOOKUP($B149,Employees!$A:$G,7,FALSE))</f>
        <v/>
      </c>
      <c r="K149" s="13" t="str">
        <f ca="1">IF($A149=0,"",IF(ISNA(VLOOKUP(A149,'Week 1 Roster'!A:C,2,0)),VLOOKUP(A149,'Week 2 Roster'!A:C,2,0),VLOOKUP(A149,'Week 1 Roster'!A:C,2,0)))</f>
        <v/>
      </c>
      <c r="L149" s="13" t="str">
        <f ca="1">IF($A149=0,"",VLOOKUP(K149,Stores!A:B,2,0))</f>
        <v/>
      </c>
      <c r="M149" s="14">
        <f t="shared" ca="1" si="41"/>
        <v>0</v>
      </c>
      <c r="N149" s="14">
        <f t="shared" ca="1" si="42"/>
        <v>0</v>
      </c>
      <c r="O149" s="14">
        <f t="shared" ca="1" si="43"/>
        <v>0</v>
      </c>
      <c r="P149" s="14">
        <f t="shared" ca="1" si="44"/>
        <v>0</v>
      </c>
      <c r="Q149" s="14">
        <f t="shared" ca="1" si="45"/>
        <v>0</v>
      </c>
      <c r="R149" s="14">
        <f t="shared" ca="1" si="46"/>
        <v>0</v>
      </c>
      <c r="S149" s="28">
        <f t="shared" ca="1" si="47"/>
        <v>0</v>
      </c>
      <c r="T149" s="14">
        <f t="shared" ca="1" si="48"/>
        <v>0</v>
      </c>
      <c r="U149" s="14">
        <f t="shared" ca="1" si="49"/>
        <v>0</v>
      </c>
      <c r="V149" s="14">
        <f t="shared" ca="1" si="50"/>
        <v>0</v>
      </c>
      <c r="W149" s="14">
        <f t="shared" ca="1" si="51"/>
        <v>0</v>
      </c>
      <c r="Y149" s="17">
        <f ca="1">IF($A149=0,0,SUMIF('Week 1 Roster'!$AZ:$AZ,$B149,'Week 1 Roster'!$AE:$AE))</f>
        <v>0</v>
      </c>
      <c r="Z149" s="17">
        <f ca="1">IF($A149=0,0,SUMIF('Week 1 Roster'!$AZ:$AZ,$B149,'Week 1 Roster'!$AG:$AG))</f>
        <v>0</v>
      </c>
      <c r="AA149" s="17">
        <f ca="1">IF($A149=0,0,SUMIF('Week 1 Roster'!$AZ:$AZ,$B149,'Week 1 Roster'!$AI:$AI))</f>
        <v>0</v>
      </c>
      <c r="AB149" s="17">
        <f ca="1">IF($A149=0,0,SUMIF('Week 1 Roster'!$AZ:$AZ,$B149,'Week 1 Roster'!$AK:$AK))</f>
        <v>0</v>
      </c>
      <c r="AC149" s="17">
        <f ca="1">IF($A149=0,0,SUMIF('Week 1 Roster'!$AZ:$AZ,$B149,'Week 1 Roster'!$AM:$AM))</f>
        <v>0</v>
      </c>
      <c r="AD149" s="17">
        <f ca="1">IF($A149=0,0,SUMIF('Week 1 Roster'!$AZ:$AZ,$B149,'Week 1 Roster'!$AO:$AO))</f>
        <v>0</v>
      </c>
      <c r="AE149" s="38">
        <f ca="1">IF($A149=0,0,SUMIF('Week 1 Roster'!$AZ:$AZ,$B149,'Week 1 Roster'!$AP:$AP))</f>
        <v>0</v>
      </c>
      <c r="AF149" s="17">
        <f ca="1">IF($A149=0,0,SUMIF('Week 1 Roster'!$AZ:$AZ,$B149,'Week 1 Roster'!$AQ:$AQ))</f>
        <v>0</v>
      </c>
      <c r="AG149" s="17">
        <f ca="1">IF($A149=0,0,SUMIF('Week 1 Roster'!$AZ:$AZ,$B149,'Week 1 Roster'!$AR:$AR))</f>
        <v>0</v>
      </c>
      <c r="AH149" s="17">
        <f ca="1">IF($A149=0,0,SUMIF('Week 1 Roster'!$AZ:$AZ,$B149,'Week 1 Roster'!$AS:$AS))</f>
        <v>0</v>
      </c>
      <c r="AI149" s="17">
        <f t="shared" ca="1" si="52"/>
        <v>0</v>
      </c>
      <c r="AK149" s="17">
        <f ca="1">IF($A149=0,0,SUMIF('Week 2 Roster'!$AZ:$AZ,$B149,'Week 2 Roster'!$AE:$AE))</f>
        <v>0</v>
      </c>
      <c r="AL149" s="17">
        <f ca="1">IF($A149=0,0,SUMIF('Week 2 Roster'!$AZ:$AZ,$B149,'Week 2 Roster'!$AG:$AG))</f>
        <v>0</v>
      </c>
      <c r="AM149" s="17">
        <f ca="1">IF($A149=0,0,SUMIF('Week 2 Roster'!$AZ:$AZ,$B149,'Week 2 Roster'!$AI:$AI))</f>
        <v>0</v>
      </c>
      <c r="AN149" s="17">
        <f ca="1">IF($A149=0,0,SUMIF('Week 2 Roster'!$AZ:$AZ,$B149,'Week 2 Roster'!$AK:$AK))</f>
        <v>0</v>
      </c>
      <c r="AO149" s="17">
        <f ca="1">IF($A149=0,0,SUMIF('Week 2 Roster'!$AZ:$AZ,$B149,'Week 2 Roster'!$AM:$AM))</f>
        <v>0</v>
      </c>
      <c r="AP149" s="17">
        <f ca="1">IF($A149=0,0,SUMIF('Week 2 Roster'!$AZ:$AZ,$B149,'Week 2 Roster'!$AO:$AO))</f>
        <v>0</v>
      </c>
      <c r="AQ149" s="38">
        <f ca="1">IF($A149=0,0,SUMIF('Week 2 Roster'!$AZ:$AZ,$B149,'Week 2 Roster'!$AP:$AP))</f>
        <v>0</v>
      </c>
      <c r="AR149" s="17">
        <f ca="1">IF($A149=0,0,SUMIF('Week 2 Roster'!$AZ:$AZ,$B149,'Week 2 Roster'!$AQ:$AQ))</f>
        <v>0</v>
      </c>
      <c r="AS149" s="17">
        <f ca="1">IF($A149=0,0,SUMIF('Week 2 Roster'!$AZ:$AZ,$B149,'Week 2 Roster'!$AR:$AR))</f>
        <v>0</v>
      </c>
      <c r="AT149" s="17">
        <f ca="1">IF($A149=0,0,SUMIF('Week 2 Roster'!$AZ:$AZ,$B149,'Week 2 Roster'!$AS:$AS))</f>
        <v>0</v>
      </c>
      <c r="AU149" s="17">
        <f t="shared" ca="1" si="53"/>
        <v>0</v>
      </c>
      <c r="AV149" s="17"/>
    </row>
    <row r="150" spans="1:48">
      <c r="A150" s="16" cm="1">
        <f t="array" aca="1" ref="A150" ca="1">_xlfn.NUMBERVALUE(INDIRECT(TEXT(MIN(IF(($AW$2:$AX$300&lt;&gt;"")*(COUNTIF($B$1:B149,$AW$2:$AX$300)=0),ROW($2:$300)*100+COLUMN($AW:$AX),7^8)),"R0C00"),)&amp;"")</f>
        <v>0</v>
      </c>
      <c r="B150" s="28" t="str">
        <f t="shared" ca="1" si="39"/>
        <v/>
      </c>
      <c r="C150" s="28" t="str">
        <f ca="1">IF($A150=0,"",VLOOKUP($B150,Employees!$A:$G,2,FALSE))</f>
        <v/>
      </c>
      <c r="D150" s="28" t="str">
        <f ca="1">IF($A150=0,"",VLOOKUP($B150,Employees!$A:$G,3,FALSE))</f>
        <v/>
      </c>
      <c r="E150" s="26" t="str">
        <f ca="1">IF($A150=0,"",VLOOKUP($B150,Employees!$A:$G,5,FALSE))</f>
        <v/>
      </c>
      <c r="F150" s="13" t="str">
        <f ca="1">IF($E150="","",ROUNDDOWN(YEARFRAC($E150, 'Week 1 Roster'!$D$1-1, 1), 0))</f>
        <v/>
      </c>
      <c r="G150" s="13" t="str">
        <f ca="1">IF($E150="","",ROUNDDOWN(YEARFRAC($E150, 'Week 1 Roster'!$D$1+14, 1), 0))</f>
        <v/>
      </c>
      <c r="H150" s="13" t="str">
        <f t="shared" ca="1" si="40"/>
        <v/>
      </c>
      <c r="I150" s="13" t="str">
        <f ca="1">IF($A150=0,"",VLOOKUP($B150,Employees!$A:$G,6,FALSE))</f>
        <v/>
      </c>
      <c r="J150" s="13" t="str">
        <f ca="1">IF($A150=0,"",VLOOKUP($B150,Employees!$A:$G,7,FALSE))</f>
        <v/>
      </c>
      <c r="K150" s="13" t="str">
        <f ca="1">IF($A150=0,"",IF(ISNA(VLOOKUP(A150,'Week 1 Roster'!A:C,2,0)),VLOOKUP(A150,'Week 2 Roster'!A:C,2,0),VLOOKUP(A150,'Week 1 Roster'!A:C,2,0)))</f>
        <v/>
      </c>
      <c r="L150" s="13" t="str">
        <f ca="1">IF($A150=0,"",VLOOKUP(K150,Stores!A:B,2,0))</f>
        <v/>
      </c>
      <c r="M150" s="14">
        <f t="shared" ca="1" si="41"/>
        <v>0</v>
      </c>
      <c r="N150" s="14">
        <f t="shared" ca="1" si="42"/>
        <v>0</v>
      </c>
      <c r="O150" s="14">
        <f t="shared" ca="1" si="43"/>
        <v>0</v>
      </c>
      <c r="P150" s="14">
        <f t="shared" ca="1" si="44"/>
        <v>0</v>
      </c>
      <c r="Q150" s="14">
        <f t="shared" ca="1" si="45"/>
        <v>0</v>
      </c>
      <c r="R150" s="14">
        <f t="shared" ca="1" si="46"/>
        <v>0</v>
      </c>
      <c r="S150" s="28">
        <f t="shared" ca="1" si="47"/>
        <v>0</v>
      </c>
      <c r="T150" s="14">
        <f t="shared" ca="1" si="48"/>
        <v>0</v>
      </c>
      <c r="U150" s="14">
        <f t="shared" ca="1" si="49"/>
        <v>0</v>
      </c>
      <c r="V150" s="14">
        <f t="shared" ca="1" si="50"/>
        <v>0</v>
      </c>
      <c r="W150" s="14">
        <f t="shared" ca="1" si="51"/>
        <v>0</v>
      </c>
      <c r="Y150" s="17">
        <f ca="1">IF($A150=0,0,SUMIF('Week 1 Roster'!$AZ:$AZ,$B150,'Week 1 Roster'!$AE:$AE))</f>
        <v>0</v>
      </c>
      <c r="Z150" s="17">
        <f ca="1">IF($A150=0,0,SUMIF('Week 1 Roster'!$AZ:$AZ,$B150,'Week 1 Roster'!$AG:$AG))</f>
        <v>0</v>
      </c>
      <c r="AA150" s="17">
        <f ca="1">IF($A150=0,0,SUMIF('Week 1 Roster'!$AZ:$AZ,$B150,'Week 1 Roster'!$AI:$AI))</f>
        <v>0</v>
      </c>
      <c r="AB150" s="17">
        <f ca="1">IF($A150=0,0,SUMIF('Week 1 Roster'!$AZ:$AZ,$B150,'Week 1 Roster'!$AK:$AK))</f>
        <v>0</v>
      </c>
      <c r="AC150" s="17">
        <f ca="1">IF($A150=0,0,SUMIF('Week 1 Roster'!$AZ:$AZ,$B150,'Week 1 Roster'!$AM:$AM))</f>
        <v>0</v>
      </c>
      <c r="AD150" s="17">
        <f ca="1">IF($A150=0,0,SUMIF('Week 1 Roster'!$AZ:$AZ,$B150,'Week 1 Roster'!$AO:$AO))</f>
        <v>0</v>
      </c>
      <c r="AE150" s="38">
        <f ca="1">IF($A150=0,0,SUMIF('Week 1 Roster'!$AZ:$AZ,$B150,'Week 1 Roster'!$AP:$AP))</f>
        <v>0</v>
      </c>
      <c r="AF150" s="17">
        <f ca="1">IF($A150=0,0,SUMIF('Week 1 Roster'!$AZ:$AZ,$B150,'Week 1 Roster'!$AQ:$AQ))</f>
        <v>0</v>
      </c>
      <c r="AG150" s="17">
        <f ca="1">IF($A150=0,0,SUMIF('Week 1 Roster'!$AZ:$AZ,$B150,'Week 1 Roster'!$AR:$AR))</f>
        <v>0</v>
      </c>
      <c r="AH150" s="17">
        <f ca="1">IF($A150=0,0,SUMIF('Week 1 Roster'!$AZ:$AZ,$B150,'Week 1 Roster'!$AS:$AS))</f>
        <v>0</v>
      </c>
      <c r="AI150" s="17">
        <f t="shared" ca="1" si="52"/>
        <v>0</v>
      </c>
      <c r="AK150" s="17">
        <f ca="1">IF($A150=0,0,SUMIF('Week 2 Roster'!$AZ:$AZ,$B150,'Week 2 Roster'!$AE:$AE))</f>
        <v>0</v>
      </c>
      <c r="AL150" s="17">
        <f ca="1">IF($A150=0,0,SUMIF('Week 2 Roster'!$AZ:$AZ,$B150,'Week 2 Roster'!$AG:$AG))</f>
        <v>0</v>
      </c>
      <c r="AM150" s="17">
        <f ca="1">IF($A150=0,0,SUMIF('Week 2 Roster'!$AZ:$AZ,$B150,'Week 2 Roster'!$AI:$AI))</f>
        <v>0</v>
      </c>
      <c r="AN150" s="17">
        <f ca="1">IF($A150=0,0,SUMIF('Week 2 Roster'!$AZ:$AZ,$B150,'Week 2 Roster'!$AK:$AK))</f>
        <v>0</v>
      </c>
      <c r="AO150" s="17">
        <f ca="1">IF($A150=0,0,SUMIF('Week 2 Roster'!$AZ:$AZ,$B150,'Week 2 Roster'!$AM:$AM))</f>
        <v>0</v>
      </c>
      <c r="AP150" s="17">
        <f ca="1">IF($A150=0,0,SUMIF('Week 2 Roster'!$AZ:$AZ,$B150,'Week 2 Roster'!$AO:$AO))</f>
        <v>0</v>
      </c>
      <c r="AQ150" s="38">
        <f ca="1">IF($A150=0,0,SUMIF('Week 2 Roster'!$AZ:$AZ,$B150,'Week 2 Roster'!$AP:$AP))</f>
        <v>0</v>
      </c>
      <c r="AR150" s="17">
        <f ca="1">IF($A150=0,0,SUMIF('Week 2 Roster'!$AZ:$AZ,$B150,'Week 2 Roster'!$AQ:$AQ))</f>
        <v>0</v>
      </c>
      <c r="AS150" s="17">
        <f ca="1">IF($A150=0,0,SUMIF('Week 2 Roster'!$AZ:$AZ,$B150,'Week 2 Roster'!$AR:$AR))</f>
        <v>0</v>
      </c>
      <c r="AT150" s="17">
        <f ca="1">IF($A150=0,0,SUMIF('Week 2 Roster'!$AZ:$AZ,$B150,'Week 2 Roster'!$AS:$AS))</f>
        <v>0</v>
      </c>
      <c r="AU150" s="17">
        <f t="shared" ca="1" si="53"/>
        <v>0</v>
      </c>
      <c r="AV150" s="17"/>
    </row>
    <row r="151" spans="1:48">
      <c r="A151" s="16" cm="1">
        <f t="array" aca="1" ref="A151" ca="1">_xlfn.NUMBERVALUE(INDIRECT(TEXT(MIN(IF(($AW$2:$AX$300&lt;&gt;"")*(COUNTIF($B$1:B150,$AW$2:$AX$300)=0),ROW($2:$300)*100+COLUMN($AW:$AX),7^8)),"R0C00"),)&amp;"")</f>
        <v>0</v>
      </c>
      <c r="B151" s="28" t="str">
        <f t="shared" ca="1" si="39"/>
        <v/>
      </c>
      <c r="C151" s="28" t="str">
        <f ca="1">IF($A151=0,"",VLOOKUP($B151,Employees!$A:$G,2,FALSE))</f>
        <v/>
      </c>
      <c r="D151" s="28" t="str">
        <f ca="1">IF($A151=0,"",VLOOKUP($B151,Employees!$A:$G,3,FALSE))</f>
        <v/>
      </c>
      <c r="E151" s="26" t="str">
        <f ca="1">IF($A151=0,"",VLOOKUP($B151,Employees!$A:$G,5,FALSE))</f>
        <v/>
      </c>
      <c r="F151" s="13" t="str">
        <f ca="1">IF($E151="","",ROUNDDOWN(YEARFRAC($E151, 'Week 1 Roster'!$D$1-1, 1), 0))</f>
        <v/>
      </c>
      <c r="G151" s="13" t="str">
        <f ca="1">IF($E151="","",ROUNDDOWN(YEARFRAC($E151, 'Week 1 Roster'!$D$1+14, 1), 0))</f>
        <v/>
      </c>
      <c r="H151" s="13" t="str">
        <f t="shared" ca="1" si="40"/>
        <v/>
      </c>
      <c r="I151" s="13" t="str">
        <f ca="1">IF($A151=0,"",VLOOKUP($B151,Employees!$A:$G,6,FALSE))</f>
        <v/>
      </c>
      <c r="J151" s="13" t="str">
        <f ca="1">IF($A151=0,"",VLOOKUP($B151,Employees!$A:$G,7,FALSE))</f>
        <v/>
      </c>
      <c r="K151" s="13" t="str">
        <f ca="1">IF($A151=0,"",IF(ISNA(VLOOKUP(A151,'Week 1 Roster'!A:C,2,0)),VLOOKUP(A151,'Week 2 Roster'!A:C,2,0),VLOOKUP(A151,'Week 1 Roster'!A:C,2,0)))</f>
        <v/>
      </c>
      <c r="L151" s="13" t="str">
        <f ca="1">IF($A151=0,"",VLOOKUP(K151,Stores!A:B,2,0))</f>
        <v/>
      </c>
      <c r="M151" s="14">
        <f t="shared" ca="1" si="41"/>
        <v>0</v>
      </c>
      <c r="N151" s="14">
        <f t="shared" ca="1" si="42"/>
        <v>0</v>
      </c>
      <c r="O151" s="14">
        <f t="shared" ca="1" si="43"/>
        <v>0</v>
      </c>
      <c r="P151" s="14">
        <f t="shared" ca="1" si="44"/>
        <v>0</v>
      </c>
      <c r="Q151" s="14">
        <f t="shared" ca="1" si="45"/>
        <v>0</v>
      </c>
      <c r="R151" s="14">
        <f t="shared" ca="1" si="46"/>
        <v>0</v>
      </c>
      <c r="S151" s="28">
        <f t="shared" ca="1" si="47"/>
        <v>0</v>
      </c>
      <c r="T151" s="14">
        <f t="shared" ca="1" si="48"/>
        <v>0</v>
      </c>
      <c r="U151" s="14">
        <f t="shared" ca="1" si="49"/>
        <v>0</v>
      </c>
      <c r="V151" s="14">
        <f t="shared" ca="1" si="50"/>
        <v>0</v>
      </c>
      <c r="W151" s="14">
        <f t="shared" ca="1" si="51"/>
        <v>0</v>
      </c>
      <c r="Y151" s="17">
        <f ca="1">IF($A151=0,0,SUMIF('Week 1 Roster'!$AZ:$AZ,$B151,'Week 1 Roster'!$AE:$AE))</f>
        <v>0</v>
      </c>
      <c r="Z151" s="17">
        <f ca="1">IF($A151=0,0,SUMIF('Week 1 Roster'!$AZ:$AZ,$B151,'Week 1 Roster'!$AG:$AG))</f>
        <v>0</v>
      </c>
      <c r="AA151" s="17">
        <f ca="1">IF($A151=0,0,SUMIF('Week 1 Roster'!$AZ:$AZ,$B151,'Week 1 Roster'!$AI:$AI))</f>
        <v>0</v>
      </c>
      <c r="AB151" s="17">
        <f ca="1">IF($A151=0,0,SUMIF('Week 1 Roster'!$AZ:$AZ,$B151,'Week 1 Roster'!$AK:$AK))</f>
        <v>0</v>
      </c>
      <c r="AC151" s="17">
        <f ca="1">IF($A151=0,0,SUMIF('Week 1 Roster'!$AZ:$AZ,$B151,'Week 1 Roster'!$AM:$AM))</f>
        <v>0</v>
      </c>
      <c r="AD151" s="17">
        <f ca="1">IF($A151=0,0,SUMIF('Week 1 Roster'!$AZ:$AZ,$B151,'Week 1 Roster'!$AO:$AO))</f>
        <v>0</v>
      </c>
      <c r="AE151" s="38">
        <f ca="1">IF($A151=0,0,SUMIF('Week 1 Roster'!$AZ:$AZ,$B151,'Week 1 Roster'!$AP:$AP))</f>
        <v>0</v>
      </c>
      <c r="AF151" s="17">
        <f ca="1">IF($A151=0,0,SUMIF('Week 1 Roster'!$AZ:$AZ,$B151,'Week 1 Roster'!$AQ:$AQ))</f>
        <v>0</v>
      </c>
      <c r="AG151" s="17">
        <f ca="1">IF($A151=0,0,SUMIF('Week 1 Roster'!$AZ:$AZ,$B151,'Week 1 Roster'!$AR:$AR))</f>
        <v>0</v>
      </c>
      <c r="AH151" s="17">
        <f ca="1">IF($A151=0,0,SUMIF('Week 1 Roster'!$AZ:$AZ,$B151,'Week 1 Roster'!$AS:$AS))</f>
        <v>0</v>
      </c>
      <c r="AI151" s="17">
        <f t="shared" ca="1" si="52"/>
        <v>0</v>
      </c>
      <c r="AK151" s="17">
        <f ca="1">IF($A151=0,0,SUMIF('Week 2 Roster'!$AZ:$AZ,$B151,'Week 2 Roster'!$AE:$AE))</f>
        <v>0</v>
      </c>
      <c r="AL151" s="17">
        <f ca="1">IF($A151=0,0,SUMIF('Week 2 Roster'!$AZ:$AZ,$B151,'Week 2 Roster'!$AG:$AG))</f>
        <v>0</v>
      </c>
      <c r="AM151" s="17">
        <f ca="1">IF($A151=0,0,SUMIF('Week 2 Roster'!$AZ:$AZ,$B151,'Week 2 Roster'!$AI:$AI))</f>
        <v>0</v>
      </c>
      <c r="AN151" s="17">
        <f ca="1">IF($A151=0,0,SUMIF('Week 2 Roster'!$AZ:$AZ,$B151,'Week 2 Roster'!$AK:$AK))</f>
        <v>0</v>
      </c>
      <c r="AO151" s="17">
        <f ca="1">IF($A151=0,0,SUMIF('Week 2 Roster'!$AZ:$AZ,$B151,'Week 2 Roster'!$AM:$AM))</f>
        <v>0</v>
      </c>
      <c r="AP151" s="17">
        <f ca="1">IF($A151=0,0,SUMIF('Week 2 Roster'!$AZ:$AZ,$B151,'Week 2 Roster'!$AO:$AO))</f>
        <v>0</v>
      </c>
      <c r="AQ151" s="38">
        <f ca="1">IF($A151=0,0,SUMIF('Week 2 Roster'!$AZ:$AZ,$B151,'Week 2 Roster'!$AP:$AP))</f>
        <v>0</v>
      </c>
      <c r="AR151" s="17">
        <f ca="1">IF($A151=0,0,SUMIF('Week 2 Roster'!$AZ:$AZ,$B151,'Week 2 Roster'!$AQ:$AQ))</f>
        <v>0</v>
      </c>
      <c r="AS151" s="17">
        <f ca="1">IF($A151=0,0,SUMIF('Week 2 Roster'!$AZ:$AZ,$B151,'Week 2 Roster'!$AR:$AR))</f>
        <v>0</v>
      </c>
      <c r="AT151" s="17">
        <f ca="1">IF($A151=0,0,SUMIF('Week 2 Roster'!$AZ:$AZ,$B151,'Week 2 Roster'!$AS:$AS))</f>
        <v>0</v>
      </c>
      <c r="AU151" s="17">
        <f t="shared" ca="1" si="53"/>
        <v>0</v>
      </c>
      <c r="AV151" s="17"/>
    </row>
    <row r="152" spans="1:48">
      <c r="A152" s="16" cm="1">
        <f t="array" aca="1" ref="A152" ca="1">_xlfn.NUMBERVALUE(INDIRECT(TEXT(MIN(IF(($AW$2:$AX$300&lt;&gt;"")*(COUNTIF($B$1:B151,$AW$2:$AX$300)=0),ROW($2:$300)*100+COLUMN($AW:$AX),7^8)),"R0C00"),)&amp;"")</f>
        <v>0</v>
      </c>
      <c r="B152" s="28" t="str">
        <f t="shared" ca="1" si="39"/>
        <v/>
      </c>
      <c r="C152" s="28" t="str">
        <f ca="1">IF($A152=0,"",VLOOKUP($B152,Employees!$A:$G,2,FALSE))</f>
        <v/>
      </c>
      <c r="D152" s="28" t="str">
        <f ca="1">IF($A152=0,"",VLOOKUP($B152,Employees!$A:$G,3,FALSE))</f>
        <v/>
      </c>
      <c r="E152" s="26" t="str">
        <f ca="1">IF($A152=0,"",VLOOKUP($B152,Employees!$A:$G,5,FALSE))</f>
        <v/>
      </c>
      <c r="F152" s="13" t="str">
        <f ca="1">IF($E152="","",ROUNDDOWN(YEARFRAC($E152, 'Week 1 Roster'!$D$1-1, 1), 0))</f>
        <v/>
      </c>
      <c r="G152" s="13" t="str">
        <f ca="1">IF($E152="","",ROUNDDOWN(YEARFRAC($E152, 'Week 1 Roster'!$D$1+14, 1), 0))</f>
        <v/>
      </c>
      <c r="H152" s="13" t="str">
        <f t="shared" ca="1" si="40"/>
        <v/>
      </c>
      <c r="I152" s="13" t="str">
        <f ca="1">IF($A152=0,"",VLOOKUP($B152,Employees!$A:$G,6,FALSE))</f>
        <v/>
      </c>
      <c r="J152" s="13" t="str">
        <f ca="1">IF($A152=0,"",VLOOKUP($B152,Employees!$A:$G,7,FALSE))</f>
        <v/>
      </c>
      <c r="K152" s="13" t="str">
        <f ca="1">IF($A152=0,"",IF(ISNA(VLOOKUP(A152,'Week 1 Roster'!A:C,2,0)),VLOOKUP(A152,'Week 2 Roster'!A:C,2,0),VLOOKUP(A152,'Week 1 Roster'!A:C,2,0)))</f>
        <v/>
      </c>
      <c r="L152" s="13" t="str">
        <f ca="1">IF($A152=0,"",VLOOKUP(K152,Stores!A:B,2,0))</f>
        <v/>
      </c>
      <c r="M152" s="14">
        <f t="shared" ca="1" si="41"/>
        <v>0</v>
      </c>
      <c r="N152" s="14">
        <f t="shared" ca="1" si="42"/>
        <v>0</v>
      </c>
      <c r="O152" s="14">
        <f t="shared" ca="1" si="43"/>
        <v>0</v>
      </c>
      <c r="P152" s="14">
        <f t="shared" ca="1" si="44"/>
        <v>0</v>
      </c>
      <c r="Q152" s="14">
        <f t="shared" ca="1" si="45"/>
        <v>0</v>
      </c>
      <c r="R152" s="14">
        <f t="shared" ca="1" si="46"/>
        <v>0</v>
      </c>
      <c r="S152" s="28">
        <f t="shared" ca="1" si="47"/>
        <v>0</v>
      </c>
      <c r="T152" s="14">
        <f t="shared" ca="1" si="48"/>
        <v>0</v>
      </c>
      <c r="U152" s="14">
        <f t="shared" ca="1" si="49"/>
        <v>0</v>
      </c>
      <c r="V152" s="14">
        <f t="shared" ca="1" si="50"/>
        <v>0</v>
      </c>
      <c r="W152" s="14">
        <f t="shared" ca="1" si="51"/>
        <v>0</v>
      </c>
      <c r="Y152" s="17">
        <f ca="1">IF($A152=0,0,SUMIF('Week 1 Roster'!$AZ:$AZ,$B152,'Week 1 Roster'!$AE:$AE))</f>
        <v>0</v>
      </c>
      <c r="Z152" s="17">
        <f ca="1">IF($A152=0,0,SUMIF('Week 1 Roster'!$AZ:$AZ,$B152,'Week 1 Roster'!$AG:$AG))</f>
        <v>0</v>
      </c>
      <c r="AA152" s="17">
        <f ca="1">IF($A152=0,0,SUMIF('Week 1 Roster'!$AZ:$AZ,$B152,'Week 1 Roster'!$AI:$AI))</f>
        <v>0</v>
      </c>
      <c r="AB152" s="17">
        <f ca="1">IF($A152=0,0,SUMIF('Week 1 Roster'!$AZ:$AZ,$B152,'Week 1 Roster'!$AK:$AK))</f>
        <v>0</v>
      </c>
      <c r="AC152" s="17">
        <f ca="1">IF($A152=0,0,SUMIF('Week 1 Roster'!$AZ:$AZ,$B152,'Week 1 Roster'!$AM:$AM))</f>
        <v>0</v>
      </c>
      <c r="AD152" s="17">
        <f ca="1">IF($A152=0,0,SUMIF('Week 1 Roster'!$AZ:$AZ,$B152,'Week 1 Roster'!$AO:$AO))</f>
        <v>0</v>
      </c>
      <c r="AE152" s="38">
        <f ca="1">IF($A152=0,0,SUMIF('Week 1 Roster'!$AZ:$AZ,$B152,'Week 1 Roster'!$AP:$AP))</f>
        <v>0</v>
      </c>
      <c r="AF152" s="17">
        <f ca="1">IF($A152=0,0,SUMIF('Week 1 Roster'!$AZ:$AZ,$B152,'Week 1 Roster'!$AQ:$AQ))</f>
        <v>0</v>
      </c>
      <c r="AG152" s="17">
        <f ca="1">IF($A152=0,0,SUMIF('Week 1 Roster'!$AZ:$AZ,$B152,'Week 1 Roster'!$AR:$AR))</f>
        <v>0</v>
      </c>
      <c r="AH152" s="17">
        <f ca="1">IF($A152=0,0,SUMIF('Week 1 Roster'!$AZ:$AZ,$B152,'Week 1 Roster'!$AS:$AS))</f>
        <v>0</v>
      </c>
      <c r="AI152" s="17">
        <f t="shared" ca="1" si="52"/>
        <v>0</v>
      </c>
      <c r="AK152" s="17">
        <f ca="1">IF($A152=0,0,SUMIF('Week 2 Roster'!$AZ:$AZ,$B152,'Week 2 Roster'!$AE:$AE))</f>
        <v>0</v>
      </c>
      <c r="AL152" s="17">
        <f ca="1">IF($A152=0,0,SUMIF('Week 2 Roster'!$AZ:$AZ,$B152,'Week 2 Roster'!$AG:$AG))</f>
        <v>0</v>
      </c>
      <c r="AM152" s="17">
        <f ca="1">IF($A152=0,0,SUMIF('Week 2 Roster'!$AZ:$AZ,$B152,'Week 2 Roster'!$AI:$AI))</f>
        <v>0</v>
      </c>
      <c r="AN152" s="17">
        <f ca="1">IF($A152=0,0,SUMIF('Week 2 Roster'!$AZ:$AZ,$B152,'Week 2 Roster'!$AK:$AK))</f>
        <v>0</v>
      </c>
      <c r="AO152" s="17">
        <f ca="1">IF($A152=0,0,SUMIF('Week 2 Roster'!$AZ:$AZ,$B152,'Week 2 Roster'!$AM:$AM))</f>
        <v>0</v>
      </c>
      <c r="AP152" s="17">
        <f ca="1">IF($A152=0,0,SUMIF('Week 2 Roster'!$AZ:$AZ,$B152,'Week 2 Roster'!$AO:$AO))</f>
        <v>0</v>
      </c>
      <c r="AQ152" s="38">
        <f ca="1">IF($A152=0,0,SUMIF('Week 2 Roster'!$AZ:$AZ,$B152,'Week 2 Roster'!$AP:$AP))</f>
        <v>0</v>
      </c>
      <c r="AR152" s="17">
        <f ca="1">IF($A152=0,0,SUMIF('Week 2 Roster'!$AZ:$AZ,$B152,'Week 2 Roster'!$AQ:$AQ))</f>
        <v>0</v>
      </c>
      <c r="AS152" s="17">
        <f ca="1">IF($A152=0,0,SUMIF('Week 2 Roster'!$AZ:$AZ,$B152,'Week 2 Roster'!$AR:$AR))</f>
        <v>0</v>
      </c>
      <c r="AT152" s="17">
        <f ca="1">IF($A152=0,0,SUMIF('Week 2 Roster'!$AZ:$AZ,$B152,'Week 2 Roster'!$AS:$AS))</f>
        <v>0</v>
      </c>
      <c r="AU152" s="17">
        <f t="shared" ca="1" si="53"/>
        <v>0</v>
      </c>
      <c r="AV152" s="17"/>
    </row>
    <row r="153" spans="1:48">
      <c r="A153" s="16" cm="1">
        <f t="array" aca="1" ref="A153" ca="1">_xlfn.NUMBERVALUE(INDIRECT(TEXT(MIN(IF(($AW$2:$AX$300&lt;&gt;"")*(COUNTIF($B$1:B152,$AW$2:$AX$300)=0),ROW($2:$300)*100+COLUMN($AW:$AX),7^8)),"R0C00"),)&amp;"")</f>
        <v>0</v>
      </c>
      <c r="B153" s="28" t="str">
        <f t="shared" ca="1" si="39"/>
        <v/>
      </c>
      <c r="C153" s="28" t="str">
        <f ca="1">IF($A153=0,"",VLOOKUP($B153,Employees!$A:$G,2,FALSE))</f>
        <v/>
      </c>
      <c r="D153" s="28" t="str">
        <f ca="1">IF($A153=0,"",VLOOKUP($B153,Employees!$A:$G,3,FALSE))</f>
        <v/>
      </c>
      <c r="E153" s="26" t="str">
        <f ca="1">IF($A153=0,"",VLOOKUP($B153,Employees!$A:$G,5,FALSE))</f>
        <v/>
      </c>
      <c r="F153" s="13" t="str">
        <f ca="1">IF($E153="","",ROUNDDOWN(YEARFRAC($E153, 'Week 1 Roster'!$D$1-1, 1), 0))</f>
        <v/>
      </c>
      <c r="G153" s="13" t="str">
        <f ca="1">IF($E153="","",ROUNDDOWN(YEARFRAC($E153, 'Week 1 Roster'!$D$1+14, 1), 0))</f>
        <v/>
      </c>
      <c r="H153" s="13" t="str">
        <f t="shared" ca="1" si="40"/>
        <v/>
      </c>
      <c r="I153" s="13" t="str">
        <f ca="1">IF($A153=0,"",VLOOKUP($B153,Employees!$A:$G,6,FALSE))</f>
        <v/>
      </c>
      <c r="J153" s="13" t="str">
        <f ca="1">IF($A153=0,"",VLOOKUP($B153,Employees!$A:$G,7,FALSE))</f>
        <v/>
      </c>
      <c r="K153" s="13" t="str">
        <f ca="1">IF($A153=0,"",IF(ISNA(VLOOKUP(A153,'Week 1 Roster'!A:C,2,0)),VLOOKUP(A153,'Week 2 Roster'!A:C,2,0),VLOOKUP(A153,'Week 1 Roster'!A:C,2,0)))</f>
        <v/>
      </c>
      <c r="L153" s="13" t="str">
        <f ca="1">IF($A153=0,"",VLOOKUP(K153,Stores!A:B,2,0))</f>
        <v/>
      </c>
      <c r="M153" s="14">
        <f t="shared" ca="1" si="41"/>
        <v>0</v>
      </c>
      <c r="N153" s="14">
        <f t="shared" ca="1" si="42"/>
        <v>0</v>
      </c>
      <c r="O153" s="14">
        <f t="shared" ca="1" si="43"/>
        <v>0</v>
      </c>
      <c r="P153" s="14">
        <f t="shared" ca="1" si="44"/>
        <v>0</v>
      </c>
      <c r="Q153" s="14">
        <f t="shared" ca="1" si="45"/>
        <v>0</v>
      </c>
      <c r="R153" s="14">
        <f t="shared" ca="1" si="46"/>
        <v>0</v>
      </c>
      <c r="S153" s="28">
        <f t="shared" ca="1" si="47"/>
        <v>0</v>
      </c>
      <c r="T153" s="14">
        <f t="shared" ca="1" si="48"/>
        <v>0</v>
      </c>
      <c r="U153" s="14">
        <f t="shared" ca="1" si="49"/>
        <v>0</v>
      </c>
      <c r="V153" s="14">
        <f t="shared" ca="1" si="50"/>
        <v>0</v>
      </c>
      <c r="W153" s="14">
        <f t="shared" ca="1" si="51"/>
        <v>0</v>
      </c>
      <c r="Y153" s="17">
        <f ca="1">IF($A153=0,0,SUMIF('Week 1 Roster'!$AZ:$AZ,$B153,'Week 1 Roster'!$AE:$AE))</f>
        <v>0</v>
      </c>
      <c r="Z153" s="17">
        <f ca="1">IF($A153=0,0,SUMIF('Week 1 Roster'!$AZ:$AZ,$B153,'Week 1 Roster'!$AG:$AG))</f>
        <v>0</v>
      </c>
      <c r="AA153" s="17">
        <f ca="1">IF($A153=0,0,SUMIF('Week 1 Roster'!$AZ:$AZ,$B153,'Week 1 Roster'!$AI:$AI))</f>
        <v>0</v>
      </c>
      <c r="AB153" s="17">
        <f ca="1">IF($A153=0,0,SUMIF('Week 1 Roster'!$AZ:$AZ,$B153,'Week 1 Roster'!$AK:$AK))</f>
        <v>0</v>
      </c>
      <c r="AC153" s="17">
        <f ca="1">IF($A153=0,0,SUMIF('Week 1 Roster'!$AZ:$AZ,$B153,'Week 1 Roster'!$AM:$AM))</f>
        <v>0</v>
      </c>
      <c r="AD153" s="17">
        <f ca="1">IF($A153=0,0,SUMIF('Week 1 Roster'!$AZ:$AZ,$B153,'Week 1 Roster'!$AO:$AO))</f>
        <v>0</v>
      </c>
      <c r="AE153" s="38">
        <f ca="1">IF($A153=0,0,SUMIF('Week 1 Roster'!$AZ:$AZ,$B153,'Week 1 Roster'!$AP:$AP))</f>
        <v>0</v>
      </c>
      <c r="AF153" s="17">
        <f ca="1">IF($A153=0,0,SUMIF('Week 1 Roster'!$AZ:$AZ,$B153,'Week 1 Roster'!$AQ:$AQ))</f>
        <v>0</v>
      </c>
      <c r="AG153" s="17">
        <f ca="1">IF($A153=0,0,SUMIF('Week 1 Roster'!$AZ:$AZ,$B153,'Week 1 Roster'!$AR:$AR))</f>
        <v>0</v>
      </c>
      <c r="AH153" s="17">
        <f ca="1">IF($A153=0,0,SUMIF('Week 1 Roster'!$AZ:$AZ,$B153,'Week 1 Roster'!$AS:$AS))</f>
        <v>0</v>
      </c>
      <c r="AI153" s="17">
        <f t="shared" ca="1" si="52"/>
        <v>0</v>
      </c>
      <c r="AK153" s="17">
        <f ca="1">IF($A153=0,0,SUMIF('Week 2 Roster'!$AZ:$AZ,$B153,'Week 2 Roster'!$AE:$AE))</f>
        <v>0</v>
      </c>
      <c r="AL153" s="17">
        <f ca="1">IF($A153=0,0,SUMIF('Week 2 Roster'!$AZ:$AZ,$B153,'Week 2 Roster'!$AG:$AG))</f>
        <v>0</v>
      </c>
      <c r="AM153" s="17">
        <f ca="1">IF($A153=0,0,SUMIF('Week 2 Roster'!$AZ:$AZ,$B153,'Week 2 Roster'!$AI:$AI))</f>
        <v>0</v>
      </c>
      <c r="AN153" s="17">
        <f ca="1">IF($A153=0,0,SUMIF('Week 2 Roster'!$AZ:$AZ,$B153,'Week 2 Roster'!$AK:$AK))</f>
        <v>0</v>
      </c>
      <c r="AO153" s="17">
        <f ca="1">IF($A153=0,0,SUMIF('Week 2 Roster'!$AZ:$AZ,$B153,'Week 2 Roster'!$AM:$AM))</f>
        <v>0</v>
      </c>
      <c r="AP153" s="17">
        <f ca="1">IF($A153=0,0,SUMIF('Week 2 Roster'!$AZ:$AZ,$B153,'Week 2 Roster'!$AO:$AO))</f>
        <v>0</v>
      </c>
      <c r="AQ153" s="38">
        <f ca="1">IF($A153=0,0,SUMIF('Week 2 Roster'!$AZ:$AZ,$B153,'Week 2 Roster'!$AP:$AP))</f>
        <v>0</v>
      </c>
      <c r="AR153" s="17">
        <f ca="1">IF($A153=0,0,SUMIF('Week 2 Roster'!$AZ:$AZ,$B153,'Week 2 Roster'!$AQ:$AQ))</f>
        <v>0</v>
      </c>
      <c r="AS153" s="17">
        <f ca="1">IF($A153=0,0,SUMIF('Week 2 Roster'!$AZ:$AZ,$B153,'Week 2 Roster'!$AR:$AR))</f>
        <v>0</v>
      </c>
      <c r="AT153" s="17">
        <f ca="1">IF($A153=0,0,SUMIF('Week 2 Roster'!$AZ:$AZ,$B153,'Week 2 Roster'!$AS:$AS))</f>
        <v>0</v>
      </c>
      <c r="AU153" s="17">
        <f t="shared" ca="1" si="53"/>
        <v>0</v>
      </c>
      <c r="AV153" s="17"/>
    </row>
    <row r="154" spans="1:48">
      <c r="A154" s="16" cm="1">
        <f t="array" aca="1" ref="A154" ca="1">_xlfn.NUMBERVALUE(INDIRECT(TEXT(MIN(IF(($AW$2:$AX$300&lt;&gt;"")*(COUNTIF($B$1:B153,$AW$2:$AX$300)=0),ROW($2:$300)*100+COLUMN($AW:$AX),7^8)),"R0C00"),)&amp;"")</f>
        <v>0</v>
      </c>
      <c r="B154" s="28" t="str">
        <f t="shared" ca="1" si="39"/>
        <v/>
      </c>
      <c r="C154" s="28" t="str">
        <f ca="1">IF($A154=0,"",VLOOKUP($B154,Employees!$A:$G,2,FALSE))</f>
        <v/>
      </c>
      <c r="D154" s="28" t="str">
        <f ca="1">IF($A154=0,"",VLOOKUP($B154,Employees!$A:$G,3,FALSE))</f>
        <v/>
      </c>
      <c r="E154" s="26" t="str">
        <f ca="1">IF($A154=0,"",VLOOKUP($B154,Employees!$A:$G,5,FALSE))</f>
        <v/>
      </c>
      <c r="F154" s="13" t="str">
        <f ca="1">IF($E154="","",ROUNDDOWN(YEARFRAC($E154, 'Week 1 Roster'!$D$1-1, 1), 0))</f>
        <v/>
      </c>
      <c r="G154" s="13" t="str">
        <f ca="1">IF($E154="","",ROUNDDOWN(YEARFRAC($E154, 'Week 1 Roster'!$D$1+14, 1), 0))</f>
        <v/>
      </c>
      <c r="H154" s="13" t="str">
        <f t="shared" ca="1" si="40"/>
        <v/>
      </c>
      <c r="I154" s="13" t="str">
        <f ca="1">IF($A154=0,"",VLOOKUP($B154,Employees!$A:$G,6,FALSE))</f>
        <v/>
      </c>
      <c r="J154" s="13" t="str">
        <f ca="1">IF($A154=0,"",VLOOKUP($B154,Employees!$A:$G,7,FALSE))</f>
        <v/>
      </c>
      <c r="K154" s="13" t="str">
        <f ca="1">IF($A154=0,"",IF(ISNA(VLOOKUP(A154,'Week 1 Roster'!A:C,2,0)),VLOOKUP(A154,'Week 2 Roster'!A:C,2,0),VLOOKUP(A154,'Week 1 Roster'!A:C,2,0)))</f>
        <v/>
      </c>
      <c r="L154" s="13" t="str">
        <f ca="1">IF($A154=0,"",VLOOKUP(K154,Stores!A:B,2,0))</f>
        <v/>
      </c>
      <c r="M154" s="14">
        <f t="shared" ca="1" si="41"/>
        <v>0</v>
      </c>
      <c r="N154" s="14">
        <f t="shared" ca="1" si="42"/>
        <v>0</v>
      </c>
      <c r="O154" s="14">
        <f t="shared" ca="1" si="43"/>
        <v>0</v>
      </c>
      <c r="P154" s="14">
        <f t="shared" ca="1" si="44"/>
        <v>0</v>
      </c>
      <c r="Q154" s="14">
        <f t="shared" ca="1" si="45"/>
        <v>0</v>
      </c>
      <c r="R154" s="14">
        <f t="shared" ca="1" si="46"/>
        <v>0</v>
      </c>
      <c r="S154" s="28">
        <f t="shared" ca="1" si="47"/>
        <v>0</v>
      </c>
      <c r="T154" s="14">
        <f t="shared" ca="1" si="48"/>
        <v>0</v>
      </c>
      <c r="U154" s="14">
        <f t="shared" ca="1" si="49"/>
        <v>0</v>
      </c>
      <c r="V154" s="14">
        <f t="shared" ca="1" si="50"/>
        <v>0</v>
      </c>
      <c r="W154" s="14">
        <f t="shared" ca="1" si="51"/>
        <v>0</v>
      </c>
      <c r="Y154" s="17">
        <f ca="1">IF($A154=0,0,SUMIF('Week 1 Roster'!$AZ:$AZ,$B154,'Week 1 Roster'!$AE:$AE))</f>
        <v>0</v>
      </c>
      <c r="Z154" s="17">
        <f ca="1">IF($A154=0,0,SUMIF('Week 1 Roster'!$AZ:$AZ,$B154,'Week 1 Roster'!$AG:$AG))</f>
        <v>0</v>
      </c>
      <c r="AA154" s="17">
        <f ca="1">IF($A154=0,0,SUMIF('Week 1 Roster'!$AZ:$AZ,$B154,'Week 1 Roster'!$AI:$AI))</f>
        <v>0</v>
      </c>
      <c r="AB154" s="17">
        <f ca="1">IF($A154=0,0,SUMIF('Week 1 Roster'!$AZ:$AZ,$B154,'Week 1 Roster'!$AK:$AK))</f>
        <v>0</v>
      </c>
      <c r="AC154" s="17">
        <f ca="1">IF($A154=0,0,SUMIF('Week 1 Roster'!$AZ:$AZ,$B154,'Week 1 Roster'!$AM:$AM))</f>
        <v>0</v>
      </c>
      <c r="AD154" s="17">
        <f ca="1">IF($A154=0,0,SUMIF('Week 1 Roster'!$AZ:$AZ,$B154,'Week 1 Roster'!$AO:$AO))</f>
        <v>0</v>
      </c>
      <c r="AE154" s="38">
        <f ca="1">IF($A154=0,0,SUMIF('Week 1 Roster'!$AZ:$AZ,$B154,'Week 1 Roster'!$AP:$AP))</f>
        <v>0</v>
      </c>
      <c r="AF154" s="17">
        <f ca="1">IF($A154=0,0,SUMIF('Week 1 Roster'!$AZ:$AZ,$B154,'Week 1 Roster'!$AQ:$AQ))</f>
        <v>0</v>
      </c>
      <c r="AG154" s="17">
        <f ca="1">IF($A154=0,0,SUMIF('Week 1 Roster'!$AZ:$AZ,$B154,'Week 1 Roster'!$AR:$AR))</f>
        <v>0</v>
      </c>
      <c r="AH154" s="17">
        <f ca="1">IF($A154=0,0,SUMIF('Week 1 Roster'!$AZ:$AZ,$B154,'Week 1 Roster'!$AS:$AS))</f>
        <v>0</v>
      </c>
      <c r="AI154" s="17">
        <f t="shared" ca="1" si="52"/>
        <v>0</v>
      </c>
      <c r="AK154" s="17">
        <f ca="1">IF($A154=0,0,SUMIF('Week 2 Roster'!$AZ:$AZ,$B154,'Week 2 Roster'!$AE:$AE))</f>
        <v>0</v>
      </c>
      <c r="AL154" s="17">
        <f ca="1">IF($A154=0,0,SUMIF('Week 2 Roster'!$AZ:$AZ,$B154,'Week 2 Roster'!$AG:$AG))</f>
        <v>0</v>
      </c>
      <c r="AM154" s="17">
        <f ca="1">IF($A154=0,0,SUMIF('Week 2 Roster'!$AZ:$AZ,$B154,'Week 2 Roster'!$AI:$AI))</f>
        <v>0</v>
      </c>
      <c r="AN154" s="17">
        <f ca="1">IF($A154=0,0,SUMIF('Week 2 Roster'!$AZ:$AZ,$B154,'Week 2 Roster'!$AK:$AK))</f>
        <v>0</v>
      </c>
      <c r="AO154" s="17">
        <f ca="1">IF($A154=0,0,SUMIF('Week 2 Roster'!$AZ:$AZ,$B154,'Week 2 Roster'!$AM:$AM))</f>
        <v>0</v>
      </c>
      <c r="AP154" s="17">
        <f ca="1">IF($A154=0,0,SUMIF('Week 2 Roster'!$AZ:$AZ,$B154,'Week 2 Roster'!$AO:$AO))</f>
        <v>0</v>
      </c>
      <c r="AQ154" s="38">
        <f ca="1">IF($A154=0,0,SUMIF('Week 2 Roster'!$AZ:$AZ,$B154,'Week 2 Roster'!$AP:$AP))</f>
        <v>0</v>
      </c>
      <c r="AR154" s="17">
        <f ca="1">IF($A154=0,0,SUMIF('Week 2 Roster'!$AZ:$AZ,$B154,'Week 2 Roster'!$AQ:$AQ))</f>
        <v>0</v>
      </c>
      <c r="AS154" s="17">
        <f ca="1">IF($A154=0,0,SUMIF('Week 2 Roster'!$AZ:$AZ,$B154,'Week 2 Roster'!$AR:$AR))</f>
        <v>0</v>
      </c>
      <c r="AT154" s="17">
        <f ca="1">IF($A154=0,0,SUMIF('Week 2 Roster'!$AZ:$AZ,$B154,'Week 2 Roster'!$AS:$AS))</f>
        <v>0</v>
      </c>
      <c r="AU154" s="17">
        <f t="shared" ca="1" si="53"/>
        <v>0</v>
      </c>
      <c r="AV154" s="17"/>
    </row>
    <row r="155" spans="1:48">
      <c r="A155" s="16" cm="1">
        <f t="array" aca="1" ref="A155" ca="1">_xlfn.NUMBERVALUE(INDIRECT(TEXT(MIN(IF(($AW$2:$AX$300&lt;&gt;"")*(COUNTIF($B$1:B154,$AW$2:$AX$300)=0),ROW($2:$300)*100+COLUMN($AW:$AX),7^8)),"R0C00"),)&amp;"")</f>
        <v>0</v>
      </c>
      <c r="B155" s="28" t="str">
        <f t="shared" ca="1" si="39"/>
        <v/>
      </c>
      <c r="C155" s="28" t="str">
        <f ca="1">IF($A155=0,"",VLOOKUP($B155,Employees!$A:$G,2,FALSE))</f>
        <v/>
      </c>
      <c r="D155" s="28" t="str">
        <f ca="1">IF($A155=0,"",VLOOKUP($B155,Employees!$A:$G,3,FALSE))</f>
        <v/>
      </c>
      <c r="E155" s="26" t="str">
        <f ca="1">IF($A155=0,"",VLOOKUP($B155,Employees!$A:$G,5,FALSE))</f>
        <v/>
      </c>
      <c r="F155" s="13" t="str">
        <f ca="1">IF($E155="","",ROUNDDOWN(YEARFRAC($E155, 'Week 1 Roster'!$D$1-1, 1), 0))</f>
        <v/>
      </c>
      <c r="G155" s="13" t="str">
        <f ca="1">IF($E155="","",ROUNDDOWN(YEARFRAC($E155, 'Week 1 Roster'!$D$1+14, 1), 0))</f>
        <v/>
      </c>
      <c r="H155" s="13" t="str">
        <f t="shared" ca="1" si="40"/>
        <v/>
      </c>
      <c r="I155" s="13" t="str">
        <f ca="1">IF($A155=0,"",VLOOKUP($B155,Employees!$A:$G,6,FALSE))</f>
        <v/>
      </c>
      <c r="J155" s="13" t="str">
        <f ca="1">IF($A155=0,"",VLOOKUP($B155,Employees!$A:$G,7,FALSE))</f>
        <v/>
      </c>
      <c r="K155" s="13" t="str">
        <f ca="1">IF($A155=0,"",IF(ISNA(VLOOKUP(A155,'Week 1 Roster'!A:C,2,0)),VLOOKUP(A155,'Week 2 Roster'!A:C,2,0),VLOOKUP(A155,'Week 1 Roster'!A:C,2,0)))</f>
        <v/>
      </c>
      <c r="L155" s="13" t="str">
        <f ca="1">IF($A155=0,"",VLOOKUP(K155,Stores!A:B,2,0))</f>
        <v/>
      </c>
      <c r="M155" s="14">
        <f t="shared" ca="1" si="41"/>
        <v>0</v>
      </c>
      <c r="N155" s="14">
        <f t="shared" ca="1" si="42"/>
        <v>0</v>
      </c>
      <c r="O155" s="14">
        <f t="shared" ca="1" si="43"/>
        <v>0</v>
      </c>
      <c r="P155" s="14">
        <f t="shared" ca="1" si="44"/>
        <v>0</v>
      </c>
      <c r="Q155" s="14">
        <f t="shared" ca="1" si="45"/>
        <v>0</v>
      </c>
      <c r="R155" s="14">
        <f t="shared" ca="1" si="46"/>
        <v>0</v>
      </c>
      <c r="S155" s="28">
        <f t="shared" ca="1" si="47"/>
        <v>0</v>
      </c>
      <c r="T155" s="14">
        <f t="shared" ca="1" si="48"/>
        <v>0</v>
      </c>
      <c r="U155" s="14">
        <f t="shared" ca="1" si="49"/>
        <v>0</v>
      </c>
      <c r="V155" s="14">
        <f t="shared" ca="1" si="50"/>
        <v>0</v>
      </c>
      <c r="W155" s="14">
        <f t="shared" ca="1" si="51"/>
        <v>0</v>
      </c>
      <c r="Y155" s="17">
        <f ca="1">IF($A155=0,0,SUMIF('Week 1 Roster'!$AZ:$AZ,$B155,'Week 1 Roster'!$AE:$AE))</f>
        <v>0</v>
      </c>
      <c r="Z155" s="17">
        <f ca="1">IF($A155=0,0,SUMIF('Week 1 Roster'!$AZ:$AZ,$B155,'Week 1 Roster'!$AG:$AG))</f>
        <v>0</v>
      </c>
      <c r="AA155" s="17">
        <f ca="1">IF($A155=0,0,SUMIF('Week 1 Roster'!$AZ:$AZ,$B155,'Week 1 Roster'!$AI:$AI))</f>
        <v>0</v>
      </c>
      <c r="AB155" s="17">
        <f ca="1">IF($A155=0,0,SUMIF('Week 1 Roster'!$AZ:$AZ,$B155,'Week 1 Roster'!$AK:$AK))</f>
        <v>0</v>
      </c>
      <c r="AC155" s="17">
        <f ca="1">IF($A155=0,0,SUMIF('Week 1 Roster'!$AZ:$AZ,$B155,'Week 1 Roster'!$AM:$AM))</f>
        <v>0</v>
      </c>
      <c r="AD155" s="17">
        <f ca="1">IF($A155=0,0,SUMIF('Week 1 Roster'!$AZ:$AZ,$B155,'Week 1 Roster'!$AO:$AO))</f>
        <v>0</v>
      </c>
      <c r="AE155" s="38">
        <f ca="1">IF($A155=0,0,SUMIF('Week 1 Roster'!$AZ:$AZ,$B155,'Week 1 Roster'!$AP:$AP))</f>
        <v>0</v>
      </c>
      <c r="AF155" s="17">
        <f ca="1">IF($A155=0,0,SUMIF('Week 1 Roster'!$AZ:$AZ,$B155,'Week 1 Roster'!$AQ:$AQ))</f>
        <v>0</v>
      </c>
      <c r="AG155" s="17">
        <f ca="1">IF($A155=0,0,SUMIF('Week 1 Roster'!$AZ:$AZ,$B155,'Week 1 Roster'!$AR:$AR))</f>
        <v>0</v>
      </c>
      <c r="AH155" s="17">
        <f ca="1">IF($A155=0,0,SUMIF('Week 1 Roster'!$AZ:$AZ,$B155,'Week 1 Roster'!$AS:$AS))</f>
        <v>0</v>
      </c>
      <c r="AI155" s="17">
        <f t="shared" ca="1" si="52"/>
        <v>0</v>
      </c>
      <c r="AK155" s="17">
        <f ca="1">IF($A155=0,0,SUMIF('Week 2 Roster'!$AZ:$AZ,$B155,'Week 2 Roster'!$AE:$AE))</f>
        <v>0</v>
      </c>
      <c r="AL155" s="17">
        <f ca="1">IF($A155=0,0,SUMIF('Week 2 Roster'!$AZ:$AZ,$B155,'Week 2 Roster'!$AG:$AG))</f>
        <v>0</v>
      </c>
      <c r="AM155" s="17">
        <f ca="1">IF($A155=0,0,SUMIF('Week 2 Roster'!$AZ:$AZ,$B155,'Week 2 Roster'!$AI:$AI))</f>
        <v>0</v>
      </c>
      <c r="AN155" s="17">
        <f ca="1">IF($A155=0,0,SUMIF('Week 2 Roster'!$AZ:$AZ,$B155,'Week 2 Roster'!$AK:$AK))</f>
        <v>0</v>
      </c>
      <c r="AO155" s="17">
        <f ca="1">IF($A155=0,0,SUMIF('Week 2 Roster'!$AZ:$AZ,$B155,'Week 2 Roster'!$AM:$AM))</f>
        <v>0</v>
      </c>
      <c r="AP155" s="17">
        <f ca="1">IF($A155=0,0,SUMIF('Week 2 Roster'!$AZ:$AZ,$B155,'Week 2 Roster'!$AO:$AO))</f>
        <v>0</v>
      </c>
      <c r="AQ155" s="38">
        <f ca="1">IF($A155=0,0,SUMIF('Week 2 Roster'!$AZ:$AZ,$B155,'Week 2 Roster'!$AP:$AP))</f>
        <v>0</v>
      </c>
      <c r="AR155" s="17">
        <f ca="1">IF($A155=0,0,SUMIF('Week 2 Roster'!$AZ:$AZ,$B155,'Week 2 Roster'!$AQ:$AQ))</f>
        <v>0</v>
      </c>
      <c r="AS155" s="17">
        <f ca="1">IF($A155=0,0,SUMIF('Week 2 Roster'!$AZ:$AZ,$B155,'Week 2 Roster'!$AR:$AR))</f>
        <v>0</v>
      </c>
      <c r="AT155" s="17">
        <f ca="1">IF($A155=0,0,SUMIF('Week 2 Roster'!$AZ:$AZ,$B155,'Week 2 Roster'!$AS:$AS))</f>
        <v>0</v>
      </c>
      <c r="AU155" s="17">
        <f t="shared" ca="1" si="53"/>
        <v>0</v>
      </c>
      <c r="AV155" s="17"/>
    </row>
    <row r="156" spans="1:48">
      <c r="A156" s="16" cm="1">
        <f t="array" aca="1" ref="A156" ca="1">_xlfn.NUMBERVALUE(INDIRECT(TEXT(MIN(IF(($AW$2:$AX$300&lt;&gt;"")*(COUNTIF($B$1:B155,$AW$2:$AX$300)=0),ROW($2:$300)*100+COLUMN($AW:$AX),7^8)),"R0C00"),)&amp;"")</f>
        <v>0</v>
      </c>
      <c r="B156" s="28" t="str">
        <f t="shared" ca="1" si="39"/>
        <v/>
      </c>
      <c r="C156" s="28" t="str">
        <f ca="1">IF($A156=0,"",VLOOKUP($B156,Employees!$A:$G,2,FALSE))</f>
        <v/>
      </c>
      <c r="D156" s="28" t="str">
        <f ca="1">IF($A156=0,"",VLOOKUP($B156,Employees!$A:$G,3,FALSE))</f>
        <v/>
      </c>
      <c r="E156" s="26" t="str">
        <f ca="1">IF($A156=0,"",VLOOKUP($B156,Employees!$A:$G,5,FALSE))</f>
        <v/>
      </c>
      <c r="F156" s="13" t="str">
        <f ca="1">IF($E156="","",ROUNDDOWN(YEARFRAC($E156, 'Week 1 Roster'!$D$1-1, 1), 0))</f>
        <v/>
      </c>
      <c r="G156" s="13" t="str">
        <f ca="1">IF($E156="","",ROUNDDOWN(YEARFRAC($E156, 'Week 1 Roster'!$D$1+14, 1), 0))</f>
        <v/>
      </c>
      <c r="H156" s="13" t="str">
        <f t="shared" ca="1" si="40"/>
        <v/>
      </c>
      <c r="I156" s="13" t="str">
        <f ca="1">IF($A156=0,"",VLOOKUP($B156,Employees!$A:$G,6,FALSE))</f>
        <v/>
      </c>
      <c r="J156" s="13" t="str">
        <f ca="1">IF($A156=0,"",VLOOKUP($B156,Employees!$A:$G,7,FALSE))</f>
        <v/>
      </c>
      <c r="K156" s="13" t="str">
        <f ca="1">IF($A156=0,"",IF(ISNA(VLOOKUP(A156,'Week 1 Roster'!A:C,2,0)),VLOOKUP(A156,'Week 2 Roster'!A:C,2,0),VLOOKUP(A156,'Week 1 Roster'!A:C,2,0)))</f>
        <v/>
      </c>
      <c r="L156" s="13" t="str">
        <f ca="1">IF($A156=0,"",VLOOKUP(K156,Stores!A:B,2,0))</f>
        <v/>
      </c>
      <c r="M156" s="14">
        <f t="shared" ca="1" si="41"/>
        <v>0</v>
      </c>
      <c r="N156" s="14">
        <f t="shared" ca="1" si="42"/>
        <v>0</v>
      </c>
      <c r="O156" s="14">
        <f t="shared" ca="1" si="43"/>
        <v>0</v>
      </c>
      <c r="P156" s="14">
        <f t="shared" ca="1" si="44"/>
        <v>0</v>
      </c>
      <c r="Q156" s="14">
        <f t="shared" ca="1" si="45"/>
        <v>0</v>
      </c>
      <c r="R156" s="14">
        <f t="shared" ca="1" si="46"/>
        <v>0</v>
      </c>
      <c r="S156" s="28">
        <f t="shared" ca="1" si="47"/>
        <v>0</v>
      </c>
      <c r="T156" s="14">
        <f t="shared" ca="1" si="48"/>
        <v>0</v>
      </c>
      <c r="U156" s="14">
        <f t="shared" ca="1" si="49"/>
        <v>0</v>
      </c>
      <c r="V156" s="14">
        <f t="shared" ca="1" si="50"/>
        <v>0</v>
      </c>
      <c r="W156" s="14">
        <f t="shared" ca="1" si="51"/>
        <v>0</v>
      </c>
      <c r="Y156" s="17">
        <f ca="1">IF($A156=0,0,SUMIF('Week 1 Roster'!$AZ:$AZ,$B156,'Week 1 Roster'!$AE:$AE))</f>
        <v>0</v>
      </c>
      <c r="Z156" s="17">
        <f ca="1">IF($A156=0,0,SUMIF('Week 1 Roster'!$AZ:$AZ,$B156,'Week 1 Roster'!$AG:$AG))</f>
        <v>0</v>
      </c>
      <c r="AA156" s="17">
        <f ca="1">IF($A156=0,0,SUMIF('Week 1 Roster'!$AZ:$AZ,$B156,'Week 1 Roster'!$AI:$AI))</f>
        <v>0</v>
      </c>
      <c r="AB156" s="17">
        <f ca="1">IF($A156=0,0,SUMIF('Week 1 Roster'!$AZ:$AZ,$B156,'Week 1 Roster'!$AK:$AK))</f>
        <v>0</v>
      </c>
      <c r="AC156" s="17">
        <f ca="1">IF($A156=0,0,SUMIF('Week 1 Roster'!$AZ:$AZ,$B156,'Week 1 Roster'!$AM:$AM))</f>
        <v>0</v>
      </c>
      <c r="AD156" s="17">
        <f ca="1">IF($A156=0,0,SUMIF('Week 1 Roster'!$AZ:$AZ,$B156,'Week 1 Roster'!$AO:$AO))</f>
        <v>0</v>
      </c>
      <c r="AE156" s="38">
        <f ca="1">IF($A156=0,0,SUMIF('Week 1 Roster'!$AZ:$AZ,$B156,'Week 1 Roster'!$AP:$AP))</f>
        <v>0</v>
      </c>
      <c r="AF156" s="17">
        <f ca="1">IF($A156=0,0,SUMIF('Week 1 Roster'!$AZ:$AZ,$B156,'Week 1 Roster'!$AQ:$AQ))</f>
        <v>0</v>
      </c>
      <c r="AG156" s="17">
        <f ca="1">IF($A156=0,0,SUMIF('Week 1 Roster'!$AZ:$AZ,$B156,'Week 1 Roster'!$AR:$AR))</f>
        <v>0</v>
      </c>
      <c r="AH156" s="17">
        <f ca="1">IF($A156=0,0,SUMIF('Week 1 Roster'!$AZ:$AZ,$B156,'Week 1 Roster'!$AS:$AS))</f>
        <v>0</v>
      </c>
      <c r="AI156" s="17">
        <f t="shared" ca="1" si="52"/>
        <v>0</v>
      </c>
      <c r="AK156" s="17">
        <f ca="1">IF($A156=0,0,SUMIF('Week 2 Roster'!$AZ:$AZ,$B156,'Week 2 Roster'!$AE:$AE))</f>
        <v>0</v>
      </c>
      <c r="AL156" s="17">
        <f ca="1">IF($A156=0,0,SUMIF('Week 2 Roster'!$AZ:$AZ,$B156,'Week 2 Roster'!$AG:$AG))</f>
        <v>0</v>
      </c>
      <c r="AM156" s="17">
        <f ca="1">IF($A156=0,0,SUMIF('Week 2 Roster'!$AZ:$AZ,$B156,'Week 2 Roster'!$AI:$AI))</f>
        <v>0</v>
      </c>
      <c r="AN156" s="17">
        <f ca="1">IF($A156=0,0,SUMIF('Week 2 Roster'!$AZ:$AZ,$B156,'Week 2 Roster'!$AK:$AK))</f>
        <v>0</v>
      </c>
      <c r="AO156" s="17">
        <f ca="1">IF($A156=0,0,SUMIF('Week 2 Roster'!$AZ:$AZ,$B156,'Week 2 Roster'!$AM:$AM))</f>
        <v>0</v>
      </c>
      <c r="AP156" s="17">
        <f ca="1">IF($A156=0,0,SUMIF('Week 2 Roster'!$AZ:$AZ,$B156,'Week 2 Roster'!$AO:$AO))</f>
        <v>0</v>
      </c>
      <c r="AQ156" s="38">
        <f ca="1">IF($A156=0,0,SUMIF('Week 2 Roster'!$AZ:$AZ,$B156,'Week 2 Roster'!$AP:$AP))</f>
        <v>0</v>
      </c>
      <c r="AR156" s="17">
        <f ca="1">IF($A156=0,0,SUMIF('Week 2 Roster'!$AZ:$AZ,$B156,'Week 2 Roster'!$AQ:$AQ))</f>
        <v>0</v>
      </c>
      <c r="AS156" s="17">
        <f ca="1">IF($A156=0,0,SUMIF('Week 2 Roster'!$AZ:$AZ,$B156,'Week 2 Roster'!$AR:$AR))</f>
        <v>0</v>
      </c>
      <c r="AT156" s="17">
        <f ca="1">IF($A156=0,0,SUMIF('Week 2 Roster'!$AZ:$AZ,$B156,'Week 2 Roster'!$AS:$AS))</f>
        <v>0</v>
      </c>
      <c r="AU156" s="17">
        <f t="shared" ca="1" si="53"/>
        <v>0</v>
      </c>
      <c r="AV156" s="17"/>
    </row>
    <row r="157" spans="1:48">
      <c r="A157" s="16" cm="1">
        <f t="array" aca="1" ref="A157" ca="1">_xlfn.NUMBERVALUE(INDIRECT(TEXT(MIN(IF(($AW$2:$AX$300&lt;&gt;"")*(COUNTIF($B$1:B156,$AW$2:$AX$300)=0),ROW($2:$300)*100+COLUMN($AW:$AX),7^8)),"R0C00"),)&amp;"")</f>
        <v>0</v>
      </c>
      <c r="B157" s="28" t="str">
        <f t="shared" ca="1" si="39"/>
        <v/>
      </c>
      <c r="C157" s="28" t="str">
        <f ca="1">IF($A157=0,"",VLOOKUP($B157,Employees!$A:$G,2,FALSE))</f>
        <v/>
      </c>
      <c r="D157" s="28" t="str">
        <f ca="1">IF($A157=0,"",VLOOKUP($B157,Employees!$A:$G,3,FALSE))</f>
        <v/>
      </c>
      <c r="E157" s="26" t="str">
        <f ca="1">IF($A157=0,"",VLOOKUP($B157,Employees!$A:$G,5,FALSE))</f>
        <v/>
      </c>
      <c r="F157" s="13" t="str">
        <f ca="1">IF($E157="","",ROUNDDOWN(YEARFRAC($E157, 'Week 1 Roster'!$D$1-1, 1), 0))</f>
        <v/>
      </c>
      <c r="G157" s="13" t="str">
        <f ca="1">IF($E157="","",ROUNDDOWN(YEARFRAC($E157, 'Week 1 Roster'!$D$1+14, 1), 0))</f>
        <v/>
      </c>
      <c r="H157" s="13" t="str">
        <f t="shared" ca="1" si="40"/>
        <v/>
      </c>
      <c r="I157" s="13" t="str">
        <f ca="1">IF($A157=0,"",VLOOKUP($B157,Employees!$A:$G,6,FALSE))</f>
        <v/>
      </c>
      <c r="J157" s="13" t="str">
        <f ca="1">IF($A157=0,"",VLOOKUP($B157,Employees!$A:$G,7,FALSE))</f>
        <v/>
      </c>
      <c r="K157" s="13" t="str">
        <f ca="1">IF($A157=0,"",IF(ISNA(VLOOKUP(A157,'Week 1 Roster'!A:C,2,0)),VLOOKUP(A157,'Week 2 Roster'!A:C,2,0),VLOOKUP(A157,'Week 1 Roster'!A:C,2,0)))</f>
        <v/>
      </c>
      <c r="L157" s="13" t="str">
        <f ca="1">IF($A157=0,"",VLOOKUP(K157,Stores!A:B,2,0))</f>
        <v/>
      </c>
      <c r="M157" s="14">
        <f t="shared" ca="1" si="41"/>
        <v>0</v>
      </c>
      <c r="N157" s="14">
        <f t="shared" ca="1" si="42"/>
        <v>0</v>
      </c>
      <c r="O157" s="14">
        <f t="shared" ca="1" si="43"/>
        <v>0</v>
      </c>
      <c r="P157" s="14">
        <f t="shared" ca="1" si="44"/>
        <v>0</v>
      </c>
      <c r="Q157" s="14">
        <f t="shared" ca="1" si="45"/>
        <v>0</v>
      </c>
      <c r="R157" s="14">
        <f t="shared" ca="1" si="46"/>
        <v>0</v>
      </c>
      <c r="S157" s="28">
        <f t="shared" ca="1" si="47"/>
        <v>0</v>
      </c>
      <c r="T157" s="14">
        <f t="shared" ca="1" si="48"/>
        <v>0</v>
      </c>
      <c r="U157" s="14">
        <f t="shared" ca="1" si="49"/>
        <v>0</v>
      </c>
      <c r="V157" s="14">
        <f t="shared" ca="1" si="50"/>
        <v>0</v>
      </c>
      <c r="W157" s="14">
        <f t="shared" ca="1" si="51"/>
        <v>0</v>
      </c>
      <c r="Y157" s="17">
        <f ca="1">IF($A157=0,0,SUMIF('Week 1 Roster'!$AZ:$AZ,$B157,'Week 1 Roster'!$AE:$AE))</f>
        <v>0</v>
      </c>
      <c r="Z157" s="17">
        <f ca="1">IF($A157=0,0,SUMIF('Week 1 Roster'!$AZ:$AZ,$B157,'Week 1 Roster'!$AG:$AG))</f>
        <v>0</v>
      </c>
      <c r="AA157" s="17">
        <f ca="1">IF($A157=0,0,SUMIF('Week 1 Roster'!$AZ:$AZ,$B157,'Week 1 Roster'!$AI:$AI))</f>
        <v>0</v>
      </c>
      <c r="AB157" s="17">
        <f ca="1">IF($A157=0,0,SUMIF('Week 1 Roster'!$AZ:$AZ,$B157,'Week 1 Roster'!$AK:$AK))</f>
        <v>0</v>
      </c>
      <c r="AC157" s="17">
        <f ca="1">IF($A157=0,0,SUMIF('Week 1 Roster'!$AZ:$AZ,$B157,'Week 1 Roster'!$AM:$AM))</f>
        <v>0</v>
      </c>
      <c r="AD157" s="17">
        <f ca="1">IF($A157=0,0,SUMIF('Week 1 Roster'!$AZ:$AZ,$B157,'Week 1 Roster'!$AO:$AO))</f>
        <v>0</v>
      </c>
      <c r="AE157" s="38">
        <f ca="1">IF($A157=0,0,SUMIF('Week 1 Roster'!$AZ:$AZ,$B157,'Week 1 Roster'!$AP:$AP))</f>
        <v>0</v>
      </c>
      <c r="AF157" s="17">
        <f ca="1">IF($A157=0,0,SUMIF('Week 1 Roster'!$AZ:$AZ,$B157,'Week 1 Roster'!$AQ:$AQ))</f>
        <v>0</v>
      </c>
      <c r="AG157" s="17">
        <f ca="1">IF($A157=0,0,SUMIF('Week 1 Roster'!$AZ:$AZ,$B157,'Week 1 Roster'!$AR:$AR))</f>
        <v>0</v>
      </c>
      <c r="AH157" s="17">
        <f ca="1">IF($A157=0,0,SUMIF('Week 1 Roster'!$AZ:$AZ,$B157,'Week 1 Roster'!$AS:$AS))</f>
        <v>0</v>
      </c>
      <c r="AI157" s="17">
        <f t="shared" ca="1" si="52"/>
        <v>0</v>
      </c>
      <c r="AK157" s="17">
        <f ca="1">IF($A157=0,0,SUMIF('Week 2 Roster'!$AZ:$AZ,$B157,'Week 2 Roster'!$AE:$AE))</f>
        <v>0</v>
      </c>
      <c r="AL157" s="17">
        <f ca="1">IF($A157=0,0,SUMIF('Week 2 Roster'!$AZ:$AZ,$B157,'Week 2 Roster'!$AG:$AG))</f>
        <v>0</v>
      </c>
      <c r="AM157" s="17">
        <f ca="1">IF($A157=0,0,SUMIF('Week 2 Roster'!$AZ:$AZ,$B157,'Week 2 Roster'!$AI:$AI))</f>
        <v>0</v>
      </c>
      <c r="AN157" s="17">
        <f ca="1">IF($A157=0,0,SUMIF('Week 2 Roster'!$AZ:$AZ,$B157,'Week 2 Roster'!$AK:$AK))</f>
        <v>0</v>
      </c>
      <c r="AO157" s="17">
        <f ca="1">IF($A157=0,0,SUMIF('Week 2 Roster'!$AZ:$AZ,$B157,'Week 2 Roster'!$AM:$AM))</f>
        <v>0</v>
      </c>
      <c r="AP157" s="17">
        <f ca="1">IF($A157=0,0,SUMIF('Week 2 Roster'!$AZ:$AZ,$B157,'Week 2 Roster'!$AO:$AO))</f>
        <v>0</v>
      </c>
      <c r="AQ157" s="38">
        <f ca="1">IF($A157=0,0,SUMIF('Week 2 Roster'!$AZ:$AZ,$B157,'Week 2 Roster'!$AP:$AP))</f>
        <v>0</v>
      </c>
      <c r="AR157" s="17">
        <f ca="1">IF($A157=0,0,SUMIF('Week 2 Roster'!$AZ:$AZ,$B157,'Week 2 Roster'!$AQ:$AQ))</f>
        <v>0</v>
      </c>
      <c r="AS157" s="17">
        <f ca="1">IF($A157=0,0,SUMIF('Week 2 Roster'!$AZ:$AZ,$B157,'Week 2 Roster'!$AR:$AR))</f>
        <v>0</v>
      </c>
      <c r="AT157" s="17">
        <f ca="1">IF($A157=0,0,SUMIF('Week 2 Roster'!$AZ:$AZ,$B157,'Week 2 Roster'!$AS:$AS))</f>
        <v>0</v>
      </c>
      <c r="AU157" s="17">
        <f t="shared" ca="1" si="53"/>
        <v>0</v>
      </c>
      <c r="AV157" s="17"/>
    </row>
    <row r="158" spans="1:48">
      <c r="A158" s="16" cm="1">
        <f t="array" aca="1" ref="A158" ca="1">_xlfn.NUMBERVALUE(INDIRECT(TEXT(MIN(IF(($AW$2:$AX$300&lt;&gt;"")*(COUNTIF($B$1:B157,$AW$2:$AX$300)=0),ROW($2:$300)*100+COLUMN($AW:$AX),7^8)),"R0C00"),)&amp;"")</f>
        <v>0</v>
      </c>
      <c r="B158" s="28" t="str">
        <f t="shared" ca="1" si="39"/>
        <v/>
      </c>
      <c r="C158" s="28" t="str">
        <f ca="1">IF($A158=0,"",VLOOKUP($B158,Employees!$A:$G,2,FALSE))</f>
        <v/>
      </c>
      <c r="D158" s="28" t="str">
        <f ca="1">IF($A158=0,"",VLOOKUP($B158,Employees!$A:$G,3,FALSE))</f>
        <v/>
      </c>
      <c r="E158" s="26" t="str">
        <f ca="1">IF($A158=0,"",VLOOKUP($B158,Employees!$A:$G,5,FALSE))</f>
        <v/>
      </c>
      <c r="F158" s="13" t="str">
        <f ca="1">IF($E158="","",ROUNDDOWN(YEARFRAC($E158, 'Week 1 Roster'!$D$1-1, 1), 0))</f>
        <v/>
      </c>
      <c r="G158" s="13" t="str">
        <f ca="1">IF($E158="","",ROUNDDOWN(YEARFRAC($E158, 'Week 1 Roster'!$D$1+14, 1), 0))</f>
        <v/>
      </c>
      <c r="H158" s="13" t="str">
        <f t="shared" ca="1" si="40"/>
        <v/>
      </c>
      <c r="I158" s="13" t="str">
        <f ca="1">IF($A158=0,"",VLOOKUP($B158,Employees!$A:$G,6,FALSE))</f>
        <v/>
      </c>
      <c r="J158" s="13" t="str">
        <f ca="1">IF($A158=0,"",VLOOKUP($B158,Employees!$A:$G,7,FALSE))</f>
        <v/>
      </c>
      <c r="K158" s="13" t="str">
        <f ca="1">IF($A158=0,"",IF(ISNA(VLOOKUP(A158,'Week 1 Roster'!A:C,2,0)),VLOOKUP(A158,'Week 2 Roster'!A:C,2,0),VLOOKUP(A158,'Week 1 Roster'!A:C,2,0)))</f>
        <v/>
      </c>
      <c r="L158" s="13" t="str">
        <f ca="1">IF($A158=0,"",VLOOKUP(K158,Stores!A:B,2,0))</f>
        <v/>
      </c>
      <c r="M158" s="14">
        <f t="shared" ca="1" si="41"/>
        <v>0</v>
      </c>
      <c r="N158" s="14">
        <f t="shared" ca="1" si="42"/>
        <v>0</v>
      </c>
      <c r="O158" s="14">
        <f t="shared" ca="1" si="43"/>
        <v>0</v>
      </c>
      <c r="P158" s="14">
        <f t="shared" ca="1" si="44"/>
        <v>0</v>
      </c>
      <c r="Q158" s="14">
        <f t="shared" ca="1" si="45"/>
        <v>0</v>
      </c>
      <c r="R158" s="14">
        <f t="shared" ca="1" si="46"/>
        <v>0</v>
      </c>
      <c r="S158" s="28">
        <f t="shared" ca="1" si="47"/>
        <v>0</v>
      </c>
      <c r="T158" s="14">
        <f t="shared" ca="1" si="48"/>
        <v>0</v>
      </c>
      <c r="U158" s="14">
        <f t="shared" ca="1" si="49"/>
        <v>0</v>
      </c>
      <c r="V158" s="14">
        <f t="shared" ca="1" si="50"/>
        <v>0</v>
      </c>
      <c r="W158" s="14">
        <f t="shared" ca="1" si="51"/>
        <v>0</v>
      </c>
      <c r="Y158" s="17">
        <f ca="1">IF($A158=0,0,SUMIF('Week 1 Roster'!$AZ:$AZ,$B158,'Week 1 Roster'!$AE:$AE))</f>
        <v>0</v>
      </c>
      <c r="Z158" s="17">
        <f ca="1">IF($A158=0,0,SUMIF('Week 1 Roster'!$AZ:$AZ,$B158,'Week 1 Roster'!$AG:$AG))</f>
        <v>0</v>
      </c>
      <c r="AA158" s="17">
        <f ca="1">IF($A158=0,0,SUMIF('Week 1 Roster'!$AZ:$AZ,$B158,'Week 1 Roster'!$AI:$AI))</f>
        <v>0</v>
      </c>
      <c r="AB158" s="17">
        <f ca="1">IF($A158=0,0,SUMIF('Week 1 Roster'!$AZ:$AZ,$B158,'Week 1 Roster'!$AK:$AK))</f>
        <v>0</v>
      </c>
      <c r="AC158" s="17">
        <f ca="1">IF($A158=0,0,SUMIF('Week 1 Roster'!$AZ:$AZ,$B158,'Week 1 Roster'!$AM:$AM))</f>
        <v>0</v>
      </c>
      <c r="AD158" s="17">
        <f ca="1">IF($A158=0,0,SUMIF('Week 1 Roster'!$AZ:$AZ,$B158,'Week 1 Roster'!$AO:$AO))</f>
        <v>0</v>
      </c>
      <c r="AE158" s="38">
        <f ca="1">IF($A158=0,0,SUMIF('Week 1 Roster'!$AZ:$AZ,$B158,'Week 1 Roster'!$AP:$AP))</f>
        <v>0</v>
      </c>
      <c r="AF158" s="17">
        <f ca="1">IF($A158=0,0,SUMIF('Week 1 Roster'!$AZ:$AZ,$B158,'Week 1 Roster'!$AQ:$AQ))</f>
        <v>0</v>
      </c>
      <c r="AG158" s="17">
        <f ca="1">IF($A158=0,0,SUMIF('Week 1 Roster'!$AZ:$AZ,$B158,'Week 1 Roster'!$AR:$AR))</f>
        <v>0</v>
      </c>
      <c r="AH158" s="17">
        <f ca="1">IF($A158=0,0,SUMIF('Week 1 Roster'!$AZ:$AZ,$B158,'Week 1 Roster'!$AS:$AS))</f>
        <v>0</v>
      </c>
      <c r="AI158" s="17">
        <f t="shared" ca="1" si="52"/>
        <v>0</v>
      </c>
      <c r="AK158" s="17">
        <f ca="1">IF($A158=0,0,SUMIF('Week 2 Roster'!$AZ:$AZ,$B158,'Week 2 Roster'!$AE:$AE))</f>
        <v>0</v>
      </c>
      <c r="AL158" s="17">
        <f ca="1">IF($A158=0,0,SUMIF('Week 2 Roster'!$AZ:$AZ,$B158,'Week 2 Roster'!$AG:$AG))</f>
        <v>0</v>
      </c>
      <c r="AM158" s="17">
        <f ca="1">IF($A158=0,0,SUMIF('Week 2 Roster'!$AZ:$AZ,$B158,'Week 2 Roster'!$AI:$AI))</f>
        <v>0</v>
      </c>
      <c r="AN158" s="17">
        <f ca="1">IF($A158=0,0,SUMIF('Week 2 Roster'!$AZ:$AZ,$B158,'Week 2 Roster'!$AK:$AK))</f>
        <v>0</v>
      </c>
      <c r="AO158" s="17">
        <f ca="1">IF($A158=0,0,SUMIF('Week 2 Roster'!$AZ:$AZ,$B158,'Week 2 Roster'!$AM:$AM))</f>
        <v>0</v>
      </c>
      <c r="AP158" s="17">
        <f ca="1">IF($A158=0,0,SUMIF('Week 2 Roster'!$AZ:$AZ,$B158,'Week 2 Roster'!$AO:$AO))</f>
        <v>0</v>
      </c>
      <c r="AQ158" s="38">
        <f ca="1">IF($A158=0,0,SUMIF('Week 2 Roster'!$AZ:$AZ,$B158,'Week 2 Roster'!$AP:$AP))</f>
        <v>0</v>
      </c>
      <c r="AR158" s="17">
        <f ca="1">IF($A158=0,0,SUMIF('Week 2 Roster'!$AZ:$AZ,$B158,'Week 2 Roster'!$AQ:$AQ))</f>
        <v>0</v>
      </c>
      <c r="AS158" s="17">
        <f ca="1">IF($A158=0,0,SUMIF('Week 2 Roster'!$AZ:$AZ,$B158,'Week 2 Roster'!$AR:$AR))</f>
        <v>0</v>
      </c>
      <c r="AT158" s="17">
        <f ca="1">IF($A158=0,0,SUMIF('Week 2 Roster'!$AZ:$AZ,$B158,'Week 2 Roster'!$AS:$AS))</f>
        <v>0</v>
      </c>
      <c r="AU158" s="17">
        <f t="shared" ca="1" si="53"/>
        <v>0</v>
      </c>
      <c r="AV158" s="17"/>
    </row>
    <row r="159" spans="1:48">
      <c r="A159" s="16" cm="1">
        <f t="array" aca="1" ref="A159" ca="1">_xlfn.NUMBERVALUE(INDIRECT(TEXT(MIN(IF(($AW$2:$AX$300&lt;&gt;"")*(COUNTIF($B$1:B158,$AW$2:$AX$300)=0),ROW($2:$300)*100+COLUMN($AW:$AX),7^8)),"R0C00"),)&amp;"")</f>
        <v>0</v>
      </c>
      <c r="B159" s="28" t="str">
        <f t="shared" ca="1" si="39"/>
        <v/>
      </c>
      <c r="C159" s="28" t="str">
        <f ca="1">IF($A159=0,"",VLOOKUP($B159,Employees!$A:$G,2,FALSE))</f>
        <v/>
      </c>
      <c r="D159" s="28" t="str">
        <f ca="1">IF($A159=0,"",VLOOKUP($B159,Employees!$A:$G,3,FALSE))</f>
        <v/>
      </c>
      <c r="E159" s="26" t="str">
        <f ca="1">IF($A159=0,"",VLOOKUP($B159,Employees!$A:$G,5,FALSE))</f>
        <v/>
      </c>
      <c r="F159" s="13" t="str">
        <f ca="1">IF($E159="","",ROUNDDOWN(YEARFRAC($E159, 'Week 1 Roster'!$D$1-1, 1), 0))</f>
        <v/>
      </c>
      <c r="G159" s="13" t="str">
        <f ca="1">IF($E159="","",ROUNDDOWN(YEARFRAC($E159, 'Week 1 Roster'!$D$1+14, 1), 0))</f>
        <v/>
      </c>
      <c r="H159" s="13" t="str">
        <f t="shared" ca="1" si="40"/>
        <v/>
      </c>
      <c r="I159" s="13" t="str">
        <f ca="1">IF($A159=0,"",VLOOKUP($B159,Employees!$A:$G,6,FALSE))</f>
        <v/>
      </c>
      <c r="J159" s="13" t="str">
        <f ca="1">IF($A159=0,"",VLOOKUP($B159,Employees!$A:$G,7,FALSE))</f>
        <v/>
      </c>
      <c r="K159" s="13" t="str">
        <f ca="1">IF($A159=0,"",IF(ISNA(VLOOKUP(A159,'Week 1 Roster'!A:C,2,0)),VLOOKUP(A159,'Week 2 Roster'!A:C,2,0),VLOOKUP(A159,'Week 1 Roster'!A:C,2,0)))</f>
        <v/>
      </c>
      <c r="L159" s="13" t="str">
        <f ca="1">IF($A159=0,"",VLOOKUP(K159,Stores!A:B,2,0))</f>
        <v/>
      </c>
      <c r="M159" s="14">
        <f t="shared" ca="1" si="41"/>
        <v>0</v>
      </c>
      <c r="N159" s="14">
        <f t="shared" ca="1" si="42"/>
        <v>0</v>
      </c>
      <c r="O159" s="14">
        <f t="shared" ca="1" si="43"/>
        <v>0</v>
      </c>
      <c r="P159" s="14">
        <f t="shared" ca="1" si="44"/>
        <v>0</v>
      </c>
      <c r="Q159" s="14">
        <f t="shared" ca="1" si="45"/>
        <v>0</v>
      </c>
      <c r="R159" s="14">
        <f t="shared" ca="1" si="46"/>
        <v>0</v>
      </c>
      <c r="S159" s="28">
        <f t="shared" ca="1" si="47"/>
        <v>0</v>
      </c>
      <c r="T159" s="14">
        <f t="shared" ca="1" si="48"/>
        <v>0</v>
      </c>
      <c r="U159" s="14">
        <f t="shared" ca="1" si="49"/>
        <v>0</v>
      </c>
      <c r="V159" s="14">
        <f t="shared" ca="1" si="50"/>
        <v>0</v>
      </c>
      <c r="W159" s="14">
        <f t="shared" ca="1" si="51"/>
        <v>0</v>
      </c>
      <c r="Y159" s="17">
        <f ca="1">IF($A159=0,0,SUMIF('Week 1 Roster'!$AZ:$AZ,$B159,'Week 1 Roster'!$AE:$AE))</f>
        <v>0</v>
      </c>
      <c r="Z159" s="17">
        <f ca="1">IF($A159=0,0,SUMIF('Week 1 Roster'!$AZ:$AZ,$B159,'Week 1 Roster'!$AG:$AG))</f>
        <v>0</v>
      </c>
      <c r="AA159" s="17">
        <f ca="1">IF($A159=0,0,SUMIF('Week 1 Roster'!$AZ:$AZ,$B159,'Week 1 Roster'!$AI:$AI))</f>
        <v>0</v>
      </c>
      <c r="AB159" s="17">
        <f ca="1">IF($A159=0,0,SUMIF('Week 1 Roster'!$AZ:$AZ,$B159,'Week 1 Roster'!$AK:$AK))</f>
        <v>0</v>
      </c>
      <c r="AC159" s="17">
        <f ca="1">IF($A159=0,0,SUMIF('Week 1 Roster'!$AZ:$AZ,$B159,'Week 1 Roster'!$AM:$AM))</f>
        <v>0</v>
      </c>
      <c r="AD159" s="17">
        <f ca="1">IF($A159=0,0,SUMIF('Week 1 Roster'!$AZ:$AZ,$B159,'Week 1 Roster'!$AO:$AO))</f>
        <v>0</v>
      </c>
      <c r="AE159" s="38">
        <f ca="1">IF($A159=0,0,SUMIF('Week 1 Roster'!$AZ:$AZ,$B159,'Week 1 Roster'!$AP:$AP))</f>
        <v>0</v>
      </c>
      <c r="AF159" s="17">
        <f ca="1">IF($A159=0,0,SUMIF('Week 1 Roster'!$AZ:$AZ,$B159,'Week 1 Roster'!$AQ:$AQ))</f>
        <v>0</v>
      </c>
      <c r="AG159" s="17">
        <f ca="1">IF($A159=0,0,SUMIF('Week 1 Roster'!$AZ:$AZ,$B159,'Week 1 Roster'!$AR:$AR))</f>
        <v>0</v>
      </c>
      <c r="AH159" s="17">
        <f ca="1">IF($A159=0,0,SUMIF('Week 1 Roster'!$AZ:$AZ,$B159,'Week 1 Roster'!$AS:$AS))</f>
        <v>0</v>
      </c>
      <c r="AI159" s="17">
        <f t="shared" ca="1" si="52"/>
        <v>0</v>
      </c>
      <c r="AK159" s="17">
        <f ca="1">IF($A159=0,0,SUMIF('Week 2 Roster'!$AZ:$AZ,$B159,'Week 2 Roster'!$AE:$AE))</f>
        <v>0</v>
      </c>
      <c r="AL159" s="17">
        <f ca="1">IF($A159=0,0,SUMIF('Week 2 Roster'!$AZ:$AZ,$B159,'Week 2 Roster'!$AG:$AG))</f>
        <v>0</v>
      </c>
      <c r="AM159" s="17">
        <f ca="1">IF($A159=0,0,SUMIF('Week 2 Roster'!$AZ:$AZ,$B159,'Week 2 Roster'!$AI:$AI))</f>
        <v>0</v>
      </c>
      <c r="AN159" s="17">
        <f ca="1">IF($A159=0,0,SUMIF('Week 2 Roster'!$AZ:$AZ,$B159,'Week 2 Roster'!$AK:$AK))</f>
        <v>0</v>
      </c>
      <c r="AO159" s="17">
        <f ca="1">IF($A159=0,0,SUMIF('Week 2 Roster'!$AZ:$AZ,$B159,'Week 2 Roster'!$AM:$AM))</f>
        <v>0</v>
      </c>
      <c r="AP159" s="17">
        <f ca="1">IF($A159=0,0,SUMIF('Week 2 Roster'!$AZ:$AZ,$B159,'Week 2 Roster'!$AO:$AO))</f>
        <v>0</v>
      </c>
      <c r="AQ159" s="38">
        <f ca="1">IF($A159=0,0,SUMIF('Week 2 Roster'!$AZ:$AZ,$B159,'Week 2 Roster'!$AP:$AP))</f>
        <v>0</v>
      </c>
      <c r="AR159" s="17">
        <f ca="1">IF($A159=0,0,SUMIF('Week 2 Roster'!$AZ:$AZ,$B159,'Week 2 Roster'!$AQ:$AQ))</f>
        <v>0</v>
      </c>
      <c r="AS159" s="17">
        <f ca="1">IF($A159=0,0,SUMIF('Week 2 Roster'!$AZ:$AZ,$B159,'Week 2 Roster'!$AR:$AR))</f>
        <v>0</v>
      </c>
      <c r="AT159" s="17">
        <f ca="1">IF($A159=0,0,SUMIF('Week 2 Roster'!$AZ:$AZ,$B159,'Week 2 Roster'!$AS:$AS))</f>
        <v>0</v>
      </c>
      <c r="AU159" s="17">
        <f t="shared" ca="1" si="53"/>
        <v>0</v>
      </c>
      <c r="AV159" s="17"/>
    </row>
    <row r="160" spans="1:48">
      <c r="A160" s="16" cm="1">
        <f t="array" aca="1" ref="A160" ca="1">_xlfn.NUMBERVALUE(INDIRECT(TEXT(MIN(IF(($AW$2:$AX$300&lt;&gt;"")*(COUNTIF($B$1:B159,$AW$2:$AX$300)=0),ROW($2:$300)*100+COLUMN($AW:$AX),7^8)),"R0C00"),)&amp;"")</f>
        <v>0</v>
      </c>
      <c r="B160" s="28" t="str">
        <f t="shared" ca="1" si="39"/>
        <v/>
      </c>
      <c r="C160" s="28" t="str">
        <f ca="1">IF($A160=0,"",VLOOKUP($B160,Employees!$A:$G,2,FALSE))</f>
        <v/>
      </c>
      <c r="D160" s="28" t="str">
        <f ca="1">IF($A160=0,"",VLOOKUP($B160,Employees!$A:$G,3,FALSE))</f>
        <v/>
      </c>
      <c r="E160" s="26" t="str">
        <f ca="1">IF($A160=0,"",VLOOKUP($B160,Employees!$A:$G,5,FALSE))</f>
        <v/>
      </c>
      <c r="F160" s="13" t="str">
        <f ca="1">IF($E160="","",ROUNDDOWN(YEARFRAC($E160, 'Week 1 Roster'!$D$1-1, 1), 0))</f>
        <v/>
      </c>
      <c r="G160" s="13" t="str">
        <f ca="1">IF($E160="","",ROUNDDOWN(YEARFRAC($E160, 'Week 1 Roster'!$D$1+14, 1), 0))</f>
        <v/>
      </c>
      <c r="H160" s="13" t="str">
        <f t="shared" ca="1" si="40"/>
        <v/>
      </c>
      <c r="I160" s="13" t="str">
        <f ca="1">IF($A160=0,"",VLOOKUP($B160,Employees!$A:$G,6,FALSE))</f>
        <v/>
      </c>
      <c r="J160" s="13" t="str">
        <f ca="1">IF($A160=0,"",VLOOKUP($B160,Employees!$A:$G,7,FALSE))</f>
        <v/>
      </c>
      <c r="K160" s="13" t="str">
        <f ca="1">IF($A160=0,"",IF(ISNA(VLOOKUP(A160,'Week 1 Roster'!A:C,2,0)),VLOOKUP(A160,'Week 2 Roster'!A:C,2,0),VLOOKUP(A160,'Week 1 Roster'!A:C,2,0)))</f>
        <v/>
      </c>
      <c r="L160" s="13" t="str">
        <f ca="1">IF($A160=0,"",VLOOKUP(K160,Stores!A:B,2,0))</f>
        <v/>
      </c>
      <c r="M160" s="14">
        <f t="shared" ca="1" si="41"/>
        <v>0</v>
      </c>
      <c r="N160" s="14">
        <f t="shared" ca="1" si="42"/>
        <v>0</v>
      </c>
      <c r="O160" s="14">
        <f t="shared" ca="1" si="43"/>
        <v>0</v>
      </c>
      <c r="P160" s="14">
        <f t="shared" ca="1" si="44"/>
        <v>0</v>
      </c>
      <c r="Q160" s="14">
        <f t="shared" ca="1" si="45"/>
        <v>0</v>
      </c>
      <c r="R160" s="14">
        <f t="shared" ca="1" si="46"/>
        <v>0</v>
      </c>
      <c r="S160" s="28">
        <f t="shared" ca="1" si="47"/>
        <v>0</v>
      </c>
      <c r="T160" s="14">
        <f t="shared" ca="1" si="48"/>
        <v>0</v>
      </c>
      <c r="U160" s="14">
        <f t="shared" ca="1" si="49"/>
        <v>0</v>
      </c>
      <c r="V160" s="14">
        <f t="shared" ca="1" si="50"/>
        <v>0</v>
      </c>
      <c r="W160" s="14">
        <f t="shared" ca="1" si="51"/>
        <v>0</v>
      </c>
      <c r="Y160" s="17">
        <f ca="1">IF($A160=0,0,SUMIF('Week 1 Roster'!$AZ:$AZ,$B160,'Week 1 Roster'!$AE:$AE))</f>
        <v>0</v>
      </c>
      <c r="Z160" s="17">
        <f ca="1">IF($A160=0,0,SUMIF('Week 1 Roster'!$AZ:$AZ,$B160,'Week 1 Roster'!$AG:$AG))</f>
        <v>0</v>
      </c>
      <c r="AA160" s="17">
        <f ca="1">IF($A160=0,0,SUMIF('Week 1 Roster'!$AZ:$AZ,$B160,'Week 1 Roster'!$AI:$AI))</f>
        <v>0</v>
      </c>
      <c r="AB160" s="17">
        <f ca="1">IF($A160=0,0,SUMIF('Week 1 Roster'!$AZ:$AZ,$B160,'Week 1 Roster'!$AK:$AK))</f>
        <v>0</v>
      </c>
      <c r="AC160" s="17">
        <f ca="1">IF($A160=0,0,SUMIF('Week 1 Roster'!$AZ:$AZ,$B160,'Week 1 Roster'!$AM:$AM))</f>
        <v>0</v>
      </c>
      <c r="AD160" s="17">
        <f ca="1">IF($A160=0,0,SUMIF('Week 1 Roster'!$AZ:$AZ,$B160,'Week 1 Roster'!$AO:$AO))</f>
        <v>0</v>
      </c>
      <c r="AE160" s="38">
        <f ca="1">IF($A160=0,0,SUMIF('Week 1 Roster'!$AZ:$AZ,$B160,'Week 1 Roster'!$AP:$AP))</f>
        <v>0</v>
      </c>
      <c r="AF160" s="17">
        <f ca="1">IF($A160=0,0,SUMIF('Week 1 Roster'!$AZ:$AZ,$B160,'Week 1 Roster'!$AQ:$AQ))</f>
        <v>0</v>
      </c>
      <c r="AG160" s="17">
        <f ca="1">IF($A160=0,0,SUMIF('Week 1 Roster'!$AZ:$AZ,$B160,'Week 1 Roster'!$AR:$AR))</f>
        <v>0</v>
      </c>
      <c r="AH160" s="17">
        <f ca="1">IF($A160=0,0,SUMIF('Week 1 Roster'!$AZ:$AZ,$B160,'Week 1 Roster'!$AS:$AS))</f>
        <v>0</v>
      </c>
      <c r="AI160" s="17">
        <f t="shared" ca="1" si="52"/>
        <v>0</v>
      </c>
      <c r="AK160" s="17">
        <f ca="1">IF($A160=0,0,SUMIF('Week 2 Roster'!$AZ:$AZ,$B160,'Week 2 Roster'!$AE:$AE))</f>
        <v>0</v>
      </c>
      <c r="AL160" s="17">
        <f ca="1">IF($A160=0,0,SUMIF('Week 2 Roster'!$AZ:$AZ,$B160,'Week 2 Roster'!$AG:$AG))</f>
        <v>0</v>
      </c>
      <c r="AM160" s="17">
        <f ca="1">IF($A160=0,0,SUMIF('Week 2 Roster'!$AZ:$AZ,$B160,'Week 2 Roster'!$AI:$AI))</f>
        <v>0</v>
      </c>
      <c r="AN160" s="17">
        <f ca="1">IF($A160=0,0,SUMIF('Week 2 Roster'!$AZ:$AZ,$B160,'Week 2 Roster'!$AK:$AK))</f>
        <v>0</v>
      </c>
      <c r="AO160" s="17">
        <f ca="1">IF($A160=0,0,SUMIF('Week 2 Roster'!$AZ:$AZ,$B160,'Week 2 Roster'!$AM:$AM))</f>
        <v>0</v>
      </c>
      <c r="AP160" s="17">
        <f ca="1">IF($A160=0,0,SUMIF('Week 2 Roster'!$AZ:$AZ,$B160,'Week 2 Roster'!$AO:$AO))</f>
        <v>0</v>
      </c>
      <c r="AQ160" s="38">
        <f ca="1">IF($A160=0,0,SUMIF('Week 2 Roster'!$AZ:$AZ,$B160,'Week 2 Roster'!$AP:$AP))</f>
        <v>0</v>
      </c>
      <c r="AR160" s="17">
        <f ca="1">IF($A160=0,0,SUMIF('Week 2 Roster'!$AZ:$AZ,$B160,'Week 2 Roster'!$AQ:$AQ))</f>
        <v>0</v>
      </c>
      <c r="AS160" s="17">
        <f ca="1">IF($A160=0,0,SUMIF('Week 2 Roster'!$AZ:$AZ,$B160,'Week 2 Roster'!$AR:$AR))</f>
        <v>0</v>
      </c>
      <c r="AT160" s="17">
        <f ca="1">IF($A160=0,0,SUMIF('Week 2 Roster'!$AZ:$AZ,$B160,'Week 2 Roster'!$AS:$AS))</f>
        <v>0</v>
      </c>
      <c r="AU160" s="17">
        <f t="shared" ca="1" si="53"/>
        <v>0</v>
      </c>
      <c r="AV160" s="17"/>
    </row>
    <row r="161" spans="1:48">
      <c r="A161" s="16" cm="1">
        <f t="array" aca="1" ref="A161" ca="1">_xlfn.NUMBERVALUE(INDIRECT(TEXT(MIN(IF(($AW$2:$AX$300&lt;&gt;"")*(COUNTIF($B$1:B160,$AW$2:$AX$300)=0),ROW($2:$300)*100+COLUMN($AW:$AX),7^8)),"R0C00"),)&amp;"")</f>
        <v>0</v>
      </c>
      <c r="B161" s="28" t="str">
        <f t="shared" ca="1" si="39"/>
        <v/>
      </c>
      <c r="C161" s="28" t="str">
        <f ca="1">IF($A161=0,"",VLOOKUP($B161,Employees!$A:$G,2,FALSE))</f>
        <v/>
      </c>
      <c r="D161" s="28" t="str">
        <f ca="1">IF($A161=0,"",VLOOKUP($B161,Employees!$A:$G,3,FALSE))</f>
        <v/>
      </c>
      <c r="E161" s="26" t="str">
        <f ca="1">IF($A161=0,"",VLOOKUP($B161,Employees!$A:$G,5,FALSE))</f>
        <v/>
      </c>
      <c r="F161" s="13" t="str">
        <f ca="1">IF($E161="","",ROUNDDOWN(YEARFRAC($E161, 'Week 1 Roster'!$D$1-1, 1), 0))</f>
        <v/>
      </c>
      <c r="G161" s="13" t="str">
        <f ca="1">IF($E161="","",ROUNDDOWN(YEARFRAC($E161, 'Week 1 Roster'!$D$1+14, 1), 0))</f>
        <v/>
      </c>
      <c r="H161" s="13" t="str">
        <f t="shared" ca="1" si="40"/>
        <v/>
      </c>
      <c r="I161" s="13" t="str">
        <f ca="1">IF($A161=0,"",VLOOKUP($B161,Employees!$A:$G,6,FALSE))</f>
        <v/>
      </c>
      <c r="J161" s="13" t="str">
        <f ca="1">IF($A161=0,"",VLOOKUP($B161,Employees!$A:$G,7,FALSE))</f>
        <v/>
      </c>
      <c r="K161" s="13" t="str">
        <f ca="1">IF($A161=0,"",IF(ISNA(VLOOKUP(A161,'Week 1 Roster'!A:C,2,0)),VLOOKUP(A161,'Week 2 Roster'!A:C,2,0),VLOOKUP(A161,'Week 1 Roster'!A:C,2,0)))</f>
        <v/>
      </c>
      <c r="L161" s="13" t="str">
        <f ca="1">IF($A161=0,"",VLOOKUP(K161,Stores!A:B,2,0))</f>
        <v/>
      </c>
      <c r="M161" s="14">
        <f t="shared" ca="1" si="41"/>
        <v>0</v>
      </c>
      <c r="N161" s="14">
        <f t="shared" ca="1" si="42"/>
        <v>0</v>
      </c>
      <c r="O161" s="14">
        <f t="shared" ca="1" si="43"/>
        <v>0</v>
      </c>
      <c r="P161" s="14">
        <f t="shared" ca="1" si="44"/>
        <v>0</v>
      </c>
      <c r="Q161" s="14">
        <f t="shared" ca="1" si="45"/>
        <v>0</v>
      </c>
      <c r="R161" s="14">
        <f t="shared" ca="1" si="46"/>
        <v>0</v>
      </c>
      <c r="S161" s="28">
        <f t="shared" ca="1" si="47"/>
        <v>0</v>
      </c>
      <c r="T161" s="14">
        <f t="shared" ca="1" si="48"/>
        <v>0</v>
      </c>
      <c r="U161" s="14">
        <f t="shared" ca="1" si="49"/>
        <v>0</v>
      </c>
      <c r="V161" s="14">
        <f t="shared" ca="1" si="50"/>
        <v>0</v>
      </c>
      <c r="W161" s="14">
        <f t="shared" ca="1" si="51"/>
        <v>0</v>
      </c>
      <c r="Y161" s="17">
        <f ca="1">IF($A161=0,0,SUMIF('Week 1 Roster'!$AZ:$AZ,$B161,'Week 1 Roster'!$AE:$AE))</f>
        <v>0</v>
      </c>
      <c r="Z161" s="17">
        <f ca="1">IF($A161=0,0,SUMIF('Week 1 Roster'!$AZ:$AZ,$B161,'Week 1 Roster'!$AG:$AG))</f>
        <v>0</v>
      </c>
      <c r="AA161" s="17">
        <f ca="1">IF($A161=0,0,SUMIF('Week 1 Roster'!$AZ:$AZ,$B161,'Week 1 Roster'!$AI:$AI))</f>
        <v>0</v>
      </c>
      <c r="AB161" s="17">
        <f ca="1">IF($A161=0,0,SUMIF('Week 1 Roster'!$AZ:$AZ,$B161,'Week 1 Roster'!$AK:$AK))</f>
        <v>0</v>
      </c>
      <c r="AC161" s="17">
        <f ca="1">IF($A161=0,0,SUMIF('Week 1 Roster'!$AZ:$AZ,$B161,'Week 1 Roster'!$AM:$AM))</f>
        <v>0</v>
      </c>
      <c r="AD161" s="17">
        <f ca="1">IF($A161=0,0,SUMIF('Week 1 Roster'!$AZ:$AZ,$B161,'Week 1 Roster'!$AO:$AO))</f>
        <v>0</v>
      </c>
      <c r="AE161" s="38">
        <f ca="1">IF($A161=0,0,SUMIF('Week 1 Roster'!$AZ:$AZ,$B161,'Week 1 Roster'!$AP:$AP))</f>
        <v>0</v>
      </c>
      <c r="AF161" s="17">
        <f ca="1">IF($A161=0,0,SUMIF('Week 1 Roster'!$AZ:$AZ,$B161,'Week 1 Roster'!$AQ:$AQ))</f>
        <v>0</v>
      </c>
      <c r="AG161" s="17">
        <f ca="1">IF($A161=0,0,SUMIF('Week 1 Roster'!$AZ:$AZ,$B161,'Week 1 Roster'!$AR:$AR))</f>
        <v>0</v>
      </c>
      <c r="AH161" s="17">
        <f ca="1">IF($A161=0,0,SUMIF('Week 1 Roster'!$AZ:$AZ,$B161,'Week 1 Roster'!$AS:$AS))</f>
        <v>0</v>
      </c>
      <c r="AI161" s="17">
        <f t="shared" ca="1" si="52"/>
        <v>0</v>
      </c>
      <c r="AK161" s="17">
        <f ca="1">IF($A161=0,0,SUMIF('Week 2 Roster'!$AZ:$AZ,$B161,'Week 2 Roster'!$AE:$AE))</f>
        <v>0</v>
      </c>
      <c r="AL161" s="17">
        <f ca="1">IF($A161=0,0,SUMIF('Week 2 Roster'!$AZ:$AZ,$B161,'Week 2 Roster'!$AG:$AG))</f>
        <v>0</v>
      </c>
      <c r="AM161" s="17">
        <f ca="1">IF($A161=0,0,SUMIF('Week 2 Roster'!$AZ:$AZ,$B161,'Week 2 Roster'!$AI:$AI))</f>
        <v>0</v>
      </c>
      <c r="AN161" s="17">
        <f ca="1">IF($A161=0,0,SUMIF('Week 2 Roster'!$AZ:$AZ,$B161,'Week 2 Roster'!$AK:$AK))</f>
        <v>0</v>
      </c>
      <c r="AO161" s="17">
        <f ca="1">IF($A161=0,0,SUMIF('Week 2 Roster'!$AZ:$AZ,$B161,'Week 2 Roster'!$AM:$AM))</f>
        <v>0</v>
      </c>
      <c r="AP161" s="17">
        <f ca="1">IF($A161=0,0,SUMIF('Week 2 Roster'!$AZ:$AZ,$B161,'Week 2 Roster'!$AO:$AO))</f>
        <v>0</v>
      </c>
      <c r="AQ161" s="38">
        <f ca="1">IF($A161=0,0,SUMIF('Week 2 Roster'!$AZ:$AZ,$B161,'Week 2 Roster'!$AP:$AP))</f>
        <v>0</v>
      </c>
      <c r="AR161" s="17">
        <f ca="1">IF($A161=0,0,SUMIF('Week 2 Roster'!$AZ:$AZ,$B161,'Week 2 Roster'!$AQ:$AQ))</f>
        <v>0</v>
      </c>
      <c r="AS161" s="17">
        <f ca="1">IF($A161=0,0,SUMIF('Week 2 Roster'!$AZ:$AZ,$B161,'Week 2 Roster'!$AR:$AR))</f>
        <v>0</v>
      </c>
      <c r="AT161" s="17">
        <f ca="1">IF($A161=0,0,SUMIF('Week 2 Roster'!$AZ:$AZ,$B161,'Week 2 Roster'!$AS:$AS))</f>
        <v>0</v>
      </c>
      <c r="AU161" s="17">
        <f t="shared" ca="1" si="53"/>
        <v>0</v>
      </c>
      <c r="AV161" s="17"/>
    </row>
    <row r="162" spans="1:48">
      <c r="A162" s="16" cm="1">
        <f t="array" aca="1" ref="A162" ca="1">_xlfn.NUMBERVALUE(INDIRECT(TEXT(MIN(IF(($AW$2:$AX$300&lt;&gt;"")*(COUNTIF($B$1:B161,$AW$2:$AX$300)=0),ROW($2:$300)*100+COLUMN($AW:$AX),7^8)),"R0C00"),)&amp;"")</f>
        <v>0</v>
      </c>
      <c r="B162" s="28" t="str">
        <f t="shared" ca="1" si="39"/>
        <v/>
      </c>
      <c r="C162" s="28" t="str">
        <f ca="1">IF($A162=0,"",VLOOKUP($B162,Employees!$A:$G,2,FALSE))</f>
        <v/>
      </c>
      <c r="D162" s="28" t="str">
        <f ca="1">IF($A162=0,"",VLOOKUP($B162,Employees!$A:$G,3,FALSE))</f>
        <v/>
      </c>
      <c r="E162" s="26" t="str">
        <f ca="1">IF($A162=0,"",VLOOKUP($B162,Employees!$A:$G,5,FALSE))</f>
        <v/>
      </c>
      <c r="F162" s="13" t="str">
        <f ca="1">IF($E162="","",ROUNDDOWN(YEARFRAC($E162, 'Week 1 Roster'!$D$1-1, 1), 0))</f>
        <v/>
      </c>
      <c r="G162" s="13" t="str">
        <f ca="1">IF($E162="","",ROUNDDOWN(YEARFRAC($E162, 'Week 1 Roster'!$D$1+14, 1), 0))</f>
        <v/>
      </c>
      <c r="H162" s="13" t="str">
        <f t="shared" ca="1" si="40"/>
        <v/>
      </c>
      <c r="I162" s="13" t="str">
        <f ca="1">IF($A162=0,"",VLOOKUP($B162,Employees!$A:$G,6,FALSE))</f>
        <v/>
      </c>
      <c r="J162" s="13" t="str">
        <f ca="1">IF($A162=0,"",VLOOKUP($B162,Employees!$A:$G,7,FALSE))</f>
        <v/>
      </c>
      <c r="K162" s="13" t="str">
        <f ca="1">IF($A162=0,"",IF(ISNA(VLOOKUP(A162,'Week 1 Roster'!A:C,2,0)),VLOOKUP(A162,'Week 2 Roster'!A:C,2,0),VLOOKUP(A162,'Week 1 Roster'!A:C,2,0)))</f>
        <v/>
      </c>
      <c r="L162" s="13" t="str">
        <f ca="1">IF($A162=0,"",VLOOKUP(K162,Stores!A:B,2,0))</f>
        <v/>
      </c>
      <c r="M162" s="14">
        <f t="shared" ca="1" si="41"/>
        <v>0</v>
      </c>
      <c r="N162" s="14">
        <f t="shared" ca="1" si="42"/>
        <v>0</v>
      </c>
      <c r="O162" s="14">
        <f t="shared" ca="1" si="43"/>
        <v>0</v>
      </c>
      <c r="P162" s="14">
        <f t="shared" ca="1" si="44"/>
        <v>0</v>
      </c>
      <c r="Q162" s="14">
        <f t="shared" ca="1" si="45"/>
        <v>0</v>
      </c>
      <c r="R162" s="14">
        <f t="shared" ca="1" si="46"/>
        <v>0</v>
      </c>
      <c r="S162" s="28">
        <f t="shared" ca="1" si="47"/>
        <v>0</v>
      </c>
      <c r="T162" s="14">
        <f t="shared" ca="1" si="48"/>
        <v>0</v>
      </c>
      <c r="U162" s="14">
        <f t="shared" ca="1" si="49"/>
        <v>0</v>
      </c>
      <c r="V162" s="14">
        <f t="shared" ca="1" si="50"/>
        <v>0</v>
      </c>
      <c r="W162" s="14">
        <f t="shared" ca="1" si="51"/>
        <v>0</v>
      </c>
      <c r="Y162" s="17">
        <f ca="1">IF($A162=0,0,SUMIF('Week 1 Roster'!$AZ:$AZ,$B162,'Week 1 Roster'!$AE:$AE))</f>
        <v>0</v>
      </c>
      <c r="Z162" s="17">
        <f ca="1">IF($A162=0,0,SUMIF('Week 1 Roster'!$AZ:$AZ,$B162,'Week 1 Roster'!$AG:$AG))</f>
        <v>0</v>
      </c>
      <c r="AA162" s="17">
        <f ca="1">IF($A162=0,0,SUMIF('Week 1 Roster'!$AZ:$AZ,$B162,'Week 1 Roster'!$AI:$AI))</f>
        <v>0</v>
      </c>
      <c r="AB162" s="17">
        <f ca="1">IF($A162=0,0,SUMIF('Week 1 Roster'!$AZ:$AZ,$B162,'Week 1 Roster'!$AK:$AK))</f>
        <v>0</v>
      </c>
      <c r="AC162" s="17">
        <f ca="1">IF($A162=0,0,SUMIF('Week 1 Roster'!$AZ:$AZ,$B162,'Week 1 Roster'!$AM:$AM))</f>
        <v>0</v>
      </c>
      <c r="AD162" s="17">
        <f ca="1">IF($A162=0,0,SUMIF('Week 1 Roster'!$AZ:$AZ,$B162,'Week 1 Roster'!$AO:$AO))</f>
        <v>0</v>
      </c>
      <c r="AE162" s="38">
        <f ca="1">IF($A162=0,0,SUMIF('Week 1 Roster'!$AZ:$AZ,$B162,'Week 1 Roster'!$AP:$AP))</f>
        <v>0</v>
      </c>
      <c r="AF162" s="17">
        <f ca="1">IF($A162=0,0,SUMIF('Week 1 Roster'!$AZ:$AZ,$B162,'Week 1 Roster'!$AQ:$AQ))</f>
        <v>0</v>
      </c>
      <c r="AG162" s="17">
        <f ca="1">IF($A162=0,0,SUMIF('Week 1 Roster'!$AZ:$AZ,$B162,'Week 1 Roster'!$AR:$AR))</f>
        <v>0</v>
      </c>
      <c r="AH162" s="17">
        <f ca="1">IF($A162=0,0,SUMIF('Week 1 Roster'!$AZ:$AZ,$B162,'Week 1 Roster'!$AS:$AS))</f>
        <v>0</v>
      </c>
      <c r="AI162" s="17">
        <f t="shared" ca="1" si="52"/>
        <v>0</v>
      </c>
      <c r="AK162" s="17">
        <f ca="1">IF($A162=0,0,SUMIF('Week 2 Roster'!$AZ:$AZ,$B162,'Week 2 Roster'!$AE:$AE))</f>
        <v>0</v>
      </c>
      <c r="AL162" s="17">
        <f ca="1">IF($A162=0,0,SUMIF('Week 2 Roster'!$AZ:$AZ,$B162,'Week 2 Roster'!$AG:$AG))</f>
        <v>0</v>
      </c>
      <c r="AM162" s="17">
        <f ca="1">IF($A162=0,0,SUMIF('Week 2 Roster'!$AZ:$AZ,$B162,'Week 2 Roster'!$AI:$AI))</f>
        <v>0</v>
      </c>
      <c r="AN162" s="17">
        <f ca="1">IF($A162=0,0,SUMIF('Week 2 Roster'!$AZ:$AZ,$B162,'Week 2 Roster'!$AK:$AK))</f>
        <v>0</v>
      </c>
      <c r="AO162" s="17">
        <f ca="1">IF($A162=0,0,SUMIF('Week 2 Roster'!$AZ:$AZ,$B162,'Week 2 Roster'!$AM:$AM))</f>
        <v>0</v>
      </c>
      <c r="AP162" s="17">
        <f ca="1">IF($A162=0,0,SUMIF('Week 2 Roster'!$AZ:$AZ,$B162,'Week 2 Roster'!$AO:$AO))</f>
        <v>0</v>
      </c>
      <c r="AQ162" s="38">
        <f ca="1">IF($A162=0,0,SUMIF('Week 2 Roster'!$AZ:$AZ,$B162,'Week 2 Roster'!$AP:$AP))</f>
        <v>0</v>
      </c>
      <c r="AR162" s="17">
        <f ca="1">IF($A162=0,0,SUMIF('Week 2 Roster'!$AZ:$AZ,$B162,'Week 2 Roster'!$AQ:$AQ))</f>
        <v>0</v>
      </c>
      <c r="AS162" s="17">
        <f ca="1">IF($A162=0,0,SUMIF('Week 2 Roster'!$AZ:$AZ,$B162,'Week 2 Roster'!$AR:$AR))</f>
        <v>0</v>
      </c>
      <c r="AT162" s="17">
        <f ca="1">IF($A162=0,0,SUMIF('Week 2 Roster'!$AZ:$AZ,$B162,'Week 2 Roster'!$AS:$AS))</f>
        <v>0</v>
      </c>
      <c r="AU162" s="17">
        <f t="shared" ca="1" si="53"/>
        <v>0</v>
      </c>
      <c r="AV162" s="17"/>
    </row>
    <row r="163" spans="1:48">
      <c r="A163" s="16" cm="1">
        <f t="array" aca="1" ref="A163" ca="1">_xlfn.NUMBERVALUE(INDIRECT(TEXT(MIN(IF(($AW$2:$AX$300&lt;&gt;"")*(COUNTIF($B$1:B162,$AW$2:$AX$300)=0),ROW($2:$300)*100+COLUMN($AW:$AX),7^8)),"R0C00"),)&amp;"")</f>
        <v>0</v>
      </c>
      <c r="B163" s="28" t="str">
        <f t="shared" ca="1" si="39"/>
        <v/>
      </c>
      <c r="C163" s="28" t="str">
        <f ca="1">IF($A163=0,"",VLOOKUP($B163,Employees!$A:$G,2,FALSE))</f>
        <v/>
      </c>
      <c r="D163" s="28" t="str">
        <f ca="1">IF($A163=0,"",VLOOKUP($B163,Employees!$A:$G,3,FALSE))</f>
        <v/>
      </c>
      <c r="E163" s="26" t="str">
        <f ca="1">IF($A163=0,"",VLOOKUP($B163,Employees!$A:$G,5,FALSE))</f>
        <v/>
      </c>
      <c r="F163" s="13" t="str">
        <f ca="1">IF($E163="","",ROUNDDOWN(YEARFRAC($E163, 'Week 1 Roster'!$D$1-1, 1), 0))</f>
        <v/>
      </c>
      <c r="G163" s="13" t="str">
        <f ca="1">IF($E163="","",ROUNDDOWN(YEARFRAC($E163, 'Week 1 Roster'!$D$1+14, 1), 0))</f>
        <v/>
      </c>
      <c r="H163" s="13" t="str">
        <f t="shared" ca="1" si="40"/>
        <v/>
      </c>
      <c r="I163" s="13" t="str">
        <f ca="1">IF($A163=0,"",VLOOKUP($B163,Employees!$A:$G,6,FALSE))</f>
        <v/>
      </c>
      <c r="J163" s="13" t="str">
        <f ca="1">IF($A163=0,"",VLOOKUP($B163,Employees!$A:$G,7,FALSE))</f>
        <v/>
      </c>
      <c r="K163" s="13" t="str">
        <f ca="1">IF($A163=0,"",IF(ISNA(VLOOKUP(A163,'Week 1 Roster'!A:C,2,0)),VLOOKUP(A163,'Week 2 Roster'!A:C,2,0),VLOOKUP(A163,'Week 1 Roster'!A:C,2,0)))</f>
        <v/>
      </c>
      <c r="L163" s="13" t="str">
        <f ca="1">IF($A163=0,"",VLOOKUP(K163,Stores!A:B,2,0))</f>
        <v/>
      </c>
      <c r="M163" s="14">
        <f t="shared" ca="1" si="41"/>
        <v>0</v>
      </c>
      <c r="N163" s="14">
        <f t="shared" ca="1" si="42"/>
        <v>0</v>
      </c>
      <c r="O163" s="14">
        <f t="shared" ca="1" si="43"/>
        <v>0</v>
      </c>
      <c r="P163" s="14">
        <f t="shared" ca="1" si="44"/>
        <v>0</v>
      </c>
      <c r="Q163" s="14">
        <f t="shared" ca="1" si="45"/>
        <v>0</v>
      </c>
      <c r="R163" s="14">
        <f t="shared" ca="1" si="46"/>
        <v>0</v>
      </c>
      <c r="S163" s="28">
        <f t="shared" ca="1" si="47"/>
        <v>0</v>
      </c>
      <c r="T163" s="14">
        <f t="shared" ca="1" si="48"/>
        <v>0</v>
      </c>
      <c r="U163" s="14">
        <f t="shared" ca="1" si="49"/>
        <v>0</v>
      </c>
      <c r="V163" s="14">
        <f t="shared" ca="1" si="50"/>
        <v>0</v>
      </c>
      <c r="W163" s="14">
        <f t="shared" ca="1" si="51"/>
        <v>0</v>
      </c>
      <c r="Y163" s="17">
        <f ca="1">IF($A163=0,0,SUMIF('Week 1 Roster'!$AZ:$AZ,$B163,'Week 1 Roster'!$AE:$AE))</f>
        <v>0</v>
      </c>
      <c r="Z163" s="17">
        <f ca="1">IF($A163=0,0,SUMIF('Week 1 Roster'!$AZ:$AZ,$B163,'Week 1 Roster'!$AG:$AG))</f>
        <v>0</v>
      </c>
      <c r="AA163" s="17">
        <f ca="1">IF($A163=0,0,SUMIF('Week 1 Roster'!$AZ:$AZ,$B163,'Week 1 Roster'!$AI:$AI))</f>
        <v>0</v>
      </c>
      <c r="AB163" s="17">
        <f ca="1">IF($A163=0,0,SUMIF('Week 1 Roster'!$AZ:$AZ,$B163,'Week 1 Roster'!$AK:$AK))</f>
        <v>0</v>
      </c>
      <c r="AC163" s="17">
        <f ca="1">IF($A163=0,0,SUMIF('Week 1 Roster'!$AZ:$AZ,$B163,'Week 1 Roster'!$AM:$AM))</f>
        <v>0</v>
      </c>
      <c r="AD163" s="17">
        <f ca="1">IF($A163=0,0,SUMIF('Week 1 Roster'!$AZ:$AZ,$B163,'Week 1 Roster'!$AO:$AO))</f>
        <v>0</v>
      </c>
      <c r="AE163" s="38">
        <f ca="1">IF($A163=0,0,SUMIF('Week 1 Roster'!$AZ:$AZ,$B163,'Week 1 Roster'!$AP:$AP))</f>
        <v>0</v>
      </c>
      <c r="AF163" s="17">
        <f ca="1">IF($A163=0,0,SUMIF('Week 1 Roster'!$AZ:$AZ,$B163,'Week 1 Roster'!$AQ:$AQ))</f>
        <v>0</v>
      </c>
      <c r="AG163" s="17">
        <f ca="1">IF($A163=0,0,SUMIF('Week 1 Roster'!$AZ:$AZ,$B163,'Week 1 Roster'!$AR:$AR))</f>
        <v>0</v>
      </c>
      <c r="AH163" s="17">
        <f ca="1">IF($A163=0,0,SUMIF('Week 1 Roster'!$AZ:$AZ,$B163,'Week 1 Roster'!$AS:$AS))</f>
        <v>0</v>
      </c>
      <c r="AI163" s="17">
        <f t="shared" ca="1" si="52"/>
        <v>0</v>
      </c>
      <c r="AK163" s="17">
        <f ca="1">IF($A163=0,0,SUMIF('Week 2 Roster'!$AZ:$AZ,$B163,'Week 2 Roster'!$AE:$AE))</f>
        <v>0</v>
      </c>
      <c r="AL163" s="17">
        <f ca="1">IF($A163=0,0,SUMIF('Week 2 Roster'!$AZ:$AZ,$B163,'Week 2 Roster'!$AG:$AG))</f>
        <v>0</v>
      </c>
      <c r="AM163" s="17">
        <f ca="1">IF($A163=0,0,SUMIF('Week 2 Roster'!$AZ:$AZ,$B163,'Week 2 Roster'!$AI:$AI))</f>
        <v>0</v>
      </c>
      <c r="AN163" s="17">
        <f ca="1">IF($A163=0,0,SUMIF('Week 2 Roster'!$AZ:$AZ,$B163,'Week 2 Roster'!$AK:$AK))</f>
        <v>0</v>
      </c>
      <c r="AO163" s="17">
        <f ca="1">IF($A163=0,0,SUMIF('Week 2 Roster'!$AZ:$AZ,$B163,'Week 2 Roster'!$AM:$AM))</f>
        <v>0</v>
      </c>
      <c r="AP163" s="17">
        <f ca="1">IF($A163=0,0,SUMIF('Week 2 Roster'!$AZ:$AZ,$B163,'Week 2 Roster'!$AO:$AO))</f>
        <v>0</v>
      </c>
      <c r="AQ163" s="38">
        <f ca="1">IF($A163=0,0,SUMIF('Week 2 Roster'!$AZ:$AZ,$B163,'Week 2 Roster'!$AP:$AP))</f>
        <v>0</v>
      </c>
      <c r="AR163" s="17">
        <f ca="1">IF($A163=0,0,SUMIF('Week 2 Roster'!$AZ:$AZ,$B163,'Week 2 Roster'!$AQ:$AQ))</f>
        <v>0</v>
      </c>
      <c r="AS163" s="17">
        <f ca="1">IF($A163=0,0,SUMIF('Week 2 Roster'!$AZ:$AZ,$B163,'Week 2 Roster'!$AR:$AR))</f>
        <v>0</v>
      </c>
      <c r="AT163" s="17">
        <f ca="1">IF($A163=0,0,SUMIF('Week 2 Roster'!$AZ:$AZ,$B163,'Week 2 Roster'!$AS:$AS))</f>
        <v>0</v>
      </c>
      <c r="AU163" s="17">
        <f t="shared" ca="1" si="53"/>
        <v>0</v>
      </c>
      <c r="AV163" s="17"/>
    </row>
    <row r="164" spans="1:48">
      <c r="A164" s="16" cm="1">
        <f t="array" aca="1" ref="A164" ca="1">_xlfn.NUMBERVALUE(INDIRECT(TEXT(MIN(IF(($AW$2:$AX$300&lt;&gt;"")*(COUNTIF($B$1:B163,$AW$2:$AX$300)=0),ROW($2:$300)*100+COLUMN($AW:$AX),7^8)),"R0C00"),)&amp;"")</f>
        <v>0</v>
      </c>
      <c r="B164" s="28" t="str">
        <f t="shared" ca="1" si="39"/>
        <v/>
      </c>
      <c r="C164" s="28" t="str">
        <f ca="1">IF($A164=0,"",VLOOKUP($B164,Employees!$A:$G,2,FALSE))</f>
        <v/>
      </c>
      <c r="D164" s="28" t="str">
        <f ca="1">IF($A164=0,"",VLOOKUP($B164,Employees!$A:$G,3,FALSE))</f>
        <v/>
      </c>
      <c r="E164" s="26" t="str">
        <f ca="1">IF($A164=0,"",VLOOKUP($B164,Employees!$A:$G,5,FALSE))</f>
        <v/>
      </c>
      <c r="F164" s="13" t="str">
        <f ca="1">IF($E164="","",ROUNDDOWN(YEARFRAC($E164, 'Week 1 Roster'!$D$1-1, 1), 0))</f>
        <v/>
      </c>
      <c r="G164" s="13" t="str">
        <f ca="1">IF($E164="","",ROUNDDOWN(YEARFRAC($E164, 'Week 1 Roster'!$D$1+14, 1), 0))</f>
        <v/>
      </c>
      <c r="H164" s="13" t="str">
        <f t="shared" ca="1" si="40"/>
        <v/>
      </c>
      <c r="I164" s="13" t="str">
        <f ca="1">IF($A164=0,"",VLOOKUP($B164,Employees!$A:$G,6,FALSE))</f>
        <v/>
      </c>
      <c r="J164" s="13" t="str">
        <f ca="1">IF($A164=0,"",VLOOKUP($B164,Employees!$A:$G,7,FALSE))</f>
        <v/>
      </c>
      <c r="K164" s="13" t="str">
        <f ca="1">IF($A164=0,"",IF(ISNA(VLOOKUP(A164,'Week 1 Roster'!A:C,2,0)),VLOOKUP(A164,'Week 2 Roster'!A:C,2,0),VLOOKUP(A164,'Week 1 Roster'!A:C,2,0)))</f>
        <v/>
      </c>
      <c r="L164" s="13" t="str">
        <f ca="1">IF($A164=0,"",VLOOKUP(K164,Stores!A:B,2,0))</f>
        <v/>
      </c>
      <c r="M164" s="14">
        <f t="shared" ca="1" si="41"/>
        <v>0</v>
      </c>
      <c r="N164" s="14">
        <f t="shared" ca="1" si="42"/>
        <v>0</v>
      </c>
      <c r="O164" s="14">
        <f t="shared" ca="1" si="43"/>
        <v>0</v>
      </c>
      <c r="P164" s="14">
        <f t="shared" ca="1" si="44"/>
        <v>0</v>
      </c>
      <c r="Q164" s="14">
        <f t="shared" ca="1" si="45"/>
        <v>0</v>
      </c>
      <c r="R164" s="14">
        <f t="shared" ca="1" si="46"/>
        <v>0</v>
      </c>
      <c r="S164" s="28">
        <f t="shared" ca="1" si="47"/>
        <v>0</v>
      </c>
      <c r="T164" s="14">
        <f t="shared" ca="1" si="48"/>
        <v>0</v>
      </c>
      <c r="U164" s="14">
        <f t="shared" ca="1" si="49"/>
        <v>0</v>
      </c>
      <c r="V164" s="14">
        <f t="shared" ca="1" si="50"/>
        <v>0</v>
      </c>
      <c r="W164" s="14">
        <f t="shared" ca="1" si="51"/>
        <v>0</v>
      </c>
      <c r="Y164" s="17">
        <f ca="1">IF($A164=0,0,SUMIF('Week 1 Roster'!$AZ:$AZ,$B164,'Week 1 Roster'!$AE:$AE))</f>
        <v>0</v>
      </c>
      <c r="Z164" s="17">
        <f ca="1">IF($A164=0,0,SUMIF('Week 1 Roster'!$AZ:$AZ,$B164,'Week 1 Roster'!$AG:$AG))</f>
        <v>0</v>
      </c>
      <c r="AA164" s="17">
        <f ca="1">IF($A164=0,0,SUMIF('Week 1 Roster'!$AZ:$AZ,$B164,'Week 1 Roster'!$AI:$AI))</f>
        <v>0</v>
      </c>
      <c r="AB164" s="17">
        <f ca="1">IF($A164=0,0,SUMIF('Week 1 Roster'!$AZ:$AZ,$B164,'Week 1 Roster'!$AK:$AK))</f>
        <v>0</v>
      </c>
      <c r="AC164" s="17">
        <f ca="1">IF($A164=0,0,SUMIF('Week 1 Roster'!$AZ:$AZ,$B164,'Week 1 Roster'!$AM:$AM))</f>
        <v>0</v>
      </c>
      <c r="AD164" s="17">
        <f ca="1">IF($A164=0,0,SUMIF('Week 1 Roster'!$AZ:$AZ,$B164,'Week 1 Roster'!$AO:$AO))</f>
        <v>0</v>
      </c>
      <c r="AE164" s="38">
        <f ca="1">IF($A164=0,0,SUMIF('Week 1 Roster'!$AZ:$AZ,$B164,'Week 1 Roster'!$AP:$AP))</f>
        <v>0</v>
      </c>
      <c r="AF164" s="17">
        <f ca="1">IF($A164=0,0,SUMIF('Week 1 Roster'!$AZ:$AZ,$B164,'Week 1 Roster'!$AQ:$AQ))</f>
        <v>0</v>
      </c>
      <c r="AG164" s="17">
        <f ca="1">IF($A164=0,0,SUMIF('Week 1 Roster'!$AZ:$AZ,$B164,'Week 1 Roster'!$AR:$AR))</f>
        <v>0</v>
      </c>
      <c r="AH164" s="17">
        <f ca="1">IF($A164=0,0,SUMIF('Week 1 Roster'!$AZ:$AZ,$B164,'Week 1 Roster'!$AS:$AS))</f>
        <v>0</v>
      </c>
      <c r="AI164" s="17">
        <f t="shared" ca="1" si="52"/>
        <v>0</v>
      </c>
      <c r="AK164" s="17">
        <f ca="1">IF($A164=0,0,SUMIF('Week 2 Roster'!$AZ:$AZ,$B164,'Week 2 Roster'!$AE:$AE))</f>
        <v>0</v>
      </c>
      <c r="AL164" s="17">
        <f ca="1">IF($A164=0,0,SUMIF('Week 2 Roster'!$AZ:$AZ,$B164,'Week 2 Roster'!$AG:$AG))</f>
        <v>0</v>
      </c>
      <c r="AM164" s="17">
        <f ca="1">IF($A164=0,0,SUMIF('Week 2 Roster'!$AZ:$AZ,$B164,'Week 2 Roster'!$AI:$AI))</f>
        <v>0</v>
      </c>
      <c r="AN164" s="17">
        <f ca="1">IF($A164=0,0,SUMIF('Week 2 Roster'!$AZ:$AZ,$B164,'Week 2 Roster'!$AK:$AK))</f>
        <v>0</v>
      </c>
      <c r="AO164" s="17">
        <f ca="1">IF($A164=0,0,SUMIF('Week 2 Roster'!$AZ:$AZ,$B164,'Week 2 Roster'!$AM:$AM))</f>
        <v>0</v>
      </c>
      <c r="AP164" s="17">
        <f ca="1">IF($A164=0,0,SUMIF('Week 2 Roster'!$AZ:$AZ,$B164,'Week 2 Roster'!$AO:$AO))</f>
        <v>0</v>
      </c>
      <c r="AQ164" s="38">
        <f ca="1">IF($A164=0,0,SUMIF('Week 2 Roster'!$AZ:$AZ,$B164,'Week 2 Roster'!$AP:$AP))</f>
        <v>0</v>
      </c>
      <c r="AR164" s="17">
        <f ca="1">IF($A164=0,0,SUMIF('Week 2 Roster'!$AZ:$AZ,$B164,'Week 2 Roster'!$AQ:$AQ))</f>
        <v>0</v>
      </c>
      <c r="AS164" s="17">
        <f ca="1">IF($A164=0,0,SUMIF('Week 2 Roster'!$AZ:$AZ,$B164,'Week 2 Roster'!$AR:$AR))</f>
        <v>0</v>
      </c>
      <c r="AT164" s="17">
        <f ca="1">IF($A164=0,0,SUMIF('Week 2 Roster'!$AZ:$AZ,$B164,'Week 2 Roster'!$AS:$AS))</f>
        <v>0</v>
      </c>
      <c r="AU164" s="17">
        <f t="shared" ca="1" si="53"/>
        <v>0</v>
      </c>
      <c r="AV164" s="17"/>
    </row>
    <row r="165" spans="1:48">
      <c r="A165" s="16" cm="1">
        <f t="array" aca="1" ref="A165" ca="1">_xlfn.NUMBERVALUE(INDIRECT(TEXT(MIN(IF(($AW$2:$AX$300&lt;&gt;"")*(COUNTIF($B$1:B164,$AW$2:$AX$300)=0),ROW($2:$300)*100+COLUMN($AW:$AX),7^8)),"R0C00"),)&amp;"")</f>
        <v>0</v>
      </c>
      <c r="B165" s="28" t="str">
        <f t="shared" ca="1" si="39"/>
        <v/>
      </c>
      <c r="C165" s="28" t="str">
        <f ca="1">IF($A165=0,"",VLOOKUP($B165,Employees!$A:$G,2,FALSE))</f>
        <v/>
      </c>
      <c r="D165" s="28" t="str">
        <f ca="1">IF($A165=0,"",VLOOKUP($B165,Employees!$A:$G,3,FALSE))</f>
        <v/>
      </c>
      <c r="E165" s="26" t="str">
        <f ca="1">IF($A165=0,"",VLOOKUP($B165,Employees!$A:$G,5,FALSE))</f>
        <v/>
      </c>
      <c r="F165" s="13" t="str">
        <f ca="1">IF($E165="","",ROUNDDOWN(YEARFRAC($E165, 'Week 1 Roster'!$D$1-1, 1), 0))</f>
        <v/>
      </c>
      <c r="G165" s="13" t="str">
        <f ca="1">IF($E165="","",ROUNDDOWN(YEARFRAC($E165, 'Week 1 Roster'!$D$1+14, 1), 0))</f>
        <v/>
      </c>
      <c r="H165" s="13" t="str">
        <f t="shared" ca="1" si="40"/>
        <v/>
      </c>
      <c r="I165" s="13" t="str">
        <f ca="1">IF($A165=0,"",VLOOKUP($B165,Employees!$A:$G,6,FALSE))</f>
        <v/>
      </c>
      <c r="J165" s="13" t="str">
        <f ca="1">IF($A165=0,"",VLOOKUP($B165,Employees!$A:$G,7,FALSE))</f>
        <v/>
      </c>
      <c r="K165" s="13" t="str">
        <f ca="1">IF($A165=0,"",IF(ISNA(VLOOKUP(A165,'Week 1 Roster'!A:C,2,0)),VLOOKUP(A165,'Week 2 Roster'!A:C,2,0),VLOOKUP(A165,'Week 1 Roster'!A:C,2,0)))</f>
        <v/>
      </c>
      <c r="L165" s="13" t="str">
        <f ca="1">IF($A165=0,"",VLOOKUP(K165,Stores!A:B,2,0))</f>
        <v/>
      </c>
      <c r="M165" s="14">
        <f t="shared" ca="1" si="41"/>
        <v>0</v>
      </c>
      <c r="N165" s="14">
        <f t="shared" ca="1" si="42"/>
        <v>0</v>
      </c>
      <c r="O165" s="14">
        <f t="shared" ca="1" si="43"/>
        <v>0</v>
      </c>
      <c r="P165" s="14">
        <f t="shared" ca="1" si="44"/>
        <v>0</v>
      </c>
      <c r="Q165" s="14">
        <f t="shared" ca="1" si="45"/>
        <v>0</v>
      </c>
      <c r="R165" s="14">
        <f t="shared" ca="1" si="46"/>
        <v>0</v>
      </c>
      <c r="S165" s="28">
        <f t="shared" ca="1" si="47"/>
        <v>0</v>
      </c>
      <c r="T165" s="14">
        <f t="shared" ca="1" si="48"/>
        <v>0</v>
      </c>
      <c r="U165" s="14">
        <f t="shared" ca="1" si="49"/>
        <v>0</v>
      </c>
      <c r="V165" s="14">
        <f t="shared" ca="1" si="50"/>
        <v>0</v>
      </c>
      <c r="W165" s="14">
        <f t="shared" ca="1" si="51"/>
        <v>0</v>
      </c>
      <c r="Y165" s="17">
        <f ca="1">IF($A165=0,0,SUMIF('Week 1 Roster'!$AZ:$AZ,$B165,'Week 1 Roster'!$AE:$AE))</f>
        <v>0</v>
      </c>
      <c r="Z165" s="17">
        <f ca="1">IF($A165=0,0,SUMIF('Week 1 Roster'!$AZ:$AZ,$B165,'Week 1 Roster'!$AG:$AG))</f>
        <v>0</v>
      </c>
      <c r="AA165" s="17">
        <f ca="1">IF($A165=0,0,SUMIF('Week 1 Roster'!$AZ:$AZ,$B165,'Week 1 Roster'!$AI:$AI))</f>
        <v>0</v>
      </c>
      <c r="AB165" s="17">
        <f ca="1">IF($A165=0,0,SUMIF('Week 1 Roster'!$AZ:$AZ,$B165,'Week 1 Roster'!$AK:$AK))</f>
        <v>0</v>
      </c>
      <c r="AC165" s="17">
        <f ca="1">IF($A165=0,0,SUMIF('Week 1 Roster'!$AZ:$AZ,$B165,'Week 1 Roster'!$AM:$AM))</f>
        <v>0</v>
      </c>
      <c r="AD165" s="17">
        <f ca="1">IF($A165=0,0,SUMIF('Week 1 Roster'!$AZ:$AZ,$B165,'Week 1 Roster'!$AO:$AO))</f>
        <v>0</v>
      </c>
      <c r="AE165" s="38">
        <f ca="1">IF($A165=0,0,SUMIF('Week 1 Roster'!$AZ:$AZ,$B165,'Week 1 Roster'!$AP:$AP))</f>
        <v>0</v>
      </c>
      <c r="AF165" s="17">
        <f ca="1">IF($A165=0,0,SUMIF('Week 1 Roster'!$AZ:$AZ,$B165,'Week 1 Roster'!$AQ:$AQ))</f>
        <v>0</v>
      </c>
      <c r="AG165" s="17">
        <f ca="1">IF($A165=0,0,SUMIF('Week 1 Roster'!$AZ:$AZ,$B165,'Week 1 Roster'!$AR:$AR))</f>
        <v>0</v>
      </c>
      <c r="AH165" s="17">
        <f ca="1">IF($A165=0,0,SUMIF('Week 1 Roster'!$AZ:$AZ,$B165,'Week 1 Roster'!$AS:$AS))</f>
        <v>0</v>
      </c>
      <c r="AI165" s="17">
        <f t="shared" ca="1" si="52"/>
        <v>0</v>
      </c>
      <c r="AK165" s="17">
        <f ca="1">IF($A165=0,0,SUMIF('Week 2 Roster'!$AZ:$AZ,$B165,'Week 2 Roster'!$AE:$AE))</f>
        <v>0</v>
      </c>
      <c r="AL165" s="17">
        <f ca="1">IF($A165=0,0,SUMIF('Week 2 Roster'!$AZ:$AZ,$B165,'Week 2 Roster'!$AG:$AG))</f>
        <v>0</v>
      </c>
      <c r="AM165" s="17">
        <f ca="1">IF($A165=0,0,SUMIF('Week 2 Roster'!$AZ:$AZ,$B165,'Week 2 Roster'!$AI:$AI))</f>
        <v>0</v>
      </c>
      <c r="AN165" s="17">
        <f ca="1">IF($A165=0,0,SUMIF('Week 2 Roster'!$AZ:$AZ,$B165,'Week 2 Roster'!$AK:$AK))</f>
        <v>0</v>
      </c>
      <c r="AO165" s="17">
        <f ca="1">IF($A165=0,0,SUMIF('Week 2 Roster'!$AZ:$AZ,$B165,'Week 2 Roster'!$AM:$AM))</f>
        <v>0</v>
      </c>
      <c r="AP165" s="17">
        <f ca="1">IF($A165=0,0,SUMIF('Week 2 Roster'!$AZ:$AZ,$B165,'Week 2 Roster'!$AO:$AO))</f>
        <v>0</v>
      </c>
      <c r="AQ165" s="38">
        <f ca="1">IF($A165=0,0,SUMIF('Week 2 Roster'!$AZ:$AZ,$B165,'Week 2 Roster'!$AP:$AP))</f>
        <v>0</v>
      </c>
      <c r="AR165" s="17">
        <f ca="1">IF($A165=0,0,SUMIF('Week 2 Roster'!$AZ:$AZ,$B165,'Week 2 Roster'!$AQ:$AQ))</f>
        <v>0</v>
      </c>
      <c r="AS165" s="17">
        <f ca="1">IF($A165=0,0,SUMIF('Week 2 Roster'!$AZ:$AZ,$B165,'Week 2 Roster'!$AR:$AR))</f>
        <v>0</v>
      </c>
      <c r="AT165" s="17">
        <f ca="1">IF($A165=0,0,SUMIF('Week 2 Roster'!$AZ:$AZ,$B165,'Week 2 Roster'!$AS:$AS))</f>
        <v>0</v>
      </c>
      <c r="AU165" s="17">
        <f t="shared" ca="1" si="53"/>
        <v>0</v>
      </c>
      <c r="AV165" s="17"/>
    </row>
    <row r="166" spans="1:48">
      <c r="A166" s="16" cm="1">
        <f t="array" aca="1" ref="A166" ca="1">_xlfn.NUMBERVALUE(INDIRECT(TEXT(MIN(IF(($AW$2:$AX$300&lt;&gt;"")*(COUNTIF($B$1:B165,$AW$2:$AX$300)=0),ROW($2:$300)*100+COLUMN($AW:$AX),7^8)),"R0C00"),)&amp;"")</f>
        <v>0</v>
      </c>
      <c r="B166" s="28" t="str">
        <f t="shared" ca="1" si="39"/>
        <v/>
      </c>
      <c r="C166" s="28" t="str">
        <f ca="1">IF($A166=0,"",VLOOKUP($B166,Employees!$A:$G,2,FALSE))</f>
        <v/>
      </c>
      <c r="D166" s="28" t="str">
        <f ca="1">IF($A166=0,"",VLOOKUP($B166,Employees!$A:$G,3,FALSE))</f>
        <v/>
      </c>
      <c r="E166" s="26" t="str">
        <f ca="1">IF($A166=0,"",VLOOKUP($B166,Employees!$A:$G,5,FALSE))</f>
        <v/>
      </c>
      <c r="F166" s="13" t="str">
        <f ca="1">IF($E166="","",ROUNDDOWN(YEARFRAC($E166, 'Week 1 Roster'!$D$1-1, 1), 0))</f>
        <v/>
      </c>
      <c r="G166" s="13" t="str">
        <f ca="1">IF($E166="","",ROUNDDOWN(YEARFRAC($E166, 'Week 1 Roster'!$D$1+14, 1), 0))</f>
        <v/>
      </c>
      <c r="H166" s="13" t="str">
        <f t="shared" ca="1" si="40"/>
        <v/>
      </c>
      <c r="I166" s="13" t="str">
        <f ca="1">IF($A166=0,"",VLOOKUP($B166,Employees!$A:$G,6,FALSE))</f>
        <v/>
      </c>
      <c r="J166" s="13" t="str">
        <f ca="1">IF($A166=0,"",VLOOKUP($B166,Employees!$A:$G,7,FALSE))</f>
        <v/>
      </c>
      <c r="K166" s="13" t="str">
        <f ca="1">IF($A166=0,"",IF(ISNA(VLOOKUP(A166,'Week 1 Roster'!A:C,2,0)),VLOOKUP(A166,'Week 2 Roster'!A:C,2,0),VLOOKUP(A166,'Week 1 Roster'!A:C,2,0)))</f>
        <v/>
      </c>
      <c r="L166" s="13" t="str">
        <f ca="1">IF($A166=0,"",VLOOKUP(K166,Stores!A:B,2,0))</f>
        <v/>
      </c>
      <c r="M166" s="14">
        <f t="shared" ca="1" si="41"/>
        <v>0</v>
      </c>
      <c r="N166" s="14">
        <f t="shared" ca="1" si="42"/>
        <v>0</v>
      </c>
      <c r="O166" s="14">
        <f t="shared" ca="1" si="43"/>
        <v>0</v>
      </c>
      <c r="P166" s="14">
        <f t="shared" ca="1" si="44"/>
        <v>0</v>
      </c>
      <c r="Q166" s="14">
        <f t="shared" ca="1" si="45"/>
        <v>0</v>
      </c>
      <c r="R166" s="14">
        <f t="shared" ca="1" si="46"/>
        <v>0</v>
      </c>
      <c r="S166" s="28">
        <f t="shared" ca="1" si="47"/>
        <v>0</v>
      </c>
      <c r="T166" s="14">
        <f t="shared" ca="1" si="48"/>
        <v>0</v>
      </c>
      <c r="U166" s="14">
        <f t="shared" ca="1" si="49"/>
        <v>0</v>
      </c>
      <c r="V166" s="14">
        <f t="shared" ca="1" si="50"/>
        <v>0</v>
      </c>
      <c r="W166" s="14">
        <f t="shared" ca="1" si="51"/>
        <v>0</v>
      </c>
      <c r="Y166" s="17">
        <f ca="1">IF($A166=0,0,SUMIF('Week 1 Roster'!$AZ:$AZ,$B166,'Week 1 Roster'!$AE:$AE))</f>
        <v>0</v>
      </c>
      <c r="Z166" s="17">
        <f ca="1">IF($A166=0,0,SUMIF('Week 1 Roster'!$AZ:$AZ,$B166,'Week 1 Roster'!$AG:$AG))</f>
        <v>0</v>
      </c>
      <c r="AA166" s="17">
        <f ca="1">IF($A166=0,0,SUMIF('Week 1 Roster'!$AZ:$AZ,$B166,'Week 1 Roster'!$AI:$AI))</f>
        <v>0</v>
      </c>
      <c r="AB166" s="17">
        <f ca="1">IF($A166=0,0,SUMIF('Week 1 Roster'!$AZ:$AZ,$B166,'Week 1 Roster'!$AK:$AK))</f>
        <v>0</v>
      </c>
      <c r="AC166" s="17">
        <f ca="1">IF($A166=0,0,SUMIF('Week 1 Roster'!$AZ:$AZ,$B166,'Week 1 Roster'!$AM:$AM))</f>
        <v>0</v>
      </c>
      <c r="AD166" s="17">
        <f ca="1">IF($A166=0,0,SUMIF('Week 1 Roster'!$AZ:$AZ,$B166,'Week 1 Roster'!$AO:$AO))</f>
        <v>0</v>
      </c>
      <c r="AE166" s="38">
        <f ca="1">IF($A166=0,0,SUMIF('Week 1 Roster'!$AZ:$AZ,$B166,'Week 1 Roster'!$AP:$AP))</f>
        <v>0</v>
      </c>
      <c r="AF166" s="17">
        <f ca="1">IF($A166=0,0,SUMIF('Week 1 Roster'!$AZ:$AZ,$B166,'Week 1 Roster'!$AQ:$AQ))</f>
        <v>0</v>
      </c>
      <c r="AG166" s="17">
        <f ca="1">IF($A166=0,0,SUMIF('Week 1 Roster'!$AZ:$AZ,$B166,'Week 1 Roster'!$AR:$AR))</f>
        <v>0</v>
      </c>
      <c r="AH166" s="17">
        <f ca="1">IF($A166=0,0,SUMIF('Week 1 Roster'!$AZ:$AZ,$B166,'Week 1 Roster'!$AS:$AS))</f>
        <v>0</v>
      </c>
      <c r="AI166" s="17">
        <f t="shared" ca="1" si="52"/>
        <v>0</v>
      </c>
      <c r="AK166" s="17">
        <f ca="1">IF($A166=0,0,SUMIF('Week 2 Roster'!$AZ:$AZ,$B166,'Week 2 Roster'!$AE:$AE))</f>
        <v>0</v>
      </c>
      <c r="AL166" s="17">
        <f ca="1">IF($A166=0,0,SUMIF('Week 2 Roster'!$AZ:$AZ,$B166,'Week 2 Roster'!$AG:$AG))</f>
        <v>0</v>
      </c>
      <c r="AM166" s="17">
        <f ca="1">IF($A166=0,0,SUMIF('Week 2 Roster'!$AZ:$AZ,$B166,'Week 2 Roster'!$AI:$AI))</f>
        <v>0</v>
      </c>
      <c r="AN166" s="17">
        <f ca="1">IF($A166=0,0,SUMIF('Week 2 Roster'!$AZ:$AZ,$B166,'Week 2 Roster'!$AK:$AK))</f>
        <v>0</v>
      </c>
      <c r="AO166" s="17">
        <f ca="1">IF($A166=0,0,SUMIF('Week 2 Roster'!$AZ:$AZ,$B166,'Week 2 Roster'!$AM:$AM))</f>
        <v>0</v>
      </c>
      <c r="AP166" s="17">
        <f ca="1">IF($A166=0,0,SUMIF('Week 2 Roster'!$AZ:$AZ,$B166,'Week 2 Roster'!$AO:$AO))</f>
        <v>0</v>
      </c>
      <c r="AQ166" s="38">
        <f ca="1">IF($A166=0,0,SUMIF('Week 2 Roster'!$AZ:$AZ,$B166,'Week 2 Roster'!$AP:$AP))</f>
        <v>0</v>
      </c>
      <c r="AR166" s="17">
        <f ca="1">IF($A166=0,0,SUMIF('Week 2 Roster'!$AZ:$AZ,$B166,'Week 2 Roster'!$AQ:$AQ))</f>
        <v>0</v>
      </c>
      <c r="AS166" s="17">
        <f ca="1">IF($A166=0,0,SUMIF('Week 2 Roster'!$AZ:$AZ,$B166,'Week 2 Roster'!$AR:$AR))</f>
        <v>0</v>
      </c>
      <c r="AT166" s="17">
        <f ca="1">IF($A166=0,0,SUMIF('Week 2 Roster'!$AZ:$AZ,$B166,'Week 2 Roster'!$AS:$AS))</f>
        <v>0</v>
      </c>
      <c r="AU166" s="17">
        <f t="shared" ca="1" si="53"/>
        <v>0</v>
      </c>
      <c r="AV166" s="17"/>
    </row>
    <row r="167" spans="1:48">
      <c r="A167" s="16" cm="1">
        <f t="array" aca="1" ref="A167" ca="1">_xlfn.NUMBERVALUE(INDIRECT(TEXT(MIN(IF(($AW$2:$AX$300&lt;&gt;"")*(COUNTIF($B$1:B166,$AW$2:$AX$300)=0),ROW($2:$300)*100+COLUMN($AW:$AX),7^8)),"R0C00"),)&amp;"")</f>
        <v>0</v>
      </c>
      <c r="B167" s="28" t="str">
        <f t="shared" ca="1" si="39"/>
        <v/>
      </c>
      <c r="C167" s="28" t="str">
        <f ca="1">IF($A167=0,"",VLOOKUP($B167,Employees!$A:$G,2,FALSE))</f>
        <v/>
      </c>
      <c r="D167" s="28" t="str">
        <f ca="1">IF($A167=0,"",VLOOKUP($B167,Employees!$A:$G,3,FALSE))</f>
        <v/>
      </c>
      <c r="E167" s="26" t="str">
        <f ca="1">IF($A167=0,"",VLOOKUP($B167,Employees!$A:$G,5,FALSE))</f>
        <v/>
      </c>
      <c r="F167" s="13" t="str">
        <f ca="1">IF($E167="","",ROUNDDOWN(YEARFRAC($E167, 'Week 1 Roster'!$D$1-1, 1), 0))</f>
        <v/>
      </c>
      <c r="G167" s="13" t="str">
        <f ca="1">IF($E167="","",ROUNDDOWN(YEARFRAC($E167, 'Week 1 Roster'!$D$1+14, 1), 0))</f>
        <v/>
      </c>
      <c r="H167" s="13" t="str">
        <f t="shared" ca="1" si="40"/>
        <v/>
      </c>
      <c r="I167" s="13" t="str">
        <f ca="1">IF($A167=0,"",VLOOKUP($B167,Employees!$A:$G,6,FALSE))</f>
        <v/>
      </c>
      <c r="J167" s="13" t="str">
        <f ca="1">IF($A167=0,"",VLOOKUP($B167,Employees!$A:$G,7,FALSE))</f>
        <v/>
      </c>
      <c r="K167" s="13" t="str">
        <f ca="1">IF($A167=0,"",IF(ISNA(VLOOKUP(A167,'Week 1 Roster'!A:C,2,0)),VLOOKUP(A167,'Week 2 Roster'!A:C,2,0),VLOOKUP(A167,'Week 1 Roster'!A:C,2,0)))</f>
        <v/>
      </c>
      <c r="L167" s="13" t="str">
        <f ca="1">IF($A167=0,"",VLOOKUP(K167,Stores!A:B,2,0))</f>
        <v/>
      </c>
      <c r="M167" s="14">
        <f t="shared" ca="1" si="41"/>
        <v>0</v>
      </c>
      <c r="N167" s="14">
        <f t="shared" ca="1" si="42"/>
        <v>0</v>
      </c>
      <c r="O167" s="14">
        <f t="shared" ca="1" si="43"/>
        <v>0</v>
      </c>
      <c r="P167" s="14">
        <f t="shared" ca="1" si="44"/>
        <v>0</v>
      </c>
      <c r="Q167" s="14">
        <f t="shared" ca="1" si="45"/>
        <v>0</v>
      </c>
      <c r="R167" s="14">
        <f t="shared" ca="1" si="46"/>
        <v>0</v>
      </c>
      <c r="S167" s="28">
        <f t="shared" ca="1" si="47"/>
        <v>0</v>
      </c>
      <c r="T167" s="14">
        <f t="shared" ca="1" si="48"/>
        <v>0</v>
      </c>
      <c r="U167" s="14">
        <f t="shared" ca="1" si="49"/>
        <v>0</v>
      </c>
      <c r="V167" s="14">
        <f t="shared" ca="1" si="50"/>
        <v>0</v>
      </c>
      <c r="W167" s="14">
        <f t="shared" ca="1" si="51"/>
        <v>0</v>
      </c>
      <c r="Y167" s="17">
        <f ca="1">IF($A167=0,0,SUMIF('Week 1 Roster'!$AZ:$AZ,$B167,'Week 1 Roster'!$AE:$AE))</f>
        <v>0</v>
      </c>
      <c r="Z167" s="17">
        <f ca="1">IF($A167=0,0,SUMIF('Week 1 Roster'!$AZ:$AZ,$B167,'Week 1 Roster'!$AG:$AG))</f>
        <v>0</v>
      </c>
      <c r="AA167" s="17">
        <f ca="1">IF($A167=0,0,SUMIF('Week 1 Roster'!$AZ:$AZ,$B167,'Week 1 Roster'!$AI:$AI))</f>
        <v>0</v>
      </c>
      <c r="AB167" s="17">
        <f ca="1">IF($A167=0,0,SUMIF('Week 1 Roster'!$AZ:$AZ,$B167,'Week 1 Roster'!$AK:$AK))</f>
        <v>0</v>
      </c>
      <c r="AC167" s="17">
        <f ca="1">IF($A167=0,0,SUMIF('Week 1 Roster'!$AZ:$AZ,$B167,'Week 1 Roster'!$AM:$AM))</f>
        <v>0</v>
      </c>
      <c r="AD167" s="17">
        <f ca="1">IF($A167=0,0,SUMIF('Week 1 Roster'!$AZ:$AZ,$B167,'Week 1 Roster'!$AO:$AO))</f>
        <v>0</v>
      </c>
      <c r="AE167" s="38">
        <f ca="1">IF($A167=0,0,SUMIF('Week 1 Roster'!$AZ:$AZ,$B167,'Week 1 Roster'!$AP:$AP))</f>
        <v>0</v>
      </c>
      <c r="AF167" s="17">
        <f ca="1">IF($A167=0,0,SUMIF('Week 1 Roster'!$AZ:$AZ,$B167,'Week 1 Roster'!$AQ:$AQ))</f>
        <v>0</v>
      </c>
      <c r="AG167" s="17">
        <f ca="1">IF($A167=0,0,SUMIF('Week 1 Roster'!$AZ:$AZ,$B167,'Week 1 Roster'!$AR:$AR))</f>
        <v>0</v>
      </c>
      <c r="AH167" s="17">
        <f ca="1">IF($A167=0,0,SUMIF('Week 1 Roster'!$AZ:$AZ,$B167,'Week 1 Roster'!$AS:$AS))</f>
        <v>0</v>
      </c>
      <c r="AI167" s="17">
        <f t="shared" ca="1" si="52"/>
        <v>0</v>
      </c>
      <c r="AK167" s="17">
        <f ca="1">IF($A167=0,0,SUMIF('Week 2 Roster'!$AZ:$AZ,$B167,'Week 2 Roster'!$AE:$AE))</f>
        <v>0</v>
      </c>
      <c r="AL167" s="17">
        <f ca="1">IF($A167=0,0,SUMIF('Week 2 Roster'!$AZ:$AZ,$B167,'Week 2 Roster'!$AG:$AG))</f>
        <v>0</v>
      </c>
      <c r="AM167" s="17">
        <f ca="1">IF($A167=0,0,SUMIF('Week 2 Roster'!$AZ:$AZ,$B167,'Week 2 Roster'!$AI:$AI))</f>
        <v>0</v>
      </c>
      <c r="AN167" s="17">
        <f ca="1">IF($A167=0,0,SUMIF('Week 2 Roster'!$AZ:$AZ,$B167,'Week 2 Roster'!$AK:$AK))</f>
        <v>0</v>
      </c>
      <c r="AO167" s="17">
        <f ca="1">IF($A167=0,0,SUMIF('Week 2 Roster'!$AZ:$AZ,$B167,'Week 2 Roster'!$AM:$AM))</f>
        <v>0</v>
      </c>
      <c r="AP167" s="17">
        <f ca="1">IF($A167=0,0,SUMIF('Week 2 Roster'!$AZ:$AZ,$B167,'Week 2 Roster'!$AO:$AO))</f>
        <v>0</v>
      </c>
      <c r="AQ167" s="38">
        <f ca="1">IF($A167=0,0,SUMIF('Week 2 Roster'!$AZ:$AZ,$B167,'Week 2 Roster'!$AP:$AP))</f>
        <v>0</v>
      </c>
      <c r="AR167" s="17">
        <f ca="1">IF($A167=0,0,SUMIF('Week 2 Roster'!$AZ:$AZ,$B167,'Week 2 Roster'!$AQ:$AQ))</f>
        <v>0</v>
      </c>
      <c r="AS167" s="17">
        <f ca="1">IF($A167=0,0,SUMIF('Week 2 Roster'!$AZ:$AZ,$B167,'Week 2 Roster'!$AR:$AR))</f>
        <v>0</v>
      </c>
      <c r="AT167" s="17">
        <f ca="1">IF($A167=0,0,SUMIF('Week 2 Roster'!$AZ:$AZ,$B167,'Week 2 Roster'!$AS:$AS))</f>
        <v>0</v>
      </c>
      <c r="AU167" s="17">
        <f t="shared" ca="1" si="53"/>
        <v>0</v>
      </c>
      <c r="AV167" s="17"/>
    </row>
    <row r="168" spans="1:48">
      <c r="A168" s="16" cm="1">
        <f t="array" aca="1" ref="A168" ca="1">_xlfn.NUMBERVALUE(INDIRECT(TEXT(MIN(IF(($AW$2:$AX$300&lt;&gt;"")*(COUNTIF($B$1:B167,$AW$2:$AX$300)=0),ROW($2:$300)*100+COLUMN($AW:$AX),7^8)),"R0C00"),)&amp;"")</f>
        <v>0</v>
      </c>
      <c r="B168" s="28" t="str">
        <f t="shared" ca="1" si="39"/>
        <v/>
      </c>
      <c r="C168" s="28" t="str">
        <f ca="1">IF($A168=0,"",VLOOKUP($B168,Employees!$A:$G,2,FALSE))</f>
        <v/>
      </c>
      <c r="D168" s="28" t="str">
        <f ca="1">IF($A168=0,"",VLOOKUP($B168,Employees!$A:$G,3,FALSE))</f>
        <v/>
      </c>
      <c r="E168" s="26" t="str">
        <f ca="1">IF($A168=0,"",VLOOKUP($B168,Employees!$A:$G,5,FALSE))</f>
        <v/>
      </c>
      <c r="F168" s="13" t="str">
        <f ca="1">IF($E168="","",ROUNDDOWN(YEARFRAC($E168, 'Week 1 Roster'!$D$1-1, 1), 0))</f>
        <v/>
      </c>
      <c r="G168" s="13" t="str">
        <f ca="1">IF($E168="","",ROUNDDOWN(YEARFRAC($E168, 'Week 1 Roster'!$D$1+14, 1), 0))</f>
        <v/>
      </c>
      <c r="H168" s="13" t="str">
        <f t="shared" ca="1" si="40"/>
        <v/>
      </c>
      <c r="I168" s="13" t="str">
        <f ca="1">IF($A168=0,"",VLOOKUP($B168,Employees!$A:$G,6,FALSE))</f>
        <v/>
      </c>
      <c r="J168" s="13" t="str">
        <f ca="1">IF($A168=0,"",VLOOKUP($B168,Employees!$A:$G,7,FALSE))</f>
        <v/>
      </c>
      <c r="K168" s="13" t="str">
        <f ca="1">IF($A168=0,"",IF(ISNA(VLOOKUP(A168,'Week 1 Roster'!A:C,2,0)),VLOOKUP(A168,'Week 2 Roster'!A:C,2,0),VLOOKUP(A168,'Week 1 Roster'!A:C,2,0)))</f>
        <v/>
      </c>
      <c r="L168" s="13" t="str">
        <f ca="1">IF($A168=0,"",VLOOKUP(K168,Stores!A:B,2,0))</f>
        <v/>
      </c>
      <c r="M168" s="14">
        <f t="shared" ca="1" si="41"/>
        <v>0</v>
      </c>
      <c r="N168" s="14">
        <f t="shared" ca="1" si="42"/>
        <v>0</v>
      </c>
      <c r="O168" s="14">
        <f t="shared" ca="1" si="43"/>
        <v>0</v>
      </c>
      <c r="P168" s="14">
        <f t="shared" ca="1" si="44"/>
        <v>0</v>
      </c>
      <c r="Q168" s="14">
        <f t="shared" ca="1" si="45"/>
        <v>0</v>
      </c>
      <c r="R168" s="14">
        <f t="shared" ca="1" si="46"/>
        <v>0</v>
      </c>
      <c r="S168" s="28">
        <f t="shared" ca="1" si="47"/>
        <v>0</v>
      </c>
      <c r="T168" s="14">
        <f t="shared" ca="1" si="48"/>
        <v>0</v>
      </c>
      <c r="U168" s="14">
        <f t="shared" ca="1" si="49"/>
        <v>0</v>
      </c>
      <c r="V168" s="14">
        <f t="shared" ca="1" si="50"/>
        <v>0</v>
      </c>
      <c r="W168" s="14">
        <f t="shared" ca="1" si="51"/>
        <v>0</v>
      </c>
      <c r="Y168" s="17">
        <f ca="1">IF($A168=0,0,SUMIF('Week 1 Roster'!$AZ:$AZ,$B168,'Week 1 Roster'!$AE:$AE))</f>
        <v>0</v>
      </c>
      <c r="Z168" s="17">
        <f ca="1">IF($A168=0,0,SUMIF('Week 1 Roster'!$AZ:$AZ,$B168,'Week 1 Roster'!$AG:$AG))</f>
        <v>0</v>
      </c>
      <c r="AA168" s="17">
        <f ca="1">IF($A168=0,0,SUMIF('Week 1 Roster'!$AZ:$AZ,$B168,'Week 1 Roster'!$AI:$AI))</f>
        <v>0</v>
      </c>
      <c r="AB168" s="17">
        <f ca="1">IF($A168=0,0,SUMIF('Week 1 Roster'!$AZ:$AZ,$B168,'Week 1 Roster'!$AK:$AK))</f>
        <v>0</v>
      </c>
      <c r="AC168" s="17">
        <f ca="1">IF($A168=0,0,SUMIF('Week 1 Roster'!$AZ:$AZ,$B168,'Week 1 Roster'!$AM:$AM))</f>
        <v>0</v>
      </c>
      <c r="AD168" s="17">
        <f ca="1">IF($A168=0,0,SUMIF('Week 1 Roster'!$AZ:$AZ,$B168,'Week 1 Roster'!$AO:$AO))</f>
        <v>0</v>
      </c>
      <c r="AE168" s="38">
        <f ca="1">IF($A168=0,0,SUMIF('Week 1 Roster'!$AZ:$AZ,$B168,'Week 1 Roster'!$AP:$AP))</f>
        <v>0</v>
      </c>
      <c r="AF168" s="17">
        <f ca="1">IF($A168=0,0,SUMIF('Week 1 Roster'!$AZ:$AZ,$B168,'Week 1 Roster'!$AQ:$AQ))</f>
        <v>0</v>
      </c>
      <c r="AG168" s="17">
        <f ca="1">IF($A168=0,0,SUMIF('Week 1 Roster'!$AZ:$AZ,$B168,'Week 1 Roster'!$AR:$AR))</f>
        <v>0</v>
      </c>
      <c r="AH168" s="17">
        <f ca="1">IF($A168=0,0,SUMIF('Week 1 Roster'!$AZ:$AZ,$B168,'Week 1 Roster'!$AS:$AS))</f>
        <v>0</v>
      </c>
      <c r="AI168" s="17">
        <f t="shared" ca="1" si="52"/>
        <v>0</v>
      </c>
      <c r="AK168" s="17">
        <f ca="1">IF($A168=0,0,SUMIF('Week 2 Roster'!$AZ:$AZ,$B168,'Week 2 Roster'!$AE:$AE))</f>
        <v>0</v>
      </c>
      <c r="AL168" s="17">
        <f ca="1">IF($A168=0,0,SUMIF('Week 2 Roster'!$AZ:$AZ,$B168,'Week 2 Roster'!$AG:$AG))</f>
        <v>0</v>
      </c>
      <c r="AM168" s="17">
        <f ca="1">IF($A168=0,0,SUMIF('Week 2 Roster'!$AZ:$AZ,$B168,'Week 2 Roster'!$AI:$AI))</f>
        <v>0</v>
      </c>
      <c r="AN168" s="17">
        <f ca="1">IF($A168=0,0,SUMIF('Week 2 Roster'!$AZ:$AZ,$B168,'Week 2 Roster'!$AK:$AK))</f>
        <v>0</v>
      </c>
      <c r="AO168" s="17">
        <f ca="1">IF($A168=0,0,SUMIF('Week 2 Roster'!$AZ:$AZ,$B168,'Week 2 Roster'!$AM:$AM))</f>
        <v>0</v>
      </c>
      <c r="AP168" s="17">
        <f ca="1">IF($A168=0,0,SUMIF('Week 2 Roster'!$AZ:$AZ,$B168,'Week 2 Roster'!$AO:$AO))</f>
        <v>0</v>
      </c>
      <c r="AQ168" s="38">
        <f ca="1">IF($A168=0,0,SUMIF('Week 2 Roster'!$AZ:$AZ,$B168,'Week 2 Roster'!$AP:$AP))</f>
        <v>0</v>
      </c>
      <c r="AR168" s="17">
        <f ca="1">IF($A168=0,0,SUMIF('Week 2 Roster'!$AZ:$AZ,$B168,'Week 2 Roster'!$AQ:$AQ))</f>
        <v>0</v>
      </c>
      <c r="AS168" s="17">
        <f ca="1">IF($A168=0,0,SUMIF('Week 2 Roster'!$AZ:$AZ,$B168,'Week 2 Roster'!$AR:$AR))</f>
        <v>0</v>
      </c>
      <c r="AT168" s="17">
        <f ca="1">IF($A168=0,0,SUMIF('Week 2 Roster'!$AZ:$AZ,$B168,'Week 2 Roster'!$AS:$AS))</f>
        <v>0</v>
      </c>
      <c r="AU168" s="17">
        <f t="shared" ca="1" si="53"/>
        <v>0</v>
      </c>
      <c r="AV168" s="17"/>
    </row>
    <row r="169" spans="1:48">
      <c r="A169" s="16" cm="1">
        <f t="array" aca="1" ref="A169" ca="1">_xlfn.NUMBERVALUE(INDIRECT(TEXT(MIN(IF(($AW$2:$AX$300&lt;&gt;"")*(COUNTIF($B$1:B168,$AW$2:$AX$300)=0),ROW($2:$300)*100+COLUMN($AW:$AX),7^8)),"R0C00"),)&amp;"")</f>
        <v>0</v>
      </c>
      <c r="B169" s="28" t="str">
        <f t="shared" ca="1" si="39"/>
        <v/>
      </c>
      <c r="C169" s="28" t="str">
        <f ca="1">IF($A169=0,"",VLOOKUP($B169,Employees!$A:$G,2,FALSE))</f>
        <v/>
      </c>
      <c r="D169" s="28" t="str">
        <f ca="1">IF($A169=0,"",VLOOKUP($B169,Employees!$A:$G,3,FALSE))</f>
        <v/>
      </c>
      <c r="E169" s="26" t="str">
        <f ca="1">IF($A169=0,"",VLOOKUP($B169,Employees!$A:$G,5,FALSE))</f>
        <v/>
      </c>
      <c r="F169" s="13" t="str">
        <f ca="1">IF($E169="","",ROUNDDOWN(YEARFRAC($E169, 'Week 1 Roster'!$D$1-1, 1), 0))</f>
        <v/>
      </c>
      <c r="G169" s="13" t="str">
        <f ca="1">IF($E169="","",ROUNDDOWN(YEARFRAC($E169, 'Week 1 Roster'!$D$1+14, 1), 0))</f>
        <v/>
      </c>
      <c r="H169" s="13" t="str">
        <f t="shared" ca="1" si="40"/>
        <v/>
      </c>
      <c r="I169" s="13" t="str">
        <f ca="1">IF($A169=0,"",VLOOKUP($B169,Employees!$A:$G,6,FALSE))</f>
        <v/>
      </c>
      <c r="J169" s="13" t="str">
        <f ca="1">IF($A169=0,"",VLOOKUP($B169,Employees!$A:$G,7,FALSE))</f>
        <v/>
      </c>
      <c r="K169" s="13" t="str">
        <f ca="1">IF($A169=0,"",IF(ISNA(VLOOKUP(A169,'Week 1 Roster'!A:C,2,0)),VLOOKUP(A169,'Week 2 Roster'!A:C,2,0),VLOOKUP(A169,'Week 1 Roster'!A:C,2,0)))</f>
        <v/>
      </c>
      <c r="L169" s="13" t="str">
        <f ca="1">IF($A169=0,"",VLOOKUP(K169,Stores!A:B,2,0))</f>
        <v/>
      </c>
      <c r="M169" s="14">
        <f t="shared" ca="1" si="41"/>
        <v>0</v>
      </c>
      <c r="N169" s="14">
        <f t="shared" ca="1" si="42"/>
        <v>0</v>
      </c>
      <c r="O169" s="14">
        <f t="shared" ca="1" si="43"/>
        <v>0</v>
      </c>
      <c r="P169" s="14">
        <f t="shared" ca="1" si="44"/>
        <v>0</v>
      </c>
      <c r="Q169" s="14">
        <f t="shared" ca="1" si="45"/>
        <v>0</v>
      </c>
      <c r="R169" s="14">
        <f t="shared" ca="1" si="46"/>
        <v>0</v>
      </c>
      <c r="S169" s="28">
        <f t="shared" ca="1" si="47"/>
        <v>0</v>
      </c>
      <c r="T169" s="14">
        <f t="shared" ca="1" si="48"/>
        <v>0</v>
      </c>
      <c r="U169" s="14">
        <f t="shared" ca="1" si="49"/>
        <v>0</v>
      </c>
      <c r="V169" s="14">
        <f t="shared" ca="1" si="50"/>
        <v>0</v>
      </c>
      <c r="W169" s="14">
        <f t="shared" ca="1" si="51"/>
        <v>0</v>
      </c>
      <c r="Y169" s="17">
        <f ca="1">IF($A169=0,0,SUMIF('Week 1 Roster'!$AZ:$AZ,$B169,'Week 1 Roster'!$AE:$AE))</f>
        <v>0</v>
      </c>
      <c r="Z169" s="17">
        <f ca="1">IF($A169=0,0,SUMIF('Week 1 Roster'!$AZ:$AZ,$B169,'Week 1 Roster'!$AG:$AG))</f>
        <v>0</v>
      </c>
      <c r="AA169" s="17">
        <f ca="1">IF($A169=0,0,SUMIF('Week 1 Roster'!$AZ:$AZ,$B169,'Week 1 Roster'!$AI:$AI))</f>
        <v>0</v>
      </c>
      <c r="AB169" s="17">
        <f ca="1">IF($A169=0,0,SUMIF('Week 1 Roster'!$AZ:$AZ,$B169,'Week 1 Roster'!$AK:$AK))</f>
        <v>0</v>
      </c>
      <c r="AC169" s="17">
        <f ca="1">IF($A169=0,0,SUMIF('Week 1 Roster'!$AZ:$AZ,$B169,'Week 1 Roster'!$AM:$AM))</f>
        <v>0</v>
      </c>
      <c r="AD169" s="17">
        <f ca="1">IF($A169=0,0,SUMIF('Week 1 Roster'!$AZ:$AZ,$B169,'Week 1 Roster'!$AO:$AO))</f>
        <v>0</v>
      </c>
      <c r="AE169" s="38">
        <f ca="1">IF($A169=0,0,SUMIF('Week 1 Roster'!$AZ:$AZ,$B169,'Week 1 Roster'!$AP:$AP))</f>
        <v>0</v>
      </c>
      <c r="AF169" s="17">
        <f ca="1">IF($A169=0,0,SUMIF('Week 1 Roster'!$AZ:$AZ,$B169,'Week 1 Roster'!$AQ:$AQ))</f>
        <v>0</v>
      </c>
      <c r="AG169" s="17">
        <f ca="1">IF($A169=0,0,SUMIF('Week 1 Roster'!$AZ:$AZ,$B169,'Week 1 Roster'!$AR:$AR))</f>
        <v>0</v>
      </c>
      <c r="AH169" s="17">
        <f ca="1">IF($A169=0,0,SUMIF('Week 1 Roster'!$AZ:$AZ,$B169,'Week 1 Roster'!$AS:$AS))</f>
        <v>0</v>
      </c>
      <c r="AI169" s="17">
        <f t="shared" ca="1" si="52"/>
        <v>0</v>
      </c>
      <c r="AK169" s="17">
        <f ca="1">IF($A169=0,0,SUMIF('Week 2 Roster'!$AZ:$AZ,$B169,'Week 2 Roster'!$AE:$AE))</f>
        <v>0</v>
      </c>
      <c r="AL169" s="17">
        <f ca="1">IF($A169=0,0,SUMIF('Week 2 Roster'!$AZ:$AZ,$B169,'Week 2 Roster'!$AG:$AG))</f>
        <v>0</v>
      </c>
      <c r="AM169" s="17">
        <f ca="1">IF($A169=0,0,SUMIF('Week 2 Roster'!$AZ:$AZ,$B169,'Week 2 Roster'!$AI:$AI))</f>
        <v>0</v>
      </c>
      <c r="AN169" s="17">
        <f ca="1">IF($A169=0,0,SUMIF('Week 2 Roster'!$AZ:$AZ,$B169,'Week 2 Roster'!$AK:$AK))</f>
        <v>0</v>
      </c>
      <c r="AO169" s="17">
        <f ca="1">IF($A169=0,0,SUMIF('Week 2 Roster'!$AZ:$AZ,$B169,'Week 2 Roster'!$AM:$AM))</f>
        <v>0</v>
      </c>
      <c r="AP169" s="17">
        <f ca="1">IF($A169=0,0,SUMIF('Week 2 Roster'!$AZ:$AZ,$B169,'Week 2 Roster'!$AO:$AO))</f>
        <v>0</v>
      </c>
      <c r="AQ169" s="38">
        <f ca="1">IF($A169=0,0,SUMIF('Week 2 Roster'!$AZ:$AZ,$B169,'Week 2 Roster'!$AP:$AP))</f>
        <v>0</v>
      </c>
      <c r="AR169" s="17">
        <f ca="1">IF($A169=0,0,SUMIF('Week 2 Roster'!$AZ:$AZ,$B169,'Week 2 Roster'!$AQ:$AQ))</f>
        <v>0</v>
      </c>
      <c r="AS169" s="17">
        <f ca="1">IF($A169=0,0,SUMIF('Week 2 Roster'!$AZ:$AZ,$B169,'Week 2 Roster'!$AR:$AR))</f>
        <v>0</v>
      </c>
      <c r="AT169" s="17">
        <f ca="1">IF($A169=0,0,SUMIF('Week 2 Roster'!$AZ:$AZ,$B169,'Week 2 Roster'!$AS:$AS))</f>
        <v>0</v>
      </c>
      <c r="AU169" s="17">
        <f t="shared" ca="1" si="53"/>
        <v>0</v>
      </c>
      <c r="AV169" s="17"/>
    </row>
    <row r="170" spans="1:48">
      <c r="A170" s="16" cm="1">
        <f t="array" aca="1" ref="A170" ca="1">_xlfn.NUMBERVALUE(INDIRECT(TEXT(MIN(IF(($AW$2:$AX$300&lt;&gt;"")*(COUNTIF($B$1:B169,$AW$2:$AX$300)=0),ROW($2:$300)*100+COLUMN($AW:$AX),7^8)),"R0C00"),)&amp;"")</f>
        <v>0</v>
      </c>
      <c r="B170" s="28" t="str">
        <f t="shared" ca="1" si="39"/>
        <v/>
      </c>
      <c r="C170" s="28" t="str">
        <f ca="1">IF($A170=0,"",VLOOKUP($B170,Employees!$A:$G,2,FALSE))</f>
        <v/>
      </c>
      <c r="D170" s="28" t="str">
        <f ca="1">IF($A170=0,"",VLOOKUP($B170,Employees!$A:$G,3,FALSE))</f>
        <v/>
      </c>
      <c r="E170" s="26" t="str">
        <f ca="1">IF($A170=0,"",VLOOKUP($B170,Employees!$A:$G,5,FALSE))</f>
        <v/>
      </c>
      <c r="F170" s="13" t="str">
        <f ca="1">IF($E170="","",ROUNDDOWN(YEARFRAC($E170, 'Week 1 Roster'!$D$1-1, 1), 0))</f>
        <v/>
      </c>
      <c r="G170" s="13" t="str">
        <f ca="1">IF($E170="","",ROUNDDOWN(YEARFRAC($E170, 'Week 1 Roster'!$D$1+14, 1), 0))</f>
        <v/>
      </c>
      <c r="H170" s="13" t="str">
        <f t="shared" ca="1" si="40"/>
        <v/>
      </c>
      <c r="I170" s="13" t="str">
        <f ca="1">IF($A170=0,"",VLOOKUP($B170,Employees!$A:$G,6,FALSE))</f>
        <v/>
      </c>
      <c r="J170" s="13" t="str">
        <f ca="1">IF($A170=0,"",VLOOKUP($B170,Employees!$A:$G,7,FALSE))</f>
        <v/>
      </c>
      <c r="K170" s="13" t="str">
        <f ca="1">IF($A170=0,"",IF(ISNA(VLOOKUP(A170,'Week 1 Roster'!A:C,2,0)),VLOOKUP(A170,'Week 2 Roster'!A:C,2,0),VLOOKUP(A170,'Week 1 Roster'!A:C,2,0)))</f>
        <v/>
      </c>
      <c r="L170" s="13" t="str">
        <f ca="1">IF($A170=0,"",VLOOKUP(K170,Stores!A:B,2,0))</f>
        <v/>
      </c>
      <c r="M170" s="14">
        <f t="shared" ca="1" si="41"/>
        <v>0</v>
      </c>
      <c r="N170" s="14">
        <f t="shared" ca="1" si="42"/>
        <v>0</v>
      </c>
      <c r="O170" s="14">
        <f t="shared" ca="1" si="43"/>
        <v>0</v>
      </c>
      <c r="P170" s="14">
        <f t="shared" ca="1" si="44"/>
        <v>0</v>
      </c>
      <c r="Q170" s="14">
        <f t="shared" ca="1" si="45"/>
        <v>0</v>
      </c>
      <c r="R170" s="14">
        <f t="shared" ca="1" si="46"/>
        <v>0</v>
      </c>
      <c r="S170" s="28">
        <f t="shared" ca="1" si="47"/>
        <v>0</v>
      </c>
      <c r="T170" s="14">
        <f t="shared" ca="1" si="48"/>
        <v>0</v>
      </c>
      <c r="U170" s="14">
        <f t="shared" ca="1" si="49"/>
        <v>0</v>
      </c>
      <c r="V170" s="14">
        <f t="shared" ca="1" si="50"/>
        <v>0</v>
      </c>
      <c r="W170" s="14">
        <f t="shared" ca="1" si="51"/>
        <v>0</v>
      </c>
      <c r="Y170" s="17">
        <f ca="1">IF($A170=0,0,SUMIF('Week 1 Roster'!$AZ:$AZ,$B170,'Week 1 Roster'!$AE:$AE))</f>
        <v>0</v>
      </c>
      <c r="Z170" s="17">
        <f ca="1">IF($A170=0,0,SUMIF('Week 1 Roster'!$AZ:$AZ,$B170,'Week 1 Roster'!$AG:$AG))</f>
        <v>0</v>
      </c>
      <c r="AA170" s="17">
        <f ca="1">IF($A170=0,0,SUMIF('Week 1 Roster'!$AZ:$AZ,$B170,'Week 1 Roster'!$AI:$AI))</f>
        <v>0</v>
      </c>
      <c r="AB170" s="17">
        <f ca="1">IF($A170=0,0,SUMIF('Week 1 Roster'!$AZ:$AZ,$B170,'Week 1 Roster'!$AK:$AK))</f>
        <v>0</v>
      </c>
      <c r="AC170" s="17">
        <f ca="1">IF($A170=0,0,SUMIF('Week 1 Roster'!$AZ:$AZ,$B170,'Week 1 Roster'!$AM:$AM))</f>
        <v>0</v>
      </c>
      <c r="AD170" s="17">
        <f ca="1">IF($A170=0,0,SUMIF('Week 1 Roster'!$AZ:$AZ,$B170,'Week 1 Roster'!$AO:$AO))</f>
        <v>0</v>
      </c>
      <c r="AE170" s="38">
        <f ca="1">IF($A170=0,0,SUMIF('Week 1 Roster'!$AZ:$AZ,$B170,'Week 1 Roster'!$AP:$AP))</f>
        <v>0</v>
      </c>
      <c r="AF170" s="17">
        <f ca="1">IF($A170=0,0,SUMIF('Week 1 Roster'!$AZ:$AZ,$B170,'Week 1 Roster'!$AQ:$AQ))</f>
        <v>0</v>
      </c>
      <c r="AG170" s="17">
        <f ca="1">IF($A170=0,0,SUMIF('Week 1 Roster'!$AZ:$AZ,$B170,'Week 1 Roster'!$AR:$AR))</f>
        <v>0</v>
      </c>
      <c r="AH170" s="17">
        <f ca="1">IF($A170=0,0,SUMIF('Week 1 Roster'!$AZ:$AZ,$B170,'Week 1 Roster'!$AS:$AS))</f>
        <v>0</v>
      </c>
      <c r="AI170" s="17">
        <f t="shared" ca="1" si="52"/>
        <v>0</v>
      </c>
      <c r="AK170" s="17">
        <f ca="1">IF($A170=0,0,SUMIF('Week 2 Roster'!$AZ:$AZ,$B170,'Week 2 Roster'!$AE:$AE))</f>
        <v>0</v>
      </c>
      <c r="AL170" s="17">
        <f ca="1">IF($A170=0,0,SUMIF('Week 2 Roster'!$AZ:$AZ,$B170,'Week 2 Roster'!$AG:$AG))</f>
        <v>0</v>
      </c>
      <c r="AM170" s="17">
        <f ca="1">IF($A170=0,0,SUMIF('Week 2 Roster'!$AZ:$AZ,$B170,'Week 2 Roster'!$AI:$AI))</f>
        <v>0</v>
      </c>
      <c r="AN170" s="17">
        <f ca="1">IF($A170=0,0,SUMIF('Week 2 Roster'!$AZ:$AZ,$B170,'Week 2 Roster'!$AK:$AK))</f>
        <v>0</v>
      </c>
      <c r="AO170" s="17">
        <f ca="1">IF($A170=0,0,SUMIF('Week 2 Roster'!$AZ:$AZ,$B170,'Week 2 Roster'!$AM:$AM))</f>
        <v>0</v>
      </c>
      <c r="AP170" s="17">
        <f ca="1">IF($A170=0,0,SUMIF('Week 2 Roster'!$AZ:$AZ,$B170,'Week 2 Roster'!$AO:$AO))</f>
        <v>0</v>
      </c>
      <c r="AQ170" s="38">
        <f ca="1">IF($A170=0,0,SUMIF('Week 2 Roster'!$AZ:$AZ,$B170,'Week 2 Roster'!$AP:$AP))</f>
        <v>0</v>
      </c>
      <c r="AR170" s="17">
        <f ca="1">IF($A170=0,0,SUMIF('Week 2 Roster'!$AZ:$AZ,$B170,'Week 2 Roster'!$AQ:$AQ))</f>
        <v>0</v>
      </c>
      <c r="AS170" s="17">
        <f ca="1">IF($A170=0,0,SUMIF('Week 2 Roster'!$AZ:$AZ,$B170,'Week 2 Roster'!$AR:$AR))</f>
        <v>0</v>
      </c>
      <c r="AT170" s="17">
        <f ca="1">IF($A170=0,0,SUMIF('Week 2 Roster'!$AZ:$AZ,$B170,'Week 2 Roster'!$AS:$AS))</f>
        <v>0</v>
      </c>
      <c r="AU170" s="17">
        <f t="shared" ca="1" si="53"/>
        <v>0</v>
      </c>
      <c r="AV170" s="17"/>
    </row>
    <row r="171" spans="1:48">
      <c r="A171" s="16" cm="1">
        <f t="array" aca="1" ref="A171" ca="1">_xlfn.NUMBERVALUE(INDIRECT(TEXT(MIN(IF(($AW$2:$AX$300&lt;&gt;"")*(COUNTIF($B$1:B170,$AW$2:$AX$300)=0),ROW($2:$300)*100+COLUMN($AW:$AX),7^8)),"R0C00"),)&amp;"")</f>
        <v>0</v>
      </c>
      <c r="B171" s="28" t="str">
        <f t="shared" ca="1" si="39"/>
        <v/>
      </c>
      <c r="C171" s="28" t="str">
        <f ca="1">IF($A171=0,"",VLOOKUP($B171,Employees!$A:$G,2,FALSE))</f>
        <v/>
      </c>
      <c r="D171" s="28" t="str">
        <f ca="1">IF($A171=0,"",VLOOKUP($B171,Employees!$A:$G,3,FALSE))</f>
        <v/>
      </c>
      <c r="E171" s="26" t="str">
        <f ca="1">IF($A171=0,"",VLOOKUP($B171,Employees!$A:$G,5,FALSE))</f>
        <v/>
      </c>
      <c r="F171" s="13" t="str">
        <f ca="1">IF($E171="","",ROUNDDOWN(YEARFRAC($E171, 'Week 1 Roster'!$D$1-1, 1), 0))</f>
        <v/>
      </c>
      <c r="G171" s="13" t="str">
        <f ca="1">IF($E171="","",ROUNDDOWN(YEARFRAC($E171, 'Week 1 Roster'!$D$1+14, 1), 0))</f>
        <v/>
      </c>
      <c r="H171" s="13" t="str">
        <f t="shared" ca="1" si="40"/>
        <v/>
      </c>
      <c r="I171" s="13" t="str">
        <f ca="1">IF($A171=0,"",VLOOKUP($B171,Employees!$A:$G,6,FALSE))</f>
        <v/>
      </c>
      <c r="J171" s="13" t="str">
        <f ca="1">IF($A171=0,"",VLOOKUP($B171,Employees!$A:$G,7,FALSE))</f>
        <v/>
      </c>
      <c r="K171" s="13" t="str">
        <f ca="1">IF($A171=0,"",IF(ISNA(VLOOKUP(A171,'Week 1 Roster'!A:C,2,0)),VLOOKUP(A171,'Week 2 Roster'!A:C,2,0),VLOOKUP(A171,'Week 1 Roster'!A:C,2,0)))</f>
        <v/>
      </c>
      <c r="L171" s="13" t="str">
        <f ca="1">IF($A171=0,"",VLOOKUP(K171,Stores!A:B,2,0))</f>
        <v/>
      </c>
      <c r="M171" s="14">
        <f t="shared" ca="1" si="41"/>
        <v>0</v>
      </c>
      <c r="N171" s="14">
        <f t="shared" ca="1" si="42"/>
        <v>0</v>
      </c>
      <c r="O171" s="14">
        <f t="shared" ca="1" si="43"/>
        <v>0</v>
      </c>
      <c r="P171" s="14">
        <f t="shared" ca="1" si="44"/>
        <v>0</v>
      </c>
      <c r="Q171" s="14">
        <f t="shared" ca="1" si="45"/>
        <v>0</v>
      </c>
      <c r="R171" s="14">
        <f t="shared" ca="1" si="46"/>
        <v>0</v>
      </c>
      <c r="S171" s="28">
        <f t="shared" ca="1" si="47"/>
        <v>0</v>
      </c>
      <c r="T171" s="14">
        <f t="shared" ca="1" si="48"/>
        <v>0</v>
      </c>
      <c r="U171" s="14">
        <f t="shared" ca="1" si="49"/>
        <v>0</v>
      </c>
      <c r="V171" s="14">
        <f t="shared" ca="1" si="50"/>
        <v>0</v>
      </c>
      <c r="W171" s="14">
        <f t="shared" ca="1" si="51"/>
        <v>0</v>
      </c>
      <c r="Y171" s="17">
        <f ca="1">IF($A171=0,0,SUMIF('Week 1 Roster'!$AZ:$AZ,$B171,'Week 1 Roster'!$AE:$AE))</f>
        <v>0</v>
      </c>
      <c r="Z171" s="17">
        <f ca="1">IF($A171=0,0,SUMIF('Week 1 Roster'!$AZ:$AZ,$B171,'Week 1 Roster'!$AG:$AG))</f>
        <v>0</v>
      </c>
      <c r="AA171" s="17">
        <f ca="1">IF($A171=0,0,SUMIF('Week 1 Roster'!$AZ:$AZ,$B171,'Week 1 Roster'!$AI:$AI))</f>
        <v>0</v>
      </c>
      <c r="AB171" s="17">
        <f ca="1">IF($A171=0,0,SUMIF('Week 1 Roster'!$AZ:$AZ,$B171,'Week 1 Roster'!$AK:$AK))</f>
        <v>0</v>
      </c>
      <c r="AC171" s="17">
        <f ca="1">IF($A171=0,0,SUMIF('Week 1 Roster'!$AZ:$AZ,$B171,'Week 1 Roster'!$AM:$AM))</f>
        <v>0</v>
      </c>
      <c r="AD171" s="17">
        <f ca="1">IF($A171=0,0,SUMIF('Week 1 Roster'!$AZ:$AZ,$B171,'Week 1 Roster'!$AO:$AO))</f>
        <v>0</v>
      </c>
      <c r="AE171" s="38">
        <f ca="1">IF($A171=0,0,SUMIF('Week 1 Roster'!$AZ:$AZ,$B171,'Week 1 Roster'!$AP:$AP))</f>
        <v>0</v>
      </c>
      <c r="AF171" s="17">
        <f ca="1">IF($A171=0,0,SUMIF('Week 1 Roster'!$AZ:$AZ,$B171,'Week 1 Roster'!$AQ:$AQ))</f>
        <v>0</v>
      </c>
      <c r="AG171" s="17">
        <f ca="1">IF($A171=0,0,SUMIF('Week 1 Roster'!$AZ:$AZ,$B171,'Week 1 Roster'!$AR:$AR))</f>
        <v>0</v>
      </c>
      <c r="AH171" s="17">
        <f ca="1">IF($A171=0,0,SUMIF('Week 1 Roster'!$AZ:$AZ,$B171,'Week 1 Roster'!$AS:$AS))</f>
        <v>0</v>
      </c>
      <c r="AI171" s="17">
        <f t="shared" ca="1" si="52"/>
        <v>0</v>
      </c>
      <c r="AK171" s="17">
        <f ca="1">IF($A171=0,0,SUMIF('Week 2 Roster'!$AZ:$AZ,$B171,'Week 2 Roster'!$AE:$AE))</f>
        <v>0</v>
      </c>
      <c r="AL171" s="17">
        <f ca="1">IF($A171=0,0,SUMIF('Week 2 Roster'!$AZ:$AZ,$B171,'Week 2 Roster'!$AG:$AG))</f>
        <v>0</v>
      </c>
      <c r="AM171" s="17">
        <f ca="1">IF($A171=0,0,SUMIF('Week 2 Roster'!$AZ:$AZ,$B171,'Week 2 Roster'!$AI:$AI))</f>
        <v>0</v>
      </c>
      <c r="AN171" s="17">
        <f ca="1">IF($A171=0,0,SUMIF('Week 2 Roster'!$AZ:$AZ,$B171,'Week 2 Roster'!$AK:$AK))</f>
        <v>0</v>
      </c>
      <c r="AO171" s="17">
        <f ca="1">IF($A171=0,0,SUMIF('Week 2 Roster'!$AZ:$AZ,$B171,'Week 2 Roster'!$AM:$AM))</f>
        <v>0</v>
      </c>
      <c r="AP171" s="17">
        <f ca="1">IF($A171=0,0,SUMIF('Week 2 Roster'!$AZ:$AZ,$B171,'Week 2 Roster'!$AO:$AO))</f>
        <v>0</v>
      </c>
      <c r="AQ171" s="38">
        <f ca="1">IF($A171=0,0,SUMIF('Week 2 Roster'!$AZ:$AZ,$B171,'Week 2 Roster'!$AP:$AP))</f>
        <v>0</v>
      </c>
      <c r="AR171" s="17">
        <f ca="1">IF($A171=0,0,SUMIF('Week 2 Roster'!$AZ:$AZ,$B171,'Week 2 Roster'!$AQ:$AQ))</f>
        <v>0</v>
      </c>
      <c r="AS171" s="17">
        <f ca="1">IF($A171=0,0,SUMIF('Week 2 Roster'!$AZ:$AZ,$B171,'Week 2 Roster'!$AR:$AR))</f>
        <v>0</v>
      </c>
      <c r="AT171" s="17">
        <f ca="1">IF($A171=0,0,SUMIF('Week 2 Roster'!$AZ:$AZ,$B171,'Week 2 Roster'!$AS:$AS))</f>
        <v>0</v>
      </c>
      <c r="AU171" s="17">
        <f t="shared" ca="1" si="53"/>
        <v>0</v>
      </c>
      <c r="AV171" s="17"/>
    </row>
    <row r="172" spans="1:48">
      <c r="A172" s="16" cm="1">
        <f t="array" aca="1" ref="A172" ca="1">_xlfn.NUMBERVALUE(INDIRECT(TEXT(MIN(IF(($AW$2:$AX$300&lt;&gt;"")*(COUNTIF($B$1:B171,$AW$2:$AX$300)=0),ROW($2:$300)*100+COLUMN($AW:$AX),7^8)),"R0C00"),)&amp;"")</f>
        <v>0</v>
      </c>
      <c r="B172" s="28" t="str">
        <f t="shared" ca="1" si="39"/>
        <v/>
      </c>
      <c r="C172" s="28" t="str">
        <f ca="1">IF($A172=0,"",VLOOKUP($B172,Employees!$A:$G,2,FALSE))</f>
        <v/>
      </c>
      <c r="D172" s="28" t="str">
        <f ca="1">IF($A172=0,"",VLOOKUP($B172,Employees!$A:$G,3,FALSE))</f>
        <v/>
      </c>
      <c r="E172" s="26" t="str">
        <f ca="1">IF($A172=0,"",VLOOKUP($B172,Employees!$A:$G,5,FALSE))</f>
        <v/>
      </c>
      <c r="F172" s="13" t="str">
        <f ca="1">IF($E172="","",ROUNDDOWN(YEARFRAC($E172, 'Week 1 Roster'!$D$1-1, 1), 0))</f>
        <v/>
      </c>
      <c r="G172" s="13" t="str">
        <f ca="1">IF($E172="","",ROUNDDOWN(YEARFRAC($E172, 'Week 1 Roster'!$D$1+14, 1), 0))</f>
        <v/>
      </c>
      <c r="H172" s="13" t="str">
        <f t="shared" ca="1" si="40"/>
        <v/>
      </c>
      <c r="I172" s="13" t="str">
        <f ca="1">IF($A172=0,"",VLOOKUP($B172,Employees!$A:$G,6,FALSE))</f>
        <v/>
      </c>
      <c r="J172" s="13" t="str">
        <f ca="1">IF($A172=0,"",VLOOKUP($B172,Employees!$A:$G,7,FALSE))</f>
        <v/>
      </c>
      <c r="K172" s="13" t="str">
        <f ca="1">IF($A172=0,"",IF(ISNA(VLOOKUP(A172,'Week 1 Roster'!A:C,2,0)),VLOOKUP(A172,'Week 2 Roster'!A:C,2,0),VLOOKUP(A172,'Week 1 Roster'!A:C,2,0)))</f>
        <v/>
      </c>
      <c r="L172" s="13" t="str">
        <f ca="1">IF($A172=0,"",VLOOKUP(K172,Stores!A:B,2,0))</f>
        <v/>
      </c>
      <c r="M172" s="14">
        <f t="shared" ca="1" si="41"/>
        <v>0</v>
      </c>
      <c r="N172" s="14">
        <f t="shared" ca="1" si="42"/>
        <v>0</v>
      </c>
      <c r="O172" s="14">
        <f t="shared" ca="1" si="43"/>
        <v>0</v>
      </c>
      <c r="P172" s="14">
        <f t="shared" ca="1" si="44"/>
        <v>0</v>
      </c>
      <c r="Q172" s="14">
        <f t="shared" ca="1" si="45"/>
        <v>0</v>
      </c>
      <c r="R172" s="14">
        <f t="shared" ca="1" si="46"/>
        <v>0</v>
      </c>
      <c r="S172" s="28">
        <f t="shared" ca="1" si="47"/>
        <v>0</v>
      </c>
      <c r="T172" s="14">
        <f t="shared" ca="1" si="48"/>
        <v>0</v>
      </c>
      <c r="U172" s="14">
        <f t="shared" ca="1" si="49"/>
        <v>0</v>
      </c>
      <c r="V172" s="14">
        <f t="shared" ca="1" si="50"/>
        <v>0</v>
      </c>
      <c r="W172" s="14">
        <f t="shared" ca="1" si="51"/>
        <v>0</v>
      </c>
      <c r="Y172" s="17">
        <f ca="1">IF($A172=0,0,SUMIF('Week 1 Roster'!$AZ:$AZ,$B172,'Week 1 Roster'!$AE:$AE))</f>
        <v>0</v>
      </c>
      <c r="Z172" s="17">
        <f ca="1">IF($A172=0,0,SUMIF('Week 1 Roster'!$AZ:$AZ,$B172,'Week 1 Roster'!$AG:$AG))</f>
        <v>0</v>
      </c>
      <c r="AA172" s="17">
        <f ca="1">IF($A172=0,0,SUMIF('Week 1 Roster'!$AZ:$AZ,$B172,'Week 1 Roster'!$AI:$AI))</f>
        <v>0</v>
      </c>
      <c r="AB172" s="17">
        <f ca="1">IF($A172=0,0,SUMIF('Week 1 Roster'!$AZ:$AZ,$B172,'Week 1 Roster'!$AK:$AK))</f>
        <v>0</v>
      </c>
      <c r="AC172" s="17">
        <f ca="1">IF($A172=0,0,SUMIF('Week 1 Roster'!$AZ:$AZ,$B172,'Week 1 Roster'!$AM:$AM))</f>
        <v>0</v>
      </c>
      <c r="AD172" s="17">
        <f ca="1">IF($A172=0,0,SUMIF('Week 1 Roster'!$AZ:$AZ,$B172,'Week 1 Roster'!$AO:$AO))</f>
        <v>0</v>
      </c>
      <c r="AE172" s="38">
        <f ca="1">IF($A172=0,0,SUMIF('Week 1 Roster'!$AZ:$AZ,$B172,'Week 1 Roster'!$AP:$AP))</f>
        <v>0</v>
      </c>
      <c r="AF172" s="17">
        <f ca="1">IF($A172=0,0,SUMIF('Week 1 Roster'!$AZ:$AZ,$B172,'Week 1 Roster'!$AQ:$AQ))</f>
        <v>0</v>
      </c>
      <c r="AG172" s="17">
        <f ca="1">IF($A172=0,0,SUMIF('Week 1 Roster'!$AZ:$AZ,$B172,'Week 1 Roster'!$AR:$AR))</f>
        <v>0</v>
      </c>
      <c r="AH172" s="17">
        <f ca="1">IF($A172=0,0,SUMIF('Week 1 Roster'!$AZ:$AZ,$B172,'Week 1 Roster'!$AS:$AS))</f>
        <v>0</v>
      </c>
      <c r="AI172" s="17">
        <f t="shared" ca="1" si="52"/>
        <v>0</v>
      </c>
      <c r="AK172" s="17">
        <f ca="1">IF($A172=0,0,SUMIF('Week 2 Roster'!$AZ:$AZ,$B172,'Week 2 Roster'!$AE:$AE))</f>
        <v>0</v>
      </c>
      <c r="AL172" s="17">
        <f ca="1">IF($A172=0,0,SUMIF('Week 2 Roster'!$AZ:$AZ,$B172,'Week 2 Roster'!$AG:$AG))</f>
        <v>0</v>
      </c>
      <c r="AM172" s="17">
        <f ca="1">IF($A172=0,0,SUMIF('Week 2 Roster'!$AZ:$AZ,$B172,'Week 2 Roster'!$AI:$AI))</f>
        <v>0</v>
      </c>
      <c r="AN172" s="17">
        <f ca="1">IF($A172=0,0,SUMIF('Week 2 Roster'!$AZ:$AZ,$B172,'Week 2 Roster'!$AK:$AK))</f>
        <v>0</v>
      </c>
      <c r="AO172" s="17">
        <f ca="1">IF($A172=0,0,SUMIF('Week 2 Roster'!$AZ:$AZ,$B172,'Week 2 Roster'!$AM:$AM))</f>
        <v>0</v>
      </c>
      <c r="AP172" s="17">
        <f ca="1">IF($A172=0,0,SUMIF('Week 2 Roster'!$AZ:$AZ,$B172,'Week 2 Roster'!$AO:$AO))</f>
        <v>0</v>
      </c>
      <c r="AQ172" s="38">
        <f ca="1">IF($A172=0,0,SUMIF('Week 2 Roster'!$AZ:$AZ,$B172,'Week 2 Roster'!$AP:$AP))</f>
        <v>0</v>
      </c>
      <c r="AR172" s="17">
        <f ca="1">IF($A172=0,0,SUMIF('Week 2 Roster'!$AZ:$AZ,$B172,'Week 2 Roster'!$AQ:$AQ))</f>
        <v>0</v>
      </c>
      <c r="AS172" s="17">
        <f ca="1">IF($A172=0,0,SUMIF('Week 2 Roster'!$AZ:$AZ,$B172,'Week 2 Roster'!$AR:$AR))</f>
        <v>0</v>
      </c>
      <c r="AT172" s="17">
        <f ca="1">IF($A172=0,0,SUMIF('Week 2 Roster'!$AZ:$AZ,$B172,'Week 2 Roster'!$AS:$AS))</f>
        <v>0</v>
      </c>
      <c r="AU172" s="17">
        <f t="shared" ca="1" si="53"/>
        <v>0</v>
      </c>
      <c r="AV172" s="17"/>
    </row>
    <row r="173" spans="1:48">
      <c r="A173" s="16" cm="1">
        <f t="array" aca="1" ref="A173" ca="1">_xlfn.NUMBERVALUE(INDIRECT(TEXT(MIN(IF(($AW$2:$AX$300&lt;&gt;"")*(COUNTIF($B$1:B172,$AW$2:$AX$300)=0),ROW($2:$300)*100+COLUMN($AW:$AX),7^8)),"R0C00"),)&amp;"")</f>
        <v>0</v>
      </c>
      <c r="B173" s="28" t="str">
        <f t="shared" ca="1" si="39"/>
        <v/>
      </c>
      <c r="C173" s="28" t="str">
        <f ca="1">IF($A173=0,"",VLOOKUP($B173,Employees!$A:$G,2,FALSE))</f>
        <v/>
      </c>
      <c r="D173" s="28" t="str">
        <f ca="1">IF($A173=0,"",VLOOKUP($B173,Employees!$A:$G,3,FALSE))</f>
        <v/>
      </c>
      <c r="E173" s="26" t="str">
        <f ca="1">IF($A173=0,"",VLOOKUP($B173,Employees!$A:$G,5,FALSE))</f>
        <v/>
      </c>
      <c r="F173" s="13" t="str">
        <f ca="1">IF($E173="","",ROUNDDOWN(YEARFRAC($E173, 'Week 1 Roster'!$D$1-1, 1), 0))</f>
        <v/>
      </c>
      <c r="G173" s="13" t="str">
        <f ca="1">IF($E173="","",ROUNDDOWN(YEARFRAC($E173, 'Week 1 Roster'!$D$1+14, 1), 0))</f>
        <v/>
      </c>
      <c r="H173" s="13" t="str">
        <f t="shared" ca="1" si="40"/>
        <v/>
      </c>
      <c r="I173" s="13" t="str">
        <f ca="1">IF($A173=0,"",VLOOKUP($B173,Employees!$A:$G,6,FALSE))</f>
        <v/>
      </c>
      <c r="J173" s="13" t="str">
        <f ca="1">IF($A173=0,"",VLOOKUP($B173,Employees!$A:$G,7,FALSE))</f>
        <v/>
      </c>
      <c r="K173" s="13" t="str">
        <f ca="1">IF($A173=0,"",IF(ISNA(VLOOKUP(A173,'Week 1 Roster'!A:C,2,0)),VLOOKUP(A173,'Week 2 Roster'!A:C,2,0),VLOOKUP(A173,'Week 1 Roster'!A:C,2,0)))</f>
        <v/>
      </c>
      <c r="L173" s="13" t="str">
        <f ca="1">IF($A173=0,"",VLOOKUP(K173,Stores!A:B,2,0))</f>
        <v/>
      </c>
      <c r="M173" s="14">
        <f t="shared" ca="1" si="41"/>
        <v>0</v>
      </c>
      <c r="N173" s="14">
        <f t="shared" ca="1" si="42"/>
        <v>0</v>
      </c>
      <c r="O173" s="14">
        <f t="shared" ca="1" si="43"/>
        <v>0</v>
      </c>
      <c r="P173" s="14">
        <f t="shared" ca="1" si="44"/>
        <v>0</v>
      </c>
      <c r="Q173" s="14">
        <f t="shared" ca="1" si="45"/>
        <v>0</v>
      </c>
      <c r="R173" s="14">
        <f t="shared" ca="1" si="46"/>
        <v>0</v>
      </c>
      <c r="S173" s="28">
        <f t="shared" ca="1" si="47"/>
        <v>0</v>
      </c>
      <c r="T173" s="14">
        <f t="shared" ca="1" si="48"/>
        <v>0</v>
      </c>
      <c r="U173" s="14">
        <f t="shared" ca="1" si="49"/>
        <v>0</v>
      </c>
      <c r="V173" s="14">
        <f t="shared" ca="1" si="50"/>
        <v>0</v>
      </c>
      <c r="W173" s="14">
        <f t="shared" ca="1" si="51"/>
        <v>0</v>
      </c>
      <c r="Y173" s="17">
        <f ca="1">IF($A173=0,0,SUMIF('Week 1 Roster'!$AZ:$AZ,$B173,'Week 1 Roster'!$AE:$AE))</f>
        <v>0</v>
      </c>
      <c r="Z173" s="17">
        <f ca="1">IF($A173=0,0,SUMIF('Week 1 Roster'!$AZ:$AZ,$B173,'Week 1 Roster'!$AG:$AG))</f>
        <v>0</v>
      </c>
      <c r="AA173" s="17">
        <f ca="1">IF($A173=0,0,SUMIF('Week 1 Roster'!$AZ:$AZ,$B173,'Week 1 Roster'!$AI:$AI))</f>
        <v>0</v>
      </c>
      <c r="AB173" s="17">
        <f ca="1">IF($A173=0,0,SUMIF('Week 1 Roster'!$AZ:$AZ,$B173,'Week 1 Roster'!$AK:$AK))</f>
        <v>0</v>
      </c>
      <c r="AC173" s="17">
        <f ca="1">IF($A173=0,0,SUMIF('Week 1 Roster'!$AZ:$AZ,$B173,'Week 1 Roster'!$AM:$AM))</f>
        <v>0</v>
      </c>
      <c r="AD173" s="17">
        <f ca="1">IF($A173=0,0,SUMIF('Week 1 Roster'!$AZ:$AZ,$B173,'Week 1 Roster'!$AO:$AO))</f>
        <v>0</v>
      </c>
      <c r="AE173" s="38">
        <f ca="1">IF($A173=0,0,SUMIF('Week 1 Roster'!$AZ:$AZ,$B173,'Week 1 Roster'!$AP:$AP))</f>
        <v>0</v>
      </c>
      <c r="AF173" s="17">
        <f ca="1">IF($A173=0,0,SUMIF('Week 1 Roster'!$AZ:$AZ,$B173,'Week 1 Roster'!$AQ:$AQ))</f>
        <v>0</v>
      </c>
      <c r="AG173" s="17">
        <f ca="1">IF($A173=0,0,SUMIF('Week 1 Roster'!$AZ:$AZ,$B173,'Week 1 Roster'!$AR:$AR))</f>
        <v>0</v>
      </c>
      <c r="AH173" s="17">
        <f ca="1">IF($A173=0,0,SUMIF('Week 1 Roster'!$AZ:$AZ,$B173,'Week 1 Roster'!$AS:$AS))</f>
        <v>0</v>
      </c>
      <c r="AI173" s="17">
        <f t="shared" ca="1" si="52"/>
        <v>0</v>
      </c>
      <c r="AK173" s="17">
        <f ca="1">IF($A173=0,0,SUMIF('Week 2 Roster'!$AZ:$AZ,$B173,'Week 2 Roster'!$AE:$AE))</f>
        <v>0</v>
      </c>
      <c r="AL173" s="17">
        <f ca="1">IF($A173=0,0,SUMIF('Week 2 Roster'!$AZ:$AZ,$B173,'Week 2 Roster'!$AG:$AG))</f>
        <v>0</v>
      </c>
      <c r="AM173" s="17">
        <f ca="1">IF($A173=0,0,SUMIF('Week 2 Roster'!$AZ:$AZ,$B173,'Week 2 Roster'!$AI:$AI))</f>
        <v>0</v>
      </c>
      <c r="AN173" s="17">
        <f ca="1">IF($A173=0,0,SUMIF('Week 2 Roster'!$AZ:$AZ,$B173,'Week 2 Roster'!$AK:$AK))</f>
        <v>0</v>
      </c>
      <c r="AO173" s="17">
        <f ca="1">IF($A173=0,0,SUMIF('Week 2 Roster'!$AZ:$AZ,$B173,'Week 2 Roster'!$AM:$AM))</f>
        <v>0</v>
      </c>
      <c r="AP173" s="17">
        <f ca="1">IF($A173=0,0,SUMIF('Week 2 Roster'!$AZ:$AZ,$B173,'Week 2 Roster'!$AO:$AO))</f>
        <v>0</v>
      </c>
      <c r="AQ173" s="38">
        <f ca="1">IF($A173=0,0,SUMIF('Week 2 Roster'!$AZ:$AZ,$B173,'Week 2 Roster'!$AP:$AP))</f>
        <v>0</v>
      </c>
      <c r="AR173" s="17">
        <f ca="1">IF($A173=0,0,SUMIF('Week 2 Roster'!$AZ:$AZ,$B173,'Week 2 Roster'!$AQ:$AQ))</f>
        <v>0</v>
      </c>
      <c r="AS173" s="17">
        <f ca="1">IF($A173=0,0,SUMIF('Week 2 Roster'!$AZ:$AZ,$B173,'Week 2 Roster'!$AR:$AR))</f>
        <v>0</v>
      </c>
      <c r="AT173" s="17">
        <f ca="1">IF($A173=0,0,SUMIF('Week 2 Roster'!$AZ:$AZ,$B173,'Week 2 Roster'!$AS:$AS))</f>
        <v>0</v>
      </c>
      <c r="AU173" s="17">
        <f t="shared" ca="1" si="53"/>
        <v>0</v>
      </c>
      <c r="AV173" s="17"/>
    </row>
    <row r="174" spans="1:48">
      <c r="A174" s="16" cm="1">
        <f t="array" aca="1" ref="A174" ca="1">_xlfn.NUMBERVALUE(INDIRECT(TEXT(MIN(IF(($AW$2:$AX$300&lt;&gt;"")*(COUNTIF($B$1:B173,$AW$2:$AX$300)=0),ROW($2:$300)*100+COLUMN($AW:$AX),7^8)),"R0C00"),)&amp;"")</f>
        <v>0</v>
      </c>
      <c r="B174" s="28" t="str">
        <f t="shared" ca="1" si="39"/>
        <v/>
      </c>
      <c r="C174" s="28" t="str">
        <f ca="1">IF($A174=0,"",VLOOKUP($B174,Employees!$A:$G,2,FALSE))</f>
        <v/>
      </c>
      <c r="D174" s="28" t="str">
        <f ca="1">IF($A174=0,"",VLOOKUP($B174,Employees!$A:$G,3,FALSE))</f>
        <v/>
      </c>
      <c r="E174" s="26" t="str">
        <f ca="1">IF($A174=0,"",VLOOKUP($B174,Employees!$A:$G,5,FALSE))</f>
        <v/>
      </c>
      <c r="F174" s="13" t="str">
        <f ca="1">IF($E174="","",ROUNDDOWN(YEARFRAC($E174, 'Week 1 Roster'!$D$1-1, 1), 0))</f>
        <v/>
      </c>
      <c r="G174" s="13" t="str">
        <f ca="1">IF($E174="","",ROUNDDOWN(YEARFRAC($E174, 'Week 1 Roster'!$D$1+14, 1), 0))</f>
        <v/>
      </c>
      <c r="H174" s="13" t="str">
        <f t="shared" ca="1" si="40"/>
        <v/>
      </c>
      <c r="I174" s="13" t="str">
        <f ca="1">IF($A174=0,"",VLOOKUP($B174,Employees!$A:$G,6,FALSE))</f>
        <v/>
      </c>
      <c r="J174" s="13" t="str">
        <f ca="1">IF($A174=0,"",VLOOKUP($B174,Employees!$A:$G,7,FALSE))</f>
        <v/>
      </c>
      <c r="K174" s="13" t="str">
        <f ca="1">IF($A174=0,"",IF(ISNA(VLOOKUP(A174,'Week 1 Roster'!A:C,2,0)),VLOOKUP(A174,'Week 2 Roster'!A:C,2,0),VLOOKUP(A174,'Week 1 Roster'!A:C,2,0)))</f>
        <v/>
      </c>
      <c r="L174" s="13" t="str">
        <f ca="1">IF($A174=0,"",VLOOKUP(K174,Stores!A:B,2,0))</f>
        <v/>
      </c>
      <c r="M174" s="14">
        <f t="shared" ca="1" si="41"/>
        <v>0</v>
      </c>
      <c r="N174" s="14">
        <f t="shared" ca="1" si="42"/>
        <v>0</v>
      </c>
      <c r="O174" s="14">
        <f t="shared" ca="1" si="43"/>
        <v>0</v>
      </c>
      <c r="P174" s="14">
        <f t="shared" ca="1" si="44"/>
        <v>0</v>
      </c>
      <c r="Q174" s="14">
        <f t="shared" ca="1" si="45"/>
        <v>0</v>
      </c>
      <c r="R174" s="14">
        <f t="shared" ca="1" si="46"/>
        <v>0</v>
      </c>
      <c r="S174" s="28">
        <f t="shared" ca="1" si="47"/>
        <v>0</v>
      </c>
      <c r="T174" s="14">
        <f t="shared" ca="1" si="48"/>
        <v>0</v>
      </c>
      <c r="U174" s="14">
        <f t="shared" ca="1" si="49"/>
        <v>0</v>
      </c>
      <c r="V174" s="14">
        <f t="shared" ca="1" si="50"/>
        <v>0</v>
      </c>
      <c r="W174" s="14">
        <f t="shared" ca="1" si="51"/>
        <v>0</v>
      </c>
      <c r="Y174" s="17">
        <f ca="1">IF($A174=0,0,SUMIF('Week 1 Roster'!$AZ:$AZ,$B174,'Week 1 Roster'!$AE:$AE))</f>
        <v>0</v>
      </c>
      <c r="Z174" s="17">
        <f ca="1">IF($A174=0,0,SUMIF('Week 1 Roster'!$AZ:$AZ,$B174,'Week 1 Roster'!$AG:$AG))</f>
        <v>0</v>
      </c>
      <c r="AA174" s="17">
        <f ca="1">IF($A174=0,0,SUMIF('Week 1 Roster'!$AZ:$AZ,$B174,'Week 1 Roster'!$AI:$AI))</f>
        <v>0</v>
      </c>
      <c r="AB174" s="17">
        <f ca="1">IF($A174=0,0,SUMIF('Week 1 Roster'!$AZ:$AZ,$B174,'Week 1 Roster'!$AK:$AK))</f>
        <v>0</v>
      </c>
      <c r="AC174" s="17">
        <f ca="1">IF($A174=0,0,SUMIF('Week 1 Roster'!$AZ:$AZ,$B174,'Week 1 Roster'!$AM:$AM))</f>
        <v>0</v>
      </c>
      <c r="AD174" s="17">
        <f ca="1">IF($A174=0,0,SUMIF('Week 1 Roster'!$AZ:$AZ,$B174,'Week 1 Roster'!$AO:$AO))</f>
        <v>0</v>
      </c>
      <c r="AE174" s="38">
        <f ca="1">IF($A174=0,0,SUMIF('Week 1 Roster'!$AZ:$AZ,$B174,'Week 1 Roster'!$AP:$AP))</f>
        <v>0</v>
      </c>
      <c r="AF174" s="17">
        <f ca="1">IF($A174=0,0,SUMIF('Week 1 Roster'!$AZ:$AZ,$B174,'Week 1 Roster'!$AQ:$AQ))</f>
        <v>0</v>
      </c>
      <c r="AG174" s="17">
        <f ca="1">IF($A174=0,0,SUMIF('Week 1 Roster'!$AZ:$AZ,$B174,'Week 1 Roster'!$AR:$AR))</f>
        <v>0</v>
      </c>
      <c r="AH174" s="17">
        <f ca="1">IF($A174=0,0,SUMIF('Week 1 Roster'!$AZ:$AZ,$B174,'Week 1 Roster'!$AS:$AS))</f>
        <v>0</v>
      </c>
      <c r="AI174" s="17">
        <f t="shared" ca="1" si="52"/>
        <v>0</v>
      </c>
      <c r="AK174" s="17">
        <f ca="1">IF($A174=0,0,SUMIF('Week 2 Roster'!$AZ:$AZ,$B174,'Week 2 Roster'!$AE:$AE))</f>
        <v>0</v>
      </c>
      <c r="AL174" s="17">
        <f ca="1">IF($A174=0,0,SUMIF('Week 2 Roster'!$AZ:$AZ,$B174,'Week 2 Roster'!$AG:$AG))</f>
        <v>0</v>
      </c>
      <c r="AM174" s="17">
        <f ca="1">IF($A174=0,0,SUMIF('Week 2 Roster'!$AZ:$AZ,$B174,'Week 2 Roster'!$AI:$AI))</f>
        <v>0</v>
      </c>
      <c r="AN174" s="17">
        <f ca="1">IF($A174=0,0,SUMIF('Week 2 Roster'!$AZ:$AZ,$B174,'Week 2 Roster'!$AK:$AK))</f>
        <v>0</v>
      </c>
      <c r="AO174" s="17">
        <f ca="1">IF($A174=0,0,SUMIF('Week 2 Roster'!$AZ:$AZ,$B174,'Week 2 Roster'!$AM:$AM))</f>
        <v>0</v>
      </c>
      <c r="AP174" s="17">
        <f ca="1">IF($A174=0,0,SUMIF('Week 2 Roster'!$AZ:$AZ,$B174,'Week 2 Roster'!$AO:$AO))</f>
        <v>0</v>
      </c>
      <c r="AQ174" s="38">
        <f ca="1">IF($A174=0,0,SUMIF('Week 2 Roster'!$AZ:$AZ,$B174,'Week 2 Roster'!$AP:$AP))</f>
        <v>0</v>
      </c>
      <c r="AR174" s="17">
        <f ca="1">IF($A174=0,0,SUMIF('Week 2 Roster'!$AZ:$AZ,$B174,'Week 2 Roster'!$AQ:$AQ))</f>
        <v>0</v>
      </c>
      <c r="AS174" s="17">
        <f ca="1">IF($A174=0,0,SUMIF('Week 2 Roster'!$AZ:$AZ,$B174,'Week 2 Roster'!$AR:$AR))</f>
        <v>0</v>
      </c>
      <c r="AT174" s="17">
        <f ca="1">IF($A174=0,0,SUMIF('Week 2 Roster'!$AZ:$AZ,$B174,'Week 2 Roster'!$AS:$AS))</f>
        <v>0</v>
      </c>
      <c r="AU174" s="17">
        <f t="shared" ca="1" si="53"/>
        <v>0</v>
      </c>
      <c r="AV174" s="17"/>
    </row>
    <row r="175" spans="1:48">
      <c r="A175" s="16" cm="1">
        <f t="array" aca="1" ref="A175" ca="1">_xlfn.NUMBERVALUE(INDIRECT(TEXT(MIN(IF(($AW$2:$AX$300&lt;&gt;"")*(COUNTIF($B$1:B174,$AW$2:$AX$300)=0),ROW($2:$300)*100+COLUMN($AW:$AX),7^8)),"R0C00"),)&amp;"")</f>
        <v>0</v>
      </c>
      <c r="B175" s="28" t="str">
        <f t="shared" ca="1" si="39"/>
        <v/>
      </c>
      <c r="C175" s="28" t="str">
        <f ca="1">IF($A175=0,"",VLOOKUP($B175,Employees!$A:$G,2,FALSE))</f>
        <v/>
      </c>
      <c r="D175" s="28" t="str">
        <f ca="1">IF($A175=0,"",VLOOKUP($B175,Employees!$A:$G,3,FALSE))</f>
        <v/>
      </c>
      <c r="E175" s="26" t="str">
        <f ca="1">IF($A175=0,"",VLOOKUP($B175,Employees!$A:$G,5,FALSE))</f>
        <v/>
      </c>
      <c r="F175" s="13" t="str">
        <f ca="1">IF($E175="","",ROUNDDOWN(YEARFRAC($E175, 'Week 1 Roster'!$D$1-1, 1), 0))</f>
        <v/>
      </c>
      <c r="G175" s="13" t="str">
        <f ca="1">IF($E175="","",ROUNDDOWN(YEARFRAC($E175, 'Week 1 Roster'!$D$1+14, 1), 0))</f>
        <v/>
      </c>
      <c r="H175" s="13" t="str">
        <f t="shared" ca="1" si="40"/>
        <v/>
      </c>
      <c r="I175" s="13" t="str">
        <f ca="1">IF($A175=0,"",VLOOKUP($B175,Employees!$A:$G,6,FALSE))</f>
        <v/>
      </c>
      <c r="J175" s="13" t="str">
        <f ca="1">IF($A175=0,"",VLOOKUP($B175,Employees!$A:$G,7,FALSE))</f>
        <v/>
      </c>
      <c r="K175" s="13" t="str">
        <f ca="1">IF($A175=0,"",IF(ISNA(VLOOKUP(A175,'Week 1 Roster'!A:C,2,0)),VLOOKUP(A175,'Week 2 Roster'!A:C,2,0),VLOOKUP(A175,'Week 1 Roster'!A:C,2,0)))</f>
        <v/>
      </c>
      <c r="L175" s="13" t="str">
        <f ca="1">IF($A175=0,"",VLOOKUP(K175,Stores!A:B,2,0))</f>
        <v/>
      </c>
      <c r="M175" s="14">
        <f t="shared" ca="1" si="41"/>
        <v>0</v>
      </c>
      <c r="N175" s="14">
        <f t="shared" ca="1" si="42"/>
        <v>0</v>
      </c>
      <c r="O175" s="14">
        <f t="shared" ca="1" si="43"/>
        <v>0</v>
      </c>
      <c r="P175" s="14">
        <f t="shared" ca="1" si="44"/>
        <v>0</v>
      </c>
      <c r="Q175" s="14">
        <f t="shared" ca="1" si="45"/>
        <v>0</v>
      </c>
      <c r="R175" s="14">
        <f t="shared" ca="1" si="46"/>
        <v>0</v>
      </c>
      <c r="S175" s="28">
        <f t="shared" ca="1" si="47"/>
        <v>0</v>
      </c>
      <c r="T175" s="14">
        <f t="shared" ca="1" si="48"/>
        <v>0</v>
      </c>
      <c r="U175" s="14">
        <f t="shared" ca="1" si="49"/>
        <v>0</v>
      </c>
      <c r="V175" s="14">
        <f t="shared" ca="1" si="50"/>
        <v>0</v>
      </c>
      <c r="W175" s="14">
        <f t="shared" ca="1" si="51"/>
        <v>0</v>
      </c>
      <c r="Y175" s="17">
        <f ca="1">IF($A175=0,0,SUMIF('Week 1 Roster'!$AZ:$AZ,$B175,'Week 1 Roster'!$AE:$AE))</f>
        <v>0</v>
      </c>
      <c r="Z175" s="17">
        <f ca="1">IF($A175=0,0,SUMIF('Week 1 Roster'!$AZ:$AZ,$B175,'Week 1 Roster'!$AG:$AG))</f>
        <v>0</v>
      </c>
      <c r="AA175" s="17">
        <f ca="1">IF($A175=0,0,SUMIF('Week 1 Roster'!$AZ:$AZ,$B175,'Week 1 Roster'!$AI:$AI))</f>
        <v>0</v>
      </c>
      <c r="AB175" s="17">
        <f ca="1">IF($A175=0,0,SUMIF('Week 1 Roster'!$AZ:$AZ,$B175,'Week 1 Roster'!$AK:$AK))</f>
        <v>0</v>
      </c>
      <c r="AC175" s="17">
        <f ca="1">IF($A175=0,0,SUMIF('Week 1 Roster'!$AZ:$AZ,$B175,'Week 1 Roster'!$AM:$AM))</f>
        <v>0</v>
      </c>
      <c r="AD175" s="17">
        <f ca="1">IF($A175=0,0,SUMIF('Week 1 Roster'!$AZ:$AZ,$B175,'Week 1 Roster'!$AO:$AO))</f>
        <v>0</v>
      </c>
      <c r="AE175" s="38">
        <f ca="1">IF($A175=0,0,SUMIF('Week 1 Roster'!$AZ:$AZ,$B175,'Week 1 Roster'!$AP:$AP))</f>
        <v>0</v>
      </c>
      <c r="AF175" s="17">
        <f ca="1">IF($A175=0,0,SUMIF('Week 1 Roster'!$AZ:$AZ,$B175,'Week 1 Roster'!$AQ:$AQ))</f>
        <v>0</v>
      </c>
      <c r="AG175" s="17">
        <f ca="1">IF($A175=0,0,SUMIF('Week 1 Roster'!$AZ:$AZ,$B175,'Week 1 Roster'!$AR:$AR))</f>
        <v>0</v>
      </c>
      <c r="AH175" s="17">
        <f ca="1">IF($A175=0,0,SUMIF('Week 1 Roster'!$AZ:$AZ,$B175,'Week 1 Roster'!$AS:$AS))</f>
        <v>0</v>
      </c>
      <c r="AI175" s="17">
        <f t="shared" ca="1" si="52"/>
        <v>0</v>
      </c>
      <c r="AK175" s="17">
        <f ca="1">IF($A175=0,0,SUMIF('Week 2 Roster'!$AZ:$AZ,$B175,'Week 2 Roster'!$AE:$AE))</f>
        <v>0</v>
      </c>
      <c r="AL175" s="17">
        <f ca="1">IF($A175=0,0,SUMIF('Week 2 Roster'!$AZ:$AZ,$B175,'Week 2 Roster'!$AG:$AG))</f>
        <v>0</v>
      </c>
      <c r="AM175" s="17">
        <f ca="1">IF($A175=0,0,SUMIF('Week 2 Roster'!$AZ:$AZ,$B175,'Week 2 Roster'!$AI:$AI))</f>
        <v>0</v>
      </c>
      <c r="AN175" s="17">
        <f ca="1">IF($A175=0,0,SUMIF('Week 2 Roster'!$AZ:$AZ,$B175,'Week 2 Roster'!$AK:$AK))</f>
        <v>0</v>
      </c>
      <c r="AO175" s="17">
        <f ca="1">IF($A175=0,0,SUMIF('Week 2 Roster'!$AZ:$AZ,$B175,'Week 2 Roster'!$AM:$AM))</f>
        <v>0</v>
      </c>
      <c r="AP175" s="17">
        <f ca="1">IF($A175=0,0,SUMIF('Week 2 Roster'!$AZ:$AZ,$B175,'Week 2 Roster'!$AO:$AO))</f>
        <v>0</v>
      </c>
      <c r="AQ175" s="38">
        <f ca="1">IF($A175=0,0,SUMIF('Week 2 Roster'!$AZ:$AZ,$B175,'Week 2 Roster'!$AP:$AP))</f>
        <v>0</v>
      </c>
      <c r="AR175" s="17">
        <f ca="1">IF($A175=0,0,SUMIF('Week 2 Roster'!$AZ:$AZ,$B175,'Week 2 Roster'!$AQ:$AQ))</f>
        <v>0</v>
      </c>
      <c r="AS175" s="17">
        <f ca="1">IF($A175=0,0,SUMIF('Week 2 Roster'!$AZ:$AZ,$B175,'Week 2 Roster'!$AR:$AR))</f>
        <v>0</v>
      </c>
      <c r="AT175" s="17">
        <f ca="1">IF($A175=0,0,SUMIF('Week 2 Roster'!$AZ:$AZ,$B175,'Week 2 Roster'!$AS:$AS))</f>
        <v>0</v>
      </c>
      <c r="AU175" s="17">
        <f t="shared" ca="1" si="53"/>
        <v>0</v>
      </c>
      <c r="AV175" s="17"/>
    </row>
    <row r="176" spans="1:48">
      <c r="A176" s="16" cm="1">
        <f t="array" aca="1" ref="A176" ca="1">_xlfn.NUMBERVALUE(INDIRECT(TEXT(MIN(IF(($AW$2:$AX$300&lt;&gt;"")*(COUNTIF($B$1:B175,$AW$2:$AX$300)=0),ROW($2:$300)*100+COLUMN($AW:$AX),7^8)),"R0C00"),)&amp;"")</f>
        <v>0</v>
      </c>
      <c r="B176" s="28" t="str">
        <f t="shared" ca="1" si="39"/>
        <v/>
      </c>
      <c r="C176" s="28" t="str">
        <f ca="1">IF($A176=0,"",VLOOKUP($B176,Employees!$A:$G,2,FALSE))</f>
        <v/>
      </c>
      <c r="D176" s="28" t="str">
        <f ca="1">IF($A176=0,"",VLOOKUP($B176,Employees!$A:$G,3,FALSE))</f>
        <v/>
      </c>
      <c r="E176" s="26" t="str">
        <f ca="1">IF($A176=0,"",VLOOKUP($B176,Employees!$A:$G,5,FALSE))</f>
        <v/>
      </c>
      <c r="F176" s="13" t="str">
        <f ca="1">IF($E176="","",ROUNDDOWN(YEARFRAC($E176, 'Week 1 Roster'!$D$1-1, 1), 0))</f>
        <v/>
      </c>
      <c r="G176" s="13" t="str">
        <f ca="1">IF($E176="","",ROUNDDOWN(YEARFRAC($E176, 'Week 1 Roster'!$D$1+14, 1), 0))</f>
        <v/>
      </c>
      <c r="H176" s="13" t="str">
        <f t="shared" ca="1" si="40"/>
        <v/>
      </c>
      <c r="I176" s="13" t="str">
        <f ca="1">IF($A176=0,"",VLOOKUP($B176,Employees!$A:$G,6,FALSE))</f>
        <v/>
      </c>
      <c r="J176" s="13" t="str">
        <f ca="1">IF($A176=0,"",VLOOKUP($B176,Employees!$A:$G,7,FALSE))</f>
        <v/>
      </c>
      <c r="K176" s="13" t="str">
        <f ca="1">IF($A176=0,"",IF(ISNA(VLOOKUP(A176,'Week 1 Roster'!A:C,2,0)),VLOOKUP(A176,'Week 2 Roster'!A:C,2,0),VLOOKUP(A176,'Week 1 Roster'!A:C,2,0)))</f>
        <v/>
      </c>
      <c r="L176" s="13" t="str">
        <f ca="1">IF($A176=0,"",VLOOKUP(K176,Stores!A:B,2,0))</f>
        <v/>
      </c>
      <c r="M176" s="14">
        <f t="shared" ca="1" si="41"/>
        <v>0</v>
      </c>
      <c r="N176" s="14">
        <f t="shared" ca="1" si="42"/>
        <v>0</v>
      </c>
      <c r="O176" s="14">
        <f t="shared" ca="1" si="43"/>
        <v>0</v>
      </c>
      <c r="P176" s="14">
        <f t="shared" ca="1" si="44"/>
        <v>0</v>
      </c>
      <c r="Q176" s="14">
        <f t="shared" ca="1" si="45"/>
        <v>0</v>
      </c>
      <c r="R176" s="14">
        <f t="shared" ca="1" si="46"/>
        <v>0</v>
      </c>
      <c r="S176" s="28">
        <f t="shared" ca="1" si="47"/>
        <v>0</v>
      </c>
      <c r="T176" s="14">
        <f t="shared" ca="1" si="48"/>
        <v>0</v>
      </c>
      <c r="U176" s="14">
        <f t="shared" ca="1" si="49"/>
        <v>0</v>
      </c>
      <c r="V176" s="14">
        <f t="shared" ca="1" si="50"/>
        <v>0</v>
      </c>
      <c r="W176" s="14">
        <f t="shared" ca="1" si="51"/>
        <v>0</v>
      </c>
      <c r="Y176" s="17">
        <f ca="1">IF($A176=0,0,SUMIF('Week 1 Roster'!$AZ:$AZ,$B176,'Week 1 Roster'!$AE:$AE))</f>
        <v>0</v>
      </c>
      <c r="Z176" s="17">
        <f ca="1">IF($A176=0,0,SUMIF('Week 1 Roster'!$AZ:$AZ,$B176,'Week 1 Roster'!$AG:$AG))</f>
        <v>0</v>
      </c>
      <c r="AA176" s="17">
        <f ca="1">IF($A176=0,0,SUMIF('Week 1 Roster'!$AZ:$AZ,$B176,'Week 1 Roster'!$AI:$AI))</f>
        <v>0</v>
      </c>
      <c r="AB176" s="17">
        <f ca="1">IF($A176=0,0,SUMIF('Week 1 Roster'!$AZ:$AZ,$B176,'Week 1 Roster'!$AK:$AK))</f>
        <v>0</v>
      </c>
      <c r="AC176" s="17">
        <f ca="1">IF($A176=0,0,SUMIF('Week 1 Roster'!$AZ:$AZ,$B176,'Week 1 Roster'!$AM:$AM))</f>
        <v>0</v>
      </c>
      <c r="AD176" s="17">
        <f ca="1">IF($A176=0,0,SUMIF('Week 1 Roster'!$AZ:$AZ,$B176,'Week 1 Roster'!$AO:$AO))</f>
        <v>0</v>
      </c>
      <c r="AE176" s="38">
        <f ca="1">IF($A176=0,0,SUMIF('Week 1 Roster'!$AZ:$AZ,$B176,'Week 1 Roster'!$AP:$AP))</f>
        <v>0</v>
      </c>
      <c r="AF176" s="17">
        <f ca="1">IF($A176=0,0,SUMIF('Week 1 Roster'!$AZ:$AZ,$B176,'Week 1 Roster'!$AQ:$AQ))</f>
        <v>0</v>
      </c>
      <c r="AG176" s="17">
        <f ca="1">IF($A176=0,0,SUMIF('Week 1 Roster'!$AZ:$AZ,$B176,'Week 1 Roster'!$AR:$AR))</f>
        <v>0</v>
      </c>
      <c r="AH176" s="17">
        <f ca="1">IF($A176=0,0,SUMIF('Week 1 Roster'!$AZ:$AZ,$B176,'Week 1 Roster'!$AS:$AS))</f>
        <v>0</v>
      </c>
      <c r="AI176" s="17">
        <f t="shared" ca="1" si="52"/>
        <v>0</v>
      </c>
      <c r="AK176" s="17">
        <f ca="1">IF($A176=0,0,SUMIF('Week 2 Roster'!$AZ:$AZ,$B176,'Week 2 Roster'!$AE:$AE))</f>
        <v>0</v>
      </c>
      <c r="AL176" s="17">
        <f ca="1">IF($A176=0,0,SUMIF('Week 2 Roster'!$AZ:$AZ,$B176,'Week 2 Roster'!$AG:$AG))</f>
        <v>0</v>
      </c>
      <c r="AM176" s="17">
        <f ca="1">IF($A176=0,0,SUMIF('Week 2 Roster'!$AZ:$AZ,$B176,'Week 2 Roster'!$AI:$AI))</f>
        <v>0</v>
      </c>
      <c r="AN176" s="17">
        <f ca="1">IF($A176=0,0,SUMIF('Week 2 Roster'!$AZ:$AZ,$B176,'Week 2 Roster'!$AK:$AK))</f>
        <v>0</v>
      </c>
      <c r="AO176" s="17">
        <f ca="1">IF($A176=0,0,SUMIF('Week 2 Roster'!$AZ:$AZ,$B176,'Week 2 Roster'!$AM:$AM))</f>
        <v>0</v>
      </c>
      <c r="AP176" s="17">
        <f ca="1">IF($A176=0,0,SUMIF('Week 2 Roster'!$AZ:$AZ,$B176,'Week 2 Roster'!$AO:$AO))</f>
        <v>0</v>
      </c>
      <c r="AQ176" s="38">
        <f ca="1">IF($A176=0,0,SUMIF('Week 2 Roster'!$AZ:$AZ,$B176,'Week 2 Roster'!$AP:$AP))</f>
        <v>0</v>
      </c>
      <c r="AR176" s="17">
        <f ca="1">IF($A176=0,0,SUMIF('Week 2 Roster'!$AZ:$AZ,$B176,'Week 2 Roster'!$AQ:$AQ))</f>
        <v>0</v>
      </c>
      <c r="AS176" s="17">
        <f ca="1">IF($A176=0,0,SUMIF('Week 2 Roster'!$AZ:$AZ,$B176,'Week 2 Roster'!$AR:$AR))</f>
        <v>0</v>
      </c>
      <c r="AT176" s="17">
        <f ca="1">IF($A176=0,0,SUMIF('Week 2 Roster'!$AZ:$AZ,$B176,'Week 2 Roster'!$AS:$AS))</f>
        <v>0</v>
      </c>
      <c r="AU176" s="17">
        <f t="shared" ca="1" si="53"/>
        <v>0</v>
      </c>
      <c r="AV176" s="17"/>
    </row>
    <row r="177" spans="1:48">
      <c r="A177" s="16" cm="1">
        <f t="array" aca="1" ref="A177" ca="1">_xlfn.NUMBERVALUE(INDIRECT(TEXT(MIN(IF(($AW$2:$AX$300&lt;&gt;"")*(COUNTIF($B$1:B176,$AW$2:$AX$300)=0),ROW($2:$300)*100+COLUMN($AW:$AX),7^8)),"R0C00"),)&amp;"")</f>
        <v>0</v>
      </c>
      <c r="B177" s="28" t="str">
        <f t="shared" ca="1" si="39"/>
        <v/>
      </c>
      <c r="C177" s="28" t="str">
        <f ca="1">IF($A177=0,"",VLOOKUP($B177,Employees!$A:$G,2,FALSE))</f>
        <v/>
      </c>
      <c r="D177" s="28" t="str">
        <f ca="1">IF($A177=0,"",VLOOKUP($B177,Employees!$A:$G,3,FALSE))</f>
        <v/>
      </c>
      <c r="E177" s="26" t="str">
        <f ca="1">IF($A177=0,"",VLOOKUP($B177,Employees!$A:$G,5,FALSE))</f>
        <v/>
      </c>
      <c r="F177" s="13" t="str">
        <f ca="1">IF($E177="","",ROUNDDOWN(YEARFRAC($E177, 'Week 1 Roster'!$D$1-1, 1), 0))</f>
        <v/>
      </c>
      <c r="G177" s="13" t="str">
        <f ca="1">IF($E177="","",ROUNDDOWN(YEARFRAC($E177, 'Week 1 Roster'!$D$1+14, 1), 0))</f>
        <v/>
      </c>
      <c r="H177" s="13" t="str">
        <f t="shared" ca="1" si="40"/>
        <v/>
      </c>
      <c r="I177" s="13" t="str">
        <f ca="1">IF($A177=0,"",VLOOKUP($B177,Employees!$A:$G,6,FALSE))</f>
        <v/>
      </c>
      <c r="J177" s="13" t="str">
        <f ca="1">IF($A177=0,"",VLOOKUP($B177,Employees!$A:$G,7,FALSE))</f>
        <v/>
      </c>
      <c r="K177" s="13" t="str">
        <f ca="1">IF($A177=0,"",IF(ISNA(VLOOKUP(A177,'Week 1 Roster'!A:C,2,0)),VLOOKUP(A177,'Week 2 Roster'!A:C,2,0),VLOOKUP(A177,'Week 1 Roster'!A:C,2,0)))</f>
        <v/>
      </c>
      <c r="L177" s="13" t="str">
        <f ca="1">IF($A177=0,"",VLOOKUP(K177,Stores!A:B,2,0))</f>
        <v/>
      </c>
      <c r="M177" s="14">
        <f t="shared" ca="1" si="41"/>
        <v>0</v>
      </c>
      <c r="N177" s="14">
        <f t="shared" ca="1" si="42"/>
        <v>0</v>
      </c>
      <c r="O177" s="14">
        <f t="shared" ca="1" si="43"/>
        <v>0</v>
      </c>
      <c r="P177" s="14">
        <f t="shared" ca="1" si="44"/>
        <v>0</v>
      </c>
      <c r="Q177" s="14">
        <f t="shared" ca="1" si="45"/>
        <v>0</v>
      </c>
      <c r="R177" s="14">
        <f t="shared" ca="1" si="46"/>
        <v>0</v>
      </c>
      <c r="S177" s="28">
        <f t="shared" ca="1" si="47"/>
        <v>0</v>
      </c>
      <c r="T177" s="14">
        <f t="shared" ca="1" si="48"/>
        <v>0</v>
      </c>
      <c r="U177" s="14">
        <f t="shared" ca="1" si="49"/>
        <v>0</v>
      </c>
      <c r="V177" s="14">
        <f t="shared" ca="1" si="50"/>
        <v>0</v>
      </c>
      <c r="W177" s="14">
        <f t="shared" ca="1" si="51"/>
        <v>0</v>
      </c>
      <c r="Y177" s="17">
        <f ca="1">IF($A177=0,0,SUMIF('Week 1 Roster'!$AZ:$AZ,$B177,'Week 1 Roster'!$AE:$AE))</f>
        <v>0</v>
      </c>
      <c r="Z177" s="17">
        <f ca="1">IF($A177=0,0,SUMIF('Week 1 Roster'!$AZ:$AZ,$B177,'Week 1 Roster'!$AG:$AG))</f>
        <v>0</v>
      </c>
      <c r="AA177" s="17">
        <f ca="1">IF($A177=0,0,SUMIF('Week 1 Roster'!$AZ:$AZ,$B177,'Week 1 Roster'!$AI:$AI))</f>
        <v>0</v>
      </c>
      <c r="AB177" s="17">
        <f ca="1">IF($A177=0,0,SUMIF('Week 1 Roster'!$AZ:$AZ,$B177,'Week 1 Roster'!$AK:$AK))</f>
        <v>0</v>
      </c>
      <c r="AC177" s="17">
        <f ca="1">IF($A177=0,0,SUMIF('Week 1 Roster'!$AZ:$AZ,$B177,'Week 1 Roster'!$AM:$AM))</f>
        <v>0</v>
      </c>
      <c r="AD177" s="17">
        <f ca="1">IF($A177=0,0,SUMIF('Week 1 Roster'!$AZ:$AZ,$B177,'Week 1 Roster'!$AO:$AO))</f>
        <v>0</v>
      </c>
      <c r="AE177" s="38">
        <f ca="1">IF($A177=0,0,SUMIF('Week 1 Roster'!$AZ:$AZ,$B177,'Week 1 Roster'!$AP:$AP))</f>
        <v>0</v>
      </c>
      <c r="AF177" s="17">
        <f ca="1">IF($A177=0,0,SUMIF('Week 1 Roster'!$AZ:$AZ,$B177,'Week 1 Roster'!$AQ:$AQ))</f>
        <v>0</v>
      </c>
      <c r="AG177" s="17">
        <f ca="1">IF($A177=0,0,SUMIF('Week 1 Roster'!$AZ:$AZ,$B177,'Week 1 Roster'!$AR:$AR))</f>
        <v>0</v>
      </c>
      <c r="AH177" s="17">
        <f ca="1">IF($A177=0,0,SUMIF('Week 1 Roster'!$AZ:$AZ,$B177,'Week 1 Roster'!$AS:$AS))</f>
        <v>0</v>
      </c>
      <c r="AI177" s="17">
        <f t="shared" ca="1" si="52"/>
        <v>0</v>
      </c>
      <c r="AK177" s="17">
        <f ca="1">IF($A177=0,0,SUMIF('Week 2 Roster'!$AZ:$AZ,$B177,'Week 2 Roster'!$AE:$AE))</f>
        <v>0</v>
      </c>
      <c r="AL177" s="17">
        <f ca="1">IF($A177=0,0,SUMIF('Week 2 Roster'!$AZ:$AZ,$B177,'Week 2 Roster'!$AG:$AG))</f>
        <v>0</v>
      </c>
      <c r="AM177" s="17">
        <f ca="1">IF($A177=0,0,SUMIF('Week 2 Roster'!$AZ:$AZ,$B177,'Week 2 Roster'!$AI:$AI))</f>
        <v>0</v>
      </c>
      <c r="AN177" s="17">
        <f ca="1">IF($A177=0,0,SUMIF('Week 2 Roster'!$AZ:$AZ,$B177,'Week 2 Roster'!$AK:$AK))</f>
        <v>0</v>
      </c>
      <c r="AO177" s="17">
        <f ca="1">IF($A177=0,0,SUMIF('Week 2 Roster'!$AZ:$AZ,$B177,'Week 2 Roster'!$AM:$AM))</f>
        <v>0</v>
      </c>
      <c r="AP177" s="17">
        <f ca="1">IF($A177=0,0,SUMIF('Week 2 Roster'!$AZ:$AZ,$B177,'Week 2 Roster'!$AO:$AO))</f>
        <v>0</v>
      </c>
      <c r="AQ177" s="38">
        <f ca="1">IF($A177=0,0,SUMIF('Week 2 Roster'!$AZ:$AZ,$B177,'Week 2 Roster'!$AP:$AP))</f>
        <v>0</v>
      </c>
      <c r="AR177" s="17">
        <f ca="1">IF($A177=0,0,SUMIF('Week 2 Roster'!$AZ:$AZ,$B177,'Week 2 Roster'!$AQ:$AQ))</f>
        <v>0</v>
      </c>
      <c r="AS177" s="17">
        <f ca="1">IF($A177=0,0,SUMIF('Week 2 Roster'!$AZ:$AZ,$B177,'Week 2 Roster'!$AR:$AR))</f>
        <v>0</v>
      </c>
      <c r="AT177" s="17">
        <f ca="1">IF($A177=0,0,SUMIF('Week 2 Roster'!$AZ:$AZ,$B177,'Week 2 Roster'!$AS:$AS))</f>
        <v>0</v>
      </c>
      <c r="AU177" s="17">
        <f t="shared" ca="1" si="53"/>
        <v>0</v>
      </c>
      <c r="AV177" s="17"/>
    </row>
    <row r="178" spans="1:48">
      <c r="A178" s="16" cm="1">
        <f t="array" aca="1" ref="A178" ca="1">_xlfn.NUMBERVALUE(INDIRECT(TEXT(MIN(IF(($AW$2:$AX$300&lt;&gt;"")*(COUNTIF($B$1:B177,$AW$2:$AX$300)=0),ROW($2:$300)*100+COLUMN($AW:$AX),7^8)),"R0C00"),)&amp;"")</f>
        <v>0</v>
      </c>
      <c r="B178" s="28" t="str">
        <f t="shared" ca="1" si="39"/>
        <v/>
      </c>
      <c r="C178" s="28" t="str">
        <f ca="1">IF($A178=0,"",VLOOKUP($B178,Employees!$A:$G,2,FALSE))</f>
        <v/>
      </c>
      <c r="D178" s="28" t="str">
        <f ca="1">IF($A178=0,"",VLOOKUP($B178,Employees!$A:$G,3,FALSE))</f>
        <v/>
      </c>
      <c r="E178" s="26" t="str">
        <f ca="1">IF($A178=0,"",VLOOKUP($B178,Employees!$A:$G,5,FALSE))</f>
        <v/>
      </c>
      <c r="F178" s="13" t="str">
        <f ca="1">IF($E178="","",ROUNDDOWN(YEARFRAC($E178, 'Week 1 Roster'!$D$1-1, 1), 0))</f>
        <v/>
      </c>
      <c r="G178" s="13" t="str">
        <f ca="1">IF($E178="","",ROUNDDOWN(YEARFRAC($E178, 'Week 1 Roster'!$D$1+14, 1), 0))</f>
        <v/>
      </c>
      <c r="H178" s="13" t="str">
        <f t="shared" ca="1" si="40"/>
        <v/>
      </c>
      <c r="I178" s="13" t="str">
        <f ca="1">IF($A178=0,"",VLOOKUP($B178,Employees!$A:$G,6,FALSE))</f>
        <v/>
      </c>
      <c r="J178" s="13" t="str">
        <f ca="1">IF($A178=0,"",VLOOKUP($B178,Employees!$A:$G,7,FALSE))</f>
        <v/>
      </c>
      <c r="K178" s="13" t="str">
        <f ca="1">IF($A178=0,"",IF(ISNA(VLOOKUP(A178,'Week 1 Roster'!A:C,2,0)),VLOOKUP(A178,'Week 2 Roster'!A:C,2,0),VLOOKUP(A178,'Week 1 Roster'!A:C,2,0)))</f>
        <v/>
      </c>
      <c r="L178" s="13" t="str">
        <f ca="1">IF($A178=0,"",VLOOKUP(K178,Stores!A:B,2,0))</f>
        <v/>
      </c>
      <c r="M178" s="14">
        <f t="shared" ca="1" si="41"/>
        <v>0</v>
      </c>
      <c r="N178" s="14">
        <f t="shared" ca="1" si="42"/>
        <v>0</v>
      </c>
      <c r="O178" s="14">
        <f t="shared" ca="1" si="43"/>
        <v>0</v>
      </c>
      <c r="P178" s="14">
        <f t="shared" ca="1" si="44"/>
        <v>0</v>
      </c>
      <c r="Q178" s="14">
        <f t="shared" ca="1" si="45"/>
        <v>0</v>
      </c>
      <c r="R178" s="14">
        <f t="shared" ca="1" si="46"/>
        <v>0</v>
      </c>
      <c r="S178" s="28">
        <f t="shared" ca="1" si="47"/>
        <v>0</v>
      </c>
      <c r="T178" s="14">
        <f t="shared" ca="1" si="48"/>
        <v>0</v>
      </c>
      <c r="U178" s="14">
        <f t="shared" ca="1" si="49"/>
        <v>0</v>
      </c>
      <c r="V178" s="14">
        <f t="shared" ca="1" si="50"/>
        <v>0</v>
      </c>
      <c r="W178" s="14">
        <f t="shared" ca="1" si="51"/>
        <v>0</v>
      </c>
      <c r="Y178" s="17">
        <f ca="1">IF($A178=0,0,SUMIF('Week 1 Roster'!$AZ:$AZ,$B178,'Week 1 Roster'!$AE:$AE))</f>
        <v>0</v>
      </c>
      <c r="Z178" s="17">
        <f ca="1">IF($A178=0,0,SUMIF('Week 1 Roster'!$AZ:$AZ,$B178,'Week 1 Roster'!$AG:$AG))</f>
        <v>0</v>
      </c>
      <c r="AA178" s="17">
        <f ca="1">IF($A178=0,0,SUMIF('Week 1 Roster'!$AZ:$AZ,$B178,'Week 1 Roster'!$AI:$AI))</f>
        <v>0</v>
      </c>
      <c r="AB178" s="17">
        <f ca="1">IF($A178=0,0,SUMIF('Week 1 Roster'!$AZ:$AZ,$B178,'Week 1 Roster'!$AK:$AK))</f>
        <v>0</v>
      </c>
      <c r="AC178" s="17">
        <f ca="1">IF($A178=0,0,SUMIF('Week 1 Roster'!$AZ:$AZ,$B178,'Week 1 Roster'!$AM:$AM))</f>
        <v>0</v>
      </c>
      <c r="AD178" s="17">
        <f ca="1">IF($A178=0,0,SUMIF('Week 1 Roster'!$AZ:$AZ,$B178,'Week 1 Roster'!$AO:$AO))</f>
        <v>0</v>
      </c>
      <c r="AE178" s="38">
        <f ca="1">IF($A178=0,0,SUMIF('Week 1 Roster'!$AZ:$AZ,$B178,'Week 1 Roster'!$AP:$AP))</f>
        <v>0</v>
      </c>
      <c r="AF178" s="17">
        <f ca="1">IF($A178=0,0,SUMIF('Week 1 Roster'!$AZ:$AZ,$B178,'Week 1 Roster'!$AQ:$AQ))</f>
        <v>0</v>
      </c>
      <c r="AG178" s="17">
        <f ca="1">IF($A178=0,0,SUMIF('Week 1 Roster'!$AZ:$AZ,$B178,'Week 1 Roster'!$AR:$AR))</f>
        <v>0</v>
      </c>
      <c r="AH178" s="17">
        <f ca="1">IF($A178=0,0,SUMIF('Week 1 Roster'!$AZ:$AZ,$B178,'Week 1 Roster'!$AS:$AS))</f>
        <v>0</v>
      </c>
      <c r="AI178" s="17">
        <f t="shared" ca="1" si="52"/>
        <v>0</v>
      </c>
      <c r="AK178" s="17">
        <f ca="1">IF($A178=0,0,SUMIF('Week 2 Roster'!$AZ:$AZ,$B178,'Week 2 Roster'!$AE:$AE))</f>
        <v>0</v>
      </c>
      <c r="AL178" s="17">
        <f ca="1">IF($A178=0,0,SUMIF('Week 2 Roster'!$AZ:$AZ,$B178,'Week 2 Roster'!$AG:$AG))</f>
        <v>0</v>
      </c>
      <c r="AM178" s="17">
        <f ca="1">IF($A178=0,0,SUMIF('Week 2 Roster'!$AZ:$AZ,$B178,'Week 2 Roster'!$AI:$AI))</f>
        <v>0</v>
      </c>
      <c r="AN178" s="17">
        <f ca="1">IF($A178=0,0,SUMIF('Week 2 Roster'!$AZ:$AZ,$B178,'Week 2 Roster'!$AK:$AK))</f>
        <v>0</v>
      </c>
      <c r="AO178" s="17">
        <f ca="1">IF($A178=0,0,SUMIF('Week 2 Roster'!$AZ:$AZ,$B178,'Week 2 Roster'!$AM:$AM))</f>
        <v>0</v>
      </c>
      <c r="AP178" s="17">
        <f ca="1">IF($A178=0,0,SUMIF('Week 2 Roster'!$AZ:$AZ,$B178,'Week 2 Roster'!$AO:$AO))</f>
        <v>0</v>
      </c>
      <c r="AQ178" s="38">
        <f ca="1">IF($A178=0,0,SUMIF('Week 2 Roster'!$AZ:$AZ,$B178,'Week 2 Roster'!$AP:$AP))</f>
        <v>0</v>
      </c>
      <c r="AR178" s="17">
        <f ca="1">IF($A178=0,0,SUMIF('Week 2 Roster'!$AZ:$AZ,$B178,'Week 2 Roster'!$AQ:$AQ))</f>
        <v>0</v>
      </c>
      <c r="AS178" s="17">
        <f ca="1">IF($A178=0,0,SUMIF('Week 2 Roster'!$AZ:$AZ,$B178,'Week 2 Roster'!$AR:$AR))</f>
        <v>0</v>
      </c>
      <c r="AT178" s="17">
        <f ca="1">IF($A178=0,0,SUMIF('Week 2 Roster'!$AZ:$AZ,$B178,'Week 2 Roster'!$AS:$AS))</f>
        <v>0</v>
      </c>
      <c r="AU178" s="17">
        <f t="shared" ca="1" si="53"/>
        <v>0</v>
      </c>
      <c r="AV178" s="17"/>
    </row>
    <row r="179" spans="1:48">
      <c r="A179" s="16" cm="1">
        <f t="array" aca="1" ref="A179" ca="1">_xlfn.NUMBERVALUE(INDIRECT(TEXT(MIN(IF(($AW$2:$AX$300&lt;&gt;"")*(COUNTIF($B$1:B178,$AW$2:$AX$300)=0),ROW($2:$300)*100+COLUMN($AW:$AX),7^8)),"R0C00"),)&amp;"")</f>
        <v>0</v>
      </c>
      <c r="B179" s="28" t="str">
        <f t="shared" ca="1" si="39"/>
        <v/>
      </c>
      <c r="C179" s="28" t="str">
        <f ca="1">IF($A179=0,"",VLOOKUP($B179,Employees!$A:$G,2,FALSE))</f>
        <v/>
      </c>
      <c r="D179" s="28" t="str">
        <f ca="1">IF($A179=0,"",VLOOKUP($B179,Employees!$A:$G,3,FALSE))</f>
        <v/>
      </c>
      <c r="E179" s="26" t="str">
        <f ca="1">IF($A179=0,"",VLOOKUP($B179,Employees!$A:$G,5,FALSE))</f>
        <v/>
      </c>
      <c r="F179" s="13" t="str">
        <f ca="1">IF($E179="","",ROUNDDOWN(YEARFRAC($E179, 'Week 1 Roster'!$D$1-1, 1), 0))</f>
        <v/>
      </c>
      <c r="G179" s="13" t="str">
        <f ca="1">IF($E179="","",ROUNDDOWN(YEARFRAC($E179, 'Week 1 Roster'!$D$1+14, 1), 0))</f>
        <v/>
      </c>
      <c r="H179" s="13" t="str">
        <f t="shared" ca="1" si="40"/>
        <v/>
      </c>
      <c r="I179" s="13" t="str">
        <f ca="1">IF($A179=0,"",VLOOKUP($B179,Employees!$A:$G,6,FALSE))</f>
        <v/>
      </c>
      <c r="J179" s="13" t="str">
        <f ca="1">IF($A179=0,"",VLOOKUP($B179,Employees!$A:$G,7,FALSE))</f>
        <v/>
      </c>
      <c r="K179" s="13" t="str">
        <f ca="1">IF($A179=0,"",IF(ISNA(VLOOKUP(A179,'Week 1 Roster'!A:C,2,0)),VLOOKUP(A179,'Week 2 Roster'!A:C,2,0),VLOOKUP(A179,'Week 1 Roster'!A:C,2,0)))</f>
        <v/>
      </c>
      <c r="L179" s="13" t="str">
        <f ca="1">IF($A179=0,"",VLOOKUP(K179,Stores!A:B,2,0))</f>
        <v/>
      </c>
      <c r="M179" s="14">
        <f t="shared" ca="1" si="41"/>
        <v>0</v>
      </c>
      <c r="N179" s="14">
        <f t="shared" ca="1" si="42"/>
        <v>0</v>
      </c>
      <c r="O179" s="14">
        <f t="shared" ca="1" si="43"/>
        <v>0</v>
      </c>
      <c r="P179" s="14">
        <f t="shared" ca="1" si="44"/>
        <v>0</v>
      </c>
      <c r="Q179" s="14">
        <f t="shared" ca="1" si="45"/>
        <v>0</v>
      </c>
      <c r="R179" s="14">
        <f t="shared" ca="1" si="46"/>
        <v>0</v>
      </c>
      <c r="S179" s="28">
        <f t="shared" ca="1" si="47"/>
        <v>0</v>
      </c>
      <c r="T179" s="14">
        <f t="shared" ca="1" si="48"/>
        <v>0</v>
      </c>
      <c r="U179" s="14">
        <f t="shared" ca="1" si="49"/>
        <v>0</v>
      </c>
      <c r="V179" s="14">
        <f t="shared" ca="1" si="50"/>
        <v>0</v>
      </c>
      <c r="W179" s="14">
        <f t="shared" ca="1" si="51"/>
        <v>0</v>
      </c>
      <c r="Y179" s="17">
        <f ca="1">IF($A179=0,0,SUMIF('Week 1 Roster'!$AZ:$AZ,$B179,'Week 1 Roster'!$AE:$AE))</f>
        <v>0</v>
      </c>
      <c r="Z179" s="17">
        <f ca="1">IF($A179=0,0,SUMIF('Week 1 Roster'!$AZ:$AZ,$B179,'Week 1 Roster'!$AG:$AG))</f>
        <v>0</v>
      </c>
      <c r="AA179" s="17">
        <f ca="1">IF($A179=0,0,SUMIF('Week 1 Roster'!$AZ:$AZ,$B179,'Week 1 Roster'!$AI:$AI))</f>
        <v>0</v>
      </c>
      <c r="AB179" s="17">
        <f ca="1">IF($A179=0,0,SUMIF('Week 1 Roster'!$AZ:$AZ,$B179,'Week 1 Roster'!$AK:$AK))</f>
        <v>0</v>
      </c>
      <c r="AC179" s="17">
        <f ca="1">IF($A179=0,0,SUMIF('Week 1 Roster'!$AZ:$AZ,$B179,'Week 1 Roster'!$AM:$AM))</f>
        <v>0</v>
      </c>
      <c r="AD179" s="17">
        <f ca="1">IF($A179=0,0,SUMIF('Week 1 Roster'!$AZ:$AZ,$B179,'Week 1 Roster'!$AO:$AO))</f>
        <v>0</v>
      </c>
      <c r="AE179" s="38">
        <f ca="1">IF($A179=0,0,SUMIF('Week 1 Roster'!$AZ:$AZ,$B179,'Week 1 Roster'!$AP:$AP))</f>
        <v>0</v>
      </c>
      <c r="AF179" s="17">
        <f ca="1">IF($A179=0,0,SUMIF('Week 1 Roster'!$AZ:$AZ,$B179,'Week 1 Roster'!$AQ:$AQ))</f>
        <v>0</v>
      </c>
      <c r="AG179" s="17">
        <f ca="1">IF($A179=0,0,SUMIF('Week 1 Roster'!$AZ:$AZ,$B179,'Week 1 Roster'!$AR:$AR))</f>
        <v>0</v>
      </c>
      <c r="AH179" s="17">
        <f ca="1">IF($A179=0,0,SUMIF('Week 1 Roster'!$AZ:$AZ,$B179,'Week 1 Roster'!$AS:$AS))</f>
        <v>0</v>
      </c>
      <c r="AI179" s="17">
        <f t="shared" ca="1" si="52"/>
        <v>0</v>
      </c>
      <c r="AK179" s="17">
        <f ca="1">IF($A179=0,0,SUMIF('Week 2 Roster'!$AZ:$AZ,$B179,'Week 2 Roster'!$AE:$AE))</f>
        <v>0</v>
      </c>
      <c r="AL179" s="17">
        <f ca="1">IF($A179=0,0,SUMIF('Week 2 Roster'!$AZ:$AZ,$B179,'Week 2 Roster'!$AG:$AG))</f>
        <v>0</v>
      </c>
      <c r="AM179" s="17">
        <f ca="1">IF($A179=0,0,SUMIF('Week 2 Roster'!$AZ:$AZ,$B179,'Week 2 Roster'!$AI:$AI))</f>
        <v>0</v>
      </c>
      <c r="AN179" s="17">
        <f ca="1">IF($A179=0,0,SUMIF('Week 2 Roster'!$AZ:$AZ,$B179,'Week 2 Roster'!$AK:$AK))</f>
        <v>0</v>
      </c>
      <c r="AO179" s="17">
        <f ca="1">IF($A179=0,0,SUMIF('Week 2 Roster'!$AZ:$AZ,$B179,'Week 2 Roster'!$AM:$AM))</f>
        <v>0</v>
      </c>
      <c r="AP179" s="17">
        <f ca="1">IF($A179=0,0,SUMIF('Week 2 Roster'!$AZ:$AZ,$B179,'Week 2 Roster'!$AO:$AO))</f>
        <v>0</v>
      </c>
      <c r="AQ179" s="38">
        <f ca="1">IF($A179=0,0,SUMIF('Week 2 Roster'!$AZ:$AZ,$B179,'Week 2 Roster'!$AP:$AP))</f>
        <v>0</v>
      </c>
      <c r="AR179" s="17">
        <f ca="1">IF($A179=0,0,SUMIF('Week 2 Roster'!$AZ:$AZ,$B179,'Week 2 Roster'!$AQ:$AQ))</f>
        <v>0</v>
      </c>
      <c r="AS179" s="17">
        <f ca="1">IF($A179=0,0,SUMIF('Week 2 Roster'!$AZ:$AZ,$B179,'Week 2 Roster'!$AR:$AR))</f>
        <v>0</v>
      </c>
      <c r="AT179" s="17">
        <f ca="1">IF($A179=0,0,SUMIF('Week 2 Roster'!$AZ:$AZ,$B179,'Week 2 Roster'!$AS:$AS))</f>
        <v>0</v>
      </c>
      <c r="AU179" s="17">
        <f t="shared" ca="1" si="53"/>
        <v>0</v>
      </c>
      <c r="AV179" s="17"/>
    </row>
    <row r="180" spans="1:48">
      <c r="A180" s="16" cm="1">
        <f t="array" aca="1" ref="A180" ca="1">_xlfn.NUMBERVALUE(INDIRECT(TEXT(MIN(IF(($AW$2:$AX$300&lt;&gt;"")*(COUNTIF($B$1:B179,$AW$2:$AX$300)=0),ROW($2:$300)*100+COLUMN($AW:$AX),7^8)),"R0C00"),)&amp;"")</f>
        <v>0</v>
      </c>
      <c r="B180" s="28" t="str">
        <f t="shared" ca="1" si="39"/>
        <v/>
      </c>
      <c r="C180" s="28" t="str">
        <f ca="1">IF($A180=0,"",VLOOKUP($B180,Employees!$A:$G,2,FALSE))</f>
        <v/>
      </c>
      <c r="D180" s="28" t="str">
        <f ca="1">IF($A180=0,"",VLOOKUP($B180,Employees!$A:$G,3,FALSE))</f>
        <v/>
      </c>
      <c r="E180" s="26" t="str">
        <f ca="1">IF($A180=0,"",VLOOKUP($B180,Employees!$A:$G,5,FALSE))</f>
        <v/>
      </c>
      <c r="F180" s="13" t="str">
        <f ca="1">IF($E180="","",ROUNDDOWN(YEARFRAC($E180, 'Week 1 Roster'!$D$1-1, 1), 0))</f>
        <v/>
      </c>
      <c r="G180" s="13" t="str">
        <f ca="1">IF($E180="","",ROUNDDOWN(YEARFRAC($E180, 'Week 1 Roster'!$D$1+14, 1), 0))</f>
        <v/>
      </c>
      <c r="H180" s="13" t="str">
        <f t="shared" ca="1" si="40"/>
        <v/>
      </c>
      <c r="I180" s="13" t="str">
        <f ca="1">IF($A180=0,"",VLOOKUP($B180,Employees!$A:$G,6,FALSE))</f>
        <v/>
      </c>
      <c r="J180" s="13" t="str">
        <f ca="1">IF($A180=0,"",VLOOKUP($B180,Employees!$A:$G,7,FALSE))</f>
        <v/>
      </c>
      <c r="K180" s="13" t="str">
        <f ca="1">IF($A180=0,"",IF(ISNA(VLOOKUP(A180,'Week 1 Roster'!A:C,2,0)),VLOOKUP(A180,'Week 2 Roster'!A:C,2,0),VLOOKUP(A180,'Week 1 Roster'!A:C,2,0)))</f>
        <v/>
      </c>
      <c r="L180" s="13" t="str">
        <f ca="1">IF($A180=0,"",VLOOKUP(K180,Stores!A:B,2,0))</f>
        <v/>
      </c>
      <c r="M180" s="14">
        <f t="shared" ca="1" si="41"/>
        <v>0</v>
      </c>
      <c r="N180" s="14">
        <f t="shared" ca="1" si="42"/>
        <v>0</v>
      </c>
      <c r="O180" s="14">
        <f t="shared" ca="1" si="43"/>
        <v>0</v>
      </c>
      <c r="P180" s="14">
        <f t="shared" ca="1" si="44"/>
        <v>0</v>
      </c>
      <c r="Q180" s="14">
        <f t="shared" ca="1" si="45"/>
        <v>0</v>
      </c>
      <c r="R180" s="14">
        <f t="shared" ca="1" si="46"/>
        <v>0</v>
      </c>
      <c r="S180" s="28">
        <f t="shared" ca="1" si="47"/>
        <v>0</v>
      </c>
      <c r="T180" s="14">
        <f t="shared" ca="1" si="48"/>
        <v>0</v>
      </c>
      <c r="U180" s="14">
        <f t="shared" ca="1" si="49"/>
        <v>0</v>
      </c>
      <c r="V180" s="14">
        <f t="shared" ca="1" si="50"/>
        <v>0</v>
      </c>
      <c r="W180" s="14">
        <f t="shared" ca="1" si="51"/>
        <v>0</v>
      </c>
      <c r="Y180" s="17">
        <f ca="1">IF($A180=0,0,SUMIF('Week 1 Roster'!$AZ:$AZ,$B180,'Week 1 Roster'!$AE:$AE))</f>
        <v>0</v>
      </c>
      <c r="Z180" s="17">
        <f ca="1">IF($A180=0,0,SUMIF('Week 1 Roster'!$AZ:$AZ,$B180,'Week 1 Roster'!$AG:$AG))</f>
        <v>0</v>
      </c>
      <c r="AA180" s="17">
        <f ca="1">IF($A180=0,0,SUMIF('Week 1 Roster'!$AZ:$AZ,$B180,'Week 1 Roster'!$AI:$AI))</f>
        <v>0</v>
      </c>
      <c r="AB180" s="17">
        <f ca="1">IF($A180=0,0,SUMIF('Week 1 Roster'!$AZ:$AZ,$B180,'Week 1 Roster'!$AK:$AK))</f>
        <v>0</v>
      </c>
      <c r="AC180" s="17">
        <f ca="1">IF($A180=0,0,SUMIF('Week 1 Roster'!$AZ:$AZ,$B180,'Week 1 Roster'!$AM:$AM))</f>
        <v>0</v>
      </c>
      <c r="AD180" s="17">
        <f ca="1">IF($A180=0,0,SUMIF('Week 1 Roster'!$AZ:$AZ,$B180,'Week 1 Roster'!$AO:$AO))</f>
        <v>0</v>
      </c>
      <c r="AE180" s="38">
        <f ca="1">IF($A180=0,0,SUMIF('Week 1 Roster'!$AZ:$AZ,$B180,'Week 1 Roster'!$AP:$AP))</f>
        <v>0</v>
      </c>
      <c r="AF180" s="17">
        <f ca="1">IF($A180=0,0,SUMIF('Week 1 Roster'!$AZ:$AZ,$B180,'Week 1 Roster'!$AQ:$AQ))</f>
        <v>0</v>
      </c>
      <c r="AG180" s="17">
        <f ca="1">IF($A180=0,0,SUMIF('Week 1 Roster'!$AZ:$AZ,$B180,'Week 1 Roster'!$AR:$AR))</f>
        <v>0</v>
      </c>
      <c r="AH180" s="17">
        <f ca="1">IF($A180=0,0,SUMIF('Week 1 Roster'!$AZ:$AZ,$B180,'Week 1 Roster'!$AS:$AS))</f>
        <v>0</v>
      </c>
      <c r="AI180" s="17">
        <f t="shared" ca="1" si="52"/>
        <v>0</v>
      </c>
      <c r="AK180" s="17">
        <f ca="1">IF($A180=0,0,SUMIF('Week 2 Roster'!$AZ:$AZ,$B180,'Week 2 Roster'!$AE:$AE))</f>
        <v>0</v>
      </c>
      <c r="AL180" s="17">
        <f ca="1">IF($A180=0,0,SUMIF('Week 2 Roster'!$AZ:$AZ,$B180,'Week 2 Roster'!$AG:$AG))</f>
        <v>0</v>
      </c>
      <c r="AM180" s="17">
        <f ca="1">IF($A180=0,0,SUMIF('Week 2 Roster'!$AZ:$AZ,$B180,'Week 2 Roster'!$AI:$AI))</f>
        <v>0</v>
      </c>
      <c r="AN180" s="17">
        <f ca="1">IF($A180=0,0,SUMIF('Week 2 Roster'!$AZ:$AZ,$B180,'Week 2 Roster'!$AK:$AK))</f>
        <v>0</v>
      </c>
      <c r="AO180" s="17">
        <f ca="1">IF($A180=0,0,SUMIF('Week 2 Roster'!$AZ:$AZ,$B180,'Week 2 Roster'!$AM:$AM))</f>
        <v>0</v>
      </c>
      <c r="AP180" s="17">
        <f ca="1">IF($A180=0,0,SUMIF('Week 2 Roster'!$AZ:$AZ,$B180,'Week 2 Roster'!$AO:$AO))</f>
        <v>0</v>
      </c>
      <c r="AQ180" s="38">
        <f ca="1">IF($A180=0,0,SUMIF('Week 2 Roster'!$AZ:$AZ,$B180,'Week 2 Roster'!$AP:$AP))</f>
        <v>0</v>
      </c>
      <c r="AR180" s="17">
        <f ca="1">IF($A180=0,0,SUMIF('Week 2 Roster'!$AZ:$AZ,$B180,'Week 2 Roster'!$AQ:$AQ))</f>
        <v>0</v>
      </c>
      <c r="AS180" s="17">
        <f ca="1">IF($A180=0,0,SUMIF('Week 2 Roster'!$AZ:$AZ,$B180,'Week 2 Roster'!$AR:$AR))</f>
        <v>0</v>
      </c>
      <c r="AT180" s="17">
        <f ca="1">IF($A180=0,0,SUMIF('Week 2 Roster'!$AZ:$AZ,$B180,'Week 2 Roster'!$AS:$AS))</f>
        <v>0</v>
      </c>
      <c r="AU180" s="17">
        <f t="shared" ca="1" si="53"/>
        <v>0</v>
      </c>
      <c r="AV180" s="17"/>
    </row>
    <row r="181" spans="1:48">
      <c r="A181" s="16" cm="1">
        <f t="array" aca="1" ref="A181" ca="1">_xlfn.NUMBERVALUE(INDIRECT(TEXT(MIN(IF(($AW$2:$AX$300&lt;&gt;"")*(COUNTIF($B$1:B180,$AW$2:$AX$300)=0),ROW($2:$300)*100+COLUMN($AW:$AX),7^8)),"R0C00"),)&amp;"")</f>
        <v>0</v>
      </c>
      <c r="B181" s="28" t="str">
        <f t="shared" ca="1" si="39"/>
        <v/>
      </c>
      <c r="C181" s="28" t="str">
        <f ca="1">IF($A181=0,"",VLOOKUP($B181,Employees!$A:$G,2,FALSE))</f>
        <v/>
      </c>
      <c r="D181" s="28" t="str">
        <f ca="1">IF($A181=0,"",VLOOKUP($B181,Employees!$A:$G,3,FALSE))</f>
        <v/>
      </c>
      <c r="E181" s="26" t="str">
        <f ca="1">IF($A181=0,"",VLOOKUP($B181,Employees!$A:$G,5,FALSE))</f>
        <v/>
      </c>
      <c r="F181" s="13" t="str">
        <f ca="1">IF($E181="","",ROUNDDOWN(YEARFRAC($E181, 'Week 1 Roster'!$D$1-1, 1), 0))</f>
        <v/>
      </c>
      <c r="G181" s="13" t="str">
        <f ca="1">IF($E181="","",ROUNDDOWN(YEARFRAC($E181, 'Week 1 Roster'!$D$1+14, 1), 0))</f>
        <v/>
      </c>
      <c r="H181" s="13" t="str">
        <f t="shared" ca="1" si="40"/>
        <v/>
      </c>
      <c r="I181" s="13" t="str">
        <f ca="1">IF($A181=0,"",VLOOKUP($B181,Employees!$A:$G,6,FALSE))</f>
        <v/>
      </c>
      <c r="J181" s="13" t="str">
        <f ca="1">IF($A181=0,"",VLOOKUP($B181,Employees!$A:$G,7,FALSE))</f>
        <v/>
      </c>
      <c r="K181" s="13" t="str">
        <f ca="1">IF($A181=0,"",IF(ISNA(VLOOKUP(A181,'Week 1 Roster'!A:C,2,0)),VLOOKUP(A181,'Week 2 Roster'!A:C,2,0),VLOOKUP(A181,'Week 1 Roster'!A:C,2,0)))</f>
        <v/>
      </c>
      <c r="L181" s="13" t="str">
        <f ca="1">IF($A181=0,"",VLOOKUP(K181,Stores!A:B,2,0))</f>
        <v/>
      </c>
      <c r="M181" s="14">
        <f t="shared" ca="1" si="41"/>
        <v>0</v>
      </c>
      <c r="N181" s="14">
        <f t="shared" ca="1" si="42"/>
        <v>0</v>
      </c>
      <c r="O181" s="14">
        <f t="shared" ca="1" si="43"/>
        <v>0</v>
      </c>
      <c r="P181" s="14">
        <f t="shared" ca="1" si="44"/>
        <v>0</v>
      </c>
      <c r="Q181" s="14">
        <f t="shared" ca="1" si="45"/>
        <v>0</v>
      </c>
      <c r="R181" s="14">
        <f t="shared" ca="1" si="46"/>
        <v>0</v>
      </c>
      <c r="S181" s="28">
        <f t="shared" ca="1" si="47"/>
        <v>0</v>
      </c>
      <c r="T181" s="14">
        <f t="shared" ca="1" si="48"/>
        <v>0</v>
      </c>
      <c r="U181" s="14">
        <f t="shared" ca="1" si="49"/>
        <v>0</v>
      </c>
      <c r="V181" s="14">
        <f t="shared" ca="1" si="50"/>
        <v>0</v>
      </c>
      <c r="W181" s="14">
        <f t="shared" ca="1" si="51"/>
        <v>0</v>
      </c>
      <c r="Y181" s="17">
        <f ca="1">IF($A181=0,0,SUMIF('Week 1 Roster'!$AZ:$AZ,$B181,'Week 1 Roster'!$AE:$AE))</f>
        <v>0</v>
      </c>
      <c r="Z181" s="17">
        <f ca="1">IF($A181=0,0,SUMIF('Week 1 Roster'!$AZ:$AZ,$B181,'Week 1 Roster'!$AG:$AG))</f>
        <v>0</v>
      </c>
      <c r="AA181" s="17">
        <f ca="1">IF($A181=0,0,SUMIF('Week 1 Roster'!$AZ:$AZ,$B181,'Week 1 Roster'!$AI:$AI))</f>
        <v>0</v>
      </c>
      <c r="AB181" s="17">
        <f ca="1">IF($A181=0,0,SUMIF('Week 1 Roster'!$AZ:$AZ,$B181,'Week 1 Roster'!$AK:$AK))</f>
        <v>0</v>
      </c>
      <c r="AC181" s="17">
        <f ca="1">IF($A181=0,0,SUMIF('Week 1 Roster'!$AZ:$AZ,$B181,'Week 1 Roster'!$AM:$AM))</f>
        <v>0</v>
      </c>
      <c r="AD181" s="17">
        <f ca="1">IF($A181=0,0,SUMIF('Week 1 Roster'!$AZ:$AZ,$B181,'Week 1 Roster'!$AO:$AO))</f>
        <v>0</v>
      </c>
      <c r="AE181" s="38">
        <f ca="1">IF($A181=0,0,SUMIF('Week 1 Roster'!$AZ:$AZ,$B181,'Week 1 Roster'!$AP:$AP))</f>
        <v>0</v>
      </c>
      <c r="AF181" s="17">
        <f ca="1">IF($A181=0,0,SUMIF('Week 1 Roster'!$AZ:$AZ,$B181,'Week 1 Roster'!$AQ:$AQ))</f>
        <v>0</v>
      </c>
      <c r="AG181" s="17">
        <f ca="1">IF($A181=0,0,SUMIF('Week 1 Roster'!$AZ:$AZ,$B181,'Week 1 Roster'!$AR:$AR))</f>
        <v>0</v>
      </c>
      <c r="AH181" s="17">
        <f ca="1">IF($A181=0,0,SUMIF('Week 1 Roster'!$AZ:$AZ,$B181,'Week 1 Roster'!$AS:$AS))</f>
        <v>0</v>
      </c>
      <c r="AI181" s="17">
        <f t="shared" ca="1" si="52"/>
        <v>0</v>
      </c>
      <c r="AK181" s="17">
        <f ca="1">IF($A181=0,0,SUMIF('Week 2 Roster'!$AZ:$AZ,$B181,'Week 2 Roster'!$AE:$AE))</f>
        <v>0</v>
      </c>
      <c r="AL181" s="17">
        <f ca="1">IF($A181=0,0,SUMIF('Week 2 Roster'!$AZ:$AZ,$B181,'Week 2 Roster'!$AG:$AG))</f>
        <v>0</v>
      </c>
      <c r="AM181" s="17">
        <f ca="1">IF($A181=0,0,SUMIF('Week 2 Roster'!$AZ:$AZ,$B181,'Week 2 Roster'!$AI:$AI))</f>
        <v>0</v>
      </c>
      <c r="AN181" s="17">
        <f ca="1">IF($A181=0,0,SUMIF('Week 2 Roster'!$AZ:$AZ,$B181,'Week 2 Roster'!$AK:$AK))</f>
        <v>0</v>
      </c>
      <c r="AO181" s="17">
        <f ca="1">IF($A181=0,0,SUMIF('Week 2 Roster'!$AZ:$AZ,$B181,'Week 2 Roster'!$AM:$AM))</f>
        <v>0</v>
      </c>
      <c r="AP181" s="17">
        <f ca="1">IF($A181=0,0,SUMIF('Week 2 Roster'!$AZ:$AZ,$B181,'Week 2 Roster'!$AO:$AO))</f>
        <v>0</v>
      </c>
      <c r="AQ181" s="38">
        <f ca="1">IF($A181=0,0,SUMIF('Week 2 Roster'!$AZ:$AZ,$B181,'Week 2 Roster'!$AP:$AP))</f>
        <v>0</v>
      </c>
      <c r="AR181" s="17">
        <f ca="1">IF($A181=0,0,SUMIF('Week 2 Roster'!$AZ:$AZ,$B181,'Week 2 Roster'!$AQ:$AQ))</f>
        <v>0</v>
      </c>
      <c r="AS181" s="17">
        <f ca="1">IF($A181=0,0,SUMIF('Week 2 Roster'!$AZ:$AZ,$B181,'Week 2 Roster'!$AR:$AR))</f>
        <v>0</v>
      </c>
      <c r="AT181" s="17">
        <f ca="1">IF($A181=0,0,SUMIF('Week 2 Roster'!$AZ:$AZ,$B181,'Week 2 Roster'!$AS:$AS))</f>
        <v>0</v>
      </c>
      <c r="AU181" s="17">
        <f t="shared" ca="1" si="53"/>
        <v>0</v>
      </c>
      <c r="AV181" s="17"/>
    </row>
    <row r="182" spans="1:48">
      <c r="A182" s="16" cm="1">
        <f t="array" aca="1" ref="A182" ca="1">_xlfn.NUMBERVALUE(INDIRECT(TEXT(MIN(IF(($AW$2:$AX$300&lt;&gt;"")*(COUNTIF($B$1:B181,$AW$2:$AX$300)=0),ROW($2:$300)*100+COLUMN($AW:$AX),7^8)),"R0C00"),)&amp;"")</f>
        <v>0</v>
      </c>
      <c r="B182" s="28" t="str">
        <f t="shared" ca="1" si="39"/>
        <v/>
      </c>
      <c r="C182" s="28" t="str">
        <f ca="1">IF($A182=0,"",VLOOKUP($B182,Employees!$A:$G,2,FALSE))</f>
        <v/>
      </c>
      <c r="D182" s="28" t="str">
        <f ca="1">IF($A182=0,"",VLOOKUP($B182,Employees!$A:$G,3,FALSE))</f>
        <v/>
      </c>
      <c r="E182" s="26" t="str">
        <f ca="1">IF($A182=0,"",VLOOKUP($B182,Employees!$A:$G,5,FALSE))</f>
        <v/>
      </c>
      <c r="F182" s="13" t="str">
        <f ca="1">IF($E182="","",ROUNDDOWN(YEARFRAC($E182, 'Week 1 Roster'!$D$1-1, 1), 0))</f>
        <v/>
      </c>
      <c r="G182" s="13" t="str">
        <f ca="1">IF($E182="","",ROUNDDOWN(YEARFRAC($E182, 'Week 1 Roster'!$D$1+14, 1), 0))</f>
        <v/>
      </c>
      <c r="H182" s="13" t="str">
        <f t="shared" ca="1" si="40"/>
        <v/>
      </c>
      <c r="I182" s="13" t="str">
        <f ca="1">IF($A182=0,"",VLOOKUP($B182,Employees!$A:$G,6,FALSE))</f>
        <v/>
      </c>
      <c r="J182" s="13" t="str">
        <f ca="1">IF($A182=0,"",VLOOKUP($B182,Employees!$A:$G,7,FALSE))</f>
        <v/>
      </c>
      <c r="K182" s="13" t="str">
        <f ca="1">IF($A182=0,"",IF(ISNA(VLOOKUP(A182,'Week 1 Roster'!A:C,2,0)),VLOOKUP(A182,'Week 2 Roster'!A:C,2,0),VLOOKUP(A182,'Week 1 Roster'!A:C,2,0)))</f>
        <v/>
      </c>
      <c r="L182" s="13" t="str">
        <f ca="1">IF($A182=0,"",VLOOKUP(K182,Stores!A:B,2,0))</f>
        <v/>
      </c>
      <c r="M182" s="14">
        <f t="shared" ca="1" si="41"/>
        <v>0</v>
      </c>
      <c r="N182" s="14">
        <f t="shared" ca="1" si="42"/>
        <v>0</v>
      </c>
      <c r="O182" s="14">
        <f t="shared" ca="1" si="43"/>
        <v>0</v>
      </c>
      <c r="P182" s="14">
        <f t="shared" ca="1" si="44"/>
        <v>0</v>
      </c>
      <c r="Q182" s="14">
        <f t="shared" ca="1" si="45"/>
        <v>0</v>
      </c>
      <c r="R182" s="14">
        <f t="shared" ca="1" si="46"/>
        <v>0</v>
      </c>
      <c r="S182" s="28">
        <f t="shared" ca="1" si="47"/>
        <v>0</v>
      </c>
      <c r="T182" s="14">
        <f t="shared" ca="1" si="48"/>
        <v>0</v>
      </c>
      <c r="U182" s="14">
        <f t="shared" ca="1" si="49"/>
        <v>0</v>
      </c>
      <c r="V182" s="14">
        <f t="shared" ca="1" si="50"/>
        <v>0</v>
      </c>
      <c r="W182" s="14">
        <f t="shared" ca="1" si="51"/>
        <v>0</v>
      </c>
      <c r="Y182" s="17">
        <f ca="1">IF($A182=0,0,SUMIF('Week 1 Roster'!$AZ:$AZ,$B182,'Week 1 Roster'!$AE:$AE))</f>
        <v>0</v>
      </c>
      <c r="Z182" s="17">
        <f ca="1">IF($A182=0,0,SUMIF('Week 1 Roster'!$AZ:$AZ,$B182,'Week 1 Roster'!$AG:$AG))</f>
        <v>0</v>
      </c>
      <c r="AA182" s="17">
        <f ca="1">IF($A182=0,0,SUMIF('Week 1 Roster'!$AZ:$AZ,$B182,'Week 1 Roster'!$AI:$AI))</f>
        <v>0</v>
      </c>
      <c r="AB182" s="17">
        <f ca="1">IF($A182=0,0,SUMIF('Week 1 Roster'!$AZ:$AZ,$B182,'Week 1 Roster'!$AK:$AK))</f>
        <v>0</v>
      </c>
      <c r="AC182" s="17">
        <f ca="1">IF($A182=0,0,SUMIF('Week 1 Roster'!$AZ:$AZ,$B182,'Week 1 Roster'!$AM:$AM))</f>
        <v>0</v>
      </c>
      <c r="AD182" s="17">
        <f ca="1">IF($A182=0,0,SUMIF('Week 1 Roster'!$AZ:$AZ,$B182,'Week 1 Roster'!$AO:$AO))</f>
        <v>0</v>
      </c>
      <c r="AE182" s="38">
        <f ca="1">IF($A182=0,0,SUMIF('Week 1 Roster'!$AZ:$AZ,$B182,'Week 1 Roster'!$AP:$AP))</f>
        <v>0</v>
      </c>
      <c r="AF182" s="17">
        <f ca="1">IF($A182=0,0,SUMIF('Week 1 Roster'!$AZ:$AZ,$B182,'Week 1 Roster'!$AQ:$AQ))</f>
        <v>0</v>
      </c>
      <c r="AG182" s="17">
        <f ca="1">IF($A182=0,0,SUMIF('Week 1 Roster'!$AZ:$AZ,$B182,'Week 1 Roster'!$AR:$AR))</f>
        <v>0</v>
      </c>
      <c r="AH182" s="17">
        <f ca="1">IF($A182=0,0,SUMIF('Week 1 Roster'!$AZ:$AZ,$B182,'Week 1 Roster'!$AS:$AS))</f>
        <v>0</v>
      </c>
      <c r="AI182" s="17">
        <f t="shared" ca="1" si="52"/>
        <v>0</v>
      </c>
      <c r="AK182" s="17">
        <f ca="1">IF($A182=0,0,SUMIF('Week 2 Roster'!$AZ:$AZ,$B182,'Week 2 Roster'!$AE:$AE))</f>
        <v>0</v>
      </c>
      <c r="AL182" s="17">
        <f ca="1">IF($A182=0,0,SUMIF('Week 2 Roster'!$AZ:$AZ,$B182,'Week 2 Roster'!$AG:$AG))</f>
        <v>0</v>
      </c>
      <c r="AM182" s="17">
        <f ca="1">IF($A182=0,0,SUMIF('Week 2 Roster'!$AZ:$AZ,$B182,'Week 2 Roster'!$AI:$AI))</f>
        <v>0</v>
      </c>
      <c r="AN182" s="17">
        <f ca="1">IF($A182=0,0,SUMIF('Week 2 Roster'!$AZ:$AZ,$B182,'Week 2 Roster'!$AK:$AK))</f>
        <v>0</v>
      </c>
      <c r="AO182" s="17">
        <f ca="1">IF($A182=0,0,SUMIF('Week 2 Roster'!$AZ:$AZ,$B182,'Week 2 Roster'!$AM:$AM))</f>
        <v>0</v>
      </c>
      <c r="AP182" s="17">
        <f ca="1">IF($A182=0,0,SUMIF('Week 2 Roster'!$AZ:$AZ,$B182,'Week 2 Roster'!$AO:$AO))</f>
        <v>0</v>
      </c>
      <c r="AQ182" s="38">
        <f ca="1">IF($A182=0,0,SUMIF('Week 2 Roster'!$AZ:$AZ,$B182,'Week 2 Roster'!$AP:$AP))</f>
        <v>0</v>
      </c>
      <c r="AR182" s="17">
        <f ca="1">IF($A182=0,0,SUMIF('Week 2 Roster'!$AZ:$AZ,$B182,'Week 2 Roster'!$AQ:$AQ))</f>
        <v>0</v>
      </c>
      <c r="AS182" s="17">
        <f ca="1">IF($A182=0,0,SUMIF('Week 2 Roster'!$AZ:$AZ,$B182,'Week 2 Roster'!$AR:$AR))</f>
        <v>0</v>
      </c>
      <c r="AT182" s="17">
        <f ca="1">IF($A182=0,0,SUMIF('Week 2 Roster'!$AZ:$AZ,$B182,'Week 2 Roster'!$AS:$AS))</f>
        <v>0</v>
      </c>
      <c r="AU182" s="17">
        <f t="shared" ca="1" si="53"/>
        <v>0</v>
      </c>
      <c r="AV182" s="17"/>
    </row>
    <row r="183" spans="1:48">
      <c r="A183" s="16" cm="1">
        <f t="array" aca="1" ref="A183" ca="1">_xlfn.NUMBERVALUE(INDIRECT(TEXT(MIN(IF(($AW$2:$AX$300&lt;&gt;"")*(COUNTIF($B$1:B182,$AW$2:$AX$300)=0),ROW($2:$300)*100+COLUMN($AW:$AX),7^8)),"R0C00"),)&amp;"")</f>
        <v>0</v>
      </c>
      <c r="B183" s="28" t="str">
        <f t="shared" ca="1" si="39"/>
        <v/>
      </c>
      <c r="C183" s="28" t="str">
        <f ca="1">IF($A183=0,"",VLOOKUP($B183,Employees!$A:$G,2,FALSE))</f>
        <v/>
      </c>
      <c r="D183" s="28" t="str">
        <f ca="1">IF($A183=0,"",VLOOKUP($B183,Employees!$A:$G,3,FALSE))</f>
        <v/>
      </c>
      <c r="E183" s="26" t="str">
        <f ca="1">IF($A183=0,"",VLOOKUP($B183,Employees!$A:$G,5,FALSE))</f>
        <v/>
      </c>
      <c r="F183" s="13" t="str">
        <f ca="1">IF($E183="","",ROUNDDOWN(YEARFRAC($E183, 'Week 1 Roster'!$D$1-1, 1), 0))</f>
        <v/>
      </c>
      <c r="G183" s="13" t="str">
        <f ca="1">IF($E183="","",ROUNDDOWN(YEARFRAC($E183, 'Week 1 Roster'!$D$1+14, 1), 0))</f>
        <v/>
      </c>
      <c r="H183" s="13" t="str">
        <f t="shared" ca="1" si="40"/>
        <v/>
      </c>
      <c r="I183" s="13" t="str">
        <f ca="1">IF($A183=0,"",VLOOKUP($B183,Employees!$A:$G,6,FALSE))</f>
        <v/>
      </c>
      <c r="J183" s="13" t="str">
        <f ca="1">IF($A183=0,"",VLOOKUP($B183,Employees!$A:$G,7,FALSE))</f>
        <v/>
      </c>
      <c r="K183" s="13" t="str">
        <f ca="1">IF($A183=0,"",IF(ISNA(VLOOKUP(A183,'Week 1 Roster'!A:C,2,0)),VLOOKUP(A183,'Week 2 Roster'!A:C,2,0),VLOOKUP(A183,'Week 1 Roster'!A:C,2,0)))</f>
        <v/>
      </c>
      <c r="L183" s="13" t="str">
        <f ca="1">IF($A183=0,"",VLOOKUP(K183,Stores!A:B,2,0))</f>
        <v/>
      </c>
      <c r="M183" s="14">
        <f t="shared" ca="1" si="41"/>
        <v>0</v>
      </c>
      <c r="N183" s="14">
        <f t="shared" ca="1" si="42"/>
        <v>0</v>
      </c>
      <c r="O183" s="14">
        <f t="shared" ca="1" si="43"/>
        <v>0</v>
      </c>
      <c r="P183" s="14">
        <f t="shared" ca="1" si="44"/>
        <v>0</v>
      </c>
      <c r="Q183" s="14">
        <f t="shared" ca="1" si="45"/>
        <v>0</v>
      </c>
      <c r="R183" s="14">
        <f t="shared" ca="1" si="46"/>
        <v>0</v>
      </c>
      <c r="S183" s="28">
        <f t="shared" ca="1" si="47"/>
        <v>0</v>
      </c>
      <c r="T183" s="14">
        <f t="shared" ca="1" si="48"/>
        <v>0</v>
      </c>
      <c r="U183" s="14">
        <f t="shared" ca="1" si="49"/>
        <v>0</v>
      </c>
      <c r="V183" s="14">
        <f t="shared" ca="1" si="50"/>
        <v>0</v>
      </c>
      <c r="W183" s="14">
        <f t="shared" ca="1" si="51"/>
        <v>0</v>
      </c>
      <c r="Y183" s="17">
        <f ca="1">IF($A183=0,0,SUMIF('Week 1 Roster'!$AZ:$AZ,$B183,'Week 1 Roster'!$AE:$AE))</f>
        <v>0</v>
      </c>
      <c r="Z183" s="17">
        <f ca="1">IF($A183=0,0,SUMIF('Week 1 Roster'!$AZ:$AZ,$B183,'Week 1 Roster'!$AG:$AG))</f>
        <v>0</v>
      </c>
      <c r="AA183" s="17">
        <f ca="1">IF($A183=0,0,SUMIF('Week 1 Roster'!$AZ:$AZ,$B183,'Week 1 Roster'!$AI:$AI))</f>
        <v>0</v>
      </c>
      <c r="AB183" s="17">
        <f ca="1">IF($A183=0,0,SUMIF('Week 1 Roster'!$AZ:$AZ,$B183,'Week 1 Roster'!$AK:$AK))</f>
        <v>0</v>
      </c>
      <c r="AC183" s="17">
        <f ca="1">IF($A183=0,0,SUMIF('Week 1 Roster'!$AZ:$AZ,$B183,'Week 1 Roster'!$AM:$AM))</f>
        <v>0</v>
      </c>
      <c r="AD183" s="17">
        <f ca="1">IF($A183=0,0,SUMIF('Week 1 Roster'!$AZ:$AZ,$B183,'Week 1 Roster'!$AO:$AO))</f>
        <v>0</v>
      </c>
      <c r="AE183" s="38">
        <f ca="1">IF($A183=0,0,SUMIF('Week 1 Roster'!$AZ:$AZ,$B183,'Week 1 Roster'!$AP:$AP))</f>
        <v>0</v>
      </c>
      <c r="AF183" s="17">
        <f ca="1">IF($A183=0,0,SUMIF('Week 1 Roster'!$AZ:$AZ,$B183,'Week 1 Roster'!$AQ:$AQ))</f>
        <v>0</v>
      </c>
      <c r="AG183" s="17">
        <f ca="1">IF($A183=0,0,SUMIF('Week 1 Roster'!$AZ:$AZ,$B183,'Week 1 Roster'!$AR:$AR))</f>
        <v>0</v>
      </c>
      <c r="AH183" s="17">
        <f ca="1">IF($A183=0,0,SUMIF('Week 1 Roster'!$AZ:$AZ,$B183,'Week 1 Roster'!$AS:$AS))</f>
        <v>0</v>
      </c>
      <c r="AI183" s="17">
        <f t="shared" ca="1" si="52"/>
        <v>0</v>
      </c>
      <c r="AK183" s="17">
        <f ca="1">IF($A183=0,0,SUMIF('Week 2 Roster'!$AZ:$AZ,$B183,'Week 2 Roster'!$AE:$AE))</f>
        <v>0</v>
      </c>
      <c r="AL183" s="17">
        <f ca="1">IF($A183=0,0,SUMIF('Week 2 Roster'!$AZ:$AZ,$B183,'Week 2 Roster'!$AG:$AG))</f>
        <v>0</v>
      </c>
      <c r="AM183" s="17">
        <f ca="1">IF($A183=0,0,SUMIF('Week 2 Roster'!$AZ:$AZ,$B183,'Week 2 Roster'!$AI:$AI))</f>
        <v>0</v>
      </c>
      <c r="AN183" s="17">
        <f ca="1">IF($A183=0,0,SUMIF('Week 2 Roster'!$AZ:$AZ,$B183,'Week 2 Roster'!$AK:$AK))</f>
        <v>0</v>
      </c>
      <c r="AO183" s="17">
        <f ca="1">IF($A183=0,0,SUMIF('Week 2 Roster'!$AZ:$AZ,$B183,'Week 2 Roster'!$AM:$AM))</f>
        <v>0</v>
      </c>
      <c r="AP183" s="17">
        <f ca="1">IF($A183=0,0,SUMIF('Week 2 Roster'!$AZ:$AZ,$B183,'Week 2 Roster'!$AO:$AO))</f>
        <v>0</v>
      </c>
      <c r="AQ183" s="38">
        <f ca="1">IF($A183=0,0,SUMIF('Week 2 Roster'!$AZ:$AZ,$B183,'Week 2 Roster'!$AP:$AP))</f>
        <v>0</v>
      </c>
      <c r="AR183" s="17">
        <f ca="1">IF($A183=0,0,SUMIF('Week 2 Roster'!$AZ:$AZ,$B183,'Week 2 Roster'!$AQ:$AQ))</f>
        <v>0</v>
      </c>
      <c r="AS183" s="17">
        <f ca="1">IF($A183=0,0,SUMIF('Week 2 Roster'!$AZ:$AZ,$B183,'Week 2 Roster'!$AR:$AR))</f>
        <v>0</v>
      </c>
      <c r="AT183" s="17">
        <f ca="1">IF($A183=0,0,SUMIF('Week 2 Roster'!$AZ:$AZ,$B183,'Week 2 Roster'!$AS:$AS))</f>
        <v>0</v>
      </c>
      <c r="AU183" s="17">
        <f t="shared" ca="1" si="53"/>
        <v>0</v>
      </c>
      <c r="AV183" s="17"/>
    </row>
    <row r="184" spans="1:48">
      <c r="A184" s="16" cm="1">
        <f t="array" aca="1" ref="A184" ca="1">_xlfn.NUMBERVALUE(INDIRECT(TEXT(MIN(IF(($AW$2:$AX$300&lt;&gt;"")*(COUNTIF($B$1:B183,$AW$2:$AX$300)=0),ROW($2:$300)*100+COLUMN($AW:$AX),7^8)),"R0C00"),)&amp;"")</f>
        <v>0</v>
      </c>
      <c r="B184" s="28" t="str">
        <f t="shared" ca="1" si="39"/>
        <v/>
      </c>
      <c r="C184" s="28" t="str">
        <f ca="1">IF($A184=0,"",VLOOKUP($B184,Employees!$A:$G,2,FALSE))</f>
        <v/>
      </c>
      <c r="D184" s="28" t="str">
        <f ca="1">IF($A184=0,"",VLOOKUP($B184,Employees!$A:$G,3,FALSE))</f>
        <v/>
      </c>
      <c r="E184" s="26" t="str">
        <f ca="1">IF($A184=0,"",VLOOKUP($B184,Employees!$A:$G,5,FALSE))</f>
        <v/>
      </c>
      <c r="F184" s="13" t="str">
        <f ca="1">IF($E184="","",ROUNDDOWN(YEARFRAC($E184, 'Week 1 Roster'!$D$1-1, 1), 0))</f>
        <v/>
      </c>
      <c r="G184" s="13" t="str">
        <f ca="1">IF($E184="","",ROUNDDOWN(YEARFRAC($E184, 'Week 1 Roster'!$D$1+14, 1), 0))</f>
        <v/>
      </c>
      <c r="H184" s="13" t="str">
        <f t="shared" ca="1" si="40"/>
        <v/>
      </c>
      <c r="I184" s="13" t="str">
        <f ca="1">IF($A184=0,"",VLOOKUP($B184,Employees!$A:$G,6,FALSE))</f>
        <v/>
      </c>
      <c r="J184" s="13" t="str">
        <f ca="1">IF($A184=0,"",VLOOKUP($B184,Employees!$A:$G,7,FALSE))</f>
        <v/>
      </c>
      <c r="K184" s="13" t="str">
        <f ca="1">IF($A184=0,"",IF(ISNA(VLOOKUP(A184,'Week 1 Roster'!A:C,2,0)),VLOOKUP(A184,'Week 2 Roster'!A:C,2,0),VLOOKUP(A184,'Week 1 Roster'!A:C,2,0)))</f>
        <v/>
      </c>
      <c r="L184" s="13" t="str">
        <f ca="1">IF($A184=0,"",VLOOKUP(K184,Stores!A:B,2,0))</f>
        <v/>
      </c>
      <c r="M184" s="14">
        <f t="shared" ca="1" si="41"/>
        <v>0</v>
      </c>
      <c r="N184" s="14">
        <f t="shared" ca="1" si="42"/>
        <v>0</v>
      </c>
      <c r="O184" s="14">
        <f t="shared" ca="1" si="43"/>
        <v>0</v>
      </c>
      <c r="P184" s="14">
        <f t="shared" ca="1" si="44"/>
        <v>0</v>
      </c>
      <c r="Q184" s="14">
        <f t="shared" ca="1" si="45"/>
        <v>0</v>
      </c>
      <c r="R184" s="14">
        <f t="shared" ca="1" si="46"/>
        <v>0</v>
      </c>
      <c r="S184" s="28">
        <f t="shared" ca="1" si="47"/>
        <v>0</v>
      </c>
      <c r="T184" s="14">
        <f t="shared" ca="1" si="48"/>
        <v>0</v>
      </c>
      <c r="U184" s="14">
        <f t="shared" ca="1" si="49"/>
        <v>0</v>
      </c>
      <c r="V184" s="14">
        <f t="shared" ca="1" si="50"/>
        <v>0</v>
      </c>
      <c r="W184" s="14">
        <f t="shared" ca="1" si="51"/>
        <v>0</v>
      </c>
      <c r="Y184" s="17">
        <f ca="1">IF($A184=0,0,SUMIF('Week 1 Roster'!$AZ:$AZ,$B184,'Week 1 Roster'!$AE:$AE))</f>
        <v>0</v>
      </c>
      <c r="Z184" s="17">
        <f ca="1">IF($A184=0,0,SUMIF('Week 1 Roster'!$AZ:$AZ,$B184,'Week 1 Roster'!$AG:$AG))</f>
        <v>0</v>
      </c>
      <c r="AA184" s="17">
        <f ca="1">IF($A184=0,0,SUMIF('Week 1 Roster'!$AZ:$AZ,$B184,'Week 1 Roster'!$AI:$AI))</f>
        <v>0</v>
      </c>
      <c r="AB184" s="17">
        <f ca="1">IF($A184=0,0,SUMIF('Week 1 Roster'!$AZ:$AZ,$B184,'Week 1 Roster'!$AK:$AK))</f>
        <v>0</v>
      </c>
      <c r="AC184" s="17">
        <f ca="1">IF($A184=0,0,SUMIF('Week 1 Roster'!$AZ:$AZ,$B184,'Week 1 Roster'!$AM:$AM))</f>
        <v>0</v>
      </c>
      <c r="AD184" s="17">
        <f ca="1">IF($A184=0,0,SUMIF('Week 1 Roster'!$AZ:$AZ,$B184,'Week 1 Roster'!$AO:$AO))</f>
        <v>0</v>
      </c>
      <c r="AE184" s="38">
        <f ca="1">IF($A184=0,0,SUMIF('Week 1 Roster'!$AZ:$AZ,$B184,'Week 1 Roster'!$AP:$AP))</f>
        <v>0</v>
      </c>
      <c r="AF184" s="17">
        <f ca="1">IF($A184=0,0,SUMIF('Week 1 Roster'!$AZ:$AZ,$B184,'Week 1 Roster'!$AQ:$AQ))</f>
        <v>0</v>
      </c>
      <c r="AG184" s="17">
        <f ca="1">IF($A184=0,0,SUMIF('Week 1 Roster'!$AZ:$AZ,$B184,'Week 1 Roster'!$AR:$AR))</f>
        <v>0</v>
      </c>
      <c r="AH184" s="17">
        <f ca="1">IF($A184=0,0,SUMIF('Week 1 Roster'!$AZ:$AZ,$B184,'Week 1 Roster'!$AS:$AS))</f>
        <v>0</v>
      </c>
      <c r="AI184" s="17">
        <f t="shared" ca="1" si="52"/>
        <v>0</v>
      </c>
      <c r="AK184" s="17">
        <f ca="1">IF($A184=0,0,SUMIF('Week 2 Roster'!$AZ:$AZ,$B184,'Week 2 Roster'!$AE:$AE))</f>
        <v>0</v>
      </c>
      <c r="AL184" s="17">
        <f ca="1">IF($A184=0,0,SUMIF('Week 2 Roster'!$AZ:$AZ,$B184,'Week 2 Roster'!$AG:$AG))</f>
        <v>0</v>
      </c>
      <c r="AM184" s="17">
        <f ca="1">IF($A184=0,0,SUMIF('Week 2 Roster'!$AZ:$AZ,$B184,'Week 2 Roster'!$AI:$AI))</f>
        <v>0</v>
      </c>
      <c r="AN184" s="17">
        <f ca="1">IF($A184=0,0,SUMIF('Week 2 Roster'!$AZ:$AZ,$B184,'Week 2 Roster'!$AK:$AK))</f>
        <v>0</v>
      </c>
      <c r="AO184" s="17">
        <f ca="1">IF($A184=0,0,SUMIF('Week 2 Roster'!$AZ:$AZ,$B184,'Week 2 Roster'!$AM:$AM))</f>
        <v>0</v>
      </c>
      <c r="AP184" s="17">
        <f ca="1">IF($A184=0,0,SUMIF('Week 2 Roster'!$AZ:$AZ,$B184,'Week 2 Roster'!$AO:$AO))</f>
        <v>0</v>
      </c>
      <c r="AQ184" s="38">
        <f ca="1">IF($A184=0,0,SUMIF('Week 2 Roster'!$AZ:$AZ,$B184,'Week 2 Roster'!$AP:$AP))</f>
        <v>0</v>
      </c>
      <c r="AR184" s="17">
        <f ca="1">IF($A184=0,0,SUMIF('Week 2 Roster'!$AZ:$AZ,$B184,'Week 2 Roster'!$AQ:$AQ))</f>
        <v>0</v>
      </c>
      <c r="AS184" s="17">
        <f ca="1">IF($A184=0,0,SUMIF('Week 2 Roster'!$AZ:$AZ,$B184,'Week 2 Roster'!$AR:$AR))</f>
        <v>0</v>
      </c>
      <c r="AT184" s="17">
        <f ca="1">IF($A184=0,0,SUMIF('Week 2 Roster'!$AZ:$AZ,$B184,'Week 2 Roster'!$AS:$AS))</f>
        <v>0</v>
      </c>
      <c r="AU184" s="17">
        <f t="shared" ca="1" si="53"/>
        <v>0</v>
      </c>
      <c r="AV184" s="17"/>
    </row>
    <row r="185" spans="1:48">
      <c r="A185" s="16" cm="1">
        <f t="array" aca="1" ref="A185" ca="1">_xlfn.NUMBERVALUE(INDIRECT(TEXT(MIN(IF(($AW$2:$AX$300&lt;&gt;"")*(COUNTIF($B$1:B184,$AW$2:$AX$300)=0),ROW($2:$300)*100+COLUMN($AW:$AX),7^8)),"R0C00"),)&amp;"")</f>
        <v>0</v>
      </c>
      <c r="B185" s="28" t="str">
        <f t="shared" ca="1" si="39"/>
        <v/>
      </c>
      <c r="C185" s="28" t="str">
        <f ca="1">IF($A185=0,"",VLOOKUP($B185,Employees!$A:$G,2,FALSE))</f>
        <v/>
      </c>
      <c r="D185" s="28" t="str">
        <f ca="1">IF($A185=0,"",VLOOKUP($B185,Employees!$A:$G,3,FALSE))</f>
        <v/>
      </c>
      <c r="E185" s="26" t="str">
        <f ca="1">IF($A185=0,"",VLOOKUP($B185,Employees!$A:$G,5,FALSE))</f>
        <v/>
      </c>
      <c r="F185" s="13" t="str">
        <f ca="1">IF($E185="","",ROUNDDOWN(YEARFRAC($E185, 'Week 1 Roster'!$D$1-1, 1), 0))</f>
        <v/>
      </c>
      <c r="G185" s="13" t="str">
        <f ca="1">IF($E185="","",ROUNDDOWN(YEARFRAC($E185, 'Week 1 Roster'!$D$1+14, 1), 0))</f>
        <v/>
      </c>
      <c r="H185" s="13" t="str">
        <f t="shared" ca="1" si="40"/>
        <v/>
      </c>
      <c r="I185" s="13" t="str">
        <f ca="1">IF($A185=0,"",VLOOKUP($B185,Employees!$A:$G,6,FALSE))</f>
        <v/>
      </c>
      <c r="J185" s="13" t="str">
        <f ca="1">IF($A185=0,"",VLOOKUP($B185,Employees!$A:$G,7,FALSE))</f>
        <v/>
      </c>
      <c r="K185" s="13" t="str">
        <f ca="1">IF($A185=0,"",IF(ISNA(VLOOKUP(A185,'Week 1 Roster'!A:C,2,0)),VLOOKUP(A185,'Week 2 Roster'!A:C,2,0),VLOOKUP(A185,'Week 1 Roster'!A:C,2,0)))</f>
        <v/>
      </c>
      <c r="L185" s="13" t="str">
        <f ca="1">IF($A185=0,"",VLOOKUP(K185,Stores!A:B,2,0))</f>
        <v/>
      </c>
      <c r="M185" s="14">
        <f t="shared" ca="1" si="41"/>
        <v>0</v>
      </c>
      <c r="N185" s="14">
        <f t="shared" ca="1" si="42"/>
        <v>0</v>
      </c>
      <c r="O185" s="14">
        <f t="shared" ca="1" si="43"/>
        <v>0</v>
      </c>
      <c r="P185" s="14">
        <f t="shared" ca="1" si="44"/>
        <v>0</v>
      </c>
      <c r="Q185" s="14">
        <f t="shared" ca="1" si="45"/>
        <v>0</v>
      </c>
      <c r="R185" s="14">
        <f t="shared" ca="1" si="46"/>
        <v>0</v>
      </c>
      <c r="S185" s="28">
        <f t="shared" ca="1" si="47"/>
        <v>0</v>
      </c>
      <c r="T185" s="14">
        <f t="shared" ca="1" si="48"/>
        <v>0</v>
      </c>
      <c r="U185" s="14">
        <f t="shared" ca="1" si="49"/>
        <v>0</v>
      </c>
      <c r="V185" s="14">
        <f t="shared" ca="1" si="50"/>
        <v>0</v>
      </c>
      <c r="W185" s="14">
        <f t="shared" ca="1" si="51"/>
        <v>0</v>
      </c>
      <c r="Y185" s="17">
        <f ca="1">IF($A185=0,0,SUMIF('Week 1 Roster'!$AZ:$AZ,$B185,'Week 1 Roster'!$AE:$AE))</f>
        <v>0</v>
      </c>
      <c r="Z185" s="17">
        <f ca="1">IF($A185=0,0,SUMIF('Week 1 Roster'!$AZ:$AZ,$B185,'Week 1 Roster'!$AG:$AG))</f>
        <v>0</v>
      </c>
      <c r="AA185" s="17">
        <f ca="1">IF($A185=0,0,SUMIF('Week 1 Roster'!$AZ:$AZ,$B185,'Week 1 Roster'!$AI:$AI))</f>
        <v>0</v>
      </c>
      <c r="AB185" s="17">
        <f ca="1">IF($A185=0,0,SUMIF('Week 1 Roster'!$AZ:$AZ,$B185,'Week 1 Roster'!$AK:$AK))</f>
        <v>0</v>
      </c>
      <c r="AC185" s="17">
        <f ca="1">IF($A185=0,0,SUMIF('Week 1 Roster'!$AZ:$AZ,$B185,'Week 1 Roster'!$AM:$AM))</f>
        <v>0</v>
      </c>
      <c r="AD185" s="17">
        <f ca="1">IF($A185=0,0,SUMIF('Week 1 Roster'!$AZ:$AZ,$B185,'Week 1 Roster'!$AO:$AO))</f>
        <v>0</v>
      </c>
      <c r="AE185" s="38">
        <f ca="1">IF($A185=0,0,SUMIF('Week 1 Roster'!$AZ:$AZ,$B185,'Week 1 Roster'!$AP:$AP))</f>
        <v>0</v>
      </c>
      <c r="AF185" s="17">
        <f ca="1">IF($A185=0,0,SUMIF('Week 1 Roster'!$AZ:$AZ,$B185,'Week 1 Roster'!$AQ:$AQ))</f>
        <v>0</v>
      </c>
      <c r="AG185" s="17">
        <f ca="1">IF($A185=0,0,SUMIF('Week 1 Roster'!$AZ:$AZ,$B185,'Week 1 Roster'!$AR:$AR))</f>
        <v>0</v>
      </c>
      <c r="AH185" s="17">
        <f ca="1">IF($A185=0,0,SUMIF('Week 1 Roster'!$AZ:$AZ,$B185,'Week 1 Roster'!$AS:$AS))</f>
        <v>0</v>
      </c>
      <c r="AI185" s="17">
        <f t="shared" ca="1" si="52"/>
        <v>0</v>
      </c>
      <c r="AK185" s="17">
        <f ca="1">IF($A185=0,0,SUMIF('Week 2 Roster'!$AZ:$AZ,$B185,'Week 2 Roster'!$AE:$AE))</f>
        <v>0</v>
      </c>
      <c r="AL185" s="17">
        <f ca="1">IF($A185=0,0,SUMIF('Week 2 Roster'!$AZ:$AZ,$B185,'Week 2 Roster'!$AG:$AG))</f>
        <v>0</v>
      </c>
      <c r="AM185" s="17">
        <f ca="1">IF($A185=0,0,SUMIF('Week 2 Roster'!$AZ:$AZ,$B185,'Week 2 Roster'!$AI:$AI))</f>
        <v>0</v>
      </c>
      <c r="AN185" s="17">
        <f ca="1">IF($A185=0,0,SUMIF('Week 2 Roster'!$AZ:$AZ,$B185,'Week 2 Roster'!$AK:$AK))</f>
        <v>0</v>
      </c>
      <c r="AO185" s="17">
        <f ca="1">IF($A185=0,0,SUMIF('Week 2 Roster'!$AZ:$AZ,$B185,'Week 2 Roster'!$AM:$AM))</f>
        <v>0</v>
      </c>
      <c r="AP185" s="17">
        <f ca="1">IF($A185=0,0,SUMIF('Week 2 Roster'!$AZ:$AZ,$B185,'Week 2 Roster'!$AO:$AO))</f>
        <v>0</v>
      </c>
      <c r="AQ185" s="38">
        <f ca="1">IF($A185=0,0,SUMIF('Week 2 Roster'!$AZ:$AZ,$B185,'Week 2 Roster'!$AP:$AP))</f>
        <v>0</v>
      </c>
      <c r="AR185" s="17">
        <f ca="1">IF($A185=0,0,SUMIF('Week 2 Roster'!$AZ:$AZ,$B185,'Week 2 Roster'!$AQ:$AQ))</f>
        <v>0</v>
      </c>
      <c r="AS185" s="17">
        <f ca="1">IF($A185=0,0,SUMIF('Week 2 Roster'!$AZ:$AZ,$B185,'Week 2 Roster'!$AR:$AR))</f>
        <v>0</v>
      </c>
      <c r="AT185" s="17">
        <f ca="1">IF($A185=0,0,SUMIF('Week 2 Roster'!$AZ:$AZ,$B185,'Week 2 Roster'!$AS:$AS))</f>
        <v>0</v>
      </c>
      <c r="AU185" s="17">
        <f t="shared" ca="1" si="53"/>
        <v>0</v>
      </c>
      <c r="AV185" s="17"/>
    </row>
    <row r="186" spans="1:48">
      <c r="A186" s="16" cm="1">
        <f t="array" aca="1" ref="A186" ca="1">_xlfn.NUMBERVALUE(INDIRECT(TEXT(MIN(IF(($AW$2:$AX$300&lt;&gt;"")*(COUNTIF($B$1:B185,$AW$2:$AX$300)=0),ROW($2:$300)*100+COLUMN($AW:$AX),7^8)),"R0C00"),)&amp;"")</f>
        <v>0</v>
      </c>
      <c r="B186" s="28" t="str">
        <f t="shared" ca="1" si="39"/>
        <v/>
      </c>
      <c r="C186" s="28" t="str">
        <f ca="1">IF($A186=0,"",VLOOKUP($B186,Employees!$A:$G,2,FALSE))</f>
        <v/>
      </c>
      <c r="D186" s="28" t="str">
        <f ca="1">IF($A186=0,"",VLOOKUP($B186,Employees!$A:$G,3,FALSE))</f>
        <v/>
      </c>
      <c r="E186" s="26" t="str">
        <f ca="1">IF($A186=0,"",VLOOKUP($B186,Employees!$A:$G,5,FALSE))</f>
        <v/>
      </c>
      <c r="F186" s="13" t="str">
        <f ca="1">IF($E186="","",ROUNDDOWN(YEARFRAC($E186, 'Week 1 Roster'!$D$1-1, 1), 0))</f>
        <v/>
      </c>
      <c r="G186" s="13" t="str">
        <f ca="1">IF($E186="","",ROUNDDOWN(YEARFRAC($E186, 'Week 1 Roster'!$D$1+14, 1), 0))</f>
        <v/>
      </c>
      <c r="H186" s="13" t="str">
        <f t="shared" ca="1" si="40"/>
        <v/>
      </c>
      <c r="I186" s="13" t="str">
        <f ca="1">IF($A186=0,"",VLOOKUP($B186,Employees!$A:$G,6,FALSE))</f>
        <v/>
      </c>
      <c r="J186" s="13" t="str">
        <f ca="1">IF($A186=0,"",VLOOKUP($B186,Employees!$A:$G,7,FALSE))</f>
        <v/>
      </c>
      <c r="K186" s="13" t="str">
        <f ca="1">IF($A186=0,"",IF(ISNA(VLOOKUP(A186,'Week 1 Roster'!A:C,2,0)),VLOOKUP(A186,'Week 2 Roster'!A:C,2,0),VLOOKUP(A186,'Week 1 Roster'!A:C,2,0)))</f>
        <v/>
      </c>
      <c r="L186" s="13" t="str">
        <f ca="1">IF($A186=0,"",VLOOKUP(K186,Stores!A:B,2,0))</f>
        <v/>
      </c>
      <c r="M186" s="14">
        <f t="shared" ca="1" si="41"/>
        <v>0</v>
      </c>
      <c r="N186" s="14">
        <f t="shared" ca="1" si="42"/>
        <v>0</v>
      </c>
      <c r="O186" s="14">
        <f t="shared" ca="1" si="43"/>
        <v>0</v>
      </c>
      <c r="P186" s="14">
        <f t="shared" ca="1" si="44"/>
        <v>0</v>
      </c>
      <c r="Q186" s="14">
        <f t="shared" ca="1" si="45"/>
        <v>0</v>
      </c>
      <c r="R186" s="14">
        <f t="shared" ca="1" si="46"/>
        <v>0</v>
      </c>
      <c r="S186" s="28">
        <f t="shared" ca="1" si="47"/>
        <v>0</v>
      </c>
      <c r="T186" s="14">
        <f t="shared" ca="1" si="48"/>
        <v>0</v>
      </c>
      <c r="U186" s="14">
        <f t="shared" ca="1" si="49"/>
        <v>0</v>
      </c>
      <c r="V186" s="14">
        <f t="shared" ca="1" si="50"/>
        <v>0</v>
      </c>
      <c r="W186" s="14">
        <f t="shared" ca="1" si="51"/>
        <v>0</v>
      </c>
      <c r="Y186" s="17">
        <f ca="1">IF($A186=0,0,SUMIF('Week 1 Roster'!$AZ:$AZ,$B186,'Week 1 Roster'!$AE:$AE))</f>
        <v>0</v>
      </c>
      <c r="Z186" s="17">
        <f ca="1">IF($A186=0,0,SUMIF('Week 1 Roster'!$AZ:$AZ,$B186,'Week 1 Roster'!$AG:$AG))</f>
        <v>0</v>
      </c>
      <c r="AA186" s="17">
        <f ca="1">IF($A186=0,0,SUMIF('Week 1 Roster'!$AZ:$AZ,$B186,'Week 1 Roster'!$AI:$AI))</f>
        <v>0</v>
      </c>
      <c r="AB186" s="17">
        <f ca="1">IF($A186=0,0,SUMIF('Week 1 Roster'!$AZ:$AZ,$B186,'Week 1 Roster'!$AK:$AK))</f>
        <v>0</v>
      </c>
      <c r="AC186" s="17">
        <f ca="1">IF($A186=0,0,SUMIF('Week 1 Roster'!$AZ:$AZ,$B186,'Week 1 Roster'!$AM:$AM))</f>
        <v>0</v>
      </c>
      <c r="AD186" s="17">
        <f ca="1">IF($A186=0,0,SUMIF('Week 1 Roster'!$AZ:$AZ,$B186,'Week 1 Roster'!$AO:$AO))</f>
        <v>0</v>
      </c>
      <c r="AE186" s="38">
        <f ca="1">IF($A186=0,0,SUMIF('Week 1 Roster'!$AZ:$AZ,$B186,'Week 1 Roster'!$AP:$AP))</f>
        <v>0</v>
      </c>
      <c r="AF186" s="17">
        <f ca="1">IF($A186=0,0,SUMIF('Week 1 Roster'!$AZ:$AZ,$B186,'Week 1 Roster'!$AQ:$AQ))</f>
        <v>0</v>
      </c>
      <c r="AG186" s="17">
        <f ca="1">IF($A186=0,0,SUMIF('Week 1 Roster'!$AZ:$AZ,$B186,'Week 1 Roster'!$AR:$AR))</f>
        <v>0</v>
      </c>
      <c r="AH186" s="17">
        <f ca="1">IF($A186=0,0,SUMIF('Week 1 Roster'!$AZ:$AZ,$B186,'Week 1 Roster'!$AS:$AS))</f>
        <v>0</v>
      </c>
      <c r="AI186" s="17">
        <f t="shared" ca="1" si="52"/>
        <v>0</v>
      </c>
      <c r="AK186" s="17">
        <f ca="1">IF($A186=0,0,SUMIF('Week 2 Roster'!$AZ:$AZ,$B186,'Week 2 Roster'!$AE:$AE))</f>
        <v>0</v>
      </c>
      <c r="AL186" s="17">
        <f ca="1">IF($A186=0,0,SUMIF('Week 2 Roster'!$AZ:$AZ,$B186,'Week 2 Roster'!$AG:$AG))</f>
        <v>0</v>
      </c>
      <c r="AM186" s="17">
        <f ca="1">IF($A186=0,0,SUMIF('Week 2 Roster'!$AZ:$AZ,$B186,'Week 2 Roster'!$AI:$AI))</f>
        <v>0</v>
      </c>
      <c r="AN186" s="17">
        <f ca="1">IF($A186=0,0,SUMIF('Week 2 Roster'!$AZ:$AZ,$B186,'Week 2 Roster'!$AK:$AK))</f>
        <v>0</v>
      </c>
      <c r="AO186" s="17">
        <f ca="1">IF($A186=0,0,SUMIF('Week 2 Roster'!$AZ:$AZ,$B186,'Week 2 Roster'!$AM:$AM))</f>
        <v>0</v>
      </c>
      <c r="AP186" s="17">
        <f ca="1">IF($A186=0,0,SUMIF('Week 2 Roster'!$AZ:$AZ,$B186,'Week 2 Roster'!$AO:$AO))</f>
        <v>0</v>
      </c>
      <c r="AQ186" s="38">
        <f ca="1">IF($A186=0,0,SUMIF('Week 2 Roster'!$AZ:$AZ,$B186,'Week 2 Roster'!$AP:$AP))</f>
        <v>0</v>
      </c>
      <c r="AR186" s="17">
        <f ca="1">IF($A186=0,0,SUMIF('Week 2 Roster'!$AZ:$AZ,$B186,'Week 2 Roster'!$AQ:$AQ))</f>
        <v>0</v>
      </c>
      <c r="AS186" s="17">
        <f ca="1">IF($A186=0,0,SUMIF('Week 2 Roster'!$AZ:$AZ,$B186,'Week 2 Roster'!$AR:$AR))</f>
        <v>0</v>
      </c>
      <c r="AT186" s="17">
        <f ca="1">IF($A186=0,0,SUMIF('Week 2 Roster'!$AZ:$AZ,$B186,'Week 2 Roster'!$AS:$AS))</f>
        <v>0</v>
      </c>
      <c r="AU186" s="17">
        <f t="shared" ca="1" si="53"/>
        <v>0</v>
      </c>
      <c r="AV186" s="17"/>
    </row>
    <row r="187" spans="1:48">
      <c r="A187" s="16" cm="1">
        <f t="array" aca="1" ref="A187" ca="1">_xlfn.NUMBERVALUE(INDIRECT(TEXT(MIN(IF(($AW$2:$AX$300&lt;&gt;"")*(COUNTIF($B$1:B186,$AW$2:$AX$300)=0),ROW($2:$300)*100+COLUMN($AW:$AX),7^8)),"R0C00"),)&amp;"")</f>
        <v>0</v>
      </c>
      <c r="B187" s="28" t="str">
        <f t="shared" ca="1" si="39"/>
        <v/>
      </c>
      <c r="C187" s="28" t="str">
        <f ca="1">IF($A187=0,"",VLOOKUP($B187,Employees!$A:$G,2,FALSE))</f>
        <v/>
      </c>
      <c r="D187" s="28" t="str">
        <f ca="1">IF($A187=0,"",VLOOKUP($B187,Employees!$A:$G,3,FALSE))</f>
        <v/>
      </c>
      <c r="E187" s="26" t="str">
        <f ca="1">IF($A187=0,"",VLOOKUP($B187,Employees!$A:$G,5,FALSE))</f>
        <v/>
      </c>
      <c r="F187" s="13" t="str">
        <f ca="1">IF($E187="","",ROUNDDOWN(YEARFRAC($E187, 'Week 1 Roster'!$D$1-1, 1), 0))</f>
        <v/>
      </c>
      <c r="G187" s="13" t="str">
        <f ca="1">IF($E187="","",ROUNDDOWN(YEARFRAC($E187, 'Week 1 Roster'!$D$1+14, 1), 0))</f>
        <v/>
      </c>
      <c r="H187" s="13" t="str">
        <f t="shared" ca="1" si="40"/>
        <v/>
      </c>
      <c r="I187" s="13" t="str">
        <f ca="1">IF($A187=0,"",VLOOKUP($B187,Employees!$A:$G,6,FALSE))</f>
        <v/>
      </c>
      <c r="J187" s="13" t="str">
        <f ca="1">IF($A187=0,"",VLOOKUP($B187,Employees!$A:$G,7,FALSE))</f>
        <v/>
      </c>
      <c r="K187" s="13" t="str">
        <f ca="1">IF($A187=0,"",IF(ISNA(VLOOKUP(A187,'Week 1 Roster'!A:C,2,0)),VLOOKUP(A187,'Week 2 Roster'!A:C,2,0),VLOOKUP(A187,'Week 1 Roster'!A:C,2,0)))</f>
        <v/>
      </c>
      <c r="L187" s="13" t="str">
        <f ca="1">IF($A187=0,"",VLOOKUP(K187,Stores!A:B,2,0))</f>
        <v/>
      </c>
      <c r="M187" s="14">
        <f t="shared" ca="1" si="41"/>
        <v>0</v>
      </c>
      <c r="N187" s="14">
        <f t="shared" ca="1" si="42"/>
        <v>0</v>
      </c>
      <c r="O187" s="14">
        <f t="shared" ca="1" si="43"/>
        <v>0</v>
      </c>
      <c r="P187" s="14">
        <f t="shared" ca="1" si="44"/>
        <v>0</v>
      </c>
      <c r="Q187" s="14">
        <f t="shared" ca="1" si="45"/>
        <v>0</v>
      </c>
      <c r="R187" s="14">
        <f t="shared" ca="1" si="46"/>
        <v>0</v>
      </c>
      <c r="S187" s="28">
        <f t="shared" ca="1" si="47"/>
        <v>0</v>
      </c>
      <c r="T187" s="14">
        <f t="shared" ca="1" si="48"/>
        <v>0</v>
      </c>
      <c r="U187" s="14">
        <f t="shared" ca="1" si="49"/>
        <v>0</v>
      </c>
      <c r="V187" s="14">
        <f t="shared" ca="1" si="50"/>
        <v>0</v>
      </c>
      <c r="W187" s="14">
        <f t="shared" ca="1" si="51"/>
        <v>0</v>
      </c>
      <c r="Y187" s="17">
        <f ca="1">IF($A187=0,0,SUMIF('Week 1 Roster'!$AZ:$AZ,$B187,'Week 1 Roster'!$AE:$AE))</f>
        <v>0</v>
      </c>
      <c r="Z187" s="17">
        <f ca="1">IF($A187=0,0,SUMIF('Week 1 Roster'!$AZ:$AZ,$B187,'Week 1 Roster'!$AG:$AG))</f>
        <v>0</v>
      </c>
      <c r="AA187" s="17">
        <f ca="1">IF($A187=0,0,SUMIF('Week 1 Roster'!$AZ:$AZ,$B187,'Week 1 Roster'!$AI:$AI))</f>
        <v>0</v>
      </c>
      <c r="AB187" s="17">
        <f ca="1">IF($A187=0,0,SUMIF('Week 1 Roster'!$AZ:$AZ,$B187,'Week 1 Roster'!$AK:$AK))</f>
        <v>0</v>
      </c>
      <c r="AC187" s="17">
        <f ca="1">IF($A187=0,0,SUMIF('Week 1 Roster'!$AZ:$AZ,$B187,'Week 1 Roster'!$AM:$AM))</f>
        <v>0</v>
      </c>
      <c r="AD187" s="17">
        <f ca="1">IF($A187=0,0,SUMIF('Week 1 Roster'!$AZ:$AZ,$B187,'Week 1 Roster'!$AO:$AO))</f>
        <v>0</v>
      </c>
      <c r="AE187" s="38">
        <f ca="1">IF($A187=0,0,SUMIF('Week 1 Roster'!$AZ:$AZ,$B187,'Week 1 Roster'!$AP:$AP))</f>
        <v>0</v>
      </c>
      <c r="AF187" s="17">
        <f ca="1">IF($A187=0,0,SUMIF('Week 1 Roster'!$AZ:$AZ,$B187,'Week 1 Roster'!$AQ:$AQ))</f>
        <v>0</v>
      </c>
      <c r="AG187" s="17">
        <f ca="1">IF($A187=0,0,SUMIF('Week 1 Roster'!$AZ:$AZ,$B187,'Week 1 Roster'!$AR:$AR))</f>
        <v>0</v>
      </c>
      <c r="AH187" s="17">
        <f ca="1">IF($A187=0,0,SUMIF('Week 1 Roster'!$AZ:$AZ,$B187,'Week 1 Roster'!$AS:$AS))</f>
        <v>0</v>
      </c>
      <c r="AI187" s="17">
        <f t="shared" ca="1" si="52"/>
        <v>0</v>
      </c>
      <c r="AK187" s="17">
        <f ca="1">IF($A187=0,0,SUMIF('Week 2 Roster'!$AZ:$AZ,$B187,'Week 2 Roster'!$AE:$AE))</f>
        <v>0</v>
      </c>
      <c r="AL187" s="17">
        <f ca="1">IF($A187=0,0,SUMIF('Week 2 Roster'!$AZ:$AZ,$B187,'Week 2 Roster'!$AG:$AG))</f>
        <v>0</v>
      </c>
      <c r="AM187" s="17">
        <f ca="1">IF($A187=0,0,SUMIF('Week 2 Roster'!$AZ:$AZ,$B187,'Week 2 Roster'!$AI:$AI))</f>
        <v>0</v>
      </c>
      <c r="AN187" s="17">
        <f ca="1">IF($A187=0,0,SUMIF('Week 2 Roster'!$AZ:$AZ,$B187,'Week 2 Roster'!$AK:$AK))</f>
        <v>0</v>
      </c>
      <c r="AO187" s="17">
        <f ca="1">IF($A187=0,0,SUMIF('Week 2 Roster'!$AZ:$AZ,$B187,'Week 2 Roster'!$AM:$AM))</f>
        <v>0</v>
      </c>
      <c r="AP187" s="17">
        <f ca="1">IF($A187=0,0,SUMIF('Week 2 Roster'!$AZ:$AZ,$B187,'Week 2 Roster'!$AO:$AO))</f>
        <v>0</v>
      </c>
      <c r="AQ187" s="38">
        <f ca="1">IF($A187=0,0,SUMIF('Week 2 Roster'!$AZ:$AZ,$B187,'Week 2 Roster'!$AP:$AP))</f>
        <v>0</v>
      </c>
      <c r="AR187" s="17">
        <f ca="1">IF($A187=0,0,SUMIF('Week 2 Roster'!$AZ:$AZ,$B187,'Week 2 Roster'!$AQ:$AQ))</f>
        <v>0</v>
      </c>
      <c r="AS187" s="17">
        <f ca="1">IF($A187=0,0,SUMIF('Week 2 Roster'!$AZ:$AZ,$B187,'Week 2 Roster'!$AR:$AR))</f>
        <v>0</v>
      </c>
      <c r="AT187" s="17">
        <f ca="1">IF($A187=0,0,SUMIF('Week 2 Roster'!$AZ:$AZ,$B187,'Week 2 Roster'!$AS:$AS))</f>
        <v>0</v>
      </c>
      <c r="AU187" s="17">
        <f t="shared" ca="1" si="53"/>
        <v>0</v>
      </c>
      <c r="AV187" s="17"/>
    </row>
    <row r="188" spans="1:48">
      <c r="A188" s="16" cm="1">
        <f t="array" aca="1" ref="A188" ca="1">_xlfn.NUMBERVALUE(INDIRECT(TEXT(MIN(IF(($AW$2:$AX$300&lt;&gt;"")*(COUNTIF($B$1:B187,$AW$2:$AX$300)=0),ROW($2:$300)*100+COLUMN($AW:$AX),7^8)),"R0C00"),)&amp;"")</f>
        <v>0</v>
      </c>
      <c r="B188" s="28" t="str">
        <f t="shared" ca="1" si="39"/>
        <v/>
      </c>
      <c r="C188" s="28" t="str">
        <f ca="1">IF($A188=0,"",VLOOKUP($B188,Employees!$A:$G,2,FALSE))</f>
        <v/>
      </c>
      <c r="D188" s="28" t="str">
        <f ca="1">IF($A188=0,"",VLOOKUP($B188,Employees!$A:$G,3,FALSE))</f>
        <v/>
      </c>
      <c r="E188" s="26" t="str">
        <f ca="1">IF($A188=0,"",VLOOKUP($B188,Employees!$A:$G,5,FALSE))</f>
        <v/>
      </c>
      <c r="F188" s="13" t="str">
        <f ca="1">IF($E188="","",ROUNDDOWN(YEARFRAC($E188, 'Week 1 Roster'!$D$1-1, 1), 0))</f>
        <v/>
      </c>
      <c r="G188" s="13" t="str">
        <f ca="1">IF($E188="","",ROUNDDOWN(YEARFRAC($E188, 'Week 1 Roster'!$D$1+14, 1), 0))</f>
        <v/>
      </c>
      <c r="H188" s="13" t="str">
        <f t="shared" ca="1" si="40"/>
        <v/>
      </c>
      <c r="I188" s="13" t="str">
        <f ca="1">IF($A188=0,"",VLOOKUP($B188,Employees!$A:$G,6,FALSE))</f>
        <v/>
      </c>
      <c r="J188" s="13" t="str">
        <f ca="1">IF($A188=0,"",VLOOKUP($B188,Employees!$A:$G,7,FALSE))</f>
        <v/>
      </c>
      <c r="K188" s="13" t="str">
        <f ca="1">IF($A188=0,"",IF(ISNA(VLOOKUP(A188,'Week 1 Roster'!A:C,2,0)),VLOOKUP(A188,'Week 2 Roster'!A:C,2,0),VLOOKUP(A188,'Week 1 Roster'!A:C,2,0)))</f>
        <v/>
      </c>
      <c r="L188" s="13" t="str">
        <f ca="1">IF($A188=0,"",VLOOKUP(K188,Stores!A:B,2,0))</f>
        <v/>
      </c>
      <c r="M188" s="14">
        <f t="shared" ca="1" si="41"/>
        <v>0</v>
      </c>
      <c r="N188" s="14">
        <f t="shared" ca="1" si="42"/>
        <v>0</v>
      </c>
      <c r="O188" s="14">
        <f t="shared" ca="1" si="43"/>
        <v>0</v>
      </c>
      <c r="P188" s="14">
        <f t="shared" ca="1" si="44"/>
        <v>0</v>
      </c>
      <c r="Q188" s="14">
        <f t="shared" ca="1" si="45"/>
        <v>0</v>
      </c>
      <c r="R188" s="14">
        <f t="shared" ca="1" si="46"/>
        <v>0</v>
      </c>
      <c r="S188" s="28">
        <f t="shared" ca="1" si="47"/>
        <v>0</v>
      </c>
      <c r="T188" s="14">
        <f t="shared" ca="1" si="48"/>
        <v>0</v>
      </c>
      <c r="U188" s="14">
        <f t="shared" ca="1" si="49"/>
        <v>0</v>
      </c>
      <c r="V188" s="14">
        <f t="shared" ca="1" si="50"/>
        <v>0</v>
      </c>
      <c r="W188" s="14">
        <f t="shared" ca="1" si="51"/>
        <v>0</v>
      </c>
      <c r="Y188" s="17">
        <f ca="1">IF($A188=0,0,SUMIF('Week 1 Roster'!$AZ:$AZ,$B188,'Week 1 Roster'!$AE:$AE))</f>
        <v>0</v>
      </c>
      <c r="Z188" s="17">
        <f ca="1">IF($A188=0,0,SUMIF('Week 1 Roster'!$AZ:$AZ,$B188,'Week 1 Roster'!$AG:$AG))</f>
        <v>0</v>
      </c>
      <c r="AA188" s="17">
        <f ca="1">IF($A188=0,0,SUMIF('Week 1 Roster'!$AZ:$AZ,$B188,'Week 1 Roster'!$AI:$AI))</f>
        <v>0</v>
      </c>
      <c r="AB188" s="17">
        <f ca="1">IF($A188=0,0,SUMIF('Week 1 Roster'!$AZ:$AZ,$B188,'Week 1 Roster'!$AK:$AK))</f>
        <v>0</v>
      </c>
      <c r="AC188" s="17">
        <f ca="1">IF($A188=0,0,SUMIF('Week 1 Roster'!$AZ:$AZ,$B188,'Week 1 Roster'!$AM:$AM))</f>
        <v>0</v>
      </c>
      <c r="AD188" s="17">
        <f ca="1">IF($A188=0,0,SUMIF('Week 1 Roster'!$AZ:$AZ,$B188,'Week 1 Roster'!$AO:$AO))</f>
        <v>0</v>
      </c>
      <c r="AE188" s="38">
        <f ca="1">IF($A188=0,0,SUMIF('Week 1 Roster'!$AZ:$AZ,$B188,'Week 1 Roster'!$AP:$AP))</f>
        <v>0</v>
      </c>
      <c r="AF188" s="17">
        <f ca="1">IF($A188=0,0,SUMIF('Week 1 Roster'!$AZ:$AZ,$B188,'Week 1 Roster'!$AQ:$AQ))</f>
        <v>0</v>
      </c>
      <c r="AG188" s="17">
        <f ca="1">IF($A188=0,0,SUMIF('Week 1 Roster'!$AZ:$AZ,$B188,'Week 1 Roster'!$AR:$AR))</f>
        <v>0</v>
      </c>
      <c r="AH188" s="17">
        <f ca="1">IF($A188=0,0,SUMIF('Week 1 Roster'!$AZ:$AZ,$B188,'Week 1 Roster'!$AS:$AS))</f>
        <v>0</v>
      </c>
      <c r="AI188" s="17">
        <f t="shared" ca="1" si="52"/>
        <v>0</v>
      </c>
      <c r="AK188" s="17">
        <f ca="1">IF($A188=0,0,SUMIF('Week 2 Roster'!$AZ:$AZ,$B188,'Week 2 Roster'!$AE:$AE))</f>
        <v>0</v>
      </c>
      <c r="AL188" s="17">
        <f ca="1">IF($A188=0,0,SUMIF('Week 2 Roster'!$AZ:$AZ,$B188,'Week 2 Roster'!$AG:$AG))</f>
        <v>0</v>
      </c>
      <c r="AM188" s="17">
        <f ca="1">IF($A188=0,0,SUMIF('Week 2 Roster'!$AZ:$AZ,$B188,'Week 2 Roster'!$AI:$AI))</f>
        <v>0</v>
      </c>
      <c r="AN188" s="17">
        <f ca="1">IF($A188=0,0,SUMIF('Week 2 Roster'!$AZ:$AZ,$B188,'Week 2 Roster'!$AK:$AK))</f>
        <v>0</v>
      </c>
      <c r="AO188" s="17">
        <f ca="1">IF($A188=0,0,SUMIF('Week 2 Roster'!$AZ:$AZ,$B188,'Week 2 Roster'!$AM:$AM))</f>
        <v>0</v>
      </c>
      <c r="AP188" s="17">
        <f ca="1">IF($A188=0,0,SUMIF('Week 2 Roster'!$AZ:$AZ,$B188,'Week 2 Roster'!$AO:$AO))</f>
        <v>0</v>
      </c>
      <c r="AQ188" s="38">
        <f ca="1">IF($A188=0,0,SUMIF('Week 2 Roster'!$AZ:$AZ,$B188,'Week 2 Roster'!$AP:$AP))</f>
        <v>0</v>
      </c>
      <c r="AR188" s="17">
        <f ca="1">IF($A188=0,0,SUMIF('Week 2 Roster'!$AZ:$AZ,$B188,'Week 2 Roster'!$AQ:$AQ))</f>
        <v>0</v>
      </c>
      <c r="AS188" s="17">
        <f ca="1">IF($A188=0,0,SUMIF('Week 2 Roster'!$AZ:$AZ,$B188,'Week 2 Roster'!$AR:$AR))</f>
        <v>0</v>
      </c>
      <c r="AT188" s="17">
        <f ca="1">IF($A188=0,0,SUMIF('Week 2 Roster'!$AZ:$AZ,$B188,'Week 2 Roster'!$AS:$AS))</f>
        <v>0</v>
      </c>
      <c r="AU188" s="17">
        <f t="shared" ca="1" si="53"/>
        <v>0</v>
      </c>
      <c r="AV188" s="17"/>
    </row>
    <row r="189" spans="1:48">
      <c r="A189" s="16" cm="1">
        <f t="array" aca="1" ref="A189" ca="1">_xlfn.NUMBERVALUE(INDIRECT(TEXT(MIN(IF(($AW$2:$AX$300&lt;&gt;"")*(COUNTIF($B$1:B188,$AW$2:$AX$300)=0),ROW($2:$300)*100+COLUMN($AW:$AX),7^8)),"R0C00"),)&amp;"")</f>
        <v>0</v>
      </c>
      <c r="B189" s="28" t="str">
        <f t="shared" ca="1" si="39"/>
        <v/>
      </c>
      <c r="C189" s="28" t="str">
        <f ca="1">IF($A189=0,"",VLOOKUP($B189,Employees!$A:$G,2,FALSE))</f>
        <v/>
      </c>
      <c r="D189" s="28" t="str">
        <f ca="1">IF($A189=0,"",VLOOKUP($B189,Employees!$A:$G,3,FALSE))</f>
        <v/>
      </c>
      <c r="E189" s="26" t="str">
        <f ca="1">IF($A189=0,"",VLOOKUP($B189,Employees!$A:$G,5,FALSE))</f>
        <v/>
      </c>
      <c r="F189" s="13" t="str">
        <f ca="1">IF($E189="","",ROUNDDOWN(YEARFRAC($E189, 'Week 1 Roster'!$D$1-1, 1), 0))</f>
        <v/>
      </c>
      <c r="G189" s="13" t="str">
        <f ca="1">IF($E189="","",ROUNDDOWN(YEARFRAC($E189, 'Week 1 Roster'!$D$1+14, 1), 0))</f>
        <v/>
      </c>
      <c r="H189" s="13" t="str">
        <f t="shared" ca="1" si="40"/>
        <v/>
      </c>
      <c r="I189" s="13" t="str">
        <f ca="1">IF($A189=0,"",VLOOKUP($B189,Employees!$A:$G,6,FALSE))</f>
        <v/>
      </c>
      <c r="J189" s="13" t="str">
        <f ca="1">IF($A189=0,"",VLOOKUP($B189,Employees!$A:$G,7,FALSE))</f>
        <v/>
      </c>
      <c r="K189" s="13" t="str">
        <f ca="1">IF($A189=0,"",IF(ISNA(VLOOKUP(A189,'Week 1 Roster'!A:C,2,0)),VLOOKUP(A189,'Week 2 Roster'!A:C,2,0),VLOOKUP(A189,'Week 1 Roster'!A:C,2,0)))</f>
        <v/>
      </c>
      <c r="L189" s="13" t="str">
        <f ca="1">IF($A189=0,"",VLOOKUP(K189,Stores!A:B,2,0))</f>
        <v/>
      </c>
      <c r="M189" s="14">
        <f t="shared" ca="1" si="41"/>
        <v>0</v>
      </c>
      <c r="N189" s="14">
        <f t="shared" ca="1" si="42"/>
        <v>0</v>
      </c>
      <c r="O189" s="14">
        <f t="shared" ca="1" si="43"/>
        <v>0</v>
      </c>
      <c r="P189" s="14">
        <f t="shared" ca="1" si="44"/>
        <v>0</v>
      </c>
      <c r="Q189" s="14">
        <f t="shared" ca="1" si="45"/>
        <v>0</v>
      </c>
      <c r="R189" s="14">
        <f t="shared" ca="1" si="46"/>
        <v>0</v>
      </c>
      <c r="S189" s="28">
        <f t="shared" ca="1" si="47"/>
        <v>0</v>
      </c>
      <c r="T189" s="14">
        <f t="shared" ca="1" si="48"/>
        <v>0</v>
      </c>
      <c r="U189" s="14">
        <f t="shared" ca="1" si="49"/>
        <v>0</v>
      </c>
      <c r="V189" s="14">
        <f t="shared" ca="1" si="50"/>
        <v>0</v>
      </c>
      <c r="W189" s="14">
        <f t="shared" ca="1" si="51"/>
        <v>0</v>
      </c>
      <c r="Y189" s="17">
        <f ca="1">IF($A189=0,0,SUMIF('Week 1 Roster'!$AZ:$AZ,$B189,'Week 1 Roster'!$AE:$AE))</f>
        <v>0</v>
      </c>
      <c r="Z189" s="17">
        <f ca="1">IF($A189=0,0,SUMIF('Week 1 Roster'!$AZ:$AZ,$B189,'Week 1 Roster'!$AG:$AG))</f>
        <v>0</v>
      </c>
      <c r="AA189" s="17">
        <f ca="1">IF($A189=0,0,SUMIF('Week 1 Roster'!$AZ:$AZ,$B189,'Week 1 Roster'!$AI:$AI))</f>
        <v>0</v>
      </c>
      <c r="AB189" s="17">
        <f ca="1">IF($A189=0,0,SUMIF('Week 1 Roster'!$AZ:$AZ,$B189,'Week 1 Roster'!$AK:$AK))</f>
        <v>0</v>
      </c>
      <c r="AC189" s="17">
        <f ca="1">IF($A189=0,0,SUMIF('Week 1 Roster'!$AZ:$AZ,$B189,'Week 1 Roster'!$AM:$AM))</f>
        <v>0</v>
      </c>
      <c r="AD189" s="17">
        <f ca="1">IF($A189=0,0,SUMIF('Week 1 Roster'!$AZ:$AZ,$B189,'Week 1 Roster'!$AO:$AO))</f>
        <v>0</v>
      </c>
      <c r="AE189" s="38">
        <f ca="1">IF($A189=0,0,SUMIF('Week 1 Roster'!$AZ:$AZ,$B189,'Week 1 Roster'!$AP:$AP))</f>
        <v>0</v>
      </c>
      <c r="AF189" s="17">
        <f ca="1">IF($A189=0,0,SUMIF('Week 1 Roster'!$AZ:$AZ,$B189,'Week 1 Roster'!$AQ:$AQ))</f>
        <v>0</v>
      </c>
      <c r="AG189" s="17">
        <f ca="1">IF($A189=0,0,SUMIF('Week 1 Roster'!$AZ:$AZ,$B189,'Week 1 Roster'!$AR:$AR))</f>
        <v>0</v>
      </c>
      <c r="AH189" s="17">
        <f ca="1">IF($A189=0,0,SUMIF('Week 1 Roster'!$AZ:$AZ,$B189,'Week 1 Roster'!$AS:$AS))</f>
        <v>0</v>
      </c>
      <c r="AI189" s="17">
        <f t="shared" ca="1" si="52"/>
        <v>0</v>
      </c>
      <c r="AK189" s="17">
        <f ca="1">IF($A189=0,0,SUMIF('Week 2 Roster'!$AZ:$AZ,$B189,'Week 2 Roster'!$AE:$AE))</f>
        <v>0</v>
      </c>
      <c r="AL189" s="17">
        <f ca="1">IF($A189=0,0,SUMIF('Week 2 Roster'!$AZ:$AZ,$B189,'Week 2 Roster'!$AG:$AG))</f>
        <v>0</v>
      </c>
      <c r="AM189" s="17">
        <f ca="1">IF($A189=0,0,SUMIF('Week 2 Roster'!$AZ:$AZ,$B189,'Week 2 Roster'!$AI:$AI))</f>
        <v>0</v>
      </c>
      <c r="AN189" s="17">
        <f ca="1">IF($A189=0,0,SUMIF('Week 2 Roster'!$AZ:$AZ,$B189,'Week 2 Roster'!$AK:$AK))</f>
        <v>0</v>
      </c>
      <c r="AO189" s="17">
        <f ca="1">IF($A189=0,0,SUMIF('Week 2 Roster'!$AZ:$AZ,$B189,'Week 2 Roster'!$AM:$AM))</f>
        <v>0</v>
      </c>
      <c r="AP189" s="17">
        <f ca="1">IF($A189=0,0,SUMIF('Week 2 Roster'!$AZ:$AZ,$B189,'Week 2 Roster'!$AO:$AO))</f>
        <v>0</v>
      </c>
      <c r="AQ189" s="38">
        <f ca="1">IF($A189=0,0,SUMIF('Week 2 Roster'!$AZ:$AZ,$B189,'Week 2 Roster'!$AP:$AP))</f>
        <v>0</v>
      </c>
      <c r="AR189" s="17">
        <f ca="1">IF($A189=0,0,SUMIF('Week 2 Roster'!$AZ:$AZ,$B189,'Week 2 Roster'!$AQ:$AQ))</f>
        <v>0</v>
      </c>
      <c r="AS189" s="17">
        <f ca="1">IF($A189=0,0,SUMIF('Week 2 Roster'!$AZ:$AZ,$B189,'Week 2 Roster'!$AR:$AR))</f>
        <v>0</v>
      </c>
      <c r="AT189" s="17">
        <f ca="1">IF($A189=0,0,SUMIF('Week 2 Roster'!$AZ:$AZ,$B189,'Week 2 Roster'!$AS:$AS))</f>
        <v>0</v>
      </c>
      <c r="AU189" s="17">
        <f t="shared" ca="1" si="53"/>
        <v>0</v>
      </c>
      <c r="AV189" s="17"/>
    </row>
    <row r="190" spans="1:48">
      <c r="A190" s="16" cm="1">
        <f t="array" aca="1" ref="A190" ca="1">_xlfn.NUMBERVALUE(INDIRECT(TEXT(MIN(IF(($AW$2:$AX$300&lt;&gt;"")*(COUNTIF($B$1:B189,$AW$2:$AX$300)=0),ROW($2:$300)*100+COLUMN($AW:$AX),7^8)),"R0C00"),)&amp;"")</f>
        <v>0</v>
      </c>
      <c r="B190" s="28" t="str">
        <f t="shared" ca="1" si="39"/>
        <v/>
      </c>
      <c r="C190" s="28" t="str">
        <f ca="1">IF($A190=0,"",VLOOKUP($B190,Employees!$A:$G,2,FALSE))</f>
        <v/>
      </c>
      <c r="D190" s="28" t="str">
        <f ca="1">IF($A190=0,"",VLOOKUP($B190,Employees!$A:$G,3,FALSE))</f>
        <v/>
      </c>
      <c r="E190" s="26" t="str">
        <f ca="1">IF($A190=0,"",VLOOKUP($B190,Employees!$A:$G,5,FALSE))</f>
        <v/>
      </c>
      <c r="F190" s="13" t="str">
        <f ca="1">IF($E190="","",ROUNDDOWN(YEARFRAC($E190, 'Week 1 Roster'!$D$1-1, 1), 0))</f>
        <v/>
      </c>
      <c r="G190" s="13" t="str">
        <f ca="1">IF($E190="","",ROUNDDOWN(YEARFRAC($E190, 'Week 1 Roster'!$D$1+14, 1), 0))</f>
        <v/>
      </c>
      <c r="H190" s="13" t="str">
        <f t="shared" ca="1" si="40"/>
        <v/>
      </c>
      <c r="I190" s="13" t="str">
        <f ca="1">IF($A190=0,"",VLOOKUP($B190,Employees!$A:$G,6,FALSE))</f>
        <v/>
      </c>
      <c r="J190" s="13" t="str">
        <f ca="1">IF($A190=0,"",VLOOKUP($B190,Employees!$A:$G,7,FALSE))</f>
        <v/>
      </c>
      <c r="K190" s="13" t="str">
        <f ca="1">IF($A190=0,"",IF(ISNA(VLOOKUP(A190,'Week 1 Roster'!A:C,2,0)),VLOOKUP(A190,'Week 2 Roster'!A:C,2,0),VLOOKUP(A190,'Week 1 Roster'!A:C,2,0)))</f>
        <v/>
      </c>
      <c r="L190" s="13" t="str">
        <f ca="1">IF($A190=0,"",VLOOKUP(K190,Stores!A:B,2,0))</f>
        <v/>
      </c>
      <c r="M190" s="14">
        <f t="shared" ca="1" si="41"/>
        <v>0</v>
      </c>
      <c r="N190" s="14">
        <f t="shared" ca="1" si="42"/>
        <v>0</v>
      </c>
      <c r="O190" s="14">
        <f t="shared" ca="1" si="43"/>
        <v>0</v>
      </c>
      <c r="P190" s="14">
        <f t="shared" ca="1" si="44"/>
        <v>0</v>
      </c>
      <c r="Q190" s="14">
        <f t="shared" ca="1" si="45"/>
        <v>0</v>
      </c>
      <c r="R190" s="14">
        <f t="shared" ca="1" si="46"/>
        <v>0</v>
      </c>
      <c r="S190" s="28">
        <f t="shared" ca="1" si="47"/>
        <v>0</v>
      </c>
      <c r="T190" s="14">
        <f t="shared" ca="1" si="48"/>
        <v>0</v>
      </c>
      <c r="U190" s="14">
        <f t="shared" ca="1" si="49"/>
        <v>0</v>
      </c>
      <c r="V190" s="14">
        <f t="shared" ca="1" si="50"/>
        <v>0</v>
      </c>
      <c r="W190" s="14">
        <f t="shared" ca="1" si="51"/>
        <v>0</v>
      </c>
      <c r="Y190" s="17">
        <f ca="1">IF($A190=0,0,SUMIF('Week 1 Roster'!$AZ:$AZ,$B190,'Week 1 Roster'!$AE:$AE))</f>
        <v>0</v>
      </c>
      <c r="Z190" s="17">
        <f ca="1">IF($A190=0,0,SUMIF('Week 1 Roster'!$AZ:$AZ,$B190,'Week 1 Roster'!$AG:$AG))</f>
        <v>0</v>
      </c>
      <c r="AA190" s="17">
        <f ca="1">IF($A190=0,0,SUMIF('Week 1 Roster'!$AZ:$AZ,$B190,'Week 1 Roster'!$AI:$AI))</f>
        <v>0</v>
      </c>
      <c r="AB190" s="17">
        <f ca="1">IF($A190=0,0,SUMIF('Week 1 Roster'!$AZ:$AZ,$B190,'Week 1 Roster'!$AK:$AK))</f>
        <v>0</v>
      </c>
      <c r="AC190" s="17">
        <f ca="1">IF($A190=0,0,SUMIF('Week 1 Roster'!$AZ:$AZ,$B190,'Week 1 Roster'!$AM:$AM))</f>
        <v>0</v>
      </c>
      <c r="AD190" s="17">
        <f ca="1">IF($A190=0,0,SUMIF('Week 1 Roster'!$AZ:$AZ,$B190,'Week 1 Roster'!$AO:$AO))</f>
        <v>0</v>
      </c>
      <c r="AE190" s="38">
        <f ca="1">IF($A190=0,0,SUMIF('Week 1 Roster'!$AZ:$AZ,$B190,'Week 1 Roster'!$AP:$AP))</f>
        <v>0</v>
      </c>
      <c r="AF190" s="17">
        <f ca="1">IF($A190=0,0,SUMIF('Week 1 Roster'!$AZ:$AZ,$B190,'Week 1 Roster'!$AQ:$AQ))</f>
        <v>0</v>
      </c>
      <c r="AG190" s="17">
        <f ca="1">IF($A190=0,0,SUMIF('Week 1 Roster'!$AZ:$AZ,$B190,'Week 1 Roster'!$AR:$AR))</f>
        <v>0</v>
      </c>
      <c r="AH190" s="17">
        <f ca="1">IF($A190=0,0,SUMIF('Week 1 Roster'!$AZ:$AZ,$B190,'Week 1 Roster'!$AS:$AS))</f>
        <v>0</v>
      </c>
      <c r="AI190" s="17">
        <f t="shared" ca="1" si="52"/>
        <v>0</v>
      </c>
      <c r="AK190" s="17">
        <f ca="1">IF($A190=0,0,SUMIF('Week 2 Roster'!$AZ:$AZ,$B190,'Week 2 Roster'!$AE:$AE))</f>
        <v>0</v>
      </c>
      <c r="AL190" s="17">
        <f ca="1">IF($A190=0,0,SUMIF('Week 2 Roster'!$AZ:$AZ,$B190,'Week 2 Roster'!$AG:$AG))</f>
        <v>0</v>
      </c>
      <c r="AM190" s="17">
        <f ca="1">IF($A190=0,0,SUMIF('Week 2 Roster'!$AZ:$AZ,$B190,'Week 2 Roster'!$AI:$AI))</f>
        <v>0</v>
      </c>
      <c r="AN190" s="17">
        <f ca="1">IF($A190=0,0,SUMIF('Week 2 Roster'!$AZ:$AZ,$B190,'Week 2 Roster'!$AK:$AK))</f>
        <v>0</v>
      </c>
      <c r="AO190" s="17">
        <f ca="1">IF($A190=0,0,SUMIF('Week 2 Roster'!$AZ:$AZ,$B190,'Week 2 Roster'!$AM:$AM))</f>
        <v>0</v>
      </c>
      <c r="AP190" s="17">
        <f ca="1">IF($A190=0,0,SUMIF('Week 2 Roster'!$AZ:$AZ,$B190,'Week 2 Roster'!$AO:$AO))</f>
        <v>0</v>
      </c>
      <c r="AQ190" s="38">
        <f ca="1">IF($A190=0,0,SUMIF('Week 2 Roster'!$AZ:$AZ,$B190,'Week 2 Roster'!$AP:$AP))</f>
        <v>0</v>
      </c>
      <c r="AR190" s="17">
        <f ca="1">IF($A190=0,0,SUMIF('Week 2 Roster'!$AZ:$AZ,$B190,'Week 2 Roster'!$AQ:$AQ))</f>
        <v>0</v>
      </c>
      <c r="AS190" s="17">
        <f ca="1">IF($A190=0,0,SUMIF('Week 2 Roster'!$AZ:$AZ,$B190,'Week 2 Roster'!$AR:$AR))</f>
        <v>0</v>
      </c>
      <c r="AT190" s="17">
        <f ca="1">IF($A190=0,0,SUMIF('Week 2 Roster'!$AZ:$AZ,$B190,'Week 2 Roster'!$AS:$AS))</f>
        <v>0</v>
      </c>
      <c r="AU190" s="17">
        <f t="shared" ca="1" si="53"/>
        <v>0</v>
      </c>
      <c r="AV190" s="17"/>
    </row>
    <row r="191" spans="1:48">
      <c r="A191" s="16" cm="1">
        <f t="array" aca="1" ref="A191" ca="1">_xlfn.NUMBERVALUE(INDIRECT(TEXT(MIN(IF(($AW$2:$AX$300&lt;&gt;"")*(COUNTIF($B$1:B190,$AW$2:$AX$300)=0),ROW($2:$300)*100+COLUMN($AW:$AX),7^8)),"R0C00"),)&amp;"")</f>
        <v>0</v>
      </c>
      <c r="B191" s="28" t="str">
        <f t="shared" ca="1" si="39"/>
        <v/>
      </c>
      <c r="C191" s="28" t="str">
        <f ca="1">IF($A191=0,"",VLOOKUP($B191,Employees!$A:$G,2,FALSE))</f>
        <v/>
      </c>
      <c r="D191" s="28" t="str">
        <f ca="1">IF($A191=0,"",VLOOKUP($B191,Employees!$A:$G,3,FALSE))</f>
        <v/>
      </c>
      <c r="E191" s="26" t="str">
        <f ca="1">IF($A191=0,"",VLOOKUP($B191,Employees!$A:$G,5,FALSE))</f>
        <v/>
      </c>
      <c r="F191" s="13" t="str">
        <f ca="1">IF($E191="","",ROUNDDOWN(YEARFRAC($E191, 'Week 1 Roster'!$D$1-1, 1), 0))</f>
        <v/>
      </c>
      <c r="G191" s="13" t="str">
        <f ca="1">IF($E191="","",ROUNDDOWN(YEARFRAC($E191, 'Week 1 Roster'!$D$1+14, 1), 0))</f>
        <v/>
      </c>
      <c r="H191" s="13" t="str">
        <f t="shared" ca="1" si="40"/>
        <v/>
      </c>
      <c r="I191" s="13" t="str">
        <f ca="1">IF($A191=0,"",VLOOKUP($B191,Employees!$A:$G,6,FALSE))</f>
        <v/>
      </c>
      <c r="J191" s="13" t="str">
        <f ca="1">IF($A191=0,"",VLOOKUP($B191,Employees!$A:$G,7,FALSE))</f>
        <v/>
      </c>
      <c r="K191" s="13" t="str">
        <f ca="1">IF($A191=0,"",IF(ISNA(VLOOKUP(A191,'Week 1 Roster'!A:C,2,0)),VLOOKUP(A191,'Week 2 Roster'!A:C,2,0),VLOOKUP(A191,'Week 1 Roster'!A:C,2,0)))</f>
        <v/>
      </c>
      <c r="L191" s="13" t="str">
        <f ca="1">IF($A191=0,"",VLOOKUP(K191,Stores!A:B,2,0))</f>
        <v/>
      </c>
      <c r="M191" s="14">
        <f t="shared" ca="1" si="41"/>
        <v>0</v>
      </c>
      <c r="N191" s="14">
        <f t="shared" ca="1" si="42"/>
        <v>0</v>
      </c>
      <c r="O191" s="14">
        <f t="shared" ca="1" si="43"/>
        <v>0</v>
      </c>
      <c r="P191" s="14">
        <f t="shared" ca="1" si="44"/>
        <v>0</v>
      </c>
      <c r="Q191" s="14">
        <f t="shared" ca="1" si="45"/>
        <v>0</v>
      </c>
      <c r="R191" s="14">
        <f t="shared" ca="1" si="46"/>
        <v>0</v>
      </c>
      <c r="S191" s="28">
        <f t="shared" ca="1" si="47"/>
        <v>0</v>
      </c>
      <c r="T191" s="14">
        <f t="shared" ca="1" si="48"/>
        <v>0</v>
      </c>
      <c r="U191" s="14">
        <f t="shared" ca="1" si="49"/>
        <v>0</v>
      </c>
      <c r="V191" s="14">
        <f t="shared" ca="1" si="50"/>
        <v>0</v>
      </c>
      <c r="W191" s="14">
        <f t="shared" ca="1" si="51"/>
        <v>0</v>
      </c>
      <c r="Y191" s="17">
        <f ca="1">IF($A191=0,0,SUMIF('Week 1 Roster'!$AZ:$AZ,$B191,'Week 1 Roster'!$AE:$AE))</f>
        <v>0</v>
      </c>
      <c r="Z191" s="17">
        <f ca="1">IF($A191=0,0,SUMIF('Week 1 Roster'!$AZ:$AZ,$B191,'Week 1 Roster'!$AG:$AG))</f>
        <v>0</v>
      </c>
      <c r="AA191" s="17">
        <f ca="1">IF($A191=0,0,SUMIF('Week 1 Roster'!$AZ:$AZ,$B191,'Week 1 Roster'!$AI:$AI))</f>
        <v>0</v>
      </c>
      <c r="AB191" s="17">
        <f ca="1">IF($A191=0,0,SUMIF('Week 1 Roster'!$AZ:$AZ,$B191,'Week 1 Roster'!$AK:$AK))</f>
        <v>0</v>
      </c>
      <c r="AC191" s="17">
        <f ca="1">IF($A191=0,0,SUMIF('Week 1 Roster'!$AZ:$AZ,$B191,'Week 1 Roster'!$AM:$AM))</f>
        <v>0</v>
      </c>
      <c r="AD191" s="17">
        <f ca="1">IF($A191=0,0,SUMIF('Week 1 Roster'!$AZ:$AZ,$B191,'Week 1 Roster'!$AO:$AO))</f>
        <v>0</v>
      </c>
      <c r="AE191" s="38">
        <f ca="1">IF($A191=0,0,SUMIF('Week 1 Roster'!$AZ:$AZ,$B191,'Week 1 Roster'!$AP:$AP))</f>
        <v>0</v>
      </c>
      <c r="AF191" s="17">
        <f ca="1">IF($A191=0,0,SUMIF('Week 1 Roster'!$AZ:$AZ,$B191,'Week 1 Roster'!$AQ:$AQ))</f>
        <v>0</v>
      </c>
      <c r="AG191" s="17">
        <f ca="1">IF($A191=0,0,SUMIF('Week 1 Roster'!$AZ:$AZ,$B191,'Week 1 Roster'!$AR:$AR))</f>
        <v>0</v>
      </c>
      <c r="AH191" s="17">
        <f ca="1">IF($A191=0,0,SUMIF('Week 1 Roster'!$AZ:$AZ,$B191,'Week 1 Roster'!$AS:$AS))</f>
        <v>0</v>
      </c>
      <c r="AI191" s="17">
        <f t="shared" ca="1" si="52"/>
        <v>0</v>
      </c>
      <c r="AK191" s="17">
        <f ca="1">IF($A191=0,0,SUMIF('Week 2 Roster'!$AZ:$AZ,$B191,'Week 2 Roster'!$AE:$AE))</f>
        <v>0</v>
      </c>
      <c r="AL191" s="17">
        <f ca="1">IF($A191=0,0,SUMIF('Week 2 Roster'!$AZ:$AZ,$B191,'Week 2 Roster'!$AG:$AG))</f>
        <v>0</v>
      </c>
      <c r="AM191" s="17">
        <f ca="1">IF($A191=0,0,SUMIF('Week 2 Roster'!$AZ:$AZ,$B191,'Week 2 Roster'!$AI:$AI))</f>
        <v>0</v>
      </c>
      <c r="AN191" s="17">
        <f ca="1">IF($A191=0,0,SUMIF('Week 2 Roster'!$AZ:$AZ,$B191,'Week 2 Roster'!$AK:$AK))</f>
        <v>0</v>
      </c>
      <c r="AO191" s="17">
        <f ca="1">IF($A191=0,0,SUMIF('Week 2 Roster'!$AZ:$AZ,$B191,'Week 2 Roster'!$AM:$AM))</f>
        <v>0</v>
      </c>
      <c r="AP191" s="17">
        <f ca="1">IF($A191=0,0,SUMIF('Week 2 Roster'!$AZ:$AZ,$B191,'Week 2 Roster'!$AO:$AO))</f>
        <v>0</v>
      </c>
      <c r="AQ191" s="38">
        <f ca="1">IF($A191=0,0,SUMIF('Week 2 Roster'!$AZ:$AZ,$B191,'Week 2 Roster'!$AP:$AP))</f>
        <v>0</v>
      </c>
      <c r="AR191" s="17">
        <f ca="1">IF($A191=0,0,SUMIF('Week 2 Roster'!$AZ:$AZ,$B191,'Week 2 Roster'!$AQ:$AQ))</f>
        <v>0</v>
      </c>
      <c r="AS191" s="17">
        <f ca="1">IF($A191=0,0,SUMIF('Week 2 Roster'!$AZ:$AZ,$B191,'Week 2 Roster'!$AR:$AR))</f>
        <v>0</v>
      </c>
      <c r="AT191" s="17">
        <f ca="1">IF($A191=0,0,SUMIF('Week 2 Roster'!$AZ:$AZ,$B191,'Week 2 Roster'!$AS:$AS))</f>
        <v>0</v>
      </c>
      <c r="AU191" s="17">
        <f t="shared" ca="1" si="53"/>
        <v>0</v>
      </c>
      <c r="AV191" s="17"/>
    </row>
    <row r="192" spans="1:48">
      <c r="A192" s="16" cm="1">
        <f t="array" aca="1" ref="A192" ca="1">_xlfn.NUMBERVALUE(INDIRECT(TEXT(MIN(IF(($AW$2:$AX$300&lt;&gt;"")*(COUNTIF($B$1:B191,$AW$2:$AX$300)=0),ROW($2:$300)*100+COLUMN($AW:$AX),7^8)),"R0C00"),)&amp;"")</f>
        <v>0</v>
      </c>
      <c r="B192" s="28" t="str">
        <f t="shared" ca="1" si="39"/>
        <v/>
      </c>
      <c r="C192" s="28" t="str">
        <f ca="1">IF($A192=0,"",VLOOKUP($B192,Employees!$A:$G,2,FALSE))</f>
        <v/>
      </c>
      <c r="D192" s="28" t="str">
        <f ca="1">IF($A192=0,"",VLOOKUP($B192,Employees!$A:$G,3,FALSE))</f>
        <v/>
      </c>
      <c r="E192" s="26" t="str">
        <f ca="1">IF($A192=0,"",VLOOKUP($B192,Employees!$A:$G,5,FALSE))</f>
        <v/>
      </c>
      <c r="F192" s="13" t="str">
        <f ca="1">IF($E192="","",ROUNDDOWN(YEARFRAC($E192, 'Week 1 Roster'!$D$1-1, 1), 0))</f>
        <v/>
      </c>
      <c r="G192" s="13" t="str">
        <f ca="1">IF($E192="","",ROUNDDOWN(YEARFRAC($E192, 'Week 1 Roster'!$D$1+14, 1), 0))</f>
        <v/>
      </c>
      <c r="H192" s="13" t="str">
        <f t="shared" ca="1" si="40"/>
        <v/>
      </c>
      <c r="I192" s="13" t="str">
        <f ca="1">IF($A192=0,"",VLOOKUP($B192,Employees!$A:$G,6,FALSE))</f>
        <v/>
      </c>
      <c r="J192" s="13" t="str">
        <f ca="1">IF($A192=0,"",VLOOKUP($B192,Employees!$A:$G,7,FALSE))</f>
        <v/>
      </c>
      <c r="K192" s="13" t="str">
        <f ca="1">IF($A192=0,"",IF(ISNA(VLOOKUP(A192,'Week 1 Roster'!A:C,2,0)),VLOOKUP(A192,'Week 2 Roster'!A:C,2,0),VLOOKUP(A192,'Week 1 Roster'!A:C,2,0)))</f>
        <v/>
      </c>
      <c r="L192" s="13" t="str">
        <f ca="1">IF($A192=0,"",VLOOKUP(K192,Stores!A:B,2,0))</f>
        <v/>
      </c>
      <c r="M192" s="14">
        <f t="shared" ca="1" si="41"/>
        <v>0</v>
      </c>
      <c r="N192" s="14">
        <f t="shared" ca="1" si="42"/>
        <v>0</v>
      </c>
      <c r="O192" s="14">
        <f t="shared" ca="1" si="43"/>
        <v>0</v>
      </c>
      <c r="P192" s="14">
        <f t="shared" ca="1" si="44"/>
        <v>0</v>
      </c>
      <c r="Q192" s="14">
        <f t="shared" ca="1" si="45"/>
        <v>0</v>
      </c>
      <c r="R192" s="14">
        <f t="shared" ca="1" si="46"/>
        <v>0</v>
      </c>
      <c r="S192" s="28">
        <f t="shared" ca="1" si="47"/>
        <v>0</v>
      </c>
      <c r="T192" s="14">
        <f t="shared" ca="1" si="48"/>
        <v>0</v>
      </c>
      <c r="U192" s="14">
        <f t="shared" ca="1" si="49"/>
        <v>0</v>
      </c>
      <c r="V192" s="14">
        <f t="shared" ca="1" si="50"/>
        <v>0</v>
      </c>
      <c r="W192" s="14">
        <f t="shared" ca="1" si="51"/>
        <v>0</v>
      </c>
      <c r="Y192" s="17">
        <f ca="1">IF($A192=0,0,SUMIF('Week 1 Roster'!$AZ:$AZ,$B192,'Week 1 Roster'!$AE:$AE))</f>
        <v>0</v>
      </c>
      <c r="Z192" s="17">
        <f ca="1">IF($A192=0,0,SUMIF('Week 1 Roster'!$AZ:$AZ,$B192,'Week 1 Roster'!$AG:$AG))</f>
        <v>0</v>
      </c>
      <c r="AA192" s="17">
        <f ca="1">IF($A192=0,0,SUMIF('Week 1 Roster'!$AZ:$AZ,$B192,'Week 1 Roster'!$AI:$AI))</f>
        <v>0</v>
      </c>
      <c r="AB192" s="17">
        <f ca="1">IF($A192=0,0,SUMIF('Week 1 Roster'!$AZ:$AZ,$B192,'Week 1 Roster'!$AK:$AK))</f>
        <v>0</v>
      </c>
      <c r="AC192" s="17">
        <f ca="1">IF($A192=0,0,SUMIF('Week 1 Roster'!$AZ:$AZ,$B192,'Week 1 Roster'!$AM:$AM))</f>
        <v>0</v>
      </c>
      <c r="AD192" s="17">
        <f ca="1">IF($A192=0,0,SUMIF('Week 1 Roster'!$AZ:$AZ,$B192,'Week 1 Roster'!$AO:$AO))</f>
        <v>0</v>
      </c>
      <c r="AE192" s="38">
        <f ca="1">IF($A192=0,0,SUMIF('Week 1 Roster'!$AZ:$AZ,$B192,'Week 1 Roster'!$AP:$AP))</f>
        <v>0</v>
      </c>
      <c r="AF192" s="17">
        <f ca="1">IF($A192=0,0,SUMIF('Week 1 Roster'!$AZ:$AZ,$B192,'Week 1 Roster'!$AQ:$AQ))</f>
        <v>0</v>
      </c>
      <c r="AG192" s="17">
        <f ca="1">IF($A192=0,0,SUMIF('Week 1 Roster'!$AZ:$AZ,$B192,'Week 1 Roster'!$AR:$AR))</f>
        <v>0</v>
      </c>
      <c r="AH192" s="17">
        <f ca="1">IF($A192=0,0,SUMIF('Week 1 Roster'!$AZ:$AZ,$B192,'Week 1 Roster'!$AS:$AS))</f>
        <v>0</v>
      </c>
      <c r="AI192" s="17">
        <f t="shared" ca="1" si="52"/>
        <v>0</v>
      </c>
      <c r="AK192" s="17">
        <f ca="1">IF($A192=0,0,SUMIF('Week 2 Roster'!$AZ:$AZ,$B192,'Week 2 Roster'!$AE:$AE))</f>
        <v>0</v>
      </c>
      <c r="AL192" s="17">
        <f ca="1">IF($A192=0,0,SUMIF('Week 2 Roster'!$AZ:$AZ,$B192,'Week 2 Roster'!$AG:$AG))</f>
        <v>0</v>
      </c>
      <c r="AM192" s="17">
        <f ca="1">IF($A192=0,0,SUMIF('Week 2 Roster'!$AZ:$AZ,$B192,'Week 2 Roster'!$AI:$AI))</f>
        <v>0</v>
      </c>
      <c r="AN192" s="17">
        <f ca="1">IF($A192=0,0,SUMIF('Week 2 Roster'!$AZ:$AZ,$B192,'Week 2 Roster'!$AK:$AK))</f>
        <v>0</v>
      </c>
      <c r="AO192" s="17">
        <f ca="1">IF($A192=0,0,SUMIF('Week 2 Roster'!$AZ:$AZ,$B192,'Week 2 Roster'!$AM:$AM))</f>
        <v>0</v>
      </c>
      <c r="AP192" s="17">
        <f ca="1">IF($A192=0,0,SUMIF('Week 2 Roster'!$AZ:$AZ,$B192,'Week 2 Roster'!$AO:$AO))</f>
        <v>0</v>
      </c>
      <c r="AQ192" s="38">
        <f ca="1">IF($A192=0,0,SUMIF('Week 2 Roster'!$AZ:$AZ,$B192,'Week 2 Roster'!$AP:$AP))</f>
        <v>0</v>
      </c>
      <c r="AR192" s="17">
        <f ca="1">IF($A192=0,0,SUMIF('Week 2 Roster'!$AZ:$AZ,$B192,'Week 2 Roster'!$AQ:$AQ))</f>
        <v>0</v>
      </c>
      <c r="AS192" s="17">
        <f ca="1">IF($A192=0,0,SUMIF('Week 2 Roster'!$AZ:$AZ,$B192,'Week 2 Roster'!$AR:$AR))</f>
        <v>0</v>
      </c>
      <c r="AT192" s="17">
        <f ca="1">IF($A192=0,0,SUMIF('Week 2 Roster'!$AZ:$AZ,$B192,'Week 2 Roster'!$AS:$AS))</f>
        <v>0</v>
      </c>
      <c r="AU192" s="17">
        <f t="shared" ca="1" si="53"/>
        <v>0</v>
      </c>
      <c r="AV192" s="17"/>
    </row>
    <row r="193" spans="1:48">
      <c r="A193" s="16" cm="1">
        <f t="array" aca="1" ref="A193" ca="1">_xlfn.NUMBERVALUE(INDIRECT(TEXT(MIN(IF(($AW$2:$AX$300&lt;&gt;"")*(COUNTIF($B$1:B192,$AW$2:$AX$300)=0),ROW($2:$300)*100+COLUMN($AW:$AX),7^8)),"R0C00"),)&amp;"")</f>
        <v>0</v>
      </c>
      <c r="B193" s="28" t="str">
        <f t="shared" ca="1" si="39"/>
        <v/>
      </c>
      <c r="C193" s="28" t="str">
        <f ca="1">IF($A193=0,"",VLOOKUP($B193,Employees!$A:$G,2,FALSE))</f>
        <v/>
      </c>
      <c r="D193" s="28" t="str">
        <f ca="1">IF($A193=0,"",VLOOKUP($B193,Employees!$A:$G,3,FALSE))</f>
        <v/>
      </c>
      <c r="E193" s="26" t="str">
        <f ca="1">IF($A193=0,"",VLOOKUP($B193,Employees!$A:$G,5,FALSE))</f>
        <v/>
      </c>
      <c r="F193" s="13" t="str">
        <f ca="1">IF($E193="","",ROUNDDOWN(YEARFRAC($E193, 'Week 1 Roster'!$D$1-1, 1), 0))</f>
        <v/>
      </c>
      <c r="G193" s="13" t="str">
        <f ca="1">IF($E193="","",ROUNDDOWN(YEARFRAC($E193, 'Week 1 Roster'!$D$1+14, 1), 0))</f>
        <v/>
      </c>
      <c r="H193" s="13" t="str">
        <f t="shared" ca="1" si="40"/>
        <v/>
      </c>
      <c r="I193" s="13" t="str">
        <f ca="1">IF($A193=0,"",VLOOKUP($B193,Employees!$A:$G,6,FALSE))</f>
        <v/>
      </c>
      <c r="J193" s="13" t="str">
        <f ca="1">IF($A193=0,"",VLOOKUP($B193,Employees!$A:$G,7,FALSE))</f>
        <v/>
      </c>
      <c r="K193" s="13" t="str">
        <f ca="1">IF($A193=0,"",IF(ISNA(VLOOKUP(A193,'Week 1 Roster'!A:C,2,0)),VLOOKUP(A193,'Week 2 Roster'!A:C,2,0),VLOOKUP(A193,'Week 1 Roster'!A:C,2,0)))</f>
        <v/>
      </c>
      <c r="L193" s="13" t="str">
        <f ca="1">IF($A193=0,"",VLOOKUP(K193,Stores!A:B,2,0))</f>
        <v/>
      </c>
      <c r="M193" s="14">
        <f t="shared" ca="1" si="41"/>
        <v>0</v>
      </c>
      <c r="N193" s="14">
        <f t="shared" ca="1" si="42"/>
        <v>0</v>
      </c>
      <c r="O193" s="14">
        <f t="shared" ca="1" si="43"/>
        <v>0</v>
      </c>
      <c r="P193" s="14">
        <f t="shared" ca="1" si="44"/>
        <v>0</v>
      </c>
      <c r="Q193" s="14">
        <f t="shared" ca="1" si="45"/>
        <v>0</v>
      </c>
      <c r="R193" s="14">
        <f t="shared" ca="1" si="46"/>
        <v>0</v>
      </c>
      <c r="S193" s="28">
        <f t="shared" ca="1" si="47"/>
        <v>0</v>
      </c>
      <c r="T193" s="14">
        <f t="shared" ca="1" si="48"/>
        <v>0</v>
      </c>
      <c r="U193" s="14">
        <f t="shared" ca="1" si="49"/>
        <v>0</v>
      </c>
      <c r="V193" s="14">
        <f t="shared" ca="1" si="50"/>
        <v>0</v>
      </c>
      <c r="W193" s="14">
        <f t="shared" ca="1" si="51"/>
        <v>0</v>
      </c>
      <c r="Y193" s="17">
        <f ca="1">IF($A193=0,0,SUMIF('Week 1 Roster'!$AZ:$AZ,$B193,'Week 1 Roster'!$AE:$AE))</f>
        <v>0</v>
      </c>
      <c r="Z193" s="17">
        <f ca="1">IF($A193=0,0,SUMIF('Week 1 Roster'!$AZ:$AZ,$B193,'Week 1 Roster'!$AG:$AG))</f>
        <v>0</v>
      </c>
      <c r="AA193" s="17">
        <f ca="1">IF($A193=0,0,SUMIF('Week 1 Roster'!$AZ:$AZ,$B193,'Week 1 Roster'!$AI:$AI))</f>
        <v>0</v>
      </c>
      <c r="AB193" s="17">
        <f ca="1">IF($A193=0,0,SUMIF('Week 1 Roster'!$AZ:$AZ,$B193,'Week 1 Roster'!$AK:$AK))</f>
        <v>0</v>
      </c>
      <c r="AC193" s="17">
        <f ca="1">IF($A193=0,0,SUMIF('Week 1 Roster'!$AZ:$AZ,$B193,'Week 1 Roster'!$AM:$AM))</f>
        <v>0</v>
      </c>
      <c r="AD193" s="17">
        <f ca="1">IF($A193=0,0,SUMIF('Week 1 Roster'!$AZ:$AZ,$B193,'Week 1 Roster'!$AO:$AO))</f>
        <v>0</v>
      </c>
      <c r="AE193" s="38">
        <f ca="1">IF($A193=0,0,SUMIF('Week 1 Roster'!$AZ:$AZ,$B193,'Week 1 Roster'!$AP:$AP))</f>
        <v>0</v>
      </c>
      <c r="AF193" s="17">
        <f ca="1">IF($A193=0,0,SUMIF('Week 1 Roster'!$AZ:$AZ,$B193,'Week 1 Roster'!$AQ:$AQ))</f>
        <v>0</v>
      </c>
      <c r="AG193" s="17">
        <f ca="1">IF($A193=0,0,SUMIF('Week 1 Roster'!$AZ:$AZ,$B193,'Week 1 Roster'!$AR:$AR))</f>
        <v>0</v>
      </c>
      <c r="AH193" s="17">
        <f ca="1">IF($A193=0,0,SUMIF('Week 1 Roster'!$AZ:$AZ,$B193,'Week 1 Roster'!$AS:$AS))</f>
        <v>0</v>
      </c>
      <c r="AI193" s="17">
        <f t="shared" ca="1" si="52"/>
        <v>0</v>
      </c>
      <c r="AK193" s="17">
        <f ca="1">IF($A193=0,0,SUMIF('Week 2 Roster'!$AZ:$AZ,$B193,'Week 2 Roster'!$AE:$AE))</f>
        <v>0</v>
      </c>
      <c r="AL193" s="17">
        <f ca="1">IF($A193=0,0,SUMIF('Week 2 Roster'!$AZ:$AZ,$B193,'Week 2 Roster'!$AG:$AG))</f>
        <v>0</v>
      </c>
      <c r="AM193" s="17">
        <f ca="1">IF($A193=0,0,SUMIF('Week 2 Roster'!$AZ:$AZ,$B193,'Week 2 Roster'!$AI:$AI))</f>
        <v>0</v>
      </c>
      <c r="AN193" s="17">
        <f ca="1">IF($A193=0,0,SUMIF('Week 2 Roster'!$AZ:$AZ,$B193,'Week 2 Roster'!$AK:$AK))</f>
        <v>0</v>
      </c>
      <c r="AO193" s="17">
        <f ca="1">IF($A193=0,0,SUMIF('Week 2 Roster'!$AZ:$AZ,$B193,'Week 2 Roster'!$AM:$AM))</f>
        <v>0</v>
      </c>
      <c r="AP193" s="17">
        <f ca="1">IF($A193=0,0,SUMIF('Week 2 Roster'!$AZ:$AZ,$B193,'Week 2 Roster'!$AO:$AO))</f>
        <v>0</v>
      </c>
      <c r="AQ193" s="38">
        <f ca="1">IF($A193=0,0,SUMIF('Week 2 Roster'!$AZ:$AZ,$B193,'Week 2 Roster'!$AP:$AP))</f>
        <v>0</v>
      </c>
      <c r="AR193" s="17">
        <f ca="1">IF($A193=0,0,SUMIF('Week 2 Roster'!$AZ:$AZ,$B193,'Week 2 Roster'!$AQ:$AQ))</f>
        <v>0</v>
      </c>
      <c r="AS193" s="17">
        <f ca="1">IF($A193=0,0,SUMIF('Week 2 Roster'!$AZ:$AZ,$B193,'Week 2 Roster'!$AR:$AR))</f>
        <v>0</v>
      </c>
      <c r="AT193" s="17">
        <f ca="1">IF($A193=0,0,SUMIF('Week 2 Roster'!$AZ:$AZ,$B193,'Week 2 Roster'!$AS:$AS))</f>
        <v>0</v>
      </c>
      <c r="AU193" s="17">
        <f t="shared" ca="1" si="53"/>
        <v>0</v>
      </c>
      <c r="AV193" s="17"/>
    </row>
    <row r="194" spans="1:48">
      <c r="A194" s="16" cm="1">
        <f t="array" aca="1" ref="A194" ca="1">_xlfn.NUMBERVALUE(INDIRECT(TEXT(MIN(IF(($AW$2:$AX$300&lt;&gt;"")*(COUNTIF($B$1:B193,$AW$2:$AX$300)=0),ROW($2:$300)*100+COLUMN($AW:$AX),7^8)),"R0C00"),)&amp;"")</f>
        <v>0</v>
      </c>
      <c r="B194" s="28" t="str">
        <f t="shared" ca="1" si="39"/>
        <v/>
      </c>
      <c r="C194" s="28" t="str">
        <f ca="1">IF($A194=0,"",VLOOKUP($B194,Employees!$A:$G,2,FALSE))</f>
        <v/>
      </c>
      <c r="D194" s="28" t="str">
        <f ca="1">IF($A194=0,"",VLOOKUP($B194,Employees!$A:$G,3,FALSE))</f>
        <v/>
      </c>
      <c r="E194" s="26" t="str">
        <f ca="1">IF($A194=0,"",VLOOKUP($B194,Employees!$A:$G,5,FALSE))</f>
        <v/>
      </c>
      <c r="F194" s="13" t="str">
        <f ca="1">IF($E194="","",ROUNDDOWN(YEARFRAC($E194, 'Week 1 Roster'!$D$1-1, 1), 0))</f>
        <v/>
      </c>
      <c r="G194" s="13" t="str">
        <f ca="1">IF($E194="","",ROUNDDOWN(YEARFRAC($E194, 'Week 1 Roster'!$D$1+14, 1), 0))</f>
        <v/>
      </c>
      <c r="H194" s="13" t="str">
        <f t="shared" ca="1" si="40"/>
        <v/>
      </c>
      <c r="I194" s="13" t="str">
        <f ca="1">IF($A194=0,"",VLOOKUP($B194,Employees!$A:$G,6,FALSE))</f>
        <v/>
      </c>
      <c r="J194" s="13" t="str">
        <f ca="1">IF($A194=0,"",VLOOKUP($B194,Employees!$A:$G,7,FALSE))</f>
        <v/>
      </c>
      <c r="K194" s="13" t="str">
        <f ca="1">IF($A194=0,"",IF(ISNA(VLOOKUP(A194,'Week 1 Roster'!A:C,2,0)),VLOOKUP(A194,'Week 2 Roster'!A:C,2,0),VLOOKUP(A194,'Week 1 Roster'!A:C,2,0)))</f>
        <v/>
      </c>
      <c r="L194" s="13" t="str">
        <f ca="1">IF($A194=0,"",VLOOKUP(K194,Stores!A:B,2,0))</f>
        <v/>
      </c>
      <c r="M194" s="14">
        <f t="shared" ca="1" si="41"/>
        <v>0</v>
      </c>
      <c r="N194" s="14">
        <f t="shared" ca="1" si="42"/>
        <v>0</v>
      </c>
      <c r="O194" s="14">
        <f t="shared" ca="1" si="43"/>
        <v>0</v>
      </c>
      <c r="P194" s="14">
        <f t="shared" ca="1" si="44"/>
        <v>0</v>
      </c>
      <c r="Q194" s="14">
        <f t="shared" ca="1" si="45"/>
        <v>0</v>
      </c>
      <c r="R194" s="14">
        <f t="shared" ca="1" si="46"/>
        <v>0</v>
      </c>
      <c r="S194" s="28">
        <f t="shared" ca="1" si="47"/>
        <v>0</v>
      </c>
      <c r="T194" s="14">
        <f t="shared" ca="1" si="48"/>
        <v>0</v>
      </c>
      <c r="U194" s="14">
        <f t="shared" ca="1" si="49"/>
        <v>0</v>
      </c>
      <c r="V194" s="14">
        <f t="shared" ca="1" si="50"/>
        <v>0</v>
      </c>
      <c r="W194" s="14">
        <f t="shared" ca="1" si="51"/>
        <v>0</v>
      </c>
      <c r="Y194" s="17">
        <f ca="1">IF($A194=0,0,SUMIF('Week 1 Roster'!$AZ:$AZ,$B194,'Week 1 Roster'!$AE:$AE))</f>
        <v>0</v>
      </c>
      <c r="Z194" s="17">
        <f ca="1">IF($A194=0,0,SUMIF('Week 1 Roster'!$AZ:$AZ,$B194,'Week 1 Roster'!$AG:$AG))</f>
        <v>0</v>
      </c>
      <c r="AA194" s="17">
        <f ca="1">IF($A194=0,0,SUMIF('Week 1 Roster'!$AZ:$AZ,$B194,'Week 1 Roster'!$AI:$AI))</f>
        <v>0</v>
      </c>
      <c r="AB194" s="17">
        <f ca="1">IF($A194=0,0,SUMIF('Week 1 Roster'!$AZ:$AZ,$B194,'Week 1 Roster'!$AK:$AK))</f>
        <v>0</v>
      </c>
      <c r="AC194" s="17">
        <f ca="1">IF($A194=0,0,SUMIF('Week 1 Roster'!$AZ:$AZ,$B194,'Week 1 Roster'!$AM:$AM))</f>
        <v>0</v>
      </c>
      <c r="AD194" s="17">
        <f ca="1">IF($A194=0,0,SUMIF('Week 1 Roster'!$AZ:$AZ,$B194,'Week 1 Roster'!$AO:$AO))</f>
        <v>0</v>
      </c>
      <c r="AE194" s="38">
        <f ca="1">IF($A194=0,0,SUMIF('Week 1 Roster'!$AZ:$AZ,$B194,'Week 1 Roster'!$AP:$AP))</f>
        <v>0</v>
      </c>
      <c r="AF194" s="17">
        <f ca="1">IF($A194=0,0,SUMIF('Week 1 Roster'!$AZ:$AZ,$B194,'Week 1 Roster'!$AQ:$AQ))</f>
        <v>0</v>
      </c>
      <c r="AG194" s="17">
        <f ca="1">IF($A194=0,0,SUMIF('Week 1 Roster'!$AZ:$AZ,$B194,'Week 1 Roster'!$AR:$AR))</f>
        <v>0</v>
      </c>
      <c r="AH194" s="17">
        <f ca="1">IF($A194=0,0,SUMIF('Week 1 Roster'!$AZ:$AZ,$B194,'Week 1 Roster'!$AS:$AS))</f>
        <v>0</v>
      </c>
      <c r="AI194" s="17">
        <f t="shared" ca="1" si="52"/>
        <v>0</v>
      </c>
      <c r="AK194" s="17">
        <f ca="1">IF($A194=0,0,SUMIF('Week 2 Roster'!$AZ:$AZ,$B194,'Week 2 Roster'!$AE:$AE))</f>
        <v>0</v>
      </c>
      <c r="AL194" s="17">
        <f ca="1">IF($A194=0,0,SUMIF('Week 2 Roster'!$AZ:$AZ,$B194,'Week 2 Roster'!$AG:$AG))</f>
        <v>0</v>
      </c>
      <c r="AM194" s="17">
        <f ca="1">IF($A194=0,0,SUMIF('Week 2 Roster'!$AZ:$AZ,$B194,'Week 2 Roster'!$AI:$AI))</f>
        <v>0</v>
      </c>
      <c r="AN194" s="17">
        <f ca="1">IF($A194=0,0,SUMIF('Week 2 Roster'!$AZ:$AZ,$B194,'Week 2 Roster'!$AK:$AK))</f>
        <v>0</v>
      </c>
      <c r="AO194" s="17">
        <f ca="1">IF($A194=0,0,SUMIF('Week 2 Roster'!$AZ:$AZ,$B194,'Week 2 Roster'!$AM:$AM))</f>
        <v>0</v>
      </c>
      <c r="AP194" s="17">
        <f ca="1">IF($A194=0,0,SUMIF('Week 2 Roster'!$AZ:$AZ,$B194,'Week 2 Roster'!$AO:$AO))</f>
        <v>0</v>
      </c>
      <c r="AQ194" s="38">
        <f ca="1">IF($A194=0,0,SUMIF('Week 2 Roster'!$AZ:$AZ,$B194,'Week 2 Roster'!$AP:$AP))</f>
        <v>0</v>
      </c>
      <c r="AR194" s="17">
        <f ca="1">IF($A194=0,0,SUMIF('Week 2 Roster'!$AZ:$AZ,$B194,'Week 2 Roster'!$AQ:$AQ))</f>
        <v>0</v>
      </c>
      <c r="AS194" s="17">
        <f ca="1">IF($A194=0,0,SUMIF('Week 2 Roster'!$AZ:$AZ,$B194,'Week 2 Roster'!$AR:$AR))</f>
        <v>0</v>
      </c>
      <c r="AT194" s="17">
        <f ca="1">IF($A194=0,0,SUMIF('Week 2 Roster'!$AZ:$AZ,$B194,'Week 2 Roster'!$AS:$AS))</f>
        <v>0</v>
      </c>
      <c r="AU194" s="17">
        <f t="shared" ca="1" si="53"/>
        <v>0</v>
      </c>
      <c r="AV194" s="17"/>
    </row>
    <row r="195" spans="1:48">
      <c r="A195" s="16" cm="1">
        <f t="array" aca="1" ref="A195" ca="1">_xlfn.NUMBERVALUE(INDIRECT(TEXT(MIN(IF(($AW$2:$AX$300&lt;&gt;"")*(COUNTIF($B$1:B194,$AW$2:$AX$300)=0),ROW($2:$300)*100+COLUMN($AW:$AX),7^8)),"R0C00"),)&amp;"")</f>
        <v>0</v>
      </c>
      <c r="B195" s="28" t="str">
        <f t="shared" ref="B195:B200" ca="1" si="54">IF(A195=0,"",_xlfn.NUMBERVALUE(A195))</f>
        <v/>
      </c>
      <c r="C195" s="28" t="str">
        <f ca="1">IF($A195=0,"",VLOOKUP($B195,Employees!$A:$G,2,FALSE))</f>
        <v/>
      </c>
      <c r="D195" s="28" t="str">
        <f ca="1">IF($A195=0,"",VLOOKUP($B195,Employees!$A:$G,3,FALSE))</f>
        <v/>
      </c>
      <c r="E195" s="26" t="str">
        <f ca="1">IF($A195=0,"",VLOOKUP($B195,Employees!$A:$G,5,FALSE))</f>
        <v/>
      </c>
      <c r="F195" s="13" t="str">
        <f ca="1">IF($E195="","",ROUNDDOWN(YEARFRAC($E195, 'Week 1 Roster'!$D$1-1, 1), 0))</f>
        <v/>
      </c>
      <c r="G195" s="13" t="str">
        <f ca="1">IF($E195="","",ROUNDDOWN(YEARFRAC($E195, 'Week 1 Roster'!$D$1+14, 1), 0))</f>
        <v/>
      </c>
      <c r="H195" s="13" t="str">
        <f t="shared" ref="H195:H200" ca="1" si="55">IF($E195="","",IF(AND(F195&lt;21,F195&lt;&gt;G195),TRUE,FALSE))</f>
        <v/>
      </c>
      <c r="I195" s="13" t="str">
        <f ca="1">IF($A195=0,"",VLOOKUP($B195,Employees!$A:$G,6,FALSE))</f>
        <v/>
      </c>
      <c r="J195" s="13" t="str">
        <f ca="1">IF($A195=0,"",VLOOKUP($B195,Employees!$A:$G,7,FALSE))</f>
        <v/>
      </c>
      <c r="K195" s="13" t="str">
        <f ca="1">IF($A195=0,"",IF(ISNA(VLOOKUP(A195,'Week 1 Roster'!A:C,2,0)),VLOOKUP(A195,'Week 2 Roster'!A:C,2,0),VLOOKUP(A195,'Week 1 Roster'!A:C,2,0)))</f>
        <v/>
      </c>
      <c r="L195" s="13" t="str">
        <f ca="1">IF($A195=0,"",VLOOKUP(K195,Stores!A:B,2,0))</f>
        <v/>
      </c>
      <c r="M195" s="14">
        <f t="shared" ref="M195:M200" ca="1" si="56">Y195+AK195</f>
        <v>0</v>
      </c>
      <c r="N195" s="14">
        <f t="shared" ref="N195:N200" ca="1" si="57">Z195+AL195</f>
        <v>0</v>
      </c>
      <c r="O195" s="14">
        <f t="shared" ref="O195:O200" ca="1" si="58">AA195+AM195</f>
        <v>0</v>
      </c>
      <c r="P195" s="14">
        <f t="shared" ref="P195:P200" ca="1" si="59">AB195+AN195</f>
        <v>0</v>
      </c>
      <c r="Q195" s="14">
        <f t="shared" ref="Q195:Q200" ca="1" si="60">AC195+AO195</f>
        <v>0</v>
      </c>
      <c r="R195" s="14">
        <f t="shared" ref="R195:R200" ca="1" si="61">AD195+AP195</f>
        <v>0</v>
      </c>
      <c r="S195" s="28">
        <f t="shared" ref="S195:S200" ca="1" si="62">AE195+AQ195</f>
        <v>0</v>
      </c>
      <c r="T195" s="14">
        <f t="shared" ref="T195:T200" ca="1" si="63">AF195+AR195</f>
        <v>0</v>
      </c>
      <c r="U195" s="14">
        <f t="shared" ref="U195:U200" ca="1" si="64">AG195+AS195</f>
        <v>0</v>
      </c>
      <c r="V195" s="14">
        <f t="shared" ref="V195:V200" ca="1" si="65">AH195+AT195</f>
        <v>0</v>
      </c>
      <c r="W195" s="14">
        <f t="shared" ref="W195:W200" ca="1" si="66">SUM(M195:R195,T195:V195)</f>
        <v>0</v>
      </c>
      <c r="Y195" s="17">
        <f ca="1">IF($A195=0,0,SUMIF('Week 1 Roster'!$AZ:$AZ,$B195,'Week 1 Roster'!$AE:$AE))</f>
        <v>0</v>
      </c>
      <c r="Z195" s="17">
        <f ca="1">IF($A195=0,0,SUMIF('Week 1 Roster'!$AZ:$AZ,$B195,'Week 1 Roster'!$AG:$AG))</f>
        <v>0</v>
      </c>
      <c r="AA195" s="17">
        <f ca="1">IF($A195=0,0,SUMIF('Week 1 Roster'!$AZ:$AZ,$B195,'Week 1 Roster'!$AI:$AI))</f>
        <v>0</v>
      </c>
      <c r="AB195" s="17">
        <f ca="1">IF($A195=0,0,SUMIF('Week 1 Roster'!$AZ:$AZ,$B195,'Week 1 Roster'!$AK:$AK))</f>
        <v>0</v>
      </c>
      <c r="AC195" s="17">
        <f ca="1">IF($A195=0,0,SUMIF('Week 1 Roster'!$AZ:$AZ,$B195,'Week 1 Roster'!$AM:$AM))</f>
        <v>0</v>
      </c>
      <c r="AD195" s="17">
        <f ca="1">IF($A195=0,0,SUMIF('Week 1 Roster'!$AZ:$AZ,$B195,'Week 1 Roster'!$AO:$AO))</f>
        <v>0</v>
      </c>
      <c r="AE195" s="38">
        <f ca="1">IF($A195=0,0,SUMIF('Week 1 Roster'!$AZ:$AZ,$B195,'Week 1 Roster'!$AP:$AP))</f>
        <v>0</v>
      </c>
      <c r="AF195" s="17">
        <f ca="1">IF($A195=0,0,SUMIF('Week 1 Roster'!$AZ:$AZ,$B195,'Week 1 Roster'!$AQ:$AQ))</f>
        <v>0</v>
      </c>
      <c r="AG195" s="17">
        <f ca="1">IF($A195=0,0,SUMIF('Week 1 Roster'!$AZ:$AZ,$B195,'Week 1 Roster'!$AR:$AR))</f>
        <v>0</v>
      </c>
      <c r="AH195" s="17">
        <f ca="1">IF($A195=0,0,SUMIF('Week 1 Roster'!$AZ:$AZ,$B195,'Week 1 Roster'!$AS:$AS))</f>
        <v>0</v>
      </c>
      <c r="AI195" s="17">
        <f t="shared" ref="AI195:AI200" ca="1" si="67">SUM(Y195:AD195,AF195:AH195)</f>
        <v>0</v>
      </c>
      <c r="AK195" s="17">
        <f ca="1">IF($A195=0,0,SUMIF('Week 2 Roster'!$AZ:$AZ,$B195,'Week 2 Roster'!$AE:$AE))</f>
        <v>0</v>
      </c>
      <c r="AL195" s="17">
        <f ca="1">IF($A195=0,0,SUMIF('Week 2 Roster'!$AZ:$AZ,$B195,'Week 2 Roster'!$AG:$AG))</f>
        <v>0</v>
      </c>
      <c r="AM195" s="17">
        <f ca="1">IF($A195=0,0,SUMIF('Week 2 Roster'!$AZ:$AZ,$B195,'Week 2 Roster'!$AI:$AI))</f>
        <v>0</v>
      </c>
      <c r="AN195" s="17">
        <f ca="1">IF($A195=0,0,SUMIF('Week 2 Roster'!$AZ:$AZ,$B195,'Week 2 Roster'!$AK:$AK))</f>
        <v>0</v>
      </c>
      <c r="AO195" s="17">
        <f ca="1">IF($A195=0,0,SUMIF('Week 2 Roster'!$AZ:$AZ,$B195,'Week 2 Roster'!$AM:$AM))</f>
        <v>0</v>
      </c>
      <c r="AP195" s="17">
        <f ca="1">IF($A195=0,0,SUMIF('Week 2 Roster'!$AZ:$AZ,$B195,'Week 2 Roster'!$AO:$AO))</f>
        <v>0</v>
      </c>
      <c r="AQ195" s="38">
        <f ca="1">IF($A195=0,0,SUMIF('Week 2 Roster'!$AZ:$AZ,$B195,'Week 2 Roster'!$AP:$AP))</f>
        <v>0</v>
      </c>
      <c r="AR195" s="17">
        <f ca="1">IF($A195=0,0,SUMIF('Week 2 Roster'!$AZ:$AZ,$B195,'Week 2 Roster'!$AQ:$AQ))</f>
        <v>0</v>
      </c>
      <c r="AS195" s="17">
        <f ca="1">IF($A195=0,0,SUMIF('Week 2 Roster'!$AZ:$AZ,$B195,'Week 2 Roster'!$AR:$AR))</f>
        <v>0</v>
      </c>
      <c r="AT195" s="17">
        <f ca="1">IF($A195=0,0,SUMIF('Week 2 Roster'!$AZ:$AZ,$B195,'Week 2 Roster'!$AS:$AS))</f>
        <v>0</v>
      </c>
      <c r="AU195" s="17">
        <f t="shared" ref="AU195:AU200" ca="1" si="68">SUM(AK195:AP195,AR195:AT195)</f>
        <v>0</v>
      </c>
      <c r="AV195" s="17"/>
    </row>
    <row r="196" spans="1:48">
      <c r="A196" s="16" cm="1">
        <f t="array" aca="1" ref="A196" ca="1">_xlfn.NUMBERVALUE(INDIRECT(TEXT(MIN(IF(($AW$2:$AX$300&lt;&gt;"")*(COUNTIF($B$1:B195,$AW$2:$AX$300)=0),ROW($2:$300)*100+COLUMN($AW:$AX),7^8)),"R0C00"),)&amp;"")</f>
        <v>0</v>
      </c>
      <c r="B196" s="28" t="str">
        <f t="shared" ca="1" si="54"/>
        <v/>
      </c>
      <c r="C196" s="28" t="str">
        <f ca="1">IF($A196=0,"",VLOOKUP($B196,Employees!$A:$G,2,FALSE))</f>
        <v/>
      </c>
      <c r="D196" s="28" t="str">
        <f ca="1">IF($A196=0,"",VLOOKUP($B196,Employees!$A:$G,3,FALSE))</f>
        <v/>
      </c>
      <c r="E196" s="26" t="str">
        <f ca="1">IF($A196=0,"",VLOOKUP($B196,Employees!$A:$G,5,FALSE))</f>
        <v/>
      </c>
      <c r="F196" s="13" t="str">
        <f ca="1">IF($E196="","",ROUNDDOWN(YEARFRAC($E196, 'Week 1 Roster'!$D$1-1, 1), 0))</f>
        <v/>
      </c>
      <c r="G196" s="13" t="str">
        <f ca="1">IF($E196="","",ROUNDDOWN(YEARFRAC($E196, 'Week 1 Roster'!$D$1+14, 1), 0))</f>
        <v/>
      </c>
      <c r="H196" s="13" t="str">
        <f t="shared" ca="1" si="55"/>
        <v/>
      </c>
      <c r="I196" s="13" t="str">
        <f ca="1">IF($A196=0,"",VLOOKUP($B196,Employees!$A:$G,6,FALSE))</f>
        <v/>
      </c>
      <c r="J196" s="13" t="str">
        <f ca="1">IF($A196=0,"",VLOOKUP($B196,Employees!$A:$G,7,FALSE))</f>
        <v/>
      </c>
      <c r="K196" s="13" t="str">
        <f ca="1">IF($A196=0,"",IF(ISNA(VLOOKUP(A196,'Week 1 Roster'!A:C,2,0)),VLOOKUP(A196,'Week 2 Roster'!A:C,2,0),VLOOKUP(A196,'Week 1 Roster'!A:C,2,0)))</f>
        <v/>
      </c>
      <c r="L196" s="13" t="str">
        <f ca="1">IF($A196=0,"",VLOOKUP(K196,Stores!A:B,2,0))</f>
        <v/>
      </c>
      <c r="M196" s="14">
        <f t="shared" ca="1" si="56"/>
        <v>0</v>
      </c>
      <c r="N196" s="14">
        <f t="shared" ca="1" si="57"/>
        <v>0</v>
      </c>
      <c r="O196" s="14">
        <f t="shared" ca="1" si="58"/>
        <v>0</v>
      </c>
      <c r="P196" s="14">
        <f t="shared" ca="1" si="59"/>
        <v>0</v>
      </c>
      <c r="Q196" s="14">
        <f t="shared" ca="1" si="60"/>
        <v>0</v>
      </c>
      <c r="R196" s="14">
        <f t="shared" ca="1" si="61"/>
        <v>0</v>
      </c>
      <c r="S196" s="28">
        <f t="shared" ca="1" si="62"/>
        <v>0</v>
      </c>
      <c r="T196" s="14">
        <f t="shared" ca="1" si="63"/>
        <v>0</v>
      </c>
      <c r="U196" s="14">
        <f t="shared" ca="1" si="64"/>
        <v>0</v>
      </c>
      <c r="V196" s="14">
        <f t="shared" ca="1" si="65"/>
        <v>0</v>
      </c>
      <c r="W196" s="14">
        <f t="shared" ca="1" si="66"/>
        <v>0</v>
      </c>
      <c r="Y196" s="17">
        <f ca="1">IF($A196=0,0,SUMIF('Week 1 Roster'!$AZ:$AZ,$B196,'Week 1 Roster'!$AE:$AE))</f>
        <v>0</v>
      </c>
      <c r="Z196" s="17">
        <f ca="1">IF($A196=0,0,SUMIF('Week 1 Roster'!$AZ:$AZ,$B196,'Week 1 Roster'!$AG:$AG))</f>
        <v>0</v>
      </c>
      <c r="AA196" s="17">
        <f ca="1">IF($A196=0,0,SUMIF('Week 1 Roster'!$AZ:$AZ,$B196,'Week 1 Roster'!$AI:$AI))</f>
        <v>0</v>
      </c>
      <c r="AB196" s="17">
        <f ca="1">IF($A196=0,0,SUMIF('Week 1 Roster'!$AZ:$AZ,$B196,'Week 1 Roster'!$AK:$AK))</f>
        <v>0</v>
      </c>
      <c r="AC196" s="17">
        <f ca="1">IF($A196=0,0,SUMIF('Week 1 Roster'!$AZ:$AZ,$B196,'Week 1 Roster'!$AM:$AM))</f>
        <v>0</v>
      </c>
      <c r="AD196" s="17">
        <f ca="1">IF($A196=0,0,SUMIF('Week 1 Roster'!$AZ:$AZ,$B196,'Week 1 Roster'!$AO:$AO))</f>
        <v>0</v>
      </c>
      <c r="AE196" s="38">
        <f ca="1">IF($A196=0,0,SUMIF('Week 1 Roster'!$AZ:$AZ,$B196,'Week 1 Roster'!$AP:$AP))</f>
        <v>0</v>
      </c>
      <c r="AF196" s="17">
        <f ca="1">IF($A196=0,0,SUMIF('Week 1 Roster'!$AZ:$AZ,$B196,'Week 1 Roster'!$AQ:$AQ))</f>
        <v>0</v>
      </c>
      <c r="AG196" s="17">
        <f ca="1">IF($A196=0,0,SUMIF('Week 1 Roster'!$AZ:$AZ,$B196,'Week 1 Roster'!$AR:$AR))</f>
        <v>0</v>
      </c>
      <c r="AH196" s="17">
        <f ca="1">IF($A196=0,0,SUMIF('Week 1 Roster'!$AZ:$AZ,$B196,'Week 1 Roster'!$AS:$AS))</f>
        <v>0</v>
      </c>
      <c r="AI196" s="17">
        <f t="shared" ca="1" si="67"/>
        <v>0</v>
      </c>
      <c r="AK196" s="17">
        <f ca="1">IF($A196=0,0,SUMIF('Week 2 Roster'!$AZ:$AZ,$B196,'Week 2 Roster'!$AE:$AE))</f>
        <v>0</v>
      </c>
      <c r="AL196" s="17">
        <f ca="1">IF($A196=0,0,SUMIF('Week 2 Roster'!$AZ:$AZ,$B196,'Week 2 Roster'!$AG:$AG))</f>
        <v>0</v>
      </c>
      <c r="AM196" s="17">
        <f ca="1">IF($A196=0,0,SUMIF('Week 2 Roster'!$AZ:$AZ,$B196,'Week 2 Roster'!$AI:$AI))</f>
        <v>0</v>
      </c>
      <c r="AN196" s="17">
        <f ca="1">IF($A196=0,0,SUMIF('Week 2 Roster'!$AZ:$AZ,$B196,'Week 2 Roster'!$AK:$AK))</f>
        <v>0</v>
      </c>
      <c r="AO196" s="17">
        <f ca="1">IF($A196=0,0,SUMIF('Week 2 Roster'!$AZ:$AZ,$B196,'Week 2 Roster'!$AM:$AM))</f>
        <v>0</v>
      </c>
      <c r="AP196" s="17">
        <f ca="1">IF($A196=0,0,SUMIF('Week 2 Roster'!$AZ:$AZ,$B196,'Week 2 Roster'!$AO:$AO))</f>
        <v>0</v>
      </c>
      <c r="AQ196" s="38">
        <f ca="1">IF($A196=0,0,SUMIF('Week 2 Roster'!$AZ:$AZ,$B196,'Week 2 Roster'!$AP:$AP))</f>
        <v>0</v>
      </c>
      <c r="AR196" s="17">
        <f ca="1">IF($A196=0,0,SUMIF('Week 2 Roster'!$AZ:$AZ,$B196,'Week 2 Roster'!$AQ:$AQ))</f>
        <v>0</v>
      </c>
      <c r="AS196" s="17">
        <f ca="1">IF($A196=0,0,SUMIF('Week 2 Roster'!$AZ:$AZ,$B196,'Week 2 Roster'!$AR:$AR))</f>
        <v>0</v>
      </c>
      <c r="AT196" s="17">
        <f ca="1">IF($A196=0,0,SUMIF('Week 2 Roster'!$AZ:$AZ,$B196,'Week 2 Roster'!$AS:$AS))</f>
        <v>0</v>
      </c>
      <c r="AU196" s="17">
        <f t="shared" ca="1" si="68"/>
        <v>0</v>
      </c>
      <c r="AV196" s="17"/>
    </row>
    <row r="197" spans="1:48">
      <c r="A197" s="16" cm="1">
        <f t="array" aca="1" ref="A197" ca="1">_xlfn.NUMBERVALUE(INDIRECT(TEXT(MIN(IF(($AW$2:$AX$300&lt;&gt;"")*(COUNTIF($B$1:B196,$AW$2:$AX$300)=0),ROW($2:$300)*100+COLUMN($AW:$AX),7^8)),"R0C00"),)&amp;"")</f>
        <v>0</v>
      </c>
      <c r="B197" s="28" t="str">
        <f t="shared" ca="1" si="54"/>
        <v/>
      </c>
      <c r="C197" s="28" t="str">
        <f ca="1">IF($A197=0,"",VLOOKUP($B197,Employees!$A:$G,2,FALSE))</f>
        <v/>
      </c>
      <c r="D197" s="28" t="str">
        <f ca="1">IF($A197=0,"",VLOOKUP($B197,Employees!$A:$G,3,FALSE))</f>
        <v/>
      </c>
      <c r="E197" s="26" t="str">
        <f ca="1">IF($A197=0,"",VLOOKUP($B197,Employees!$A:$G,5,FALSE))</f>
        <v/>
      </c>
      <c r="F197" s="13" t="str">
        <f ca="1">IF($E197="","",ROUNDDOWN(YEARFRAC($E197, 'Week 1 Roster'!$D$1-1, 1), 0))</f>
        <v/>
      </c>
      <c r="G197" s="13" t="str">
        <f ca="1">IF($E197="","",ROUNDDOWN(YEARFRAC($E197, 'Week 1 Roster'!$D$1+14, 1), 0))</f>
        <v/>
      </c>
      <c r="H197" s="13" t="str">
        <f t="shared" ca="1" si="55"/>
        <v/>
      </c>
      <c r="I197" s="13" t="str">
        <f ca="1">IF($A197=0,"",VLOOKUP($B197,Employees!$A:$G,6,FALSE))</f>
        <v/>
      </c>
      <c r="J197" s="13" t="str">
        <f ca="1">IF($A197=0,"",VLOOKUP($B197,Employees!$A:$G,7,FALSE))</f>
        <v/>
      </c>
      <c r="K197" s="13" t="str">
        <f ca="1">IF($A197=0,"",IF(ISNA(VLOOKUP(A197,'Week 1 Roster'!A:C,2,0)),VLOOKUP(A197,'Week 2 Roster'!A:C,2,0),VLOOKUP(A197,'Week 1 Roster'!A:C,2,0)))</f>
        <v/>
      </c>
      <c r="L197" s="13" t="str">
        <f ca="1">IF($A197=0,"",VLOOKUP(K197,Stores!A:B,2,0))</f>
        <v/>
      </c>
      <c r="M197" s="14">
        <f t="shared" ca="1" si="56"/>
        <v>0</v>
      </c>
      <c r="N197" s="14">
        <f t="shared" ca="1" si="57"/>
        <v>0</v>
      </c>
      <c r="O197" s="14">
        <f t="shared" ca="1" si="58"/>
        <v>0</v>
      </c>
      <c r="P197" s="14">
        <f t="shared" ca="1" si="59"/>
        <v>0</v>
      </c>
      <c r="Q197" s="14">
        <f t="shared" ca="1" si="60"/>
        <v>0</v>
      </c>
      <c r="R197" s="14">
        <f t="shared" ca="1" si="61"/>
        <v>0</v>
      </c>
      <c r="S197" s="28">
        <f t="shared" ca="1" si="62"/>
        <v>0</v>
      </c>
      <c r="T197" s="14">
        <f t="shared" ca="1" si="63"/>
        <v>0</v>
      </c>
      <c r="U197" s="14">
        <f t="shared" ca="1" si="64"/>
        <v>0</v>
      </c>
      <c r="V197" s="14">
        <f t="shared" ca="1" si="65"/>
        <v>0</v>
      </c>
      <c r="W197" s="14">
        <f t="shared" ca="1" si="66"/>
        <v>0</v>
      </c>
      <c r="Y197" s="17">
        <f ca="1">IF($A197=0,0,SUMIF('Week 1 Roster'!$AZ:$AZ,$B197,'Week 1 Roster'!$AE:$AE))</f>
        <v>0</v>
      </c>
      <c r="Z197" s="17">
        <f ca="1">IF($A197=0,0,SUMIF('Week 1 Roster'!$AZ:$AZ,$B197,'Week 1 Roster'!$AG:$AG))</f>
        <v>0</v>
      </c>
      <c r="AA197" s="17">
        <f ca="1">IF($A197=0,0,SUMIF('Week 1 Roster'!$AZ:$AZ,$B197,'Week 1 Roster'!$AI:$AI))</f>
        <v>0</v>
      </c>
      <c r="AB197" s="17">
        <f ca="1">IF($A197=0,0,SUMIF('Week 1 Roster'!$AZ:$AZ,$B197,'Week 1 Roster'!$AK:$AK))</f>
        <v>0</v>
      </c>
      <c r="AC197" s="17">
        <f ca="1">IF($A197=0,0,SUMIF('Week 1 Roster'!$AZ:$AZ,$B197,'Week 1 Roster'!$AM:$AM))</f>
        <v>0</v>
      </c>
      <c r="AD197" s="17">
        <f ca="1">IF($A197=0,0,SUMIF('Week 1 Roster'!$AZ:$AZ,$B197,'Week 1 Roster'!$AO:$AO))</f>
        <v>0</v>
      </c>
      <c r="AE197" s="38">
        <f ca="1">IF($A197=0,0,SUMIF('Week 1 Roster'!$AZ:$AZ,$B197,'Week 1 Roster'!$AP:$AP))</f>
        <v>0</v>
      </c>
      <c r="AF197" s="17">
        <f ca="1">IF($A197=0,0,SUMIF('Week 1 Roster'!$AZ:$AZ,$B197,'Week 1 Roster'!$AQ:$AQ))</f>
        <v>0</v>
      </c>
      <c r="AG197" s="17">
        <f ca="1">IF($A197=0,0,SUMIF('Week 1 Roster'!$AZ:$AZ,$B197,'Week 1 Roster'!$AR:$AR))</f>
        <v>0</v>
      </c>
      <c r="AH197" s="17">
        <f ca="1">IF($A197=0,0,SUMIF('Week 1 Roster'!$AZ:$AZ,$B197,'Week 1 Roster'!$AS:$AS))</f>
        <v>0</v>
      </c>
      <c r="AI197" s="17">
        <f t="shared" ca="1" si="67"/>
        <v>0</v>
      </c>
      <c r="AK197" s="17">
        <f ca="1">IF($A197=0,0,SUMIF('Week 2 Roster'!$AZ:$AZ,$B197,'Week 2 Roster'!$AE:$AE))</f>
        <v>0</v>
      </c>
      <c r="AL197" s="17">
        <f ca="1">IF($A197=0,0,SUMIF('Week 2 Roster'!$AZ:$AZ,$B197,'Week 2 Roster'!$AG:$AG))</f>
        <v>0</v>
      </c>
      <c r="AM197" s="17">
        <f ca="1">IF($A197=0,0,SUMIF('Week 2 Roster'!$AZ:$AZ,$B197,'Week 2 Roster'!$AI:$AI))</f>
        <v>0</v>
      </c>
      <c r="AN197" s="17">
        <f ca="1">IF($A197=0,0,SUMIF('Week 2 Roster'!$AZ:$AZ,$B197,'Week 2 Roster'!$AK:$AK))</f>
        <v>0</v>
      </c>
      <c r="AO197" s="17">
        <f ca="1">IF($A197=0,0,SUMIF('Week 2 Roster'!$AZ:$AZ,$B197,'Week 2 Roster'!$AM:$AM))</f>
        <v>0</v>
      </c>
      <c r="AP197" s="17">
        <f ca="1">IF($A197=0,0,SUMIF('Week 2 Roster'!$AZ:$AZ,$B197,'Week 2 Roster'!$AO:$AO))</f>
        <v>0</v>
      </c>
      <c r="AQ197" s="38">
        <f ca="1">IF($A197=0,0,SUMIF('Week 2 Roster'!$AZ:$AZ,$B197,'Week 2 Roster'!$AP:$AP))</f>
        <v>0</v>
      </c>
      <c r="AR197" s="17">
        <f ca="1">IF($A197=0,0,SUMIF('Week 2 Roster'!$AZ:$AZ,$B197,'Week 2 Roster'!$AQ:$AQ))</f>
        <v>0</v>
      </c>
      <c r="AS197" s="17">
        <f ca="1">IF($A197=0,0,SUMIF('Week 2 Roster'!$AZ:$AZ,$B197,'Week 2 Roster'!$AR:$AR))</f>
        <v>0</v>
      </c>
      <c r="AT197" s="17">
        <f ca="1">IF($A197=0,0,SUMIF('Week 2 Roster'!$AZ:$AZ,$B197,'Week 2 Roster'!$AS:$AS))</f>
        <v>0</v>
      </c>
      <c r="AU197" s="17">
        <f t="shared" ca="1" si="68"/>
        <v>0</v>
      </c>
      <c r="AV197" s="17"/>
    </row>
    <row r="198" spans="1:48">
      <c r="A198" s="16" cm="1">
        <f t="array" aca="1" ref="A198" ca="1">_xlfn.NUMBERVALUE(INDIRECT(TEXT(MIN(IF(($AW$2:$AX$300&lt;&gt;"")*(COUNTIF($B$1:B197,$AW$2:$AX$300)=0),ROW($2:$300)*100+COLUMN($AW:$AX),7^8)),"R0C00"),)&amp;"")</f>
        <v>0</v>
      </c>
      <c r="B198" s="28" t="str">
        <f t="shared" ca="1" si="54"/>
        <v/>
      </c>
      <c r="C198" s="28" t="str">
        <f ca="1">IF($A198=0,"",VLOOKUP($B198,Employees!$A:$G,2,FALSE))</f>
        <v/>
      </c>
      <c r="D198" s="28" t="str">
        <f ca="1">IF($A198=0,"",VLOOKUP($B198,Employees!$A:$G,3,FALSE))</f>
        <v/>
      </c>
      <c r="E198" s="26" t="str">
        <f ca="1">IF($A198=0,"",VLOOKUP($B198,Employees!$A:$G,5,FALSE))</f>
        <v/>
      </c>
      <c r="F198" s="13" t="str">
        <f ca="1">IF($E198="","",ROUNDDOWN(YEARFRAC($E198, 'Week 1 Roster'!$D$1-1, 1), 0))</f>
        <v/>
      </c>
      <c r="G198" s="13" t="str">
        <f ca="1">IF($E198="","",ROUNDDOWN(YEARFRAC($E198, 'Week 1 Roster'!$D$1+14, 1), 0))</f>
        <v/>
      </c>
      <c r="H198" s="13" t="str">
        <f t="shared" ca="1" si="55"/>
        <v/>
      </c>
      <c r="I198" s="13" t="str">
        <f ca="1">IF($A198=0,"",VLOOKUP($B198,Employees!$A:$G,6,FALSE))</f>
        <v/>
      </c>
      <c r="J198" s="13" t="str">
        <f ca="1">IF($A198=0,"",VLOOKUP($B198,Employees!$A:$G,7,FALSE))</f>
        <v/>
      </c>
      <c r="K198" s="13" t="str">
        <f ca="1">IF($A198=0,"",IF(ISNA(VLOOKUP(A198,'Week 1 Roster'!A:C,2,0)),VLOOKUP(A198,'Week 2 Roster'!A:C,2,0),VLOOKUP(A198,'Week 1 Roster'!A:C,2,0)))</f>
        <v/>
      </c>
      <c r="L198" s="13" t="str">
        <f ca="1">IF($A198=0,"",VLOOKUP(K198,Stores!A:B,2,0))</f>
        <v/>
      </c>
      <c r="M198" s="14">
        <f t="shared" ca="1" si="56"/>
        <v>0</v>
      </c>
      <c r="N198" s="14">
        <f t="shared" ca="1" si="57"/>
        <v>0</v>
      </c>
      <c r="O198" s="14">
        <f t="shared" ca="1" si="58"/>
        <v>0</v>
      </c>
      <c r="P198" s="14">
        <f t="shared" ca="1" si="59"/>
        <v>0</v>
      </c>
      <c r="Q198" s="14">
        <f t="shared" ca="1" si="60"/>
        <v>0</v>
      </c>
      <c r="R198" s="14">
        <f t="shared" ca="1" si="61"/>
        <v>0</v>
      </c>
      <c r="S198" s="28">
        <f t="shared" ca="1" si="62"/>
        <v>0</v>
      </c>
      <c r="T198" s="14">
        <f t="shared" ca="1" si="63"/>
        <v>0</v>
      </c>
      <c r="U198" s="14">
        <f t="shared" ca="1" si="64"/>
        <v>0</v>
      </c>
      <c r="V198" s="14">
        <f t="shared" ca="1" si="65"/>
        <v>0</v>
      </c>
      <c r="W198" s="14">
        <f t="shared" ca="1" si="66"/>
        <v>0</v>
      </c>
      <c r="Y198" s="17">
        <f ca="1">IF($A198=0,0,SUMIF('Week 1 Roster'!$AZ:$AZ,$B198,'Week 1 Roster'!$AE:$AE))</f>
        <v>0</v>
      </c>
      <c r="Z198" s="17">
        <f ca="1">IF($A198=0,0,SUMIF('Week 1 Roster'!$AZ:$AZ,$B198,'Week 1 Roster'!$AG:$AG))</f>
        <v>0</v>
      </c>
      <c r="AA198" s="17">
        <f ca="1">IF($A198=0,0,SUMIF('Week 1 Roster'!$AZ:$AZ,$B198,'Week 1 Roster'!$AI:$AI))</f>
        <v>0</v>
      </c>
      <c r="AB198" s="17">
        <f ca="1">IF($A198=0,0,SUMIF('Week 1 Roster'!$AZ:$AZ,$B198,'Week 1 Roster'!$AK:$AK))</f>
        <v>0</v>
      </c>
      <c r="AC198" s="17">
        <f ca="1">IF($A198=0,0,SUMIF('Week 1 Roster'!$AZ:$AZ,$B198,'Week 1 Roster'!$AM:$AM))</f>
        <v>0</v>
      </c>
      <c r="AD198" s="17">
        <f ca="1">IF($A198=0,0,SUMIF('Week 1 Roster'!$AZ:$AZ,$B198,'Week 1 Roster'!$AO:$AO))</f>
        <v>0</v>
      </c>
      <c r="AE198" s="38">
        <f ca="1">IF($A198=0,0,SUMIF('Week 1 Roster'!$AZ:$AZ,$B198,'Week 1 Roster'!$AP:$AP))</f>
        <v>0</v>
      </c>
      <c r="AF198" s="17">
        <f ca="1">IF($A198=0,0,SUMIF('Week 1 Roster'!$AZ:$AZ,$B198,'Week 1 Roster'!$AQ:$AQ))</f>
        <v>0</v>
      </c>
      <c r="AG198" s="17">
        <f ca="1">IF($A198=0,0,SUMIF('Week 1 Roster'!$AZ:$AZ,$B198,'Week 1 Roster'!$AR:$AR))</f>
        <v>0</v>
      </c>
      <c r="AH198" s="17">
        <f ca="1">IF($A198=0,0,SUMIF('Week 1 Roster'!$AZ:$AZ,$B198,'Week 1 Roster'!$AS:$AS))</f>
        <v>0</v>
      </c>
      <c r="AI198" s="17">
        <f t="shared" ca="1" si="67"/>
        <v>0</v>
      </c>
      <c r="AK198" s="17">
        <f ca="1">IF($A198=0,0,SUMIF('Week 2 Roster'!$AZ:$AZ,$B198,'Week 2 Roster'!$AE:$AE))</f>
        <v>0</v>
      </c>
      <c r="AL198" s="17">
        <f ca="1">IF($A198=0,0,SUMIF('Week 2 Roster'!$AZ:$AZ,$B198,'Week 2 Roster'!$AG:$AG))</f>
        <v>0</v>
      </c>
      <c r="AM198" s="17">
        <f ca="1">IF($A198=0,0,SUMIF('Week 2 Roster'!$AZ:$AZ,$B198,'Week 2 Roster'!$AI:$AI))</f>
        <v>0</v>
      </c>
      <c r="AN198" s="17">
        <f ca="1">IF($A198=0,0,SUMIF('Week 2 Roster'!$AZ:$AZ,$B198,'Week 2 Roster'!$AK:$AK))</f>
        <v>0</v>
      </c>
      <c r="AO198" s="17">
        <f ca="1">IF($A198=0,0,SUMIF('Week 2 Roster'!$AZ:$AZ,$B198,'Week 2 Roster'!$AM:$AM))</f>
        <v>0</v>
      </c>
      <c r="AP198" s="17">
        <f ca="1">IF($A198=0,0,SUMIF('Week 2 Roster'!$AZ:$AZ,$B198,'Week 2 Roster'!$AO:$AO))</f>
        <v>0</v>
      </c>
      <c r="AQ198" s="38">
        <f ca="1">IF($A198=0,0,SUMIF('Week 2 Roster'!$AZ:$AZ,$B198,'Week 2 Roster'!$AP:$AP))</f>
        <v>0</v>
      </c>
      <c r="AR198" s="17">
        <f ca="1">IF($A198=0,0,SUMIF('Week 2 Roster'!$AZ:$AZ,$B198,'Week 2 Roster'!$AQ:$AQ))</f>
        <v>0</v>
      </c>
      <c r="AS198" s="17">
        <f ca="1">IF($A198=0,0,SUMIF('Week 2 Roster'!$AZ:$AZ,$B198,'Week 2 Roster'!$AR:$AR))</f>
        <v>0</v>
      </c>
      <c r="AT198" s="17">
        <f ca="1">IF($A198=0,0,SUMIF('Week 2 Roster'!$AZ:$AZ,$B198,'Week 2 Roster'!$AS:$AS))</f>
        <v>0</v>
      </c>
      <c r="AU198" s="17">
        <f t="shared" ca="1" si="68"/>
        <v>0</v>
      </c>
      <c r="AV198" s="17"/>
    </row>
    <row r="199" spans="1:48">
      <c r="A199" s="16" cm="1">
        <f t="array" aca="1" ref="A199" ca="1">_xlfn.NUMBERVALUE(INDIRECT(TEXT(MIN(IF(($AW$2:$AX$300&lt;&gt;"")*(COUNTIF($B$1:B198,$AW$2:$AX$300)=0),ROW($2:$300)*100+COLUMN($AW:$AX),7^8)),"R0C00"),)&amp;"")</f>
        <v>0</v>
      </c>
      <c r="B199" s="28" t="str">
        <f t="shared" ca="1" si="54"/>
        <v/>
      </c>
      <c r="C199" s="28" t="str">
        <f ca="1">IF($A199=0,"",VLOOKUP($B199,Employees!$A:$G,2,FALSE))</f>
        <v/>
      </c>
      <c r="D199" s="28" t="str">
        <f ca="1">IF($A199=0,"",VLOOKUP($B199,Employees!$A:$G,3,FALSE))</f>
        <v/>
      </c>
      <c r="E199" s="26" t="str">
        <f ca="1">IF($A199=0,"",VLOOKUP($B199,Employees!$A:$G,5,FALSE))</f>
        <v/>
      </c>
      <c r="F199" s="13" t="str">
        <f ca="1">IF($E199="","",ROUNDDOWN(YEARFRAC($E199, 'Week 1 Roster'!$D$1-1, 1), 0))</f>
        <v/>
      </c>
      <c r="G199" s="13" t="str">
        <f ca="1">IF($E199="","",ROUNDDOWN(YEARFRAC($E199, 'Week 1 Roster'!$D$1+14, 1), 0))</f>
        <v/>
      </c>
      <c r="H199" s="13" t="str">
        <f t="shared" ca="1" si="55"/>
        <v/>
      </c>
      <c r="I199" s="13" t="str">
        <f ca="1">IF($A199=0,"",VLOOKUP($B199,Employees!$A:$G,6,FALSE))</f>
        <v/>
      </c>
      <c r="J199" s="13" t="str">
        <f ca="1">IF($A199=0,"",VLOOKUP($B199,Employees!$A:$G,7,FALSE))</f>
        <v/>
      </c>
      <c r="K199" s="13" t="str">
        <f ca="1">IF($A199=0,"",IF(ISNA(VLOOKUP(A199,'Week 1 Roster'!A:C,2,0)),VLOOKUP(A199,'Week 2 Roster'!A:C,2,0),VLOOKUP(A199,'Week 1 Roster'!A:C,2,0)))</f>
        <v/>
      </c>
      <c r="L199" s="13" t="str">
        <f ca="1">IF($A199=0,"",VLOOKUP(K199,Stores!A:B,2,0))</f>
        <v/>
      </c>
      <c r="M199" s="14">
        <f t="shared" ca="1" si="56"/>
        <v>0</v>
      </c>
      <c r="N199" s="14">
        <f t="shared" ca="1" si="57"/>
        <v>0</v>
      </c>
      <c r="O199" s="14">
        <f t="shared" ca="1" si="58"/>
        <v>0</v>
      </c>
      <c r="P199" s="14">
        <f t="shared" ca="1" si="59"/>
        <v>0</v>
      </c>
      <c r="Q199" s="14">
        <f t="shared" ca="1" si="60"/>
        <v>0</v>
      </c>
      <c r="R199" s="14">
        <f t="shared" ca="1" si="61"/>
        <v>0</v>
      </c>
      <c r="S199" s="28">
        <f t="shared" ca="1" si="62"/>
        <v>0</v>
      </c>
      <c r="T199" s="14">
        <f t="shared" ca="1" si="63"/>
        <v>0</v>
      </c>
      <c r="U199" s="14">
        <f t="shared" ca="1" si="64"/>
        <v>0</v>
      </c>
      <c r="V199" s="14">
        <f t="shared" ca="1" si="65"/>
        <v>0</v>
      </c>
      <c r="W199" s="14">
        <f t="shared" ca="1" si="66"/>
        <v>0</v>
      </c>
      <c r="Y199" s="17">
        <f ca="1">IF($A199=0,0,SUMIF('Week 1 Roster'!$AZ:$AZ,$B199,'Week 1 Roster'!$AE:$AE))</f>
        <v>0</v>
      </c>
      <c r="Z199" s="17">
        <f ca="1">IF($A199=0,0,SUMIF('Week 1 Roster'!$AZ:$AZ,$B199,'Week 1 Roster'!$AG:$AG))</f>
        <v>0</v>
      </c>
      <c r="AA199" s="17">
        <f ca="1">IF($A199=0,0,SUMIF('Week 1 Roster'!$AZ:$AZ,$B199,'Week 1 Roster'!$AI:$AI))</f>
        <v>0</v>
      </c>
      <c r="AB199" s="17">
        <f ca="1">IF($A199=0,0,SUMIF('Week 1 Roster'!$AZ:$AZ,$B199,'Week 1 Roster'!$AK:$AK))</f>
        <v>0</v>
      </c>
      <c r="AC199" s="17">
        <f ca="1">IF($A199=0,0,SUMIF('Week 1 Roster'!$AZ:$AZ,$B199,'Week 1 Roster'!$AM:$AM))</f>
        <v>0</v>
      </c>
      <c r="AD199" s="17">
        <f ca="1">IF($A199=0,0,SUMIF('Week 1 Roster'!$AZ:$AZ,$B199,'Week 1 Roster'!$AO:$AO))</f>
        <v>0</v>
      </c>
      <c r="AE199" s="38">
        <f ca="1">IF($A199=0,0,SUMIF('Week 1 Roster'!$AZ:$AZ,$B199,'Week 1 Roster'!$AP:$AP))</f>
        <v>0</v>
      </c>
      <c r="AF199" s="17">
        <f ca="1">IF($A199=0,0,SUMIF('Week 1 Roster'!$AZ:$AZ,$B199,'Week 1 Roster'!$AQ:$AQ))</f>
        <v>0</v>
      </c>
      <c r="AG199" s="17">
        <f ca="1">IF($A199=0,0,SUMIF('Week 1 Roster'!$AZ:$AZ,$B199,'Week 1 Roster'!$AR:$AR))</f>
        <v>0</v>
      </c>
      <c r="AH199" s="17">
        <f ca="1">IF($A199=0,0,SUMIF('Week 1 Roster'!$AZ:$AZ,$B199,'Week 1 Roster'!$AS:$AS))</f>
        <v>0</v>
      </c>
      <c r="AI199" s="17">
        <f t="shared" ca="1" si="67"/>
        <v>0</v>
      </c>
      <c r="AK199" s="17">
        <f ca="1">IF($A199=0,0,SUMIF('Week 2 Roster'!$AZ:$AZ,$B199,'Week 2 Roster'!$AE:$AE))</f>
        <v>0</v>
      </c>
      <c r="AL199" s="17">
        <f ca="1">IF($A199=0,0,SUMIF('Week 2 Roster'!$AZ:$AZ,$B199,'Week 2 Roster'!$AG:$AG))</f>
        <v>0</v>
      </c>
      <c r="AM199" s="17">
        <f ca="1">IF($A199=0,0,SUMIF('Week 2 Roster'!$AZ:$AZ,$B199,'Week 2 Roster'!$AI:$AI))</f>
        <v>0</v>
      </c>
      <c r="AN199" s="17">
        <f ca="1">IF($A199=0,0,SUMIF('Week 2 Roster'!$AZ:$AZ,$B199,'Week 2 Roster'!$AK:$AK))</f>
        <v>0</v>
      </c>
      <c r="AO199" s="17">
        <f ca="1">IF($A199=0,0,SUMIF('Week 2 Roster'!$AZ:$AZ,$B199,'Week 2 Roster'!$AM:$AM))</f>
        <v>0</v>
      </c>
      <c r="AP199" s="17">
        <f ca="1">IF($A199=0,0,SUMIF('Week 2 Roster'!$AZ:$AZ,$B199,'Week 2 Roster'!$AO:$AO))</f>
        <v>0</v>
      </c>
      <c r="AQ199" s="38">
        <f ca="1">IF($A199=0,0,SUMIF('Week 2 Roster'!$AZ:$AZ,$B199,'Week 2 Roster'!$AP:$AP))</f>
        <v>0</v>
      </c>
      <c r="AR199" s="17">
        <f ca="1">IF($A199=0,0,SUMIF('Week 2 Roster'!$AZ:$AZ,$B199,'Week 2 Roster'!$AQ:$AQ))</f>
        <v>0</v>
      </c>
      <c r="AS199" s="17">
        <f ca="1">IF($A199=0,0,SUMIF('Week 2 Roster'!$AZ:$AZ,$B199,'Week 2 Roster'!$AR:$AR))</f>
        <v>0</v>
      </c>
      <c r="AT199" s="17">
        <f ca="1">IF($A199=0,0,SUMIF('Week 2 Roster'!$AZ:$AZ,$B199,'Week 2 Roster'!$AS:$AS))</f>
        <v>0</v>
      </c>
      <c r="AU199" s="17">
        <f t="shared" ca="1" si="68"/>
        <v>0</v>
      </c>
      <c r="AV199" s="17"/>
    </row>
    <row r="200" spans="1:48">
      <c r="A200" s="16" cm="1">
        <f t="array" aca="1" ref="A200" ca="1">_xlfn.NUMBERVALUE(INDIRECT(TEXT(MIN(IF(($AW$2:$AX$300&lt;&gt;"")*(COUNTIF($B$1:B199,$AW$2:$AX$300)=0),ROW($2:$300)*100+COLUMN($AW:$AX),7^8)),"R0C00"),)&amp;"")</f>
        <v>0</v>
      </c>
      <c r="B200" s="28" t="str">
        <f t="shared" ca="1" si="54"/>
        <v/>
      </c>
      <c r="C200" s="28" t="str">
        <f ca="1">IF($A200=0,"",VLOOKUP($B200,Employees!$A:$G,2,FALSE))</f>
        <v/>
      </c>
      <c r="D200" s="28" t="str">
        <f ca="1">IF($A200=0,"",VLOOKUP($B200,Employees!$A:$G,3,FALSE))</f>
        <v/>
      </c>
      <c r="E200" s="26" t="str">
        <f ca="1">IF($A200=0,"",VLOOKUP($B200,Employees!$A:$G,5,FALSE))</f>
        <v/>
      </c>
      <c r="F200" s="13" t="str">
        <f ca="1">IF($E200="","",ROUNDDOWN(YEARFRAC($E200, 'Week 1 Roster'!$D$1-1, 1), 0))</f>
        <v/>
      </c>
      <c r="G200" s="13" t="str">
        <f ca="1">IF($E200="","",ROUNDDOWN(YEARFRAC($E200, 'Week 1 Roster'!$D$1+14, 1), 0))</f>
        <v/>
      </c>
      <c r="H200" s="13" t="str">
        <f t="shared" ca="1" si="55"/>
        <v/>
      </c>
      <c r="I200" s="13" t="str">
        <f ca="1">IF($A200=0,"",VLOOKUP($B200,Employees!$A:$G,6,FALSE))</f>
        <v/>
      </c>
      <c r="J200" s="13" t="str">
        <f ca="1">IF($A200=0,"",VLOOKUP($B200,Employees!$A:$G,7,FALSE))</f>
        <v/>
      </c>
      <c r="K200" s="13" t="str">
        <f ca="1">IF($A200=0,"",IF(ISNA(VLOOKUP(A200,'Week 1 Roster'!A:C,2,0)),VLOOKUP(A200,'Week 2 Roster'!A:C,2,0),VLOOKUP(A200,'Week 1 Roster'!A:C,2,0)))</f>
        <v/>
      </c>
      <c r="L200" s="13" t="str">
        <f ca="1">IF($A200=0,"",VLOOKUP(K200,Stores!A:B,2,0))</f>
        <v/>
      </c>
      <c r="M200" s="14">
        <f t="shared" ca="1" si="56"/>
        <v>0</v>
      </c>
      <c r="N200" s="14">
        <f t="shared" ca="1" si="57"/>
        <v>0</v>
      </c>
      <c r="O200" s="14">
        <f t="shared" ca="1" si="58"/>
        <v>0</v>
      </c>
      <c r="P200" s="14">
        <f t="shared" ca="1" si="59"/>
        <v>0</v>
      </c>
      <c r="Q200" s="14">
        <f t="shared" ca="1" si="60"/>
        <v>0</v>
      </c>
      <c r="R200" s="14">
        <f t="shared" ca="1" si="61"/>
        <v>0</v>
      </c>
      <c r="S200" s="28">
        <f t="shared" ca="1" si="62"/>
        <v>0</v>
      </c>
      <c r="T200" s="14">
        <f t="shared" ca="1" si="63"/>
        <v>0</v>
      </c>
      <c r="U200" s="14">
        <f t="shared" ca="1" si="64"/>
        <v>0</v>
      </c>
      <c r="V200" s="14">
        <f t="shared" ca="1" si="65"/>
        <v>0</v>
      </c>
      <c r="W200" s="14">
        <f t="shared" ca="1" si="66"/>
        <v>0</v>
      </c>
      <c r="Y200" s="17">
        <f ca="1">IF($A200=0,0,SUMIF('Week 1 Roster'!$AZ:$AZ,$B200,'Week 1 Roster'!$AE:$AE))</f>
        <v>0</v>
      </c>
      <c r="Z200" s="17">
        <f ca="1">IF($A200=0,0,SUMIF('Week 1 Roster'!$AZ:$AZ,$B200,'Week 1 Roster'!$AG:$AG))</f>
        <v>0</v>
      </c>
      <c r="AA200" s="17">
        <f ca="1">IF($A200=0,0,SUMIF('Week 1 Roster'!$AZ:$AZ,$B200,'Week 1 Roster'!$AI:$AI))</f>
        <v>0</v>
      </c>
      <c r="AB200" s="17">
        <f ca="1">IF($A200=0,0,SUMIF('Week 1 Roster'!$AZ:$AZ,$B200,'Week 1 Roster'!$AK:$AK))</f>
        <v>0</v>
      </c>
      <c r="AC200" s="17">
        <f ca="1">IF($A200=0,0,SUMIF('Week 1 Roster'!$AZ:$AZ,$B200,'Week 1 Roster'!$AM:$AM))</f>
        <v>0</v>
      </c>
      <c r="AD200" s="17">
        <f ca="1">IF($A200=0,0,SUMIF('Week 1 Roster'!$AZ:$AZ,$B200,'Week 1 Roster'!$AO:$AO))</f>
        <v>0</v>
      </c>
      <c r="AE200" s="38">
        <f ca="1">IF($A200=0,0,SUMIF('Week 1 Roster'!$AZ:$AZ,$B200,'Week 1 Roster'!$AP:$AP))</f>
        <v>0</v>
      </c>
      <c r="AF200" s="17">
        <f ca="1">IF($A200=0,0,SUMIF('Week 1 Roster'!$AZ:$AZ,$B200,'Week 1 Roster'!$AQ:$AQ))</f>
        <v>0</v>
      </c>
      <c r="AG200" s="17">
        <f ca="1">IF($A200=0,0,SUMIF('Week 1 Roster'!$AZ:$AZ,$B200,'Week 1 Roster'!$AR:$AR))</f>
        <v>0</v>
      </c>
      <c r="AH200" s="17">
        <f ca="1">IF($A200=0,0,SUMIF('Week 1 Roster'!$AZ:$AZ,$B200,'Week 1 Roster'!$AS:$AS))</f>
        <v>0</v>
      </c>
      <c r="AI200" s="17">
        <f t="shared" ca="1" si="67"/>
        <v>0</v>
      </c>
      <c r="AK200" s="17">
        <f ca="1">IF($A200=0,0,SUMIF('Week 2 Roster'!$AZ:$AZ,$B200,'Week 2 Roster'!$AE:$AE))</f>
        <v>0</v>
      </c>
      <c r="AL200" s="17">
        <f ca="1">IF($A200=0,0,SUMIF('Week 2 Roster'!$AZ:$AZ,$B200,'Week 2 Roster'!$AG:$AG))</f>
        <v>0</v>
      </c>
      <c r="AM200" s="17">
        <f ca="1">IF($A200=0,0,SUMIF('Week 2 Roster'!$AZ:$AZ,$B200,'Week 2 Roster'!$AI:$AI))</f>
        <v>0</v>
      </c>
      <c r="AN200" s="17">
        <f ca="1">IF($A200=0,0,SUMIF('Week 2 Roster'!$AZ:$AZ,$B200,'Week 2 Roster'!$AK:$AK))</f>
        <v>0</v>
      </c>
      <c r="AO200" s="17">
        <f ca="1">IF($A200=0,0,SUMIF('Week 2 Roster'!$AZ:$AZ,$B200,'Week 2 Roster'!$AM:$AM))</f>
        <v>0</v>
      </c>
      <c r="AP200" s="17">
        <f ca="1">IF($A200=0,0,SUMIF('Week 2 Roster'!$AZ:$AZ,$B200,'Week 2 Roster'!$AO:$AO))</f>
        <v>0</v>
      </c>
      <c r="AQ200" s="38">
        <f ca="1">IF($A200=0,0,SUMIF('Week 2 Roster'!$AZ:$AZ,$B200,'Week 2 Roster'!$AP:$AP))</f>
        <v>0</v>
      </c>
      <c r="AR200" s="17">
        <f ca="1">IF($A200=0,0,SUMIF('Week 2 Roster'!$AZ:$AZ,$B200,'Week 2 Roster'!$AQ:$AQ))</f>
        <v>0</v>
      </c>
      <c r="AS200" s="17">
        <f ca="1">IF($A200=0,0,SUMIF('Week 2 Roster'!$AZ:$AZ,$B200,'Week 2 Roster'!$AR:$AR))</f>
        <v>0</v>
      </c>
      <c r="AT200" s="17">
        <f ca="1">IF($A200=0,0,SUMIF('Week 2 Roster'!$AZ:$AZ,$B200,'Week 2 Roster'!$AS:$AS))</f>
        <v>0</v>
      </c>
      <c r="AU200" s="17">
        <f t="shared" ca="1" si="68"/>
        <v>0</v>
      </c>
      <c r="AV200" s="17"/>
    </row>
    <row r="201" spans="1:48">
      <c r="A201" s="16" cm="1">
        <f t="array" aca="1" ref="A201" ca="1">_xlfn.NUMBERVALUE(INDIRECT(TEXT(MIN(IF(($AW$2:$AX$300&lt;&gt;"")*(COUNTIF($B$1:B200,$AW$2:$AX$300)=0),ROW($2:$300)*100+COLUMN($AW:$AX),7^8)),"R0C00"),)&amp;"")</f>
        <v>0</v>
      </c>
      <c r="B201" s="28" t="str">
        <f t="shared" ref="B201:B264" ca="1" si="69">IF(A201=0,"",_xlfn.NUMBERVALUE(A201))</f>
        <v/>
      </c>
      <c r="C201" s="28" t="str">
        <f ca="1">IF($A201=0,"",VLOOKUP($B201,Employees!$A:$G,2,FALSE))</f>
        <v/>
      </c>
      <c r="D201" s="28" t="str">
        <f ca="1">IF($A201=0,"",VLOOKUP($B201,Employees!$A:$G,3,FALSE))</f>
        <v/>
      </c>
      <c r="E201" s="26" t="str">
        <f ca="1">IF($A201=0,"",VLOOKUP($B201,Employees!$A:$G,5,FALSE))</f>
        <v/>
      </c>
      <c r="F201" s="13" t="str">
        <f ca="1">IF($E201="","",ROUNDDOWN(YEARFRAC($E201, 'Week 1 Roster'!$D$1-1, 1), 0))</f>
        <v/>
      </c>
      <c r="G201" s="13" t="str">
        <f ca="1">IF($E201="","",ROUNDDOWN(YEARFRAC($E201, 'Week 1 Roster'!$D$1+14, 1), 0))</f>
        <v/>
      </c>
      <c r="H201" s="13" t="str">
        <f t="shared" ref="H201:H264" ca="1" si="70">IF($E201="","",IF(AND(F201&lt;21,F201&lt;&gt;G201),TRUE,FALSE))</f>
        <v/>
      </c>
      <c r="I201" s="13" t="str">
        <f ca="1">IF($A201=0,"",VLOOKUP($B201,Employees!$A:$G,6,FALSE))</f>
        <v/>
      </c>
      <c r="J201" s="13" t="str">
        <f ca="1">IF($A201=0,"",VLOOKUP($B201,Employees!$A:$G,7,FALSE))</f>
        <v/>
      </c>
      <c r="K201" s="13" t="str">
        <f ca="1">IF($A201=0,"",IF(ISNA(VLOOKUP(A201,'Week 1 Roster'!A:C,2,0)),VLOOKUP(A201,'Week 2 Roster'!A:C,2,0),VLOOKUP(A201,'Week 1 Roster'!A:C,2,0)))</f>
        <v/>
      </c>
      <c r="L201" s="13" t="str">
        <f ca="1">IF($A201=0,"",VLOOKUP(K201,Stores!A:B,2,0))</f>
        <v/>
      </c>
      <c r="M201" s="14">
        <f t="shared" ref="M201:M264" ca="1" si="71">Y201+AK201</f>
        <v>0</v>
      </c>
      <c r="N201" s="14">
        <f t="shared" ref="N201:N264" ca="1" si="72">Z201+AL201</f>
        <v>0</v>
      </c>
      <c r="O201" s="14">
        <f t="shared" ref="O201:O264" ca="1" si="73">AA201+AM201</f>
        <v>0</v>
      </c>
      <c r="P201" s="14">
        <f t="shared" ref="P201:P264" ca="1" si="74">AB201+AN201</f>
        <v>0</v>
      </c>
      <c r="Q201" s="14">
        <f t="shared" ref="Q201:Q264" ca="1" si="75">AC201+AO201</f>
        <v>0</v>
      </c>
      <c r="R201" s="14">
        <f t="shared" ref="R201:R264" ca="1" si="76">AD201+AP201</f>
        <v>0</v>
      </c>
      <c r="S201" s="28">
        <f t="shared" ref="S201:S264" ca="1" si="77">AE201+AQ201</f>
        <v>0</v>
      </c>
      <c r="T201" s="14">
        <f t="shared" ref="T201:T264" ca="1" si="78">AF201+AR201</f>
        <v>0</v>
      </c>
      <c r="U201" s="14">
        <f t="shared" ref="U201:U264" ca="1" si="79">AG201+AS201</f>
        <v>0</v>
      </c>
      <c r="V201" s="14">
        <f t="shared" ref="V201:V264" ca="1" si="80">AH201+AT201</f>
        <v>0</v>
      </c>
      <c r="W201" s="14">
        <f t="shared" ref="W201:W264" ca="1" si="81">SUM(M201:R201,T201:V201)</f>
        <v>0</v>
      </c>
      <c r="Y201" s="17">
        <f ca="1">IF($A201=0,0,SUMIF('Week 1 Roster'!$AZ:$AZ,$B201,'Week 1 Roster'!$AE:$AE))</f>
        <v>0</v>
      </c>
      <c r="Z201" s="17">
        <f ca="1">IF($A201=0,0,SUMIF('Week 1 Roster'!$AZ:$AZ,$B201,'Week 1 Roster'!$AG:$AG))</f>
        <v>0</v>
      </c>
      <c r="AA201" s="17">
        <f ca="1">IF($A201=0,0,SUMIF('Week 1 Roster'!$AZ:$AZ,$B201,'Week 1 Roster'!$AI:$AI))</f>
        <v>0</v>
      </c>
      <c r="AB201" s="17">
        <f ca="1">IF($A201=0,0,SUMIF('Week 1 Roster'!$AZ:$AZ,$B201,'Week 1 Roster'!$AK:$AK))</f>
        <v>0</v>
      </c>
      <c r="AC201" s="17">
        <f ca="1">IF($A201=0,0,SUMIF('Week 1 Roster'!$AZ:$AZ,$B201,'Week 1 Roster'!$AM:$AM))</f>
        <v>0</v>
      </c>
      <c r="AD201" s="17">
        <f ca="1">IF($A201=0,0,SUMIF('Week 1 Roster'!$AZ:$AZ,$B201,'Week 1 Roster'!$AO:$AO))</f>
        <v>0</v>
      </c>
      <c r="AE201" s="38">
        <f ca="1">IF($A201=0,0,SUMIF('Week 1 Roster'!$AZ:$AZ,$B201,'Week 1 Roster'!$AP:$AP))</f>
        <v>0</v>
      </c>
      <c r="AF201" s="17">
        <f ca="1">IF($A201=0,0,SUMIF('Week 1 Roster'!$AZ:$AZ,$B201,'Week 1 Roster'!$AQ:$AQ))</f>
        <v>0</v>
      </c>
      <c r="AG201" s="17">
        <f ca="1">IF($A201=0,0,SUMIF('Week 1 Roster'!$AZ:$AZ,$B201,'Week 1 Roster'!$AR:$AR))</f>
        <v>0</v>
      </c>
      <c r="AH201" s="17">
        <f ca="1">IF($A201=0,0,SUMIF('Week 1 Roster'!$AZ:$AZ,$B201,'Week 1 Roster'!$AS:$AS))</f>
        <v>0</v>
      </c>
      <c r="AI201" s="17">
        <f t="shared" ref="AI201:AI264" ca="1" si="82">SUM(Y201:AD201,AF201:AH201)</f>
        <v>0</v>
      </c>
      <c r="AK201" s="17">
        <f ca="1">IF($A201=0,0,SUMIF('Week 2 Roster'!$AZ:$AZ,$B201,'Week 2 Roster'!$AE:$AE))</f>
        <v>0</v>
      </c>
      <c r="AL201" s="17">
        <f ca="1">IF($A201=0,0,SUMIF('Week 2 Roster'!$AZ:$AZ,$B201,'Week 2 Roster'!$AG:$AG))</f>
        <v>0</v>
      </c>
      <c r="AM201" s="17">
        <f ca="1">IF($A201=0,0,SUMIF('Week 2 Roster'!$AZ:$AZ,$B201,'Week 2 Roster'!$AI:$AI))</f>
        <v>0</v>
      </c>
      <c r="AN201" s="17">
        <f ca="1">IF($A201=0,0,SUMIF('Week 2 Roster'!$AZ:$AZ,$B201,'Week 2 Roster'!$AK:$AK))</f>
        <v>0</v>
      </c>
      <c r="AO201" s="17">
        <f ca="1">IF($A201=0,0,SUMIF('Week 2 Roster'!$AZ:$AZ,$B201,'Week 2 Roster'!$AM:$AM))</f>
        <v>0</v>
      </c>
      <c r="AP201" s="17">
        <f ca="1">IF($A201=0,0,SUMIF('Week 2 Roster'!$AZ:$AZ,$B201,'Week 2 Roster'!$AO:$AO))</f>
        <v>0</v>
      </c>
      <c r="AQ201" s="38">
        <f ca="1">IF($A201=0,0,SUMIF('Week 2 Roster'!$AZ:$AZ,$B201,'Week 2 Roster'!$AP:$AP))</f>
        <v>0</v>
      </c>
      <c r="AR201" s="17">
        <f ca="1">IF($A201=0,0,SUMIF('Week 2 Roster'!$AZ:$AZ,$B201,'Week 2 Roster'!$AQ:$AQ))</f>
        <v>0</v>
      </c>
      <c r="AS201" s="17">
        <f ca="1">IF($A201=0,0,SUMIF('Week 2 Roster'!$AZ:$AZ,$B201,'Week 2 Roster'!$AR:$AR))</f>
        <v>0</v>
      </c>
      <c r="AT201" s="17">
        <f ca="1">IF($A201=0,0,SUMIF('Week 2 Roster'!$AZ:$AZ,$B201,'Week 2 Roster'!$AS:$AS))</f>
        <v>0</v>
      </c>
      <c r="AU201" s="17">
        <f t="shared" ref="AU201:AU264" ca="1" si="83">SUM(AK201:AP201,AR201:AT201)</f>
        <v>0</v>
      </c>
    </row>
    <row r="202" spans="1:48">
      <c r="A202" s="16" cm="1">
        <f t="array" aca="1" ref="A202" ca="1">_xlfn.NUMBERVALUE(INDIRECT(TEXT(MIN(IF(($AW$2:$AX$300&lt;&gt;"")*(COUNTIF($B$1:B201,$AW$2:$AX$300)=0),ROW($2:$300)*100+COLUMN($AW:$AX),7^8)),"R0C00"),)&amp;"")</f>
        <v>0</v>
      </c>
      <c r="B202" s="28" t="str">
        <f t="shared" ca="1" si="69"/>
        <v/>
      </c>
      <c r="C202" s="28" t="str">
        <f ca="1">IF($A202=0,"",VLOOKUP($B202,Employees!$A:$G,2,FALSE))</f>
        <v/>
      </c>
      <c r="D202" s="28" t="str">
        <f ca="1">IF($A202=0,"",VLOOKUP($B202,Employees!$A:$G,3,FALSE))</f>
        <v/>
      </c>
      <c r="E202" s="26" t="str">
        <f ca="1">IF($A202=0,"",VLOOKUP($B202,Employees!$A:$G,5,FALSE))</f>
        <v/>
      </c>
      <c r="F202" s="13" t="str">
        <f ca="1">IF($E202="","",ROUNDDOWN(YEARFRAC($E202, 'Week 1 Roster'!$D$1-1, 1), 0))</f>
        <v/>
      </c>
      <c r="G202" s="13" t="str">
        <f ca="1">IF($E202="","",ROUNDDOWN(YEARFRAC($E202, 'Week 1 Roster'!$D$1+14, 1), 0))</f>
        <v/>
      </c>
      <c r="H202" s="13" t="str">
        <f t="shared" ca="1" si="70"/>
        <v/>
      </c>
      <c r="I202" s="13" t="str">
        <f ca="1">IF($A202=0,"",VLOOKUP($B202,Employees!$A:$G,6,FALSE))</f>
        <v/>
      </c>
      <c r="J202" s="13" t="str">
        <f ca="1">IF($A202=0,"",VLOOKUP($B202,Employees!$A:$G,7,FALSE))</f>
        <v/>
      </c>
      <c r="K202" s="13" t="str">
        <f ca="1">IF($A202=0,"",IF(ISNA(VLOOKUP(A202,'Week 1 Roster'!A:C,2,0)),VLOOKUP(A202,'Week 2 Roster'!A:C,2,0),VLOOKUP(A202,'Week 1 Roster'!A:C,2,0)))</f>
        <v/>
      </c>
      <c r="L202" s="13" t="str">
        <f ca="1">IF($A202=0,"",VLOOKUP(K202,Stores!A:B,2,0))</f>
        <v/>
      </c>
      <c r="M202" s="14">
        <f t="shared" ca="1" si="71"/>
        <v>0</v>
      </c>
      <c r="N202" s="14">
        <f t="shared" ca="1" si="72"/>
        <v>0</v>
      </c>
      <c r="O202" s="14">
        <f t="shared" ca="1" si="73"/>
        <v>0</v>
      </c>
      <c r="P202" s="14">
        <f t="shared" ca="1" si="74"/>
        <v>0</v>
      </c>
      <c r="Q202" s="14">
        <f t="shared" ca="1" si="75"/>
        <v>0</v>
      </c>
      <c r="R202" s="14">
        <f t="shared" ca="1" si="76"/>
        <v>0</v>
      </c>
      <c r="S202" s="28">
        <f t="shared" ca="1" si="77"/>
        <v>0</v>
      </c>
      <c r="T202" s="14">
        <f t="shared" ca="1" si="78"/>
        <v>0</v>
      </c>
      <c r="U202" s="14">
        <f t="shared" ca="1" si="79"/>
        <v>0</v>
      </c>
      <c r="V202" s="14">
        <f t="shared" ca="1" si="80"/>
        <v>0</v>
      </c>
      <c r="W202" s="14">
        <f t="shared" ca="1" si="81"/>
        <v>0</v>
      </c>
      <c r="Y202" s="17">
        <f ca="1">IF($A202=0,0,SUMIF('Week 1 Roster'!$AZ:$AZ,$B202,'Week 1 Roster'!$AE:$AE))</f>
        <v>0</v>
      </c>
      <c r="Z202" s="17">
        <f ca="1">IF($A202=0,0,SUMIF('Week 1 Roster'!$AZ:$AZ,$B202,'Week 1 Roster'!$AG:$AG))</f>
        <v>0</v>
      </c>
      <c r="AA202" s="17">
        <f ca="1">IF($A202=0,0,SUMIF('Week 1 Roster'!$AZ:$AZ,$B202,'Week 1 Roster'!$AI:$AI))</f>
        <v>0</v>
      </c>
      <c r="AB202" s="17">
        <f ca="1">IF($A202=0,0,SUMIF('Week 1 Roster'!$AZ:$AZ,$B202,'Week 1 Roster'!$AK:$AK))</f>
        <v>0</v>
      </c>
      <c r="AC202" s="17">
        <f ca="1">IF($A202=0,0,SUMIF('Week 1 Roster'!$AZ:$AZ,$B202,'Week 1 Roster'!$AM:$AM))</f>
        <v>0</v>
      </c>
      <c r="AD202" s="17">
        <f ca="1">IF($A202=0,0,SUMIF('Week 1 Roster'!$AZ:$AZ,$B202,'Week 1 Roster'!$AO:$AO))</f>
        <v>0</v>
      </c>
      <c r="AE202" s="38">
        <f ca="1">IF($A202=0,0,SUMIF('Week 1 Roster'!$AZ:$AZ,$B202,'Week 1 Roster'!$AP:$AP))</f>
        <v>0</v>
      </c>
      <c r="AF202" s="17">
        <f ca="1">IF($A202=0,0,SUMIF('Week 1 Roster'!$AZ:$AZ,$B202,'Week 1 Roster'!$AQ:$AQ))</f>
        <v>0</v>
      </c>
      <c r="AG202" s="17">
        <f ca="1">IF($A202=0,0,SUMIF('Week 1 Roster'!$AZ:$AZ,$B202,'Week 1 Roster'!$AR:$AR))</f>
        <v>0</v>
      </c>
      <c r="AH202" s="17">
        <f ca="1">IF($A202=0,0,SUMIF('Week 1 Roster'!$AZ:$AZ,$B202,'Week 1 Roster'!$AS:$AS))</f>
        <v>0</v>
      </c>
      <c r="AI202" s="17">
        <f t="shared" ca="1" si="82"/>
        <v>0</v>
      </c>
      <c r="AK202" s="17">
        <f ca="1">IF($A202=0,0,SUMIF('Week 2 Roster'!$AZ:$AZ,$B202,'Week 2 Roster'!$AE:$AE))</f>
        <v>0</v>
      </c>
      <c r="AL202" s="17">
        <f ca="1">IF($A202=0,0,SUMIF('Week 2 Roster'!$AZ:$AZ,$B202,'Week 2 Roster'!$AG:$AG))</f>
        <v>0</v>
      </c>
      <c r="AM202" s="17">
        <f ca="1">IF($A202=0,0,SUMIF('Week 2 Roster'!$AZ:$AZ,$B202,'Week 2 Roster'!$AI:$AI))</f>
        <v>0</v>
      </c>
      <c r="AN202" s="17">
        <f ca="1">IF($A202=0,0,SUMIF('Week 2 Roster'!$AZ:$AZ,$B202,'Week 2 Roster'!$AK:$AK))</f>
        <v>0</v>
      </c>
      <c r="AO202" s="17">
        <f ca="1">IF($A202=0,0,SUMIF('Week 2 Roster'!$AZ:$AZ,$B202,'Week 2 Roster'!$AM:$AM))</f>
        <v>0</v>
      </c>
      <c r="AP202" s="17">
        <f ca="1">IF($A202=0,0,SUMIF('Week 2 Roster'!$AZ:$AZ,$B202,'Week 2 Roster'!$AO:$AO))</f>
        <v>0</v>
      </c>
      <c r="AQ202" s="38">
        <f ca="1">IF($A202=0,0,SUMIF('Week 2 Roster'!$AZ:$AZ,$B202,'Week 2 Roster'!$AP:$AP))</f>
        <v>0</v>
      </c>
      <c r="AR202" s="17">
        <f ca="1">IF($A202=0,0,SUMIF('Week 2 Roster'!$AZ:$AZ,$B202,'Week 2 Roster'!$AQ:$AQ))</f>
        <v>0</v>
      </c>
      <c r="AS202" s="17">
        <f ca="1">IF($A202=0,0,SUMIF('Week 2 Roster'!$AZ:$AZ,$B202,'Week 2 Roster'!$AR:$AR))</f>
        <v>0</v>
      </c>
      <c r="AT202" s="17">
        <f ca="1">IF($A202=0,0,SUMIF('Week 2 Roster'!$AZ:$AZ,$B202,'Week 2 Roster'!$AS:$AS))</f>
        <v>0</v>
      </c>
      <c r="AU202" s="17">
        <f t="shared" ca="1" si="83"/>
        <v>0</v>
      </c>
    </row>
    <row r="203" spans="1:48">
      <c r="A203" s="16" cm="1">
        <f t="array" aca="1" ref="A203" ca="1">_xlfn.NUMBERVALUE(INDIRECT(TEXT(MIN(IF(($AW$2:$AX$300&lt;&gt;"")*(COUNTIF($B$1:B202,$AW$2:$AX$300)=0),ROW($2:$300)*100+COLUMN($AW:$AX),7^8)),"R0C00"),)&amp;"")</f>
        <v>0</v>
      </c>
      <c r="B203" s="28" t="str">
        <f t="shared" ca="1" si="69"/>
        <v/>
      </c>
      <c r="C203" s="28" t="str">
        <f ca="1">IF($A203=0,"",VLOOKUP($B203,Employees!$A:$G,2,FALSE))</f>
        <v/>
      </c>
      <c r="D203" s="28" t="str">
        <f ca="1">IF($A203=0,"",VLOOKUP($B203,Employees!$A:$G,3,FALSE))</f>
        <v/>
      </c>
      <c r="E203" s="26" t="str">
        <f ca="1">IF($A203=0,"",VLOOKUP($B203,Employees!$A:$G,5,FALSE))</f>
        <v/>
      </c>
      <c r="F203" s="13" t="str">
        <f ca="1">IF($E203="","",ROUNDDOWN(YEARFRAC($E203, 'Week 1 Roster'!$D$1-1, 1), 0))</f>
        <v/>
      </c>
      <c r="G203" s="13" t="str">
        <f ca="1">IF($E203="","",ROUNDDOWN(YEARFRAC($E203, 'Week 1 Roster'!$D$1+14, 1), 0))</f>
        <v/>
      </c>
      <c r="H203" s="13" t="str">
        <f t="shared" ca="1" si="70"/>
        <v/>
      </c>
      <c r="I203" s="13" t="str">
        <f ca="1">IF($A203=0,"",VLOOKUP($B203,Employees!$A:$G,6,FALSE))</f>
        <v/>
      </c>
      <c r="J203" s="13" t="str">
        <f ca="1">IF($A203=0,"",VLOOKUP($B203,Employees!$A:$G,7,FALSE))</f>
        <v/>
      </c>
      <c r="K203" s="13" t="str">
        <f ca="1">IF($A203=0,"",IF(ISNA(VLOOKUP(A203,'Week 1 Roster'!A:C,2,0)),VLOOKUP(A203,'Week 2 Roster'!A:C,2,0),VLOOKUP(A203,'Week 1 Roster'!A:C,2,0)))</f>
        <v/>
      </c>
      <c r="L203" s="13" t="str">
        <f ca="1">IF($A203=0,"",VLOOKUP(K203,Stores!A:B,2,0))</f>
        <v/>
      </c>
      <c r="M203" s="14">
        <f t="shared" ca="1" si="71"/>
        <v>0</v>
      </c>
      <c r="N203" s="14">
        <f t="shared" ca="1" si="72"/>
        <v>0</v>
      </c>
      <c r="O203" s="14">
        <f t="shared" ca="1" si="73"/>
        <v>0</v>
      </c>
      <c r="P203" s="14">
        <f t="shared" ca="1" si="74"/>
        <v>0</v>
      </c>
      <c r="Q203" s="14">
        <f t="shared" ca="1" si="75"/>
        <v>0</v>
      </c>
      <c r="R203" s="14">
        <f t="shared" ca="1" si="76"/>
        <v>0</v>
      </c>
      <c r="S203" s="28">
        <f t="shared" ca="1" si="77"/>
        <v>0</v>
      </c>
      <c r="T203" s="14">
        <f t="shared" ca="1" si="78"/>
        <v>0</v>
      </c>
      <c r="U203" s="14">
        <f t="shared" ca="1" si="79"/>
        <v>0</v>
      </c>
      <c r="V203" s="14">
        <f t="shared" ca="1" si="80"/>
        <v>0</v>
      </c>
      <c r="W203" s="14">
        <f t="shared" ca="1" si="81"/>
        <v>0</v>
      </c>
      <c r="Y203" s="17">
        <f ca="1">IF($A203=0,0,SUMIF('Week 1 Roster'!$AZ:$AZ,$B203,'Week 1 Roster'!$AE:$AE))</f>
        <v>0</v>
      </c>
      <c r="Z203" s="17">
        <f ca="1">IF($A203=0,0,SUMIF('Week 1 Roster'!$AZ:$AZ,$B203,'Week 1 Roster'!$AG:$AG))</f>
        <v>0</v>
      </c>
      <c r="AA203" s="17">
        <f ca="1">IF($A203=0,0,SUMIF('Week 1 Roster'!$AZ:$AZ,$B203,'Week 1 Roster'!$AI:$AI))</f>
        <v>0</v>
      </c>
      <c r="AB203" s="17">
        <f ca="1">IF($A203=0,0,SUMIF('Week 1 Roster'!$AZ:$AZ,$B203,'Week 1 Roster'!$AK:$AK))</f>
        <v>0</v>
      </c>
      <c r="AC203" s="17">
        <f ca="1">IF($A203=0,0,SUMIF('Week 1 Roster'!$AZ:$AZ,$B203,'Week 1 Roster'!$AM:$AM))</f>
        <v>0</v>
      </c>
      <c r="AD203" s="17">
        <f ca="1">IF($A203=0,0,SUMIF('Week 1 Roster'!$AZ:$AZ,$B203,'Week 1 Roster'!$AO:$AO))</f>
        <v>0</v>
      </c>
      <c r="AE203" s="38">
        <f ca="1">IF($A203=0,0,SUMIF('Week 1 Roster'!$AZ:$AZ,$B203,'Week 1 Roster'!$AP:$AP))</f>
        <v>0</v>
      </c>
      <c r="AF203" s="17">
        <f ca="1">IF($A203=0,0,SUMIF('Week 1 Roster'!$AZ:$AZ,$B203,'Week 1 Roster'!$AQ:$AQ))</f>
        <v>0</v>
      </c>
      <c r="AG203" s="17">
        <f ca="1">IF($A203=0,0,SUMIF('Week 1 Roster'!$AZ:$AZ,$B203,'Week 1 Roster'!$AR:$AR))</f>
        <v>0</v>
      </c>
      <c r="AH203" s="17">
        <f ca="1">IF($A203=0,0,SUMIF('Week 1 Roster'!$AZ:$AZ,$B203,'Week 1 Roster'!$AS:$AS))</f>
        <v>0</v>
      </c>
      <c r="AI203" s="17">
        <f t="shared" ca="1" si="82"/>
        <v>0</v>
      </c>
      <c r="AK203" s="17">
        <f ca="1">IF($A203=0,0,SUMIF('Week 2 Roster'!$AZ:$AZ,$B203,'Week 2 Roster'!$AE:$AE))</f>
        <v>0</v>
      </c>
      <c r="AL203" s="17">
        <f ca="1">IF($A203=0,0,SUMIF('Week 2 Roster'!$AZ:$AZ,$B203,'Week 2 Roster'!$AG:$AG))</f>
        <v>0</v>
      </c>
      <c r="AM203" s="17">
        <f ca="1">IF($A203=0,0,SUMIF('Week 2 Roster'!$AZ:$AZ,$B203,'Week 2 Roster'!$AI:$AI))</f>
        <v>0</v>
      </c>
      <c r="AN203" s="17">
        <f ca="1">IF($A203=0,0,SUMIF('Week 2 Roster'!$AZ:$AZ,$B203,'Week 2 Roster'!$AK:$AK))</f>
        <v>0</v>
      </c>
      <c r="AO203" s="17">
        <f ca="1">IF($A203=0,0,SUMIF('Week 2 Roster'!$AZ:$AZ,$B203,'Week 2 Roster'!$AM:$AM))</f>
        <v>0</v>
      </c>
      <c r="AP203" s="17">
        <f ca="1">IF($A203=0,0,SUMIF('Week 2 Roster'!$AZ:$AZ,$B203,'Week 2 Roster'!$AO:$AO))</f>
        <v>0</v>
      </c>
      <c r="AQ203" s="38">
        <f ca="1">IF($A203=0,0,SUMIF('Week 2 Roster'!$AZ:$AZ,$B203,'Week 2 Roster'!$AP:$AP))</f>
        <v>0</v>
      </c>
      <c r="AR203" s="17">
        <f ca="1">IF($A203=0,0,SUMIF('Week 2 Roster'!$AZ:$AZ,$B203,'Week 2 Roster'!$AQ:$AQ))</f>
        <v>0</v>
      </c>
      <c r="AS203" s="17">
        <f ca="1">IF($A203=0,0,SUMIF('Week 2 Roster'!$AZ:$AZ,$B203,'Week 2 Roster'!$AR:$AR))</f>
        <v>0</v>
      </c>
      <c r="AT203" s="17">
        <f ca="1">IF($A203=0,0,SUMIF('Week 2 Roster'!$AZ:$AZ,$B203,'Week 2 Roster'!$AS:$AS))</f>
        <v>0</v>
      </c>
      <c r="AU203" s="17">
        <f t="shared" ca="1" si="83"/>
        <v>0</v>
      </c>
    </row>
    <row r="204" spans="1:48">
      <c r="A204" s="16" cm="1">
        <f t="array" aca="1" ref="A204" ca="1">_xlfn.NUMBERVALUE(INDIRECT(TEXT(MIN(IF(($AW$2:$AX$300&lt;&gt;"")*(COUNTIF($B$1:B203,$AW$2:$AX$300)=0),ROW($2:$300)*100+COLUMN($AW:$AX),7^8)),"R0C00"),)&amp;"")</f>
        <v>0</v>
      </c>
      <c r="B204" s="28" t="str">
        <f t="shared" ca="1" si="69"/>
        <v/>
      </c>
      <c r="C204" s="28" t="str">
        <f ca="1">IF($A204=0,"",VLOOKUP($B204,Employees!$A:$G,2,FALSE))</f>
        <v/>
      </c>
      <c r="D204" s="28" t="str">
        <f ca="1">IF($A204=0,"",VLOOKUP($B204,Employees!$A:$G,3,FALSE))</f>
        <v/>
      </c>
      <c r="E204" s="26" t="str">
        <f ca="1">IF($A204=0,"",VLOOKUP($B204,Employees!$A:$G,5,FALSE))</f>
        <v/>
      </c>
      <c r="F204" s="13" t="str">
        <f ca="1">IF($E204="","",ROUNDDOWN(YEARFRAC($E204, 'Week 1 Roster'!$D$1-1, 1), 0))</f>
        <v/>
      </c>
      <c r="G204" s="13" t="str">
        <f ca="1">IF($E204="","",ROUNDDOWN(YEARFRAC($E204, 'Week 1 Roster'!$D$1+14, 1), 0))</f>
        <v/>
      </c>
      <c r="H204" s="13" t="str">
        <f t="shared" ca="1" si="70"/>
        <v/>
      </c>
      <c r="I204" s="13" t="str">
        <f ca="1">IF($A204=0,"",VLOOKUP($B204,Employees!$A:$G,6,FALSE))</f>
        <v/>
      </c>
      <c r="J204" s="13" t="str">
        <f ca="1">IF($A204=0,"",VLOOKUP($B204,Employees!$A:$G,7,FALSE))</f>
        <v/>
      </c>
      <c r="K204" s="13" t="str">
        <f ca="1">IF($A204=0,"",IF(ISNA(VLOOKUP(A204,'Week 1 Roster'!A:C,2,0)),VLOOKUP(A204,'Week 2 Roster'!A:C,2,0),VLOOKUP(A204,'Week 1 Roster'!A:C,2,0)))</f>
        <v/>
      </c>
      <c r="L204" s="13" t="str">
        <f ca="1">IF($A204=0,"",VLOOKUP(K204,Stores!A:B,2,0))</f>
        <v/>
      </c>
      <c r="M204" s="14">
        <f t="shared" ca="1" si="71"/>
        <v>0</v>
      </c>
      <c r="N204" s="14">
        <f t="shared" ca="1" si="72"/>
        <v>0</v>
      </c>
      <c r="O204" s="14">
        <f t="shared" ca="1" si="73"/>
        <v>0</v>
      </c>
      <c r="P204" s="14">
        <f t="shared" ca="1" si="74"/>
        <v>0</v>
      </c>
      <c r="Q204" s="14">
        <f t="shared" ca="1" si="75"/>
        <v>0</v>
      </c>
      <c r="R204" s="14">
        <f t="shared" ca="1" si="76"/>
        <v>0</v>
      </c>
      <c r="S204" s="28">
        <f t="shared" ca="1" si="77"/>
        <v>0</v>
      </c>
      <c r="T204" s="14">
        <f t="shared" ca="1" si="78"/>
        <v>0</v>
      </c>
      <c r="U204" s="14">
        <f t="shared" ca="1" si="79"/>
        <v>0</v>
      </c>
      <c r="V204" s="14">
        <f t="shared" ca="1" si="80"/>
        <v>0</v>
      </c>
      <c r="W204" s="14">
        <f t="shared" ca="1" si="81"/>
        <v>0</v>
      </c>
      <c r="Y204" s="17">
        <f ca="1">IF($A204=0,0,SUMIF('Week 1 Roster'!$AZ:$AZ,$B204,'Week 1 Roster'!$AE:$AE))</f>
        <v>0</v>
      </c>
      <c r="Z204" s="17">
        <f ca="1">IF($A204=0,0,SUMIF('Week 1 Roster'!$AZ:$AZ,$B204,'Week 1 Roster'!$AG:$AG))</f>
        <v>0</v>
      </c>
      <c r="AA204" s="17">
        <f ca="1">IF($A204=0,0,SUMIF('Week 1 Roster'!$AZ:$AZ,$B204,'Week 1 Roster'!$AI:$AI))</f>
        <v>0</v>
      </c>
      <c r="AB204" s="17">
        <f ca="1">IF($A204=0,0,SUMIF('Week 1 Roster'!$AZ:$AZ,$B204,'Week 1 Roster'!$AK:$AK))</f>
        <v>0</v>
      </c>
      <c r="AC204" s="17">
        <f ca="1">IF($A204=0,0,SUMIF('Week 1 Roster'!$AZ:$AZ,$B204,'Week 1 Roster'!$AM:$AM))</f>
        <v>0</v>
      </c>
      <c r="AD204" s="17">
        <f ca="1">IF($A204=0,0,SUMIF('Week 1 Roster'!$AZ:$AZ,$B204,'Week 1 Roster'!$AO:$AO))</f>
        <v>0</v>
      </c>
      <c r="AE204" s="38">
        <f ca="1">IF($A204=0,0,SUMIF('Week 1 Roster'!$AZ:$AZ,$B204,'Week 1 Roster'!$AP:$AP))</f>
        <v>0</v>
      </c>
      <c r="AF204" s="17">
        <f ca="1">IF($A204=0,0,SUMIF('Week 1 Roster'!$AZ:$AZ,$B204,'Week 1 Roster'!$AQ:$AQ))</f>
        <v>0</v>
      </c>
      <c r="AG204" s="17">
        <f ca="1">IF($A204=0,0,SUMIF('Week 1 Roster'!$AZ:$AZ,$B204,'Week 1 Roster'!$AR:$AR))</f>
        <v>0</v>
      </c>
      <c r="AH204" s="17">
        <f ca="1">IF($A204=0,0,SUMIF('Week 1 Roster'!$AZ:$AZ,$B204,'Week 1 Roster'!$AS:$AS))</f>
        <v>0</v>
      </c>
      <c r="AI204" s="17">
        <f t="shared" ca="1" si="82"/>
        <v>0</v>
      </c>
      <c r="AK204" s="17">
        <f ca="1">IF($A204=0,0,SUMIF('Week 2 Roster'!$AZ:$AZ,$B204,'Week 2 Roster'!$AE:$AE))</f>
        <v>0</v>
      </c>
      <c r="AL204" s="17">
        <f ca="1">IF($A204=0,0,SUMIF('Week 2 Roster'!$AZ:$AZ,$B204,'Week 2 Roster'!$AG:$AG))</f>
        <v>0</v>
      </c>
      <c r="AM204" s="17">
        <f ca="1">IF($A204=0,0,SUMIF('Week 2 Roster'!$AZ:$AZ,$B204,'Week 2 Roster'!$AI:$AI))</f>
        <v>0</v>
      </c>
      <c r="AN204" s="17">
        <f ca="1">IF($A204=0,0,SUMIF('Week 2 Roster'!$AZ:$AZ,$B204,'Week 2 Roster'!$AK:$AK))</f>
        <v>0</v>
      </c>
      <c r="AO204" s="17">
        <f ca="1">IF($A204=0,0,SUMIF('Week 2 Roster'!$AZ:$AZ,$B204,'Week 2 Roster'!$AM:$AM))</f>
        <v>0</v>
      </c>
      <c r="AP204" s="17">
        <f ca="1">IF($A204=0,0,SUMIF('Week 2 Roster'!$AZ:$AZ,$B204,'Week 2 Roster'!$AO:$AO))</f>
        <v>0</v>
      </c>
      <c r="AQ204" s="38">
        <f ca="1">IF($A204=0,0,SUMIF('Week 2 Roster'!$AZ:$AZ,$B204,'Week 2 Roster'!$AP:$AP))</f>
        <v>0</v>
      </c>
      <c r="AR204" s="17">
        <f ca="1">IF($A204=0,0,SUMIF('Week 2 Roster'!$AZ:$AZ,$B204,'Week 2 Roster'!$AQ:$AQ))</f>
        <v>0</v>
      </c>
      <c r="AS204" s="17">
        <f ca="1">IF($A204=0,0,SUMIF('Week 2 Roster'!$AZ:$AZ,$B204,'Week 2 Roster'!$AR:$AR))</f>
        <v>0</v>
      </c>
      <c r="AT204" s="17">
        <f ca="1">IF($A204=0,0,SUMIF('Week 2 Roster'!$AZ:$AZ,$B204,'Week 2 Roster'!$AS:$AS))</f>
        <v>0</v>
      </c>
      <c r="AU204" s="17">
        <f t="shared" ca="1" si="83"/>
        <v>0</v>
      </c>
    </row>
    <row r="205" spans="1:48">
      <c r="A205" s="16" cm="1">
        <f t="array" aca="1" ref="A205" ca="1">_xlfn.NUMBERVALUE(INDIRECT(TEXT(MIN(IF(($AW$2:$AX$300&lt;&gt;"")*(COUNTIF($B$1:B204,$AW$2:$AX$300)=0),ROW($2:$300)*100+COLUMN($AW:$AX),7^8)),"R0C00"),)&amp;"")</f>
        <v>0</v>
      </c>
      <c r="B205" s="28" t="str">
        <f t="shared" ca="1" si="69"/>
        <v/>
      </c>
      <c r="C205" s="28" t="str">
        <f ca="1">IF($A205=0,"",VLOOKUP($B205,Employees!$A:$G,2,FALSE))</f>
        <v/>
      </c>
      <c r="D205" s="28" t="str">
        <f ca="1">IF($A205=0,"",VLOOKUP($B205,Employees!$A:$G,3,FALSE))</f>
        <v/>
      </c>
      <c r="E205" s="26" t="str">
        <f ca="1">IF($A205=0,"",VLOOKUP($B205,Employees!$A:$G,5,FALSE))</f>
        <v/>
      </c>
      <c r="F205" s="13" t="str">
        <f ca="1">IF($E205="","",ROUNDDOWN(YEARFRAC($E205, 'Week 1 Roster'!$D$1-1, 1), 0))</f>
        <v/>
      </c>
      <c r="G205" s="13" t="str">
        <f ca="1">IF($E205="","",ROUNDDOWN(YEARFRAC($E205, 'Week 1 Roster'!$D$1+14, 1), 0))</f>
        <v/>
      </c>
      <c r="H205" s="13" t="str">
        <f t="shared" ca="1" si="70"/>
        <v/>
      </c>
      <c r="I205" s="13" t="str">
        <f ca="1">IF($A205=0,"",VLOOKUP($B205,Employees!$A:$G,6,FALSE))</f>
        <v/>
      </c>
      <c r="J205" s="13" t="str">
        <f ca="1">IF($A205=0,"",VLOOKUP($B205,Employees!$A:$G,7,FALSE))</f>
        <v/>
      </c>
      <c r="K205" s="13" t="str">
        <f ca="1">IF($A205=0,"",IF(ISNA(VLOOKUP(A205,'Week 1 Roster'!A:C,2,0)),VLOOKUP(A205,'Week 2 Roster'!A:C,2,0),VLOOKUP(A205,'Week 1 Roster'!A:C,2,0)))</f>
        <v/>
      </c>
      <c r="L205" s="13" t="str">
        <f ca="1">IF($A205=0,"",VLOOKUP(K205,Stores!A:B,2,0))</f>
        <v/>
      </c>
      <c r="M205" s="14">
        <f t="shared" ca="1" si="71"/>
        <v>0</v>
      </c>
      <c r="N205" s="14">
        <f t="shared" ca="1" si="72"/>
        <v>0</v>
      </c>
      <c r="O205" s="14">
        <f t="shared" ca="1" si="73"/>
        <v>0</v>
      </c>
      <c r="P205" s="14">
        <f t="shared" ca="1" si="74"/>
        <v>0</v>
      </c>
      <c r="Q205" s="14">
        <f t="shared" ca="1" si="75"/>
        <v>0</v>
      </c>
      <c r="R205" s="14">
        <f t="shared" ca="1" si="76"/>
        <v>0</v>
      </c>
      <c r="S205" s="28">
        <f t="shared" ca="1" si="77"/>
        <v>0</v>
      </c>
      <c r="T205" s="14">
        <f t="shared" ca="1" si="78"/>
        <v>0</v>
      </c>
      <c r="U205" s="14">
        <f t="shared" ca="1" si="79"/>
        <v>0</v>
      </c>
      <c r="V205" s="14">
        <f t="shared" ca="1" si="80"/>
        <v>0</v>
      </c>
      <c r="W205" s="14">
        <f t="shared" ca="1" si="81"/>
        <v>0</v>
      </c>
      <c r="Y205" s="17">
        <f ca="1">IF($A205=0,0,SUMIF('Week 1 Roster'!$AZ:$AZ,$B205,'Week 1 Roster'!$AE:$AE))</f>
        <v>0</v>
      </c>
      <c r="Z205" s="17">
        <f ca="1">IF($A205=0,0,SUMIF('Week 1 Roster'!$AZ:$AZ,$B205,'Week 1 Roster'!$AG:$AG))</f>
        <v>0</v>
      </c>
      <c r="AA205" s="17">
        <f ca="1">IF($A205=0,0,SUMIF('Week 1 Roster'!$AZ:$AZ,$B205,'Week 1 Roster'!$AI:$AI))</f>
        <v>0</v>
      </c>
      <c r="AB205" s="17">
        <f ca="1">IF($A205=0,0,SUMIF('Week 1 Roster'!$AZ:$AZ,$B205,'Week 1 Roster'!$AK:$AK))</f>
        <v>0</v>
      </c>
      <c r="AC205" s="17">
        <f ca="1">IF($A205=0,0,SUMIF('Week 1 Roster'!$AZ:$AZ,$B205,'Week 1 Roster'!$AM:$AM))</f>
        <v>0</v>
      </c>
      <c r="AD205" s="17">
        <f ca="1">IF($A205=0,0,SUMIF('Week 1 Roster'!$AZ:$AZ,$B205,'Week 1 Roster'!$AO:$AO))</f>
        <v>0</v>
      </c>
      <c r="AE205" s="38">
        <f ca="1">IF($A205=0,0,SUMIF('Week 1 Roster'!$AZ:$AZ,$B205,'Week 1 Roster'!$AP:$AP))</f>
        <v>0</v>
      </c>
      <c r="AF205" s="17">
        <f ca="1">IF($A205=0,0,SUMIF('Week 1 Roster'!$AZ:$AZ,$B205,'Week 1 Roster'!$AQ:$AQ))</f>
        <v>0</v>
      </c>
      <c r="AG205" s="17">
        <f ca="1">IF($A205=0,0,SUMIF('Week 1 Roster'!$AZ:$AZ,$B205,'Week 1 Roster'!$AR:$AR))</f>
        <v>0</v>
      </c>
      <c r="AH205" s="17">
        <f ca="1">IF($A205=0,0,SUMIF('Week 1 Roster'!$AZ:$AZ,$B205,'Week 1 Roster'!$AS:$AS))</f>
        <v>0</v>
      </c>
      <c r="AI205" s="17">
        <f t="shared" ca="1" si="82"/>
        <v>0</v>
      </c>
      <c r="AK205" s="17">
        <f ca="1">IF($A205=0,0,SUMIF('Week 2 Roster'!$AZ:$AZ,$B205,'Week 2 Roster'!$AE:$AE))</f>
        <v>0</v>
      </c>
      <c r="AL205" s="17">
        <f ca="1">IF($A205=0,0,SUMIF('Week 2 Roster'!$AZ:$AZ,$B205,'Week 2 Roster'!$AG:$AG))</f>
        <v>0</v>
      </c>
      <c r="AM205" s="17">
        <f ca="1">IF($A205=0,0,SUMIF('Week 2 Roster'!$AZ:$AZ,$B205,'Week 2 Roster'!$AI:$AI))</f>
        <v>0</v>
      </c>
      <c r="AN205" s="17">
        <f ca="1">IF($A205=0,0,SUMIF('Week 2 Roster'!$AZ:$AZ,$B205,'Week 2 Roster'!$AK:$AK))</f>
        <v>0</v>
      </c>
      <c r="AO205" s="17">
        <f ca="1">IF($A205=0,0,SUMIF('Week 2 Roster'!$AZ:$AZ,$B205,'Week 2 Roster'!$AM:$AM))</f>
        <v>0</v>
      </c>
      <c r="AP205" s="17">
        <f ca="1">IF($A205=0,0,SUMIF('Week 2 Roster'!$AZ:$AZ,$B205,'Week 2 Roster'!$AO:$AO))</f>
        <v>0</v>
      </c>
      <c r="AQ205" s="38">
        <f ca="1">IF($A205=0,0,SUMIF('Week 2 Roster'!$AZ:$AZ,$B205,'Week 2 Roster'!$AP:$AP))</f>
        <v>0</v>
      </c>
      <c r="AR205" s="17">
        <f ca="1">IF($A205=0,0,SUMIF('Week 2 Roster'!$AZ:$AZ,$B205,'Week 2 Roster'!$AQ:$AQ))</f>
        <v>0</v>
      </c>
      <c r="AS205" s="17">
        <f ca="1">IF($A205=0,0,SUMIF('Week 2 Roster'!$AZ:$AZ,$B205,'Week 2 Roster'!$AR:$AR))</f>
        <v>0</v>
      </c>
      <c r="AT205" s="17">
        <f ca="1">IF($A205=0,0,SUMIF('Week 2 Roster'!$AZ:$AZ,$B205,'Week 2 Roster'!$AS:$AS))</f>
        <v>0</v>
      </c>
      <c r="AU205" s="17">
        <f t="shared" ca="1" si="83"/>
        <v>0</v>
      </c>
    </row>
    <row r="206" spans="1:48">
      <c r="A206" s="16" cm="1">
        <f t="array" aca="1" ref="A206" ca="1">_xlfn.NUMBERVALUE(INDIRECT(TEXT(MIN(IF(($AW$2:$AX$300&lt;&gt;"")*(COUNTIF($B$1:B205,$AW$2:$AX$300)=0),ROW($2:$300)*100+COLUMN($AW:$AX),7^8)),"R0C00"),)&amp;"")</f>
        <v>0</v>
      </c>
      <c r="B206" s="28" t="str">
        <f t="shared" ca="1" si="69"/>
        <v/>
      </c>
      <c r="C206" s="28" t="str">
        <f ca="1">IF($A206=0,"",VLOOKUP($B206,Employees!$A:$G,2,FALSE))</f>
        <v/>
      </c>
      <c r="D206" s="28" t="str">
        <f ca="1">IF($A206=0,"",VLOOKUP($B206,Employees!$A:$G,3,FALSE))</f>
        <v/>
      </c>
      <c r="E206" s="26" t="str">
        <f ca="1">IF($A206=0,"",VLOOKUP($B206,Employees!$A:$G,5,FALSE))</f>
        <v/>
      </c>
      <c r="F206" s="13" t="str">
        <f ca="1">IF($E206="","",ROUNDDOWN(YEARFRAC($E206, 'Week 1 Roster'!$D$1-1, 1), 0))</f>
        <v/>
      </c>
      <c r="G206" s="13" t="str">
        <f ca="1">IF($E206="","",ROUNDDOWN(YEARFRAC($E206, 'Week 1 Roster'!$D$1+14, 1), 0))</f>
        <v/>
      </c>
      <c r="H206" s="13" t="str">
        <f t="shared" ca="1" si="70"/>
        <v/>
      </c>
      <c r="I206" s="13" t="str">
        <f ca="1">IF($A206=0,"",VLOOKUP($B206,Employees!$A:$G,6,FALSE))</f>
        <v/>
      </c>
      <c r="J206" s="13" t="str">
        <f ca="1">IF($A206=0,"",VLOOKUP($B206,Employees!$A:$G,7,FALSE))</f>
        <v/>
      </c>
      <c r="K206" s="13" t="str">
        <f ca="1">IF($A206=0,"",IF(ISNA(VLOOKUP(A206,'Week 1 Roster'!A:C,2,0)),VLOOKUP(A206,'Week 2 Roster'!A:C,2,0),VLOOKUP(A206,'Week 1 Roster'!A:C,2,0)))</f>
        <v/>
      </c>
      <c r="L206" s="13" t="str">
        <f ca="1">IF($A206=0,"",VLOOKUP(K206,Stores!A:B,2,0))</f>
        <v/>
      </c>
      <c r="M206" s="14">
        <f t="shared" ca="1" si="71"/>
        <v>0</v>
      </c>
      <c r="N206" s="14">
        <f t="shared" ca="1" si="72"/>
        <v>0</v>
      </c>
      <c r="O206" s="14">
        <f t="shared" ca="1" si="73"/>
        <v>0</v>
      </c>
      <c r="P206" s="14">
        <f t="shared" ca="1" si="74"/>
        <v>0</v>
      </c>
      <c r="Q206" s="14">
        <f t="shared" ca="1" si="75"/>
        <v>0</v>
      </c>
      <c r="R206" s="14">
        <f t="shared" ca="1" si="76"/>
        <v>0</v>
      </c>
      <c r="S206" s="28">
        <f t="shared" ca="1" si="77"/>
        <v>0</v>
      </c>
      <c r="T206" s="14">
        <f t="shared" ca="1" si="78"/>
        <v>0</v>
      </c>
      <c r="U206" s="14">
        <f t="shared" ca="1" si="79"/>
        <v>0</v>
      </c>
      <c r="V206" s="14">
        <f t="shared" ca="1" si="80"/>
        <v>0</v>
      </c>
      <c r="W206" s="14">
        <f t="shared" ca="1" si="81"/>
        <v>0</v>
      </c>
      <c r="Y206" s="17">
        <f ca="1">IF($A206=0,0,SUMIF('Week 1 Roster'!$AZ:$AZ,$B206,'Week 1 Roster'!$AE:$AE))</f>
        <v>0</v>
      </c>
      <c r="Z206" s="17">
        <f ca="1">IF($A206=0,0,SUMIF('Week 1 Roster'!$AZ:$AZ,$B206,'Week 1 Roster'!$AG:$AG))</f>
        <v>0</v>
      </c>
      <c r="AA206" s="17">
        <f ca="1">IF($A206=0,0,SUMIF('Week 1 Roster'!$AZ:$AZ,$B206,'Week 1 Roster'!$AI:$AI))</f>
        <v>0</v>
      </c>
      <c r="AB206" s="17">
        <f ca="1">IF($A206=0,0,SUMIF('Week 1 Roster'!$AZ:$AZ,$B206,'Week 1 Roster'!$AK:$AK))</f>
        <v>0</v>
      </c>
      <c r="AC206" s="17">
        <f ca="1">IF($A206=0,0,SUMIF('Week 1 Roster'!$AZ:$AZ,$B206,'Week 1 Roster'!$AM:$AM))</f>
        <v>0</v>
      </c>
      <c r="AD206" s="17">
        <f ca="1">IF($A206=0,0,SUMIF('Week 1 Roster'!$AZ:$AZ,$B206,'Week 1 Roster'!$AO:$AO))</f>
        <v>0</v>
      </c>
      <c r="AE206" s="38">
        <f ca="1">IF($A206=0,0,SUMIF('Week 1 Roster'!$AZ:$AZ,$B206,'Week 1 Roster'!$AP:$AP))</f>
        <v>0</v>
      </c>
      <c r="AF206" s="17">
        <f ca="1">IF($A206=0,0,SUMIF('Week 1 Roster'!$AZ:$AZ,$B206,'Week 1 Roster'!$AQ:$AQ))</f>
        <v>0</v>
      </c>
      <c r="AG206" s="17">
        <f ca="1">IF($A206=0,0,SUMIF('Week 1 Roster'!$AZ:$AZ,$B206,'Week 1 Roster'!$AR:$AR))</f>
        <v>0</v>
      </c>
      <c r="AH206" s="17">
        <f ca="1">IF($A206=0,0,SUMIF('Week 1 Roster'!$AZ:$AZ,$B206,'Week 1 Roster'!$AS:$AS))</f>
        <v>0</v>
      </c>
      <c r="AI206" s="17">
        <f t="shared" ca="1" si="82"/>
        <v>0</v>
      </c>
      <c r="AK206" s="17">
        <f ca="1">IF($A206=0,0,SUMIF('Week 2 Roster'!$AZ:$AZ,$B206,'Week 2 Roster'!$AE:$AE))</f>
        <v>0</v>
      </c>
      <c r="AL206" s="17">
        <f ca="1">IF($A206=0,0,SUMIF('Week 2 Roster'!$AZ:$AZ,$B206,'Week 2 Roster'!$AG:$AG))</f>
        <v>0</v>
      </c>
      <c r="AM206" s="17">
        <f ca="1">IF($A206=0,0,SUMIF('Week 2 Roster'!$AZ:$AZ,$B206,'Week 2 Roster'!$AI:$AI))</f>
        <v>0</v>
      </c>
      <c r="AN206" s="17">
        <f ca="1">IF($A206=0,0,SUMIF('Week 2 Roster'!$AZ:$AZ,$B206,'Week 2 Roster'!$AK:$AK))</f>
        <v>0</v>
      </c>
      <c r="AO206" s="17">
        <f ca="1">IF($A206=0,0,SUMIF('Week 2 Roster'!$AZ:$AZ,$B206,'Week 2 Roster'!$AM:$AM))</f>
        <v>0</v>
      </c>
      <c r="AP206" s="17">
        <f ca="1">IF($A206=0,0,SUMIF('Week 2 Roster'!$AZ:$AZ,$B206,'Week 2 Roster'!$AO:$AO))</f>
        <v>0</v>
      </c>
      <c r="AQ206" s="38">
        <f ca="1">IF($A206=0,0,SUMIF('Week 2 Roster'!$AZ:$AZ,$B206,'Week 2 Roster'!$AP:$AP))</f>
        <v>0</v>
      </c>
      <c r="AR206" s="17">
        <f ca="1">IF($A206=0,0,SUMIF('Week 2 Roster'!$AZ:$AZ,$B206,'Week 2 Roster'!$AQ:$AQ))</f>
        <v>0</v>
      </c>
      <c r="AS206" s="17">
        <f ca="1">IF($A206=0,0,SUMIF('Week 2 Roster'!$AZ:$AZ,$B206,'Week 2 Roster'!$AR:$AR))</f>
        <v>0</v>
      </c>
      <c r="AT206" s="17">
        <f ca="1">IF($A206=0,0,SUMIF('Week 2 Roster'!$AZ:$AZ,$B206,'Week 2 Roster'!$AS:$AS))</f>
        <v>0</v>
      </c>
      <c r="AU206" s="17">
        <f t="shared" ca="1" si="83"/>
        <v>0</v>
      </c>
    </row>
    <row r="207" spans="1:48">
      <c r="A207" s="16" cm="1">
        <f t="array" aca="1" ref="A207" ca="1">_xlfn.NUMBERVALUE(INDIRECT(TEXT(MIN(IF(($AW$2:$AX$300&lt;&gt;"")*(COUNTIF($B$1:B206,$AW$2:$AX$300)=0),ROW($2:$300)*100+COLUMN($AW:$AX),7^8)),"R0C00"),)&amp;"")</f>
        <v>0</v>
      </c>
      <c r="B207" s="28" t="str">
        <f t="shared" ca="1" si="69"/>
        <v/>
      </c>
      <c r="C207" s="28" t="str">
        <f ca="1">IF($A207=0,"",VLOOKUP($B207,Employees!$A:$G,2,FALSE))</f>
        <v/>
      </c>
      <c r="D207" s="28" t="str">
        <f ca="1">IF($A207=0,"",VLOOKUP($B207,Employees!$A:$G,3,FALSE))</f>
        <v/>
      </c>
      <c r="E207" s="26" t="str">
        <f ca="1">IF($A207=0,"",VLOOKUP($B207,Employees!$A:$G,5,FALSE))</f>
        <v/>
      </c>
      <c r="F207" s="13" t="str">
        <f ca="1">IF($E207="","",ROUNDDOWN(YEARFRAC($E207, 'Week 1 Roster'!$D$1-1, 1), 0))</f>
        <v/>
      </c>
      <c r="G207" s="13" t="str">
        <f ca="1">IF($E207="","",ROUNDDOWN(YEARFRAC($E207, 'Week 1 Roster'!$D$1+14, 1), 0))</f>
        <v/>
      </c>
      <c r="H207" s="13" t="str">
        <f t="shared" ca="1" si="70"/>
        <v/>
      </c>
      <c r="I207" s="13" t="str">
        <f ca="1">IF($A207=0,"",VLOOKUP($B207,Employees!$A:$G,6,FALSE))</f>
        <v/>
      </c>
      <c r="J207" s="13" t="str">
        <f ca="1">IF($A207=0,"",VLOOKUP($B207,Employees!$A:$G,7,FALSE))</f>
        <v/>
      </c>
      <c r="K207" s="13" t="str">
        <f ca="1">IF($A207=0,"",IF(ISNA(VLOOKUP(A207,'Week 1 Roster'!A:C,2,0)),VLOOKUP(A207,'Week 2 Roster'!A:C,2,0),VLOOKUP(A207,'Week 1 Roster'!A:C,2,0)))</f>
        <v/>
      </c>
      <c r="L207" s="13" t="str">
        <f ca="1">IF($A207=0,"",VLOOKUP(K207,Stores!A:B,2,0))</f>
        <v/>
      </c>
      <c r="M207" s="14">
        <f t="shared" ca="1" si="71"/>
        <v>0</v>
      </c>
      <c r="N207" s="14">
        <f t="shared" ca="1" si="72"/>
        <v>0</v>
      </c>
      <c r="O207" s="14">
        <f t="shared" ca="1" si="73"/>
        <v>0</v>
      </c>
      <c r="P207" s="14">
        <f t="shared" ca="1" si="74"/>
        <v>0</v>
      </c>
      <c r="Q207" s="14">
        <f t="shared" ca="1" si="75"/>
        <v>0</v>
      </c>
      <c r="R207" s="14">
        <f t="shared" ca="1" si="76"/>
        <v>0</v>
      </c>
      <c r="S207" s="28">
        <f t="shared" ca="1" si="77"/>
        <v>0</v>
      </c>
      <c r="T207" s="14">
        <f t="shared" ca="1" si="78"/>
        <v>0</v>
      </c>
      <c r="U207" s="14">
        <f t="shared" ca="1" si="79"/>
        <v>0</v>
      </c>
      <c r="V207" s="14">
        <f t="shared" ca="1" si="80"/>
        <v>0</v>
      </c>
      <c r="W207" s="14">
        <f t="shared" ca="1" si="81"/>
        <v>0</v>
      </c>
      <c r="Y207" s="17">
        <f ca="1">IF($A207=0,0,SUMIF('Week 1 Roster'!$AZ:$AZ,$B207,'Week 1 Roster'!$AE:$AE))</f>
        <v>0</v>
      </c>
      <c r="Z207" s="17">
        <f ca="1">IF($A207=0,0,SUMIF('Week 1 Roster'!$AZ:$AZ,$B207,'Week 1 Roster'!$AG:$AG))</f>
        <v>0</v>
      </c>
      <c r="AA207" s="17">
        <f ca="1">IF($A207=0,0,SUMIF('Week 1 Roster'!$AZ:$AZ,$B207,'Week 1 Roster'!$AI:$AI))</f>
        <v>0</v>
      </c>
      <c r="AB207" s="17">
        <f ca="1">IF($A207=0,0,SUMIF('Week 1 Roster'!$AZ:$AZ,$B207,'Week 1 Roster'!$AK:$AK))</f>
        <v>0</v>
      </c>
      <c r="AC207" s="17">
        <f ca="1">IF($A207=0,0,SUMIF('Week 1 Roster'!$AZ:$AZ,$B207,'Week 1 Roster'!$AM:$AM))</f>
        <v>0</v>
      </c>
      <c r="AD207" s="17">
        <f ca="1">IF($A207=0,0,SUMIF('Week 1 Roster'!$AZ:$AZ,$B207,'Week 1 Roster'!$AO:$AO))</f>
        <v>0</v>
      </c>
      <c r="AE207" s="38">
        <f ca="1">IF($A207=0,0,SUMIF('Week 1 Roster'!$AZ:$AZ,$B207,'Week 1 Roster'!$AP:$AP))</f>
        <v>0</v>
      </c>
      <c r="AF207" s="17">
        <f ca="1">IF($A207=0,0,SUMIF('Week 1 Roster'!$AZ:$AZ,$B207,'Week 1 Roster'!$AQ:$AQ))</f>
        <v>0</v>
      </c>
      <c r="AG207" s="17">
        <f ca="1">IF($A207=0,0,SUMIF('Week 1 Roster'!$AZ:$AZ,$B207,'Week 1 Roster'!$AR:$AR))</f>
        <v>0</v>
      </c>
      <c r="AH207" s="17">
        <f ca="1">IF($A207=0,0,SUMIF('Week 1 Roster'!$AZ:$AZ,$B207,'Week 1 Roster'!$AS:$AS))</f>
        <v>0</v>
      </c>
      <c r="AI207" s="17">
        <f t="shared" ca="1" si="82"/>
        <v>0</v>
      </c>
      <c r="AK207" s="17">
        <f ca="1">IF($A207=0,0,SUMIF('Week 2 Roster'!$AZ:$AZ,$B207,'Week 2 Roster'!$AE:$AE))</f>
        <v>0</v>
      </c>
      <c r="AL207" s="17">
        <f ca="1">IF($A207=0,0,SUMIF('Week 2 Roster'!$AZ:$AZ,$B207,'Week 2 Roster'!$AG:$AG))</f>
        <v>0</v>
      </c>
      <c r="AM207" s="17">
        <f ca="1">IF($A207=0,0,SUMIF('Week 2 Roster'!$AZ:$AZ,$B207,'Week 2 Roster'!$AI:$AI))</f>
        <v>0</v>
      </c>
      <c r="AN207" s="17">
        <f ca="1">IF($A207=0,0,SUMIF('Week 2 Roster'!$AZ:$AZ,$B207,'Week 2 Roster'!$AK:$AK))</f>
        <v>0</v>
      </c>
      <c r="AO207" s="17">
        <f ca="1">IF($A207=0,0,SUMIF('Week 2 Roster'!$AZ:$AZ,$B207,'Week 2 Roster'!$AM:$AM))</f>
        <v>0</v>
      </c>
      <c r="AP207" s="17">
        <f ca="1">IF($A207=0,0,SUMIF('Week 2 Roster'!$AZ:$AZ,$B207,'Week 2 Roster'!$AO:$AO))</f>
        <v>0</v>
      </c>
      <c r="AQ207" s="38">
        <f ca="1">IF($A207=0,0,SUMIF('Week 2 Roster'!$AZ:$AZ,$B207,'Week 2 Roster'!$AP:$AP))</f>
        <v>0</v>
      </c>
      <c r="AR207" s="17">
        <f ca="1">IF($A207=0,0,SUMIF('Week 2 Roster'!$AZ:$AZ,$B207,'Week 2 Roster'!$AQ:$AQ))</f>
        <v>0</v>
      </c>
      <c r="AS207" s="17">
        <f ca="1">IF($A207=0,0,SUMIF('Week 2 Roster'!$AZ:$AZ,$B207,'Week 2 Roster'!$AR:$AR))</f>
        <v>0</v>
      </c>
      <c r="AT207" s="17">
        <f ca="1">IF($A207=0,0,SUMIF('Week 2 Roster'!$AZ:$AZ,$B207,'Week 2 Roster'!$AS:$AS))</f>
        <v>0</v>
      </c>
      <c r="AU207" s="17">
        <f t="shared" ca="1" si="83"/>
        <v>0</v>
      </c>
    </row>
    <row r="208" spans="1:48">
      <c r="A208" s="16" cm="1">
        <f t="array" aca="1" ref="A208" ca="1">_xlfn.NUMBERVALUE(INDIRECT(TEXT(MIN(IF(($AW$2:$AX$300&lt;&gt;"")*(COUNTIF($B$1:B207,$AW$2:$AX$300)=0),ROW($2:$300)*100+COLUMN($AW:$AX),7^8)),"R0C00"),)&amp;"")</f>
        <v>0</v>
      </c>
      <c r="B208" s="28" t="str">
        <f t="shared" ca="1" si="69"/>
        <v/>
      </c>
      <c r="C208" s="28" t="str">
        <f ca="1">IF($A208=0,"",VLOOKUP($B208,Employees!$A:$G,2,FALSE))</f>
        <v/>
      </c>
      <c r="D208" s="28" t="str">
        <f ca="1">IF($A208=0,"",VLOOKUP($B208,Employees!$A:$G,3,FALSE))</f>
        <v/>
      </c>
      <c r="E208" s="26" t="str">
        <f ca="1">IF($A208=0,"",VLOOKUP($B208,Employees!$A:$G,5,FALSE))</f>
        <v/>
      </c>
      <c r="F208" s="13" t="str">
        <f ca="1">IF($E208="","",ROUNDDOWN(YEARFRAC($E208, 'Week 1 Roster'!$D$1-1, 1), 0))</f>
        <v/>
      </c>
      <c r="G208" s="13" t="str">
        <f ca="1">IF($E208="","",ROUNDDOWN(YEARFRAC($E208, 'Week 1 Roster'!$D$1+14, 1), 0))</f>
        <v/>
      </c>
      <c r="H208" s="13" t="str">
        <f t="shared" ca="1" si="70"/>
        <v/>
      </c>
      <c r="I208" s="13" t="str">
        <f ca="1">IF($A208=0,"",VLOOKUP($B208,Employees!$A:$G,6,FALSE))</f>
        <v/>
      </c>
      <c r="J208" s="13" t="str">
        <f ca="1">IF($A208=0,"",VLOOKUP($B208,Employees!$A:$G,7,FALSE))</f>
        <v/>
      </c>
      <c r="K208" s="13" t="str">
        <f ca="1">IF($A208=0,"",IF(ISNA(VLOOKUP(A208,'Week 1 Roster'!A:C,2,0)),VLOOKUP(A208,'Week 2 Roster'!A:C,2,0),VLOOKUP(A208,'Week 1 Roster'!A:C,2,0)))</f>
        <v/>
      </c>
      <c r="L208" s="13" t="str">
        <f ca="1">IF($A208=0,"",VLOOKUP(K208,Stores!A:B,2,0))</f>
        <v/>
      </c>
      <c r="M208" s="14">
        <f t="shared" ca="1" si="71"/>
        <v>0</v>
      </c>
      <c r="N208" s="14">
        <f t="shared" ca="1" si="72"/>
        <v>0</v>
      </c>
      <c r="O208" s="14">
        <f t="shared" ca="1" si="73"/>
        <v>0</v>
      </c>
      <c r="P208" s="14">
        <f t="shared" ca="1" si="74"/>
        <v>0</v>
      </c>
      <c r="Q208" s="14">
        <f t="shared" ca="1" si="75"/>
        <v>0</v>
      </c>
      <c r="R208" s="14">
        <f t="shared" ca="1" si="76"/>
        <v>0</v>
      </c>
      <c r="S208" s="28">
        <f t="shared" ca="1" si="77"/>
        <v>0</v>
      </c>
      <c r="T208" s="14">
        <f t="shared" ca="1" si="78"/>
        <v>0</v>
      </c>
      <c r="U208" s="14">
        <f t="shared" ca="1" si="79"/>
        <v>0</v>
      </c>
      <c r="V208" s="14">
        <f t="shared" ca="1" si="80"/>
        <v>0</v>
      </c>
      <c r="W208" s="14">
        <f t="shared" ca="1" si="81"/>
        <v>0</v>
      </c>
      <c r="Y208" s="17">
        <f ca="1">IF($A208=0,0,SUMIF('Week 1 Roster'!$AZ:$AZ,$B208,'Week 1 Roster'!$AE:$AE))</f>
        <v>0</v>
      </c>
      <c r="Z208" s="17">
        <f ca="1">IF($A208=0,0,SUMIF('Week 1 Roster'!$AZ:$AZ,$B208,'Week 1 Roster'!$AG:$AG))</f>
        <v>0</v>
      </c>
      <c r="AA208" s="17">
        <f ca="1">IF($A208=0,0,SUMIF('Week 1 Roster'!$AZ:$AZ,$B208,'Week 1 Roster'!$AI:$AI))</f>
        <v>0</v>
      </c>
      <c r="AB208" s="17">
        <f ca="1">IF($A208=0,0,SUMIF('Week 1 Roster'!$AZ:$AZ,$B208,'Week 1 Roster'!$AK:$AK))</f>
        <v>0</v>
      </c>
      <c r="AC208" s="17">
        <f ca="1">IF($A208=0,0,SUMIF('Week 1 Roster'!$AZ:$AZ,$B208,'Week 1 Roster'!$AM:$AM))</f>
        <v>0</v>
      </c>
      <c r="AD208" s="17">
        <f ca="1">IF($A208=0,0,SUMIF('Week 1 Roster'!$AZ:$AZ,$B208,'Week 1 Roster'!$AO:$AO))</f>
        <v>0</v>
      </c>
      <c r="AE208" s="38">
        <f ca="1">IF($A208=0,0,SUMIF('Week 1 Roster'!$AZ:$AZ,$B208,'Week 1 Roster'!$AP:$AP))</f>
        <v>0</v>
      </c>
      <c r="AF208" s="17">
        <f ca="1">IF($A208=0,0,SUMIF('Week 1 Roster'!$AZ:$AZ,$B208,'Week 1 Roster'!$AQ:$AQ))</f>
        <v>0</v>
      </c>
      <c r="AG208" s="17">
        <f ca="1">IF($A208=0,0,SUMIF('Week 1 Roster'!$AZ:$AZ,$B208,'Week 1 Roster'!$AR:$AR))</f>
        <v>0</v>
      </c>
      <c r="AH208" s="17">
        <f ca="1">IF($A208=0,0,SUMIF('Week 1 Roster'!$AZ:$AZ,$B208,'Week 1 Roster'!$AS:$AS))</f>
        <v>0</v>
      </c>
      <c r="AI208" s="17">
        <f t="shared" ca="1" si="82"/>
        <v>0</v>
      </c>
      <c r="AK208" s="17">
        <f ca="1">IF($A208=0,0,SUMIF('Week 2 Roster'!$AZ:$AZ,$B208,'Week 2 Roster'!$AE:$AE))</f>
        <v>0</v>
      </c>
      <c r="AL208" s="17">
        <f ca="1">IF($A208=0,0,SUMIF('Week 2 Roster'!$AZ:$AZ,$B208,'Week 2 Roster'!$AG:$AG))</f>
        <v>0</v>
      </c>
      <c r="AM208" s="17">
        <f ca="1">IF($A208=0,0,SUMIF('Week 2 Roster'!$AZ:$AZ,$B208,'Week 2 Roster'!$AI:$AI))</f>
        <v>0</v>
      </c>
      <c r="AN208" s="17">
        <f ca="1">IF($A208=0,0,SUMIF('Week 2 Roster'!$AZ:$AZ,$B208,'Week 2 Roster'!$AK:$AK))</f>
        <v>0</v>
      </c>
      <c r="AO208" s="17">
        <f ca="1">IF($A208=0,0,SUMIF('Week 2 Roster'!$AZ:$AZ,$B208,'Week 2 Roster'!$AM:$AM))</f>
        <v>0</v>
      </c>
      <c r="AP208" s="17">
        <f ca="1">IF($A208=0,0,SUMIF('Week 2 Roster'!$AZ:$AZ,$B208,'Week 2 Roster'!$AO:$AO))</f>
        <v>0</v>
      </c>
      <c r="AQ208" s="38">
        <f ca="1">IF($A208=0,0,SUMIF('Week 2 Roster'!$AZ:$AZ,$B208,'Week 2 Roster'!$AP:$AP))</f>
        <v>0</v>
      </c>
      <c r="AR208" s="17">
        <f ca="1">IF($A208=0,0,SUMIF('Week 2 Roster'!$AZ:$AZ,$B208,'Week 2 Roster'!$AQ:$AQ))</f>
        <v>0</v>
      </c>
      <c r="AS208" s="17">
        <f ca="1">IF($A208=0,0,SUMIF('Week 2 Roster'!$AZ:$AZ,$B208,'Week 2 Roster'!$AR:$AR))</f>
        <v>0</v>
      </c>
      <c r="AT208" s="17">
        <f ca="1">IF($A208=0,0,SUMIF('Week 2 Roster'!$AZ:$AZ,$B208,'Week 2 Roster'!$AS:$AS))</f>
        <v>0</v>
      </c>
      <c r="AU208" s="17">
        <f t="shared" ca="1" si="83"/>
        <v>0</v>
      </c>
    </row>
    <row r="209" spans="1:47">
      <c r="A209" s="16" cm="1">
        <f t="array" aca="1" ref="A209" ca="1">_xlfn.NUMBERVALUE(INDIRECT(TEXT(MIN(IF(($AW$2:$AX$300&lt;&gt;"")*(COUNTIF($B$1:B208,$AW$2:$AX$300)=0),ROW($2:$300)*100+COLUMN($AW:$AX),7^8)),"R0C00"),)&amp;"")</f>
        <v>0</v>
      </c>
      <c r="B209" s="28" t="str">
        <f t="shared" ca="1" si="69"/>
        <v/>
      </c>
      <c r="C209" s="28" t="str">
        <f ca="1">IF($A209=0,"",VLOOKUP($B209,Employees!$A:$G,2,FALSE))</f>
        <v/>
      </c>
      <c r="D209" s="28" t="str">
        <f ca="1">IF($A209=0,"",VLOOKUP($B209,Employees!$A:$G,3,FALSE))</f>
        <v/>
      </c>
      <c r="E209" s="26" t="str">
        <f ca="1">IF($A209=0,"",VLOOKUP($B209,Employees!$A:$G,5,FALSE))</f>
        <v/>
      </c>
      <c r="F209" s="13" t="str">
        <f ca="1">IF($E209="","",ROUNDDOWN(YEARFRAC($E209, 'Week 1 Roster'!$D$1-1, 1), 0))</f>
        <v/>
      </c>
      <c r="G209" s="13" t="str">
        <f ca="1">IF($E209="","",ROUNDDOWN(YEARFRAC($E209, 'Week 1 Roster'!$D$1+14, 1), 0))</f>
        <v/>
      </c>
      <c r="H209" s="13" t="str">
        <f t="shared" ca="1" si="70"/>
        <v/>
      </c>
      <c r="I209" s="13" t="str">
        <f ca="1">IF($A209=0,"",VLOOKUP($B209,Employees!$A:$G,6,FALSE))</f>
        <v/>
      </c>
      <c r="J209" s="13" t="str">
        <f ca="1">IF($A209=0,"",VLOOKUP($B209,Employees!$A:$G,7,FALSE))</f>
        <v/>
      </c>
      <c r="K209" s="13" t="str">
        <f ca="1">IF($A209=0,"",IF(ISNA(VLOOKUP(A209,'Week 1 Roster'!A:C,2,0)),VLOOKUP(A209,'Week 2 Roster'!A:C,2,0),VLOOKUP(A209,'Week 1 Roster'!A:C,2,0)))</f>
        <v/>
      </c>
      <c r="L209" s="13" t="str">
        <f ca="1">IF($A209=0,"",VLOOKUP(K209,Stores!A:B,2,0))</f>
        <v/>
      </c>
      <c r="M209" s="14">
        <f t="shared" ca="1" si="71"/>
        <v>0</v>
      </c>
      <c r="N209" s="14">
        <f t="shared" ca="1" si="72"/>
        <v>0</v>
      </c>
      <c r="O209" s="14">
        <f t="shared" ca="1" si="73"/>
        <v>0</v>
      </c>
      <c r="P209" s="14">
        <f t="shared" ca="1" si="74"/>
        <v>0</v>
      </c>
      <c r="Q209" s="14">
        <f t="shared" ca="1" si="75"/>
        <v>0</v>
      </c>
      <c r="R209" s="14">
        <f t="shared" ca="1" si="76"/>
        <v>0</v>
      </c>
      <c r="S209" s="28">
        <f t="shared" ca="1" si="77"/>
        <v>0</v>
      </c>
      <c r="T209" s="14">
        <f t="shared" ca="1" si="78"/>
        <v>0</v>
      </c>
      <c r="U209" s="14">
        <f t="shared" ca="1" si="79"/>
        <v>0</v>
      </c>
      <c r="V209" s="14">
        <f t="shared" ca="1" si="80"/>
        <v>0</v>
      </c>
      <c r="W209" s="14">
        <f t="shared" ca="1" si="81"/>
        <v>0</v>
      </c>
      <c r="Y209" s="17">
        <f ca="1">IF($A209=0,0,SUMIF('Week 1 Roster'!$AZ:$AZ,$B209,'Week 1 Roster'!$AE:$AE))</f>
        <v>0</v>
      </c>
      <c r="Z209" s="17">
        <f ca="1">IF($A209=0,0,SUMIF('Week 1 Roster'!$AZ:$AZ,$B209,'Week 1 Roster'!$AG:$AG))</f>
        <v>0</v>
      </c>
      <c r="AA209" s="17">
        <f ca="1">IF($A209=0,0,SUMIF('Week 1 Roster'!$AZ:$AZ,$B209,'Week 1 Roster'!$AI:$AI))</f>
        <v>0</v>
      </c>
      <c r="AB209" s="17">
        <f ca="1">IF($A209=0,0,SUMIF('Week 1 Roster'!$AZ:$AZ,$B209,'Week 1 Roster'!$AK:$AK))</f>
        <v>0</v>
      </c>
      <c r="AC209" s="17">
        <f ca="1">IF($A209=0,0,SUMIF('Week 1 Roster'!$AZ:$AZ,$B209,'Week 1 Roster'!$AM:$AM))</f>
        <v>0</v>
      </c>
      <c r="AD209" s="17">
        <f ca="1">IF($A209=0,0,SUMIF('Week 1 Roster'!$AZ:$AZ,$B209,'Week 1 Roster'!$AO:$AO))</f>
        <v>0</v>
      </c>
      <c r="AE209" s="38">
        <f ca="1">IF($A209=0,0,SUMIF('Week 1 Roster'!$AZ:$AZ,$B209,'Week 1 Roster'!$AP:$AP))</f>
        <v>0</v>
      </c>
      <c r="AF209" s="17">
        <f ca="1">IF($A209=0,0,SUMIF('Week 1 Roster'!$AZ:$AZ,$B209,'Week 1 Roster'!$AQ:$AQ))</f>
        <v>0</v>
      </c>
      <c r="AG209" s="17">
        <f ca="1">IF($A209=0,0,SUMIF('Week 1 Roster'!$AZ:$AZ,$B209,'Week 1 Roster'!$AR:$AR))</f>
        <v>0</v>
      </c>
      <c r="AH209" s="17">
        <f ca="1">IF($A209=0,0,SUMIF('Week 1 Roster'!$AZ:$AZ,$B209,'Week 1 Roster'!$AS:$AS))</f>
        <v>0</v>
      </c>
      <c r="AI209" s="17">
        <f t="shared" ca="1" si="82"/>
        <v>0</v>
      </c>
      <c r="AK209" s="17">
        <f ca="1">IF($A209=0,0,SUMIF('Week 2 Roster'!$AZ:$AZ,$B209,'Week 2 Roster'!$AE:$AE))</f>
        <v>0</v>
      </c>
      <c r="AL209" s="17">
        <f ca="1">IF($A209=0,0,SUMIF('Week 2 Roster'!$AZ:$AZ,$B209,'Week 2 Roster'!$AG:$AG))</f>
        <v>0</v>
      </c>
      <c r="AM209" s="17">
        <f ca="1">IF($A209=0,0,SUMIF('Week 2 Roster'!$AZ:$AZ,$B209,'Week 2 Roster'!$AI:$AI))</f>
        <v>0</v>
      </c>
      <c r="AN209" s="17">
        <f ca="1">IF($A209=0,0,SUMIF('Week 2 Roster'!$AZ:$AZ,$B209,'Week 2 Roster'!$AK:$AK))</f>
        <v>0</v>
      </c>
      <c r="AO209" s="17">
        <f ca="1">IF($A209=0,0,SUMIF('Week 2 Roster'!$AZ:$AZ,$B209,'Week 2 Roster'!$AM:$AM))</f>
        <v>0</v>
      </c>
      <c r="AP209" s="17">
        <f ca="1">IF($A209=0,0,SUMIF('Week 2 Roster'!$AZ:$AZ,$B209,'Week 2 Roster'!$AO:$AO))</f>
        <v>0</v>
      </c>
      <c r="AQ209" s="38">
        <f ca="1">IF($A209=0,0,SUMIF('Week 2 Roster'!$AZ:$AZ,$B209,'Week 2 Roster'!$AP:$AP))</f>
        <v>0</v>
      </c>
      <c r="AR209" s="17">
        <f ca="1">IF($A209=0,0,SUMIF('Week 2 Roster'!$AZ:$AZ,$B209,'Week 2 Roster'!$AQ:$AQ))</f>
        <v>0</v>
      </c>
      <c r="AS209" s="17">
        <f ca="1">IF($A209=0,0,SUMIF('Week 2 Roster'!$AZ:$AZ,$B209,'Week 2 Roster'!$AR:$AR))</f>
        <v>0</v>
      </c>
      <c r="AT209" s="17">
        <f ca="1">IF($A209=0,0,SUMIF('Week 2 Roster'!$AZ:$AZ,$B209,'Week 2 Roster'!$AS:$AS))</f>
        <v>0</v>
      </c>
      <c r="AU209" s="17">
        <f t="shared" ca="1" si="83"/>
        <v>0</v>
      </c>
    </row>
    <row r="210" spans="1:47">
      <c r="A210" s="16" cm="1">
        <f t="array" aca="1" ref="A210" ca="1">_xlfn.NUMBERVALUE(INDIRECT(TEXT(MIN(IF(($AW$2:$AX$300&lt;&gt;"")*(COUNTIF($B$1:B209,$AW$2:$AX$300)=0),ROW($2:$300)*100+COLUMN($AW:$AX),7^8)),"R0C00"),)&amp;"")</f>
        <v>0</v>
      </c>
      <c r="B210" s="28" t="str">
        <f t="shared" ca="1" si="69"/>
        <v/>
      </c>
      <c r="C210" s="28" t="str">
        <f ca="1">IF($A210=0,"",VLOOKUP($B210,Employees!$A:$G,2,FALSE))</f>
        <v/>
      </c>
      <c r="D210" s="28" t="str">
        <f ca="1">IF($A210=0,"",VLOOKUP($B210,Employees!$A:$G,3,FALSE))</f>
        <v/>
      </c>
      <c r="E210" s="26" t="str">
        <f ca="1">IF($A210=0,"",VLOOKUP($B210,Employees!$A:$G,5,FALSE))</f>
        <v/>
      </c>
      <c r="F210" s="13" t="str">
        <f ca="1">IF($E210="","",ROUNDDOWN(YEARFRAC($E210, 'Week 1 Roster'!$D$1-1, 1), 0))</f>
        <v/>
      </c>
      <c r="G210" s="13" t="str">
        <f ca="1">IF($E210="","",ROUNDDOWN(YEARFRAC($E210, 'Week 1 Roster'!$D$1+14, 1), 0))</f>
        <v/>
      </c>
      <c r="H210" s="13" t="str">
        <f t="shared" ca="1" si="70"/>
        <v/>
      </c>
      <c r="I210" s="13" t="str">
        <f ca="1">IF($A210=0,"",VLOOKUP($B210,Employees!$A:$G,6,FALSE))</f>
        <v/>
      </c>
      <c r="J210" s="13" t="str">
        <f ca="1">IF($A210=0,"",VLOOKUP($B210,Employees!$A:$G,7,FALSE))</f>
        <v/>
      </c>
      <c r="K210" s="13" t="str">
        <f ca="1">IF($A210=0,"",IF(ISNA(VLOOKUP(A210,'Week 1 Roster'!A:C,2,0)),VLOOKUP(A210,'Week 2 Roster'!A:C,2,0),VLOOKUP(A210,'Week 1 Roster'!A:C,2,0)))</f>
        <v/>
      </c>
      <c r="L210" s="13" t="str">
        <f ca="1">IF($A210=0,"",VLOOKUP(K210,Stores!A:B,2,0))</f>
        <v/>
      </c>
      <c r="M210" s="14">
        <f t="shared" ca="1" si="71"/>
        <v>0</v>
      </c>
      <c r="N210" s="14">
        <f t="shared" ca="1" si="72"/>
        <v>0</v>
      </c>
      <c r="O210" s="14">
        <f t="shared" ca="1" si="73"/>
        <v>0</v>
      </c>
      <c r="P210" s="14">
        <f t="shared" ca="1" si="74"/>
        <v>0</v>
      </c>
      <c r="Q210" s="14">
        <f t="shared" ca="1" si="75"/>
        <v>0</v>
      </c>
      <c r="R210" s="14">
        <f t="shared" ca="1" si="76"/>
        <v>0</v>
      </c>
      <c r="S210" s="28">
        <f t="shared" ca="1" si="77"/>
        <v>0</v>
      </c>
      <c r="T210" s="14">
        <f t="shared" ca="1" si="78"/>
        <v>0</v>
      </c>
      <c r="U210" s="14">
        <f t="shared" ca="1" si="79"/>
        <v>0</v>
      </c>
      <c r="V210" s="14">
        <f t="shared" ca="1" si="80"/>
        <v>0</v>
      </c>
      <c r="W210" s="14">
        <f t="shared" ca="1" si="81"/>
        <v>0</v>
      </c>
      <c r="Y210" s="17">
        <f ca="1">IF($A210=0,0,SUMIF('Week 1 Roster'!$AZ:$AZ,$B210,'Week 1 Roster'!$AE:$AE))</f>
        <v>0</v>
      </c>
      <c r="Z210" s="17">
        <f ca="1">IF($A210=0,0,SUMIF('Week 1 Roster'!$AZ:$AZ,$B210,'Week 1 Roster'!$AG:$AG))</f>
        <v>0</v>
      </c>
      <c r="AA210" s="17">
        <f ca="1">IF($A210=0,0,SUMIF('Week 1 Roster'!$AZ:$AZ,$B210,'Week 1 Roster'!$AI:$AI))</f>
        <v>0</v>
      </c>
      <c r="AB210" s="17">
        <f ca="1">IF($A210=0,0,SUMIF('Week 1 Roster'!$AZ:$AZ,$B210,'Week 1 Roster'!$AK:$AK))</f>
        <v>0</v>
      </c>
      <c r="AC210" s="17">
        <f ca="1">IF($A210=0,0,SUMIF('Week 1 Roster'!$AZ:$AZ,$B210,'Week 1 Roster'!$AM:$AM))</f>
        <v>0</v>
      </c>
      <c r="AD210" s="17">
        <f ca="1">IF($A210=0,0,SUMIF('Week 1 Roster'!$AZ:$AZ,$B210,'Week 1 Roster'!$AO:$AO))</f>
        <v>0</v>
      </c>
      <c r="AE210" s="38">
        <f ca="1">IF($A210=0,0,SUMIF('Week 1 Roster'!$AZ:$AZ,$B210,'Week 1 Roster'!$AP:$AP))</f>
        <v>0</v>
      </c>
      <c r="AF210" s="17">
        <f ca="1">IF($A210=0,0,SUMIF('Week 1 Roster'!$AZ:$AZ,$B210,'Week 1 Roster'!$AQ:$AQ))</f>
        <v>0</v>
      </c>
      <c r="AG210" s="17">
        <f ca="1">IF($A210=0,0,SUMIF('Week 1 Roster'!$AZ:$AZ,$B210,'Week 1 Roster'!$AR:$AR))</f>
        <v>0</v>
      </c>
      <c r="AH210" s="17">
        <f ca="1">IF($A210=0,0,SUMIF('Week 1 Roster'!$AZ:$AZ,$B210,'Week 1 Roster'!$AS:$AS))</f>
        <v>0</v>
      </c>
      <c r="AI210" s="17">
        <f t="shared" ca="1" si="82"/>
        <v>0</v>
      </c>
      <c r="AK210" s="17">
        <f ca="1">IF($A210=0,0,SUMIF('Week 2 Roster'!$AZ:$AZ,$B210,'Week 2 Roster'!$AE:$AE))</f>
        <v>0</v>
      </c>
      <c r="AL210" s="17">
        <f ca="1">IF($A210=0,0,SUMIF('Week 2 Roster'!$AZ:$AZ,$B210,'Week 2 Roster'!$AG:$AG))</f>
        <v>0</v>
      </c>
      <c r="AM210" s="17">
        <f ca="1">IF($A210=0,0,SUMIF('Week 2 Roster'!$AZ:$AZ,$B210,'Week 2 Roster'!$AI:$AI))</f>
        <v>0</v>
      </c>
      <c r="AN210" s="17">
        <f ca="1">IF($A210=0,0,SUMIF('Week 2 Roster'!$AZ:$AZ,$B210,'Week 2 Roster'!$AK:$AK))</f>
        <v>0</v>
      </c>
      <c r="AO210" s="17">
        <f ca="1">IF($A210=0,0,SUMIF('Week 2 Roster'!$AZ:$AZ,$B210,'Week 2 Roster'!$AM:$AM))</f>
        <v>0</v>
      </c>
      <c r="AP210" s="17">
        <f ca="1">IF($A210=0,0,SUMIF('Week 2 Roster'!$AZ:$AZ,$B210,'Week 2 Roster'!$AO:$AO))</f>
        <v>0</v>
      </c>
      <c r="AQ210" s="38">
        <f ca="1">IF($A210=0,0,SUMIF('Week 2 Roster'!$AZ:$AZ,$B210,'Week 2 Roster'!$AP:$AP))</f>
        <v>0</v>
      </c>
      <c r="AR210" s="17">
        <f ca="1">IF($A210=0,0,SUMIF('Week 2 Roster'!$AZ:$AZ,$B210,'Week 2 Roster'!$AQ:$AQ))</f>
        <v>0</v>
      </c>
      <c r="AS210" s="17">
        <f ca="1">IF($A210=0,0,SUMIF('Week 2 Roster'!$AZ:$AZ,$B210,'Week 2 Roster'!$AR:$AR))</f>
        <v>0</v>
      </c>
      <c r="AT210" s="17">
        <f ca="1">IF($A210=0,0,SUMIF('Week 2 Roster'!$AZ:$AZ,$B210,'Week 2 Roster'!$AS:$AS))</f>
        <v>0</v>
      </c>
      <c r="AU210" s="17">
        <f t="shared" ca="1" si="83"/>
        <v>0</v>
      </c>
    </row>
    <row r="211" spans="1:47">
      <c r="A211" s="16" cm="1">
        <f t="array" aca="1" ref="A211" ca="1">_xlfn.NUMBERVALUE(INDIRECT(TEXT(MIN(IF(($AW$2:$AX$300&lt;&gt;"")*(COUNTIF($B$1:B210,$AW$2:$AX$300)=0),ROW($2:$300)*100+COLUMN($AW:$AX),7^8)),"R0C00"),)&amp;"")</f>
        <v>0</v>
      </c>
      <c r="B211" s="28" t="str">
        <f t="shared" ca="1" si="69"/>
        <v/>
      </c>
      <c r="C211" s="28" t="str">
        <f ca="1">IF($A211=0,"",VLOOKUP($B211,Employees!$A:$G,2,FALSE))</f>
        <v/>
      </c>
      <c r="D211" s="28" t="str">
        <f ca="1">IF($A211=0,"",VLOOKUP($B211,Employees!$A:$G,3,FALSE))</f>
        <v/>
      </c>
      <c r="E211" s="26" t="str">
        <f ca="1">IF($A211=0,"",VLOOKUP($B211,Employees!$A:$G,5,FALSE))</f>
        <v/>
      </c>
      <c r="F211" s="13" t="str">
        <f ca="1">IF($E211="","",ROUNDDOWN(YEARFRAC($E211, 'Week 1 Roster'!$D$1-1, 1), 0))</f>
        <v/>
      </c>
      <c r="G211" s="13" t="str">
        <f ca="1">IF($E211="","",ROUNDDOWN(YEARFRAC($E211, 'Week 1 Roster'!$D$1+14, 1), 0))</f>
        <v/>
      </c>
      <c r="H211" s="13" t="str">
        <f t="shared" ca="1" si="70"/>
        <v/>
      </c>
      <c r="I211" s="13" t="str">
        <f ca="1">IF($A211=0,"",VLOOKUP($B211,Employees!$A:$G,6,FALSE))</f>
        <v/>
      </c>
      <c r="J211" s="13" t="str">
        <f ca="1">IF($A211=0,"",VLOOKUP($B211,Employees!$A:$G,7,FALSE))</f>
        <v/>
      </c>
      <c r="K211" s="13" t="str">
        <f ca="1">IF($A211=0,"",IF(ISNA(VLOOKUP(A211,'Week 1 Roster'!A:C,2,0)),VLOOKUP(A211,'Week 2 Roster'!A:C,2,0),VLOOKUP(A211,'Week 1 Roster'!A:C,2,0)))</f>
        <v/>
      </c>
      <c r="L211" s="13" t="str">
        <f ca="1">IF($A211=0,"",VLOOKUP(K211,Stores!A:B,2,0))</f>
        <v/>
      </c>
      <c r="M211" s="14">
        <f t="shared" ca="1" si="71"/>
        <v>0</v>
      </c>
      <c r="N211" s="14">
        <f t="shared" ca="1" si="72"/>
        <v>0</v>
      </c>
      <c r="O211" s="14">
        <f t="shared" ca="1" si="73"/>
        <v>0</v>
      </c>
      <c r="P211" s="14">
        <f t="shared" ca="1" si="74"/>
        <v>0</v>
      </c>
      <c r="Q211" s="14">
        <f t="shared" ca="1" si="75"/>
        <v>0</v>
      </c>
      <c r="R211" s="14">
        <f t="shared" ca="1" si="76"/>
        <v>0</v>
      </c>
      <c r="S211" s="28">
        <f t="shared" ca="1" si="77"/>
        <v>0</v>
      </c>
      <c r="T211" s="14">
        <f t="shared" ca="1" si="78"/>
        <v>0</v>
      </c>
      <c r="U211" s="14">
        <f t="shared" ca="1" si="79"/>
        <v>0</v>
      </c>
      <c r="V211" s="14">
        <f t="shared" ca="1" si="80"/>
        <v>0</v>
      </c>
      <c r="W211" s="14">
        <f t="shared" ca="1" si="81"/>
        <v>0</v>
      </c>
      <c r="Y211" s="17">
        <f ca="1">IF($A211=0,0,SUMIF('Week 1 Roster'!$AZ:$AZ,$B211,'Week 1 Roster'!$AE:$AE))</f>
        <v>0</v>
      </c>
      <c r="Z211" s="17">
        <f ca="1">IF($A211=0,0,SUMIF('Week 1 Roster'!$AZ:$AZ,$B211,'Week 1 Roster'!$AG:$AG))</f>
        <v>0</v>
      </c>
      <c r="AA211" s="17">
        <f ca="1">IF($A211=0,0,SUMIF('Week 1 Roster'!$AZ:$AZ,$B211,'Week 1 Roster'!$AI:$AI))</f>
        <v>0</v>
      </c>
      <c r="AB211" s="17">
        <f ca="1">IF($A211=0,0,SUMIF('Week 1 Roster'!$AZ:$AZ,$B211,'Week 1 Roster'!$AK:$AK))</f>
        <v>0</v>
      </c>
      <c r="AC211" s="17">
        <f ca="1">IF($A211=0,0,SUMIF('Week 1 Roster'!$AZ:$AZ,$B211,'Week 1 Roster'!$AM:$AM))</f>
        <v>0</v>
      </c>
      <c r="AD211" s="17">
        <f ca="1">IF($A211=0,0,SUMIF('Week 1 Roster'!$AZ:$AZ,$B211,'Week 1 Roster'!$AO:$AO))</f>
        <v>0</v>
      </c>
      <c r="AE211" s="38">
        <f ca="1">IF($A211=0,0,SUMIF('Week 1 Roster'!$AZ:$AZ,$B211,'Week 1 Roster'!$AP:$AP))</f>
        <v>0</v>
      </c>
      <c r="AF211" s="17">
        <f ca="1">IF($A211=0,0,SUMIF('Week 1 Roster'!$AZ:$AZ,$B211,'Week 1 Roster'!$AQ:$AQ))</f>
        <v>0</v>
      </c>
      <c r="AG211" s="17">
        <f ca="1">IF($A211=0,0,SUMIF('Week 1 Roster'!$AZ:$AZ,$B211,'Week 1 Roster'!$AR:$AR))</f>
        <v>0</v>
      </c>
      <c r="AH211" s="17">
        <f ca="1">IF($A211=0,0,SUMIF('Week 1 Roster'!$AZ:$AZ,$B211,'Week 1 Roster'!$AS:$AS))</f>
        <v>0</v>
      </c>
      <c r="AI211" s="17">
        <f t="shared" ca="1" si="82"/>
        <v>0</v>
      </c>
      <c r="AK211" s="17">
        <f ca="1">IF($A211=0,0,SUMIF('Week 2 Roster'!$AZ:$AZ,$B211,'Week 2 Roster'!$AE:$AE))</f>
        <v>0</v>
      </c>
      <c r="AL211" s="17">
        <f ca="1">IF($A211=0,0,SUMIF('Week 2 Roster'!$AZ:$AZ,$B211,'Week 2 Roster'!$AG:$AG))</f>
        <v>0</v>
      </c>
      <c r="AM211" s="17">
        <f ca="1">IF($A211=0,0,SUMIF('Week 2 Roster'!$AZ:$AZ,$B211,'Week 2 Roster'!$AI:$AI))</f>
        <v>0</v>
      </c>
      <c r="AN211" s="17">
        <f ca="1">IF($A211=0,0,SUMIF('Week 2 Roster'!$AZ:$AZ,$B211,'Week 2 Roster'!$AK:$AK))</f>
        <v>0</v>
      </c>
      <c r="AO211" s="17">
        <f ca="1">IF($A211=0,0,SUMIF('Week 2 Roster'!$AZ:$AZ,$B211,'Week 2 Roster'!$AM:$AM))</f>
        <v>0</v>
      </c>
      <c r="AP211" s="17">
        <f ca="1">IF($A211=0,0,SUMIF('Week 2 Roster'!$AZ:$AZ,$B211,'Week 2 Roster'!$AO:$AO))</f>
        <v>0</v>
      </c>
      <c r="AQ211" s="38">
        <f ca="1">IF($A211=0,0,SUMIF('Week 2 Roster'!$AZ:$AZ,$B211,'Week 2 Roster'!$AP:$AP))</f>
        <v>0</v>
      </c>
      <c r="AR211" s="17">
        <f ca="1">IF($A211=0,0,SUMIF('Week 2 Roster'!$AZ:$AZ,$B211,'Week 2 Roster'!$AQ:$AQ))</f>
        <v>0</v>
      </c>
      <c r="AS211" s="17">
        <f ca="1">IF($A211=0,0,SUMIF('Week 2 Roster'!$AZ:$AZ,$B211,'Week 2 Roster'!$AR:$AR))</f>
        <v>0</v>
      </c>
      <c r="AT211" s="17">
        <f ca="1">IF($A211=0,0,SUMIF('Week 2 Roster'!$AZ:$AZ,$B211,'Week 2 Roster'!$AS:$AS))</f>
        <v>0</v>
      </c>
      <c r="AU211" s="17">
        <f t="shared" ca="1" si="83"/>
        <v>0</v>
      </c>
    </row>
    <row r="212" spans="1:47">
      <c r="A212" s="16" cm="1">
        <f t="array" aca="1" ref="A212" ca="1">_xlfn.NUMBERVALUE(INDIRECT(TEXT(MIN(IF(($AW$2:$AX$300&lt;&gt;"")*(COUNTIF($B$1:B211,$AW$2:$AX$300)=0),ROW($2:$300)*100+COLUMN($AW:$AX),7^8)),"R0C00"),)&amp;"")</f>
        <v>0</v>
      </c>
      <c r="B212" s="28" t="str">
        <f t="shared" ca="1" si="69"/>
        <v/>
      </c>
      <c r="C212" s="28" t="str">
        <f ca="1">IF($A212=0,"",VLOOKUP($B212,Employees!$A:$G,2,FALSE))</f>
        <v/>
      </c>
      <c r="D212" s="28" t="str">
        <f ca="1">IF($A212=0,"",VLOOKUP($B212,Employees!$A:$G,3,FALSE))</f>
        <v/>
      </c>
      <c r="E212" s="26" t="str">
        <f ca="1">IF($A212=0,"",VLOOKUP($B212,Employees!$A:$G,5,FALSE))</f>
        <v/>
      </c>
      <c r="F212" s="13" t="str">
        <f ca="1">IF($E212="","",ROUNDDOWN(YEARFRAC($E212, 'Week 1 Roster'!$D$1-1, 1), 0))</f>
        <v/>
      </c>
      <c r="G212" s="13" t="str">
        <f ca="1">IF($E212="","",ROUNDDOWN(YEARFRAC($E212, 'Week 1 Roster'!$D$1+14, 1), 0))</f>
        <v/>
      </c>
      <c r="H212" s="13" t="str">
        <f t="shared" ca="1" si="70"/>
        <v/>
      </c>
      <c r="I212" s="13" t="str">
        <f ca="1">IF($A212=0,"",VLOOKUP($B212,Employees!$A:$G,6,FALSE))</f>
        <v/>
      </c>
      <c r="J212" s="13" t="str">
        <f ca="1">IF($A212=0,"",VLOOKUP($B212,Employees!$A:$G,7,FALSE))</f>
        <v/>
      </c>
      <c r="K212" s="13" t="str">
        <f ca="1">IF($A212=0,"",IF(ISNA(VLOOKUP(A212,'Week 1 Roster'!A:C,2,0)),VLOOKUP(A212,'Week 2 Roster'!A:C,2,0),VLOOKUP(A212,'Week 1 Roster'!A:C,2,0)))</f>
        <v/>
      </c>
      <c r="L212" s="13" t="str">
        <f ca="1">IF($A212=0,"",VLOOKUP(K212,Stores!A:B,2,0))</f>
        <v/>
      </c>
      <c r="M212" s="14">
        <f t="shared" ca="1" si="71"/>
        <v>0</v>
      </c>
      <c r="N212" s="14">
        <f t="shared" ca="1" si="72"/>
        <v>0</v>
      </c>
      <c r="O212" s="14">
        <f t="shared" ca="1" si="73"/>
        <v>0</v>
      </c>
      <c r="P212" s="14">
        <f t="shared" ca="1" si="74"/>
        <v>0</v>
      </c>
      <c r="Q212" s="14">
        <f t="shared" ca="1" si="75"/>
        <v>0</v>
      </c>
      <c r="R212" s="14">
        <f t="shared" ca="1" si="76"/>
        <v>0</v>
      </c>
      <c r="S212" s="28">
        <f t="shared" ca="1" si="77"/>
        <v>0</v>
      </c>
      <c r="T212" s="14">
        <f t="shared" ca="1" si="78"/>
        <v>0</v>
      </c>
      <c r="U212" s="14">
        <f t="shared" ca="1" si="79"/>
        <v>0</v>
      </c>
      <c r="V212" s="14">
        <f t="shared" ca="1" si="80"/>
        <v>0</v>
      </c>
      <c r="W212" s="14">
        <f t="shared" ca="1" si="81"/>
        <v>0</v>
      </c>
      <c r="Y212" s="17">
        <f ca="1">IF($A212=0,0,SUMIF('Week 1 Roster'!$AZ:$AZ,$B212,'Week 1 Roster'!$AE:$AE))</f>
        <v>0</v>
      </c>
      <c r="Z212" s="17">
        <f ca="1">IF($A212=0,0,SUMIF('Week 1 Roster'!$AZ:$AZ,$B212,'Week 1 Roster'!$AG:$AG))</f>
        <v>0</v>
      </c>
      <c r="AA212" s="17">
        <f ca="1">IF($A212=0,0,SUMIF('Week 1 Roster'!$AZ:$AZ,$B212,'Week 1 Roster'!$AI:$AI))</f>
        <v>0</v>
      </c>
      <c r="AB212" s="17">
        <f ca="1">IF($A212=0,0,SUMIF('Week 1 Roster'!$AZ:$AZ,$B212,'Week 1 Roster'!$AK:$AK))</f>
        <v>0</v>
      </c>
      <c r="AC212" s="17">
        <f ca="1">IF($A212=0,0,SUMIF('Week 1 Roster'!$AZ:$AZ,$B212,'Week 1 Roster'!$AM:$AM))</f>
        <v>0</v>
      </c>
      <c r="AD212" s="17">
        <f ca="1">IF($A212=0,0,SUMIF('Week 1 Roster'!$AZ:$AZ,$B212,'Week 1 Roster'!$AO:$AO))</f>
        <v>0</v>
      </c>
      <c r="AE212" s="38">
        <f ca="1">IF($A212=0,0,SUMIF('Week 1 Roster'!$AZ:$AZ,$B212,'Week 1 Roster'!$AP:$AP))</f>
        <v>0</v>
      </c>
      <c r="AF212" s="17">
        <f ca="1">IF($A212=0,0,SUMIF('Week 1 Roster'!$AZ:$AZ,$B212,'Week 1 Roster'!$AQ:$AQ))</f>
        <v>0</v>
      </c>
      <c r="AG212" s="17">
        <f ca="1">IF($A212=0,0,SUMIF('Week 1 Roster'!$AZ:$AZ,$B212,'Week 1 Roster'!$AR:$AR))</f>
        <v>0</v>
      </c>
      <c r="AH212" s="17">
        <f ca="1">IF($A212=0,0,SUMIF('Week 1 Roster'!$AZ:$AZ,$B212,'Week 1 Roster'!$AS:$AS))</f>
        <v>0</v>
      </c>
      <c r="AI212" s="17">
        <f t="shared" ca="1" si="82"/>
        <v>0</v>
      </c>
      <c r="AK212" s="17">
        <f ca="1">IF($A212=0,0,SUMIF('Week 2 Roster'!$AZ:$AZ,$B212,'Week 2 Roster'!$AE:$AE))</f>
        <v>0</v>
      </c>
      <c r="AL212" s="17">
        <f ca="1">IF($A212=0,0,SUMIF('Week 2 Roster'!$AZ:$AZ,$B212,'Week 2 Roster'!$AG:$AG))</f>
        <v>0</v>
      </c>
      <c r="AM212" s="17">
        <f ca="1">IF($A212=0,0,SUMIF('Week 2 Roster'!$AZ:$AZ,$B212,'Week 2 Roster'!$AI:$AI))</f>
        <v>0</v>
      </c>
      <c r="AN212" s="17">
        <f ca="1">IF($A212=0,0,SUMIF('Week 2 Roster'!$AZ:$AZ,$B212,'Week 2 Roster'!$AK:$AK))</f>
        <v>0</v>
      </c>
      <c r="AO212" s="17">
        <f ca="1">IF($A212=0,0,SUMIF('Week 2 Roster'!$AZ:$AZ,$B212,'Week 2 Roster'!$AM:$AM))</f>
        <v>0</v>
      </c>
      <c r="AP212" s="17">
        <f ca="1">IF($A212=0,0,SUMIF('Week 2 Roster'!$AZ:$AZ,$B212,'Week 2 Roster'!$AO:$AO))</f>
        <v>0</v>
      </c>
      <c r="AQ212" s="38">
        <f ca="1">IF($A212=0,0,SUMIF('Week 2 Roster'!$AZ:$AZ,$B212,'Week 2 Roster'!$AP:$AP))</f>
        <v>0</v>
      </c>
      <c r="AR212" s="17">
        <f ca="1">IF($A212=0,0,SUMIF('Week 2 Roster'!$AZ:$AZ,$B212,'Week 2 Roster'!$AQ:$AQ))</f>
        <v>0</v>
      </c>
      <c r="AS212" s="17">
        <f ca="1">IF($A212=0,0,SUMIF('Week 2 Roster'!$AZ:$AZ,$B212,'Week 2 Roster'!$AR:$AR))</f>
        <v>0</v>
      </c>
      <c r="AT212" s="17">
        <f ca="1">IF($A212=0,0,SUMIF('Week 2 Roster'!$AZ:$AZ,$B212,'Week 2 Roster'!$AS:$AS))</f>
        <v>0</v>
      </c>
      <c r="AU212" s="17">
        <f t="shared" ca="1" si="83"/>
        <v>0</v>
      </c>
    </row>
    <row r="213" spans="1:47">
      <c r="A213" s="16" cm="1">
        <f t="array" aca="1" ref="A213" ca="1">_xlfn.NUMBERVALUE(INDIRECT(TEXT(MIN(IF(($AW$2:$AX$300&lt;&gt;"")*(COUNTIF($B$1:B212,$AW$2:$AX$300)=0),ROW($2:$300)*100+COLUMN($AW:$AX),7^8)),"R0C00"),)&amp;"")</f>
        <v>0</v>
      </c>
      <c r="B213" s="28" t="str">
        <f t="shared" ca="1" si="69"/>
        <v/>
      </c>
      <c r="C213" s="28" t="str">
        <f ca="1">IF($A213=0,"",VLOOKUP($B213,Employees!$A:$G,2,FALSE))</f>
        <v/>
      </c>
      <c r="D213" s="28" t="str">
        <f ca="1">IF($A213=0,"",VLOOKUP($B213,Employees!$A:$G,3,FALSE))</f>
        <v/>
      </c>
      <c r="E213" s="26" t="str">
        <f ca="1">IF($A213=0,"",VLOOKUP($B213,Employees!$A:$G,5,FALSE))</f>
        <v/>
      </c>
      <c r="F213" s="13" t="str">
        <f ca="1">IF($E213="","",ROUNDDOWN(YEARFRAC($E213, 'Week 1 Roster'!$D$1-1, 1), 0))</f>
        <v/>
      </c>
      <c r="G213" s="13" t="str">
        <f ca="1">IF($E213="","",ROUNDDOWN(YEARFRAC($E213, 'Week 1 Roster'!$D$1+14, 1), 0))</f>
        <v/>
      </c>
      <c r="H213" s="13" t="str">
        <f t="shared" ca="1" si="70"/>
        <v/>
      </c>
      <c r="I213" s="13" t="str">
        <f ca="1">IF($A213=0,"",VLOOKUP($B213,Employees!$A:$G,6,FALSE))</f>
        <v/>
      </c>
      <c r="J213" s="13" t="str">
        <f ca="1">IF($A213=0,"",VLOOKUP($B213,Employees!$A:$G,7,FALSE))</f>
        <v/>
      </c>
      <c r="K213" s="13" t="str">
        <f ca="1">IF($A213=0,"",IF(ISNA(VLOOKUP(A213,'Week 1 Roster'!A:C,2,0)),VLOOKUP(A213,'Week 2 Roster'!A:C,2,0),VLOOKUP(A213,'Week 1 Roster'!A:C,2,0)))</f>
        <v/>
      </c>
      <c r="L213" s="13" t="str">
        <f ca="1">IF($A213=0,"",VLOOKUP(K213,Stores!A:B,2,0))</f>
        <v/>
      </c>
      <c r="M213" s="14">
        <f t="shared" ca="1" si="71"/>
        <v>0</v>
      </c>
      <c r="N213" s="14">
        <f t="shared" ca="1" si="72"/>
        <v>0</v>
      </c>
      <c r="O213" s="14">
        <f t="shared" ca="1" si="73"/>
        <v>0</v>
      </c>
      <c r="P213" s="14">
        <f t="shared" ca="1" si="74"/>
        <v>0</v>
      </c>
      <c r="Q213" s="14">
        <f t="shared" ca="1" si="75"/>
        <v>0</v>
      </c>
      <c r="R213" s="14">
        <f t="shared" ca="1" si="76"/>
        <v>0</v>
      </c>
      <c r="S213" s="28">
        <f t="shared" ca="1" si="77"/>
        <v>0</v>
      </c>
      <c r="T213" s="14">
        <f t="shared" ca="1" si="78"/>
        <v>0</v>
      </c>
      <c r="U213" s="14">
        <f t="shared" ca="1" si="79"/>
        <v>0</v>
      </c>
      <c r="V213" s="14">
        <f t="shared" ca="1" si="80"/>
        <v>0</v>
      </c>
      <c r="W213" s="14">
        <f t="shared" ca="1" si="81"/>
        <v>0</v>
      </c>
      <c r="Y213" s="17">
        <f ca="1">IF($A213=0,0,SUMIF('Week 1 Roster'!$AZ:$AZ,$B213,'Week 1 Roster'!$AE:$AE))</f>
        <v>0</v>
      </c>
      <c r="Z213" s="17">
        <f ca="1">IF($A213=0,0,SUMIF('Week 1 Roster'!$AZ:$AZ,$B213,'Week 1 Roster'!$AG:$AG))</f>
        <v>0</v>
      </c>
      <c r="AA213" s="17">
        <f ca="1">IF($A213=0,0,SUMIF('Week 1 Roster'!$AZ:$AZ,$B213,'Week 1 Roster'!$AI:$AI))</f>
        <v>0</v>
      </c>
      <c r="AB213" s="17">
        <f ca="1">IF($A213=0,0,SUMIF('Week 1 Roster'!$AZ:$AZ,$B213,'Week 1 Roster'!$AK:$AK))</f>
        <v>0</v>
      </c>
      <c r="AC213" s="17">
        <f ca="1">IF($A213=0,0,SUMIF('Week 1 Roster'!$AZ:$AZ,$B213,'Week 1 Roster'!$AM:$AM))</f>
        <v>0</v>
      </c>
      <c r="AD213" s="17">
        <f ca="1">IF($A213=0,0,SUMIF('Week 1 Roster'!$AZ:$AZ,$B213,'Week 1 Roster'!$AO:$AO))</f>
        <v>0</v>
      </c>
      <c r="AE213" s="38">
        <f ca="1">IF($A213=0,0,SUMIF('Week 1 Roster'!$AZ:$AZ,$B213,'Week 1 Roster'!$AP:$AP))</f>
        <v>0</v>
      </c>
      <c r="AF213" s="17">
        <f ca="1">IF($A213=0,0,SUMIF('Week 1 Roster'!$AZ:$AZ,$B213,'Week 1 Roster'!$AQ:$AQ))</f>
        <v>0</v>
      </c>
      <c r="AG213" s="17">
        <f ca="1">IF($A213=0,0,SUMIF('Week 1 Roster'!$AZ:$AZ,$B213,'Week 1 Roster'!$AR:$AR))</f>
        <v>0</v>
      </c>
      <c r="AH213" s="17">
        <f ca="1">IF($A213=0,0,SUMIF('Week 1 Roster'!$AZ:$AZ,$B213,'Week 1 Roster'!$AS:$AS))</f>
        <v>0</v>
      </c>
      <c r="AI213" s="17">
        <f t="shared" ca="1" si="82"/>
        <v>0</v>
      </c>
      <c r="AK213" s="17">
        <f ca="1">IF($A213=0,0,SUMIF('Week 2 Roster'!$AZ:$AZ,$B213,'Week 2 Roster'!$AE:$AE))</f>
        <v>0</v>
      </c>
      <c r="AL213" s="17">
        <f ca="1">IF($A213=0,0,SUMIF('Week 2 Roster'!$AZ:$AZ,$B213,'Week 2 Roster'!$AG:$AG))</f>
        <v>0</v>
      </c>
      <c r="AM213" s="17">
        <f ca="1">IF($A213=0,0,SUMIF('Week 2 Roster'!$AZ:$AZ,$B213,'Week 2 Roster'!$AI:$AI))</f>
        <v>0</v>
      </c>
      <c r="AN213" s="17">
        <f ca="1">IF($A213=0,0,SUMIF('Week 2 Roster'!$AZ:$AZ,$B213,'Week 2 Roster'!$AK:$AK))</f>
        <v>0</v>
      </c>
      <c r="AO213" s="17">
        <f ca="1">IF($A213=0,0,SUMIF('Week 2 Roster'!$AZ:$AZ,$B213,'Week 2 Roster'!$AM:$AM))</f>
        <v>0</v>
      </c>
      <c r="AP213" s="17">
        <f ca="1">IF($A213=0,0,SUMIF('Week 2 Roster'!$AZ:$AZ,$B213,'Week 2 Roster'!$AO:$AO))</f>
        <v>0</v>
      </c>
      <c r="AQ213" s="38">
        <f ca="1">IF($A213=0,0,SUMIF('Week 2 Roster'!$AZ:$AZ,$B213,'Week 2 Roster'!$AP:$AP))</f>
        <v>0</v>
      </c>
      <c r="AR213" s="17">
        <f ca="1">IF($A213=0,0,SUMIF('Week 2 Roster'!$AZ:$AZ,$B213,'Week 2 Roster'!$AQ:$AQ))</f>
        <v>0</v>
      </c>
      <c r="AS213" s="17">
        <f ca="1">IF($A213=0,0,SUMIF('Week 2 Roster'!$AZ:$AZ,$B213,'Week 2 Roster'!$AR:$AR))</f>
        <v>0</v>
      </c>
      <c r="AT213" s="17">
        <f ca="1">IF($A213=0,0,SUMIF('Week 2 Roster'!$AZ:$AZ,$B213,'Week 2 Roster'!$AS:$AS))</f>
        <v>0</v>
      </c>
      <c r="AU213" s="17">
        <f t="shared" ca="1" si="83"/>
        <v>0</v>
      </c>
    </row>
    <row r="214" spans="1:47">
      <c r="A214" s="16" cm="1">
        <f t="array" aca="1" ref="A214" ca="1">_xlfn.NUMBERVALUE(INDIRECT(TEXT(MIN(IF(($AW$2:$AX$300&lt;&gt;"")*(COUNTIF($B$1:B213,$AW$2:$AX$300)=0),ROW($2:$300)*100+COLUMN($AW:$AX),7^8)),"R0C00"),)&amp;"")</f>
        <v>0</v>
      </c>
      <c r="B214" s="28" t="str">
        <f t="shared" ca="1" si="69"/>
        <v/>
      </c>
      <c r="C214" s="28" t="str">
        <f ca="1">IF($A214=0,"",VLOOKUP($B214,Employees!$A:$G,2,FALSE))</f>
        <v/>
      </c>
      <c r="D214" s="28" t="str">
        <f ca="1">IF($A214=0,"",VLOOKUP($B214,Employees!$A:$G,3,FALSE))</f>
        <v/>
      </c>
      <c r="E214" s="26" t="str">
        <f ca="1">IF($A214=0,"",VLOOKUP($B214,Employees!$A:$G,5,FALSE))</f>
        <v/>
      </c>
      <c r="F214" s="13" t="str">
        <f ca="1">IF($E214="","",ROUNDDOWN(YEARFRAC($E214, 'Week 1 Roster'!$D$1-1, 1), 0))</f>
        <v/>
      </c>
      <c r="G214" s="13" t="str">
        <f ca="1">IF($E214="","",ROUNDDOWN(YEARFRAC($E214, 'Week 1 Roster'!$D$1+14, 1), 0))</f>
        <v/>
      </c>
      <c r="H214" s="13" t="str">
        <f t="shared" ca="1" si="70"/>
        <v/>
      </c>
      <c r="I214" s="13" t="str">
        <f ca="1">IF($A214=0,"",VLOOKUP($B214,Employees!$A:$G,6,FALSE))</f>
        <v/>
      </c>
      <c r="J214" s="13" t="str">
        <f ca="1">IF($A214=0,"",VLOOKUP($B214,Employees!$A:$G,7,FALSE))</f>
        <v/>
      </c>
      <c r="K214" s="13" t="str">
        <f ca="1">IF($A214=0,"",IF(ISNA(VLOOKUP(A214,'Week 1 Roster'!A:C,2,0)),VLOOKUP(A214,'Week 2 Roster'!A:C,2,0),VLOOKUP(A214,'Week 1 Roster'!A:C,2,0)))</f>
        <v/>
      </c>
      <c r="L214" s="13" t="str">
        <f ca="1">IF($A214=0,"",VLOOKUP(K214,Stores!A:B,2,0))</f>
        <v/>
      </c>
      <c r="M214" s="14">
        <f t="shared" ca="1" si="71"/>
        <v>0</v>
      </c>
      <c r="N214" s="14">
        <f t="shared" ca="1" si="72"/>
        <v>0</v>
      </c>
      <c r="O214" s="14">
        <f t="shared" ca="1" si="73"/>
        <v>0</v>
      </c>
      <c r="P214" s="14">
        <f t="shared" ca="1" si="74"/>
        <v>0</v>
      </c>
      <c r="Q214" s="14">
        <f t="shared" ca="1" si="75"/>
        <v>0</v>
      </c>
      <c r="R214" s="14">
        <f t="shared" ca="1" si="76"/>
        <v>0</v>
      </c>
      <c r="S214" s="28">
        <f t="shared" ca="1" si="77"/>
        <v>0</v>
      </c>
      <c r="T214" s="14">
        <f t="shared" ca="1" si="78"/>
        <v>0</v>
      </c>
      <c r="U214" s="14">
        <f t="shared" ca="1" si="79"/>
        <v>0</v>
      </c>
      <c r="V214" s="14">
        <f t="shared" ca="1" si="80"/>
        <v>0</v>
      </c>
      <c r="W214" s="14">
        <f t="shared" ca="1" si="81"/>
        <v>0</v>
      </c>
      <c r="Y214" s="17">
        <f ca="1">IF($A214=0,0,SUMIF('Week 1 Roster'!$AZ:$AZ,$B214,'Week 1 Roster'!$AE:$AE))</f>
        <v>0</v>
      </c>
      <c r="Z214" s="17">
        <f ca="1">IF($A214=0,0,SUMIF('Week 1 Roster'!$AZ:$AZ,$B214,'Week 1 Roster'!$AG:$AG))</f>
        <v>0</v>
      </c>
      <c r="AA214" s="17">
        <f ca="1">IF($A214=0,0,SUMIF('Week 1 Roster'!$AZ:$AZ,$B214,'Week 1 Roster'!$AI:$AI))</f>
        <v>0</v>
      </c>
      <c r="AB214" s="17">
        <f ca="1">IF($A214=0,0,SUMIF('Week 1 Roster'!$AZ:$AZ,$B214,'Week 1 Roster'!$AK:$AK))</f>
        <v>0</v>
      </c>
      <c r="AC214" s="17">
        <f ca="1">IF($A214=0,0,SUMIF('Week 1 Roster'!$AZ:$AZ,$B214,'Week 1 Roster'!$AM:$AM))</f>
        <v>0</v>
      </c>
      <c r="AD214" s="17">
        <f ca="1">IF($A214=0,0,SUMIF('Week 1 Roster'!$AZ:$AZ,$B214,'Week 1 Roster'!$AO:$AO))</f>
        <v>0</v>
      </c>
      <c r="AE214" s="38">
        <f ca="1">IF($A214=0,0,SUMIF('Week 1 Roster'!$AZ:$AZ,$B214,'Week 1 Roster'!$AP:$AP))</f>
        <v>0</v>
      </c>
      <c r="AF214" s="17">
        <f ca="1">IF($A214=0,0,SUMIF('Week 1 Roster'!$AZ:$AZ,$B214,'Week 1 Roster'!$AQ:$AQ))</f>
        <v>0</v>
      </c>
      <c r="AG214" s="17">
        <f ca="1">IF($A214=0,0,SUMIF('Week 1 Roster'!$AZ:$AZ,$B214,'Week 1 Roster'!$AR:$AR))</f>
        <v>0</v>
      </c>
      <c r="AH214" s="17">
        <f ca="1">IF($A214=0,0,SUMIF('Week 1 Roster'!$AZ:$AZ,$B214,'Week 1 Roster'!$AS:$AS))</f>
        <v>0</v>
      </c>
      <c r="AI214" s="17">
        <f t="shared" ca="1" si="82"/>
        <v>0</v>
      </c>
      <c r="AK214" s="17">
        <f ca="1">IF($A214=0,0,SUMIF('Week 2 Roster'!$AZ:$AZ,$B214,'Week 2 Roster'!$AE:$AE))</f>
        <v>0</v>
      </c>
      <c r="AL214" s="17">
        <f ca="1">IF($A214=0,0,SUMIF('Week 2 Roster'!$AZ:$AZ,$B214,'Week 2 Roster'!$AG:$AG))</f>
        <v>0</v>
      </c>
      <c r="AM214" s="17">
        <f ca="1">IF($A214=0,0,SUMIF('Week 2 Roster'!$AZ:$AZ,$B214,'Week 2 Roster'!$AI:$AI))</f>
        <v>0</v>
      </c>
      <c r="AN214" s="17">
        <f ca="1">IF($A214=0,0,SUMIF('Week 2 Roster'!$AZ:$AZ,$B214,'Week 2 Roster'!$AK:$AK))</f>
        <v>0</v>
      </c>
      <c r="AO214" s="17">
        <f ca="1">IF($A214=0,0,SUMIF('Week 2 Roster'!$AZ:$AZ,$B214,'Week 2 Roster'!$AM:$AM))</f>
        <v>0</v>
      </c>
      <c r="AP214" s="17">
        <f ca="1">IF($A214=0,0,SUMIF('Week 2 Roster'!$AZ:$AZ,$B214,'Week 2 Roster'!$AO:$AO))</f>
        <v>0</v>
      </c>
      <c r="AQ214" s="38">
        <f ca="1">IF($A214=0,0,SUMIF('Week 2 Roster'!$AZ:$AZ,$B214,'Week 2 Roster'!$AP:$AP))</f>
        <v>0</v>
      </c>
      <c r="AR214" s="17">
        <f ca="1">IF($A214=0,0,SUMIF('Week 2 Roster'!$AZ:$AZ,$B214,'Week 2 Roster'!$AQ:$AQ))</f>
        <v>0</v>
      </c>
      <c r="AS214" s="17">
        <f ca="1">IF($A214=0,0,SUMIF('Week 2 Roster'!$AZ:$AZ,$B214,'Week 2 Roster'!$AR:$AR))</f>
        <v>0</v>
      </c>
      <c r="AT214" s="17">
        <f ca="1">IF($A214=0,0,SUMIF('Week 2 Roster'!$AZ:$AZ,$B214,'Week 2 Roster'!$AS:$AS))</f>
        <v>0</v>
      </c>
      <c r="AU214" s="17">
        <f t="shared" ca="1" si="83"/>
        <v>0</v>
      </c>
    </row>
    <row r="215" spans="1:47">
      <c r="A215" s="16" cm="1">
        <f t="array" aca="1" ref="A215" ca="1">_xlfn.NUMBERVALUE(INDIRECT(TEXT(MIN(IF(($AW$2:$AX$300&lt;&gt;"")*(COUNTIF($B$1:B214,$AW$2:$AX$300)=0),ROW($2:$300)*100+COLUMN($AW:$AX),7^8)),"R0C00"),)&amp;"")</f>
        <v>0</v>
      </c>
      <c r="B215" s="28" t="str">
        <f t="shared" ca="1" si="69"/>
        <v/>
      </c>
      <c r="C215" s="28" t="str">
        <f ca="1">IF($A215=0,"",VLOOKUP($B215,Employees!$A:$G,2,FALSE))</f>
        <v/>
      </c>
      <c r="D215" s="28" t="str">
        <f ca="1">IF($A215=0,"",VLOOKUP($B215,Employees!$A:$G,3,FALSE))</f>
        <v/>
      </c>
      <c r="E215" s="26" t="str">
        <f ca="1">IF($A215=0,"",VLOOKUP($B215,Employees!$A:$G,5,FALSE))</f>
        <v/>
      </c>
      <c r="F215" s="13" t="str">
        <f ca="1">IF($E215="","",ROUNDDOWN(YEARFRAC($E215, 'Week 1 Roster'!$D$1-1, 1), 0))</f>
        <v/>
      </c>
      <c r="G215" s="13" t="str">
        <f ca="1">IF($E215="","",ROUNDDOWN(YEARFRAC($E215, 'Week 1 Roster'!$D$1+14, 1), 0))</f>
        <v/>
      </c>
      <c r="H215" s="13" t="str">
        <f t="shared" ca="1" si="70"/>
        <v/>
      </c>
      <c r="I215" s="13" t="str">
        <f ca="1">IF($A215=0,"",VLOOKUP($B215,Employees!$A:$G,6,FALSE))</f>
        <v/>
      </c>
      <c r="J215" s="13" t="str">
        <f ca="1">IF($A215=0,"",VLOOKUP($B215,Employees!$A:$G,7,FALSE))</f>
        <v/>
      </c>
      <c r="K215" s="13" t="str">
        <f ca="1">IF($A215=0,"",IF(ISNA(VLOOKUP(A215,'Week 1 Roster'!A:C,2,0)),VLOOKUP(A215,'Week 2 Roster'!A:C,2,0),VLOOKUP(A215,'Week 1 Roster'!A:C,2,0)))</f>
        <v/>
      </c>
      <c r="L215" s="13" t="str">
        <f ca="1">IF($A215=0,"",VLOOKUP(K215,Stores!A:B,2,0))</f>
        <v/>
      </c>
      <c r="M215" s="14">
        <f t="shared" ca="1" si="71"/>
        <v>0</v>
      </c>
      <c r="N215" s="14">
        <f t="shared" ca="1" si="72"/>
        <v>0</v>
      </c>
      <c r="O215" s="14">
        <f t="shared" ca="1" si="73"/>
        <v>0</v>
      </c>
      <c r="P215" s="14">
        <f t="shared" ca="1" si="74"/>
        <v>0</v>
      </c>
      <c r="Q215" s="14">
        <f t="shared" ca="1" si="75"/>
        <v>0</v>
      </c>
      <c r="R215" s="14">
        <f t="shared" ca="1" si="76"/>
        <v>0</v>
      </c>
      <c r="S215" s="28">
        <f t="shared" ca="1" si="77"/>
        <v>0</v>
      </c>
      <c r="T215" s="14">
        <f t="shared" ca="1" si="78"/>
        <v>0</v>
      </c>
      <c r="U215" s="14">
        <f t="shared" ca="1" si="79"/>
        <v>0</v>
      </c>
      <c r="V215" s="14">
        <f t="shared" ca="1" si="80"/>
        <v>0</v>
      </c>
      <c r="W215" s="14">
        <f t="shared" ca="1" si="81"/>
        <v>0</v>
      </c>
      <c r="Y215" s="17">
        <f ca="1">IF($A215=0,0,SUMIF('Week 1 Roster'!$AZ:$AZ,$B215,'Week 1 Roster'!$AE:$AE))</f>
        <v>0</v>
      </c>
      <c r="Z215" s="17">
        <f ca="1">IF($A215=0,0,SUMIF('Week 1 Roster'!$AZ:$AZ,$B215,'Week 1 Roster'!$AG:$AG))</f>
        <v>0</v>
      </c>
      <c r="AA215" s="17">
        <f ca="1">IF($A215=0,0,SUMIF('Week 1 Roster'!$AZ:$AZ,$B215,'Week 1 Roster'!$AI:$AI))</f>
        <v>0</v>
      </c>
      <c r="AB215" s="17">
        <f ca="1">IF($A215=0,0,SUMIF('Week 1 Roster'!$AZ:$AZ,$B215,'Week 1 Roster'!$AK:$AK))</f>
        <v>0</v>
      </c>
      <c r="AC215" s="17">
        <f ca="1">IF($A215=0,0,SUMIF('Week 1 Roster'!$AZ:$AZ,$B215,'Week 1 Roster'!$AM:$AM))</f>
        <v>0</v>
      </c>
      <c r="AD215" s="17">
        <f ca="1">IF($A215=0,0,SUMIF('Week 1 Roster'!$AZ:$AZ,$B215,'Week 1 Roster'!$AO:$AO))</f>
        <v>0</v>
      </c>
      <c r="AE215" s="38">
        <f ca="1">IF($A215=0,0,SUMIF('Week 1 Roster'!$AZ:$AZ,$B215,'Week 1 Roster'!$AP:$AP))</f>
        <v>0</v>
      </c>
      <c r="AF215" s="17">
        <f ca="1">IF($A215=0,0,SUMIF('Week 1 Roster'!$AZ:$AZ,$B215,'Week 1 Roster'!$AQ:$AQ))</f>
        <v>0</v>
      </c>
      <c r="AG215" s="17">
        <f ca="1">IF($A215=0,0,SUMIF('Week 1 Roster'!$AZ:$AZ,$B215,'Week 1 Roster'!$AR:$AR))</f>
        <v>0</v>
      </c>
      <c r="AH215" s="17">
        <f ca="1">IF($A215=0,0,SUMIF('Week 1 Roster'!$AZ:$AZ,$B215,'Week 1 Roster'!$AS:$AS))</f>
        <v>0</v>
      </c>
      <c r="AI215" s="17">
        <f t="shared" ca="1" si="82"/>
        <v>0</v>
      </c>
      <c r="AK215" s="17">
        <f ca="1">IF($A215=0,0,SUMIF('Week 2 Roster'!$AZ:$AZ,$B215,'Week 2 Roster'!$AE:$AE))</f>
        <v>0</v>
      </c>
      <c r="AL215" s="17">
        <f ca="1">IF($A215=0,0,SUMIF('Week 2 Roster'!$AZ:$AZ,$B215,'Week 2 Roster'!$AG:$AG))</f>
        <v>0</v>
      </c>
      <c r="AM215" s="17">
        <f ca="1">IF($A215=0,0,SUMIF('Week 2 Roster'!$AZ:$AZ,$B215,'Week 2 Roster'!$AI:$AI))</f>
        <v>0</v>
      </c>
      <c r="AN215" s="17">
        <f ca="1">IF($A215=0,0,SUMIF('Week 2 Roster'!$AZ:$AZ,$B215,'Week 2 Roster'!$AK:$AK))</f>
        <v>0</v>
      </c>
      <c r="AO215" s="17">
        <f ca="1">IF($A215=0,0,SUMIF('Week 2 Roster'!$AZ:$AZ,$B215,'Week 2 Roster'!$AM:$AM))</f>
        <v>0</v>
      </c>
      <c r="AP215" s="17">
        <f ca="1">IF($A215=0,0,SUMIF('Week 2 Roster'!$AZ:$AZ,$B215,'Week 2 Roster'!$AO:$AO))</f>
        <v>0</v>
      </c>
      <c r="AQ215" s="38">
        <f ca="1">IF($A215=0,0,SUMIF('Week 2 Roster'!$AZ:$AZ,$B215,'Week 2 Roster'!$AP:$AP))</f>
        <v>0</v>
      </c>
      <c r="AR215" s="17">
        <f ca="1">IF($A215=0,0,SUMIF('Week 2 Roster'!$AZ:$AZ,$B215,'Week 2 Roster'!$AQ:$AQ))</f>
        <v>0</v>
      </c>
      <c r="AS215" s="17">
        <f ca="1">IF($A215=0,0,SUMIF('Week 2 Roster'!$AZ:$AZ,$B215,'Week 2 Roster'!$AR:$AR))</f>
        <v>0</v>
      </c>
      <c r="AT215" s="17">
        <f ca="1">IF($A215=0,0,SUMIF('Week 2 Roster'!$AZ:$AZ,$B215,'Week 2 Roster'!$AS:$AS))</f>
        <v>0</v>
      </c>
      <c r="AU215" s="17">
        <f t="shared" ca="1" si="83"/>
        <v>0</v>
      </c>
    </row>
    <row r="216" spans="1:47">
      <c r="A216" s="16" cm="1">
        <f t="array" aca="1" ref="A216" ca="1">_xlfn.NUMBERVALUE(INDIRECT(TEXT(MIN(IF(($AW$2:$AX$300&lt;&gt;"")*(COUNTIF($B$1:B215,$AW$2:$AX$300)=0),ROW($2:$300)*100+COLUMN($AW:$AX),7^8)),"R0C00"),)&amp;"")</f>
        <v>0</v>
      </c>
      <c r="B216" s="28" t="str">
        <f t="shared" ca="1" si="69"/>
        <v/>
      </c>
      <c r="C216" s="28" t="str">
        <f ca="1">IF($A216=0,"",VLOOKUP($B216,Employees!$A:$G,2,FALSE))</f>
        <v/>
      </c>
      <c r="D216" s="28" t="str">
        <f ca="1">IF($A216=0,"",VLOOKUP($B216,Employees!$A:$G,3,FALSE))</f>
        <v/>
      </c>
      <c r="E216" s="26" t="str">
        <f ca="1">IF($A216=0,"",VLOOKUP($B216,Employees!$A:$G,5,FALSE))</f>
        <v/>
      </c>
      <c r="F216" s="13" t="str">
        <f ca="1">IF($E216="","",ROUNDDOWN(YEARFRAC($E216, 'Week 1 Roster'!$D$1-1, 1), 0))</f>
        <v/>
      </c>
      <c r="G216" s="13" t="str">
        <f ca="1">IF($E216="","",ROUNDDOWN(YEARFRAC($E216, 'Week 1 Roster'!$D$1+14, 1), 0))</f>
        <v/>
      </c>
      <c r="H216" s="13" t="str">
        <f t="shared" ca="1" si="70"/>
        <v/>
      </c>
      <c r="I216" s="13" t="str">
        <f ca="1">IF($A216=0,"",VLOOKUP($B216,Employees!$A:$G,6,FALSE))</f>
        <v/>
      </c>
      <c r="J216" s="13" t="str">
        <f ca="1">IF($A216=0,"",VLOOKUP($B216,Employees!$A:$G,7,FALSE))</f>
        <v/>
      </c>
      <c r="K216" s="13" t="str">
        <f ca="1">IF($A216=0,"",IF(ISNA(VLOOKUP(A216,'Week 1 Roster'!A:C,2,0)),VLOOKUP(A216,'Week 2 Roster'!A:C,2,0),VLOOKUP(A216,'Week 1 Roster'!A:C,2,0)))</f>
        <v/>
      </c>
      <c r="L216" s="13" t="str">
        <f ca="1">IF($A216=0,"",VLOOKUP(K216,Stores!A:B,2,0))</f>
        <v/>
      </c>
      <c r="M216" s="14">
        <f t="shared" ca="1" si="71"/>
        <v>0</v>
      </c>
      <c r="N216" s="14">
        <f t="shared" ca="1" si="72"/>
        <v>0</v>
      </c>
      <c r="O216" s="14">
        <f t="shared" ca="1" si="73"/>
        <v>0</v>
      </c>
      <c r="P216" s="14">
        <f t="shared" ca="1" si="74"/>
        <v>0</v>
      </c>
      <c r="Q216" s="14">
        <f t="shared" ca="1" si="75"/>
        <v>0</v>
      </c>
      <c r="R216" s="14">
        <f t="shared" ca="1" si="76"/>
        <v>0</v>
      </c>
      <c r="S216" s="28">
        <f t="shared" ca="1" si="77"/>
        <v>0</v>
      </c>
      <c r="T216" s="14">
        <f t="shared" ca="1" si="78"/>
        <v>0</v>
      </c>
      <c r="U216" s="14">
        <f t="shared" ca="1" si="79"/>
        <v>0</v>
      </c>
      <c r="V216" s="14">
        <f t="shared" ca="1" si="80"/>
        <v>0</v>
      </c>
      <c r="W216" s="14">
        <f t="shared" ca="1" si="81"/>
        <v>0</v>
      </c>
      <c r="Y216" s="17">
        <f ca="1">IF($A216=0,0,SUMIF('Week 1 Roster'!$AZ:$AZ,$B216,'Week 1 Roster'!$AE:$AE))</f>
        <v>0</v>
      </c>
      <c r="Z216" s="17">
        <f ca="1">IF($A216=0,0,SUMIF('Week 1 Roster'!$AZ:$AZ,$B216,'Week 1 Roster'!$AG:$AG))</f>
        <v>0</v>
      </c>
      <c r="AA216" s="17">
        <f ca="1">IF($A216=0,0,SUMIF('Week 1 Roster'!$AZ:$AZ,$B216,'Week 1 Roster'!$AI:$AI))</f>
        <v>0</v>
      </c>
      <c r="AB216" s="17">
        <f ca="1">IF($A216=0,0,SUMIF('Week 1 Roster'!$AZ:$AZ,$B216,'Week 1 Roster'!$AK:$AK))</f>
        <v>0</v>
      </c>
      <c r="AC216" s="17">
        <f ca="1">IF($A216=0,0,SUMIF('Week 1 Roster'!$AZ:$AZ,$B216,'Week 1 Roster'!$AM:$AM))</f>
        <v>0</v>
      </c>
      <c r="AD216" s="17">
        <f ca="1">IF($A216=0,0,SUMIF('Week 1 Roster'!$AZ:$AZ,$B216,'Week 1 Roster'!$AO:$AO))</f>
        <v>0</v>
      </c>
      <c r="AE216" s="38">
        <f ca="1">IF($A216=0,0,SUMIF('Week 1 Roster'!$AZ:$AZ,$B216,'Week 1 Roster'!$AP:$AP))</f>
        <v>0</v>
      </c>
      <c r="AF216" s="17">
        <f ca="1">IF($A216=0,0,SUMIF('Week 1 Roster'!$AZ:$AZ,$B216,'Week 1 Roster'!$AQ:$AQ))</f>
        <v>0</v>
      </c>
      <c r="AG216" s="17">
        <f ca="1">IF($A216=0,0,SUMIF('Week 1 Roster'!$AZ:$AZ,$B216,'Week 1 Roster'!$AR:$AR))</f>
        <v>0</v>
      </c>
      <c r="AH216" s="17">
        <f ca="1">IF($A216=0,0,SUMIF('Week 1 Roster'!$AZ:$AZ,$B216,'Week 1 Roster'!$AS:$AS))</f>
        <v>0</v>
      </c>
      <c r="AI216" s="17">
        <f t="shared" ca="1" si="82"/>
        <v>0</v>
      </c>
      <c r="AK216" s="17">
        <f ca="1">IF($A216=0,0,SUMIF('Week 2 Roster'!$AZ:$AZ,$B216,'Week 2 Roster'!$AE:$AE))</f>
        <v>0</v>
      </c>
      <c r="AL216" s="17">
        <f ca="1">IF($A216=0,0,SUMIF('Week 2 Roster'!$AZ:$AZ,$B216,'Week 2 Roster'!$AG:$AG))</f>
        <v>0</v>
      </c>
      <c r="AM216" s="17">
        <f ca="1">IF($A216=0,0,SUMIF('Week 2 Roster'!$AZ:$AZ,$B216,'Week 2 Roster'!$AI:$AI))</f>
        <v>0</v>
      </c>
      <c r="AN216" s="17">
        <f ca="1">IF($A216=0,0,SUMIF('Week 2 Roster'!$AZ:$AZ,$B216,'Week 2 Roster'!$AK:$AK))</f>
        <v>0</v>
      </c>
      <c r="AO216" s="17">
        <f ca="1">IF($A216=0,0,SUMIF('Week 2 Roster'!$AZ:$AZ,$B216,'Week 2 Roster'!$AM:$AM))</f>
        <v>0</v>
      </c>
      <c r="AP216" s="17">
        <f ca="1">IF($A216=0,0,SUMIF('Week 2 Roster'!$AZ:$AZ,$B216,'Week 2 Roster'!$AO:$AO))</f>
        <v>0</v>
      </c>
      <c r="AQ216" s="38">
        <f ca="1">IF($A216=0,0,SUMIF('Week 2 Roster'!$AZ:$AZ,$B216,'Week 2 Roster'!$AP:$AP))</f>
        <v>0</v>
      </c>
      <c r="AR216" s="17">
        <f ca="1">IF($A216=0,0,SUMIF('Week 2 Roster'!$AZ:$AZ,$B216,'Week 2 Roster'!$AQ:$AQ))</f>
        <v>0</v>
      </c>
      <c r="AS216" s="17">
        <f ca="1">IF($A216=0,0,SUMIF('Week 2 Roster'!$AZ:$AZ,$B216,'Week 2 Roster'!$AR:$AR))</f>
        <v>0</v>
      </c>
      <c r="AT216" s="17">
        <f ca="1">IF($A216=0,0,SUMIF('Week 2 Roster'!$AZ:$AZ,$B216,'Week 2 Roster'!$AS:$AS))</f>
        <v>0</v>
      </c>
      <c r="AU216" s="17">
        <f t="shared" ca="1" si="83"/>
        <v>0</v>
      </c>
    </row>
    <row r="217" spans="1:47">
      <c r="A217" s="16" cm="1">
        <f t="array" aca="1" ref="A217" ca="1">_xlfn.NUMBERVALUE(INDIRECT(TEXT(MIN(IF(($AW$2:$AX$300&lt;&gt;"")*(COUNTIF($B$1:B216,$AW$2:$AX$300)=0),ROW($2:$300)*100+COLUMN($AW:$AX),7^8)),"R0C00"),)&amp;"")</f>
        <v>0</v>
      </c>
      <c r="B217" s="28" t="str">
        <f t="shared" ca="1" si="69"/>
        <v/>
      </c>
      <c r="C217" s="28" t="str">
        <f ca="1">IF($A217=0,"",VLOOKUP($B217,Employees!$A:$G,2,FALSE))</f>
        <v/>
      </c>
      <c r="D217" s="28" t="str">
        <f ca="1">IF($A217=0,"",VLOOKUP($B217,Employees!$A:$G,3,FALSE))</f>
        <v/>
      </c>
      <c r="E217" s="26" t="str">
        <f ca="1">IF($A217=0,"",VLOOKUP($B217,Employees!$A:$G,5,FALSE))</f>
        <v/>
      </c>
      <c r="F217" s="13" t="str">
        <f ca="1">IF($E217="","",ROUNDDOWN(YEARFRAC($E217, 'Week 1 Roster'!$D$1-1, 1), 0))</f>
        <v/>
      </c>
      <c r="G217" s="13" t="str">
        <f ca="1">IF($E217="","",ROUNDDOWN(YEARFRAC($E217, 'Week 1 Roster'!$D$1+14, 1), 0))</f>
        <v/>
      </c>
      <c r="H217" s="13" t="str">
        <f t="shared" ca="1" si="70"/>
        <v/>
      </c>
      <c r="I217" s="13" t="str">
        <f ca="1">IF($A217=0,"",VLOOKUP($B217,Employees!$A:$G,6,FALSE))</f>
        <v/>
      </c>
      <c r="J217" s="13" t="str">
        <f ca="1">IF($A217=0,"",VLOOKUP($B217,Employees!$A:$G,7,FALSE))</f>
        <v/>
      </c>
      <c r="K217" s="13" t="str">
        <f ca="1">IF($A217=0,"",IF(ISNA(VLOOKUP(A217,'Week 1 Roster'!A:C,2,0)),VLOOKUP(A217,'Week 2 Roster'!A:C,2,0),VLOOKUP(A217,'Week 1 Roster'!A:C,2,0)))</f>
        <v/>
      </c>
      <c r="L217" s="13" t="str">
        <f ca="1">IF($A217=0,"",VLOOKUP(K217,Stores!A:B,2,0))</f>
        <v/>
      </c>
      <c r="M217" s="14">
        <f t="shared" ca="1" si="71"/>
        <v>0</v>
      </c>
      <c r="N217" s="14">
        <f t="shared" ca="1" si="72"/>
        <v>0</v>
      </c>
      <c r="O217" s="14">
        <f t="shared" ca="1" si="73"/>
        <v>0</v>
      </c>
      <c r="P217" s="14">
        <f t="shared" ca="1" si="74"/>
        <v>0</v>
      </c>
      <c r="Q217" s="14">
        <f t="shared" ca="1" si="75"/>
        <v>0</v>
      </c>
      <c r="R217" s="14">
        <f t="shared" ca="1" si="76"/>
        <v>0</v>
      </c>
      <c r="S217" s="28">
        <f t="shared" ca="1" si="77"/>
        <v>0</v>
      </c>
      <c r="T217" s="14">
        <f t="shared" ca="1" si="78"/>
        <v>0</v>
      </c>
      <c r="U217" s="14">
        <f t="shared" ca="1" si="79"/>
        <v>0</v>
      </c>
      <c r="V217" s="14">
        <f t="shared" ca="1" si="80"/>
        <v>0</v>
      </c>
      <c r="W217" s="14">
        <f t="shared" ca="1" si="81"/>
        <v>0</v>
      </c>
      <c r="Y217" s="17">
        <f ca="1">IF($A217=0,0,SUMIF('Week 1 Roster'!$AZ:$AZ,$B217,'Week 1 Roster'!$AE:$AE))</f>
        <v>0</v>
      </c>
      <c r="Z217" s="17">
        <f ca="1">IF($A217=0,0,SUMIF('Week 1 Roster'!$AZ:$AZ,$B217,'Week 1 Roster'!$AG:$AG))</f>
        <v>0</v>
      </c>
      <c r="AA217" s="17">
        <f ca="1">IF($A217=0,0,SUMIF('Week 1 Roster'!$AZ:$AZ,$B217,'Week 1 Roster'!$AI:$AI))</f>
        <v>0</v>
      </c>
      <c r="AB217" s="17">
        <f ca="1">IF($A217=0,0,SUMIF('Week 1 Roster'!$AZ:$AZ,$B217,'Week 1 Roster'!$AK:$AK))</f>
        <v>0</v>
      </c>
      <c r="AC217" s="17">
        <f ca="1">IF($A217=0,0,SUMIF('Week 1 Roster'!$AZ:$AZ,$B217,'Week 1 Roster'!$AM:$AM))</f>
        <v>0</v>
      </c>
      <c r="AD217" s="17">
        <f ca="1">IF($A217=0,0,SUMIF('Week 1 Roster'!$AZ:$AZ,$B217,'Week 1 Roster'!$AO:$AO))</f>
        <v>0</v>
      </c>
      <c r="AE217" s="38">
        <f ca="1">IF($A217=0,0,SUMIF('Week 1 Roster'!$AZ:$AZ,$B217,'Week 1 Roster'!$AP:$AP))</f>
        <v>0</v>
      </c>
      <c r="AF217" s="17">
        <f ca="1">IF($A217=0,0,SUMIF('Week 1 Roster'!$AZ:$AZ,$B217,'Week 1 Roster'!$AQ:$AQ))</f>
        <v>0</v>
      </c>
      <c r="AG217" s="17">
        <f ca="1">IF($A217=0,0,SUMIF('Week 1 Roster'!$AZ:$AZ,$B217,'Week 1 Roster'!$AR:$AR))</f>
        <v>0</v>
      </c>
      <c r="AH217" s="17">
        <f ca="1">IF($A217=0,0,SUMIF('Week 1 Roster'!$AZ:$AZ,$B217,'Week 1 Roster'!$AS:$AS))</f>
        <v>0</v>
      </c>
      <c r="AI217" s="17">
        <f t="shared" ca="1" si="82"/>
        <v>0</v>
      </c>
      <c r="AK217" s="17">
        <f ca="1">IF($A217=0,0,SUMIF('Week 2 Roster'!$AZ:$AZ,$B217,'Week 2 Roster'!$AE:$AE))</f>
        <v>0</v>
      </c>
      <c r="AL217" s="17">
        <f ca="1">IF($A217=0,0,SUMIF('Week 2 Roster'!$AZ:$AZ,$B217,'Week 2 Roster'!$AG:$AG))</f>
        <v>0</v>
      </c>
      <c r="AM217" s="17">
        <f ca="1">IF($A217=0,0,SUMIF('Week 2 Roster'!$AZ:$AZ,$B217,'Week 2 Roster'!$AI:$AI))</f>
        <v>0</v>
      </c>
      <c r="AN217" s="17">
        <f ca="1">IF($A217=0,0,SUMIF('Week 2 Roster'!$AZ:$AZ,$B217,'Week 2 Roster'!$AK:$AK))</f>
        <v>0</v>
      </c>
      <c r="AO217" s="17">
        <f ca="1">IF($A217=0,0,SUMIF('Week 2 Roster'!$AZ:$AZ,$B217,'Week 2 Roster'!$AM:$AM))</f>
        <v>0</v>
      </c>
      <c r="AP217" s="17">
        <f ca="1">IF($A217=0,0,SUMIF('Week 2 Roster'!$AZ:$AZ,$B217,'Week 2 Roster'!$AO:$AO))</f>
        <v>0</v>
      </c>
      <c r="AQ217" s="38">
        <f ca="1">IF($A217=0,0,SUMIF('Week 2 Roster'!$AZ:$AZ,$B217,'Week 2 Roster'!$AP:$AP))</f>
        <v>0</v>
      </c>
      <c r="AR217" s="17">
        <f ca="1">IF($A217=0,0,SUMIF('Week 2 Roster'!$AZ:$AZ,$B217,'Week 2 Roster'!$AQ:$AQ))</f>
        <v>0</v>
      </c>
      <c r="AS217" s="17">
        <f ca="1">IF($A217=0,0,SUMIF('Week 2 Roster'!$AZ:$AZ,$B217,'Week 2 Roster'!$AR:$AR))</f>
        <v>0</v>
      </c>
      <c r="AT217" s="17">
        <f ca="1">IF($A217=0,0,SUMIF('Week 2 Roster'!$AZ:$AZ,$B217,'Week 2 Roster'!$AS:$AS))</f>
        <v>0</v>
      </c>
      <c r="AU217" s="17">
        <f t="shared" ca="1" si="83"/>
        <v>0</v>
      </c>
    </row>
    <row r="218" spans="1:47">
      <c r="A218" s="16" cm="1">
        <f t="array" aca="1" ref="A218" ca="1">_xlfn.NUMBERVALUE(INDIRECT(TEXT(MIN(IF(($AW$2:$AX$300&lt;&gt;"")*(COUNTIF($B$1:B217,$AW$2:$AX$300)=0),ROW($2:$300)*100+COLUMN($AW:$AX),7^8)),"R0C00"),)&amp;"")</f>
        <v>0</v>
      </c>
      <c r="B218" s="28" t="str">
        <f t="shared" ca="1" si="69"/>
        <v/>
      </c>
      <c r="C218" s="28" t="str">
        <f ca="1">IF($A218=0,"",VLOOKUP($B218,Employees!$A:$G,2,FALSE))</f>
        <v/>
      </c>
      <c r="D218" s="28" t="str">
        <f ca="1">IF($A218=0,"",VLOOKUP($B218,Employees!$A:$G,3,FALSE))</f>
        <v/>
      </c>
      <c r="E218" s="26" t="str">
        <f ca="1">IF($A218=0,"",VLOOKUP($B218,Employees!$A:$G,5,FALSE))</f>
        <v/>
      </c>
      <c r="F218" s="13" t="str">
        <f ca="1">IF($E218="","",ROUNDDOWN(YEARFRAC($E218, 'Week 1 Roster'!$D$1-1, 1), 0))</f>
        <v/>
      </c>
      <c r="G218" s="13" t="str">
        <f ca="1">IF($E218="","",ROUNDDOWN(YEARFRAC($E218, 'Week 1 Roster'!$D$1+14, 1), 0))</f>
        <v/>
      </c>
      <c r="H218" s="13" t="str">
        <f t="shared" ca="1" si="70"/>
        <v/>
      </c>
      <c r="I218" s="13" t="str">
        <f ca="1">IF($A218=0,"",VLOOKUP($B218,Employees!$A:$G,6,FALSE))</f>
        <v/>
      </c>
      <c r="J218" s="13" t="str">
        <f ca="1">IF($A218=0,"",VLOOKUP($B218,Employees!$A:$G,7,FALSE))</f>
        <v/>
      </c>
      <c r="K218" s="13" t="str">
        <f ca="1">IF($A218=0,"",IF(ISNA(VLOOKUP(A218,'Week 1 Roster'!A:C,2,0)),VLOOKUP(A218,'Week 2 Roster'!A:C,2,0),VLOOKUP(A218,'Week 1 Roster'!A:C,2,0)))</f>
        <v/>
      </c>
      <c r="L218" s="13" t="str">
        <f ca="1">IF($A218=0,"",VLOOKUP(K218,Stores!A:B,2,0))</f>
        <v/>
      </c>
      <c r="M218" s="14">
        <f t="shared" ca="1" si="71"/>
        <v>0</v>
      </c>
      <c r="N218" s="14">
        <f t="shared" ca="1" si="72"/>
        <v>0</v>
      </c>
      <c r="O218" s="14">
        <f t="shared" ca="1" si="73"/>
        <v>0</v>
      </c>
      <c r="P218" s="14">
        <f t="shared" ca="1" si="74"/>
        <v>0</v>
      </c>
      <c r="Q218" s="14">
        <f t="shared" ca="1" si="75"/>
        <v>0</v>
      </c>
      <c r="R218" s="14">
        <f t="shared" ca="1" si="76"/>
        <v>0</v>
      </c>
      <c r="S218" s="28">
        <f t="shared" ca="1" si="77"/>
        <v>0</v>
      </c>
      <c r="T218" s="14">
        <f t="shared" ca="1" si="78"/>
        <v>0</v>
      </c>
      <c r="U218" s="14">
        <f t="shared" ca="1" si="79"/>
        <v>0</v>
      </c>
      <c r="V218" s="14">
        <f t="shared" ca="1" si="80"/>
        <v>0</v>
      </c>
      <c r="W218" s="14">
        <f t="shared" ca="1" si="81"/>
        <v>0</v>
      </c>
      <c r="Y218" s="17">
        <f ca="1">IF($A218=0,0,SUMIF('Week 1 Roster'!$AZ:$AZ,$B218,'Week 1 Roster'!$AE:$AE))</f>
        <v>0</v>
      </c>
      <c r="Z218" s="17">
        <f ca="1">IF($A218=0,0,SUMIF('Week 1 Roster'!$AZ:$AZ,$B218,'Week 1 Roster'!$AG:$AG))</f>
        <v>0</v>
      </c>
      <c r="AA218" s="17">
        <f ca="1">IF($A218=0,0,SUMIF('Week 1 Roster'!$AZ:$AZ,$B218,'Week 1 Roster'!$AI:$AI))</f>
        <v>0</v>
      </c>
      <c r="AB218" s="17">
        <f ca="1">IF($A218=0,0,SUMIF('Week 1 Roster'!$AZ:$AZ,$B218,'Week 1 Roster'!$AK:$AK))</f>
        <v>0</v>
      </c>
      <c r="AC218" s="17">
        <f ca="1">IF($A218=0,0,SUMIF('Week 1 Roster'!$AZ:$AZ,$B218,'Week 1 Roster'!$AM:$AM))</f>
        <v>0</v>
      </c>
      <c r="AD218" s="17">
        <f ca="1">IF($A218=0,0,SUMIF('Week 1 Roster'!$AZ:$AZ,$B218,'Week 1 Roster'!$AO:$AO))</f>
        <v>0</v>
      </c>
      <c r="AE218" s="38">
        <f ca="1">IF($A218=0,0,SUMIF('Week 1 Roster'!$AZ:$AZ,$B218,'Week 1 Roster'!$AP:$AP))</f>
        <v>0</v>
      </c>
      <c r="AF218" s="17">
        <f ca="1">IF($A218=0,0,SUMIF('Week 1 Roster'!$AZ:$AZ,$B218,'Week 1 Roster'!$AQ:$AQ))</f>
        <v>0</v>
      </c>
      <c r="AG218" s="17">
        <f ca="1">IF($A218=0,0,SUMIF('Week 1 Roster'!$AZ:$AZ,$B218,'Week 1 Roster'!$AR:$AR))</f>
        <v>0</v>
      </c>
      <c r="AH218" s="17">
        <f ca="1">IF($A218=0,0,SUMIF('Week 1 Roster'!$AZ:$AZ,$B218,'Week 1 Roster'!$AS:$AS))</f>
        <v>0</v>
      </c>
      <c r="AI218" s="17">
        <f t="shared" ca="1" si="82"/>
        <v>0</v>
      </c>
      <c r="AK218" s="17">
        <f ca="1">IF($A218=0,0,SUMIF('Week 2 Roster'!$AZ:$AZ,$B218,'Week 2 Roster'!$AE:$AE))</f>
        <v>0</v>
      </c>
      <c r="AL218" s="17">
        <f ca="1">IF($A218=0,0,SUMIF('Week 2 Roster'!$AZ:$AZ,$B218,'Week 2 Roster'!$AG:$AG))</f>
        <v>0</v>
      </c>
      <c r="AM218" s="17">
        <f ca="1">IF($A218=0,0,SUMIF('Week 2 Roster'!$AZ:$AZ,$B218,'Week 2 Roster'!$AI:$AI))</f>
        <v>0</v>
      </c>
      <c r="AN218" s="17">
        <f ca="1">IF($A218=0,0,SUMIF('Week 2 Roster'!$AZ:$AZ,$B218,'Week 2 Roster'!$AK:$AK))</f>
        <v>0</v>
      </c>
      <c r="AO218" s="17">
        <f ca="1">IF($A218=0,0,SUMIF('Week 2 Roster'!$AZ:$AZ,$B218,'Week 2 Roster'!$AM:$AM))</f>
        <v>0</v>
      </c>
      <c r="AP218" s="17">
        <f ca="1">IF($A218=0,0,SUMIF('Week 2 Roster'!$AZ:$AZ,$B218,'Week 2 Roster'!$AO:$AO))</f>
        <v>0</v>
      </c>
      <c r="AQ218" s="38">
        <f ca="1">IF($A218=0,0,SUMIF('Week 2 Roster'!$AZ:$AZ,$B218,'Week 2 Roster'!$AP:$AP))</f>
        <v>0</v>
      </c>
      <c r="AR218" s="17">
        <f ca="1">IF($A218=0,0,SUMIF('Week 2 Roster'!$AZ:$AZ,$B218,'Week 2 Roster'!$AQ:$AQ))</f>
        <v>0</v>
      </c>
      <c r="AS218" s="17">
        <f ca="1">IF($A218=0,0,SUMIF('Week 2 Roster'!$AZ:$AZ,$B218,'Week 2 Roster'!$AR:$AR))</f>
        <v>0</v>
      </c>
      <c r="AT218" s="17">
        <f ca="1">IF($A218=0,0,SUMIF('Week 2 Roster'!$AZ:$AZ,$B218,'Week 2 Roster'!$AS:$AS))</f>
        <v>0</v>
      </c>
      <c r="AU218" s="17">
        <f t="shared" ca="1" si="83"/>
        <v>0</v>
      </c>
    </row>
    <row r="219" spans="1:47">
      <c r="A219" s="16" cm="1">
        <f t="array" aca="1" ref="A219" ca="1">_xlfn.NUMBERVALUE(INDIRECT(TEXT(MIN(IF(($AW$2:$AX$300&lt;&gt;"")*(COUNTIF($B$1:B218,$AW$2:$AX$300)=0),ROW($2:$300)*100+COLUMN($AW:$AX),7^8)),"R0C00"),)&amp;"")</f>
        <v>0</v>
      </c>
      <c r="B219" s="28" t="str">
        <f t="shared" ca="1" si="69"/>
        <v/>
      </c>
      <c r="C219" s="28" t="str">
        <f ca="1">IF($A219=0,"",VLOOKUP($B219,Employees!$A:$G,2,FALSE))</f>
        <v/>
      </c>
      <c r="D219" s="28" t="str">
        <f ca="1">IF($A219=0,"",VLOOKUP($B219,Employees!$A:$G,3,FALSE))</f>
        <v/>
      </c>
      <c r="E219" s="26" t="str">
        <f ca="1">IF($A219=0,"",VLOOKUP($B219,Employees!$A:$G,5,FALSE))</f>
        <v/>
      </c>
      <c r="F219" s="13" t="str">
        <f ca="1">IF($E219="","",ROUNDDOWN(YEARFRAC($E219, 'Week 1 Roster'!$D$1-1, 1), 0))</f>
        <v/>
      </c>
      <c r="G219" s="13" t="str">
        <f ca="1">IF($E219="","",ROUNDDOWN(YEARFRAC($E219, 'Week 1 Roster'!$D$1+14, 1), 0))</f>
        <v/>
      </c>
      <c r="H219" s="13" t="str">
        <f t="shared" ca="1" si="70"/>
        <v/>
      </c>
      <c r="I219" s="13" t="str">
        <f ca="1">IF($A219=0,"",VLOOKUP($B219,Employees!$A:$G,6,FALSE))</f>
        <v/>
      </c>
      <c r="J219" s="13" t="str">
        <f ca="1">IF($A219=0,"",VLOOKUP($B219,Employees!$A:$G,7,FALSE))</f>
        <v/>
      </c>
      <c r="K219" s="13" t="str">
        <f ca="1">IF($A219=0,"",IF(ISNA(VLOOKUP(A219,'Week 1 Roster'!A:C,2,0)),VLOOKUP(A219,'Week 2 Roster'!A:C,2,0),VLOOKUP(A219,'Week 1 Roster'!A:C,2,0)))</f>
        <v/>
      </c>
      <c r="L219" s="13" t="str">
        <f ca="1">IF($A219=0,"",VLOOKUP(K219,Stores!A:B,2,0))</f>
        <v/>
      </c>
      <c r="M219" s="14">
        <f t="shared" ca="1" si="71"/>
        <v>0</v>
      </c>
      <c r="N219" s="14">
        <f t="shared" ca="1" si="72"/>
        <v>0</v>
      </c>
      <c r="O219" s="14">
        <f t="shared" ca="1" si="73"/>
        <v>0</v>
      </c>
      <c r="P219" s="14">
        <f t="shared" ca="1" si="74"/>
        <v>0</v>
      </c>
      <c r="Q219" s="14">
        <f t="shared" ca="1" si="75"/>
        <v>0</v>
      </c>
      <c r="R219" s="14">
        <f t="shared" ca="1" si="76"/>
        <v>0</v>
      </c>
      <c r="S219" s="28">
        <f t="shared" ca="1" si="77"/>
        <v>0</v>
      </c>
      <c r="T219" s="14">
        <f t="shared" ca="1" si="78"/>
        <v>0</v>
      </c>
      <c r="U219" s="14">
        <f t="shared" ca="1" si="79"/>
        <v>0</v>
      </c>
      <c r="V219" s="14">
        <f t="shared" ca="1" si="80"/>
        <v>0</v>
      </c>
      <c r="W219" s="14">
        <f t="shared" ca="1" si="81"/>
        <v>0</v>
      </c>
      <c r="Y219" s="17">
        <f ca="1">IF($A219=0,0,SUMIF('Week 1 Roster'!$AZ:$AZ,$B219,'Week 1 Roster'!$AE:$AE))</f>
        <v>0</v>
      </c>
      <c r="Z219" s="17">
        <f ca="1">IF($A219=0,0,SUMIF('Week 1 Roster'!$AZ:$AZ,$B219,'Week 1 Roster'!$AG:$AG))</f>
        <v>0</v>
      </c>
      <c r="AA219" s="17">
        <f ca="1">IF($A219=0,0,SUMIF('Week 1 Roster'!$AZ:$AZ,$B219,'Week 1 Roster'!$AI:$AI))</f>
        <v>0</v>
      </c>
      <c r="AB219" s="17">
        <f ca="1">IF($A219=0,0,SUMIF('Week 1 Roster'!$AZ:$AZ,$B219,'Week 1 Roster'!$AK:$AK))</f>
        <v>0</v>
      </c>
      <c r="AC219" s="17">
        <f ca="1">IF($A219=0,0,SUMIF('Week 1 Roster'!$AZ:$AZ,$B219,'Week 1 Roster'!$AM:$AM))</f>
        <v>0</v>
      </c>
      <c r="AD219" s="17">
        <f ca="1">IF($A219=0,0,SUMIF('Week 1 Roster'!$AZ:$AZ,$B219,'Week 1 Roster'!$AO:$AO))</f>
        <v>0</v>
      </c>
      <c r="AE219" s="38">
        <f ca="1">IF($A219=0,0,SUMIF('Week 1 Roster'!$AZ:$AZ,$B219,'Week 1 Roster'!$AP:$AP))</f>
        <v>0</v>
      </c>
      <c r="AF219" s="17">
        <f ca="1">IF($A219=0,0,SUMIF('Week 1 Roster'!$AZ:$AZ,$B219,'Week 1 Roster'!$AQ:$AQ))</f>
        <v>0</v>
      </c>
      <c r="AG219" s="17">
        <f ca="1">IF($A219=0,0,SUMIF('Week 1 Roster'!$AZ:$AZ,$B219,'Week 1 Roster'!$AR:$AR))</f>
        <v>0</v>
      </c>
      <c r="AH219" s="17">
        <f ca="1">IF($A219=0,0,SUMIF('Week 1 Roster'!$AZ:$AZ,$B219,'Week 1 Roster'!$AS:$AS))</f>
        <v>0</v>
      </c>
      <c r="AI219" s="17">
        <f t="shared" ca="1" si="82"/>
        <v>0</v>
      </c>
      <c r="AK219" s="17">
        <f ca="1">IF($A219=0,0,SUMIF('Week 2 Roster'!$AZ:$AZ,$B219,'Week 2 Roster'!$AE:$AE))</f>
        <v>0</v>
      </c>
      <c r="AL219" s="17">
        <f ca="1">IF($A219=0,0,SUMIF('Week 2 Roster'!$AZ:$AZ,$B219,'Week 2 Roster'!$AG:$AG))</f>
        <v>0</v>
      </c>
      <c r="AM219" s="17">
        <f ca="1">IF($A219=0,0,SUMIF('Week 2 Roster'!$AZ:$AZ,$B219,'Week 2 Roster'!$AI:$AI))</f>
        <v>0</v>
      </c>
      <c r="AN219" s="17">
        <f ca="1">IF($A219=0,0,SUMIF('Week 2 Roster'!$AZ:$AZ,$B219,'Week 2 Roster'!$AK:$AK))</f>
        <v>0</v>
      </c>
      <c r="AO219" s="17">
        <f ca="1">IF($A219=0,0,SUMIF('Week 2 Roster'!$AZ:$AZ,$B219,'Week 2 Roster'!$AM:$AM))</f>
        <v>0</v>
      </c>
      <c r="AP219" s="17">
        <f ca="1">IF($A219=0,0,SUMIF('Week 2 Roster'!$AZ:$AZ,$B219,'Week 2 Roster'!$AO:$AO))</f>
        <v>0</v>
      </c>
      <c r="AQ219" s="38">
        <f ca="1">IF($A219=0,0,SUMIF('Week 2 Roster'!$AZ:$AZ,$B219,'Week 2 Roster'!$AP:$AP))</f>
        <v>0</v>
      </c>
      <c r="AR219" s="17">
        <f ca="1">IF($A219=0,0,SUMIF('Week 2 Roster'!$AZ:$AZ,$B219,'Week 2 Roster'!$AQ:$AQ))</f>
        <v>0</v>
      </c>
      <c r="AS219" s="17">
        <f ca="1">IF($A219=0,0,SUMIF('Week 2 Roster'!$AZ:$AZ,$B219,'Week 2 Roster'!$AR:$AR))</f>
        <v>0</v>
      </c>
      <c r="AT219" s="17">
        <f ca="1">IF($A219=0,0,SUMIF('Week 2 Roster'!$AZ:$AZ,$B219,'Week 2 Roster'!$AS:$AS))</f>
        <v>0</v>
      </c>
      <c r="AU219" s="17">
        <f t="shared" ca="1" si="83"/>
        <v>0</v>
      </c>
    </row>
    <row r="220" spans="1:47">
      <c r="A220" s="16" cm="1">
        <f t="array" aca="1" ref="A220" ca="1">_xlfn.NUMBERVALUE(INDIRECT(TEXT(MIN(IF(($AW$2:$AX$300&lt;&gt;"")*(COUNTIF($B$1:B219,$AW$2:$AX$300)=0),ROW($2:$300)*100+COLUMN($AW:$AX),7^8)),"R0C00"),)&amp;"")</f>
        <v>0</v>
      </c>
      <c r="B220" s="28" t="str">
        <f t="shared" ca="1" si="69"/>
        <v/>
      </c>
      <c r="C220" s="28" t="str">
        <f ca="1">IF($A220=0,"",VLOOKUP($B220,Employees!$A:$G,2,FALSE))</f>
        <v/>
      </c>
      <c r="D220" s="28" t="str">
        <f ca="1">IF($A220=0,"",VLOOKUP($B220,Employees!$A:$G,3,FALSE))</f>
        <v/>
      </c>
      <c r="E220" s="26" t="str">
        <f ca="1">IF($A220=0,"",VLOOKUP($B220,Employees!$A:$G,5,FALSE))</f>
        <v/>
      </c>
      <c r="F220" s="13" t="str">
        <f ca="1">IF($E220="","",ROUNDDOWN(YEARFRAC($E220, 'Week 1 Roster'!$D$1-1, 1), 0))</f>
        <v/>
      </c>
      <c r="G220" s="13" t="str">
        <f ca="1">IF($E220="","",ROUNDDOWN(YEARFRAC($E220, 'Week 1 Roster'!$D$1+14, 1), 0))</f>
        <v/>
      </c>
      <c r="H220" s="13" t="str">
        <f t="shared" ca="1" si="70"/>
        <v/>
      </c>
      <c r="I220" s="13" t="str">
        <f ca="1">IF($A220=0,"",VLOOKUP($B220,Employees!$A:$G,6,FALSE))</f>
        <v/>
      </c>
      <c r="J220" s="13" t="str">
        <f ca="1">IF($A220=0,"",VLOOKUP($B220,Employees!$A:$G,7,FALSE))</f>
        <v/>
      </c>
      <c r="K220" s="13" t="str">
        <f ca="1">IF($A220=0,"",IF(ISNA(VLOOKUP(A220,'Week 1 Roster'!A:C,2,0)),VLOOKUP(A220,'Week 2 Roster'!A:C,2,0),VLOOKUP(A220,'Week 1 Roster'!A:C,2,0)))</f>
        <v/>
      </c>
      <c r="L220" s="13" t="str">
        <f ca="1">IF($A220=0,"",VLOOKUP(K220,Stores!A:B,2,0))</f>
        <v/>
      </c>
      <c r="M220" s="14">
        <f t="shared" ca="1" si="71"/>
        <v>0</v>
      </c>
      <c r="N220" s="14">
        <f t="shared" ca="1" si="72"/>
        <v>0</v>
      </c>
      <c r="O220" s="14">
        <f t="shared" ca="1" si="73"/>
        <v>0</v>
      </c>
      <c r="P220" s="14">
        <f t="shared" ca="1" si="74"/>
        <v>0</v>
      </c>
      <c r="Q220" s="14">
        <f t="shared" ca="1" si="75"/>
        <v>0</v>
      </c>
      <c r="R220" s="14">
        <f t="shared" ca="1" si="76"/>
        <v>0</v>
      </c>
      <c r="S220" s="28">
        <f t="shared" ca="1" si="77"/>
        <v>0</v>
      </c>
      <c r="T220" s="14">
        <f t="shared" ca="1" si="78"/>
        <v>0</v>
      </c>
      <c r="U220" s="14">
        <f t="shared" ca="1" si="79"/>
        <v>0</v>
      </c>
      <c r="V220" s="14">
        <f t="shared" ca="1" si="80"/>
        <v>0</v>
      </c>
      <c r="W220" s="14">
        <f t="shared" ca="1" si="81"/>
        <v>0</v>
      </c>
      <c r="Y220" s="17">
        <f ca="1">IF($A220=0,0,SUMIF('Week 1 Roster'!$AZ:$AZ,$B220,'Week 1 Roster'!$AE:$AE))</f>
        <v>0</v>
      </c>
      <c r="Z220" s="17">
        <f ca="1">IF($A220=0,0,SUMIF('Week 1 Roster'!$AZ:$AZ,$B220,'Week 1 Roster'!$AG:$AG))</f>
        <v>0</v>
      </c>
      <c r="AA220" s="17">
        <f ca="1">IF($A220=0,0,SUMIF('Week 1 Roster'!$AZ:$AZ,$B220,'Week 1 Roster'!$AI:$AI))</f>
        <v>0</v>
      </c>
      <c r="AB220" s="17">
        <f ca="1">IF($A220=0,0,SUMIF('Week 1 Roster'!$AZ:$AZ,$B220,'Week 1 Roster'!$AK:$AK))</f>
        <v>0</v>
      </c>
      <c r="AC220" s="17">
        <f ca="1">IF($A220=0,0,SUMIF('Week 1 Roster'!$AZ:$AZ,$B220,'Week 1 Roster'!$AM:$AM))</f>
        <v>0</v>
      </c>
      <c r="AD220" s="17">
        <f ca="1">IF($A220=0,0,SUMIF('Week 1 Roster'!$AZ:$AZ,$B220,'Week 1 Roster'!$AO:$AO))</f>
        <v>0</v>
      </c>
      <c r="AE220" s="38">
        <f ca="1">IF($A220=0,0,SUMIF('Week 1 Roster'!$AZ:$AZ,$B220,'Week 1 Roster'!$AP:$AP))</f>
        <v>0</v>
      </c>
      <c r="AF220" s="17">
        <f ca="1">IF($A220=0,0,SUMIF('Week 1 Roster'!$AZ:$AZ,$B220,'Week 1 Roster'!$AQ:$AQ))</f>
        <v>0</v>
      </c>
      <c r="AG220" s="17">
        <f ca="1">IF($A220=0,0,SUMIF('Week 1 Roster'!$AZ:$AZ,$B220,'Week 1 Roster'!$AR:$AR))</f>
        <v>0</v>
      </c>
      <c r="AH220" s="17">
        <f ca="1">IF($A220=0,0,SUMIF('Week 1 Roster'!$AZ:$AZ,$B220,'Week 1 Roster'!$AS:$AS))</f>
        <v>0</v>
      </c>
      <c r="AI220" s="17">
        <f t="shared" ca="1" si="82"/>
        <v>0</v>
      </c>
      <c r="AK220" s="17">
        <f ca="1">IF($A220=0,0,SUMIF('Week 2 Roster'!$AZ:$AZ,$B220,'Week 2 Roster'!$AE:$AE))</f>
        <v>0</v>
      </c>
      <c r="AL220" s="17">
        <f ca="1">IF($A220=0,0,SUMIF('Week 2 Roster'!$AZ:$AZ,$B220,'Week 2 Roster'!$AG:$AG))</f>
        <v>0</v>
      </c>
      <c r="AM220" s="17">
        <f ca="1">IF($A220=0,0,SUMIF('Week 2 Roster'!$AZ:$AZ,$B220,'Week 2 Roster'!$AI:$AI))</f>
        <v>0</v>
      </c>
      <c r="AN220" s="17">
        <f ca="1">IF($A220=0,0,SUMIF('Week 2 Roster'!$AZ:$AZ,$B220,'Week 2 Roster'!$AK:$AK))</f>
        <v>0</v>
      </c>
      <c r="AO220" s="17">
        <f ca="1">IF($A220=0,0,SUMIF('Week 2 Roster'!$AZ:$AZ,$B220,'Week 2 Roster'!$AM:$AM))</f>
        <v>0</v>
      </c>
      <c r="AP220" s="17">
        <f ca="1">IF($A220=0,0,SUMIF('Week 2 Roster'!$AZ:$AZ,$B220,'Week 2 Roster'!$AO:$AO))</f>
        <v>0</v>
      </c>
      <c r="AQ220" s="38">
        <f ca="1">IF($A220=0,0,SUMIF('Week 2 Roster'!$AZ:$AZ,$B220,'Week 2 Roster'!$AP:$AP))</f>
        <v>0</v>
      </c>
      <c r="AR220" s="17">
        <f ca="1">IF($A220=0,0,SUMIF('Week 2 Roster'!$AZ:$AZ,$B220,'Week 2 Roster'!$AQ:$AQ))</f>
        <v>0</v>
      </c>
      <c r="AS220" s="17">
        <f ca="1">IF($A220=0,0,SUMIF('Week 2 Roster'!$AZ:$AZ,$B220,'Week 2 Roster'!$AR:$AR))</f>
        <v>0</v>
      </c>
      <c r="AT220" s="17">
        <f ca="1">IF($A220=0,0,SUMIF('Week 2 Roster'!$AZ:$AZ,$B220,'Week 2 Roster'!$AS:$AS))</f>
        <v>0</v>
      </c>
      <c r="AU220" s="17">
        <f t="shared" ca="1" si="83"/>
        <v>0</v>
      </c>
    </row>
    <row r="221" spans="1:47">
      <c r="A221" s="16" cm="1">
        <f t="array" aca="1" ref="A221" ca="1">_xlfn.NUMBERVALUE(INDIRECT(TEXT(MIN(IF(($AW$2:$AX$300&lt;&gt;"")*(COUNTIF($B$1:B220,$AW$2:$AX$300)=0),ROW($2:$300)*100+COLUMN($AW:$AX),7^8)),"R0C00"),)&amp;"")</f>
        <v>0</v>
      </c>
      <c r="B221" s="28" t="str">
        <f t="shared" ca="1" si="69"/>
        <v/>
      </c>
      <c r="C221" s="28" t="str">
        <f ca="1">IF($A221=0,"",VLOOKUP($B221,Employees!$A:$G,2,FALSE))</f>
        <v/>
      </c>
      <c r="D221" s="28" t="str">
        <f ca="1">IF($A221=0,"",VLOOKUP($B221,Employees!$A:$G,3,FALSE))</f>
        <v/>
      </c>
      <c r="E221" s="26" t="str">
        <f ca="1">IF($A221=0,"",VLOOKUP($B221,Employees!$A:$G,5,FALSE))</f>
        <v/>
      </c>
      <c r="F221" s="13" t="str">
        <f ca="1">IF($E221="","",ROUNDDOWN(YEARFRAC($E221, 'Week 1 Roster'!$D$1-1, 1), 0))</f>
        <v/>
      </c>
      <c r="G221" s="13" t="str">
        <f ca="1">IF($E221="","",ROUNDDOWN(YEARFRAC($E221, 'Week 1 Roster'!$D$1+14, 1), 0))</f>
        <v/>
      </c>
      <c r="H221" s="13" t="str">
        <f t="shared" ca="1" si="70"/>
        <v/>
      </c>
      <c r="I221" s="13" t="str">
        <f ca="1">IF($A221=0,"",VLOOKUP($B221,Employees!$A:$G,6,FALSE))</f>
        <v/>
      </c>
      <c r="J221" s="13" t="str">
        <f ca="1">IF($A221=0,"",VLOOKUP($B221,Employees!$A:$G,7,FALSE))</f>
        <v/>
      </c>
      <c r="K221" s="13" t="str">
        <f ca="1">IF($A221=0,"",IF(ISNA(VLOOKUP(A221,'Week 1 Roster'!A:C,2,0)),VLOOKUP(A221,'Week 2 Roster'!A:C,2,0),VLOOKUP(A221,'Week 1 Roster'!A:C,2,0)))</f>
        <v/>
      </c>
      <c r="L221" s="13" t="str">
        <f ca="1">IF($A221=0,"",VLOOKUP(K221,Stores!A:B,2,0))</f>
        <v/>
      </c>
      <c r="M221" s="14">
        <f t="shared" ca="1" si="71"/>
        <v>0</v>
      </c>
      <c r="N221" s="14">
        <f t="shared" ca="1" si="72"/>
        <v>0</v>
      </c>
      <c r="O221" s="14">
        <f t="shared" ca="1" si="73"/>
        <v>0</v>
      </c>
      <c r="P221" s="14">
        <f t="shared" ca="1" si="74"/>
        <v>0</v>
      </c>
      <c r="Q221" s="14">
        <f t="shared" ca="1" si="75"/>
        <v>0</v>
      </c>
      <c r="R221" s="14">
        <f t="shared" ca="1" si="76"/>
        <v>0</v>
      </c>
      <c r="S221" s="28">
        <f t="shared" ca="1" si="77"/>
        <v>0</v>
      </c>
      <c r="T221" s="14">
        <f t="shared" ca="1" si="78"/>
        <v>0</v>
      </c>
      <c r="U221" s="14">
        <f t="shared" ca="1" si="79"/>
        <v>0</v>
      </c>
      <c r="V221" s="14">
        <f t="shared" ca="1" si="80"/>
        <v>0</v>
      </c>
      <c r="W221" s="14">
        <f t="shared" ca="1" si="81"/>
        <v>0</v>
      </c>
      <c r="Y221" s="17">
        <f ca="1">IF($A221=0,0,SUMIF('Week 1 Roster'!$AZ:$AZ,$B221,'Week 1 Roster'!$AE:$AE))</f>
        <v>0</v>
      </c>
      <c r="Z221" s="17">
        <f ca="1">IF($A221=0,0,SUMIF('Week 1 Roster'!$AZ:$AZ,$B221,'Week 1 Roster'!$AG:$AG))</f>
        <v>0</v>
      </c>
      <c r="AA221" s="17">
        <f ca="1">IF($A221=0,0,SUMIF('Week 1 Roster'!$AZ:$AZ,$B221,'Week 1 Roster'!$AI:$AI))</f>
        <v>0</v>
      </c>
      <c r="AB221" s="17">
        <f ca="1">IF($A221=0,0,SUMIF('Week 1 Roster'!$AZ:$AZ,$B221,'Week 1 Roster'!$AK:$AK))</f>
        <v>0</v>
      </c>
      <c r="AC221" s="17">
        <f ca="1">IF($A221=0,0,SUMIF('Week 1 Roster'!$AZ:$AZ,$B221,'Week 1 Roster'!$AM:$AM))</f>
        <v>0</v>
      </c>
      <c r="AD221" s="17">
        <f ca="1">IF($A221=0,0,SUMIF('Week 1 Roster'!$AZ:$AZ,$B221,'Week 1 Roster'!$AO:$AO))</f>
        <v>0</v>
      </c>
      <c r="AE221" s="38">
        <f ca="1">IF($A221=0,0,SUMIF('Week 1 Roster'!$AZ:$AZ,$B221,'Week 1 Roster'!$AP:$AP))</f>
        <v>0</v>
      </c>
      <c r="AF221" s="17">
        <f ca="1">IF($A221=0,0,SUMIF('Week 1 Roster'!$AZ:$AZ,$B221,'Week 1 Roster'!$AQ:$AQ))</f>
        <v>0</v>
      </c>
      <c r="AG221" s="17">
        <f ca="1">IF($A221=0,0,SUMIF('Week 1 Roster'!$AZ:$AZ,$B221,'Week 1 Roster'!$AR:$AR))</f>
        <v>0</v>
      </c>
      <c r="AH221" s="17">
        <f ca="1">IF($A221=0,0,SUMIF('Week 1 Roster'!$AZ:$AZ,$B221,'Week 1 Roster'!$AS:$AS))</f>
        <v>0</v>
      </c>
      <c r="AI221" s="17">
        <f t="shared" ca="1" si="82"/>
        <v>0</v>
      </c>
      <c r="AK221" s="17">
        <f ca="1">IF($A221=0,0,SUMIF('Week 2 Roster'!$AZ:$AZ,$B221,'Week 2 Roster'!$AE:$AE))</f>
        <v>0</v>
      </c>
      <c r="AL221" s="17">
        <f ca="1">IF($A221=0,0,SUMIF('Week 2 Roster'!$AZ:$AZ,$B221,'Week 2 Roster'!$AG:$AG))</f>
        <v>0</v>
      </c>
      <c r="AM221" s="17">
        <f ca="1">IF($A221=0,0,SUMIF('Week 2 Roster'!$AZ:$AZ,$B221,'Week 2 Roster'!$AI:$AI))</f>
        <v>0</v>
      </c>
      <c r="AN221" s="17">
        <f ca="1">IF($A221=0,0,SUMIF('Week 2 Roster'!$AZ:$AZ,$B221,'Week 2 Roster'!$AK:$AK))</f>
        <v>0</v>
      </c>
      <c r="AO221" s="17">
        <f ca="1">IF($A221=0,0,SUMIF('Week 2 Roster'!$AZ:$AZ,$B221,'Week 2 Roster'!$AM:$AM))</f>
        <v>0</v>
      </c>
      <c r="AP221" s="17">
        <f ca="1">IF($A221=0,0,SUMIF('Week 2 Roster'!$AZ:$AZ,$B221,'Week 2 Roster'!$AO:$AO))</f>
        <v>0</v>
      </c>
      <c r="AQ221" s="38">
        <f ca="1">IF($A221=0,0,SUMIF('Week 2 Roster'!$AZ:$AZ,$B221,'Week 2 Roster'!$AP:$AP))</f>
        <v>0</v>
      </c>
      <c r="AR221" s="17">
        <f ca="1">IF($A221=0,0,SUMIF('Week 2 Roster'!$AZ:$AZ,$B221,'Week 2 Roster'!$AQ:$AQ))</f>
        <v>0</v>
      </c>
      <c r="AS221" s="17">
        <f ca="1">IF($A221=0,0,SUMIF('Week 2 Roster'!$AZ:$AZ,$B221,'Week 2 Roster'!$AR:$AR))</f>
        <v>0</v>
      </c>
      <c r="AT221" s="17">
        <f ca="1">IF($A221=0,0,SUMIF('Week 2 Roster'!$AZ:$AZ,$B221,'Week 2 Roster'!$AS:$AS))</f>
        <v>0</v>
      </c>
      <c r="AU221" s="17">
        <f t="shared" ca="1" si="83"/>
        <v>0</v>
      </c>
    </row>
    <row r="222" spans="1:47">
      <c r="A222" s="16" cm="1">
        <f t="array" aca="1" ref="A222" ca="1">_xlfn.NUMBERVALUE(INDIRECT(TEXT(MIN(IF(($AW$2:$AX$300&lt;&gt;"")*(COUNTIF($B$1:B221,$AW$2:$AX$300)=0),ROW($2:$300)*100+COLUMN($AW:$AX),7^8)),"R0C00"),)&amp;"")</f>
        <v>0</v>
      </c>
      <c r="B222" s="28" t="str">
        <f t="shared" ca="1" si="69"/>
        <v/>
      </c>
      <c r="C222" s="28" t="str">
        <f ca="1">IF($A222=0,"",VLOOKUP($B222,Employees!$A:$G,2,FALSE))</f>
        <v/>
      </c>
      <c r="D222" s="28" t="str">
        <f ca="1">IF($A222=0,"",VLOOKUP($B222,Employees!$A:$G,3,FALSE))</f>
        <v/>
      </c>
      <c r="E222" s="26" t="str">
        <f ca="1">IF($A222=0,"",VLOOKUP($B222,Employees!$A:$G,5,FALSE))</f>
        <v/>
      </c>
      <c r="F222" s="13" t="str">
        <f ca="1">IF($E222="","",ROUNDDOWN(YEARFRAC($E222, 'Week 1 Roster'!$D$1-1, 1), 0))</f>
        <v/>
      </c>
      <c r="G222" s="13" t="str">
        <f ca="1">IF($E222="","",ROUNDDOWN(YEARFRAC($E222, 'Week 1 Roster'!$D$1+14, 1), 0))</f>
        <v/>
      </c>
      <c r="H222" s="13" t="str">
        <f t="shared" ca="1" si="70"/>
        <v/>
      </c>
      <c r="I222" s="13" t="str">
        <f ca="1">IF($A222=0,"",VLOOKUP($B222,Employees!$A:$G,6,FALSE))</f>
        <v/>
      </c>
      <c r="J222" s="13" t="str">
        <f ca="1">IF($A222=0,"",VLOOKUP($B222,Employees!$A:$G,7,FALSE))</f>
        <v/>
      </c>
      <c r="K222" s="13" t="str">
        <f ca="1">IF($A222=0,"",IF(ISNA(VLOOKUP(A222,'Week 1 Roster'!A:C,2,0)),VLOOKUP(A222,'Week 2 Roster'!A:C,2,0),VLOOKUP(A222,'Week 1 Roster'!A:C,2,0)))</f>
        <v/>
      </c>
      <c r="L222" s="13" t="str">
        <f ca="1">IF($A222=0,"",VLOOKUP(K222,Stores!A:B,2,0))</f>
        <v/>
      </c>
      <c r="M222" s="14">
        <f t="shared" ca="1" si="71"/>
        <v>0</v>
      </c>
      <c r="N222" s="14">
        <f t="shared" ca="1" si="72"/>
        <v>0</v>
      </c>
      <c r="O222" s="14">
        <f t="shared" ca="1" si="73"/>
        <v>0</v>
      </c>
      <c r="P222" s="14">
        <f t="shared" ca="1" si="74"/>
        <v>0</v>
      </c>
      <c r="Q222" s="14">
        <f t="shared" ca="1" si="75"/>
        <v>0</v>
      </c>
      <c r="R222" s="14">
        <f t="shared" ca="1" si="76"/>
        <v>0</v>
      </c>
      <c r="S222" s="28">
        <f t="shared" ca="1" si="77"/>
        <v>0</v>
      </c>
      <c r="T222" s="14">
        <f t="shared" ca="1" si="78"/>
        <v>0</v>
      </c>
      <c r="U222" s="14">
        <f t="shared" ca="1" si="79"/>
        <v>0</v>
      </c>
      <c r="V222" s="14">
        <f t="shared" ca="1" si="80"/>
        <v>0</v>
      </c>
      <c r="W222" s="14">
        <f t="shared" ca="1" si="81"/>
        <v>0</v>
      </c>
      <c r="Y222" s="17">
        <f ca="1">IF($A222=0,0,SUMIF('Week 1 Roster'!$AZ:$AZ,$B222,'Week 1 Roster'!$AE:$AE))</f>
        <v>0</v>
      </c>
      <c r="Z222" s="17">
        <f ca="1">IF($A222=0,0,SUMIF('Week 1 Roster'!$AZ:$AZ,$B222,'Week 1 Roster'!$AG:$AG))</f>
        <v>0</v>
      </c>
      <c r="AA222" s="17">
        <f ca="1">IF($A222=0,0,SUMIF('Week 1 Roster'!$AZ:$AZ,$B222,'Week 1 Roster'!$AI:$AI))</f>
        <v>0</v>
      </c>
      <c r="AB222" s="17">
        <f ca="1">IF($A222=0,0,SUMIF('Week 1 Roster'!$AZ:$AZ,$B222,'Week 1 Roster'!$AK:$AK))</f>
        <v>0</v>
      </c>
      <c r="AC222" s="17">
        <f ca="1">IF($A222=0,0,SUMIF('Week 1 Roster'!$AZ:$AZ,$B222,'Week 1 Roster'!$AM:$AM))</f>
        <v>0</v>
      </c>
      <c r="AD222" s="17">
        <f ca="1">IF($A222=0,0,SUMIF('Week 1 Roster'!$AZ:$AZ,$B222,'Week 1 Roster'!$AO:$AO))</f>
        <v>0</v>
      </c>
      <c r="AE222" s="38">
        <f ca="1">IF($A222=0,0,SUMIF('Week 1 Roster'!$AZ:$AZ,$B222,'Week 1 Roster'!$AP:$AP))</f>
        <v>0</v>
      </c>
      <c r="AF222" s="17">
        <f ca="1">IF($A222=0,0,SUMIF('Week 1 Roster'!$AZ:$AZ,$B222,'Week 1 Roster'!$AQ:$AQ))</f>
        <v>0</v>
      </c>
      <c r="AG222" s="17">
        <f ca="1">IF($A222=0,0,SUMIF('Week 1 Roster'!$AZ:$AZ,$B222,'Week 1 Roster'!$AR:$AR))</f>
        <v>0</v>
      </c>
      <c r="AH222" s="17">
        <f ca="1">IF($A222=0,0,SUMIF('Week 1 Roster'!$AZ:$AZ,$B222,'Week 1 Roster'!$AS:$AS))</f>
        <v>0</v>
      </c>
      <c r="AI222" s="17">
        <f t="shared" ca="1" si="82"/>
        <v>0</v>
      </c>
      <c r="AK222" s="17">
        <f ca="1">IF($A222=0,0,SUMIF('Week 2 Roster'!$AZ:$AZ,$B222,'Week 2 Roster'!$AE:$AE))</f>
        <v>0</v>
      </c>
      <c r="AL222" s="17">
        <f ca="1">IF($A222=0,0,SUMIF('Week 2 Roster'!$AZ:$AZ,$B222,'Week 2 Roster'!$AG:$AG))</f>
        <v>0</v>
      </c>
      <c r="AM222" s="17">
        <f ca="1">IF($A222=0,0,SUMIF('Week 2 Roster'!$AZ:$AZ,$B222,'Week 2 Roster'!$AI:$AI))</f>
        <v>0</v>
      </c>
      <c r="AN222" s="17">
        <f ca="1">IF($A222=0,0,SUMIF('Week 2 Roster'!$AZ:$AZ,$B222,'Week 2 Roster'!$AK:$AK))</f>
        <v>0</v>
      </c>
      <c r="AO222" s="17">
        <f ca="1">IF($A222=0,0,SUMIF('Week 2 Roster'!$AZ:$AZ,$B222,'Week 2 Roster'!$AM:$AM))</f>
        <v>0</v>
      </c>
      <c r="AP222" s="17">
        <f ca="1">IF($A222=0,0,SUMIF('Week 2 Roster'!$AZ:$AZ,$B222,'Week 2 Roster'!$AO:$AO))</f>
        <v>0</v>
      </c>
      <c r="AQ222" s="38">
        <f ca="1">IF($A222=0,0,SUMIF('Week 2 Roster'!$AZ:$AZ,$B222,'Week 2 Roster'!$AP:$AP))</f>
        <v>0</v>
      </c>
      <c r="AR222" s="17">
        <f ca="1">IF($A222=0,0,SUMIF('Week 2 Roster'!$AZ:$AZ,$B222,'Week 2 Roster'!$AQ:$AQ))</f>
        <v>0</v>
      </c>
      <c r="AS222" s="17">
        <f ca="1">IF($A222=0,0,SUMIF('Week 2 Roster'!$AZ:$AZ,$B222,'Week 2 Roster'!$AR:$AR))</f>
        <v>0</v>
      </c>
      <c r="AT222" s="17">
        <f ca="1">IF($A222=0,0,SUMIF('Week 2 Roster'!$AZ:$AZ,$B222,'Week 2 Roster'!$AS:$AS))</f>
        <v>0</v>
      </c>
      <c r="AU222" s="17">
        <f t="shared" ca="1" si="83"/>
        <v>0</v>
      </c>
    </row>
    <row r="223" spans="1:47">
      <c r="A223" s="16" cm="1">
        <f t="array" aca="1" ref="A223" ca="1">_xlfn.NUMBERVALUE(INDIRECT(TEXT(MIN(IF(($AW$2:$AX$300&lt;&gt;"")*(COUNTIF($B$1:B222,$AW$2:$AX$300)=0),ROW($2:$300)*100+COLUMN($AW:$AX),7^8)),"R0C00"),)&amp;"")</f>
        <v>0</v>
      </c>
      <c r="B223" s="28" t="str">
        <f t="shared" ca="1" si="69"/>
        <v/>
      </c>
      <c r="C223" s="28" t="str">
        <f ca="1">IF($A223=0,"",VLOOKUP($B223,Employees!$A:$G,2,FALSE))</f>
        <v/>
      </c>
      <c r="D223" s="28" t="str">
        <f ca="1">IF($A223=0,"",VLOOKUP($B223,Employees!$A:$G,3,FALSE))</f>
        <v/>
      </c>
      <c r="E223" s="26" t="str">
        <f ca="1">IF($A223=0,"",VLOOKUP($B223,Employees!$A:$G,5,FALSE))</f>
        <v/>
      </c>
      <c r="F223" s="13" t="str">
        <f ca="1">IF($E223="","",ROUNDDOWN(YEARFRAC($E223, 'Week 1 Roster'!$D$1-1, 1), 0))</f>
        <v/>
      </c>
      <c r="G223" s="13" t="str">
        <f ca="1">IF($E223="","",ROUNDDOWN(YEARFRAC($E223, 'Week 1 Roster'!$D$1+14, 1), 0))</f>
        <v/>
      </c>
      <c r="H223" s="13" t="str">
        <f t="shared" ca="1" si="70"/>
        <v/>
      </c>
      <c r="I223" s="13" t="str">
        <f ca="1">IF($A223=0,"",VLOOKUP($B223,Employees!$A:$G,6,FALSE))</f>
        <v/>
      </c>
      <c r="J223" s="13" t="str">
        <f ca="1">IF($A223=0,"",VLOOKUP($B223,Employees!$A:$G,7,FALSE))</f>
        <v/>
      </c>
      <c r="K223" s="13" t="str">
        <f ca="1">IF($A223=0,"",IF(ISNA(VLOOKUP(A223,'Week 1 Roster'!A:C,2,0)),VLOOKUP(A223,'Week 2 Roster'!A:C,2,0),VLOOKUP(A223,'Week 1 Roster'!A:C,2,0)))</f>
        <v/>
      </c>
      <c r="L223" s="13" t="str">
        <f ca="1">IF($A223=0,"",VLOOKUP(K223,Stores!A:B,2,0))</f>
        <v/>
      </c>
      <c r="M223" s="14">
        <f t="shared" ca="1" si="71"/>
        <v>0</v>
      </c>
      <c r="N223" s="14">
        <f t="shared" ca="1" si="72"/>
        <v>0</v>
      </c>
      <c r="O223" s="14">
        <f t="shared" ca="1" si="73"/>
        <v>0</v>
      </c>
      <c r="P223" s="14">
        <f t="shared" ca="1" si="74"/>
        <v>0</v>
      </c>
      <c r="Q223" s="14">
        <f t="shared" ca="1" si="75"/>
        <v>0</v>
      </c>
      <c r="R223" s="14">
        <f t="shared" ca="1" si="76"/>
        <v>0</v>
      </c>
      <c r="S223" s="28">
        <f t="shared" ca="1" si="77"/>
        <v>0</v>
      </c>
      <c r="T223" s="14">
        <f t="shared" ca="1" si="78"/>
        <v>0</v>
      </c>
      <c r="U223" s="14">
        <f t="shared" ca="1" si="79"/>
        <v>0</v>
      </c>
      <c r="V223" s="14">
        <f t="shared" ca="1" si="80"/>
        <v>0</v>
      </c>
      <c r="W223" s="14">
        <f t="shared" ca="1" si="81"/>
        <v>0</v>
      </c>
      <c r="Y223" s="17">
        <f ca="1">IF($A223=0,0,SUMIF('Week 1 Roster'!$AZ:$AZ,$B223,'Week 1 Roster'!$AE:$AE))</f>
        <v>0</v>
      </c>
      <c r="Z223" s="17">
        <f ca="1">IF($A223=0,0,SUMIF('Week 1 Roster'!$AZ:$AZ,$B223,'Week 1 Roster'!$AG:$AG))</f>
        <v>0</v>
      </c>
      <c r="AA223" s="17">
        <f ca="1">IF($A223=0,0,SUMIF('Week 1 Roster'!$AZ:$AZ,$B223,'Week 1 Roster'!$AI:$AI))</f>
        <v>0</v>
      </c>
      <c r="AB223" s="17">
        <f ca="1">IF($A223=0,0,SUMIF('Week 1 Roster'!$AZ:$AZ,$B223,'Week 1 Roster'!$AK:$AK))</f>
        <v>0</v>
      </c>
      <c r="AC223" s="17">
        <f ca="1">IF($A223=0,0,SUMIF('Week 1 Roster'!$AZ:$AZ,$B223,'Week 1 Roster'!$AM:$AM))</f>
        <v>0</v>
      </c>
      <c r="AD223" s="17">
        <f ca="1">IF($A223=0,0,SUMIF('Week 1 Roster'!$AZ:$AZ,$B223,'Week 1 Roster'!$AO:$AO))</f>
        <v>0</v>
      </c>
      <c r="AE223" s="38">
        <f ca="1">IF($A223=0,0,SUMIF('Week 1 Roster'!$AZ:$AZ,$B223,'Week 1 Roster'!$AP:$AP))</f>
        <v>0</v>
      </c>
      <c r="AF223" s="17">
        <f ca="1">IF($A223=0,0,SUMIF('Week 1 Roster'!$AZ:$AZ,$B223,'Week 1 Roster'!$AQ:$AQ))</f>
        <v>0</v>
      </c>
      <c r="AG223" s="17">
        <f ca="1">IF($A223=0,0,SUMIF('Week 1 Roster'!$AZ:$AZ,$B223,'Week 1 Roster'!$AR:$AR))</f>
        <v>0</v>
      </c>
      <c r="AH223" s="17">
        <f ca="1">IF($A223=0,0,SUMIF('Week 1 Roster'!$AZ:$AZ,$B223,'Week 1 Roster'!$AS:$AS))</f>
        <v>0</v>
      </c>
      <c r="AI223" s="17">
        <f t="shared" ca="1" si="82"/>
        <v>0</v>
      </c>
      <c r="AK223" s="17">
        <f ca="1">IF($A223=0,0,SUMIF('Week 2 Roster'!$AZ:$AZ,$B223,'Week 2 Roster'!$AE:$AE))</f>
        <v>0</v>
      </c>
      <c r="AL223" s="17">
        <f ca="1">IF($A223=0,0,SUMIF('Week 2 Roster'!$AZ:$AZ,$B223,'Week 2 Roster'!$AG:$AG))</f>
        <v>0</v>
      </c>
      <c r="AM223" s="17">
        <f ca="1">IF($A223=0,0,SUMIF('Week 2 Roster'!$AZ:$AZ,$B223,'Week 2 Roster'!$AI:$AI))</f>
        <v>0</v>
      </c>
      <c r="AN223" s="17">
        <f ca="1">IF($A223=0,0,SUMIF('Week 2 Roster'!$AZ:$AZ,$B223,'Week 2 Roster'!$AK:$AK))</f>
        <v>0</v>
      </c>
      <c r="AO223" s="17">
        <f ca="1">IF($A223=0,0,SUMIF('Week 2 Roster'!$AZ:$AZ,$B223,'Week 2 Roster'!$AM:$AM))</f>
        <v>0</v>
      </c>
      <c r="AP223" s="17">
        <f ca="1">IF($A223=0,0,SUMIF('Week 2 Roster'!$AZ:$AZ,$B223,'Week 2 Roster'!$AO:$AO))</f>
        <v>0</v>
      </c>
      <c r="AQ223" s="38">
        <f ca="1">IF($A223=0,0,SUMIF('Week 2 Roster'!$AZ:$AZ,$B223,'Week 2 Roster'!$AP:$AP))</f>
        <v>0</v>
      </c>
      <c r="AR223" s="17">
        <f ca="1">IF($A223=0,0,SUMIF('Week 2 Roster'!$AZ:$AZ,$B223,'Week 2 Roster'!$AQ:$AQ))</f>
        <v>0</v>
      </c>
      <c r="AS223" s="17">
        <f ca="1">IF($A223=0,0,SUMIF('Week 2 Roster'!$AZ:$AZ,$B223,'Week 2 Roster'!$AR:$AR))</f>
        <v>0</v>
      </c>
      <c r="AT223" s="17">
        <f ca="1">IF($A223=0,0,SUMIF('Week 2 Roster'!$AZ:$AZ,$B223,'Week 2 Roster'!$AS:$AS))</f>
        <v>0</v>
      </c>
      <c r="AU223" s="17">
        <f t="shared" ca="1" si="83"/>
        <v>0</v>
      </c>
    </row>
    <row r="224" spans="1:47">
      <c r="A224" s="16" cm="1">
        <f t="array" aca="1" ref="A224" ca="1">_xlfn.NUMBERVALUE(INDIRECT(TEXT(MIN(IF(($AW$2:$AX$300&lt;&gt;"")*(COUNTIF($B$1:B223,$AW$2:$AX$300)=0),ROW($2:$300)*100+COLUMN($AW:$AX),7^8)),"R0C00"),)&amp;"")</f>
        <v>0</v>
      </c>
      <c r="B224" s="28" t="str">
        <f t="shared" ca="1" si="69"/>
        <v/>
      </c>
      <c r="C224" s="28" t="str">
        <f ca="1">IF($A224=0,"",VLOOKUP($B224,Employees!$A:$G,2,FALSE))</f>
        <v/>
      </c>
      <c r="D224" s="28" t="str">
        <f ca="1">IF($A224=0,"",VLOOKUP($B224,Employees!$A:$G,3,FALSE))</f>
        <v/>
      </c>
      <c r="E224" s="26" t="str">
        <f ca="1">IF($A224=0,"",VLOOKUP($B224,Employees!$A:$G,5,FALSE))</f>
        <v/>
      </c>
      <c r="F224" s="13" t="str">
        <f ca="1">IF($E224="","",ROUNDDOWN(YEARFRAC($E224, 'Week 1 Roster'!$D$1-1, 1), 0))</f>
        <v/>
      </c>
      <c r="G224" s="13" t="str">
        <f ca="1">IF($E224="","",ROUNDDOWN(YEARFRAC($E224, 'Week 1 Roster'!$D$1+14, 1), 0))</f>
        <v/>
      </c>
      <c r="H224" s="13" t="str">
        <f t="shared" ca="1" si="70"/>
        <v/>
      </c>
      <c r="I224" s="13" t="str">
        <f ca="1">IF($A224=0,"",VLOOKUP($B224,Employees!$A:$G,6,FALSE))</f>
        <v/>
      </c>
      <c r="J224" s="13" t="str">
        <f ca="1">IF($A224=0,"",VLOOKUP($B224,Employees!$A:$G,7,FALSE))</f>
        <v/>
      </c>
      <c r="K224" s="13" t="str">
        <f ca="1">IF($A224=0,"",IF(ISNA(VLOOKUP(A224,'Week 1 Roster'!A:C,2,0)),VLOOKUP(A224,'Week 2 Roster'!A:C,2,0),VLOOKUP(A224,'Week 1 Roster'!A:C,2,0)))</f>
        <v/>
      </c>
      <c r="L224" s="13" t="str">
        <f ca="1">IF($A224=0,"",VLOOKUP(K224,Stores!A:B,2,0))</f>
        <v/>
      </c>
      <c r="M224" s="14">
        <f t="shared" ca="1" si="71"/>
        <v>0</v>
      </c>
      <c r="N224" s="14">
        <f t="shared" ca="1" si="72"/>
        <v>0</v>
      </c>
      <c r="O224" s="14">
        <f t="shared" ca="1" si="73"/>
        <v>0</v>
      </c>
      <c r="P224" s="14">
        <f t="shared" ca="1" si="74"/>
        <v>0</v>
      </c>
      <c r="Q224" s="14">
        <f t="shared" ca="1" si="75"/>
        <v>0</v>
      </c>
      <c r="R224" s="14">
        <f t="shared" ca="1" si="76"/>
        <v>0</v>
      </c>
      <c r="S224" s="28">
        <f t="shared" ca="1" si="77"/>
        <v>0</v>
      </c>
      <c r="T224" s="14">
        <f t="shared" ca="1" si="78"/>
        <v>0</v>
      </c>
      <c r="U224" s="14">
        <f t="shared" ca="1" si="79"/>
        <v>0</v>
      </c>
      <c r="V224" s="14">
        <f t="shared" ca="1" si="80"/>
        <v>0</v>
      </c>
      <c r="W224" s="14">
        <f t="shared" ca="1" si="81"/>
        <v>0</v>
      </c>
      <c r="Y224" s="17">
        <f ca="1">IF($A224=0,0,SUMIF('Week 1 Roster'!$AZ:$AZ,$B224,'Week 1 Roster'!$AE:$AE))</f>
        <v>0</v>
      </c>
      <c r="Z224" s="17">
        <f ca="1">IF($A224=0,0,SUMIF('Week 1 Roster'!$AZ:$AZ,$B224,'Week 1 Roster'!$AG:$AG))</f>
        <v>0</v>
      </c>
      <c r="AA224" s="17">
        <f ca="1">IF($A224=0,0,SUMIF('Week 1 Roster'!$AZ:$AZ,$B224,'Week 1 Roster'!$AI:$AI))</f>
        <v>0</v>
      </c>
      <c r="AB224" s="17">
        <f ca="1">IF($A224=0,0,SUMIF('Week 1 Roster'!$AZ:$AZ,$B224,'Week 1 Roster'!$AK:$AK))</f>
        <v>0</v>
      </c>
      <c r="AC224" s="17">
        <f ca="1">IF($A224=0,0,SUMIF('Week 1 Roster'!$AZ:$AZ,$B224,'Week 1 Roster'!$AM:$AM))</f>
        <v>0</v>
      </c>
      <c r="AD224" s="17">
        <f ca="1">IF($A224=0,0,SUMIF('Week 1 Roster'!$AZ:$AZ,$B224,'Week 1 Roster'!$AO:$AO))</f>
        <v>0</v>
      </c>
      <c r="AE224" s="38">
        <f ca="1">IF($A224=0,0,SUMIF('Week 1 Roster'!$AZ:$AZ,$B224,'Week 1 Roster'!$AP:$AP))</f>
        <v>0</v>
      </c>
      <c r="AF224" s="17">
        <f ca="1">IF($A224=0,0,SUMIF('Week 1 Roster'!$AZ:$AZ,$B224,'Week 1 Roster'!$AQ:$AQ))</f>
        <v>0</v>
      </c>
      <c r="AG224" s="17">
        <f ca="1">IF($A224=0,0,SUMIF('Week 1 Roster'!$AZ:$AZ,$B224,'Week 1 Roster'!$AR:$AR))</f>
        <v>0</v>
      </c>
      <c r="AH224" s="17">
        <f ca="1">IF($A224=0,0,SUMIF('Week 1 Roster'!$AZ:$AZ,$B224,'Week 1 Roster'!$AS:$AS))</f>
        <v>0</v>
      </c>
      <c r="AI224" s="17">
        <f t="shared" ca="1" si="82"/>
        <v>0</v>
      </c>
      <c r="AK224" s="17">
        <f ca="1">IF($A224=0,0,SUMIF('Week 2 Roster'!$AZ:$AZ,$B224,'Week 2 Roster'!$AE:$AE))</f>
        <v>0</v>
      </c>
      <c r="AL224" s="17">
        <f ca="1">IF($A224=0,0,SUMIF('Week 2 Roster'!$AZ:$AZ,$B224,'Week 2 Roster'!$AG:$AG))</f>
        <v>0</v>
      </c>
      <c r="AM224" s="17">
        <f ca="1">IF($A224=0,0,SUMIF('Week 2 Roster'!$AZ:$AZ,$B224,'Week 2 Roster'!$AI:$AI))</f>
        <v>0</v>
      </c>
      <c r="AN224" s="17">
        <f ca="1">IF($A224=0,0,SUMIF('Week 2 Roster'!$AZ:$AZ,$B224,'Week 2 Roster'!$AK:$AK))</f>
        <v>0</v>
      </c>
      <c r="AO224" s="17">
        <f ca="1">IF($A224=0,0,SUMIF('Week 2 Roster'!$AZ:$AZ,$B224,'Week 2 Roster'!$AM:$AM))</f>
        <v>0</v>
      </c>
      <c r="AP224" s="17">
        <f ca="1">IF($A224=0,0,SUMIF('Week 2 Roster'!$AZ:$AZ,$B224,'Week 2 Roster'!$AO:$AO))</f>
        <v>0</v>
      </c>
      <c r="AQ224" s="38">
        <f ca="1">IF($A224=0,0,SUMIF('Week 2 Roster'!$AZ:$AZ,$B224,'Week 2 Roster'!$AP:$AP))</f>
        <v>0</v>
      </c>
      <c r="AR224" s="17">
        <f ca="1">IF($A224=0,0,SUMIF('Week 2 Roster'!$AZ:$AZ,$B224,'Week 2 Roster'!$AQ:$AQ))</f>
        <v>0</v>
      </c>
      <c r="AS224" s="17">
        <f ca="1">IF($A224=0,0,SUMIF('Week 2 Roster'!$AZ:$AZ,$B224,'Week 2 Roster'!$AR:$AR))</f>
        <v>0</v>
      </c>
      <c r="AT224" s="17">
        <f ca="1">IF($A224=0,0,SUMIF('Week 2 Roster'!$AZ:$AZ,$B224,'Week 2 Roster'!$AS:$AS))</f>
        <v>0</v>
      </c>
      <c r="AU224" s="17">
        <f t="shared" ca="1" si="83"/>
        <v>0</v>
      </c>
    </row>
    <row r="225" spans="1:47">
      <c r="A225" s="16" cm="1">
        <f t="array" aca="1" ref="A225" ca="1">_xlfn.NUMBERVALUE(INDIRECT(TEXT(MIN(IF(($AW$2:$AX$300&lt;&gt;"")*(COUNTIF($B$1:B224,$AW$2:$AX$300)=0),ROW($2:$300)*100+COLUMN($AW:$AX),7^8)),"R0C00"),)&amp;"")</f>
        <v>0</v>
      </c>
      <c r="B225" s="28" t="str">
        <f t="shared" ca="1" si="69"/>
        <v/>
      </c>
      <c r="C225" s="28" t="str">
        <f ca="1">IF($A225=0,"",VLOOKUP($B225,Employees!$A:$G,2,FALSE))</f>
        <v/>
      </c>
      <c r="D225" s="28" t="str">
        <f ca="1">IF($A225=0,"",VLOOKUP($B225,Employees!$A:$G,3,FALSE))</f>
        <v/>
      </c>
      <c r="E225" s="26" t="str">
        <f ca="1">IF($A225=0,"",VLOOKUP($B225,Employees!$A:$G,5,FALSE))</f>
        <v/>
      </c>
      <c r="F225" s="13" t="str">
        <f ca="1">IF($E225="","",ROUNDDOWN(YEARFRAC($E225, 'Week 1 Roster'!$D$1-1, 1), 0))</f>
        <v/>
      </c>
      <c r="G225" s="13" t="str">
        <f ca="1">IF($E225="","",ROUNDDOWN(YEARFRAC($E225, 'Week 1 Roster'!$D$1+14, 1), 0))</f>
        <v/>
      </c>
      <c r="H225" s="13" t="str">
        <f t="shared" ca="1" si="70"/>
        <v/>
      </c>
      <c r="I225" s="13" t="str">
        <f ca="1">IF($A225=0,"",VLOOKUP($B225,Employees!$A:$G,6,FALSE))</f>
        <v/>
      </c>
      <c r="J225" s="13" t="str">
        <f ca="1">IF($A225=0,"",VLOOKUP($B225,Employees!$A:$G,7,FALSE))</f>
        <v/>
      </c>
      <c r="K225" s="13" t="str">
        <f ca="1">IF($A225=0,"",IF(ISNA(VLOOKUP(A225,'Week 1 Roster'!A:C,2,0)),VLOOKUP(A225,'Week 2 Roster'!A:C,2,0),VLOOKUP(A225,'Week 1 Roster'!A:C,2,0)))</f>
        <v/>
      </c>
      <c r="L225" s="13" t="str">
        <f ca="1">IF($A225=0,"",VLOOKUP(K225,Stores!A:B,2,0))</f>
        <v/>
      </c>
      <c r="M225" s="14">
        <f t="shared" ca="1" si="71"/>
        <v>0</v>
      </c>
      <c r="N225" s="14">
        <f t="shared" ca="1" si="72"/>
        <v>0</v>
      </c>
      <c r="O225" s="14">
        <f t="shared" ca="1" si="73"/>
        <v>0</v>
      </c>
      <c r="P225" s="14">
        <f t="shared" ca="1" si="74"/>
        <v>0</v>
      </c>
      <c r="Q225" s="14">
        <f t="shared" ca="1" si="75"/>
        <v>0</v>
      </c>
      <c r="R225" s="14">
        <f t="shared" ca="1" si="76"/>
        <v>0</v>
      </c>
      <c r="S225" s="28">
        <f t="shared" ca="1" si="77"/>
        <v>0</v>
      </c>
      <c r="T225" s="14">
        <f t="shared" ca="1" si="78"/>
        <v>0</v>
      </c>
      <c r="U225" s="14">
        <f t="shared" ca="1" si="79"/>
        <v>0</v>
      </c>
      <c r="V225" s="14">
        <f t="shared" ca="1" si="80"/>
        <v>0</v>
      </c>
      <c r="W225" s="14">
        <f t="shared" ca="1" si="81"/>
        <v>0</v>
      </c>
      <c r="Y225" s="17">
        <f ca="1">IF($A225=0,0,SUMIF('Week 1 Roster'!$AZ:$AZ,$B225,'Week 1 Roster'!$AE:$AE))</f>
        <v>0</v>
      </c>
      <c r="Z225" s="17">
        <f ca="1">IF($A225=0,0,SUMIF('Week 1 Roster'!$AZ:$AZ,$B225,'Week 1 Roster'!$AG:$AG))</f>
        <v>0</v>
      </c>
      <c r="AA225" s="17">
        <f ca="1">IF($A225=0,0,SUMIF('Week 1 Roster'!$AZ:$AZ,$B225,'Week 1 Roster'!$AI:$AI))</f>
        <v>0</v>
      </c>
      <c r="AB225" s="17">
        <f ca="1">IF($A225=0,0,SUMIF('Week 1 Roster'!$AZ:$AZ,$B225,'Week 1 Roster'!$AK:$AK))</f>
        <v>0</v>
      </c>
      <c r="AC225" s="17">
        <f ca="1">IF($A225=0,0,SUMIF('Week 1 Roster'!$AZ:$AZ,$B225,'Week 1 Roster'!$AM:$AM))</f>
        <v>0</v>
      </c>
      <c r="AD225" s="17">
        <f ca="1">IF($A225=0,0,SUMIF('Week 1 Roster'!$AZ:$AZ,$B225,'Week 1 Roster'!$AO:$AO))</f>
        <v>0</v>
      </c>
      <c r="AE225" s="38">
        <f ca="1">IF($A225=0,0,SUMIF('Week 1 Roster'!$AZ:$AZ,$B225,'Week 1 Roster'!$AP:$AP))</f>
        <v>0</v>
      </c>
      <c r="AF225" s="17">
        <f ca="1">IF($A225=0,0,SUMIF('Week 1 Roster'!$AZ:$AZ,$B225,'Week 1 Roster'!$AQ:$AQ))</f>
        <v>0</v>
      </c>
      <c r="AG225" s="17">
        <f ca="1">IF($A225=0,0,SUMIF('Week 1 Roster'!$AZ:$AZ,$B225,'Week 1 Roster'!$AR:$AR))</f>
        <v>0</v>
      </c>
      <c r="AH225" s="17">
        <f ca="1">IF($A225=0,0,SUMIF('Week 1 Roster'!$AZ:$AZ,$B225,'Week 1 Roster'!$AS:$AS))</f>
        <v>0</v>
      </c>
      <c r="AI225" s="17">
        <f t="shared" ca="1" si="82"/>
        <v>0</v>
      </c>
      <c r="AK225" s="17">
        <f ca="1">IF($A225=0,0,SUMIF('Week 2 Roster'!$AZ:$AZ,$B225,'Week 2 Roster'!$AE:$AE))</f>
        <v>0</v>
      </c>
      <c r="AL225" s="17">
        <f ca="1">IF($A225=0,0,SUMIF('Week 2 Roster'!$AZ:$AZ,$B225,'Week 2 Roster'!$AG:$AG))</f>
        <v>0</v>
      </c>
      <c r="AM225" s="17">
        <f ca="1">IF($A225=0,0,SUMIF('Week 2 Roster'!$AZ:$AZ,$B225,'Week 2 Roster'!$AI:$AI))</f>
        <v>0</v>
      </c>
      <c r="AN225" s="17">
        <f ca="1">IF($A225=0,0,SUMIF('Week 2 Roster'!$AZ:$AZ,$B225,'Week 2 Roster'!$AK:$AK))</f>
        <v>0</v>
      </c>
      <c r="AO225" s="17">
        <f ca="1">IF($A225=0,0,SUMIF('Week 2 Roster'!$AZ:$AZ,$B225,'Week 2 Roster'!$AM:$AM))</f>
        <v>0</v>
      </c>
      <c r="AP225" s="17">
        <f ca="1">IF($A225=0,0,SUMIF('Week 2 Roster'!$AZ:$AZ,$B225,'Week 2 Roster'!$AO:$AO))</f>
        <v>0</v>
      </c>
      <c r="AQ225" s="38">
        <f ca="1">IF($A225=0,0,SUMIF('Week 2 Roster'!$AZ:$AZ,$B225,'Week 2 Roster'!$AP:$AP))</f>
        <v>0</v>
      </c>
      <c r="AR225" s="17">
        <f ca="1">IF($A225=0,0,SUMIF('Week 2 Roster'!$AZ:$AZ,$B225,'Week 2 Roster'!$AQ:$AQ))</f>
        <v>0</v>
      </c>
      <c r="AS225" s="17">
        <f ca="1">IF($A225=0,0,SUMIF('Week 2 Roster'!$AZ:$AZ,$B225,'Week 2 Roster'!$AR:$AR))</f>
        <v>0</v>
      </c>
      <c r="AT225" s="17">
        <f ca="1">IF($A225=0,0,SUMIF('Week 2 Roster'!$AZ:$AZ,$B225,'Week 2 Roster'!$AS:$AS))</f>
        <v>0</v>
      </c>
      <c r="AU225" s="17">
        <f t="shared" ca="1" si="83"/>
        <v>0</v>
      </c>
    </row>
    <row r="226" spans="1:47">
      <c r="A226" s="16" cm="1">
        <f t="array" aca="1" ref="A226" ca="1">_xlfn.NUMBERVALUE(INDIRECT(TEXT(MIN(IF(($AW$2:$AX$300&lt;&gt;"")*(COUNTIF($B$1:B225,$AW$2:$AX$300)=0),ROW($2:$300)*100+COLUMN($AW:$AX),7^8)),"R0C00"),)&amp;"")</f>
        <v>0</v>
      </c>
      <c r="B226" s="28" t="str">
        <f t="shared" ca="1" si="69"/>
        <v/>
      </c>
      <c r="C226" s="28" t="str">
        <f ca="1">IF($A226=0,"",VLOOKUP($B226,Employees!$A:$G,2,FALSE))</f>
        <v/>
      </c>
      <c r="D226" s="28" t="str">
        <f ca="1">IF($A226=0,"",VLOOKUP($B226,Employees!$A:$G,3,FALSE))</f>
        <v/>
      </c>
      <c r="E226" s="26" t="str">
        <f ca="1">IF($A226=0,"",VLOOKUP($B226,Employees!$A:$G,5,FALSE))</f>
        <v/>
      </c>
      <c r="F226" s="13" t="str">
        <f ca="1">IF($E226="","",ROUNDDOWN(YEARFRAC($E226, 'Week 1 Roster'!$D$1-1, 1), 0))</f>
        <v/>
      </c>
      <c r="G226" s="13" t="str">
        <f ca="1">IF($E226="","",ROUNDDOWN(YEARFRAC($E226, 'Week 1 Roster'!$D$1+14, 1), 0))</f>
        <v/>
      </c>
      <c r="H226" s="13" t="str">
        <f t="shared" ca="1" si="70"/>
        <v/>
      </c>
      <c r="I226" s="13" t="str">
        <f ca="1">IF($A226=0,"",VLOOKUP($B226,Employees!$A:$G,6,FALSE))</f>
        <v/>
      </c>
      <c r="J226" s="13" t="str">
        <f ca="1">IF($A226=0,"",VLOOKUP($B226,Employees!$A:$G,7,FALSE))</f>
        <v/>
      </c>
      <c r="K226" s="13" t="str">
        <f ca="1">IF($A226=0,"",IF(ISNA(VLOOKUP(A226,'Week 1 Roster'!A:C,2,0)),VLOOKUP(A226,'Week 2 Roster'!A:C,2,0),VLOOKUP(A226,'Week 1 Roster'!A:C,2,0)))</f>
        <v/>
      </c>
      <c r="L226" s="13" t="str">
        <f ca="1">IF($A226=0,"",VLOOKUP(K226,Stores!A:B,2,0))</f>
        <v/>
      </c>
      <c r="M226" s="14">
        <f t="shared" ca="1" si="71"/>
        <v>0</v>
      </c>
      <c r="N226" s="14">
        <f t="shared" ca="1" si="72"/>
        <v>0</v>
      </c>
      <c r="O226" s="14">
        <f t="shared" ca="1" si="73"/>
        <v>0</v>
      </c>
      <c r="P226" s="14">
        <f t="shared" ca="1" si="74"/>
        <v>0</v>
      </c>
      <c r="Q226" s="14">
        <f t="shared" ca="1" si="75"/>
        <v>0</v>
      </c>
      <c r="R226" s="14">
        <f t="shared" ca="1" si="76"/>
        <v>0</v>
      </c>
      <c r="S226" s="28">
        <f t="shared" ca="1" si="77"/>
        <v>0</v>
      </c>
      <c r="T226" s="14">
        <f t="shared" ca="1" si="78"/>
        <v>0</v>
      </c>
      <c r="U226" s="14">
        <f t="shared" ca="1" si="79"/>
        <v>0</v>
      </c>
      <c r="V226" s="14">
        <f t="shared" ca="1" si="80"/>
        <v>0</v>
      </c>
      <c r="W226" s="14">
        <f t="shared" ca="1" si="81"/>
        <v>0</v>
      </c>
      <c r="Y226" s="17">
        <f ca="1">IF($A226=0,0,SUMIF('Week 1 Roster'!$AZ:$AZ,$B226,'Week 1 Roster'!$AE:$AE))</f>
        <v>0</v>
      </c>
      <c r="Z226" s="17">
        <f ca="1">IF($A226=0,0,SUMIF('Week 1 Roster'!$AZ:$AZ,$B226,'Week 1 Roster'!$AG:$AG))</f>
        <v>0</v>
      </c>
      <c r="AA226" s="17">
        <f ca="1">IF($A226=0,0,SUMIF('Week 1 Roster'!$AZ:$AZ,$B226,'Week 1 Roster'!$AI:$AI))</f>
        <v>0</v>
      </c>
      <c r="AB226" s="17">
        <f ca="1">IF($A226=0,0,SUMIF('Week 1 Roster'!$AZ:$AZ,$B226,'Week 1 Roster'!$AK:$AK))</f>
        <v>0</v>
      </c>
      <c r="AC226" s="17">
        <f ca="1">IF($A226=0,0,SUMIF('Week 1 Roster'!$AZ:$AZ,$B226,'Week 1 Roster'!$AM:$AM))</f>
        <v>0</v>
      </c>
      <c r="AD226" s="17">
        <f ca="1">IF($A226=0,0,SUMIF('Week 1 Roster'!$AZ:$AZ,$B226,'Week 1 Roster'!$AO:$AO))</f>
        <v>0</v>
      </c>
      <c r="AE226" s="38">
        <f ca="1">IF($A226=0,0,SUMIF('Week 1 Roster'!$AZ:$AZ,$B226,'Week 1 Roster'!$AP:$AP))</f>
        <v>0</v>
      </c>
      <c r="AF226" s="17">
        <f ca="1">IF($A226=0,0,SUMIF('Week 1 Roster'!$AZ:$AZ,$B226,'Week 1 Roster'!$AQ:$AQ))</f>
        <v>0</v>
      </c>
      <c r="AG226" s="17">
        <f ca="1">IF($A226=0,0,SUMIF('Week 1 Roster'!$AZ:$AZ,$B226,'Week 1 Roster'!$AR:$AR))</f>
        <v>0</v>
      </c>
      <c r="AH226" s="17">
        <f ca="1">IF($A226=0,0,SUMIF('Week 1 Roster'!$AZ:$AZ,$B226,'Week 1 Roster'!$AS:$AS))</f>
        <v>0</v>
      </c>
      <c r="AI226" s="17">
        <f t="shared" ca="1" si="82"/>
        <v>0</v>
      </c>
      <c r="AK226" s="17">
        <f ca="1">IF($A226=0,0,SUMIF('Week 2 Roster'!$AZ:$AZ,$B226,'Week 2 Roster'!$AE:$AE))</f>
        <v>0</v>
      </c>
      <c r="AL226" s="17">
        <f ca="1">IF($A226=0,0,SUMIF('Week 2 Roster'!$AZ:$AZ,$B226,'Week 2 Roster'!$AG:$AG))</f>
        <v>0</v>
      </c>
      <c r="AM226" s="17">
        <f ca="1">IF($A226=0,0,SUMIF('Week 2 Roster'!$AZ:$AZ,$B226,'Week 2 Roster'!$AI:$AI))</f>
        <v>0</v>
      </c>
      <c r="AN226" s="17">
        <f ca="1">IF($A226=0,0,SUMIF('Week 2 Roster'!$AZ:$AZ,$B226,'Week 2 Roster'!$AK:$AK))</f>
        <v>0</v>
      </c>
      <c r="AO226" s="17">
        <f ca="1">IF($A226=0,0,SUMIF('Week 2 Roster'!$AZ:$AZ,$B226,'Week 2 Roster'!$AM:$AM))</f>
        <v>0</v>
      </c>
      <c r="AP226" s="17">
        <f ca="1">IF($A226=0,0,SUMIF('Week 2 Roster'!$AZ:$AZ,$B226,'Week 2 Roster'!$AO:$AO))</f>
        <v>0</v>
      </c>
      <c r="AQ226" s="38">
        <f ca="1">IF($A226=0,0,SUMIF('Week 2 Roster'!$AZ:$AZ,$B226,'Week 2 Roster'!$AP:$AP))</f>
        <v>0</v>
      </c>
      <c r="AR226" s="17">
        <f ca="1">IF($A226=0,0,SUMIF('Week 2 Roster'!$AZ:$AZ,$B226,'Week 2 Roster'!$AQ:$AQ))</f>
        <v>0</v>
      </c>
      <c r="AS226" s="17">
        <f ca="1">IF($A226=0,0,SUMIF('Week 2 Roster'!$AZ:$AZ,$B226,'Week 2 Roster'!$AR:$AR))</f>
        <v>0</v>
      </c>
      <c r="AT226" s="17">
        <f ca="1">IF($A226=0,0,SUMIF('Week 2 Roster'!$AZ:$AZ,$B226,'Week 2 Roster'!$AS:$AS))</f>
        <v>0</v>
      </c>
      <c r="AU226" s="17">
        <f t="shared" ca="1" si="83"/>
        <v>0</v>
      </c>
    </row>
    <row r="227" spans="1:47">
      <c r="A227" s="16" cm="1">
        <f t="array" aca="1" ref="A227" ca="1">_xlfn.NUMBERVALUE(INDIRECT(TEXT(MIN(IF(($AW$2:$AX$300&lt;&gt;"")*(COUNTIF($B$1:B226,$AW$2:$AX$300)=0),ROW($2:$300)*100+COLUMN($AW:$AX),7^8)),"R0C00"),)&amp;"")</f>
        <v>0</v>
      </c>
      <c r="B227" s="28" t="str">
        <f t="shared" ca="1" si="69"/>
        <v/>
      </c>
      <c r="C227" s="28" t="str">
        <f ca="1">IF($A227=0,"",VLOOKUP($B227,Employees!$A:$G,2,FALSE))</f>
        <v/>
      </c>
      <c r="D227" s="28" t="str">
        <f ca="1">IF($A227=0,"",VLOOKUP($B227,Employees!$A:$G,3,FALSE))</f>
        <v/>
      </c>
      <c r="E227" s="26" t="str">
        <f ca="1">IF($A227=0,"",VLOOKUP($B227,Employees!$A:$G,5,FALSE))</f>
        <v/>
      </c>
      <c r="F227" s="13" t="str">
        <f ca="1">IF($E227="","",ROUNDDOWN(YEARFRAC($E227, 'Week 1 Roster'!$D$1-1, 1), 0))</f>
        <v/>
      </c>
      <c r="G227" s="13" t="str">
        <f ca="1">IF($E227="","",ROUNDDOWN(YEARFRAC($E227, 'Week 1 Roster'!$D$1+14, 1), 0))</f>
        <v/>
      </c>
      <c r="H227" s="13" t="str">
        <f t="shared" ca="1" si="70"/>
        <v/>
      </c>
      <c r="I227" s="13" t="str">
        <f ca="1">IF($A227=0,"",VLOOKUP($B227,Employees!$A:$G,6,FALSE))</f>
        <v/>
      </c>
      <c r="J227" s="13" t="str">
        <f ca="1">IF($A227=0,"",VLOOKUP($B227,Employees!$A:$G,7,FALSE))</f>
        <v/>
      </c>
      <c r="K227" s="13" t="str">
        <f ca="1">IF($A227=0,"",IF(ISNA(VLOOKUP(A227,'Week 1 Roster'!A:C,2,0)),VLOOKUP(A227,'Week 2 Roster'!A:C,2,0),VLOOKUP(A227,'Week 1 Roster'!A:C,2,0)))</f>
        <v/>
      </c>
      <c r="L227" s="13" t="str">
        <f ca="1">IF($A227=0,"",VLOOKUP(K227,Stores!A:B,2,0))</f>
        <v/>
      </c>
      <c r="M227" s="14">
        <f t="shared" ca="1" si="71"/>
        <v>0</v>
      </c>
      <c r="N227" s="14">
        <f t="shared" ca="1" si="72"/>
        <v>0</v>
      </c>
      <c r="O227" s="14">
        <f t="shared" ca="1" si="73"/>
        <v>0</v>
      </c>
      <c r="P227" s="14">
        <f t="shared" ca="1" si="74"/>
        <v>0</v>
      </c>
      <c r="Q227" s="14">
        <f t="shared" ca="1" si="75"/>
        <v>0</v>
      </c>
      <c r="R227" s="14">
        <f t="shared" ca="1" si="76"/>
        <v>0</v>
      </c>
      <c r="S227" s="28">
        <f t="shared" ca="1" si="77"/>
        <v>0</v>
      </c>
      <c r="T227" s="14">
        <f t="shared" ca="1" si="78"/>
        <v>0</v>
      </c>
      <c r="U227" s="14">
        <f t="shared" ca="1" si="79"/>
        <v>0</v>
      </c>
      <c r="V227" s="14">
        <f t="shared" ca="1" si="80"/>
        <v>0</v>
      </c>
      <c r="W227" s="14">
        <f t="shared" ca="1" si="81"/>
        <v>0</v>
      </c>
      <c r="Y227" s="17">
        <f ca="1">IF($A227=0,0,SUMIF('Week 1 Roster'!$AZ:$AZ,$B227,'Week 1 Roster'!$AE:$AE))</f>
        <v>0</v>
      </c>
      <c r="Z227" s="17">
        <f ca="1">IF($A227=0,0,SUMIF('Week 1 Roster'!$AZ:$AZ,$B227,'Week 1 Roster'!$AG:$AG))</f>
        <v>0</v>
      </c>
      <c r="AA227" s="17">
        <f ca="1">IF($A227=0,0,SUMIF('Week 1 Roster'!$AZ:$AZ,$B227,'Week 1 Roster'!$AI:$AI))</f>
        <v>0</v>
      </c>
      <c r="AB227" s="17">
        <f ca="1">IF($A227=0,0,SUMIF('Week 1 Roster'!$AZ:$AZ,$B227,'Week 1 Roster'!$AK:$AK))</f>
        <v>0</v>
      </c>
      <c r="AC227" s="17">
        <f ca="1">IF($A227=0,0,SUMIF('Week 1 Roster'!$AZ:$AZ,$B227,'Week 1 Roster'!$AM:$AM))</f>
        <v>0</v>
      </c>
      <c r="AD227" s="17">
        <f ca="1">IF($A227=0,0,SUMIF('Week 1 Roster'!$AZ:$AZ,$B227,'Week 1 Roster'!$AO:$AO))</f>
        <v>0</v>
      </c>
      <c r="AE227" s="38">
        <f ca="1">IF($A227=0,0,SUMIF('Week 1 Roster'!$AZ:$AZ,$B227,'Week 1 Roster'!$AP:$AP))</f>
        <v>0</v>
      </c>
      <c r="AF227" s="17">
        <f ca="1">IF($A227=0,0,SUMIF('Week 1 Roster'!$AZ:$AZ,$B227,'Week 1 Roster'!$AQ:$AQ))</f>
        <v>0</v>
      </c>
      <c r="AG227" s="17">
        <f ca="1">IF($A227=0,0,SUMIF('Week 1 Roster'!$AZ:$AZ,$B227,'Week 1 Roster'!$AR:$AR))</f>
        <v>0</v>
      </c>
      <c r="AH227" s="17">
        <f ca="1">IF($A227=0,0,SUMIF('Week 1 Roster'!$AZ:$AZ,$B227,'Week 1 Roster'!$AS:$AS))</f>
        <v>0</v>
      </c>
      <c r="AI227" s="17">
        <f t="shared" ca="1" si="82"/>
        <v>0</v>
      </c>
      <c r="AK227" s="17">
        <f ca="1">IF($A227=0,0,SUMIF('Week 2 Roster'!$AZ:$AZ,$B227,'Week 2 Roster'!$AE:$AE))</f>
        <v>0</v>
      </c>
      <c r="AL227" s="17">
        <f ca="1">IF($A227=0,0,SUMIF('Week 2 Roster'!$AZ:$AZ,$B227,'Week 2 Roster'!$AG:$AG))</f>
        <v>0</v>
      </c>
      <c r="AM227" s="17">
        <f ca="1">IF($A227=0,0,SUMIF('Week 2 Roster'!$AZ:$AZ,$B227,'Week 2 Roster'!$AI:$AI))</f>
        <v>0</v>
      </c>
      <c r="AN227" s="17">
        <f ca="1">IF($A227=0,0,SUMIF('Week 2 Roster'!$AZ:$AZ,$B227,'Week 2 Roster'!$AK:$AK))</f>
        <v>0</v>
      </c>
      <c r="AO227" s="17">
        <f ca="1">IF($A227=0,0,SUMIF('Week 2 Roster'!$AZ:$AZ,$B227,'Week 2 Roster'!$AM:$AM))</f>
        <v>0</v>
      </c>
      <c r="AP227" s="17">
        <f ca="1">IF($A227=0,0,SUMIF('Week 2 Roster'!$AZ:$AZ,$B227,'Week 2 Roster'!$AO:$AO))</f>
        <v>0</v>
      </c>
      <c r="AQ227" s="38">
        <f ca="1">IF($A227=0,0,SUMIF('Week 2 Roster'!$AZ:$AZ,$B227,'Week 2 Roster'!$AP:$AP))</f>
        <v>0</v>
      </c>
      <c r="AR227" s="17">
        <f ca="1">IF($A227=0,0,SUMIF('Week 2 Roster'!$AZ:$AZ,$B227,'Week 2 Roster'!$AQ:$AQ))</f>
        <v>0</v>
      </c>
      <c r="AS227" s="17">
        <f ca="1">IF($A227=0,0,SUMIF('Week 2 Roster'!$AZ:$AZ,$B227,'Week 2 Roster'!$AR:$AR))</f>
        <v>0</v>
      </c>
      <c r="AT227" s="17">
        <f ca="1">IF($A227=0,0,SUMIF('Week 2 Roster'!$AZ:$AZ,$B227,'Week 2 Roster'!$AS:$AS))</f>
        <v>0</v>
      </c>
      <c r="AU227" s="17">
        <f t="shared" ca="1" si="83"/>
        <v>0</v>
      </c>
    </row>
    <row r="228" spans="1:47">
      <c r="A228" s="16" cm="1">
        <f t="array" aca="1" ref="A228" ca="1">_xlfn.NUMBERVALUE(INDIRECT(TEXT(MIN(IF(($AW$2:$AX$300&lt;&gt;"")*(COUNTIF($B$1:B227,$AW$2:$AX$300)=0),ROW($2:$300)*100+COLUMN($AW:$AX),7^8)),"R0C00"),)&amp;"")</f>
        <v>0</v>
      </c>
      <c r="B228" s="28" t="str">
        <f t="shared" ca="1" si="69"/>
        <v/>
      </c>
      <c r="C228" s="28" t="str">
        <f ca="1">IF($A228=0,"",VLOOKUP($B228,Employees!$A:$G,2,FALSE))</f>
        <v/>
      </c>
      <c r="D228" s="28" t="str">
        <f ca="1">IF($A228=0,"",VLOOKUP($B228,Employees!$A:$G,3,FALSE))</f>
        <v/>
      </c>
      <c r="E228" s="26" t="str">
        <f ca="1">IF($A228=0,"",VLOOKUP($B228,Employees!$A:$G,5,FALSE))</f>
        <v/>
      </c>
      <c r="F228" s="13" t="str">
        <f ca="1">IF($E228="","",ROUNDDOWN(YEARFRAC($E228, 'Week 1 Roster'!$D$1-1, 1), 0))</f>
        <v/>
      </c>
      <c r="G228" s="13" t="str">
        <f ca="1">IF($E228="","",ROUNDDOWN(YEARFRAC($E228, 'Week 1 Roster'!$D$1+14, 1), 0))</f>
        <v/>
      </c>
      <c r="H228" s="13" t="str">
        <f t="shared" ca="1" si="70"/>
        <v/>
      </c>
      <c r="I228" s="13" t="str">
        <f ca="1">IF($A228=0,"",VLOOKUP($B228,Employees!$A:$G,6,FALSE))</f>
        <v/>
      </c>
      <c r="J228" s="13" t="str">
        <f ca="1">IF($A228=0,"",VLOOKUP($B228,Employees!$A:$G,7,FALSE))</f>
        <v/>
      </c>
      <c r="K228" s="13" t="str">
        <f ca="1">IF($A228=0,"",IF(ISNA(VLOOKUP(A228,'Week 1 Roster'!A:C,2,0)),VLOOKUP(A228,'Week 2 Roster'!A:C,2,0),VLOOKUP(A228,'Week 1 Roster'!A:C,2,0)))</f>
        <v/>
      </c>
      <c r="L228" s="13" t="str">
        <f ca="1">IF($A228=0,"",VLOOKUP(K228,Stores!A:B,2,0))</f>
        <v/>
      </c>
      <c r="M228" s="14">
        <f t="shared" ca="1" si="71"/>
        <v>0</v>
      </c>
      <c r="N228" s="14">
        <f t="shared" ca="1" si="72"/>
        <v>0</v>
      </c>
      <c r="O228" s="14">
        <f t="shared" ca="1" si="73"/>
        <v>0</v>
      </c>
      <c r="P228" s="14">
        <f t="shared" ca="1" si="74"/>
        <v>0</v>
      </c>
      <c r="Q228" s="14">
        <f t="shared" ca="1" si="75"/>
        <v>0</v>
      </c>
      <c r="R228" s="14">
        <f t="shared" ca="1" si="76"/>
        <v>0</v>
      </c>
      <c r="S228" s="28">
        <f t="shared" ca="1" si="77"/>
        <v>0</v>
      </c>
      <c r="T228" s="14">
        <f t="shared" ca="1" si="78"/>
        <v>0</v>
      </c>
      <c r="U228" s="14">
        <f t="shared" ca="1" si="79"/>
        <v>0</v>
      </c>
      <c r="V228" s="14">
        <f t="shared" ca="1" si="80"/>
        <v>0</v>
      </c>
      <c r="W228" s="14">
        <f t="shared" ca="1" si="81"/>
        <v>0</v>
      </c>
      <c r="Y228" s="17">
        <f ca="1">IF($A228=0,0,SUMIF('Week 1 Roster'!$AZ:$AZ,$B228,'Week 1 Roster'!$AE:$AE))</f>
        <v>0</v>
      </c>
      <c r="Z228" s="17">
        <f ca="1">IF($A228=0,0,SUMIF('Week 1 Roster'!$AZ:$AZ,$B228,'Week 1 Roster'!$AG:$AG))</f>
        <v>0</v>
      </c>
      <c r="AA228" s="17">
        <f ca="1">IF($A228=0,0,SUMIF('Week 1 Roster'!$AZ:$AZ,$B228,'Week 1 Roster'!$AI:$AI))</f>
        <v>0</v>
      </c>
      <c r="AB228" s="17">
        <f ca="1">IF($A228=0,0,SUMIF('Week 1 Roster'!$AZ:$AZ,$B228,'Week 1 Roster'!$AK:$AK))</f>
        <v>0</v>
      </c>
      <c r="AC228" s="17">
        <f ca="1">IF($A228=0,0,SUMIF('Week 1 Roster'!$AZ:$AZ,$B228,'Week 1 Roster'!$AM:$AM))</f>
        <v>0</v>
      </c>
      <c r="AD228" s="17">
        <f ca="1">IF($A228=0,0,SUMIF('Week 1 Roster'!$AZ:$AZ,$B228,'Week 1 Roster'!$AO:$AO))</f>
        <v>0</v>
      </c>
      <c r="AE228" s="38">
        <f ca="1">IF($A228=0,0,SUMIF('Week 1 Roster'!$AZ:$AZ,$B228,'Week 1 Roster'!$AP:$AP))</f>
        <v>0</v>
      </c>
      <c r="AF228" s="17">
        <f ca="1">IF($A228=0,0,SUMIF('Week 1 Roster'!$AZ:$AZ,$B228,'Week 1 Roster'!$AQ:$AQ))</f>
        <v>0</v>
      </c>
      <c r="AG228" s="17">
        <f ca="1">IF($A228=0,0,SUMIF('Week 1 Roster'!$AZ:$AZ,$B228,'Week 1 Roster'!$AR:$AR))</f>
        <v>0</v>
      </c>
      <c r="AH228" s="17">
        <f ca="1">IF($A228=0,0,SUMIF('Week 1 Roster'!$AZ:$AZ,$B228,'Week 1 Roster'!$AS:$AS))</f>
        <v>0</v>
      </c>
      <c r="AI228" s="17">
        <f t="shared" ca="1" si="82"/>
        <v>0</v>
      </c>
      <c r="AK228" s="17">
        <f ca="1">IF($A228=0,0,SUMIF('Week 2 Roster'!$AZ:$AZ,$B228,'Week 2 Roster'!$AE:$AE))</f>
        <v>0</v>
      </c>
      <c r="AL228" s="17">
        <f ca="1">IF($A228=0,0,SUMIF('Week 2 Roster'!$AZ:$AZ,$B228,'Week 2 Roster'!$AG:$AG))</f>
        <v>0</v>
      </c>
      <c r="AM228" s="17">
        <f ca="1">IF($A228=0,0,SUMIF('Week 2 Roster'!$AZ:$AZ,$B228,'Week 2 Roster'!$AI:$AI))</f>
        <v>0</v>
      </c>
      <c r="AN228" s="17">
        <f ca="1">IF($A228=0,0,SUMIF('Week 2 Roster'!$AZ:$AZ,$B228,'Week 2 Roster'!$AK:$AK))</f>
        <v>0</v>
      </c>
      <c r="AO228" s="17">
        <f ca="1">IF($A228=0,0,SUMIF('Week 2 Roster'!$AZ:$AZ,$B228,'Week 2 Roster'!$AM:$AM))</f>
        <v>0</v>
      </c>
      <c r="AP228" s="17">
        <f ca="1">IF($A228=0,0,SUMIF('Week 2 Roster'!$AZ:$AZ,$B228,'Week 2 Roster'!$AO:$AO))</f>
        <v>0</v>
      </c>
      <c r="AQ228" s="38">
        <f ca="1">IF($A228=0,0,SUMIF('Week 2 Roster'!$AZ:$AZ,$B228,'Week 2 Roster'!$AP:$AP))</f>
        <v>0</v>
      </c>
      <c r="AR228" s="17">
        <f ca="1">IF($A228=0,0,SUMIF('Week 2 Roster'!$AZ:$AZ,$B228,'Week 2 Roster'!$AQ:$AQ))</f>
        <v>0</v>
      </c>
      <c r="AS228" s="17">
        <f ca="1">IF($A228=0,0,SUMIF('Week 2 Roster'!$AZ:$AZ,$B228,'Week 2 Roster'!$AR:$AR))</f>
        <v>0</v>
      </c>
      <c r="AT228" s="17">
        <f ca="1">IF($A228=0,0,SUMIF('Week 2 Roster'!$AZ:$AZ,$B228,'Week 2 Roster'!$AS:$AS))</f>
        <v>0</v>
      </c>
      <c r="AU228" s="17">
        <f t="shared" ca="1" si="83"/>
        <v>0</v>
      </c>
    </row>
    <row r="229" spans="1:47">
      <c r="A229" s="16" cm="1">
        <f t="array" aca="1" ref="A229" ca="1">_xlfn.NUMBERVALUE(INDIRECT(TEXT(MIN(IF(($AW$2:$AX$300&lt;&gt;"")*(COUNTIF($B$1:B228,$AW$2:$AX$300)=0),ROW($2:$300)*100+COLUMN($AW:$AX),7^8)),"R0C00"),)&amp;"")</f>
        <v>0</v>
      </c>
      <c r="B229" s="28" t="str">
        <f t="shared" ca="1" si="69"/>
        <v/>
      </c>
      <c r="C229" s="28" t="str">
        <f ca="1">IF($A229=0,"",VLOOKUP($B229,Employees!$A:$G,2,FALSE))</f>
        <v/>
      </c>
      <c r="D229" s="28" t="str">
        <f ca="1">IF($A229=0,"",VLOOKUP($B229,Employees!$A:$G,3,FALSE))</f>
        <v/>
      </c>
      <c r="E229" s="26" t="str">
        <f ca="1">IF($A229=0,"",VLOOKUP($B229,Employees!$A:$G,5,FALSE))</f>
        <v/>
      </c>
      <c r="F229" s="13" t="str">
        <f ca="1">IF($E229="","",ROUNDDOWN(YEARFRAC($E229, 'Week 1 Roster'!$D$1-1, 1), 0))</f>
        <v/>
      </c>
      <c r="G229" s="13" t="str">
        <f ca="1">IF($E229="","",ROUNDDOWN(YEARFRAC($E229, 'Week 1 Roster'!$D$1+14, 1), 0))</f>
        <v/>
      </c>
      <c r="H229" s="13" t="str">
        <f t="shared" ca="1" si="70"/>
        <v/>
      </c>
      <c r="I229" s="13" t="str">
        <f ca="1">IF($A229=0,"",VLOOKUP($B229,Employees!$A:$G,6,FALSE))</f>
        <v/>
      </c>
      <c r="J229" s="13" t="str">
        <f ca="1">IF($A229=0,"",VLOOKUP($B229,Employees!$A:$G,7,FALSE))</f>
        <v/>
      </c>
      <c r="K229" s="13" t="str">
        <f ca="1">IF($A229=0,"",IF(ISNA(VLOOKUP(A229,'Week 1 Roster'!A:C,2,0)),VLOOKUP(A229,'Week 2 Roster'!A:C,2,0),VLOOKUP(A229,'Week 1 Roster'!A:C,2,0)))</f>
        <v/>
      </c>
      <c r="L229" s="13" t="str">
        <f ca="1">IF($A229=0,"",VLOOKUP(K229,Stores!A:B,2,0))</f>
        <v/>
      </c>
      <c r="M229" s="14">
        <f t="shared" ca="1" si="71"/>
        <v>0</v>
      </c>
      <c r="N229" s="14">
        <f t="shared" ca="1" si="72"/>
        <v>0</v>
      </c>
      <c r="O229" s="14">
        <f t="shared" ca="1" si="73"/>
        <v>0</v>
      </c>
      <c r="P229" s="14">
        <f t="shared" ca="1" si="74"/>
        <v>0</v>
      </c>
      <c r="Q229" s="14">
        <f t="shared" ca="1" si="75"/>
        <v>0</v>
      </c>
      <c r="R229" s="14">
        <f t="shared" ca="1" si="76"/>
        <v>0</v>
      </c>
      <c r="S229" s="28">
        <f t="shared" ca="1" si="77"/>
        <v>0</v>
      </c>
      <c r="T229" s="14">
        <f t="shared" ca="1" si="78"/>
        <v>0</v>
      </c>
      <c r="U229" s="14">
        <f t="shared" ca="1" si="79"/>
        <v>0</v>
      </c>
      <c r="V229" s="14">
        <f t="shared" ca="1" si="80"/>
        <v>0</v>
      </c>
      <c r="W229" s="14">
        <f t="shared" ca="1" si="81"/>
        <v>0</v>
      </c>
      <c r="Y229" s="17">
        <f ca="1">IF($A229=0,0,SUMIF('Week 1 Roster'!$AZ:$AZ,$B229,'Week 1 Roster'!$AE:$AE))</f>
        <v>0</v>
      </c>
      <c r="Z229" s="17">
        <f ca="1">IF($A229=0,0,SUMIF('Week 1 Roster'!$AZ:$AZ,$B229,'Week 1 Roster'!$AG:$AG))</f>
        <v>0</v>
      </c>
      <c r="AA229" s="17">
        <f ca="1">IF($A229=0,0,SUMIF('Week 1 Roster'!$AZ:$AZ,$B229,'Week 1 Roster'!$AI:$AI))</f>
        <v>0</v>
      </c>
      <c r="AB229" s="17">
        <f ca="1">IF($A229=0,0,SUMIF('Week 1 Roster'!$AZ:$AZ,$B229,'Week 1 Roster'!$AK:$AK))</f>
        <v>0</v>
      </c>
      <c r="AC229" s="17">
        <f ca="1">IF($A229=0,0,SUMIF('Week 1 Roster'!$AZ:$AZ,$B229,'Week 1 Roster'!$AM:$AM))</f>
        <v>0</v>
      </c>
      <c r="AD229" s="17">
        <f ca="1">IF($A229=0,0,SUMIF('Week 1 Roster'!$AZ:$AZ,$B229,'Week 1 Roster'!$AO:$AO))</f>
        <v>0</v>
      </c>
      <c r="AE229" s="38">
        <f ca="1">IF($A229=0,0,SUMIF('Week 1 Roster'!$AZ:$AZ,$B229,'Week 1 Roster'!$AP:$AP))</f>
        <v>0</v>
      </c>
      <c r="AF229" s="17">
        <f ca="1">IF($A229=0,0,SUMIF('Week 1 Roster'!$AZ:$AZ,$B229,'Week 1 Roster'!$AQ:$AQ))</f>
        <v>0</v>
      </c>
      <c r="AG229" s="17">
        <f ca="1">IF($A229=0,0,SUMIF('Week 1 Roster'!$AZ:$AZ,$B229,'Week 1 Roster'!$AR:$AR))</f>
        <v>0</v>
      </c>
      <c r="AH229" s="17">
        <f ca="1">IF($A229=0,0,SUMIF('Week 1 Roster'!$AZ:$AZ,$B229,'Week 1 Roster'!$AS:$AS))</f>
        <v>0</v>
      </c>
      <c r="AI229" s="17">
        <f t="shared" ca="1" si="82"/>
        <v>0</v>
      </c>
      <c r="AK229" s="17">
        <f ca="1">IF($A229=0,0,SUMIF('Week 2 Roster'!$AZ:$AZ,$B229,'Week 2 Roster'!$AE:$AE))</f>
        <v>0</v>
      </c>
      <c r="AL229" s="17">
        <f ca="1">IF($A229=0,0,SUMIF('Week 2 Roster'!$AZ:$AZ,$B229,'Week 2 Roster'!$AG:$AG))</f>
        <v>0</v>
      </c>
      <c r="AM229" s="17">
        <f ca="1">IF($A229=0,0,SUMIF('Week 2 Roster'!$AZ:$AZ,$B229,'Week 2 Roster'!$AI:$AI))</f>
        <v>0</v>
      </c>
      <c r="AN229" s="17">
        <f ca="1">IF($A229=0,0,SUMIF('Week 2 Roster'!$AZ:$AZ,$B229,'Week 2 Roster'!$AK:$AK))</f>
        <v>0</v>
      </c>
      <c r="AO229" s="17">
        <f ca="1">IF($A229=0,0,SUMIF('Week 2 Roster'!$AZ:$AZ,$B229,'Week 2 Roster'!$AM:$AM))</f>
        <v>0</v>
      </c>
      <c r="AP229" s="17">
        <f ca="1">IF($A229=0,0,SUMIF('Week 2 Roster'!$AZ:$AZ,$B229,'Week 2 Roster'!$AO:$AO))</f>
        <v>0</v>
      </c>
      <c r="AQ229" s="38">
        <f ca="1">IF($A229=0,0,SUMIF('Week 2 Roster'!$AZ:$AZ,$B229,'Week 2 Roster'!$AP:$AP))</f>
        <v>0</v>
      </c>
      <c r="AR229" s="17">
        <f ca="1">IF($A229=0,0,SUMIF('Week 2 Roster'!$AZ:$AZ,$B229,'Week 2 Roster'!$AQ:$AQ))</f>
        <v>0</v>
      </c>
      <c r="AS229" s="17">
        <f ca="1">IF($A229=0,0,SUMIF('Week 2 Roster'!$AZ:$AZ,$B229,'Week 2 Roster'!$AR:$AR))</f>
        <v>0</v>
      </c>
      <c r="AT229" s="17">
        <f ca="1">IF($A229=0,0,SUMIF('Week 2 Roster'!$AZ:$AZ,$B229,'Week 2 Roster'!$AS:$AS))</f>
        <v>0</v>
      </c>
      <c r="AU229" s="17">
        <f t="shared" ca="1" si="83"/>
        <v>0</v>
      </c>
    </row>
    <row r="230" spans="1:47">
      <c r="A230" s="16" cm="1">
        <f t="array" aca="1" ref="A230" ca="1">_xlfn.NUMBERVALUE(INDIRECT(TEXT(MIN(IF(($AW$2:$AX$300&lt;&gt;"")*(COUNTIF($B$1:B229,$AW$2:$AX$300)=0),ROW($2:$300)*100+COLUMN($AW:$AX),7^8)),"R0C00"),)&amp;"")</f>
        <v>0</v>
      </c>
      <c r="B230" s="28" t="str">
        <f t="shared" ca="1" si="69"/>
        <v/>
      </c>
      <c r="C230" s="28" t="str">
        <f ca="1">IF($A230=0,"",VLOOKUP($B230,Employees!$A:$G,2,FALSE))</f>
        <v/>
      </c>
      <c r="D230" s="28" t="str">
        <f ca="1">IF($A230=0,"",VLOOKUP($B230,Employees!$A:$G,3,FALSE))</f>
        <v/>
      </c>
      <c r="E230" s="26" t="str">
        <f ca="1">IF($A230=0,"",VLOOKUP($B230,Employees!$A:$G,5,FALSE))</f>
        <v/>
      </c>
      <c r="F230" s="13" t="str">
        <f ca="1">IF($E230="","",ROUNDDOWN(YEARFRAC($E230, 'Week 1 Roster'!$D$1-1, 1), 0))</f>
        <v/>
      </c>
      <c r="G230" s="13" t="str">
        <f ca="1">IF($E230="","",ROUNDDOWN(YEARFRAC($E230, 'Week 1 Roster'!$D$1+14, 1), 0))</f>
        <v/>
      </c>
      <c r="H230" s="13" t="str">
        <f t="shared" ca="1" si="70"/>
        <v/>
      </c>
      <c r="I230" s="13" t="str">
        <f ca="1">IF($A230=0,"",VLOOKUP($B230,Employees!$A:$G,6,FALSE))</f>
        <v/>
      </c>
      <c r="J230" s="13" t="str">
        <f ca="1">IF($A230=0,"",VLOOKUP($B230,Employees!$A:$G,7,FALSE))</f>
        <v/>
      </c>
      <c r="K230" s="13" t="str">
        <f ca="1">IF($A230=0,"",IF(ISNA(VLOOKUP(A230,'Week 1 Roster'!A:C,2,0)),VLOOKUP(A230,'Week 2 Roster'!A:C,2,0),VLOOKUP(A230,'Week 1 Roster'!A:C,2,0)))</f>
        <v/>
      </c>
      <c r="L230" s="13" t="str">
        <f ca="1">IF($A230=0,"",VLOOKUP(K230,Stores!A:B,2,0))</f>
        <v/>
      </c>
      <c r="M230" s="14">
        <f t="shared" ca="1" si="71"/>
        <v>0</v>
      </c>
      <c r="N230" s="14">
        <f t="shared" ca="1" si="72"/>
        <v>0</v>
      </c>
      <c r="O230" s="14">
        <f t="shared" ca="1" si="73"/>
        <v>0</v>
      </c>
      <c r="P230" s="14">
        <f t="shared" ca="1" si="74"/>
        <v>0</v>
      </c>
      <c r="Q230" s="14">
        <f t="shared" ca="1" si="75"/>
        <v>0</v>
      </c>
      <c r="R230" s="14">
        <f t="shared" ca="1" si="76"/>
        <v>0</v>
      </c>
      <c r="S230" s="28">
        <f t="shared" ca="1" si="77"/>
        <v>0</v>
      </c>
      <c r="T230" s="14">
        <f t="shared" ca="1" si="78"/>
        <v>0</v>
      </c>
      <c r="U230" s="14">
        <f t="shared" ca="1" si="79"/>
        <v>0</v>
      </c>
      <c r="V230" s="14">
        <f t="shared" ca="1" si="80"/>
        <v>0</v>
      </c>
      <c r="W230" s="14">
        <f t="shared" ca="1" si="81"/>
        <v>0</v>
      </c>
      <c r="Y230" s="17">
        <f ca="1">IF($A230=0,0,SUMIF('Week 1 Roster'!$AZ:$AZ,$B230,'Week 1 Roster'!$AE:$AE))</f>
        <v>0</v>
      </c>
      <c r="Z230" s="17">
        <f ca="1">IF($A230=0,0,SUMIF('Week 1 Roster'!$AZ:$AZ,$B230,'Week 1 Roster'!$AG:$AG))</f>
        <v>0</v>
      </c>
      <c r="AA230" s="17">
        <f ca="1">IF($A230=0,0,SUMIF('Week 1 Roster'!$AZ:$AZ,$B230,'Week 1 Roster'!$AI:$AI))</f>
        <v>0</v>
      </c>
      <c r="AB230" s="17">
        <f ca="1">IF($A230=0,0,SUMIF('Week 1 Roster'!$AZ:$AZ,$B230,'Week 1 Roster'!$AK:$AK))</f>
        <v>0</v>
      </c>
      <c r="AC230" s="17">
        <f ca="1">IF($A230=0,0,SUMIF('Week 1 Roster'!$AZ:$AZ,$B230,'Week 1 Roster'!$AM:$AM))</f>
        <v>0</v>
      </c>
      <c r="AD230" s="17">
        <f ca="1">IF($A230=0,0,SUMIF('Week 1 Roster'!$AZ:$AZ,$B230,'Week 1 Roster'!$AO:$AO))</f>
        <v>0</v>
      </c>
      <c r="AE230" s="38">
        <f ca="1">IF($A230=0,0,SUMIF('Week 1 Roster'!$AZ:$AZ,$B230,'Week 1 Roster'!$AP:$AP))</f>
        <v>0</v>
      </c>
      <c r="AF230" s="17">
        <f ca="1">IF($A230=0,0,SUMIF('Week 1 Roster'!$AZ:$AZ,$B230,'Week 1 Roster'!$AQ:$AQ))</f>
        <v>0</v>
      </c>
      <c r="AG230" s="17">
        <f ca="1">IF($A230=0,0,SUMIF('Week 1 Roster'!$AZ:$AZ,$B230,'Week 1 Roster'!$AR:$AR))</f>
        <v>0</v>
      </c>
      <c r="AH230" s="17">
        <f ca="1">IF($A230=0,0,SUMIF('Week 1 Roster'!$AZ:$AZ,$B230,'Week 1 Roster'!$AS:$AS))</f>
        <v>0</v>
      </c>
      <c r="AI230" s="17">
        <f t="shared" ca="1" si="82"/>
        <v>0</v>
      </c>
      <c r="AK230" s="17">
        <f ca="1">IF($A230=0,0,SUMIF('Week 2 Roster'!$AZ:$AZ,$B230,'Week 2 Roster'!$AE:$AE))</f>
        <v>0</v>
      </c>
      <c r="AL230" s="17">
        <f ca="1">IF($A230=0,0,SUMIF('Week 2 Roster'!$AZ:$AZ,$B230,'Week 2 Roster'!$AG:$AG))</f>
        <v>0</v>
      </c>
      <c r="AM230" s="17">
        <f ca="1">IF($A230=0,0,SUMIF('Week 2 Roster'!$AZ:$AZ,$B230,'Week 2 Roster'!$AI:$AI))</f>
        <v>0</v>
      </c>
      <c r="AN230" s="17">
        <f ca="1">IF($A230=0,0,SUMIF('Week 2 Roster'!$AZ:$AZ,$B230,'Week 2 Roster'!$AK:$AK))</f>
        <v>0</v>
      </c>
      <c r="AO230" s="17">
        <f ca="1">IF($A230=0,0,SUMIF('Week 2 Roster'!$AZ:$AZ,$B230,'Week 2 Roster'!$AM:$AM))</f>
        <v>0</v>
      </c>
      <c r="AP230" s="17">
        <f ca="1">IF($A230=0,0,SUMIF('Week 2 Roster'!$AZ:$AZ,$B230,'Week 2 Roster'!$AO:$AO))</f>
        <v>0</v>
      </c>
      <c r="AQ230" s="38">
        <f ca="1">IF($A230=0,0,SUMIF('Week 2 Roster'!$AZ:$AZ,$B230,'Week 2 Roster'!$AP:$AP))</f>
        <v>0</v>
      </c>
      <c r="AR230" s="17">
        <f ca="1">IF($A230=0,0,SUMIF('Week 2 Roster'!$AZ:$AZ,$B230,'Week 2 Roster'!$AQ:$AQ))</f>
        <v>0</v>
      </c>
      <c r="AS230" s="17">
        <f ca="1">IF($A230=0,0,SUMIF('Week 2 Roster'!$AZ:$AZ,$B230,'Week 2 Roster'!$AR:$AR))</f>
        <v>0</v>
      </c>
      <c r="AT230" s="17">
        <f ca="1">IF($A230=0,0,SUMIF('Week 2 Roster'!$AZ:$AZ,$B230,'Week 2 Roster'!$AS:$AS))</f>
        <v>0</v>
      </c>
      <c r="AU230" s="17">
        <f t="shared" ca="1" si="83"/>
        <v>0</v>
      </c>
    </row>
    <row r="231" spans="1:47">
      <c r="A231" s="16" cm="1">
        <f t="array" aca="1" ref="A231" ca="1">_xlfn.NUMBERVALUE(INDIRECT(TEXT(MIN(IF(($AW$2:$AX$300&lt;&gt;"")*(COUNTIF($B$1:B230,$AW$2:$AX$300)=0),ROW($2:$300)*100+COLUMN($AW:$AX),7^8)),"R0C00"),)&amp;"")</f>
        <v>0</v>
      </c>
      <c r="B231" s="28" t="str">
        <f t="shared" ca="1" si="69"/>
        <v/>
      </c>
      <c r="C231" s="28" t="str">
        <f ca="1">IF($A231=0,"",VLOOKUP($B231,Employees!$A:$G,2,FALSE))</f>
        <v/>
      </c>
      <c r="D231" s="28" t="str">
        <f ca="1">IF($A231=0,"",VLOOKUP($B231,Employees!$A:$G,3,FALSE))</f>
        <v/>
      </c>
      <c r="E231" s="26" t="str">
        <f ca="1">IF($A231=0,"",VLOOKUP($B231,Employees!$A:$G,5,FALSE))</f>
        <v/>
      </c>
      <c r="F231" s="13" t="str">
        <f ca="1">IF($E231="","",ROUNDDOWN(YEARFRAC($E231, 'Week 1 Roster'!$D$1-1, 1), 0))</f>
        <v/>
      </c>
      <c r="G231" s="13" t="str">
        <f ca="1">IF($E231="","",ROUNDDOWN(YEARFRAC($E231, 'Week 1 Roster'!$D$1+14, 1), 0))</f>
        <v/>
      </c>
      <c r="H231" s="13" t="str">
        <f t="shared" ca="1" si="70"/>
        <v/>
      </c>
      <c r="I231" s="13" t="str">
        <f ca="1">IF($A231=0,"",VLOOKUP($B231,Employees!$A:$G,6,FALSE))</f>
        <v/>
      </c>
      <c r="J231" s="13" t="str">
        <f ca="1">IF($A231=0,"",VLOOKUP($B231,Employees!$A:$G,7,FALSE))</f>
        <v/>
      </c>
      <c r="K231" s="13" t="str">
        <f ca="1">IF($A231=0,"",IF(ISNA(VLOOKUP(A231,'Week 1 Roster'!A:C,2,0)),VLOOKUP(A231,'Week 2 Roster'!A:C,2,0),VLOOKUP(A231,'Week 1 Roster'!A:C,2,0)))</f>
        <v/>
      </c>
      <c r="L231" s="13" t="str">
        <f ca="1">IF($A231=0,"",VLOOKUP(K231,Stores!A:B,2,0))</f>
        <v/>
      </c>
      <c r="M231" s="14">
        <f t="shared" ca="1" si="71"/>
        <v>0</v>
      </c>
      <c r="N231" s="14">
        <f t="shared" ca="1" si="72"/>
        <v>0</v>
      </c>
      <c r="O231" s="14">
        <f t="shared" ca="1" si="73"/>
        <v>0</v>
      </c>
      <c r="P231" s="14">
        <f t="shared" ca="1" si="74"/>
        <v>0</v>
      </c>
      <c r="Q231" s="14">
        <f t="shared" ca="1" si="75"/>
        <v>0</v>
      </c>
      <c r="R231" s="14">
        <f t="shared" ca="1" si="76"/>
        <v>0</v>
      </c>
      <c r="S231" s="28">
        <f t="shared" ca="1" si="77"/>
        <v>0</v>
      </c>
      <c r="T231" s="14">
        <f t="shared" ca="1" si="78"/>
        <v>0</v>
      </c>
      <c r="U231" s="14">
        <f t="shared" ca="1" si="79"/>
        <v>0</v>
      </c>
      <c r="V231" s="14">
        <f t="shared" ca="1" si="80"/>
        <v>0</v>
      </c>
      <c r="W231" s="14">
        <f t="shared" ca="1" si="81"/>
        <v>0</v>
      </c>
      <c r="Y231" s="17">
        <f ca="1">IF($A231=0,0,SUMIF('Week 1 Roster'!$AZ:$AZ,$B231,'Week 1 Roster'!$AE:$AE))</f>
        <v>0</v>
      </c>
      <c r="Z231" s="17">
        <f ca="1">IF($A231=0,0,SUMIF('Week 1 Roster'!$AZ:$AZ,$B231,'Week 1 Roster'!$AG:$AG))</f>
        <v>0</v>
      </c>
      <c r="AA231" s="17">
        <f ca="1">IF($A231=0,0,SUMIF('Week 1 Roster'!$AZ:$AZ,$B231,'Week 1 Roster'!$AI:$AI))</f>
        <v>0</v>
      </c>
      <c r="AB231" s="17">
        <f ca="1">IF($A231=0,0,SUMIF('Week 1 Roster'!$AZ:$AZ,$B231,'Week 1 Roster'!$AK:$AK))</f>
        <v>0</v>
      </c>
      <c r="AC231" s="17">
        <f ca="1">IF($A231=0,0,SUMIF('Week 1 Roster'!$AZ:$AZ,$B231,'Week 1 Roster'!$AM:$AM))</f>
        <v>0</v>
      </c>
      <c r="AD231" s="17">
        <f ca="1">IF($A231=0,0,SUMIF('Week 1 Roster'!$AZ:$AZ,$B231,'Week 1 Roster'!$AO:$AO))</f>
        <v>0</v>
      </c>
      <c r="AE231" s="38">
        <f ca="1">IF($A231=0,0,SUMIF('Week 1 Roster'!$AZ:$AZ,$B231,'Week 1 Roster'!$AP:$AP))</f>
        <v>0</v>
      </c>
      <c r="AF231" s="17">
        <f ca="1">IF($A231=0,0,SUMIF('Week 1 Roster'!$AZ:$AZ,$B231,'Week 1 Roster'!$AQ:$AQ))</f>
        <v>0</v>
      </c>
      <c r="AG231" s="17">
        <f ca="1">IF($A231=0,0,SUMIF('Week 1 Roster'!$AZ:$AZ,$B231,'Week 1 Roster'!$AR:$AR))</f>
        <v>0</v>
      </c>
      <c r="AH231" s="17">
        <f ca="1">IF($A231=0,0,SUMIF('Week 1 Roster'!$AZ:$AZ,$B231,'Week 1 Roster'!$AS:$AS))</f>
        <v>0</v>
      </c>
      <c r="AI231" s="17">
        <f t="shared" ca="1" si="82"/>
        <v>0</v>
      </c>
      <c r="AK231" s="17">
        <f ca="1">IF($A231=0,0,SUMIF('Week 2 Roster'!$AZ:$AZ,$B231,'Week 2 Roster'!$AE:$AE))</f>
        <v>0</v>
      </c>
      <c r="AL231" s="17">
        <f ca="1">IF($A231=0,0,SUMIF('Week 2 Roster'!$AZ:$AZ,$B231,'Week 2 Roster'!$AG:$AG))</f>
        <v>0</v>
      </c>
      <c r="AM231" s="17">
        <f ca="1">IF($A231=0,0,SUMIF('Week 2 Roster'!$AZ:$AZ,$B231,'Week 2 Roster'!$AI:$AI))</f>
        <v>0</v>
      </c>
      <c r="AN231" s="17">
        <f ca="1">IF($A231=0,0,SUMIF('Week 2 Roster'!$AZ:$AZ,$B231,'Week 2 Roster'!$AK:$AK))</f>
        <v>0</v>
      </c>
      <c r="AO231" s="17">
        <f ca="1">IF($A231=0,0,SUMIF('Week 2 Roster'!$AZ:$AZ,$B231,'Week 2 Roster'!$AM:$AM))</f>
        <v>0</v>
      </c>
      <c r="AP231" s="17">
        <f ca="1">IF($A231=0,0,SUMIF('Week 2 Roster'!$AZ:$AZ,$B231,'Week 2 Roster'!$AO:$AO))</f>
        <v>0</v>
      </c>
      <c r="AQ231" s="38">
        <f ca="1">IF($A231=0,0,SUMIF('Week 2 Roster'!$AZ:$AZ,$B231,'Week 2 Roster'!$AP:$AP))</f>
        <v>0</v>
      </c>
      <c r="AR231" s="17">
        <f ca="1">IF($A231=0,0,SUMIF('Week 2 Roster'!$AZ:$AZ,$B231,'Week 2 Roster'!$AQ:$AQ))</f>
        <v>0</v>
      </c>
      <c r="AS231" s="17">
        <f ca="1">IF($A231=0,0,SUMIF('Week 2 Roster'!$AZ:$AZ,$B231,'Week 2 Roster'!$AR:$AR))</f>
        <v>0</v>
      </c>
      <c r="AT231" s="17">
        <f ca="1">IF($A231=0,0,SUMIF('Week 2 Roster'!$AZ:$AZ,$B231,'Week 2 Roster'!$AS:$AS))</f>
        <v>0</v>
      </c>
      <c r="AU231" s="17">
        <f t="shared" ca="1" si="83"/>
        <v>0</v>
      </c>
    </row>
    <row r="232" spans="1:47">
      <c r="A232" s="16" cm="1">
        <f t="array" aca="1" ref="A232" ca="1">_xlfn.NUMBERVALUE(INDIRECT(TEXT(MIN(IF(($AW$2:$AX$300&lt;&gt;"")*(COUNTIF($B$1:B231,$AW$2:$AX$300)=0),ROW($2:$300)*100+COLUMN($AW:$AX),7^8)),"R0C00"),)&amp;"")</f>
        <v>0</v>
      </c>
      <c r="B232" s="28" t="str">
        <f t="shared" ca="1" si="69"/>
        <v/>
      </c>
      <c r="C232" s="28" t="str">
        <f ca="1">IF($A232=0,"",VLOOKUP($B232,Employees!$A:$G,2,FALSE))</f>
        <v/>
      </c>
      <c r="D232" s="28" t="str">
        <f ca="1">IF($A232=0,"",VLOOKUP($B232,Employees!$A:$G,3,FALSE))</f>
        <v/>
      </c>
      <c r="E232" s="26" t="str">
        <f ca="1">IF($A232=0,"",VLOOKUP($B232,Employees!$A:$G,5,FALSE))</f>
        <v/>
      </c>
      <c r="F232" s="13" t="str">
        <f ca="1">IF($E232="","",ROUNDDOWN(YEARFRAC($E232, 'Week 1 Roster'!$D$1-1, 1), 0))</f>
        <v/>
      </c>
      <c r="G232" s="13" t="str">
        <f ca="1">IF($E232="","",ROUNDDOWN(YEARFRAC($E232, 'Week 1 Roster'!$D$1+14, 1), 0))</f>
        <v/>
      </c>
      <c r="H232" s="13" t="str">
        <f t="shared" ca="1" si="70"/>
        <v/>
      </c>
      <c r="I232" s="13" t="str">
        <f ca="1">IF($A232=0,"",VLOOKUP($B232,Employees!$A:$G,6,FALSE))</f>
        <v/>
      </c>
      <c r="J232" s="13" t="str">
        <f ca="1">IF($A232=0,"",VLOOKUP($B232,Employees!$A:$G,7,FALSE))</f>
        <v/>
      </c>
      <c r="K232" s="13" t="str">
        <f ca="1">IF($A232=0,"",IF(ISNA(VLOOKUP(A232,'Week 1 Roster'!A:C,2,0)),VLOOKUP(A232,'Week 2 Roster'!A:C,2,0),VLOOKUP(A232,'Week 1 Roster'!A:C,2,0)))</f>
        <v/>
      </c>
      <c r="L232" s="13" t="str">
        <f ca="1">IF($A232=0,"",VLOOKUP(K232,Stores!A:B,2,0))</f>
        <v/>
      </c>
      <c r="M232" s="14">
        <f t="shared" ca="1" si="71"/>
        <v>0</v>
      </c>
      <c r="N232" s="14">
        <f t="shared" ca="1" si="72"/>
        <v>0</v>
      </c>
      <c r="O232" s="14">
        <f t="shared" ca="1" si="73"/>
        <v>0</v>
      </c>
      <c r="P232" s="14">
        <f t="shared" ca="1" si="74"/>
        <v>0</v>
      </c>
      <c r="Q232" s="14">
        <f t="shared" ca="1" si="75"/>
        <v>0</v>
      </c>
      <c r="R232" s="14">
        <f t="shared" ca="1" si="76"/>
        <v>0</v>
      </c>
      <c r="S232" s="28">
        <f t="shared" ca="1" si="77"/>
        <v>0</v>
      </c>
      <c r="T232" s="14">
        <f t="shared" ca="1" si="78"/>
        <v>0</v>
      </c>
      <c r="U232" s="14">
        <f t="shared" ca="1" si="79"/>
        <v>0</v>
      </c>
      <c r="V232" s="14">
        <f t="shared" ca="1" si="80"/>
        <v>0</v>
      </c>
      <c r="W232" s="14">
        <f t="shared" ca="1" si="81"/>
        <v>0</v>
      </c>
      <c r="Y232" s="17">
        <f ca="1">IF($A232=0,0,SUMIF('Week 1 Roster'!$AZ:$AZ,$B232,'Week 1 Roster'!$AE:$AE))</f>
        <v>0</v>
      </c>
      <c r="Z232" s="17">
        <f ca="1">IF($A232=0,0,SUMIF('Week 1 Roster'!$AZ:$AZ,$B232,'Week 1 Roster'!$AG:$AG))</f>
        <v>0</v>
      </c>
      <c r="AA232" s="17">
        <f ca="1">IF($A232=0,0,SUMIF('Week 1 Roster'!$AZ:$AZ,$B232,'Week 1 Roster'!$AI:$AI))</f>
        <v>0</v>
      </c>
      <c r="AB232" s="17">
        <f ca="1">IF($A232=0,0,SUMIF('Week 1 Roster'!$AZ:$AZ,$B232,'Week 1 Roster'!$AK:$AK))</f>
        <v>0</v>
      </c>
      <c r="AC232" s="17">
        <f ca="1">IF($A232=0,0,SUMIF('Week 1 Roster'!$AZ:$AZ,$B232,'Week 1 Roster'!$AM:$AM))</f>
        <v>0</v>
      </c>
      <c r="AD232" s="17">
        <f ca="1">IF($A232=0,0,SUMIF('Week 1 Roster'!$AZ:$AZ,$B232,'Week 1 Roster'!$AO:$AO))</f>
        <v>0</v>
      </c>
      <c r="AE232" s="38">
        <f ca="1">IF($A232=0,0,SUMIF('Week 1 Roster'!$AZ:$AZ,$B232,'Week 1 Roster'!$AP:$AP))</f>
        <v>0</v>
      </c>
      <c r="AF232" s="17">
        <f ca="1">IF($A232=0,0,SUMIF('Week 1 Roster'!$AZ:$AZ,$B232,'Week 1 Roster'!$AQ:$AQ))</f>
        <v>0</v>
      </c>
      <c r="AG232" s="17">
        <f ca="1">IF($A232=0,0,SUMIF('Week 1 Roster'!$AZ:$AZ,$B232,'Week 1 Roster'!$AR:$AR))</f>
        <v>0</v>
      </c>
      <c r="AH232" s="17">
        <f ca="1">IF($A232=0,0,SUMIF('Week 1 Roster'!$AZ:$AZ,$B232,'Week 1 Roster'!$AS:$AS))</f>
        <v>0</v>
      </c>
      <c r="AI232" s="17">
        <f t="shared" ca="1" si="82"/>
        <v>0</v>
      </c>
      <c r="AK232" s="17">
        <f ca="1">IF($A232=0,0,SUMIF('Week 2 Roster'!$AZ:$AZ,$B232,'Week 2 Roster'!$AE:$AE))</f>
        <v>0</v>
      </c>
      <c r="AL232" s="17">
        <f ca="1">IF($A232=0,0,SUMIF('Week 2 Roster'!$AZ:$AZ,$B232,'Week 2 Roster'!$AG:$AG))</f>
        <v>0</v>
      </c>
      <c r="AM232" s="17">
        <f ca="1">IF($A232=0,0,SUMIF('Week 2 Roster'!$AZ:$AZ,$B232,'Week 2 Roster'!$AI:$AI))</f>
        <v>0</v>
      </c>
      <c r="AN232" s="17">
        <f ca="1">IF($A232=0,0,SUMIF('Week 2 Roster'!$AZ:$AZ,$B232,'Week 2 Roster'!$AK:$AK))</f>
        <v>0</v>
      </c>
      <c r="AO232" s="17">
        <f ca="1">IF($A232=0,0,SUMIF('Week 2 Roster'!$AZ:$AZ,$B232,'Week 2 Roster'!$AM:$AM))</f>
        <v>0</v>
      </c>
      <c r="AP232" s="17">
        <f ca="1">IF($A232=0,0,SUMIF('Week 2 Roster'!$AZ:$AZ,$B232,'Week 2 Roster'!$AO:$AO))</f>
        <v>0</v>
      </c>
      <c r="AQ232" s="38">
        <f ca="1">IF($A232=0,0,SUMIF('Week 2 Roster'!$AZ:$AZ,$B232,'Week 2 Roster'!$AP:$AP))</f>
        <v>0</v>
      </c>
      <c r="AR232" s="17">
        <f ca="1">IF($A232=0,0,SUMIF('Week 2 Roster'!$AZ:$AZ,$B232,'Week 2 Roster'!$AQ:$AQ))</f>
        <v>0</v>
      </c>
      <c r="AS232" s="17">
        <f ca="1">IF($A232=0,0,SUMIF('Week 2 Roster'!$AZ:$AZ,$B232,'Week 2 Roster'!$AR:$AR))</f>
        <v>0</v>
      </c>
      <c r="AT232" s="17">
        <f ca="1">IF($A232=0,0,SUMIF('Week 2 Roster'!$AZ:$AZ,$B232,'Week 2 Roster'!$AS:$AS))</f>
        <v>0</v>
      </c>
      <c r="AU232" s="17">
        <f t="shared" ca="1" si="83"/>
        <v>0</v>
      </c>
    </row>
    <row r="233" spans="1:47">
      <c r="A233" s="16" cm="1">
        <f t="array" aca="1" ref="A233" ca="1">_xlfn.NUMBERVALUE(INDIRECT(TEXT(MIN(IF(($AW$2:$AX$300&lt;&gt;"")*(COUNTIF($B$1:B232,$AW$2:$AX$300)=0),ROW($2:$300)*100+COLUMN($AW:$AX),7^8)),"R0C00"),)&amp;"")</f>
        <v>0</v>
      </c>
      <c r="B233" s="28" t="str">
        <f t="shared" ca="1" si="69"/>
        <v/>
      </c>
      <c r="C233" s="28" t="str">
        <f ca="1">IF($A233=0,"",VLOOKUP($B233,Employees!$A:$G,2,FALSE))</f>
        <v/>
      </c>
      <c r="D233" s="28" t="str">
        <f ca="1">IF($A233=0,"",VLOOKUP($B233,Employees!$A:$G,3,FALSE))</f>
        <v/>
      </c>
      <c r="E233" s="26" t="str">
        <f ca="1">IF($A233=0,"",VLOOKUP($B233,Employees!$A:$G,5,FALSE))</f>
        <v/>
      </c>
      <c r="F233" s="13" t="str">
        <f ca="1">IF($E233="","",ROUNDDOWN(YEARFRAC($E233, 'Week 1 Roster'!$D$1-1, 1), 0))</f>
        <v/>
      </c>
      <c r="G233" s="13" t="str">
        <f ca="1">IF($E233="","",ROUNDDOWN(YEARFRAC($E233, 'Week 1 Roster'!$D$1+14, 1), 0))</f>
        <v/>
      </c>
      <c r="H233" s="13" t="str">
        <f t="shared" ca="1" si="70"/>
        <v/>
      </c>
      <c r="I233" s="13" t="str">
        <f ca="1">IF($A233=0,"",VLOOKUP($B233,Employees!$A:$G,6,FALSE))</f>
        <v/>
      </c>
      <c r="J233" s="13" t="str">
        <f ca="1">IF($A233=0,"",VLOOKUP($B233,Employees!$A:$G,7,FALSE))</f>
        <v/>
      </c>
      <c r="K233" s="13" t="str">
        <f ca="1">IF($A233=0,"",IF(ISNA(VLOOKUP(A233,'Week 1 Roster'!A:C,2,0)),VLOOKUP(A233,'Week 2 Roster'!A:C,2,0),VLOOKUP(A233,'Week 1 Roster'!A:C,2,0)))</f>
        <v/>
      </c>
      <c r="L233" s="13" t="str">
        <f ca="1">IF($A233=0,"",VLOOKUP(K233,Stores!A:B,2,0))</f>
        <v/>
      </c>
      <c r="M233" s="14">
        <f t="shared" ca="1" si="71"/>
        <v>0</v>
      </c>
      <c r="N233" s="14">
        <f t="shared" ca="1" si="72"/>
        <v>0</v>
      </c>
      <c r="O233" s="14">
        <f t="shared" ca="1" si="73"/>
        <v>0</v>
      </c>
      <c r="P233" s="14">
        <f t="shared" ca="1" si="74"/>
        <v>0</v>
      </c>
      <c r="Q233" s="14">
        <f t="shared" ca="1" si="75"/>
        <v>0</v>
      </c>
      <c r="R233" s="14">
        <f t="shared" ca="1" si="76"/>
        <v>0</v>
      </c>
      <c r="S233" s="28">
        <f t="shared" ca="1" si="77"/>
        <v>0</v>
      </c>
      <c r="T233" s="14">
        <f t="shared" ca="1" si="78"/>
        <v>0</v>
      </c>
      <c r="U233" s="14">
        <f t="shared" ca="1" si="79"/>
        <v>0</v>
      </c>
      <c r="V233" s="14">
        <f t="shared" ca="1" si="80"/>
        <v>0</v>
      </c>
      <c r="W233" s="14">
        <f t="shared" ca="1" si="81"/>
        <v>0</v>
      </c>
      <c r="Y233" s="17">
        <f ca="1">IF($A233=0,0,SUMIF('Week 1 Roster'!$AZ:$AZ,$B233,'Week 1 Roster'!$AE:$AE))</f>
        <v>0</v>
      </c>
      <c r="Z233" s="17">
        <f ca="1">IF($A233=0,0,SUMIF('Week 1 Roster'!$AZ:$AZ,$B233,'Week 1 Roster'!$AG:$AG))</f>
        <v>0</v>
      </c>
      <c r="AA233" s="17">
        <f ca="1">IF($A233=0,0,SUMIF('Week 1 Roster'!$AZ:$AZ,$B233,'Week 1 Roster'!$AI:$AI))</f>
        <v>0</v>
      </c>
      <c r="AB233" s="17">
        <f ca="1">IF($A233=0,0,SUMIF('Week 1 Roster'!$AZ:$AZ,$B233,'Week 1 Roster'!$AK:$AK))</f>
        <v>0</v>
      </c>
      <c r="AC233" s="17">
        <f ca="1">IF($A233=0,0,SUMIF('Week 1 Roster'!$AZ:$AZ,$B233,'Week 1 Roster'!$AM:$AM))</f>
        <v>0</v>
      </c>
      <c r="AD233" s="17">
        <f ca="1">IF($A233=0,0,SUMIF('Week 1 Roster'!$AZ:$AZ,$B233,'Week 1 Roster'!$AO:$AO))</f>
        <v>0</v>
      </c>
      <c r="AE233" s="38">
        <f ca="1">IF($A233=0,0,SUMIF('Week 1 Roster'!$AZ:$AZ,$B233,'Week 1 Roster'!$AP:$AP))</f>
        <v>0</v>
      </c>
      <c r="AF233" s="17">
        <f ca="1">IF($A233=0,0,SUMIF('Week 1 Roster'!$AZ:$AZ,$B233,'Week 1 Roster'!$AQ:$AQ))</f>
        <v>0</v>
      </c>
      <c r="AG233" s="17">
        <f ca="1">IF($A233=0,0,SUMIF('Week 1 Roster'!$AZ:$AZ,$B233,'Week 1 Roster'!$AR:$AR))</f>
        <v>0</v>
      </c>
      <c r="AH233" s="17">
        <f ca="1">IF($A233=0,0,SUMIF('Week 1 Roster'!$AZ:$AZ,$B233,'Week 1 Roster'!$AS:$AS))</f>
        <v>0</v>
      </c>
      <c r="AI233" s="17">
        <f t="shared" ca="1" si="82"/>
        <v>0</v>
      </c>
      <c r="AK233" s="17">
        <f ca="1">IF($A233=0,0,SUMIF('Week 2 Roster'!$AZ:$AZ,$B233,'Week 2 Roster'!$AE:$AE))</f>
        <v>0</v>
      </c>
      <c r="AL233" s="17">
        <f ca="1">IF($A233=0,0,SUMIF('Week 2 Roster'!$AZ:$AZ,$B233,'Week 2 Roster'!$AG:$AG))</f>
        <v>0</v>
      </c>
      <c r="AM233" s="17">
        <f ca="1">IF($A233=0,0,SUMIF('Week 2 Roster'!$AZ:$AZ,$B233,'Week 2 Roster'!$AI:$AI))</f>
        <v>0</v>
      </c>
      <c r="AN233" s="17">
        <f ca="1">IF($A233=0,0,SUMIF('Week 2 Roster'!$AZ:$AZ,$B233,'Week 2 Roster'!$AK:$AK))</f>
        <v>0</v>
      </c>
      <c r="AO233" s="17">
        <f ca="1">IF($A233=0,0,SUMIF('Week 2 Roster'!$AZ:$AZ,$B233,'Week 2 Roster'!$AM:$AM))</f>
        <v>0</v>
      </c>
      <c r="AP233" s="17">
        <f ca="1">IF($A233=0,0,SUMIF('Week 2 Roster'!$AZ:$AZ,$B233,'Week 2 Roster'!$AO:$AO))</f>
        <v>0</v>
      </c>
      <c r="AQ233" s="38">
        <f ca="1">IF($A233=0,0,SUMIF('Week 2 Roster'!$AZ:$AZ,$B233,'Week 2 Roster'!$AP:$AP))</f>
        <v>0</v>
      </c>
      <c r="AR233" s="17">
        <f ca="1">IF($A233=0,0,SUMIF('Week 2 Roster'!$AZ:$AZ,$B233,'Week 2 Roster'!$AQ:$AQ))</f>
        <v>0</v>
      </c>
      <c r="AS233" s="17">
        <f ca="1">IF($A233=0,0,SUMIF('Week 2 Roster'!$AZ:$AZ,$B233,'Week 2 Roster'!$AR:$AR))</f>
        <v>0</v>
      </c>
      <c r="AT233" s="17">
        <f ca="1">IF($A233=0,0,SUMIF('Week 2 Roster'!$AZ:$AZ,$B233,'Week 2 Roster'!$AS:$AS))</f>
        <v>0</v>
      </c>
      <c r="AU233" s="17">
        <f t="shared" ca="1" si="83"/>
        <v>0</v>
      </c>
    </row>
    <row r="234" spans="1:47">
      <c r="A234" s="16" cm="1">
        <f t="array" aca="1" ref="A234" ca="1">_xlfn.NUMBERVALUE(INDIRECT(TEXT(MIN(IF(($AW$2:$AX$300&lt;&gt;"")*(COUNTIF($B$1:B233,$AW$2:$AX$300)=0),ROW($2:$300)*100+COLUMN($AW:$AX),7^8)),"R0C00"),)&amp;"")</f>
        <v>0</v>
      </c>
      <c r="B234" s="28" t="str">
        <f t="shared" ca="1" si="69"/>
        <v/>
      </c>
      <c r="C234" s="28" t="str">
        <f ca="1">IF($A234=0,"",VLOOKUP($B234,Employees!$A:$G,2,FALSE))</f>
        <v/>
      </c>
      <c r="D234" s="28" t="str">
        <f ca="1">IF($A234=0,"",VLOOKUP($B234,Employees!$A:$G,3,FALSE))</f>
        <v/>
      </c>
      <c r="E234" s="26" t="str">
        <f ca="1">IF($A234=0,"",VLOOKUP($B234,Employees!$A:$G,5,FALSE))</f>
        <v/>
      </c>
      <c r="F234" s="13" t="str">
        <f ca="1">IF($E234="","",ROUNDDOWN(YEARFRAC($E234, 'Week 1 Roster'!$D$1-1, 1), 0))</f>
        <v/>
      </c>
      <c r="G234" s="13" t="str">
        <f ca="1">IF($E234="","",ROUNDDOWN(YEARFRAC($E234, 'Week 1 Roster'!$D$1+14, 1), 0))</f>
        <v/>
      </c>
      <c r="H234" s="13" t="str">
        <f t="shared" ca="1" si="70"/>
        <v/>
      </c>
      <c r="I234" s="13" t="str">
        <f ca="1">IF($A234=0,"",VLOOKUP($B234,Employees!$A:$G,6,FALSE))</f>
        <v/>
      </c>
      <c r="J234" s="13" t="str">
        <f ca="1">IF($A234=0,"",VLOOKUP($B234,Employees!$A:$G,7,FALSE))</f>
        <v/>
      </c>
      <c r="K234" s="13" t="str">
        <f ca="1">IF($A234=0,"",IF(ISNA(VLOOKUP(A234,'Week 1 Roster'!A:C,2,0)),VLOOKUP(A234,'Week 2 Roster'!A:C,2,0),VLOOKUP(A234,'Week 1 Roster'!A:C,2,0)))</f>
        <v/>
      </c>
      <c r="L234" s="13" t="str">
        <f ca="1">IF($A234=0,"",VLOOKUP(K234,Stores!A:B,2,0))</f>
        <v/>
      </c>
      <c r="M234" s="14">
        <f t="shared" ca="1" si="71"/>
        <v>0</v>
      </c>
      <c r="N234" s="14">
        <f t="shared" ca="1" si="72"/>
        <v>0</v>
      </c>
      <c r="O234" s="14">
        <f t="shared" ca="1" si="73"/>
        <v>0</v>
      </c>
      <c r="P234" s="14">
        <f t="shared" ca="1" si="74"/>
        <v>0</v>
      </c>
      <c r="Q234" s="14">
        <f t="shared" ca="1" si="75"/>
        <v>0</v>
      </c>
      <c r="R234" s="14">
        <f t="shared" ca="1" si="76"/>
        <v>0</v>
      </c>
      <c r="S234" s="28">
        <f t="shared" ca="1" si="77"/>
        <v>0</v>
      </c>
      <c r="T234" s="14">
        <f t="shared" ca="1" si="78"/>
        <v>0</v>
      </c>
      <c r="U234" s="14">
        <f t="shared" ca="1" si="79"/>
        <v>0</v>
      </c>
      <c r="V234" s="14">
        <f t="shared" ca="1" si="80"/>
        <v>0</v>
      </c>
      <c r="W234" s="14">
        <f t="shared" ca="1" si="81"/>
        <v>0</v>
      </c>
      <c r="Y234" s="17">
        <f ca="1">IF($A234=0,0,SUMIF('Week 1 Roster'!$AZ:$AZ,$B234,'Week 1 Roster'!$AE:$AE))</f>
        <v>0</v>
      </c>
      <c r="Z234" s="17">
        <f ca="1">IF($A234=0,0,SUMIF('Week 1 Roster'!$AZ:$AZ,$B234,'Week 1 Roster'!$AG:$AG))</f>
        <v>0</v>
      </c>
      <c r="AA234" s="17">
        <f ca="1">IF($A234=0,0,SUMIF('Week 1 Roster'!$AZ:$AZ,$B234,'Week 1 Roster'!$AI:$AI))</f>
        <v>0</v>
      </c>
      <c r="AB234" s="17">
        <f ca="1">IF($A234=0,0,SUMIF('Week 1 Roster'!$AZ:$AZ,$B234,'Week 1 Roster'!$AK:$AK))</f>
        <v>0</v>
      </c>
      <c r="AC234" s="17">
        <f ca="1">IF($A234=0,0,SUMIF('Week 1 Roster'!$AZ:$AZ,$B234,'Week 1 Roster'!$AM:$AM))</f>
        <v>0</v>
      </c>
      <c r="AD234" s="17">
        <f ca="1">IF($A234=0,0,SUMIF('Week 1 Roster'!$AZ:$AZ,$B234,'Week 1 Roster'!$AO:$AO))</f>
        <v>0</v>
      </c>
      <c r="AE234" s="38">
        <f ca="1">IF($A234=0,0,SUMIF('Week 1 Roster'!$AZ:$AZ,$B234,'Week 1 Roster'!$AP:$AP))</f>
        <v>0</v>
      </c>
      <c r="AF234" s="17">
        <f ca="1">IF($A234=0,0,SUMIF('Week 1 Roster'!$AZ:$AZ,$B234,'Week 1 Roster'!$AQ:$AQ))</f>
        <v>0</v>
      </c>
      <c r="AG234" s="17">
        <f ca="1">IF($A234=0,0,SUMIF('Week 1 Roster'!$AZ:$AZ,$B234,'Week 1 Roster'!$AR:$AR))</f>
        <v>0</v>
      </c>
      <c r="AH234" s="17">
        <f ca="1">IF($A234=0,0,SUMIF('Week 1 Roster'!$AZ:$AZ,$B234,'Week 1 Roster'!$AS:$AS))</f>
        <v>0</v>
      </c>
      <c r="AI234" s="17">
        <f t="shared" ca="1" si="82"/>
        <v>0</v>
      </c>
      <c r="AK234" s="17">
        <f ca="1">IF($A234=0,0,SUMIF('Week 2 Roster'!$AZ:$AZ,$B234,'Week 2 Roster'!$AE:$AE))</f>
        <v>0</v>
      </c>
      <c r="AL234" s="17">
        <f ca="1">IF($A234=0,0,SUMIF('Week 2 Roster'!$AZ:$AZ,$B234,'Week 2 Roster'!$AG:$AG))</f>
        <v>0</v>
      </c>
      <c r="AM234" s="17">
        <f ca="1">IF($A234=0,0,SUMIF('Week 2 Roster'!$AZ:$AZ,$B234,'Week 2 Roster'!$AI:$AI))</f>
        <v>0</v>
      </c>
      <c r="AN234" s="17">
        <f ca="1">IF($A234=0,0,SUMIF('Week 2 Roster'!$AZ:$AZ,$B234,'Week 2 Roster'!$AK:$AK))</f>
        <v>0</v>
      </c>
      <c r="AO234" s="17">
        <f ca="1">IF($A234=0,0,SUMIF('Week 2 Roster'!$AZ:$AZ,$B234,'Week 2 Roster'!$AM:$AM))</f>
        <v>0</v>
      </c>
      <c r="AP234" s="17">
        <f ca="1">IF($A234=0,0,SUMIF('Week 2 Roster'!$AZ:$AZ,$B234,'Week 2 Roster'!$AO:$AO))</f>
        <v>0</v>
      </c>
      <c r="AQ234" s="38">
        <f ca="1">IF($A234=0,0,SUMIF('Week 2 Roster'!$AZ:$AZ,$B234,'Week 2 Roster'!$AP:$AP))</f>
        <v>0</v>
      </c>
      <c r="AR234" s="17">
        <f ca="1">IF($A234=0,0,SUMIF('Week 2 Roster'!$AZ:$AZ,$B234,'Week 2 Roster'!$AQ:$AQ))</f>
        <v>0</v>
      </c>
      <c r="AS234" s="17">
        <f ca="1">IF($A234=0,0,SUMIF('Week 2 Roster'!$AZ:$AZ,$B234,'Week 2 Roster'!$AR:$AR))</f>
        <v>0</v>
      </c>
      <c r="AT234" s="17">
        <f ca="1">IF($A234=0,0,SUMIF('Week 2 Roster'!$AZ:$AZ,$B234,'Week 2 Roster'!$AS:$AS))</f>
        <v>0</v>
      </c>
      <c r="AU234" s="17">
        <f t="shared" ca="1" si="83"/>
        <v>0</v>
      </c>
    </row>
    <row r="235" spans="1:47">
      <c r="A235" s="16" cm="1">
        <f t="array" aca="1" ref="A235" ca="1">_xlfn.NUMBERVALUE(INDIRECT(TEXT(MIN(IF(($AW$2:$AX$300&lt;&gt;"")*(COUNTIF($B$1:B234,$AW$2:$AX$300)=0),ROW($2:$300)*100+COLUMN($AW:$AX),7^8)),"R0C00"),)&amp;"")</f>
        <v>0</v>
      </c>
      <c r="B235" s="28" t="str">
        <f t="shared" ca="1" si="69"/>
        <v/>
      </c>
      <c r="C235" s="28" t="str">
        <f ca="1">IF($A235=0,"",VLOOKUP($B235,Employees!$A:$G,2,FALSE))</f>
        <v/>
      </c>
      <c r="D235" s="28" t="str">
        <f ca="1">IF($A235=0,"",VLOOKUP($B235,Employees!$A:$G,3,FALSE))</f>
        <v/>
      </c>
      <c r="E235" s="26" t="str">
        <f ca="1">IF($A235=0,"",VLOOKUP($B235,Employees!$A:$G,5,FALSE))</f>
        <v/>
      </c>
      <c r="F235" s="13" t="str">
        <f ca="1">IF($E235="","",ROUNDDOWN(YEARFRAC($E235, 'Week 1 Roster'!$D$1-1, 1), 0))</f>
        <v/>
      </c>
      <c r="G235" s="13" t="str">
        <f ca="1">IF($E235="","",ROUNDDOWN(YEARFRAC($E235, 'Week 1 Roster'!$D$1+14, 1), 0))</f>
        <v/>
      </c>
      <c r="H235" s="13" t="str">
        <f t="shared" ca="1" si="70"/>
        <v/>
      </c>
      <c r="I235" s="13" t="str">
        <f ca="1">IF($A235=0,"",VLOOKUP($B235,Employees!$A:$G,6,FALSE))</f>
        <v/>
      </c>
      <c r="J235" s="13" t="str">
        <f ca="1">IF($A235=0,"",VLOOKUP($B235,Employees!$A:$G,7,FALSE))</f>
        <v/>
      </c>
      <c r="K235" s="13" t="str">
        <f ca="1">IF($A235=0,"",IF(ISNA(VLOOKUP(A235,'Week 1 Roster'!A:C,2,0)),VLOOKUP(A235,'Week 2 Roster'!A:C,2,0),VLOOKUP(A235,'Week 1 Roster'!A:C,2,0)))</f>
        <v/>
      </c>
      <c r="L235" s="13" t="str">
        <f ca="1">IF($A235=0,"",VLOOKUP(K235,Stores!A:B,2,0))</f>
        <v/>
      </c>
      <c r="M235" s="14">
        <f t="shared" ca="1" si="71"/>
        <v>0</v>
      </c>
      <c r="N235" s="14">
        <f t="shared" ca="1" si="72"/>
        <v>0</v>
      </c>
      <c r="O235" s="14">
        <f t="shared" ca="1" si="73"/>
        <v>0</v>
      </c>
      <c r="P235" s="14">
        <f t="shared" ca="1" si="74"/>
        <v>0</v>
      </c>
      <c r="Q235" s="14">
        <f t="shared" ca="1" si="75"/>
        <v>0</v>
      </c>
      <c r="R235" s="14">
        <f t="shared" ca="1" si="76"/>
        <v>0</v>
      </c>
      <c r="S235" s="28">
        <f t="shared" ca="1" si="77"/>
        <v>0</v>
      </c>
      <c r="T235" s="14">
        <f t="shared" ca="1" si="78"/>
        <v>0</v>
      </c>
      <c r="U235" s="14">
        <f t="shared" ca="1" si="79"/>
        <v>0</v>
      </c>
      <c r="V235" s="14">
        <f t="shared" ca="1" si="80"/>
        <v>0</v>
      </c>
      <c r="W235" s="14">
        <f t="shared" ca="1" si="81"/>
        <v>0</v>
      </c>
      <c r="Y235" s="17">
        <f ca="1">IF($A235=0,0,SUMIF('Week 1 Roster'!$AZ:$AZ,$B235,'Week 1 Roster'!$AE:$AE))</f>
        <v>0</v>
      </c>
      <c r="Z235" s="17">
        <f ca="1">IF($A235=0,0,SUMIF('Week 1 Roster'!$AZ:$AZ,$B235,'Week 1 Roster'!$AG:$AG))</f>
        <v>0</v>
      </c>
      <c r="AA235" s="17">
        <f ca="1">IF($A235=0,0,SUMIF('Week 1 Roster'!$AZ:$AZ,$B235,'Week 1 Roster'!$AI:$AI))</f>
        <v>0</v>
      </c>
      <c r="AB235" s="17">
        <f ca="1">IF($A235=0,0,SUMIF('Week 1 Roster'!$AZ:$AZ,$B235,'Week 1 Roster'!$AK:$AK))</f>
        <v>0</v>
      </c>
      <c r="AC235" s="17">
        <f ca="1">IF($A235=0,0,SUMIF('Week 1 Roster'!$AZ:$AZ,$B235,'Week 1 Roster'!$AM:$AM))</f>
        <v>0</v>
      </c>
      <c r="AD235" s="17">
        <f ca="1">IF($A235=0,0,SUMIF('Week 1 Roster'!$AZ:$AZ,$B235,'Week 1 Roster'!$AO:$AO))</f>
        <v>0</v>
      </c>
      <c r="AE235" s="38">
        <f ca="1">IF($A235=0,0,SUMIF('Week 1 Roster'!$AZ:$AZ,$B235,'Week 1 Roster'!$AP:$AP))</f>
        <v>0</v>
      </c>
      <c r="AF235" s="17">
        <f ca="1">IF($A235=0,0,SUMIF('Week 1 Roster'!$AZ:$AZ,$B235,'Week 1 Roster'!$AQ:$AQ))</f>
        <v>0</v>
      </c>
      <c r="AG235" s="17">
        <f ca="1">IF($A235=0,0,SUMIF('Week 1 Roster'!$AZ:$AZ,$B235,'Week 1 Roster'!$AR:$AR))</f>
        <v>0</v>
      </c>
      <c r="AH235" s="17">
        <f ca="1">IF($A235=0,0,SUMIF('Week 1 Roster'!$AZ:$AZ,$B235,'Week 1 Roster'!$AS:$AS))</f>
        <v>0</v>
      </c>
      <c r="AI235" s="17">
        <f t="shared" ca="1" si="82"/>
        <v>0</v>
      </c>
      <c r="AK235" s="17">
        <f ca="1">IF($A235=0,0,SUMIF('Week 2 Roster'!$AZ:$AZ,$B235,'Week 2 Roster'!$AE:$AE))</f>
        <v>0</v>
      </c>
      <c r="AL235" s="17">
        <f ca="1">IF($A235=0,0,SUMIF('Week 2 Roster'!$AZ:$AZ,$B235,'Week 2 Roster'!$AG:$AG))</f>
        <v>0</v>
      </c>
      <c r="AM235" s="17">
        <f ca="1">IF($A235=0,0,SUMIF('Week 2 Roster'!$AZ:$AZ,$B235,'Week 2 Roster'!$AI:$AI))</f>
        <v>0</v>
      </c>
      <c r="AN235" s="17">
        <f ca="1">IF($A235=0,0,SUMIF('Week 2 Roster'!$AZ:$AZ,$B235,'Week 2 Roster'!$AK:$AK))</f>
        <v>0</v>
      </c>
      <c r="AO235" s="17">
        <f ca="1">IF($A235=0,0,SUMIF('Week 2 Roster'!$AZ:$AZ,$B235,'Week 2 Roster'!$AM:$AM))</f>
        <v>0</v>
      </c>
      <c r="AP235" s="17">
        <f ca="1">IF($A235=0,0,SUMIF('Week 2 Roster'!$AZ:$AZ,$B235,'Week 2 Roster'!$AO:$AO))</f>
        <v>0</v>
      </c>
      <c r="AQ235" s="38">
        <f ca="1">IF($A235=0,0,SUMIF('Week 2 Roster'!$AZ:$AZ,$B235,'Week 2 Roster'!$AP:$AP))</f>
        <v>0</v>
      </c>
      <c r="AR235" s="17">
        <f ca="1">IF($A235=0,0,SUMIF('Week 2 Roster'!$AZ:$AZ,$B235,'Week 2 Roster'!$AQ:$AQ))</f>
        <v>0</v>
      </c>
      <c r="AS235" s="17">
        <f ca="1">IF($A235=0,0,SUMIF('Week 2 Roster'!$AZ:$AZ,$B235,'Week 2 Roster'!$AR:$AR))</f>
        <v>0</v>
      </c>
      <c r="AT235" s="17">
        <f ca="1">IF($A235=0,0,SUMIF('Week 2 Roster'!$AZ:$AZ,$B235,'Week 2 Roster'!$AS:$AS))</f>
        <v>0</v>
      </c>
      <c r="AU235" s="17">
        <f t="shared" ca="1" si="83"/>
        <v>0</v>
      </c>
    </row>
    <row r="236" spans="1:47">
      <c r="A236" s="16" cm="1">
        <f t="array" aca="1" ref="A236" ca="1">_xlfn.NUMBERVALUE(INDIRECT(TEXT(MIN(IF(($AW$2:$AX$300&lt;&gt;"")*(COUNTIF($B$1:B235,$AW$2:$AX$300)=0),ROW($2:$300)*100+COLUMN($AW:$AX),7^8)),"R0C00"),)&amp;"")</f>
        <v>0</v>
      </c>
      <c r="B236" s="28" t="str">
        <f t="shared" ca="1" si="69"/>
        <v/>
      </c>
      <c r="C236" s="28" t="str">
        <f ca="1">IF($A236=0,"",VLOOKUP($B236,Employees!$A:$G,2,FALSE))</f>
        <v/>
      </c>
      <c r="D236" s="28" t="str">
        <f ca="1">IF($A236=0,"",VLOOKUP($B236,Employees!$A:$G,3,FALSE))</f>
        <v/>
      </c>
      <c r="E236" s="26" t="str">
        <f ca="1">IF($A236=0,"",VLOOKUP($B236,Employees!$A:$G,5,FALSE))</f>
        <v/>
      </c>
      <c r="F236" s="13" t="str">
        <f ca="1">IF($E236="","",ROUNDDOWN(YEARFRAC($E236, 'Week 1 Roster'!$D$1-1, 1), 0))</f>
        <v/>
      </c>
      <c r="G236" s="13" t="str">
        <f ca="1">IF($E236="","",ROUNDDOWN(YEARFRAC($E236, 'Week 1 Roster'!$D$1+14, 1), 0))</f>
        <v/>
      </c>
      <c r="H236" s="13" t="str">
        <f t="shared" ca="1" si="70"/>
        <v/>
      </c>
      <c r="I236" s="13" t="str">
        <f ca="1">IF($A236=0,"",VLOOKUP($B236,Employees!$A:$G,6,FALSE))</f>
        <v/>
      </c>
      <c r="J236" s="13" t="str">
        <f ca="1">IF($A236=0,"",VLOOKUP($B236,Employees!$A:$G,7,FALSE))</f>
        <v/>
      </c>
      <c r="K236" s="13" t="str">
        <f ca="1">IF($A236=0,"",IF(ISNA(VLOOKUP(A236,'Week 1 Roster'!A:C,2,0)),VLOOKUP(A236,'Week 2 Roster'!A:C,2,0),VLOOKUP(A236,'Week 1 Roster'!A:C,2,0)))</f>
        <v/>
      </c>
      <c r="L236" s="13" t="str">
        <f ca="1">IF($A236=0,"",VLOOKUP(K236,Stores!A:B,2,0))</f>
        <v/>
      </c>
      <c r="M236" s="14">
        <f t="shared" ca="1" si="71"/>
        <v>0</v>
      </c>
      <c r="N236" s="14">
        <f t="shared" ca="1" si="72"/>
        <v>0</v>
      </c>
      <c r="O236" s="14">
        <f t="shared" ca="1" si="73"/>
        <v>0</v>
      </c>
      <c r="P236" s="14">
        <f t="shared" ca="1" si="74"/>
        <v>0</v>
      </c>
      <c r="Q236" s="14">
        <f t="shared" ca="1" si="75"/>
        <v>0</v>
      </c>
      <c r="R236" s="14">
        <f t="shared" ca="1" si="76"/>
        <v>0</v>
      </c>
      <c r="S236" s="28">
        <f t="shared" ca="1" si="77"/>
        <v>0</v>
      </c>
      <c r="T236" s="14">
        <f t="shared" ca="1" si="78"/>
        <v>0</v>
      </c>
      <c r="U236" s="14">
        <f t="shared" ca="1" si="79"/>
        <v>0</v>
      </c>
      <c r="V236" s="14">
        <f t="shared" ca="1" si="80"/>
        <v>0</v>
      </c>
      <c r="W236" s="14">
        <f t="shared" ca="1" si="81"/>
        <v>0</v>
      </c>
      <c r="Y236" s="17">
        <f ca="1">IF($A236=0,0,SUMIF('Week 1 Roster'!$AZ:$AZ,$B236,'Week 1 Roster'!$AE:$AE))</f>
        <v>0</v>
      </c>
      <c r="Z236" s="17">
        <f ca="1">IF($A236=0,0,SUMIF('Week 1 Roster'!$AZ:$AZ,$B236,'Week 1 Roster'!$AG:$AG))</f>
        <v>0</v>
      </c>
      <c r="AA236" s="17">
        <f ca="1">IF($A236=0,0,SUMIF('Week 1 Roster'!$AZ:$AZ,$B236,'Week 1 Roster'!$AI:$AI))</f>
        <v>0</v>
      </c>
      <c r="AB236" s="17">
        <f ca="1">IF($A236=0,0,SUMIF('Week 1 Roster'!$AZ:$AZ,$B236,'Week 1 Roster'!$AK:$AK))</f>
        <v>0</v>
      </c>
      <c r="AC236" s="17">
        <f ca="1">IF($A236=0,0,SUMIF('Week 1 Roster'!$AZ:$AZ,$B236,'Week 1 Roster'!$AM:$AM))</f>
        <v>0</v>
      </c>
      <c r="AD236" s="17">
        <f ca="1">IF($A236=0,0,SUMIF('Week 1 Roster'!$AZ:$AZ,$B236,'Week 1 Roster'!$AO:$AO))</f>
        <v>0</v>
      </c>
      <c r="AE236" s="38">
        <f ca="1">IF($A236=0,0,SUMIF('Week 1 Roster'!$AZ:$AZ,$B236,'Week 1 Roster'!$AP:$AP))</f>
        <v>0</v>
      </c>
      <c r="AF236" s="17">
        <f ca="1">IF($A236=0,0,SUMIF('Week 1 Roster'!$AZ:$AZ,$B236,'Week 1 Roster'!$AQ:$AQ))</f>
        <v>0</v>
      </c>
      <c r="AG236" s="17">
        <f ca="1">IF($A236=0,0,SUMIF('Week 1 Roster'!$AZ:$AZ,$B236,'Week 1 Roster'!$AR:$AR))</f>
        <v>0</v>
      </c>
      <c r="AH236" s="17">
        <f ca="1">IF($A236=0,0,SUMIF('Week 1 Roster'!$AZ:$AZ,$B236,'Week 1 Roster'!$AS:$AS))</f>
        <v>0</v>
      </c>
      <c r="AI236" s="17">
        <f t="shared" ca="1" si="82"/>
        <v>0</v>
      </c>
      <c r="AK236" s="17">
        <f ca="1">IF($A236=0,0,SUMIF('Week 2 Roster'!$AZ:$AZ,$B236,'Week 2 Roster'!$AE:$AE))</f>
        <v>0</v>
      </c>
      <c r="AL236" s="17">
        <f ca="1">IF($A236=0,0,SUMIF('Week 2 Roster'!$AZ:$AZ,$B236,'Week 2 Roster'!$AG:$AG))</f>
        <v>0</v>
      </c>
      <c r="AM236" s="17">
        <f ca="1">IF($A236=0,0,SUMIF('Week 2 Roster'!$AZ:$AZ,$B236,'Week 2 Roster'!$AI:$AI))</f>
        <v>0</v>
      </c>
      <c r="AN236" s="17">
        <f ca="1">IF($A236=0,0,SUMIF('Week 2 Roster'!$AZ:$AZ,$B236,'Week 2 Roster'!$AK:$AK))</f>
        <v>0</v>
      </c>
      <c r="AO236" s="17">
        <f ca="1">IF($A236=0,0,SUMIF('Week 2 Roster'!$AZ:$AZ,$B236,'Week 2 Roster'!$AM:$AM))</f>
        <v>0</v>
      </c>
      <c r="AP236" s="17">
        <f ca="1">IF($A236=0,0,SUMIF('Week 2 Roster'!$AZ:$AZ,$B236,'Week 2 Roster'!$AO:$AO))</f>
        <v>0</v>
      </c>
      <c r="AQ236" s="38">
        <f ca="1">IF($A236=0,0,SUMIF('Week 2 Roster'!$AZ:$AZ,$B236,'Week 2 Roster'!$AP:$AP))</f>
        <v>0</v>
      </c>
      <c r="AR236" s="17">
        <f ca="1">IF($A236=0,0,SUMIF('Week 2 Roster'!$AZ:$AZ,$B236,'Week 2 Roster'!$AQ:$AQ))</f>
        <v>0</v>
      </c>
      <c r="AS236" s="17">
        <f ca="1">IF($A236=0,0,SUMIF('Week 2 Roster'!$AZ:$AZ,$B236,'Week 2 Roster'!$AR:$AR))</f>
        <v>0</v>
      </c>
      <c r="AT236" s="17">
        <f ca="1">IF($A236=0,0,SUMIF('Week 2 Roster'!$AZ:$AZ,$B236,'Week 2 Roster'!$AS:$AS))</f>
        <v>0</v>
      </c>
      <c r="AU236" s="17">
        <f t="shared" ca="1" si="83"/>
        <v>0</v>
      </c>
    </row>
    <row r="237" spans="1:47">
      <c r="A237" s="16" cm="1">
        <f t="array" aca="1" ref="A237" ca="1">_xlfn.NUMBERVALUE(INDIRECT(TEXT(MIN(IF(($AW$2:$AX$300&lt;&gt;"")*(COUNTIF($B$1:B236,$AW$2:$AX$300)=0),ROW($2:$300)*100+COLUMN($AW:$AX),7^8)),"R0C00"),)&amp;"")</f>
        <v>0</v>
      </c>
      <c r="B237" s="28" t="str">
        <f t="shared" ca="1" si="69"/>
        <v/>
      </c>
      <c r="C237" s="28" t="str">
        <f ca="1">IF($A237=0,"",VLOOKUP($B237,Employees!$A:$G,2,FALSE))</f>
        <v/>
      </c>
      <c r="D237" s="28" t="str">
        <f ca="1">IF($A237=0,"",VLOOKUP($B237,Employees!$A:$G,3,FALSE))</f>
        <v/>
      </c>
      <c r="E237" s="26" t="str">
        <f ca="1">IF($A237=0,"",VLOOKUP($B237,Employees!$A:$G,5,FALSE))</f>
        <v/>
      </c>
      <c r="F237" s="13" t="str">
        <f ca="1">IF($E237="","",ROUNDDOWN(YEARFRAC($E237, 'Week 1 Roster'!$D$1-1, 1), 0))</f>
        <v/>
      </c>
      <c r="G237" s="13" t="str">
        <f ca="1">IF($E237="","",ROUNDDOWN(YEARFRAC($E237, 'Week 1 Roster'!$D$1+14, 1), 0))</f>
        <v/>
      </c>
      <c r="H237" s="13" t="str">
        <f t="shared" ca="1" si="70"/>
        <v/>
      </c>
      <c r="I237" s="13" t="str">
        <f ca="1">IF($A237=0,"",VLOOKUP($B237,Employees!$A:$G,6,FALSE))</f>
        <v/>
      </c>
      <c r="J237" s="13" t="str">
        <f ca="1">IF($A237=0,"",VLOOKUP($B237,Employees!$A:$G,7,FALSE))</f>
        <v/>
      </c>
      <c r="K237" s="13" t="str">
        <f ca="1">IF($A237=0,"",IF(ISNA(VLOOKUP(A237,'Week 1 Roster'!A:C,2,0)),VLOOKUP(A237,'Week 2 Roster'!A:C,2,0),VLOOKUP(A237,'Week 1 Roster'!A:C,2,0)))</f>
        <v/>
      </c>
      <c r="L237" s="13" t="str">
        <f ca="1">IF($A237=0,"",VLOOKUP(K237,Stores!A:B,2,0))</f>
        <v/>
      </c>
      <c r="M237" s="14">
        <f t="shared" ca="1" si="71"/>
        <v>0</v>
      </c>
      <c r="N237" s="14">
        <f t="shared" ca="1" si="72"/>
        <v>0</v>
      </c>
      <c r="O237" s="14">
        <f t="shared" ca="1" si="73"/>
        <v>0</v>
      </c>
      <c r="P237" s="14">
        <f t="shared" ca="1" si="74"/>
        <v>0</v>
      </c>
      <c r="Q237" s="14">
        <f t="shared" ca="1" si="75"/>
        <v>0</v>
      </c>
      <c r="R237" s="14">
        <f t="shared" ca="1" si="76"/>
        <v>0</v>
      </c>
      <c r="S237" s="28">
        <f t="shared" ca="1" si="77"/>
        <v>0</v>
      </c>
      <c r="T237" s="14">
        <f t="shared" ca="1" si="78"/>
        <v>0</v>
      </c>
      <c r="U237" s="14">
        <f t="shared" ca="1" si="79"/>
        <v>0</v>
      </c>
      <c r="V237" s="14">
        <f t="shared" ca="1" si="80"/>
        <v>0</v>
      </c>
      <c r="W237" s="14">
        <f t="shared" ca="1" si="81"/>
        <v>0</v>
      </c>
      <c r="Y237" s="17">
        <f ca="1">IF($A237=0,0,SUMIF('Week 1 Roster'!$AZ:$AZ,$B237,'Week 1 Roster'!$AE:$AE))</f>
        <v>0</v>
      </c>
      <c r="Z237" s="17">
        <f ca="1">IF($A237=0,0,SUMIF('Week 1 Roster'!$AZ:$AZ,$B237,'Week 1 Roster'!$AG:$AG))</f>
        <v>0</v>
      </c>
      <c r="AA237" s="17">
        <f ca="1">IF($A237=0,0,SUMIF('Week 1 Roster'!$AZ:$AZ,$B237,'Week 1 Roster'!$AI:$AI))</f>
        <v>0</v>
      </c>
      <c r="AB237" s="17">
        <f ca="1">IF($A237=0,0,SUMIF('Week 1 Roster'!$AZ:$AZ,$B237,'Week 1 Roster'!$AK:$AK))</f>
        <v>0</v>
      </c>
      <c r="AC237" s="17">
        <f ca="1">IF($A237=0,0,SUMIF('Week 1 Roster'!$AZ:$AZ,$B237,'Week 1 Roster'!$AM:$AM))</f>
        <v>0</v>
      </c>
      <c r="AD237" s="17">
        <f ca="1">IF($A237=0,0,SUMIF('Week 1 Roster'!$AZ:$AZ,$B237,'Week 1 Roster'!$AO:$AO))</f>
        <v>0</v>
      </c>
      <c r="AE237" s="38">
        <f ca="1">IF($A237=0,0,SUMIF('Week 1 Roster'!$AZ:$AZ,$B237,'Week 1 Roster'!$AP:$AP))</f>
        <v>0</v>
      </c>
      <c r="AF237" s="17">
        <f ca="1">IF($A237=0,0,SUMIF('Week 1 Roster'!$AZ:$AZ,$B237,'Week 1 Roster'!$AQ:$AQ))</f>
        <v>0</v>
      </c>
      <c r="AG237" s="17">
        <f ca="1">IF($A237=0,0,SUMIF('Week 1 Roster'!$AZ:$AZ,$B237,'Week 1 Roster'!$AR:$AR))</f>
        <v>0</v>
      </c>
      <c r="AH237" s="17">
        <f ca="1">IF($A237=0,0,SUMIF('Week 1 Roster'!$AZ:$AZ,$B237,'Week 1 Roster'!$AS:$AS))</f>
        <v>0</v>
      </c>
      <c r="AI237" s="17">
        <f t="shared" ca="1" si="82"/>
        <v>0</v>
      </c>
      <c r="AK237" s="17">
        <f ca="1">IF($A237=0,0,SUMIF('Week 2 Roster'!$AZ:$AZ,$B237,'Week 2 Roster'!$AE:$AE))</f>
        <v>0</v>
      </c>
      <c r="AL237" s="17">
        <f ca="1">IF($A237=0,0,SUMIF('Week 2 Roster'!$AZ:$AZ,$B237,'Week 2 Roster'!$AG:$AG))</f>
        <v>0</v>
      </c>
      <c r="AM237" s="17">
        <f ca="1">IF($A237=0,0,SUMIF('Week 2 Roster'!$AZ:$AZ,$B237,'Week 2 Roster'!$AI:$AI))</f>
        <v>0</v>
      </c>
      <c r="AN237" s="17">
        <f ca="1">IF($A237=0,0,SUMIF('Week 2 Roster'!$AZ:$AZ,$B237,'Week 2 Roster'!$AK:$AK))</f>
        <v>0</v>
      </c>
      <c r="AO237" s="17">
        <f ca="1">IF($A237=0,0,SUMIF('Week 2 Roster'!$AZ:$AZ,$B237,'Week 2 Roster'!$AM:$AM))</f>
        <v>0</v>
      </c>
      <c r="AP237" s="17">
        <f ca="1">IF($A237=0,0,SUMIF('Week 2 Roster'!$AZ:$AZ,$B237,'Week 2 Roster'!$AO:$AO))</f>
        <v>0</v>
      </c>
      <c r="AQ237" s="38">
        <f ca="1">IF($A237=0,0,SUMIF('Week 2 Roster'!$AZ:$AZ,$B237,'Week 2 Roster'!$AP:$AP))</f>
        <v>0</v>
      </c>
      <c r="AR237" s="17">
        <f ca="1">IF($A237=0,0,SUMIF('Week 2 Roster'!$AZ:$AZ,$B237,'Week 2 Roster'!$AQ:$AQ))</f>
        <v>0</v>
      </c>
      <c r="AS237" s="17">
        <f ca="1">IF($A237=0,0,SUMIF('Week 2 Roster'!$AZ:$AZ,$B237,'Week 2 Roster'!$AR:$AR))</f>
        <v>0</v>
      </c>
      <c r="AT237" s="17">
        <f ca="1">IF($A237=0,0,SUMIF('Week 2 Roster'!$AZ:$AZ,$B237,'Week 2 Roster'!$AS:$AS))</f>
        <v>0</v>
      </c>
      <c r="AU237" s="17">
        <f t="shared" ca="1" si="83"/>
        <v>0</v>
      </c>
    </row>
    <row r="238" spans="1:47">
      <c r="A238" s="16" cm="1">
        <f t="array" aca="1" ref="A238" ca="1">_xlfn.NUMBERVALUE(INDIRECT(TEXT(MIN(IF(($AW$2:$AX$300&lt;&gt;"")*(COUNTIF($B$1:B237,$AW$2:$AX$300)=0),ROW($2:$300)*100+COLUMN($AW:$AX),7^8)),"R0C00"),)&amp;"")</f>
        <v>0</v>
      </c>
      <c r="B238" s="28" t="str">
        <f t="shared" ca="1" si="69"/>
        <v/>
      </c>
      <c r="C238" s="28" t="str">
        <f ca="1">IF($A238=0,"",VLOOKUP($B238,Employees!$A:$G,2,FALSE))</f>
        <v/>
      </c>
      <c r="D238" s="28" t="str">
        <f ca="1">IF($A238=0,"",VLOOKUP($B238,Employees!$A:$G,3,FALSE))</f>
        <v/>
      </c>
      <c r="E238" s="26" t="str">
        <f ca="1">IF($A238=0,"",VLOOKUP($B238,Employees!$A:$G,5,FALSE))</f>
        <v/>
      </c>
      <c r="F238" s="13" t="str">
        <f ca="1">IF($E238="","",ROUNDDOWN(YEARFRAC($E238, 'Week 1 Roster'!$D$1-1, 1), 0))</f>
        <v/>
      </c>
      <c r="G238" s="13" t="str">
        <f ca="1">IF($E238="","",ROUNDDOWN(YEARFRAC($E238, 'Week 1 Roster'!$D$1+14, 1), 0))</f>
        <v/>
      </c>
      <c r="H238" s="13" t="str">
        <f t="shared" ca="1" si="70"/>
        <v/>
      </c>
      <c r="I238" s="13" t="str">
        <f ca="1">IF($A238=0,"",VLOOKUP($B238,Employees!$A:$G,6,FALSE))</f>
        <v/>
      </c>
      <c r="J238" s="13" t="str">
        <f ca="1">IF($A238=0,"",VLOOKUP($B238,Employees!$A:$G,7,FALSE))</f>
        <v/>
      </c>
      <c r="K238" s="13" t="str">
        <f ca="1">IF($A238=0,"",IF(ISNA(VLOOKUP(A238,'Week 1 Roster'!A:C,2,0)),VLOOKUP(A238,'Week 2 Roster'!A:C,2,0),VLOOKUP(A238,'Week 1 Roster'!A:C,2,0)))</f>
        <v/>
      </c>
      <c r="L238" s="13" t="str">
        <f ca="1">IF($A238=0,"",VLOOKUP(K238,Stores!A:B,2,0))</f>
        <v/>
      </c>
      <c r="M238" s="14">
        <f t="shared" ca="1" si="71"/>
        <v>0</v>
      </c>
      <c r="N238" s="14">
        <f t="shared" ca="1" si="72"/>
        <v>0</v>
      </c>
      <c r="O238" s="14">
        <f t="shared" ca="1" si="73"/>
        <v>0</v>
      </c>
      <c r="P238" s="14">
        <f t="shared" ca="1" si="74"/>
        <v>0</v>
      </c>
      <c r="Q238" s="14">
        <f t="shared" ca="1" si="75"/>
        <v>0</v>
      </c>
      <c r="R238" s="14">
        <f t="shared" ca="1" si="76"/>
        <v>0</v>
      </c>
      <c r="S238" s="28">
        <f t="shared" ca="1" si="77"/>
        <v>0</v>
      </c>
      <c r="T238" s="14">
        <f t="shared" ca="1" si="78"/>
        <v>0</v>
      </c>
      <c r="U238" s="14">
        <f t="shared" ca="1" si="79"/>
        <v>0</v>
      </c>
      <c r="V238" s="14">
        <f t="shared" ca="1" si="80"/>
        <v>0</v>
      </c>
      <c r="W238" s="14">
        <f t="shared" ca="1" si="81"/>
        <v>0</v>
      </c>
      <c r="Y238" s="17">
        <f ca="1">IF($A238=0,0,SUMIF('Week 1 Roster'!$AZ:$AZ,$B238,'Week 1 Roster'!$AE:$AE))</f>
        <v>0</v>
      </c>
      <c r="Z238" s="17">
        <f ca="1">IF($A238=0,0,SUMIF('Week 1 Roster'!$AZ:$AZ,$B238,'Week 1 Roster'!$AG:$AG))</f>
        <v>0</v>
      </c>
      <c r="AA238" s="17">
        <f ca="1">IF($A238=0,0,SUMIF('Week 1 Roster'!$AZ:$AZ,$B238,'Week 1 Roster'!$AI:$AI))</f>
        <v>0</v>
      </c>
      <c r="AB238" s="17">
        <f ca="1">IF($A238=0,0,SUMIF('Week 1 Roster'!$AZ:$AZ,$B238,'Week 1 Roster'!$AK:$AK))</f>
        <v>0</v>
      </c>
      <c r="AC238" s="17">
        <f ca="1">IF($A238=0,0,SUMIF('Week 1 Roster'!$AZ:$AZ,$B238,'Week 1 Roster'!$AM:$AM))</f>
        <v>0</v>
      </c>
      <c r="AD238" s="17">
        <f ca="1">IF($A238=0,0,SUMIF('Week 1 Roster'!$AZ:$AZ,$B238,'Week 1 Roster'!$AO:$AO))</f>
        <v>0</v>
      </c>
      <c r="AE238" s="38">
        <f ca="1">IF($A238=0,0,SUMIF('Week 1 Roster'!$AZ:$AZ,$B238,'Week 1 Roster'!$AP:$AP))</f>
        <v>0</v>
      </c>
      <c r="AF238" s="17">
        <f ca="1">IF($A238=0,0,SUMIF('Week 1 Roster'!$AZ:$AZ,$B238,'Week 1 Roster'!$AQ:$AQ))</f>
        <v>0</v>
      </c>
      <c r="AG238" s="17">
        <f ca="1">IF($A238=0,0,SUMIF('Week 1 Roster'!$AZ:$AZ,$B238,'Week 1 Roster'!$AR:$AR))</f>
        <v>0</v>
      </c>
      <c r="AH238" s="17">
        <f ca="1">IF($A238=0,0,SUMIF('Week 1 Roster'!$AZ:$AZ,$B238,'Week 1 Roster'!$AS:$AS))</f>
        <v>0</v>
      </c>
      <c r="AI238" s="17">
        <f t="shared" ca="1" si="82"/>
        <v>0</v>
      </c>
      <c r="AK238" s="17">
        <f ca="1">IF($A238=0,0,SUMIF('Week 2 Roster'!$AZ:$AZ,$B238,'Week 2 Roster'!$AE:$AE))</f>
        <v>0</v>
      </c>
      <c r="AL238" s="17">
        <f ca="1">IF($A238=0,0,SUMIF('Week 2 Roster'!$AZ:$AZ,$B238,'Week 2 Roster'!$AG:$AG))</f>
        <v>0</v>
      </c>
      <c r="AM238" s="17">
        <f ca="1">IF($A238=0,0,SUMIF('Week 2 Roster'!$AZ:$AZ,$B238,'Week 2 Roster'!$AI:$AI))</f>
        <v>0</v>
      </c>
      <c r="AN238" s="17">
        <f ca="1">IF($A238=0,0,SUMIF('Week 2 Roster'!$AZ:$AZ,$B238,'Week 2 Roster'!$AK:$AK))</f>
        <v>0</v>
      </c>
      <c r="AO238" s="17">
        <f ca="1">IF($A238=0,0,SUMIF('Week 2 Roster'!$AZ:$AZ,$B238,'Week 2 Roster'!$AM:$AM))</f>
        <v>0</v>
      </c>
      <c r="AP238" s="17">
        <f ca="1">IF($A238=0,0,SUMIF('Week 2 Roster'!$AZ:$AZ,$B238,'Week 2 Roster'!$AO:$AO))</f>
        <v>0</v>
      </c>
      <c r="AQ238" s="38">
        <f ca="1">IF($A238=0,0,SUMIF('Week 2 Roster'!$AZ:$AZ,$B238,'Week 2 Roster'!$AP:$AP))</f>
        <v>0</v>
      </c>
      <c r="AR238" s="17">
        <f ca="1">IF($A238=0,0,SUMIF('Week 2 Roster'!$AZ:$AZ,$B238,'Week 2 Roster'!$AQ:$AQ))</f>
        <v>0</v>
      </c>
      <c r="AS238" s="17">
        <f ca="1">IF($A238=0,0,SUMIF('Week 2 Roster'!$AZ:$AZ,$B238,'Week 2 Roster'!$AR:$AR))</f>
        <v>0</v>
      </c>
      <c r="AT238" s="17">
        <f ca="1">IF($A238=0,0,SUMIF('Week 2 Roster'!$AZ:$AZ,$B238,'Week 2 Roster'!$AS:$AS))</f>
        <v>0</v>
      </c>
      <c r="AU238" s="17">
        <f t="shared" ca="1" si="83"/>
        <v>0</v>
      </c>
    </row>
    <row r="239" spans="1:47">
      <c r="A239" s="16" cm="1">
        <f t="array" aca="1" ref="A239" ca="1">_xlfn.NUMBERVALUE(INDIRECT(TEXT(MIN(IF(($AW$2:$AX$300&lt;&gt;"")*(COUNTIF($B$1:B238,$AW$2:$AX$300)=0),ROW($2:$300)*100+COLUMN($AW:$AX),7^8)),"R0C00"),)&amp;"")</f>
        <v>0</v>
      </c>
      <c r="B239" s="28" t="str">
        <f t="shared" ca="1" si="69"/>
        <v/>
      </c>
      <c r="C239" s="28" t="str">
        <f ca="1">IF($A239=0,"",VLOOKUP($B239,Employees!$A:$G,2,FALSE))</f>
        <v/>
      </c>
      <c r="D239" s="28" t="str">
        <f ca="1">IF($A239=0,"",VLOOKUP($B239,Employees!$A:$G,3,FALSE))</f>
        <v/>
      </c>
      <c r="E239" s="26" t="str">
        <f ca="1">IF($A239=0,"",VLOOKUP($B239,Employees!$A:$G,5,FALSE))</f>
        <v/>
      </c>
      <c r="F239" s="13" t="str">
        <f ca="1">IF($E239="","",ROUNDDOWN(YEARFRAC($E239, 'Week 1 Roster'!$D$1-1, 1), 0))</f>
        <v/>
      </c>
      <c r="G239" s="13" t="str">
        <f ca="1">IF($E239="","",ROUNDDOWN(YEARFRAC($E239, 'Week 1 Roster'!$D$1+14, 1), 0))</f>
        <v/>
      </c>
      <c r="H239" s="13" t="str">
        <f t="shared" ca="1" si="70"/>
        <v/>
      </c>
      <c r="I239" s="13" t="str">
        <f ca="1">IF($A239=0,"",VLOOKUP($B239,Employees!$A:$G,6,FALSE))</f>
        <v/>
      </c>
      <c r="J239" s="13" t="str">
        <f ca="1">IF($A239=0,"",VLOOKUP($B239,Employees!$A:$G,7,FALSE))</f>
        <v/>
      </c>
      <c r="K239" s="13" t="str">
        <f ca="1">IF($A239=0,"",IF(ISNA(VLOOKUP(A239,'Week 1 Roster'!A:C,2,0)),VLOOKUP(A239,'Week 2 Roster'!A:C,2,0),VLOOKUP(A239,'Week 1 Roster'!A:C,2,0)))</f>
        <v/>
      </c>
      <c r="L239" s="13" t="str">
        <f ca="1">IF($A239=0,"",VLOOKUP(K239,Stores!A:B,2,0))</f>
        <v/>
      </c>
      <c r="M239" s="14">
        <f t="shared" ca="1" si="71"/>
        <v>0</v>
      </c>
      <c r="N239" s="14">
        <f t="shared" ca="1" si="72"/>
        <v>0</v>
      </c>
      <c r="O239" s="14">
        <f t="shared" ca="1" si="73"/>
        <v>0</v>
      </c>
      <c r="P239" s="14">
        <f t="shared" ca="1" si="74"/>
        <v>0</v>
      </c>
      <c r="Q239" s="14">
        <f t="shared" ca="1" si="75"/>
        <v>0</v>
      </c>
      <c r="R239" s="14">
        <f t="shared" ca="1" si="76"/>
        <v>0</v>
      </c>
      <c r="S239" s="28">
        <f t="shared" ca="1" si="77"/>
        <v>0</v>
      </c>
      <c r="T239" s="14">
        <f t="shared" ca="1" si="78"/>
        <v>0</v>
      </c>
      <c r="U239" s="14">
        <f t="shared" ca="1" si="79"/>
        <v>0</v>
      </c>
      <c r="V239" s="14">
        <f t="shared" ca="1" si="80"/>
        <v>0</v>
      </c>
      <c r="W239" s="14">
        <f t="shared" ca="1" si="81"/>
        <v>0</v>
      </c>
      <c r="Y239" s="17">
        <f ca="1">IF($A239=0,0,SUMIF('Week 1 Roster'!$AZ:$AZ,$B239,'Week 1 Roster'!$AE:$AE))</f>
        <v>0</v>
      </c>
      <c r="Z239" s="17">
        <f ca="1">IF($A239=0,0,SUMIF('Week 1 Roster'!$AZ:$AZ,$B239,'Week 1 Roster'!$AG:$AG))</f>
        <v>0</v>
      </c>
      <c r="AA239" s="17">
        <f ca="1">IF($A239=0,0,SUMIF('Week 1 Roster'!$AZ:$AZ,$B239,'Week 1 Roster'!$AI:$AI))</f>
        <v>0</v>
      </c>
      <c r="AB239" s="17">
        <f ca="1">IF($A239=0,0,SUMIF('Week 1 Roster'!$AZ:$AZ,$B239,'Week 1 Roster'!$AK:$AK))</f>
        <v>0</v>
      </c>
      <c r="AC239" s="17">
        <f ca="1">IF($A239=0,0,SUMIF('Week 1 Roster'!$AZ:$AZ,$B239,'Week 1 Roster'!$AM:$AM))</f>
        <v>0</v>
      </c>
      <c r="AD239" s="17">
        <f ca="1">IF($A239=0,0,SUMIF('Week 1 Roster'!$AZ:$AZ,$B239,'Week 1 Roster'!$AO:$AO))</f>
        <v>0</v>
      </c>
      <c r="AE239" s="38">
        <f ca="1">IF($A239=0,0,SUMIF('Week 1 Roster'!$AZ:$AZ,$B239,'Week 1 Roster'!$AP:$AP))</f>
        <v>0</v>
      </c>
      <c r="AF239" s="17">
        <f ca="1">IF($A239=0,0,SUMIF('Week 1 Roster'!$AZ:$AZ,$B239,'Week 1 Roster'!$AQ:$AQ))</f>
        <v>0</v>
      </c>
      <c r="AG239" s="17">
        <f ca="1">IF($A239=0,0,SUMIF('Week 1 Roster'!$AZ:$AZ,$B239,'Week 1 Roster'!$AR:$AR))</f>
        <v>0</v>
      </c>
      <c r="AH239" s="17">
        <f ca="1">IF($A239=0,0,SUMIF('Week 1 Roster'!$AZ:$AZ,$B239,'Week 1 Roster'!$AS:$AS))</f>
        <v>0</v>
      </c>
      <c r="AI239" s="17">
        <f t="shared" ca="1" si="82"/>
        <v>0</v>
      </c>
      <c r="AK239" s="17">
        <f ca="1">IF($A239=0,0,SUMIF('Week 2 Roster'!$AZ:$AZ,$B239,'Week 2 Roster'!$AE:$AE))</f>
        <v>0</v>
      </c>
      <c r="AL239" s="17">
        <f ca="1">IF($A239=0,0,SUMIF('Week 2 Roster'!$AZ:$AZ,$B239,'Week 2 Roster'!$AG:$AG))</f>
        <v>0</v>
      </c>
      <c r="AM239" s="17">
        <f ca="1">IF($A239=0,0,SUMIF('Week 2 Roster'!$AZ:$AZ,$B239,'Week 2 Roster'!$AI:$AI))</f>
        <v>0</v>
      </c>
      <c r="AN239" s="17">
        <f ca="1">IF($A239=0,0,SUMIF('Week 2 Roster'!$AZ:$AZ,$B239,'Week 2 Roster'!$AK:$AK))</f>
        <v>0</v>
      </c>
      <c r="AO239" s="17">
        <f ca="1">IF($A239=0,0,SUMIF('Week 2 Roster'!$AZ:$AZ,$B239,'Week 2 Roster'!$AM:$AM))</f>
        <v>0</v>
      </c>
      <c r="AP239" s="17">
        <f ca="1">IF($A239=0,0,SUMIF('Week 2 Roster'!$AZ:$AZ,$B239,'Week 2 Roster'!$AO:$AO))</f>
        <v>0</v>
      </c>
      <c r="AQ239" s="38">
        <f ca="1">IF($A239=0,0,SUMIF('Week 2 Roster'!$AZ:$AZ,$B239,'Week 2 Roster'!$AP:$AP))</f>
        <v>0</v>
      </c>
      <c r="AR239" s="17">
        <f ca="1">IF($A239=0,0,SUMIF('Week 2 Roster'!$AZ:$AZ,$B239,'Week 2 Roster'!$AQ:$AQ))</f>
        <v>0</v>
      </c>
      <c r="AS239" s="17">
        <f ca="1">IF($A239=0,0,SUMIF('Week 2 Roster'!$AZ:$AZ,$B239,'Week 2 Roster'!$AR:$AR))</f>
        <v>0</v>
      </c>
      <c r="AT239" s="17">
        <f ca="1">IF($A239=0,0,SUMIF('Week 2 Roster'!$AZ:$AZ,$B239,'Week 2 Roster'!$AS:$AS))</f>
        <v>0</v>
      </c>
      <c r="AU239" s="17">
        <f t="shared" ca="1" si="83"/>
        <v>0</v>
      </c>
    </row>
    <row r="240" spans="1:47">
      <c r="A240" s="16" cm="1">
        <f t="array" aca="1" ref="A240" ca="1">_xlfn.NUMBERVALUE(INDIRECT(TEXT(MIN(IF(($AW$2:$AX$300&lt;&gt;"")*(COUNTIF($B$1:B239,$AW$2:$AX$300)=0),ROW($2:$300)*100+COLUMN($AW:$AX),7^8)),"R0C00"),)&amp;"")</f>
        <v>0</v>
      </c>
      <c r="B240" s="28" t="str">
        <f t="shared" ca="1" si="69"/>
        <v/>
      </c>
      <c r="C240" s="28" t="str">
        <f ca="1">IF($A240=0,"",VLOOKUP($B240,Employees!$A:$G,2,FALSE))</f>
        <v/>
      </c>
      <c r="D240" s="28" t="str">
        <f ca="1">IF($A240=0,"",VLOOKUP($B240,Employees!$A:$G,3,FALSE))</f>
        <v/>
      </c>
      <c r="E240" s="26" t="str">
        <f ca="1">IF($A240=0,"",VLOOKUP($B240,Employees!$A:$G,5,FALSE))</f>
        <v/>
      </c>
      <c r="F240" s="13" t="str">
        <f ca="1">IF($E240="","",ROUNDDOWN(YEARFRAC($E240, 'Week 1 Roster'!$D$1-1, 1), 0))</f>
        <v/>
      </c>
      <c r="G240" s="13" t="str">
        <f ca="1">IF($E240="","",ROUNDDOWN(YEARFRAC($E240, 'Week 1 Roster'!$D$1+14, 1), 0))</f>
        <v/>
      </c>
      <c r="H240" s="13" t="str">
        <f t="shared" ca="1" si="70"/>
        <v/>
      </c>
      <c r="I240" s="13" t="str">
        <f ca="1">IF($A240=0,"",VLOOKUP($B240,Employees!$A:$G,6,FALSE))</f>
        <v/>
      </c>
      <c r="J240" s="13" t="str">
        <f ca="1">IF($A240=0,"",VLOOKUP($B240,Employees!$A:$G,7,FALSE))</f>
        <v/>
      </c>
      <c r="K240" s="13" t="str">
        <f ca="1">IF($A240=0,"",IF(ISNA(VLOOKUP(A240,'Week 1 Roster'!A:C,2,0)),VLOOKUP(A240,'Week 2 Roster'!A:C,2,0),VLOOKUP(A240,'Week 1 Roster'!A:C,2,0)))</f>
        <v/>
      </c>
      <c r="L240" s="13" t="str">
        <f ca="1">IF($A240=0,"",VLOOKUP(K240,Stores!A:B,2,0))</f>
        <v/>
      </c>
      <c r="M240" s="14">
        <f t="shared" ca="1" si="71"/>
        <v>0</v>
      </c>
      <c r="N240" s="14">
        <f t="shared" ca="1" si="72"/>
        <v>0</v>
      </c>
      <c r="O240" s="14">
        <f t="shared" ca="1" si="73"/>
        <v>0</v>
      </c>
      <c r="P240" s="14">
        <f t="shared" ca="1" si="74"/>
        <v>0</v>
      </c>
      <c r="Q240" s="14">
        <f t="shared" ca="1" si="75"/>
        <v>0</v>
      </c>
      <c r="R240" s="14">
        <f t="shared" ca="1" si="76"/>
        <v>0</v>
      </c>
      <c r="S240" s="28">
        <f t="shared" ca="1" si="77"/>
        <v>0</v>
      </c>
      <c r="T240" s="14">
        <f t="shared" ca="1" si="78"/>
        <v>0</v>
      </c>
      <c r="U240" s="14">
        <f t="shared" ca="1" si="79"/>
        <v>0</v>
      </c>
      <c r="V240" s="14">
        <f t="shared" ca="1" si="80"/>
        <v>0</v>
      </c>
      <c r="W240" s="14">
        <f t="shared" ca="1" si="81"/>
        <v>0</v>
      </c>
      <c r="Y240" s="17">
        <f ca="1">IF($A240=0,0,SUMIF('Week 1 Roster'!$AZ:$AZ,$B240,'Week 1 Roster'!$AE:$AE))</f>
        <v>0</v>
      </c>
      <c r="Z240" s="17">
        <f ca="1">IF($A240=0,0,SUMIF('Week 1 Roster'!$AZ:$AZ,$B240,'Week 1 Roster'!$AG:$AG))</f>
        <v>0</v>
      </c>
      <c r="AA240" s="17">
        <f ca="1">IF($A240=0,0,SUMIF('Week 1 Roster'!$AZ:$AZ,$B240,'Week 1 Roster'!$AI:$AI))</f>
        <v>0</v>
      </c>
      <c r="AB240" s="17">
        <f ca="1">IF($A240=0,0,SUMIF('Week 1 Roster'!$AZ:$AZ,$B240,'Week 1 Roster'!$AK:$AK))</f>
        <v>0</v>
      </c>
      <c r="AC240" s="17">
        <f ca="1">IF($A240=0,0,SUMIF('Week 1 Roster'!$AZ:$AZ,$B240,'Week 1 Roster'!$AM:$AM))</f>
        <v>0</v>
      </c>
      <c r="AD240" s="17">
        <f ca="1">IF($A240=0,0,SUMIF('Week 1 Roster'!$AZ:$AZ,$B240,'Week 1 Roster'!$AO:$AO))</f>
        <v>0</v>
      </c>
      <c r="AE240" s="38">
        <f ca="1">IF($A240=0,0,SUMIF('Week 1 Roster'!$AZ:$AZ,$B240,'Week 1 Roster'!$AP:$AP))</f>
        <v>0</v>
      </c>
      <c r="AF240" s="17">
        <f ca="1">IF($A240=0,0,SUMIF('Week 1 Roster'!$AZ:$AZ,$B240,'Week 1 Roster'!$AQ:$AQ))</f>
        <v>0</v>
      </c>
      <c r="AG240" s="17">
        <f ca="1">IF($A240=0,0,SUMIF('Week 1 Roster'!$AZ:$AZ,$B240,'Week 1 Roster'!$AR:$AR))</f>
        <v>0</v>
      </c>
      <c r="AH240" s="17">
        <f ca="1">IF($A240=0,0,SUMIF('Week 1 Roster'!$AZ:$AZ,$B240,'Week 1 Roster'!$AS:$AS))</f>
        <v>0</v>
      </c>
      <c r="AI240" s="17">
        <f t="shared" ca="1" si="82"/>
        <v>0</v>
      </c>
      <c r="AK240" s="17">
        <f ca="1">IF($A240=0,0,SUMIF('Week 2 Roster'!$AZ:$AZ,$B240,'Week 2 Roster'!$AE:$AE))</f>
        <v>0</v>
      </c>
      <c r="AL240" s="17">
        <f ca="1">IF($A240=0,0,SUMIF('Week 2 Roster'!$AZ:$AZ,$B240,'Week 2 Roster'!$AG:$AG))</f>
        <v>0</v>
      </c>
      <c r="AM240" s="17">
        <f ca="1">IF($A240=0,0,SUMIF('Week 2 Roster'!$AZ:$AZ,$B240,'Week 2 Roster'!$AI:$AI))</f>
        <v>0</v>
      </c>
      <c r="AN240" s="17">
        <f ca="1">IF($A240=0,0,SUMIF('Week 2 Roster'!$AZ:$AZ,$B240,'Week 2 Roster'!$AK:$AK))</f>
        <v>0</v>
      </c>
      <c r="AO240" s="17">
        <f ca="1">IF($A240=0,0,SUMIF('Week 2 Roster'!$AZ:$AZ,$B240,'Week 2 Roster'!$AM:$AM))</f>
        <v>0</v>
      </c>
      <c r="AP240" s="17">
        <f ca="1">IF($A240=0,0,SUMIF('Week 2 Roster'!$AZ:$AZ,$B240,'Week 2 Roster'!$AO:$AO))</f>
        <v>0</v>
      </c>
      <c r="AQ240" s="38">
        <f ca="1">IF($A240=0,0,SUMIF('Week 2 Roster'!$AZ:$AZ,$B240,'Week 2 Roster'!$AP:$AP))</f>
        <v>0</v>
      </c>
      <c r="AR240" s="17">
        <f ca="1">IF($A240=0,0,SUMIF('Week 2 Roster'!$AZ:$AZ,$B240,'Week 2 Roster'!$AQ:$AQ))</f>
        <v>0</v>
      </c>
      <c r="AS240" s="17">
        <f ca="1">IF($A240=0,0,SUMIF('Week 2 Roster'!$AZ:$AZ,$B240,'Week 2 Roster'!$AR:$AR))</f>
        <v>0</v>
      </c>
      <c r="AT240" s="17">
        <f ca="1">IF($A240=0,0,SUMIF('Week 2 Roster'!$AZ:$AZ,$B240,'Week 2 Roster'!$AS:$AS))</f>
        <v>0</v>
      </c>
      <c r="AU240" s="17">
        <f t="shared" ca="1" si="83"/>
        <v>0</v>
      </c>
    </row>
    <row r="241" spans="1:47">
      <c r="A241" s="16" cm="1">
        <f t="array" aca="1" ref="A241" ca="1">_xlfn.NUMBERVALUE(INDIRECT(TEXT(MIN(IF(($AW$2:$AX$300&lt;&gt;"")*(COUNTIF($B$1:B240,$AW$2:$AX$300)=0),ROW($2:$300)*100+COLUMN($AW:$AX),7^8)),"R0C00"),)&amp;"")</f>
        <v>0</v>
      </c>
      <c r="B241" s="28" t="str">
        <f t="shared" ca="1" si="69"/>
        <v/>
      </c>
      <c r="C241" s="28" t="str">
        <f ca="1">IF($A241=0,"",VLOOKUP($B241,Employees!$A:$G,2,FALSE))</f>
        <v/>
      </c>
      <c r="D241" s="28" t="str">
        <f ca="1">IF($A241=0,"",VLOOKUP($B241,Employees!$A:$G,3,FALSE))</f>
        <v/>
      </c>
      <c r="E241" s="26" t="str">
        <f ca="1">IF($A241=0,"",VLOOKUP($B241,Employees!$A:$G,5,FALSE))</f>
        <v/>
      </c>
      <c r="F241" s="13" t="str">
        <f ca="1">IF($E241="","",ROUNDDOWN(YEARFRAC($E241, 'Week 1 Roster'!$D$1-1, 1), 0))</f>
        <v/>
      </c>
      <c r="G241" s="13" t="str">
        <f ca="1">IF($E241="","",ROUNDDOWN(YEARFRAC($E241, 'Week 1 Roster'!$D$1+14, 1), 0))</f>
        <v/>
      </c>
      <c r="H241" s="13" t="str">
        <f t="shared" ca="1" si="70"/>
        <v/>
      </c>
      <c r="I241" s="13" t="str">
        <f ca="1">IF($A241=0,"",VLOOKUP($B241,Employees!$A:$G,6,FALSE))</f>
        <v/>
      </c>
      <c r="J241" s="13" t="str">
        <f ca="1">IF($A241=0,"",VLOOKUP($B241,Employees!$A:$G,7,FALSE))</f>
        <v/>
      </c>
      <c r="K241" s="13" t="str">
        <f ca="1">IF($A241=0,"",IF(ISNA(VLOOKUP(A241,'Week 1 Roster'!A:C,2,0)),VLOOKUP(A241,'Week 2 Roster'!A:C,2,0),VLOOKUP(A241,'Week 1 Roster'!A:C,2,0)))</f>
        <v/>
      </c>
      <c r="L241" s="13" t="str">
        <f ca="1">IF($A241=0,"",VLOOKUP(K241,Stores!A:B,2,0))</f>
        <v/>
      </c>
      <c r="M241" s="14">
        <f t="shared" ca="1" si="71"/>
        <v>0</v>
      </c>
      <c r="N241" s="14">
        <f t="shared" ca="1" si="72"/>
        <v>0</v>
      </c>
      <c r="O241" s="14">
        <f t="shared" ca="1" si="73"/>
        <v>0</v>
      </c>
      <c r="P241" s="14">
        <f t="shared" ca="1" si="74"/>
        <v>0</v>
      </c>
      <c r="Q241" s="14">
        <f t="shared" ca="1" si="75"/>
        <v>0</v>
      </c>
      <c r="R241" s="14">
        <f t="shared" ca="1" si="76"/>
        <v>0</v>
      </c>
      <c r="S241" s="28">
        <f t="shared" ca="1" si="77"/>
        <v>0</v>
      </c>
      <c r="T241" s="14">
        <f t="shared" ca="1" si="78"/>
        <v>0</v>
      </c>
      <c r="U241" s="14">
        <f t="shared" ca="1" si="79"/>
        <v>0</v>
      </c>
      <c r="V241" s="14">
        <f t="shared" ca="1" si="80"/>
        <v>0</v>
      </c>
      <c r="W241" s="14">
        <f t="shared" ca="1" si="81"/>
        <v>0</v>
      </c>
      <c r="Y241" s="17">
        <f ca="1">IF($A241=0,0,SUMIF('Week 1 Roster'!$AZ:$AZ,$B241,'Week 1 Roster'!$AE:$AE))</f>
        <v>0</v>
      </c>
      <c r="Z241" s="17">
        <f ca="1">IF($A241=0,0,SUMIF('Week 1 Roster'!$AZ:$AZ,$B241,'Week 1 Roster'!$AG:$AG))</f>
        <v>0</v>
      </c>
      <c r="AA241" s="17">
        <f ca="1">IF($A241=0,0,SUMIF('Week 1 Roster'!$AZ:$AZ,$B241,'Week 1 Roster'!$AI:$AI))</f>
        <v>0</v>
      </c>
      <c r="AB241" s="17">
        <f ca="1">IF($A241=0,0,SUMIF('Week 1 Roster'!$AZ:$AZ,$B241,'Week 1 Roster'!$AK:$AK))</f>
        <v>0</v>
      </c>
      <c r="AC241" s="17">
        <f ca="1">IF($A241=0,0,SUMIF('Week 1 Roster'!$AZ:$AZ,$B241,'Week 1 Roster'!$AM:$AM))</f>
        <v>0</v>
      </c>
      <c r="AD241" s="17">
        <f ca="1">IF($A241=0,0,SUMIF('Week 1 Roster'!$AZ:$AZ,$B241,'Week 1 Roster'!$AO:$AO))</f>
        <v>0</v>
      </c>
      <c r="AE241" s="38">
        <f ca="1">IF($A241=0,0,SUMIF('Week 1 Roster'!$AZ:$AZ,$B241,'Week 1 Roster'!$AP:$AP))</f>
        <v>0</v>
      </c>
      <c r="AF241" s="17">
        <f ca="1">IF($A241=0,0,SUMIF('Week 1 Roster'!$AZ:$AZ,$B241,'Week 1 Roster'!$AQ:$AQ))</f>
        <v>0</v>
      </c>
      <c r="AG241" s="17">
        <f ca="1">IF($A241=0,0,SUMIF('Week 1 Roster'!$AZ:$AZ,$B241,'Week 1 Roster'!$AR:$AR))</f>
        <v>0</v>
      </c>
      <c r="AH241" s="17">
        <f ca="1">IF($A241=0,0,SUMIF('Week 1 Roster'!$AZ:$AZ,$B241,'Week 1 Roster'!$AS:$AS))</f>
        <v>0</v>
      </c>
      <c r="AI241" s="17">
        <f t="shared" ca="1" si="82"/>
        <v>0</v>
      </c>
      <c r="AK241" s="17">
        <f ca="1">IF($A241=0,0,SUMIF('Week 2 Roster'!$AZ:$AZ,$B241,'Week 2 Roster'!$AE:$AE))</f>
        <v>0</v>
      </c>
      <c r="AL241" s="17">
        <f ca="1">IF($A241=0,0,SUMIF('Week 2 Roster'!$AZ:$AZ,$B241,'Week 2 Roster'!$AG:$AG))</f>
        <v>0</v>
      </c>
      <c r="AM241" s="17">
        <f ca="1">IF($A241=0,0,SUMIF('Week 2 Roster'!$AZ:$AZ,$B241,'Week 2 Roster'!$AI:$AI))</f>
        <v>0</v>
      </c>
      <c r="AN241" s="17">
        <f ca="1">IF($A241=0,0,SUMIF('Week 2 Roster'!$AZ:$AZ,$B241,'Week 2 Roster'!$AK:$AK))</f>
        <v>0</v>
      </c>
      <c r="AO241" s="17">
        <f ca="1">IF($A241=0,0,SUMIF('Week 2 Roster'!$AZ:$AZ,$B241,'Week 2 Roster'!$AM:$AM))</f>
        <v>0</v>
      </c>
      <c r="AP241" s="17">
        <f ca="1">IF($A241=0,0,SUMIF('Week 2 Roster'!$AZ:$AZ,$B241,'Week 2 Roster'!$AO:$AO))</f>
        <v>0</v>
      </c>
      <c r="AQ241" s="38">
        <f ca="1">IF($A241=0,0,SUMIF('Week 2 Roster'!$AZ:$AZ,$B241,'Week 2 Roster'!$AP:$AP))</f>
        <v>0</v>
      </c>
      <c r="AR241" s="17">
        <f ca="1">IF($A241=0,0,SUMIF('Week 2 Roster'!$AZ:$AZ,$B241,'Week 2 Roster'!$AQ:$AQ))</f>
        <v>0</v>
      </c>
      <c r="AS241" s="17">
        <f ca="1">IF($A241=0,0,SUMIF('Week 2 Roster'!$AZ:$AZ,$B241,'Week 2 Roster'!$AR:$AR))</f>
        <v>0</v>
      </c>
      <c r="AT241" s="17">
        <f ca="1">IF($A241=0,0,SUMIF('Week 2 Roster'!$AZ:$AZ,$B241,'Week 2 Roster'!$AS:$AS))</f>
        <v>0</v>
      </c>
      <c r="AU241" s="17">
        <f t="shared" ca="1" si="83"/>
        <v>0</v>
      </c>
    </row>
    <row r="242" spans="1:47">
      <c r="A242" s="16" cm="1">
        <f t="array" aca="1" ref="A242" ca="1">_xlfn.NUMBERVALUE(INDIRECT(TEXT(MIN(IF(($AW$2:$AX$300&lt;&gt;"")*(COUNTIF($B$1:B241,$AW$2:$AX$300)=0),ROW($2:$300)*100+COLUMN($AW:$AX),7^8)),"R0C00"),)&amp;"")</f>
        <v>0</v>
      </c>
      <c r="B242" s="28" t="str">
        <f t="shared" ca="1" si="69"/>
        <v/>
      </c>
      <c r="C242" s="28" t="str">
        <f ca="1">IF($A242=0,"",VLOOKUP($B242,Employees!$A:$G,2,FALSE))</f>
        <v/>
      </c>
      <c r="D242" s="28" t="str">
        <f ca="1">IF($A242=0,"",VLOOKUP($B242,Employees!$A:$G,3,FALSE))</f>
        <v/>
      </c>
      <c r="E242" s="26" t="str">
        <f ca="1">IF($A242=0,"",VLOOKUP($B242,Employees!$A:$G,5,FALSE))</f>
        <v/>
      </c>
      <c r="F242" s="13" t="str">
        <f ca="1">IF($E242="","",ROUNDDOWN(YEARFRAC($E242, 'Week 1 Roster'!$D$1-1, 1), 0))</f>
        <v/>
      </c>
      <c r="G242" s="13" t="str">
        <f ca="1">IF($E242="","",ROUNDDOWN(YEARFRAC($E242, 'Week 1 Roster'!$D$1+14, 1), 0))</f>
        <v/>
      </c>
      <c r="H242" s="13" t="str">
        <f t="shared" ca="1" si="70"/>
        <v/>
      </c>
      <c r="I242" s="13" t="str">
        <f ca="1">IF($A242=0,"",VLOOKUP($B242,Employees!$A:$G,6,FALSE))</f>
        <v/>
      </c>
      <c r="J242" s="13" t="str">
        <f ca="1">IF($A242=0,"",VLOOKUP($B242,Employees!$A:$G,7,FALSE))</f>
        <v/>
      </c>
      <c r="K242" s="13" t="str">
        <f ca="1">IF($A242=0,"",IF(ISNA(VLOOKUP(A242,'Week 1 Roster'!A:C,2,0)),VLOOKUP(A242,'Week 2 Roster'!A:C,2,0),VLOOKUP(A242,'Week 1 Roster'!A:C,2,0)))</f>
        <v/>
      </c>
      <c r="L242" s="13" t="str">
        <f ca="1">IF($A242=0,"",VLOOKUP(K242,Stores!A:B,2,0))</f>
        <v/>
      </c>
      <c r="M242" s="14">
        <f t="shared" ca="1" si="71"/>
        <v>0</v>
      </c>
      <c r="N242" s="14">
        <f t="shared" ca="1" si="72"/>
        <v>0</v>
      </c>
      <c r="O242" s="14">
        <f t="shared" ca="1" si="73"/>
        <v>0</v>
      </c>
      <c r="P242" s="14">
        <f t="shared" ca="1" si="74"/>
        <v>0</v>
      </c>
      <c r="Q242" s="14">
        <f t="shared" ca="1" si="75"/>
        <v>0</v>
      </c>
      <c r="R242" s="14">
        <f t="shared" ca="1" si="76"/>
        <v>0</v>
      </c>
      <c r="S242" s="28">
        <f t="shared" ca="1" si="77"/>
        <v>0</v>
      </c>
      <c r="T242" s="14">
        <f t="shared" ca="1" si="78"/>
        <v>0</v>
      </c>
      <c r="U242" s="14">
        <f t="shared" ca="1" si="79"/>
        <v>0</v>
      </c>
      <c r="V242" s="14">
        <f t="shared" ca="1" si="80"/>
        <v>0</v>
      </c>
      <c r="W242" s="14">
        <f t="shared" ca="1" si="81"/>
        <v>0</v>
      </c>
      <c r="Y242" s="17">
        <f ca="1">IF($A242=0,0,SUMIF('Week 1 Roster'!$AZ:$AZ,$B242,'Week 1 Roster'!$AE:$AE))</f>
        <v>0</v>
      </c>
      <c r="Z242" s="17">
        <f ca="1">IF($A242=0,0,SUMIF('Week 1 Roster'!$AZ:$AZ,$B242,'Week 1 Roster'!$AG:$AG))</f>
        <v>0</v>
      </c>
      <c r="AA242" s="17">
        <f ca="1">IF($A242=0,0,SUMIF('Week 1 Roster'!$AZ:$AZ,$B242,'Week 1 Roster'!$AI:$AI))</f>
        <v>0</v>
      </c>
      <c r="AB242" s="17">
        <f ca="1">IF($A242=0,0,SUMIF('Week 1 Roster'!$AZ:$AZ,$B242,'Week 1 Roster'!$AK:$AK))</f>
        <v>0</v>
      </c>
      <c r="AC242" s="17">
        <f ca="1">IF($A242=0,0,SUMIF('Week 1 Roster'!$AZ:$AZ,$B242,'Week 1 Roster'!$AM:$AM))</f>
        <v>0</v>
      </c>
      <c r="AD242" s="17">
        <f ca="1">IF($A242=0,0,SUMIF('Week 1 Roster'!$AZ:$AZ,$B242,'Week 1 Roster'!$AO:$AO))</f>
        <v>0</v>
      </c>
      <c r="AE242" s="38">
        <f ca="1">IF($A242=0,0,SUMIF('Week 1 Roster'!$AZ:$AZ,$B242,'Week 1 Roster'!$AP:$AP))</f>
        <v>0</v>
      </c>
      <c r="AF242" s="17">
        <f ca="1">IF($A242=0,0,SUMIF('Week 1 Roster'!$AZ:$AZ,$B242,'Week 1 Roster'!$AQ:$AQ))</f>
        <v>0</v>
      </c>
      <c r="AG242" s="17">
        <f ca="1">IF($A242=0,0,SUMIF('Week 1 Roster'!$AZ:$AZ,$B242,'Week 1 Roster'!$AR:$AR))</f>
        <v>0</v>
      </c>
      <c r="AH242" s="17">
        <f ca="1">IF($A242=0,0,SUMIF('Week 1 Roster'!$AZ:$AZ,$B242,'Week 1 Roster'!$AS:$AS))</f>
        <v>0</v>
      </c>
      <c r="AI242" s="17">
        <f t="shared" ca="1" si="82"/>
        <v>0</v>
      </c>
      <c r="AK242" s="17">
        <f ca="1">IF($A242=0,0,SUMIF('Week 2 Roster'!$AZ:$AZ,$B242,'Week 2 Roster'!$AE:$AE))</f>
        <v>0</v>
      </c>
      <c r="AL242" s="17">
        <f ca="1">IF($A242=0,0,SUMIF('Week 2 Roster'!$AZ:$AZ,$B242,'Week 2 Roster'!$AG:$AG))</f>
        <v>0</v>
      </c>
      <c r="AM242" s="17">
        <f ca="1">IF($A242=0,0,SUMIF('Week 2 Roster'!$AZ:$AZ,$B242,'Week 2 Roster'!$AI:$AI))</f>
        <v>0</v>
      </c>
      <c r="AN242" s="17">
        <f ca="1">IF($A242=0,0,SUMIF('Week 2 Roster'!$AZ:$AZ,$B242,'Week 2 Roster'!$AK:$AK))</f>
        <v>0</v>
      </c>
      <c r="AO242" s="17">
        <f ca="1">IF($A242=0,0,SUMIF('Week 2 Roster'!$AZ:$AZ,$B242,'Week 2 Roster'!$AM:$AM))</f>
        <v>0</v>
      </c>
      <c r="AP242" s="17">
        <f ca="1">IF($A242=0,0,SUMIF('Week 2 Roster'!$AZ:$AZ,$B242,'Week 2 Roster'!$AO:$AO))</f>
        <v>0</v>
      </c>
      <c r="AQ242" s="38">
        <f ca="1">IF($A242=0,0,SUMIF('Week 2 Roster'!$AZ:$AZ,$B242,'Week 2 Roster'!$AP:$AP))</f>
        <v>0</v>
      </c>
      <c r="AR242" s="17">
        <f ca="1">IF($A242=0,0,SUMIF('Week 2 Roster'!$AZ:$AZ,$B242,'Week 2 Roster'!$AQ:$AQ))</f>
        <v>0</v>
      </c>
      <c r="AS242" s="17">
        <f ca="1">IF($A242=0,0,SUMIF('Week 2 Roster'!$AZ:$AZ,$B242,'Week 2 Roster'!$AR:$AR))</f>
        <v>0</v>
      </c>
      <c r="AT242" s="17">
        <f ca="1">IF($A242=0,0,SUMIF('Week 2 Roster'!$AZ:$AZ,$B242,'Week 2 Roster'!$AS:$AS))</f>
        <v>0</v>
      </c>
      <c r="AU242" s="17">
        <f t="shared" ca="1" si="83"/>
        <v>0</v>
      </c>
    </row>
    <row r="243" spans="1:47">
      <c r="A243" s="16" cm="1">
        <f t="array" aca="1" ref="A243" ca="1">_xlfn.NUMBERVALUE(INDIRECT(TEXT(MIN(IF(($AW$2:$AX$300&lt;&gt;"")*(COUNTIF($B$1:B242,$AW$2:$AX$300)=0),ROW($2:$300)*100+COLUMN($AW:$AX),7^8)),"R0C00"),)&amp;"")</f>
        <v>0</v>
      </c>
      <c r="B243" s="28" t="str">
        <f t="shared" ca="1" si="69"/>
        <v/>
      </c>
      <c r="C243" s="28" t="str">
        <f ca="1">IF($A243=0,"",VLOOKUP($B243,Employees!$A:$G,2,FALSE))</f>
        <v/>
      </c>
      <c r="D243" s="28" t="str">
        <f ca="1">IF($A243=0,"",VLOOKUP($B243,Employees!$A:$G,3,FALSE))</f>
        <v/>
      </c>
      <c r="E243" s="26" t="str">
        <f ca="1">IF($A243=0,"",VLOOKUP($B243,Employees!$A:$G,5,FALSE))</f>
        <v/>
      </c>
      <c r="F243" s="13" t="str">
        <f ca="1">IF($E243="","",ROUNDDOWN(YEARFRAC($E243, 'Week 1 Roster'!$D$1-1, 1), 0))</f>
        <v/>
      </c>
      <c r="G243" s="13" t="str">
        <f ca="1">IF($E243="","",ROUNDDOWN(YEARFRAC($E243, 'Week 1 Roster'!$D$1+14, 1), 0))</f>
        <v/>
      </c>
      <c r="H243" s="13" t="str">
        <f t="shared" ca="1" si="70"/>
        <v/>
      </c>
      <c r="I243" s="13" t="str">
        <f ca="1">IF($A243=0,"",VLOOKUP($B243,Employees!$A:$G,6,FALSE))</f>
        <v/>
      </c>
      <c r="J243" s="13" t="str">
        <f ca="1">IF($A243=0,"",VLOOKUP($B243,Employees!$A:$G,7,FALSE))</f>
        <v/>
      </c>
      <c r="K243" s="13" t="str">
        <f ca="1">IF($A243=0,"",IF(ISNA(VLOOKUP(A243,'Week 1 Roster'!A:C,2,0)),VLOOKUP(A243,'Week 2 Roster'!A:C,2,0),VLOOKUP(A243,'Week 1 Roster'!A:C,2,0)))</f>
        <v/>
      </c>
      <c r="L243" s="13" t="str">
        <f ca="1">IF($A243=0,"",VLOOKUP(K243,Stores!A:B,2,0))</f>
        <v/>
      </c>
      <c r="M243" s="14">
        <f t="shared" ca="1" si="71"/>
        <v>0</v>
      </c>
      <c r="N243" s="14">
        <f t="shared" ca="1" si="72"/>
        <v>0</v>
      </c>
      <c r="O243" s="14">
        <f t="shared" ca="1" si="73"/>
        <v>0</v>
      </c>
      <c r="P243" s="14">
        <f t="shared" ca="1" si="74"/>
        <v>0</v>
      </c>
      <c r="Q243" s="14">
        <f t="shared" ca="1" si="75"/>
        <v>0</v>
      </c>
      <c r="R243" s="14">
        <f t="shared" ca="1" si="76"/>
        <v>0</v>
      </c>
      <c r="S243" s="28">
        <f t="shared" ca="1" si="77"/>
        <v>0</v>
      </c>
      <c r="T243" s="14">
        <f t="shared" ca="1" si="78"/>
        <v>0</v>
      </c>
      <c r="U243" s="14">
        <f t="shared" ca="1" si="79"/>
        <v>0</v>
      </c>
      <c r="V243" s="14">
        <f t="shared" ca="1" si="80"/>
        <v>0</v>
      </c>
      <c r="W243" s="14">
        <f t="shared" ca="1" si="81"/>
        <v>0</v>
      </c>
      <c r="Y243" s="17">
        <f ca="1">IF($A243=0,0,SUMIF('Week 1 Roster'!$AZ:$AZ,$B243,'Week 1 Roster'!$AE:$AE))</f>
        <v>0</v>
      </c>
      <c r="Z243" s="17">
        <f ca="1">IF($A243=0,0,SUMIF('Week 1 Roster'!$AZ:$AZ,$B243,'Week 1 Roster'!$AG:$AG))</f>
        <v>0</v>
      </c>
      <c r="AA243" s="17">
        <f ca="1">IF($A243=0,0,SUMIF('Week 1 Roster'!$AZ:$AZ,$B243,'Week 1 Roster'!$AI:$AI))</f>
        <v>0</v>
      </c>
      <c r="AB243" s="17">
        <f ca="1">IF($A243=0,0,SUMIF('Week 1 Roster'!$AZ:$AZ,$B243,'Week 1 Roster'!$AK:$AK))</f>
        <v>0</v>
      </c>
      <c r="AC243" s="17">
        <f ca="1">IF($A243=0,0,SUMIF('Week 1 Roster'!$AZ:$AZ,$B243,'Week 1 Roster'!$AM:$AM))</f>
        <v>0</v>
      </c>
      <c r="AD243" s="17">
        <f ca="1">IF($A243=0,0,SUMIF('Week 1 Roster'!$AZ:$AZ,$B243,'Week 1 Roster'!$AO:$AO))</f>
        <v>0</v>
      </c>
      <c r="AE243" s="38">
        <f ca="1">IF($A243=0,0,SUMIF('Week 1 Roster'!$AZ:$AZ,$B243,'Week 1 Roster'!$AP:$AP))</f>
        <v>0</v>
      </c>
      <c r="AF243" s="17">
        <f ca="1">IF($A243=0,0,SUMIF('Week 1 Roster'!$AZ:$AZ,$B243,'Week 1 Roster'!$AQ:$AQ))</f>
        <v>0</v>
      </c>
      <c r="AG243" s="17">
        <f ca="1">IF($A243=0,0,SUMIF('Week 1 Roster'!$AZ:$AZ,$B243,'Week 1 Roster'!$AR:$AR))</f>
        <v>0</v>
      </c>
      <c r="AH243" s="17">
        <f ca="1">IF($A243=0,0,SUMIF('Week 1 Roster'!$AZ:$AZ,$B243,'Week 1 Roster'!$AS:$AS))</f>
        <v>0</v>
      </c>
      <c r="AI243" s="17">
        <f t="shared" ca="1" si="82"/>
        <v>0</v>
      </c>
      <c r="AK243" s="17">
        <f ca="1">IF($A243=0,0,SUMIF('Week 2 Roster'!$AZ:$AZ,$B243,'Week 2 Roster'!$AE:$AE))</f>
        <v>0</v>
      </c>
      <c r="AL243" s="17">
        <f ca="1">IF($A243=0,0,SUMIF('Week 2 Roster'!$AZ:$AZ,$B243,'Week 2 Roster'!$AG:$AG))</f>
        <v>0</v>
      </c>
      <c r="AM243" s="17">
        <f ca="1">IF($A243=0,0,SUMIF('Week 2 Roster'!$AZ:$AZ,$B243,'Week 2 Roster'!$AI:$AI))</f>
        <v>0</v>
      </c>
      <c r="AN243" s="17">
        <f ca="1">IF($A243=0,0,SUMIF('Week 2 Roster'!$AZ:$AZ,$B243,'Week 2 Roster'!$AK:$AK))</f>
        <v>0</v>
      </c>
      <c r="AO243" s="17">
        <f ca="1">IF($A243=0,0,SUMIF('Week 2 Roster'!$AZ:$AZ,$B243,'Week 2 Roster'!$AM:$AM))</f>
        <v>0</v>
      </c>
      <c r="AP243" s="17">
        <f ca="1">IF($A243=0,0,SUMIF('Week 2 Roster'!$AZ:$AZ,$B243,'Week 2 Roster'!$AO:$AO))</f>
        <v>0</v>
      </c>
      <c r="AQ243" s="38">
        <f ca="1">IF($A243=0,0,SUMIF('Week 2 Roster'!$AZ:$AZ,$B243,'Week 2 Roster'!$AP:$AP))</f>
        <v>0</v>
      </c>
      <c r="AR243" s="17">
        <f ca="1">IF($A243=0,0,SUMIF('Week 2 Roster'!$AZ:$AZ,$B243,'Week 2 Roster'!$AQ:$AQ))</f>
        <v>0</v>
      </c>
      <c r="AS243" s="17">
        <f ca="1">IF($A243=0,0,SUMIF('Week 2 Roster'!$AZ:$AZ,$B243,'Week 2 Roster'!$AR:$AR))</f>
        <v>0</v>
      </c>
      <c r="AT243" s="17">
        <f ca="1">IF($A243=0,0,SUMIF('Week 2 Roster'!$AZ:$AZ,$B243,'Week 2 Roster'!$AS:$AS))</f>
        <v>0</v>
      </c>
      <c r="AU243" s="17">
        <f t="shared" ca="1" si="83"/>
        <v>0</v>
      </c>
    </row>
    <row r="244" spans="1:47">
      <c r="A244" s="16" cm="1">
        <f t="array" aca="1" ref="A244" ca="1">_xlfn.NUMBERVALUE(INDIRECT(TEXT(MIN(IF(($AW$2:$AX$300&lt;&gt;"")*(COUNTIF($B$1:B243,$AW$2:$AX$300)=0),ROW($2:$300)*100+COLUMN($AW:$AX),7^8)),"R0C00"),)&amp;"")</f>
        <v>0</v>
      </c>
      <c r="B244" s="28" t="str">
        <f t="shared" ca="1" si="69"/>
        <v/>
      </c>
      <c r="C244" s="28" t="str">
        <f ca="1">IF($A244=0,"",VLOOKUP($B244,Employees!$A:$G,2,FALSE))</f>
        <v/>
      </c>
      <c r="D244" s="28" t="str">
        <f ca="1">IF($A244=0,"",VLOOKUP($B244,Employees!$A:$G,3,FALSE))</f>
        <v/>
      </c>
      <c r="E244" s="26" t="str">
        <f ca="1">IF($A244=0,"",VLOOKUP($B244,Employees!$A:$G,5,FALSE))</f>
        <v/>
      </c>
      <c r="F244" s="13" t="str">
        <f ca="1">IF($E244="","",ROUNDDOWN(YEARFRAC($E244, 'Week 1 Roster'!$D$1-1, 1), 0))</f>
        <v/>
      </c>
      <c r="G244" s="13" t="str">
        <f ca="1">IF($E244="","",ROUNDDOWN(YEARFRAC($E244, 'Week 1 Roster'!$D$1+14, 1), 0))</f>
        <v/>
      </c>
      <c r="H244" s="13" t="str">
        <f t="shared" ca="1" si="70"/>
        <v/>
      </c>
      <c r="I244" s="13" t="str">
        <f ca="1">IF($A244=0,"",VLOOKUP($B244,Employees!$A:$G,6,FALSE))</f>
        <v/>
      </c>
      <c r="J244" s="13" t="str">
        <f ca="1">IF($A244=0,"",VLOOKUP($B244,Employees!$A:$G,7,FALSE))</f>
        <v/>
      </c>
      <c r="K244" s="13" t="str">
        <f ca="1">IF($A244=0,"",IF(ISNA(VLOOKUP(A244,'Week 1 Roster'!A:C,2,0)),VLOOKUP(A244,'Week 2 Roster'!A:C,2,0),VLOOKUP(A244,'Week 1 Roster'!A:C,2,0)))</f>
        <v/>
      </c>
      <c r="L244" s="13" t="str">
        <f ca="1">IF($A244=0,"",VLOOKUP(K244,Stores!A:B,2,0))</f>
        <v/>
      </c>
      <c r="M244" s="14">
        <f t="shared" ca="1" si="71"/>
        <v>0</v>
      </c>
      <c r="N244" s="14">
        <f t="shared" ca="1" si="72"/>
        <v>0</v>
      </c>
      <c r="O244" s="14">
        <f t="shared" ca="1" si="73"/>
        <v>0</v>
      </c>
      <c r="P244" s="14">
        <f t="shared" ca="1" si="74"/>
        <v>0</v>
      </c>
      <c r="Q244" s="14">
        <f t="shared" ca="1" si="75"/>
        <v>0</v>
      </c>
      <c r="R244" s="14">
        <f t="shared" ca="1" si="76"/>
        <v>0</v>
      </c>
      <c r="S244" s="28">
        <f t="shared" ca="1" si="77"/>
        <v>0</v>
      </c>
      <c r="T244" s="14">
        <f t="shared" ca="1" si="78"/>
        <v>0</v>
      </c>
      <c r="U244" s="14">
        <f t="shared" ca="1" si="79"/>
        <v>0</v>
      </c>
      <c r="V244" s="14">
        <f t="shared" ca="1" si="80"/>
        <v>0</v>
      </c>
      <c r="W244" s="14">
        <f t="shared" ca="1" si="81"/>
        <v>0</v>
      </c>
      <c r="Y244" s="17">
        <f ca="1">IF($A244=0,0,SUMIF('Week 1 Roster'!$AZ:$AZ,$B244,'Week 1 Roster'!$AE:$AE))</f>
        <v>0</v>
      </c>
      <c r="Z244" s="17">
        <f ca="1">IF($A244=0,0,SUMIF('Week 1 Roster'!$AZ:$AZ,$B244,'Week 1 Roster'!$AG:$AG))</f>
        <v>0</v>
      </c>
      <c r="AA244" s="17">
        <f ca="1">IF($A244=0,0,SUMIF('Week 1 Roster'!$AZ:$AZ,$B244,'Week 1 Roster'!$AI:$AI))</f>
        <v>0</v>
      </c>
      <c r="AB244" s="17">
        <f ca="1">IF($A244=0,0,SUMIF('Week 1 Roster'!$AZ:$AZ,$B244,'Week 1 Roster'!$AK:$AK))</f>
        <v>0</v>
      </c>
      <c r="AC244" s="17">
        <f ca="1">IF($A244=0,0,SUMIF('Week 1 Roster'!$AZ:$AZ,$B244,'Week 1 Roster'!$AM:$AM))</f>
        <v>0</v>
      </c>
      <c r="AD244" s="17">
        <f ca="1">IF($A244=0,0,SUMIF('Week 1 Roster'!$AZ:$AZ,$B244,'Week 1 Roster'!$AO:$AO))</f>
        <v>0</v>
      </c>
      <c r="AE244" s="38">
        <f ca="1">IF($A244=0,0,SUMIF('Week 1 Roster'!$AZ:$AZ,$B244,'Week 1 Roster'!$AP:$AP))</f>
        <v>0</v>
      </c>
      <c r="AF244" s="17">
        <f ca="1">IF($A244=0,0,SUMIF('Week 1 Roster'!$AZ:$AZ,$B244,'Week 1 Roster'!$AQ:$AQ))</f>
        <v>0</v>
      </c>
      <c r="AG244" s="17">
        <f ca="1">IF($A244=0,0,SUMIF('Week 1 Roster'!$AZ:$AZ,$B244,'Week 1 Roster'!$AR:$AR))</f>
        <v>0</v>
      </c>
      <c r="AH244" s="17">
        <f ca="1">IF($A244=0,0,SUMIF('Week 1 Roster'!$AZ:$AZ,$B244,'Week 1 Roster'!$AS:$AS))</f>
        <v>0</v>
      </c>
      <c r="AI244" s="17">
        <f t="shared" ca="1" si="82"/>
        <v>0</v>
      </c>
      <c r="AK244" s="17">
        <f ca="1">IF($A244=0,0,SUMIF('Week 2 Roster'!$AZ:$AZ,$B244,'Week 2 Roster'!$AE:$AE))</f>
        <v>0</v>
      </c>
      <c r="AL244" s="17">
        <f ca="1">IF($A244=0,0,SUMIF('Week 2 Roster'!$AZ:$AZ,$B244,'Week 2 Roster'!$AG:$AG))</f>
        <v>0</v>
      </c>
      <c r="AM244" s="17">
        <f ca="1">IF($A244=0,0,SUMIF('Week 2 Roster'!$AZ:$AZ,$B244,'Week 2 Roster'!$AI:$AI))</f>
        <v>0</v>
      </c>
      <c r="AN244" s="17">
        <f ca="1">IF($A244=0,0,SUMIF('Week 2 Roster'!$AZ:$AZ,$B244,'Week 2 Roster'!$AK:$AK))</f>
        <v>0</v>
      </c>
      <c r="AO244" s="17">
        <f ca="1">IF($A244=0,0,SUMIF('Week 2 Roster'!$AZ:$AZ,$B244,'Week 2 Roster'!$AM:$AM))</f>
        <v>0</v>
      </c>
      <c r="AP244" s="17">
        <f ca="1">IF($A244=0,0,SUMIF('Week 2 Roster'!$AZ:$AZ,$B244,'Week 2 Roster'!$AO:$AO))</f>
        <v>0</v>
      </c>
      <c r="AQ244" s="38">
        <f ca="1">IF($A244=0,0,SUMIF('Week 2 Roster'!$AZ:$AZ,$B244,'Week 2 Roster'!$AP:$AP))</f>
        <v>0</v>
      </c>
      <c r="AR244" s="17">
        <f ca="1">IF($A244=0,0,SUMIF('Week 2 Roster'!$AZ:$AZ,$B244,'Week 2 Roster'!$AQ:$AQ))</f>
        <v>0</v>
      </c>
      <c r="AS244" s="17">
        <f ca="1">IF($A244=0,0,SUMIF('Week 2 Roster'!$AZ:$AZ,$B244,'Week 2 Roster'!$AR:$AR))</f>
        <v>0</v>
      </c>
      <c r="AT244" s="17">
        <f ca="1">IF($A244=0,0,SUMIF('Week 2 Roster'!$AZ:$AZ,$B244,'Week 2 Roster'!$AS:$AS))</f>
        <v>0</v>
      </c>
      <c r="AU244" s="17">
        <f t="shared" ca="1" si="83"/>
        <v>0</v>
      </c>
    </row>
    <row r="245" spans="1:47">
      <c r="A245" s="16" cm="1">
        <f t="array" aca="1" ref="A245" ca="1">_xlfn.NUMBERVALUE(INDIRECT(TEXT(MIN(IF(($AW$2:$AX$300&lt;&gt;"")*(COUNTIF($B$1:B244,$AW$2:$AX$300)=0),ROW($2:$300)*100+COLUMN($AW:$AX),7^8)),"R0C00"),)&amp;"")</f>
        <v>0</v>
      </c>
      <c r="B245" s="28" t="str">
        <f t="shared" ca="1" si="69"/>
        <v/>
      </c>
      <c r="C245" s="28" t="str">
        <f ca="1">IF($A245=0,"",VLOOKUP($B245,Employees!$A:$G,2,FALSE))</f>
        <v/>
      </c>
      <c r="D245" s="28" t="str">
        <f ca="1">IF($A245=0,"",VLOOKUP($B245,Employees!$A:$G,3,FALSE))</f>
        <v/>
      </c>
      <c r="E245" s="26" t="str">
        <f ca="1">IF($A245=0,"",VLOOKUP($B245,Employees!$A:$G,5,FALSE))</f>
        <v/>
      </c>
      <c r="F245" s="13" t="str">
        <f ca="1">IF($E245="","",ROUNDDOWN(YEARFRAC($E245, 'Week 1 Roster'!$D$1-1, 1), 0))</f>
        <v/>
      </c>
      <c r="G245" s="13" t="str">
        <f ca="1">IF($E245="","",ROUNDDOWN(YEARFRAC($E245, 'Week 1 Roster'!$D$1+14, 1), 0))</f>
        <v/>
      </c>
      <c r="H245" s="13" t="str">
        <f t="shared" ca="1" si="70"/>
        <v/>
      </c>
      <c r="I245" s="13" t="str">
        <f ca="1">IF($A245=0,"",VLOOKUP($B245,Employees!$A:$G,6,FALSE))</f>
        <v/>
      </c>
      <c r="J245" s="13" t="str">
        <f ca="1">IF($A245=0,"",VLOOKUP($B245,Employees!$A:$G,7,FALSE))</f>
        <v/>
      </c>
      <c r="K245" s="13" t="str">
        <f ca="1">IF($A245=0,"",IF(ISNA(VLOOKUP(A245,'Week 1 Roster'!A:C,2,0)),VLOOKUP(A245,'Week 2 Roster'!A:C,2,0),VLOOKUP(A245,'Week 1 Roster'!A:C,2,0)))</f>
        <v/>
      </c>
      <c r="L245" s="13" t="str">
        <f ca="1">IF($A245=0,"",VLOOKUP(K245,Stores!A:B,2,0))</f>
        <v/>
      </c>
      <c r="M245" s="14">
        <f t="shared" ca="1" si="71"/>
        <v>0</v>
      </c>
      <c r="N245" s="14">
        <f t="shared" ca="1" si="72"/>
        <v>0</v>
      </c>
      <c r="O245" s="14">
        <f t="shared" ca="1" si="73"/>
        <v>0</v>
      </c>
      <c r="P245" s="14">
        <f t="shared" ca="1" si="74"/>
        <v>0</v>
      </c>
      <c r="Q245" s="14">
        <f t="shared" ca="1" si="75"/>
        <v>0</v>
      </c>
      <c r="R245" s="14">
        <f t="shared" ca="1" si="76"/>
        <v>0</v>
      </c>
      <c r="S245" s="28">
        <f t="shared" ca="1" si="77"/>
        <v>0</v>
      </c>
      <c r="T245" s="14">
        <f t="shared" ca="1" si="78"/>
        <v>0</v>
      </c>
      <c r="U245" s="14">
        <f t="shared" ca="1" si="79"/>
        <v>0</v>
      </c>
      <c r="V245" s="14">
        <f t="shared" ca="1" si="80"/>
        <v>0</v>
      </c>
      <c r="W245" s="14">
        <f t="shared" ca="1" si="81"/>
        <v>0</v>
      </c>
      <c r="Y245" s="17">
        <f ca="1">IF($A245=0,0,SUMIF('Week 1 Roster'!$AZ:$AZ,$B245,'Week 1 Roster'!$AE:$AE))</f>
        <v>0</v>
      </c>
      <c r="Z245" s="17">
        <f ca="1">IF($A245=0,0,SUMIF('Week 1 Roster'!$AZ:$AZ,$B245,'Week 1 Roster'!$AG:$AG))</f>
        <v>0</v>
      </c>
      <c r="AA245" s="17">
        <f ca="1">IF($A245=0,0,SUMIF('Week 1 Roster'!$AZ:$AZ,$B245,'Week 1 Roster'!$AI:$AI))</f>
        <v>0</v>
      </c>
      <c r="AB245" s="17">
        <f ca="1">IF($A245=0,0,SUMIF('Week 1 Roster'!$AZ:$AZ,$B245,'Week 1 Roster'!$AK:$AK))</f>
        <v>0</v>
      </c>
      <c r="AC245" s="17">
        <f ca="1">IF($A245=0,0,SUMIF('Week 1 Roster'!$AZ:$AZ,$B245,'Week 1 Roster'!$AM:$AM))</f>
        <v>0</v>
      </c>
      <c r="AD245" s="17">
        <f ca="1">IF($A245=0,0,SUMIF('Week 1 Roster'!$AZ:$AZ,$B245,'Week 1 Roster'!$AO:$AO))</f>
        <v>0</v>
      </c>
      <c r="AE245" s="38">
        <f ca="1">IF($A245=0,0,SUMIF('Week 1 Roster'!$AZ:$AZ,$B245,'Week 1 Roster'!$AP:$AP))</f>
        <v>0</v>
      </c>
      <c r="AF245" s="17">
        <f ca="1">IF($A245=0,0,SUMIF('Week 1 Roster'!$AZ:$AZ,$B245,'Week 1 Roster'!$AQ:$AQ))</f>
        <v>0</v>
      </c>
      <c r="AG245" s="17">
        <f ca="1">IF($A245=0,0,SUMIF('Week 1 Roster'!$AZ:$AZ,$B245,'Week 1 Roster'!$AR:$AR))</f>
        <v>0</v>
      </c>
      <c r="AH245" s="17">
        <f ca="1">IF($A245=0,0,SUMIF('Week 1 Roster'!$AZ:$AZ,$B245,'Week 1 Roster'!$AS:$AS))</f>
        <v>0</v>
      </c>
      <c r="AI245" s="17">
        <f t="shared" ca="1" si="82"/>
        <v>0</v>
      </c>
      <c r="AK245" s="17">
        <f ca="1">IF($A245=0,0,SUMIF('Week 2 Roster'!$AZ:$AZ,$B245,'Week 2 Roster'!$AE:$AE))</f>
        <v>0</v>
      </c>
      <c r="AL245" s="17">
        <f ca="1">IF($A245=0,0,SUMIF('Week 2 Roster'!$AZ:$AZ,$B245,'Week 2 Roster'!$AG:$AG))</f>
        <v>0</v>
      </c>
      <c r="AM245" s="17">
        <f ca="1">IF($A245=0,0,SUMIF('Week 2 Roster'!$AZ:$AZ,$B245,'Week 2 Roster'!$AI:$AI))</f>
        <v>0</v>
      </c>
      <c r="AN245" s="17">
        <f ca="1">IF($A245=0,0,SUMIF('Week 2 Roster'!$AZ:$AZ,$B245,'Week 2 Roster'!$AK:$AK))</f>
        <v>0</v>
      </c>
      <c r="AO245" s="17">
        <f ca="1">IF($A245=0,0,SUMIF('Week 2 Roster'!$AZ:$AZ,$B245,'Week 2 Roster'!$AM:$AM))</f>
        <v>0</v>
      </c>
      <c r="AP245" s="17">
        <f ca="1">IF($A245=0,0,SUMIF('Week 2 Roster'!$AZ:$AZ,$B245,'Week 2 Roster'!$AO:$AO))</f>
        <v>0</v>
      </c>
      <c r="AQ245" s="38">
        <f ca="1">IF($A245=0,0,SUMIF('Week 2 Roster'!$AZ:$AZ,$B245,'Week 2 Roster'!$AP:$AP))</f>
        <v>0</v>
      </c>
      <c r="AR245" s="17">
        <f ca="1">IF($A245=0,0,SUMIF('Week 2 Roster'!$AZ:$AZ,$B245,'Week 2 Roster'!$AQ:$AQ))</f>
        <v>0</v>
      </c>
      <c r="AS245" s="17">
        <f ca="1">IF($A245=0,0,SUMIF('Week 2 Roster'!$AZ:$AZ,$B245,'Week 2 Roster'!$AR:$AR))</f>
        <v>0</v>
      </c>
      <c r="AT245" s="17">
        <f ca="1">IF($A245=0,0,SUMIF('Week 2 Roster'!$AZ:$AZ,$B245,'Week 2 Roster'!$AS:$AS))</f>
        <v>0</v>
      </c>
      <c r="AU245" s="17">
        <f t="shared" ca="1" si="83"/>
        <v>0</v>
      </c>
    </row>
    <row r="246" spans="1:47">
      <c r="A246" s="16" cm="1">
        <f t="array" aca="1" ref="A246" ca="1">_xlfn.NUMBERVALUE(INDIRECT(TEXT(MIN(IF(($AW$2:$AX$300&lt;&gt;"")*(COUNTIF($B$1:B245,$AW$2:$AX$300)=0),ROW($2:$300)*100+COLUMN($AW:$AX),7^8)),"R0C00"),)&amp;"")</f>
        <v>0</v>
      </c>
      <c r="B246" s="28" t="str">
        <f t="shared" ca="1" si="69"/>
        <v/>
      </c>
      <c r="C246" s="28" t="str">
        <f ca="1">IF($A246=0,"",VLOOKUP($B246,Employees!$A:$G,2,FALSE))</f>
        <v/>
      </c>
      <c r="D246" s="28" t="str">
        <f ca="1">IF($A246=0,"",VLOOKUP($B246,Employees!$A:$G,3,FALSE))</f>
        <v/>
      </c>
      <c r="E246" s="26" t="str">
        <f ca="1">IF($A246=0,"",VLOOKUP($B246,Employees!$A:$G,5,FALSE))</f>
        <v/>
      </c>
      <c r="F246" s="13" t="str">
        <f ca="1">IF($E246="","",ROUNDDOWN(YEARFRAC($E246, 'Week 1 Roster'!$D$1-1, 1), 0))</f>
        <v/>
      </c>
      <c r="G246" s="13" t="str">
        <f ca="1">IF($E246="","",ROUNDDOWN(YEARFRAC($E246, 'Week 1 Roster'!$D$1+14, 1), 0))</f>
        <v/>
      </c>
      <c r="H246" s="13" t="str">
        <f t="shared" ca="1" si="70"/>
        <v/>
      </c>
      <c r="I246" s="13" t="str">
        <f ca="1">IF($A246=0,"",VLOOKUP($B246,Employees!$A:$G,6,FALSE))</f>
        <v/>
      </c>
      <c r="J246" s="13" t="str">
        <f ca="1">IF($A246=0,"",VLOOKUP($B246,Employees!$A:$G,7,FALSE))</f>
        <v/>
      </c>
      <c r="K246" s="13" t="str">
        <f ca="1">IF($A246=0,"",IF(ISNA(VLOOKUP(A246,'Week 1 Roster'!A:C,2,0)),VLOOKUP(A246,'Week 2 Roster'!A:C,2,0),VLOOKUP(A246,'Week 1 Roster'!A:C,2,0)))</f>
        <v/>
      </c>
      <c r="L246" s="13" t="str">
        <f ca="1">IF($A246=0,"",VLOOKUP(K246,Stores!A:B,2,0))</f>
        <v/>
      </c>
      <c r="M246" s="14">
        <f t="shared" ca="1" si="71"/>
        <v>0</v>
      </c>
      <c r="N246" s="14">
        <f t="shared" ca="1" si="72"/>
        <v>0</v>
      </c>
      <c r="O246" s="14">
        <f t="shared" ca="1" si="73"/>
        <v>0</v>
      </c>
      <c r="P246" s="14">
        <f t="shared" ca="1" si="74"/>
        <v>0</v>
      </c>
      <c r="Q246" s="14">
        <f t="shared" ca="1" si="75"/>
        <v>0</v>
      </c>
      <c r="R246" s="14">
        <f t="shared" ca="1" si="76"/>
        <v>0</v>
      </c>
      <c r="S246" s="28">
        <f t="shared" ca="1" si="77"/>
        <v>0</v>
      </c>
      <c r="T246" s="14">
        <f t="shared" ca="1" si="78"/>
        <v>0</v>
      </c>
      <c r="U246" s="14">
        <f t="shared" ca="1" si="79"/>
        <v>0</v>
      </c>
      <c r="V246" s="14">
        <f t="shared" ca="1" si="80"/>
        <v>0</v>
      </c>
      <c r="W246" s="14">
        <f t="shared" ca="1" si="81"/>
        <v>0</v>
      </c>
      <c r="Y246" s="17">
        <f ca="1">IF($A246=0,0,SUMIF('Week 1 Roster'!$AZ:$AZ,$B246,'Week 1 Roster'!$AE:$AE))</f>
        <v>0</v>
      </c>
      <c r="Z246" s="17">
        <f ca="1">IF($A246=0,0,SUMIF('Week 1 Roster'!$AZ:$AZ,$B246,'Week 1 Roster'!$AG:$AG))</f>
        <v>0</v>
      </c>
      <c r="AA246" s="17">
        <f ca="1">IF($A246=0,0,SUMIF('Week 1 Roster'!$AZ:$AZ,$B246,'Week 1 Roster'!$AI:$AI))</f>
        <v>0</v>
      </c>
      <c r="AB246" s="17">
        <f ca="1">IF($A246=0,0,SUMIF('Week 1 Roster'!$AZ:$AZ,$B246,'Week 1 Roster'!$AK:$AK))</f>
        <v>0</v>
      </c>
      <c r="AC246" s="17">
        <f ca="1">IF($A246=0,0,SUMIF('Week 1 Roster'!$AZ:$AZ,$B246,'Week 1 Roster'!$AM:$AM))</f>
        <v>0</v>
      </c>
      <c r="AD246" s="17">
        <f ca="1">IF($A246=0,0,SUMIF('Week 1 Roster'!$AZ:$AZ,$B246,'Week 1 Roster'!$AO:$AO))</f>
        <v>0</v>
      </c>
      <c r="AE246" s="38">
        <f ca="1">IF($A246=0,0,SUMIF('Week 1 Roster'!$AZ:$AZ,$B246,'Week 1 Roster'!$AP:$AP))</f>
        <v>0</v>
      </c>
      <c r="AF246" s="17">
        <f ca="1">IF($A246=0,0,SUMIF('Week 1 Roster'!$AZ:$AZ,$B246,'Week 1 Roster'!$AQ:$AQ))</f>
        <v>0</v>
      </c>
      <c r="AG246" s="17">
        <f ca="1">IF($A246=0,0,SUMIF('Week 1 Roster'!$AZ:$AZ,$B246,'Week 1 Roster'!$AR:$AR))</f>
        <v>0</v>
      </c>
      <c r="AH246" s="17">
        <f ca="1">IF($A246=0,0,SUMIF('Week 1 Roster'!$AZ:$AZ,$B246,'Week 1 Roster'!$AS:$AS))</f>
        <v>0</v>
      </c>
      <c r="AI246" s="17">
        <f t="shared" ca="1" si="82"/>
        <v>0</v>
      </c>
      <c r="AK246" s="17">
        <f ca="1">IF($A246=0,0,SUMIF('Week 2 Roster'!$AZ:$AZ,$B246,'Week 2 Roster'!$AE:$AE))</f>
        <v>0</v>
      </c>
      <c r="AL246" s="17">
        <f ca="1">IF($A246=0,0,SUMIF('Week 2 Roster'!$AZ:$AZ,$B246,'Week 2 Roster'!$AG:$AG))</f>
        <v>0</v>
      </c>
      <c r="AM246" s="17">
        <f ca="1">IF($A246=0,0,SUMIF('Week 2 Roster'!$AZ:$AZ,$B246,'Week 2 Roster'!$AI:$AI))</f>
        <v>0</v>
      </c>
      <c r="AN246" s="17">
        <f ca="1">IF($A246=0,0,SUMIF('Week 2 Roster'!$AZ:$AZ,$B246,'Week 2 Roster'!$AK:$AK))</f>
        <v>0</v>
      </c>
      <c r="AO246" s="17">
        <f ca="1">IF($A246=0,0,SUMIF('Week 2 Roster'!$AZ:$AZ,$B246,'Week 2 Roster'!$AM:$AM))</f>
        <v>0</v>
      </c>
      <c r="AP246" s="17">
        <f ca="1">IF($A246=0,0,SUMIF('Week 2 Roster'!$AZ:$AZ,$B246,'Week 2 Roster'!$AO:$AO))</f>
        <v>0</v>
      </c>
      <c r="AQ246" s="38">
        <f ca="1">IF($A246=0,0,SUMIF('Week 2 Roster'!$AZ:$AZ,$B246,'Week 2 Roster'!$AP:$AP))</f>
        <v>0</v>
      </c>
      <c r="AR246" s="17">
        <f ca="1">IF($A246=0,0,SUMIF('Week 2 Roster'!$AZ:$AZ,$B246,'Week 2 Roster'!$AQ:$AQ))</f>
        <v>0</v>
      </c>
      <c r="AS246" s="17">
        <f ca="1">IF($A246=0,0,SUMIF('Week 2 Roster'!$AZ:$AZ,$B246,'Week 2 Roster'!$AR:$AR))</f>
        <v>0</v>
      </c>
      <c r="AT246" s="17">
        <f ca="1">IF($A246=0,0,SUMIF('Week 2 Roster'!$AZ:$AZ,$B246,'Week 2 Roster'!$AS:$AS))</f>
        <v>0</v>
      </c>
      <c r="AU246" s="17">
        <f t="shared" ca="1" si="83"/>
        <v>0</v>
      </c>
    </row>
    <row r="247" spans="1:47">
      <c r="A247" s="16" cm="1">
        <f t="array" aca="1" ref="A247" ca="1">_xlfn.NUMBERVALUE(INDIRECT(TEXT(MIN(IF(($AW$2:$AX$300&lt;&gt;"")*(COUNTIF($B$1:B246,$AW$2:$AX$300)=0),ROW($2:$300)*100+COLUMN($AW:$AX),7^8)),"R0C00"),)&amp;"")</f>
        <v>0</v>
      </c>
      <c r="B247" s="28" t="str">
        <f t="shared" ca="1" si="69"/>
        <v/>
      </c>
      <c r="C247" s="28" t="str">
        <f ca="1">IF($A247=0,"",VLOOKUP($B247,Employees!$A:$G,2,FALSE))</f>
        <v/>
      </c>
      <c r="D247" s="28" t="str">
        <f ca="1">IF($A247=0,"",VLOOKUP($B247,Employees!$A:$G,3,FALSE))</f>
        <v/>
      </c>
      <c r="E247" s="26" t="str">
        <f ca="1">IF($A247=0,"",VLOOKUP($B247,Employees!$A:$G,5,FALSE))</f>
        <v/>
      </c>
      <c r="F247" s="13" t="str">
        <f ca="1">IF($E247="","",ROUNDDOWN(YEARFRAC($E247, 'Week 1 Roster'!$D$1-1, 1), 0))</f>
        <v/>
      </c>
      <c r="G247" s="13" t="str">
        <f ca="1">IF($E247="","",ROUNDDOWN(YEARFRAC($E247, 'Week 1 Roster'!$D$1+14, 1), 0))</f>
        <v/>
      </c>
      <c r="H247" s="13" t="str">
        <f t="shared" ca="1" si="70"/>
        <v/>
      </c>
      <c r="I247" s="13" t="str">
        <f ca="1">IF($A247=0,"",VLOOKUP($B247,Employees!$A:$G,6,FALSE))</f>
        <v/>
      </c>
      <c r="J247" s="13" t="str">
        <f ca="1">IF($A247=0,"",VLOOKUP($B247,Employees!$A:$G,7,FALSE))</f>
        <v/>
      </c>
      <c r="K247" s="13" t="str">
        <f ca="1">IF($A247=0,"",IF(ISNA(VLOOKUP(A247,'Week 1 Roster'!A:C,2,0)),VLOOKUP(A247,'Week 2 Roster'!A:C,2,0),VLOOKUP(A247,'Week 1 Roster'!A:C,2,0)))</f>
        <v/>
      </c>
      <c r="L247" s="13" t="str">
        <f ca="1">IF($A247=0,"",VLOOKUP(K247,Stores!A:B,2,0))</f>
        <v/>
      </c>
      <c r="M247" s="14">
        <f t="shared" ca="1" si="71"/>
        <v>0</v>
      </c>
      <c r="N247" s="14">
        <f t="shared" ca="1" si="72"/>
        <v>0</v>
      </c>
      <c r="O247" s="14">
        <f t="shared" ca="1" si="73"/>
        <v>0</v>
      </c>
      <c r="P247" s="14">
        <f t="shared" ca="1" si="74"/>
        <v>0</v>
      </c>
      <c r="Q247" s="14">
        <f t="shared" ca="1" si="75"/>
        <v>0</v>
      </c>
      <c r="R247" s="14">
        <f t="shared" ca="1" si="76"/>
        <v>0</v>
      </c>
      <c r="S247" s="28">
        <f t="shared" ca="1" si="77"/>
        <v>0</v>
      </c>
      <c r="T247" s="14">
        <f t="shared" ca="1" si="78"/>
        <v>0</v>
      </c>
      <c r="U247" s="14">
        <f t="shared" ca="1" si="79"/>
        <v>0</v>
      </c>
      <c r="V247" s="14">
        <f t="shared" ca="1" si="80"/>
        <v>0</v>
      </c>
      <c r="W247" s="14">
        <f t="shared" ca="1" si="81"/>
        <v>0</v>
      </c>
      <c r="Y247" s="17">
        <f ca="1">IF($A247=0,0,SUMIF('Week 1 Roster'!$AZ:$AZ,$B247,'Week 1 Roster'!$AE:$AE))</f>
        <v>0</v>
      </c>
      <c r="Z247" s="17">
        <f ca="1">IF($A247=0,0,SUMIF('Week 1 Roster'!$AZ:$AZ,$B247,'Week 1 Roster'!$AG:$AG))</f>
        <v>0</v>
      </c>
      <c r="AA247" s="17">
        <f ca="1">IF($A247=0,0,SUMIF('Week 1 Roster'!$AZ:$AZ,$B247,'Week 1 Roster'!$AI:$AI))</f>
        <v>0</v>
      </c>
      <c r="AB247" s="17">
        <f ca="1">IF($A247=0,0,SUMIF('Week 1 Roster'!$AZ:$AZ,$B247,'Week 1 Roster'!$AK:$AK))</f>
        <v>0</v>
      </c>
      <c r="AC247" s="17">
        <f ca="1">IF($A247=0,0,SUMIF('Week 1 Roster'!$AZ:$AZ,$B247,'Week 1 Roster'!$AM:$AM))</f>
        <v>0</v>
      </c>
      <c r="AD247" s="17">
        <f ca="1">IF($A247=0,0,SUMIF('Week 1 Roster'!$AZ:$AZ,$B247,'Week 1 Roster'!$AO:$AO))</f>
        <v>0</v>
      </c>
      <c r="AE247" s="38">
        <f ca="1">IF($A247=0,0,SUMIF('Week 1 Roster'!$AZ:$AZ,$B247,'Week 1 Roster'!$AP:$AP))</f>
        <v>0</v>
      </c>
      <c r="AF247" s="17">
        <f ca="1">IF($A247=0,0,SUMIF('Week 1 Roster'!$AZ:$AZ,$B247,'Week 1 Roster'!$AQ:$AQ))</f>
        <v>0</v>
      </c>
      <c r="AG247" s="17">
        <f ca="1">IF($A247=0,0,SUMIF('Week 1 Roster'!$AZ:$AZ,$B247,'Week 1 Roster'!$AR:$AR))</f>
        <v>0</v>
      </c>
      <c r="AH247" s="17">
        <f ca="1">IF($A247=0,0,SUMIF('Week 1 Roster'!$AZ:$AZ,$B247,'Week 1 Roster'!$AS:$AS))</f>
        <v>0</v>
      </c>
      <c r="AI247" s="17">
        <f t="shared" ca="1" si="82"/>
        <v>0</v>
      </c>
      <c r="AK247" s="17">
        <f ca="1">IF($A247=0,0,SUMIF('Week 2 Roster'!$AZ:$AZ,$B247,'Week 2 Roster'!$AE:$AE))</f>
        <v>0</v>
      </c>
      <c r="AL247" s="17">
        <f ca="1">IF($A247=0,0,SUMIF('Week 2 Roster'!$AZ:$AZ,$B247,'Week 2 Roster'!$AG:$AG))</f>
        <v>0</v>
      </c>
      <c r="AM247" s="17">
        <f ca="1">IF($A247=0,0,SUMIF('Week 2 Roster'!$AZ:$AZ,$B247,'Week 2 Roster'!$AI:$AI))</f>
        <v>0</v>
      </c>
      <c r="AN247" s="17">
        <f ca="1">IF($A247=0,0,SUMIF('Week 2 Roster'!$AZ:$AZ,$B247,'Week 2 Roster'!$AK:$AK))</f>
        <v>0</v>
      </c>
      <c r="AO247" s="17">
        <f ca="1">IF($A247=0,0,SUMIF('Week 2 Roster'!$AZ:$AZ,$B247,'Week 2 Roster'!$AM:$AM))</f>
        <v>0</v>
      </c>
      <c r="AP247" s="17">
        <f ca="1">IF($A247=0,0,SUMIF('Week 2 Roster'!$AZ:$AZ,$B247,'Week 2 Roster'!$AO:$AO))</f>
        <v>0</v>
      </c>
      <c r="AQ247" s="38">
        <f ca="1">IF($A247=0,0,SUMIF('Week 2 Roster'!$AZ:$AZ,$B247,'Week 2 Roster'!$AP:$AP))</f>
        <v>0</v>
      </c>
      <c r="AR247" s="17">
        <f ca="1">IF($A247=0,0,SUMIF('Week 2 Roster'!$AZ:$AZ,$B247,'Week 2 Roster'!$AQ:$AQ))</f>
        <v>0</v>
      </c>
      <c r="AS247" s="17">
        <f ca="1">IF($A247=0,0,SUMIF('Week 2 Roster'!$AZ:$AZ,$B247,'Week 2 Roster'!$AR:$AR))</f>
        <v>0</v>
      </c>
      <c r="AT247" s="17">
        <f ca="1">IF($A247=0,0,SUMIF('Week 2 Roster'!$AZ:$AZ,$B247,'Week 2 Roster'!$AS:$AS))</f>
        <v>0</v>
      </c>
      <c r="AU247" s="17">
        <f t="shared" ca="1" si="83"/>
        <v>0</v>
      </c>
    </row>
    <row r="248" spans="1:47">
      <c r="A248" s="16" cm="1">
        <f t="array" aca="1" ref="A248" ca="1">_xlfn.NUMBERVALUE(INDIRECT(TEXT(MIN(IF(($AW$2:$AX$300&lt;&gt;"")*(COUNTIF($B$1:B247,$AW$2:$AX$300)=0),ROW($2:$300)*100+COLUMN($AW:$AX),7^8)),"R0C00"),)&amp;"")</f>
        <v>0</v>
      </c>
      <c r="B248" s="28" t="str">
        <f t="shared" ca="1" si="69"/>
        <v/>
      </c>
      <c r="C248" s="28" t="str">
        <f ca="1">IF($A248=0,"",VLOOKUP($B248,Employees!$A:$G,2,FALSE))</f>
        <v/>
      </c>
      <c r="D248" s="28" t="str">
        <f ca="1">IF($A248=0,"",VLOOKUP($B248,Employees!$A:$G,3,FALSE))</f>
        <v/>
      </c>
      <c r="E248" s="26" t="str">
        <f ca="1">IF($A248=0,"",VLOOKUP($B248,Employees!$A:$G,5,FALSE))</f>
        <v/>
      </c>
      <c r="F248" s="13" t="str">
        <f ca="1">IF($E248="","",ROUNDDOWN(YEARFRAC($E248, 'Week 1 Roster'!$D$1-1, 1), 0))</f>
        <v/>
      </c>
      <c r="G248" s="13" t="str">
        <f ca="1">IF($E248="","",ROUNDDOWN(YEARFRAC($E248, 'Week 1 Roster'!$D$1+14, 1), 0))</f>
        <v/>
      </c>
      <c r="H248" s="13" t="str">
        <f t="shared" ca="1" si="70"/>
        <v/>
      </c>
      <c r="I248" s="13" t="str">
        <f ca="1">IF($A248=0,"",VLOOKUP($B248,Employees!$A:$G,6,FALSE))</f>
        <v/>
      </c>
      <c r="J248" s="13" t="str">
        <f ca="1">IF($A248=0,"",VLOOKUP($B248,Employees!$A:$G,7,FALSE))</f>
        <v/>
      </c>
      <c r="K248" s="13" t="str">
        <f ca="1">IF($A248=0,"",IF(ISNA(VLOOKUP(A248,'Week 1 Roster'!A:C,2,0)),VLOOKUP(A248,'Week 2 Roster'!A:C,2,0),VLOOKUP(A248,'Week 1 Roster'!A:C,2,0)))</f>
        <v/>
      </c>
      <c r="L248" s="13" t="str">
        <f ca="1">IF($A248=0,"",VLOOKUP(K248,Stores!A:B,2,0))</f>
        <v/>
      </c>
      <c r="M248" s="14">
        <f t="shared" ca="1" si="71"/>
        <v>0</v>
      </c>
      <c r="N248" s="14">
        <f t="shared" ca="1" si="72"/>
        <v>0</v>
      </c>
      <c r="O248" s="14">
        <f t="shared" ca="1" si="73"/>
        <v>0</v>
      </c>
      <c r="P248" s="14">
        <f t="shared" ca="1" si="74"/>
        <v>0</v>
      </c>
      <c r="Q248" s="14">
        <f t="shared" ca="1" si="75"/>
        <v>0</v>
      </c>
      <c r="R248" s="14">
        <f t="shared" ca="1" si="76"/>
        <v>0</v>
      </c>
      <c r="S248" s="28">
        <f t="shared" ca="1" si="77"/>
        <v>0</v>
      </c>
      <c r="T248" s="14">
        <f t="shared" ca="1" si="78"/>
        <v>0</v>
      </c>
      <c r="U248" s="14">
        <f t="shared" ca="1" si="79"/>
        <v>0</v>
      </c>
      <c r="V248" s="14">
        <f t="shared" ca="1" si="80"/>
        <v>0</v>
      </c>
      <c r="W248" s="14">
        <f t="shared" ca="1" si="81"/>
        <v>0</v>
      </c>
      <c r="Y248" s="17">
        <f ca="1">IF($A248=0,0,SUMIF('Week 1 Roster'!$AZ:$AZ,$B248,'Week 1 Roster'!$AE:$AE))</f>
        <v>0</v>
      </c>
      <c r="Z248" s="17">
        <f ca="1">IF($A248=0,0,SUMIF('Week 1 Roster'!$AZ:$AZ,$B248,'Week 1 Roster'!$AG:$AG))</f>
        <v>0</v>
      </c>
      <c r="AA248" s="17">
        <f ca="1">IF($A248=0,0,SUMIF('Week 1 Roster'!$AZ:$AZ,$B248,'Week 1 Roster'!$AI:$AI))</f>
        <v>0</v>
      </c>
      <c r="AB248" s="17">
        <f ca="1">IF($A248=0,0,SUMIF('Week 1 Roster'!$AZ:$AZ,$B248,'Week 1 Roster'!$AK:$AK))</f>
        <v>0</v>
      </c>
      <c r="AC248" s="17">
        <f ca="1">IF($A248=0,0,SUMIF('Week 1 Roster'!$AZ:$AZ,$B248,'Week 1 Roster'!$AM:$AM))</f>
        <v>0</v>
      </c>
      <c r="AD248" s="17">
        <f ca="1">IF($A248=0,0,SUMIF('Week 1 Roster'!$AZ:$AZ,$B248,'Week 1 Roster'!$AO:$AO))</f>
        <v>0</v>
      </c>
      <c r="AE248" s="38">
        <f ca="1">IF($A248=0,0,SUMIF('Week 1 Roster'!$AZ:$AZ,$B248,'Week 1 Roster'!$AP:$AP))</f>
        <v>0</v>
      </c>
      <c r="AF248" s="17">
        <f ca="1">IF($A248=0,0,SUMIF('Week 1 Roster'!$AZ:$AZ,$B248,'Week 1 Roster'!$AQ:$AQ))</f>
        <v>0</v>
      </c>
      <c r="AG248" s="17">
        <f ca="1">IF($A248=0,0,SUMIF('Week 1 Roster'!$AZ:$AZ,$B248,'Week 1 Roster'!$AR:$AR))</f>
        <v>0</v>
      </c>
      <c r="AH248" s="17">
        <f ca="1">IF($A248=0,0,SUMIF('Week 1 Roster'!$AZ:$AZ,$B248,'Week 1 Roster'!$AS:$AS))</f>
        <v>0</v>
      </c>
      <c r="AI248" s="17">
        <f t="shared" ca="1" si="82"/>
        <v>0</v>
      </c>
      <c r="AK248" s="17">
        <f ca="1">IF($A248=0,0,SUMIF('Week 2 Roster'!$AZ:$AZ,$B248,'Week 2 Roster'!$AE:$AE))</f>
        <v>0</v>
      </c>
      <c r="AL248" s="17">
        <f ca="1">IF($A248=0,0,SUMIF('Week 2 Roster'!$AZ:$AZ,$B248,'Week 2 Roster'!$AG:$AG))</f>
        <v>0</v>
      </c>
      <c r="AM248" s="17">
        <f ca="1">IF($A248=0,0,SUMIF('Week 2 Roster'!$AZ:$AZ,$B248,'Week 2 Roster'!$AI:$AI))</f>
        <v>0</v>
      </c>
      <c r="AN248" s="17">
        <f ca="1">IF($A248=0,0,SUMIF('Week 2 Roster'!$AZ:$AZ,$B248,'Week 2 Roster'!$AK:$AK))</f>
        <v>0</v>
      </c>
      <c r="AO248" s="17">
        <f ca="1">IF($A248=0,0,SUMIF('Week 2 Roster'!$AZ:$AZ,$B248,'Week 2 Roster'!$AM:$AM))</f>
        <v>0</v>
      </c>
      <c r="AP248" s="17">
        <f ca="1">IF($A248=0,0,SUMIF('Week 2 Roster'!$AZ:$AZ,$B248,'Week 2 Roster'!$AO:$AO))</f>
        <v>0</v>
      </c>
      <c r="AQ248" s="38">
        <f ca="1">IF($A248=0,0,SUMIF('Week 2 Roster'!$AZ:$AZ,$B248,'Week 2 Roster'!$AP:$AP))</f>
        <v>0</v>
      </c>
      <c r="AR248" s="17">
        <f ca="1">IF($A248=0,0,SUMIF('Week 2 Roster'!$AZ:$AZ,$B248,'Week 2 Roster'!$AQ:$AQ))</f>
        <v>0</v>
      </c>
      <c r="AS248" s="17">
        <f ca="1">IF($A248=0,0,SUMIF('Week 2 Roster'!$AZ:$AZ,$B248,'Week 2 Roster'!$AR:$AR))</f>
        <v>0</v>
      </c>
      <c r="AT248" s="17">
        <f ca="1">IF($A248=0,0,SUMIF('Week 2 Roster'!$AZ:$AZ,$B248,'Week 2 Roster'!$AS:$AS))</f>
        <v>0</v>
      </c>
      <c r="AU248" s="17">
        <f t="shared" ca="1" si="83"/>
        <v>0</v>
      </c>
    </row>
    <row r="249" spans="1:47">
      <c r="A249" s="16" cm="1">
        <f t="array" aca="1" ref="A249" ca="1">_xlfn.NUMBERVALUE(INDIRECT(TEXT(MIN(IF(($AW$2:$AX$300&lt;&gt;"")*(COUNTIF($B$1:B248,$AW$2:$AX$300)=0),ROW($2:$300)*100+COLUMN($AW:$AX),7^8)),"R0C00"),)&amp;"")</f>
        <v>0</v>
      </c>
      <c r="B249" s="28" t="str">
        <f t="shared" ca="1" si="69"/>
        <v/>
      </c>
      <c r="C249" s="28" t="str">
        <f ca="1">IF($A249=0,"",VLOOKUP($B249,Employees!$A:$G,2,FALSE))</f>
        <v/>
      </c>
      <c r="D249" s="28" t="str">
        <f ca="1">IF($A249=0,"",VLOOKUP($B249,Employees!$A:$G,3,FALSE))</f>
        <v/>
      </c>
      <c r="E249" s="26" t="str">
        <f ca="1">IF($A249=0,"",VLOOKUP($B249,Employees!$A:$G,5,FALSE))</f>
        <v/>
      </c>
      <c r="F249" s="13" t="str">
        <f ca="1">IF($E249="","",ROUNDDOWN(YEARFRAC($E249, 'Week 1 Roster'!$D$1-1, 1), 0))</f>
        <v/>
      </c>
      <c r="G249" s="13" t="str">
        <f ca="1">IF($E249="","",ROUNDDOWN(YEARFRAC($E249, 'Week 1 Roster'!$D$1+14, 1), 0))</f>
        <v/>
      </c>
      <c r="H249" s="13" t="str">
        <f t="shared" ca="1" si="70"/>
        <v/>
      </c>
      <c r="I249" s="13" t="str">
        <f ca="1">IF($A249=0,"",VLOOKUP($B249,Employees!$A:$G,6,FALSE))</f>
        <v/>
      </c>
      <c r="J249" s="13" t="str">
        <f ca="1">IF($A249=0,"",VLOOKUP($B249,Employees!$A:$G,7,FALSE))</f>
        <v/>
      </c>
      <c r="K249" s="13" t="str">
        <f ca="1">IF($A249=0,"",IF(ISNA(VLOOKUP(A249,'Week 1 Roster'!A:C,2,0)),VLOOKUP(A249,'Week 2 Roster'!A:C,2,0),VLOOKUP(A249,'Week 1 Roster'!A:C,2,0)))</f>
        <v/>
      </c>
      <c r="L249" s="13" t="str">
        <f ca="1">IF($A249=0,"",VLOOKUP(K249,Stores!A:B,2,0))</f>
        <v/>
      </c>
      <c r="M249" s="14">
        <f t="shared" ca="1" si="71"/>
        <v>0</v>
      </c>
      <c r="N249" s="14">
        <f t="shared" ca="1" si="72"/>
        <v>0</v>
      </c>
      <c r="O249" s="14">
        <f t="shared" ca="1" si="73"/>
        <v>0</v>
      </c>
      <c r="P249" s="14">
        <f t="shared" ca="1" si="74"/>
        <v>0</v>
      </c>
      <c r="Q249" s="14">
        <f t="shared" ca="1" si="75"/>
        <v>0</v>
      </c>
      <c r="R249" s="14">
        <f t="shared" ca="1" si="76"/>
        <v>0</v>
      </c>
      <c r="S249" s="28">
        <f t="shared" ca="1" si="77"/>
        <v>0</v>
      </c>
      <c r="T249" s="14">
        <f t="shared" ca="1" si="78"/>
        <v>0</v>
      </c>
      <c r="U249" s="14">
        <f t="shared" ca="1" si="79"/>
        <v>0</v>
      </c>
      <c r="V249" s="14">
        <f t="shared" ca="1" si="80"/>
        <v>0</v>
      </c>
      <c r="W249" s="14">
        <f t="shared" ca="1" si="81"/>
        <v>0</v>
      </c>
      <c r="Y249" s="17">
        <f ca="1">IF($A249=0,0,SUMIF('Week 1 Roster'!$AZ:$AZ,$B249,'Week 1 Roster'!$AE:$AE))</f>
        <v>0</v>
      </c>
      <c r="Z249" s="17">
        <f ca="1">IF($A249=0,0,SUMIF('Week 1 Roster'!$AZ:$AZ,$B249,'Week 1 Roster'!$AG:$AG))</f>
        <v>0</v>
      </c>
      <c r="AA249" s="17">
        <f ca="1">IF($A249=0,0,SUMIF('Week 1 Roster'!$AZ:$AZ,$B249,'Week 1 Roster'!$AI:$AI))</f>
        <v>0</v>
      </c>
      <c r="AB249" s="17">
        <f ca="1">IF($A249=0,0,SUMIF('Week 1 Roster'!$AZ:$AZ,$B249,'Week 1 Roster'!$AK:$AK))</f>
        <v>0</v>
      </c>
      <c r="AC249" s="17">
        <f ca="1">IF($A249=0,0,SUMIF('Week 1 Roster'!$AZ:$AZ,$B249,'Week 1 Roster'!$AM:$AM))</f>
        <v>0</v>
      </c>
      <c r="AD249" s="17">
        <f ca="1">IF($A249=0,0,SUMIF('Week 1 Roster'!$AZ:$AZ,$B249,'Week 1 Roster'!$AO:$AO))</f>
        <v>0</v>
      </c>
      <c r="AE249" s="38">
        <f ca="1">IF($A249=0,0,SUMIF('Week 1 Roster'!$AZ:$AZ,$B249,'Week 1 Roster'!$AP:$AP))</f>
        <v>0</v>
      </c>
      <c r="AF249" s="17">
        <f ca="1">IF($A249=0,0,SUMIF('Week 1 Roster'!$AZ:$AZ,$B249,'Week 1 Roster'!$AQ:$AQ))</f>
        <v>0</v>
      </c>
      <c r="AG249" s="17">
        <f ca="1">IF($A249=0,0,SUMIF('Week 1 Roster'!$AZ:$AZ,$B249,'Week 1 Roster'!$AR:$AR))</f>
        <v>0</v>
      </c>
      <c r="AH249" s="17">
        <f ca="1">IF($A249=0,0,SUMIF('Week 1 Roster'!$AZ:$AZ,$B249,'Week 1 Roster'!$AS:$AS))</f>
        <v>0</v>
      </c>
      <c r="AI249" s="17">
        <f t="shared" ca="1" si="82"/>
        <v>0</v>
      </c>
      <c r="AK249" s="17">
        <f ca="1">IF($A249=0,0,SUMIF('Week 2 Roster'!$AZ:$AZ,$B249,'Week 2 Roster'!$AE:$AE))</f>
        <v>0</v>
      </c>
      <c r="AL249" s="17">
        <f ca="1">IF($A249=0,0,SUMIF('Week 2 Roster'!$AZ:$AZ,$B249,'Week 2 Roster'!$AG:$AG))</f>
        <v>0</v>
      </c>
      <c r="AM249" s="17">
        <f ca="1">IF($A249=0,0,SUMIF('Week 2 Roster'!$AZ:$AZ,$B249,'Week 2 Roster'!$AI:$AI))</f>
        <v>0</v>
      </c>
      <c r="AN249" s="17">
        <f ca="1">IF($A249=0,0,SUMIF('Week 2 Roster'!$AZ:$AZ,$B249,'Week 2 Roster'!$AK:$AK))</f>
        <v>0</v>
      </c>
      <c r="AO249" s="17">
        <f ca="1">IF($A249=0,0,SUMIF('Week 2 Roster'!$AZ:$AZ,$B249,'Week 2 Roster'!$AM:$AM))</f>
        <v>0</v>
      </c>
      <c r="AP249" s="17">
        <f ca="1">IF($A249=0,0,SUMIF('Week 2 Roster'!$AZ:$AZ,$B249,'Week 2 Roster'!$AO:$AO))</f>
        <v>0</v>
      </c>
      <c r="AQ249" s="38">
        <f ca="1">IF($A249=0,0,SUMIF('Week 2 Roster'!$AZ:$AZ,$B249,'Week 2 Roster'!$AP:$AP))</f>
        <v>0</v>
      </c>
      <c r="AR249" s="17">
        <f ca="1">IF($A249=0,0,SUMIF('Week 2 Roster'!$AZ:$AZ,$B249,'Week 2 Roster'!$AQ:$AQ))</f>
        <v>0</v>
      </c>
      <c r="AS249" s="17">
        <f ca="1">IF($A249=0,0,SUMIF('Week 2 Roster'!$AZ:$AZ,$B249,'Week 2 Roster'!$AR:$AR))</f>
        <v>0</v>
      </c>
      <c r="AT249" s="17">
        <f ca="1">IF($A249=0,0,SUMIF('Week 2 Roster'!$AZ:$AZ,$B249,'Week 2 Roster'!$AS:$AS))</f>
        <v>0</v>
      </c>
      <c r="AU249" s="17">
        <f t="shared" ca="1" si="83"/>
        <v>0</v>
      </c>
    </row>
    <row r="250" spans="1:47">
      <c r="A250" s="16" cm="1">
        <f t="array" aca="1" ref="A250" ca="1">_xlfn.NUMBERVALUE(INDIRECT(TEXT(MIN(IF(($AW$2:$AX$300&lt;&gt;"")*(COUNTIF($B$1:B249,$AW$2:$AX$300)=0),ROW($2:$300)*100+COLUMN($AW:$AX),7^8)),"R0C00"),)&amp;"")</f>
        <v>0</v>
      </c>
      <c r="B250" s="28" t="str">
        <f t="shared" ca="1" si="69"/>
        <v/>
      </c>
      <c r="C250" s="28" t="str">
        <f ca="1">IF($A250=0,"",VLOOKUP($B250,Employees!$A:$G,2,FALSE))</f>
        <v/>
      </c>
      <c r="D250" s="28" t="str">
        <f ca="1">IF($A250=0,"",VLOOKUP($B250,Employees!$A:$G,3,FALSE))</f>
        <v/>
      </c>
      <c r="E250" s="26" t="str">
        <f ca="1">IF($A250=0,"",VLOOKUP($B250,Employees!$A:$G,5,FALSE))</f>
        <v/>
      </c>
      <c r="F250" s="13" t="str">
        <f ca="1">IF($E250="","",ROUNDDOWN(YEARFRAC($E250, 'Week 1 Roster'!$D$1-1, 1), 0))</f>
        <v/>
      </c>
      <c r="G250" s="13" t="str">
        <f ca="1">IF($E250="","",ROUNDDOWN(YEARFRAC($E250, 'Week 1 Roster'!$D$1+14, 1), 0))</f>
        <v/>
      </c>
      <c r="H250" s="13" t="str">
        <f t="shared" ca="1" si="70"/>
        <v/>
      </c>
      <c r="I250" s="13" t="str">
        <f ca="1">IF($A250=0,"",VLOOKUP($B250,Employees!$A:$G,6,FALSE))</f>
        <v/>
      </c>
      <c r="J250" s="13" t="str">
        <f ca="1">IF($A250=0,"",VLOOKUP($B250,Employees!$A:$G,7,FALSE))</f>
        <v/>
      </c>
      <c r="K250" s="13" t="str">
        <f ca="1">IF($A250=0,"",IF(ISNA(VLOOKUP(A250,'Week 1 Roster'!A:C,2,0)),VLOOKUP(A250,'Week 2 Roster'!A:C,2,0),VLOOKUP(A250,'Week 1 Roster'!A:C,2,0)))</f>
        <v/>
      </c>
      <c r="L250" s="13" t="str">
        <f ca="1">IF($A250=0,"",VLOOKUP(K250,Stores!A:B,2,0))</f>
        <v/>
      </c>
      <c r="M250" s="14">
        <f t="shared" ca="1" si="71"/>
        <v>0</v>
      </c>
      <c r="N250" s="14">
        <f t="shared" ca="1" si="72"/>
        <v>0</v>
      </c>
      <c r="O250" s="14">
        <f t="shared" ca="1" si="73"/>
        <v>0</v>
      </c>
      <c r="P250" s="14">
        <f t="shared" ca="1" si="74"/>
        <v>0</v>
      </c>
      <c r="Q250" s="14">
        <f t="shared" ca="1" si="75"/>
        <v>0</v>
      </c>
      <c r="R250" s="14">
        <f t="shared" ca="1" si="76"/>
        <v>0</v>
      </c>
      <c r="S250" s="28">
        <f t="shared" ca="1" si="77"/>
        <v>0</v>
      </c>
      <c r="T250" s="14">
        <f t="shared" ca="1" si="78"/>
        <v>0</v>
      </c>
      <c r="U250" s="14">
        <f t="shared" ca="1" si="79"/>
        <v>0</v>
      </c>
      <c r="V250" s="14">
        <f t="shared" ca="1" si="80"/>
        <v>0</v>
      </c>
      <c r="W250" s="14">
        <f t="shared" ca="1" si="81"/>
        <v>0</v>
      </c>
      <c r="Y250" s="17">
        <f ca="1">IF($A250=0,0,SUMIF('Week 1 Roster'!$AZ:$AZ,$B250,'Week 1 Roster'!$AE:$AE))</f>
        <v>0</v>
      </c>
      <c r="Z250" s="17">
        <f ca="1">IF($A250=0,0,SUMIF('Week 1 Roster'!$AZ:$AZ,$B250,'Week 1 Roster'!$AG:$AG))</f>
        <v>0</v>
      </c>
      <c r="AA250" s="17">
        <f ca="1">IF($A250=0,0,SUMIF('Week 1 Roster'!$AZ:$AZ,$B250,'Week 1 Roster'!$AI:$AI))</f>
        <v>0</v>
      </c>
      <c r="AB250" s="17">
        <f ca="1">IF($A250=0,0,SUMIF('Week 1 Roster'!$AZ:$AZ,$B250,'Week 1 Roster'!$AK:$AK))</f>
        <v>0</v>
      </c>
      <c r="AC250" s="17">
        <f ca="1">IF($A250=0,0,SUMIF('Week 1 Roster'!$AZ:$AZ,$B250,'Week 1 Roster'!$AM:$AM))</f>
        <v>0</v>
      </c>
      <c r="AD250" s="17">
        <f ca="1">IF($A250=0,0,SUMIF('Week 1 Roster'!$AZ:$AZ,$B250,'Week 1 Roster'!$AO:$AO))</f>
        <v>0</v>
      </c>
      <c r="AE250" s="38">
        <f ca="1">IF($A250=0,0,SUMIF('Week 1 Roster'!$AZ:$AZ,$B250,'Week 1 Roster'!$AP:$AP))</f>
        <v>0</v>
      </c>
      <c r="AF250" s="17">
        <f ca="1">IF($A250=0,0,SUMIF('Week 1 Roster'!$AZ:$AZ,$B250,'Week 1 Roster'!$AQ:$AQ))</f>
        <v>0</v>
      </c>
      <c r="AG250" s="17">
        <f ca="1">IF($A250=0,0,SUMIF('Week 1 Roster'!$AZ:$AZ,$B250,'Week 1 Roster'!$AR:$AR))</f>
        <v>0</v>
      </c>
      <c r="AH250" s="17">
        <f ca="1">IF($A250=0,0,SUMIF('Week 1 Roster'!$AZ:$AZ,$B250,'Week 1 Roster'!$AS:$AS))</f>
        <v>0</v>
      </c>
      <c r="AI250" s="17">
        <f t="shared" ca="1" si="82"/>
        <v>0</v>
      </c>
      <c r="AK250" s="17">
        <f ca="1">IF($A250=0,0,SUMIF('Week 2 Roster'!$AZ:$AZ,$B250,'Week 2 Roster'!$AE:$AE))</f>
        <v>0</v>
      </c>
      <c r="AL250" s="17">
        <f ca="1">IF($A250=0,0,SUMIF('Week 2 Roster'!$AZ:$AZ,$B250,'Week 2 Roster'!$AG:$AG))</f>
        <v>0</v>
      </c>
      <c r="AM250" s="17">
        <f ca="1">IF($A250=0,0,SUMIF('Week 2 Roster'!$AZ:$AZ,$B250,'Week 2 Roster'!$AI:$AI))</f>
        <v>0</v>
      </c>
      <c r="AN250" s="17">
        <f ca="1">IF($A250=0,0,SUMIF('Week 2 Roster'!$AZ:$AZ,$B250,'Week 2 Roster'!$AK:$AK))</f>
        <v>0</v>
      </c>
      <c r="AO250" s="17">
        <f ca="1">IF($A250=0,0,SUMIF('Week 2 Roster'!$AZ:$AZ,$B250,'Week 2 Roster'!$AM:$AM))</f>
        <v>0</v>
      </c>
      <c r="AP250" s="17">
        <f ca="1">IF($A250=0,0,SUMIF('Week 2 Roster'!$AZ:$AZ,$B250,'Week 2 Roster'!$AO:$AO))</f>
        <v>0</v>
      </c>
      <c r="AQ250" s="38">
        <f ca="1">IF($A250=0,0,SUMIF('Week 2 Roster'!$AZ:$AZ,$B250,'Week 2 Roster'!$AP:$AP))</f>
        <v>0</v>
      </c>
      <c r="AR250" s="17">
        <f ca="1">IF($A250=0,0,SUMIF('Week 2 Roster'!$AZ:$AZ,$B250,'Week 2 Roster'!$AQ:$AQ))</f>
        <v>0</v>
      </c>
      <c r="AS250" s="17">
        <f ca="1">IF($A250=0,0,SUMIF('Week 2 Roster'!$AZ:$AZ,$B250,'Week 2 Roster'!$AR:$AR))</f>
        <v>0</v>
      </c>
      <c r="AT250" s="17">
        <f ca="1">IF($A250=0,0,SUMIF('Week 2 Roster'!$AZ:$AZ,$B250,'Week 2 Roster'!$AS:$AS))</f>
        <v>0</v>
      </c>
      <c r="AU250" s="17">
        <f t="shared" ca="1" si="83"/>
        <v>0</v>
      </c>
    </row>
    <row r="251" spans="1:47">
      <c r="A251" s="16" cm="1">
        <f t="array" aca="1" ref="A251" ca="1">_xlfn.NUMBERVALUE(INDIRECT(TEXT(MIN(IF(($AW$2:$AX$300&lt;&gt;"")*(COUNTIF($B$1:B250,$AW$2:$AX$300)=0),ROW($2:$300)*100+COLUMN($AW:$AX),7^8)),"R0C00"),)&amp;"")</f>
        <v>0</v>
      </c>
      <c r="B251" s="28" t="str">
        <f t="shared" ca="1" si="69"/>
        <v/>
      </c>
      <c r="C251" s="28" t="str">
        <f ca="1">IF($A251=0,"",VLOOKUP($B251,Employees!$A:$G,2,FALSE))</f>
        <v/>
      </c>
      <c r="D251" s="28" t="str">
        <f ca="1">IF($A251=0,"",VLOOKUP($B251,Employees!$A:$G,3,FALSE))</f>
        <v/>
      </c>
      <c r="E251" s="26" t="str">
        <f ca="1">IF($A251=0,"",VLOOKUP($B251,Employees!$A:$G,5,FALSE))</f>
        <v/>
      </c>
      <c r="F251" s="13" t="str">
        <f ca="1">IF($E251="","",ROUNDDOWN(YEARFRAC($E251, 'Week 1 Roster'!$D$1-1, 1), 0))</f>
        <v/>
      </c>
      <c r="G251" s="13" t="str">
        <f ca="1">IF($E251="","",ROUNDDOWN(YEARFRAC($E251, 'Week 1 Roster'!$D$1+14, 1), 0))</f>
        <v/>
      </c>
      <c r="H251" s="13" t="str">
        <f t="shared" ca="1" si="70"/>
        <v/>
      </c>
      <c r="I251" s="13" t="str">
        <f ca="1">IF($A251=0,"",VLOOKUP($B251,Employees!$A:$G,6,FALSE))</f>
        <v/>
      </c>
      <c r="J251" s="13" t="str">
        <f ca="1">IF($A251=0,"",VLOOKUP($B251,Employees!$A:$G,7,FALSE))</f>
        <v/>
      </c>
      <c r="K251" s="13" t="str">
        <f ca="1">IF($A251=0,"",IF(ISNA(VLOOKUP(A251,'Week 1 Roster'!A:C,2,0)),VLOOKUP(A251,'Week 2 Roster'!A:C,2,0),VLOOKUP(A251,'Week 1 Roster'!A:C,2,0)))</f>
        <v/>
      </c>
      <c r="L251" s="13" t="str">
        <f ca="1">IF($A251=0,"",VLOOKUP(K251,Stores!A:B,2,0))</f>
        <v/>
      </c>
      <c r="M251" s="14">
        <f t="shared" ca="1" si="71"/>
        <v>0</v>
      </c>
      <c r="N251" s="14">
        <f t="shared" ca="1" si="72"/>
        <v>0</v>
      </c>
      <c r="O251" s="14">
        <f t="shared" ca="1" si="73"/>
        <v>0</v>
      </c>
      <c r="P251" s="14">
        <f t="shared" ca="1" si="74"/>
        <v>0</v>
      </c>
      <c r="Q251" s="14">
        <f t="shared" ca="1" si="75"/>
        <v>0</v>
      </c>
      <c r="R251" s="14">
        <f t="shared" ca="1" si="76"/>
        <v>0</v>
      </c>
      <c r="S251" s="28">
        <f t="shared" ca="1" si="77"/>
        <v>0</v>
      </c>
      <c r="T251" s="14">
        <f t="shared" ca="1" si="78"/>
        <v>0</v>
      </c>
      <c r="U251" s="14">
        <f t="shared" ca="1" si="79"/>
        <v>0</v>
      </c>
      <c r="V251" s="14">
        <f t="shared" ca="1" si="80"/>
        <v>0</v>
      </c>
      <c r="W251" s="14">
        <f t="shared" ca="1" si="81"/>
        <v>0</v>
      </c>
      <c r="Y251" s="17">
        <f ca="1">IF($A251=0,0,SUMIF('Week 1 Roster'!$AZ:$AZ,$B251,'Week 1 Roster'!$AE:$AE))</f>
        <v>0</v>
      </c>
      <c r="Z251" s="17">
        <f ca="1">IF($A251=0,0,SUMIF('Week 1 Roster'!$AZ:$AZ,$B251,'Week 1 Roster'!$AG:$AG))</f>
        <v>0</v>
      </c>
      <c r="AA251" s="17">
        <f ca="1">IF($A251=0,0,SUMIF('Week 1 Roster'!$AZ:$AZ,$B251,'Week 1 Roster'!$AI:$AI))</f>
        <v>0</v>
      </c>
      <c r="AB251" s="17">
        <f ca="1">IF($A251=0,0,SUMIF('Week 1 Roster'!$AZ:$AZ,$B251,'Week 1 Roster'!$AK:$AK))</f>
        <v>0</v>
      </c>
      <c r="AC251" s="17">
        <f ca="1">IF($A251=0,0,SUMIF('Week 1 Roster'!$AZ:$AZ,$B251,'Week 1 Roster'!$AM:$AM))</f>
        <v>0</v>
      </c>
      <c r="AD251" s="17">
        <f ca="1">IF($A251=0,0,SUMIF('Week 1 Roster'!$AZ:$AZ,$B251,'Week 1 Roster'!$AO:$AO))</f>
        <v>0</v>
      </c>
      <c r="AE251" s="38">
        <f ca="1">IF($A251=0,0,SUMIF('Week 1 Roster'!$AZ:$AZ,$B251,'Week 1 Roster'!$AP:$AP))</f>
        <v>0</v>
      </c>
      <c r="AF251" s="17">
        <f ca="1">IF($A251=0,0,SUMIF('Week 1 Roster'!$AZ:$AZ,$B251,'Week 1 Roster'!$AQ:$AQ))</f>
        <v>0</v>
      </c>
      <c r="AG251" s="17">
        <f ca="1">IF($A251=0,0,SUMIF('Week 1 Roster'!$AZ:$AZ,$B251,'Week 1 Roster'!$AR:$AR))</f>
        <v>0</v>
      </c>
      <c r="AH251" s="17">
        <f ca="1">IF($A251=0,0,SUMIF('Week 1 Roster'!$AZ:$AZ,$B251,'Week 1 Roster'!$AS:$AS))</f>
        <v>0</v>
      </c>
      <c r="AI251" s="17">
        <f t="shared" ca="1" si="82"/>
        <v>0</v>
      </c>
      <c r="AK251" s="17">
        <f ca="1">IF($A251=0,0,SUMIF('Week 2 Roster'!$AZ:$AZ,$B251,'Week 2 Roster'!$AE:$AE))</f>
        <v>0</v>
      </c>
      <c r="AL251" s="17">
        <f ca="1">IF($A251=0,0,SUMIF('Week 2 Roster'!$AZ:$AZ,$B251,'Week 2 Roster'!$AG:$AG))</f>
        <v>0</v>
      </c>
      <c r="AM251" s="17">
        <f ca="1">IF($A251=0,0,SUMIF('Week 2 Roster'!$AZ:$AZ,$B251,'Week 2 Roster'!$AI:$AI))</f>
        <v>0</v>
      </c>
      <c r="AN251" s="17">
        <f ca="1">IF($A251=0,0,SUMIF('Week 2 Roster'!$AZ:$AZ,$B251,'Week 2 Roster'!$AK:$AK))</f>
        <v>0</v>
      </c>
      <c r="AO251" s="17">
        <f ca="1">IF($A251=0,0,SUMIF('Week 2 Roster'!$AZ:$AZ,$B251,'Week 2 Roster'!$AM:$AM))</f>
        <v>0</v>
      </c>
      <c r="AP251" s="17">
        <f ca="1">IF($A251=0,0,SUMIF('Week 2 Roster'!$AZ:$AZ,$B251,'Week 2 Roster'!$AO:$AO))</f>
        <v>0</v>
      </c>
      <c r="AQ251" s="38">
        <f ca="1">IF($A251=0,0,SUMIF('Week 2 Roster'!$AZ:$AZ,$B251,'Week 2 Roster'!$AP:$AP))</f>
        <v>0</v>
      </c>
      <c r="AR251" s="17">
        <f ca="1">IF($A251=0,0,SUMIF('Week 2 Roster'!$AZ:$AZ,$B251,'Week 2 Roster'!$AQ:$AQ))</f>
        <v>0</v>
      </c>
      <c r="AS251" s="17">
        <f ca="1">IF($A251=0,0,SUMIF('Week 2 Roster'!$AZ:$AZ,$B251,'Week 2 Roster'!$AR:$AR))</f>
        <v>0</v>
      </c>
      <c r="AT251" s="17">
        <f ca="1">IF($A251=0,0,SUMIF('Week 2 Roster'!$AZ:$AZ,$B251,'Week 2 Roster'!$AS:$AS))</f>
        <v>0</v>
      </c>
      <c r="AU251" s="17">
        <f t="shared" ca="1" si="83"/>
        <v>0</v>
      </c>
    </row>
    <row r="252" spans="1:47">
      <c r="A252" s="16" cm="1">
        <f t="array" aca="1" ref="A252" ca="1">_xlfn.NUMBERVALUE(INDIRECT(TEXT(MIN(IF(($AW$2:$AX$300&lt;&gt;"")*(COUNTIF($B$1:B251,$AW$2:$AX$300)=0),ROW($2:$300)*100+COLUMN($AW:$AX),7^8)),"R0C00"),)&amp;"")</f>
        <v>0</v>
      </c>
      <c r="B252" s="28" t="str">
        <f t="shared" ca="1" si="69"/>
        <v/>
      </c>
      <c r="C252" s="28" t="str">
        <f ca="1">IF($A252=0,"",VLOOKUP($B252,Employees!$A:$G,2,FALSE))</f>
        <v/>
      </c>
      <c r="D252" s="28" t="str">
        <f ca="1">IF($A252=0,"",VLOOKUP($B252,Employees!$A:$G,3,FALSE))</f>
        <v/>
      </c>
      <c r="E252" s="26" t="str">
        <f ca="1">IF($A252=0,"",VLOOKUP($B252,Employees!$A:$G,5,FALSE))</f>
        <v/>
      </c>
      <c r="F252" s="13" t="str">
        <f ca="1">IF($E252="","",ROUNDDOWN(YEARFRAC($E252, 'Week 1 Roster'!$D$1-1, 1), 0))</f>
        <v/>
      </c>
      <c r="G252" s="13" t="str">
        <f ca="1">IF($E252="","",ROUNDDOWN(YEARFRAC($E252, 'Week 1 Roster'!$D$1+14, 1), 0))</f>
        <v/>
      </c>
      <c r="H252" s="13" t="str">
        <f t="shared" ca="1" si="70"/>
        <v/>
      </c>
      <c r="I252" s="13" t="str">
        <f ca="1">IF($A252=0,"",VLOOKUP($B252,Employees!$A:$G,6,FALSE))</f>
        <v/>
      </c>
      <c r="J252" s="13" t="str">
        <f ca="1">IF($A252=0,"",VLOOKUP($B252,Employees!$A:$G,7,FALSE))</f>
        <v/>
      </c>
      <c r="K252" s="13" t="str">
        <f ca="1">IF($A252=0,"",IF(ISNA(VLOOKUP(A252,'Week 1 Roster'!A:C,2,0)),VLOOKUP(A252,'Week 2 Roster'!A:C,2,0),VLOOKUP(A252,'Week 1 Roster'!A:C,2,0)))</f>
        <v/>
      </c>
      <c r="L252" s="13" t="str">
        <f ca="1">IF($A252=0,"",VLOOKUP(K252,Stores!A:B,2,0))</f>
        <v/>
      </c>
      <c r="M252" s="14">
        <f t="shared" ca="1" si="71"/>
        <v>0</v>
      </c>
      <c r="N252" s="14">
        <f t="shared" ca="1" si="72"/>
        <v>0</v>
      </c>
      <c r="O252" s="14">
        <f t="shared" ca="1" si="73"/>
        <v>0</v>
      </c>
      <c r="P252" s="14">
        <f t="shared" ca="1" si="74"/>
        <v>0</v>
      </c>
      <c r="Q252" s="14">
        <f t="shared" ca="1" si="75"/>
        <v>0</v>
      </c>
      <c r="R252" s="14">
        <f t="shared" ca="1" si="76"/>
        <v>0</v>
      </c>
      <c r="S252" s="28">
        <f t="shared" ca="1" si="77"/>
        <v>0</v>
      </c>
      <c r="T252" s="14">
        <f t="shared" ca="1" si="78"/>
        <v>0</v>
      </c>
      <c r="U252" s="14">
        <f t="shared" ca="1" si="79"/>
        <v>0</v>
      </c>
      <c r="V252" s="14">
        <f t="shared" ca="1" si="80"/>
        <v>0</v>
      </c>
      <c r="W252" s="14">
        <f t="shared" ca="1" si="81"/>
        <v>0</v>
      </c>
      <c r="Y252" s="17">
        <f ca="1">IF($A252=0,0,SUMIF('Week 1 Roster'!$AZ:$AZ,$B252,'Week 1 Roster'!$AE:$AE))</f>
        <v>0</v>
      </c>
      <c r="Z252" s="17">
        <f ca="1">IF($A252=0,0,SUMIF('Week 1 Roster'!$AZ:$AZ,$B252,'Week 1 Roster'!$AG:$AG))</f>
        <v>0</v>
      </c>
      <c r="AA252" s="17">
        <f ca="1">IF($A252=0,0,SUMIF('Week 1 Roster'!$AZ:$AZ,$B252,'Week 1 Roster'!$AI:$AI))</f>
        <v>0</v>
      </c>
      <c r="AB252" s="17">
        <f ca="1">IF($A252=0,0,SUMIF('Week 1 Roster'!$AZ:$AZ,$B252,'Week 1 Roster'!$AK:$AK))</f>
        <v>0</v>
      </c>
      <c r="AC252" s="17">
        <f ca="1">IF($A252=0,0,SUMIF('Week 1 Roster'!$AZ:$AZ,$B252,'Week 1 Roster'!$AM:$AM))</f>
        <v>0</v>
      </c>
      <c r="AD252" s="17">
        <f ca="1">IF($A252=0,0,SUMIF('Week 1 Roster'!$AZ:$AZ,$B252,'Week 1 Roster'!$AO:$AO))</f>
        <v>0</v>
      </c>
      <c r="AE252" s="38">
        <f ca="1">IF($A252=0,0,SUMIF('Week 1 Roster'!$AZ:$AZ,$B252,'Week 1 Roster'!$AP:$AP))</f>
        <v>0</v>
      </c>
      <c r="AF252" s="17">
        <f ca="1">IF($A252=0,0,SUMIF('Week 1 Roster'!$AZ:$AZ,$B252,'Week 1 Roster'!$AQ:$AQ))</f>
        <v>0</v>
      </c>
      <c r="AG252" s="17">
        <f ca="1">IF($A252=0,0,SUMIF('Week 1 Roster'!$AZ:$AZ,$B252,'Week 1 Roster'!$AR:$AR))</f>
        <v>0</v>
      </c>
      <c r="AH252" s="17">
        <f ca="1">IF($A252=0,0,SUMIF('Week 1 Roster'!$AZ:$AZ,$B252,'Week 1 Roster'!$AS:$AS))</f>
        <v>0</v>
      </c>
      <c r="AI252" s="17">
        <f t="shared" ca="1" si="82"/>
        <v>0</v>
      </c>
      <c r="AK252" s="17">
        <f ca="1">IF($A252=0,0,SUMIF('Week 2 Roster'!$AZ:$AZ,$B252,'Week 2 Roster'!$AE:$AE))</f>
        <v>0</v>
      </c>
      <c r="AL252" s="17">
        <f ca="1">IF($A252=0,0,SUMIF('Week 2 Roster'!$AZ:$AZ,$B252,'Week 2 Roster'!$AG:$AG))</f>
        <v>0</v>
      </c>
      <c r="AM252" s="17">
        <f ca="1">IF($A252=0,0,SUMIF('Week 2 Roster'!$AZ:$AZ,$B252,'Week 2 Roster'!$AI:$AI))</f>
        <v>0</v>
      </c>
      <c r="AN252" s="17">
        <f ca="1">IF($A252=0,0,SUMIF('Week 2 Roster'!$AZ:$AZ,$B252,'Week 2 Roster'!$AK:$AK))</f>
        <v>0</v>
      </c>
      <c r="AO252" s="17">
        <f ca="1">IF($A252=0,0,SUMIF('Week 2 Roster'!$AZ:$AZ,$B252,'Week 2 Roster'!$AM:$AM))</f>
        <v>0</v>
      </c>
      <c r="AP252" s="17">
        <f ca="1">IF($A252=0,0,SUMIF('Week 2 Roster'!$AZ:$AZ,$B252,'Week 2 Roster'!$AO:$AO))</f>
        <v>0</v>
      </c>
      <c r="AQ252" s="38">
        <f ca="1">IF($A252=0,0,SUMIF('Week 2 Roster'!$AZ:$AZ,$B252,'Week 2 Roster'!$AP:$AP))</f>
        <v>0</v>
      </c>
      <c r="AR252" s="17">
        <f ca="1">IF($A252=0,0,SUMIF('Week 2 Roster'!$AZ:$AZ,$B252,'Week 2 Roster'!$AQ:$AQ))</f>
        <v>0</v>
      </c>
      <c r="AS252" s="17">
        <f ca="1">IF($A252=0,0,SUMIF('Week 2 Roster'!$AZ:$AZ,$B252,'Week 2 Roster'!$AR:$AR))</f>
        <v>0</v>
      </c>
      <c r="AT252" s="17">
        <f ca="1">IF($A252=0,0,SUMIF('Week 2 Roster'!$AZ:$AZ,$B252,'Week 2 Roster'!$AS:$AS))</f>
        <v>0</v>
      </c>
      <c r="AU252" s="17">
        <f t="shared" ca="1" si="83"/>
        <v>0</v>
      </c>
    </row>
    <row r="253" spans="1:47">
      <c r="A253" s="16" cm="1">
        <f t="array" aca="1" ref="A253" ca="1">_xlfn.NUMBERVALUE(INDIRECT(TEXT(MIN(IF(($AW$2:$AX$300&lt;&gt;"")*(COUNTIF($B$1:B252,$AW$2:$AX$300)=0),ROW($2:$300)*100+COLUMN($AW:$AX),7^8)),"R0C00"),)&amp;"")</f>
        <v>0</v>
      </c>
      <c r="B253" s="28" t="str">
        <f t="shared" ca="1" si="69"/>
        <v/>
      </c>
      <c r="C253" s="28" t="str">
        <f ca="1">IF($A253=0,"",VLOOKUP($B253,Employees!$A:$G,2,FALSE))</f>
        <v/>
      </c>
      <c r="D253" s="28" t="str">
        <f ca="1">IF($A253=0,"",VLOOKUP($B253,Employees!$A:$G,3,FALSE))</f>
        <v/>
      </c>
      <c r="E253" s="26" t="str">
        <f ca="1">IF($A253=0,"",VLOOKUP($B253,Employees!$A:$G,5,FALSE))</f>
        <v/>
      </c>
      <c r="F253" s="13" t="str">
        <f ca="1">IF($E253="","",ROUNDDOWN(YEARFRAC($E253, 'Week 1 Roster'!$D$1-1, 1), 0))</f>
        <v/>
      </c>
      <c r="G253" s="13" t="str">
        <f ca="1">IF($E253="","",ROUNDDOWN(YEARFRAC($E253, 'Week 1 Roster'!$D$1+14, 1), 0))</f>
        <v/>
      </c>
      <c r="H253" s="13" t="str">
        <f t="shared" ca="1" si="70"/>
        <v/>
      </c>
      <c r="I253" s="13" t="str">
        <f ca="1">IF($A253=0,"",VLOOKUP($B253,Employees!$A:$G,6,FALSE))</f>
        <v/>
      </c>
      <c r="J253" s="13" t="str">
        <f ca="1">IF($A253=0,"",VLOOKUP($B253,Employees!$A:$G,7,FALSE))</f>
        <v/>
      </c>
      <c r="K253" s="13" t="str">
        <f ca="1">IF($A253=0,"",IF(ISNA(VLOOKUP(A253,'Week 1 Roster'!A:C,2,0)),VLOOKUP(A253,'Week 2 Roster'!A:C,2,0),VLOOKUP(A253,'Week 1 Roster'!A:C,2,0)))</f>
        <v/>
      </c>
      <c r="L253" s="13" t="str">
        <f ca="1">IF($A253=0,"",VLOOKUP(K253,Stores!A:B,2,0))</f>
        <v/>
      </c>
      <c r="M253" s="14">
        <f t="shared" ca="1" si="71"/>
        <v>0</v>
      </c>
      <c r="N253" s="14">
        <f t="shared" ca="1" si="72"/>
        <v>0</v>
      </c>
      <c r="O253" s="14">
        <f t="shared" ca="1" si="73"/>
        <v>0</v>
      </c>
      <c r="P253" s="14">
        <f t="shared" ca="1" si="74"/>
        <v>0</v>
      </c>
      <c r="Q253" s="14">
        <f t="shared" ca="1" si="75"/>
        <v>0</v>
      </c>
      <c r="R253" s="14">
        <f t="shared" ca="1" si="76"/>
        <v>0</v>
      </c>
      <c r="S253" s="28">
        <f t="shared" ca="1" si="77"/>
        <v>0</v>
      </c>
      <c r="T253" s="14">
        <f t="shared" ca="1" si="78"/>
        <v>0</v>
      </c>
      <c r="U253" s="14">
        <f t="shared" ca="1" si="79"/>
        <v>0</v>
      </c>
      <c r="V253" s="14">
        <f t="shared" ca="1" si="80"/>
        <v>0</v>
      </c>
      <c r="W253" s="14">
        <f t="shared" ca="1" si="81"/>
        <v>0</v>
      </c>
      <c r="Y253" s="17">
        <f ca="1">IF($A253=0,0,SUMIF('Week 1 Roster'!$AZ:$AZ,$B253,'Week 1 Roster'!$AE:$AE))</f>
        <v>0</v>
      </c>
      <c r="Z253" s="17">
        <f ca="1">IF($A253=0,0,SUMIF('Week 1 Roster'!$AZ:$AZ,$B253,'Week 1 Roster'!$AG:$AG))</f>
        <v>0</v>
      </c>
      <c r="AA253" s="17">
        <f ca="1">IF($A253=0,0,SUMIF('Week 1 Roster'!$AZ:$AZ,$B253,'Week 1 Roster'!$AI:$AI))</f>
        <v>0</v>
      </c>
      <c r="AB253" s="17">
        <f ca="1">IF($A253=0,0,SUMIF('Week 1 Roster'!$AZ:$AZ,$B253,'Week 1 Roster'!$AK:$AK))</f>
        <v>0</v>
      </c>
      <c r="AC253" s="17">
        <f ca="1">IF($A253=0,0,SUMIF('Week 1 Roster'!$AZ:$AZ,$B253,'Week 1 Roster'!$AM:$AM))</f>
        <v>0</v>
      </c>
      <c r="AD253" s="17">
        <f ca="1">IF($A253=0,0,SUMIF('Week 1 Roster'!$AZ:$AZ,$B253,'Week 1 Roster'!$AO:$AO))</f>
        <v>0</v>
      </c>
      <c r="AE253" s="38">
        <f ca="1">IF($A253=0,0,SUMIF('Week 1 Roster'!$AZ:$AZ,$B253,'Week 1 Roster'!$AP:$AP))</f>
        <v>0</v>
      </c>
      <c r="AF253" s="17">
        <f ca="1">IF($A253=0,0,SUMIF('Week 1 Roster'!$AZ:$AZ,$B253,'Week 1 Roster'!$AQ:$AQ))</f>
        <v>0</v>
      </c>
      <c r="AG253" s="17">
        <f ca="1">IF($A253=0,0,SUMIF('Week 1 Roster'!$AZ:$AZ,$B253,'Week 1 Roster'!$AR:$AR))</f>
        <v>0</v>
      </c>
      <c r="AH253" s="17">
        <f ca="1">IF($A253=0,0,SUMIF('Week 1 Roster'!$AZ:$AZ,$B253,'Week 1 Roster'!$AS:$AS))</f>
        <v>0</v>
      </c>
      <c r="AI253" s="17">
        <f t="shared" ca="1" si="82"/>
        <v>0</v>
      </c>
      <c r="AK253" s="17">
        <f ca="1">IF($A253=0,0,SUMIF('Week 2 Roster'!$AZ:$AZ,$B253,'Week 2 Roster'!$AE:$AE))</f>
        <v>0</v>
      </c>
      <c r="AL253" s="17">
        <f ca="1">IF($A253=0,0,SUMIF('Week 2 Roster'!$AZ:$AZ,$B253,'Week 2 Roster'!$AG:$AG))</f>
        <v>0</v>
      </c>
      <c r="AM253" s="17">
        <f ca="1">IF($A253=0,0,SUMIF('Week 2 Roster'!$AZ:$AZ,$B253,'Week 2 Roster'!$AI:$AI))</f>
        <v>0</v>
      </c>
      <c r="AN253" s="17">
        <f ca="1">IF($A253=0,0,SUMIF('Week 2 Roster'!$AZ:$AZ,$B253,'Week 2 Roster'!$AK:$AK))</f>
        <v>0</v>
      </c>
      <c r="AO253" s="17">
        <f ca="1">IF($A253=0,0,SUMIF('Week 2 Roster'!$AZ:$AZ,$B253,'Week 2 Roster'!$AM:$AM))</f>
        <v>0</v>
      </c>
      <c r="AP253" s="17">
        <f ca="1">IF($A253=0,0,SUMIF('Week 2 Roster'!$AZ:$AZ,$B253,'Week 2 Roster'!$AO:$AO))</f>
        <v>0</v>
      </c>
      <c r="AQ253" s="38">
        <f ca="1">IF($A253=0,0,SUMIF('Week 2 Roster'!$AZ:$AZ,$B253,'Week 2 Roster'!$AP:$AP))</f>
        <v>0</v>
      </c>
      <c r="AR253" s="17">
        <f ca="1">IF($A253=0,0,SUMIF('Week 2 Roster'!$AZ:$AZ,$B253,'Week 2 Roster'!$AQ:$AQ))</f>
        <v>0</v>
      </c>
      <c r="AS253" s="17">
        <f ca="1">IF($A253=0,0,SUMIF('Week 2 Roster'!$AZ:$AZ,$B253,'Week 2 Roster'!$AR:$AR))</f>
        <v>0</v>
      </c>
      <c r="AT253" s="17">
        <f ca="1">IF($A253=0,0,SUMIF('Week 2 Roster'!$AZ:$AZ,$B253,'Week 2 Roster'!$AS:$AS))</f>
        <v>0</v>
      </c>
      <c r="AU253" s="17">
        <f t="shared" ca="1" si="83"/>
        <v>0</v>
      </c>
    </row>
    <row r="254" spans="1:47">
      <c r="A254" s="16" cm="1">
        <f t="array" aca="1" ref="A254" ca="1">_xlfn.NUMBERVALUE(INDIRECT(TEXT(MIN(IF(($AW$2:$AX$300&lt;&gt;"")*(COUNTIF($B$1:B253,$AW$2:$AX$300)=0),ROW($2:$300)*100+COLUMN($AW:$AX),7^8)),"R0C00"),)&amp;"")</f>
        <v>0</v>
      </c>
      <c r="B254" s="28" t="str">
        <f t="shared" ca="1" si="69"/>
        <v/>
      </c>
      <c r="C254" s="28" t="str">
        <f ca="1">IF($A254=0,"",VLOOKUP($B254,Employees!$A:$G,2,FALSE))</f>
        <v/>
      </c>
      <c r="D254" s="28" t="str">
        <f ca="1">IF($A254=0,"",VLOOKUP($B254,Employees!$A:$G,3,FALSE))</f>
        <v/>
      </c>
      <c r="E254" s="26" t="str">
        <f ca="1">IF($A254=0,"",VLOOKUP($B254,Employees!$A:$G,5,FALSE))</f>
        <v/>
      </c>
      <c r="F254" s="13" t="str">
        <f ca="1">IF($E254="","",ROUNDDOWN(YEARFRAC($E254, 'Week 1 Roster'!$D$1-1, 1), 0))</f>
        <v/>
      </c>
      <c r="G254" s="13" t="str">
        <f ca="1">IF($E254="","",ROUNDDOWN(YEARFRAC($E254, 'Week 1 Roster'!$D$1+14, 1), 0))</f>
        <v/>
      </c>
      <c r="H254" s="13" t="str">
        <f t="shared" ca="1" si="70"/>
        <v/>
      </c>
      <c r="I254" s="13" t="str">
        <f ca="1">IF($A254=0,"",VLOOKUP($B254,Employees!$A:$G,6,FALSE))</f>
        <v/>
      </c>
      <c r="J254" s="13" t="str">
        <f ca="1">IF($A254=0,"",VLOOKUP($B254,Employees!$A:$G,7,FALSE))</f>
        <v/>
      </c>
      <c r="K254" s="13" t="str">
        <f ca="1">IF($A254=0,"",IF(ISNA(VLOOKUP(A254,'Week 1 Roster'!A:C,2,0)),VLOOKUP(A254,'Week 2 Roster'!A:C,2,0),VLOOKUP(A254,'Week 1 Roster'!A:C,2,0)))</f>
        <v/>
      </c>
      <c r="L254" s="13" t="str">
        <f ca="1">IF($A254=0,"",VLOOKUP(K254,Stores!A:B,2,0))</f>
        <v/>
      </c>
      <c r="M254" s="14">
        <f t="shared" ca="1" si="71"/>
        <v>0</v>
      </c>
      <c r="N254" s="14">
        <f t="shared" ca="1" si="72"/>
        <v>0</v>
      </c>
      <c r="O254" s="14">
        <f t="shared" ca="1" si="73"/>
        <v>0</v>
      </c>
      <c r="P254" s="14">
        <f t="shared" ca="1" si="74"/>
        <v>0</v>
      </c>
      <c r="Q254" s="14">
        <f t="shared" ca="1" si="75"/>
        <v>0</v>
      </c>
      <c r="R254" s="14">
        <f t="shared" ca="1" si="76"/>
        <v>0</v>
      </c>
      <c r="S254" s="28">
        <f t="shared" ca="1" si="77"/>
        <v>0</v>
      </c>
      <c r="T254" s="14">
        <f t="shared" ca="1" si="78"/>
        <v>0</v>
      </c>
      <c r="U254" s="14">
        <f t="shared" ca="1" si="79"/>
        <v>0</v>
      </c>
      <c r="V254" s="14">
        <f t="shared" ca="1" si="80"/>
        <v>0</v>
      </c>
      <c r="W254" s="14">
        <f t="shared" ca="1" si="81"/>
        <v>0</v>
      </c>
      <c r="Y254" s="17">
        <f ca="1">IF($A254=0,0,SUMIF('Week 1 Roster'!$AZ:$AZ,$B254,'Week 1 Roster'!$AE:$AE))</f>
        <v>0</v>
      </c>
      <c r="Z254" s="17">
        <f ca="1">IF($A254=0,0,SUMIF('Week 1 Roster'!$AZ:$AZ,$B254,'Week 1 Roster'!$AG:$AG))</f>
        <v>0</v>
      </c>
      <c r="AA254" s="17">
        <f ca="1">IF($A254=0,0,SUMIF('Week 1 Roster'!$AZ:$AZ,$B254,'Week 1 Roster'!$AI:$AI))</f>
        <v>0</v>
      </c>
      <c r="AB254" s="17">
        <f ca="1">IF($A254=0,0,SUMIF('Week 1 Roster'!$AZ:$AZ,$B254,'Week 1 Roster'!$AK:$AK))</f>
        <v>0</v>
      </c>
      <c r="AC254" s="17">
        <f ca="1">IF($A254=0,0,SUMIF('Week 1 Roster'!$AZ:$AZ,$B254,'Week 1 Roster'!$AM:$AM))</f>
        <v>0</v>
      </c>
      <c r="AD254" s="17">
        <f ca="1">IF($A254=0,0,SUMIF('Week 1 Roster'!$AZ:$AZ,$B254,'Week 1 Roster'!$AO:$AO))</f>
        <v>0</v>
      </c>
      <c r="AE254" s="38">
        <f ca="1">IF($A254=0,0,SUMIF('Week 1 Roster'!$AZ:$AZ,$B254,'Week 1 Roster'!$AP:$AP))</f>
        <v>0</v>
      </c>
      <c r="AF254" s="17">
        <f ca="1">IF($A254=0,0,SUMIF('Week 1 Roster'!$AZ:$AZ,$B254,'Week 1 Roster'!$AQ:$AQ))</f>
        <v>0</v>
      </c>
      <c r="AG254" s="17">
        <f ca="1">IF($A254=0,0,SUMIF('Week 1 Roster'!$AZ:$AZ,$B254,'Week 1 Roster'!$AR:$AR))</f>
        <v>0</v>
      </c>
      <c r="AH254" s="17">
        <f ca="1">IF($A254=0,0,SUMIF('Week 1 Roster'!$AZ:$AZ,$B254,'Week 1 Roster'!$AS:$AS))</f>
        <v>0</v>
      </c>
      <c r="AI254" s="17">
        <f t="shared" ca="1" si="82"/>
        <v>0</v>
      </c>
      <c r="AK254" s="17">
        <f ca="1">IF($A254=0,0,SUMIF('Week 2 Roster'!$AZ:$AZ,$B254,'Week 2 Roster'!$AE:$AE))</f>
        <v>0</v>
      </c>
      <c r="AL254" s="17">
        <f ca="1">IF($A254=0,0,SUMIF('Week 2 Roster'!$AZ:$AZ,$B254,'Week 2 Roster'!$AG:$AG))</f>
        <v>0</v>
      </c>
      <c r="AM254" s="17">
        <f ca="1">IF($A254=0,0,SUMIF('Week 2 Roster'!$AZ:$AZ,$B254,'Week 2 Roster'!$AI:$AI))</f>
        <v>0</v>
      </c>
      <c r="AN254" s="17">
        <f ca="1">IF($A254=0,0,SUMIF('Week 2 Roster'!$AZ:$AZ,$B254,'Week 2 Roster'!$AK:$AK))</f>
        <v>0</v>
      </c>
      <c r="AO254" s="17">
        <f ca="1">IF($A254=0,0,SUMIF('Week 2 Roster'!$AZ:$AZ,$B254,'Week 2 Roster'!$AM:$AM))</f>
        <v>0</v>
      </c>
      <c r="AP254" s="17">
        <f ca="1">IF($A254=0,0,SUMIF('Week 2 Roster'!$AZ:$AZ,$B254,'Week 2 Roster'!$AO:$AO))</f>
        <v>0</v>
      </c>
      <c r="AQ254" s="38">
        <f ca="1">IF($A254=0,0,SUMIF('Week 2 Roster'!$AZ:$AZ,$B254,'Week 2 Roster'!$AP:$AP))</f>
        <v>0</v>
      </c>
      <c r="AR254" s="17">
        <f ca="1">IF($A254=0,0,SUMIF('Week 2 Roster'!$AZ:$AZ,$B254,'Week 2 Roster'!$AQ:$AQ))</f>
        <v>0</v>
      </c>
      <c r="AS254" s="17">
        <f ca="1">IF($A254=0,0,SUMIF('Week 2 Roster'!$AZ:$AZ,$B254,'Week 2 Roster'!$AR:$AR))</f>
        <v>0</v>
      </c>
      <c r="AT254" s="17">
        <f ca="1">IF($A254=0,0,SUMIF('Week 2 Roster'!$AZ:$AZ,$B254,'Week 2 Roster'!$AS:$AS))</f>
        <v>0</v>
      </c>
      <c r="AU254" s="17">
        <f t="shared" ca="1" si="83"/>
        <v>0</v>
      </c>
    </row>
    <row r="255" spans="1:47">
      <c r="A255" s="16" cm="1">
        <f t="array" aca="1" ref="A255" ca="1">_xlfn.NUMBERVALUE(INDIRECT(TEXT(MIN(IF(($AW$2:$AX$300&lt;&gt;"")*(COUNTIF($B$1:B254,$AW$2:$AX$300)=0),ROW($2:$300)*100+COLUMN($AW:$AX),7^8)),"R0C00"),)&amp;"")</f>
        <v>0</v>
      </c>
      <c r="B255" s="28" t="str">
        <f t="shared" ca="1" si="69"/>
        <v/>
      </c>
      <c r="C255" s="28" t="str">
        <f ca="1">IF($A255=0,"",VLOOKUP($B255,Employees!$A:$G,2,FALSE))</f>
        <v/>
      </c>
      <c r="D255" s="28" t="str">
        <f ca="1">IF($A255=0,"",VLOOKUP($B255,Employees!$A:$G,3,FALSE))</f>
        <v/>
      </c>
      <c r="E255" s="26" t="str">
        <f ca="1">IF($A255=0,"",VLOOKUP($B255,Employees!$A:$G,5,FALSE))</f>
        <v/>
      </c>
      <c r="F255" s="13" t="str">
        <f ca="1">IF($E255="","",ROUNDDOWN(YEARFRAC($E255, 'Week 1 Roster'!$D$1-1, 1), 0))</f>
        <v/>
      </c>
      <c r="G255" s="13" t="str">
        <f ca="1">IF($E255="","",ROUNDDOWN(YEARFRAC($E255, 'Week 1 Roster'!$D$1+14, 1), 0))</f>
        <v/>
      </c>
      <c r="H255" s="13" t="str">
        <f t="shared" ca="1" si="70"/>
        <v/>
      </c>
      <c r="I255" s="13" t="str">
        <f ca="1">IF($A255=0,"",VLOOKUP($B255,Employees!$A:$G,6,FALSE))</f>
        <v/>
      </c>
      <c r="J255" s="13" t="str">
        <f ca="1">IF($A255=0,"",VLOOKUP($B255,Employees!$A:$G,7,FALSE))</f>
        <v/>
      </c>
      <c r="K255" s="13" t="str">
        <f ca="1">IF($A255=0,"",IF(ISNA(VLOOKUP(A255,'Week 1 Roster'!A:C,2,0)),VLOOKUP(A255,'Week 2 Roster'!A:C,2,0),VLOOKUP(A255,'Week 1 Roster'!A:C,2,0)))</f>
        <v/>
      </c>
      <c r="L255" s="13" t="str">
        <f ca="1">IF($A255=0,"",VLOOKUP(K255,Stores!A:B,2,0))</f>
        <v/>
      </c>
      <c r="M255" s="14">
        <f t="shared" ca="1" si="71"/>
        <v>0</v>
      </c>
      <c r="N255" s="14">
        <f t="shared" ca="1" si="72"/>
        <v>0</v>
      </c>
      <c r="O255" s="14">
        <f t="shared" ca="1" si="73"/>
        <v>0</v>
      </c>
      <c r="P255" s="14">
        <f t="shared" ca="1" si="74"/>
        <v>0</v>
      </c>
      <c r="Q255" s="14">
        <f t="shared" ca="1" si="75"/>
        <v>0</v>
      </c>
      <c r="R255" s="14">
        <f t="shared" ca="1" si="76"/>
        <v>0</v>
      </c>
      <c r="S255" s="28">
        <f t="shared" ca="1" si="77"/>
        <v>0</v>
      </c>
      <c r="T255" s="14">
        <f t="shared" ca="1" si="78"/>
        <v>0</v>
      </c>
      <c r="U255" s="14">
        <f t="shared" ca="1" si="79"/>
        <v>0</v>
      </c>
      <c r="V255" s="14">
        <f t="shared" ca="1" si="80"/>
        <v>0</v>
      </c>
      <c r="W255" s="14">
        <f t="shared" ca="1" si="81"/>
        <v>0</v>
      </c>
      <c r="Y255" s="17">
        <f ca="1">IF($A255=0,0,SUMIF('Week 1 Roster'!$AZ:$AZ,$B255,'Week 1 Roster'!$AE:$AE))</f>
        <v>0</v>
      </c>
      <c r="Z255" s="17">
        <f ca="1">IF($A255=0,0,SUMIF('Week 1 Roster'!$AZ:$AZ,$B255,'Week 1 Roster'!$AG:$AG))</f>
        <v>0</v>
      </c>
      <c r="AA255" s="17">
        <f ca="1">IF($A255=0,0,SUMIF('Week 1 Roster'!$AZ:$AZ,$B255,'Week 1 Roster'!$AI:$AI))</f>
        <v>0</v>
      </c>
      <c r="AB255" s="17">
        <f ca="1">IF($A255=0,0,SUMIF('Week 1 Roster'!$AZ:$AZ,$B255,'Week 1 Roster'!$AK:$AK))</f>
        <v>0</v>
      </c>
      <c r="AC255" s="17">
        <f ca="1">IF($A255=0,0,SUMIF('Week 1 Roster'!$AZ:$AZ,$B255,'Week 1 Roster'!$AM:$AM))</f>
        <v>0</v>
      </c>
      <c r="AD255" s="17">
        <f ca="1">IF($A255=0,0,SUMIF('Week 1 Roster'!$AZ:$AZ,$B255,'Week 1 Roster'!$AO:$AO))</f>
        <v>0</v>
      </c>
      <c r="AE255" s="38">
        <f ca="1">IF($A255=0,0,SUMIF('Week 1 Roster'!$AZ:$AZ,$B255,'Week 1 Roster'!$AP:$AP))</f>
        <v>0</v>
      </c>
      <c r="AF255" s="17">
        <f ca="1">IF($A255=0,0,SUMIF('Week 1 Roster'!$AZ:$AZ,$B255,'Week 1 Roster'!$AQ:$AQ))</f>
        <v>0</v>
      </c>
      <c r="AG255" s="17">
        <f ca="1">IF($A255=0,0,SUMIF('Week 1 Roster'!$AZ:$AZ,$B255,'Week 1 Roster'!$AR:$AR))</f>
        <v>0</v>
      </c>
      <c r="AH255" s="17">
        <f ca="1">IF($A255=0,0,SUMIF('Week 1 Roster'!$AZ:$AZ,$B255,'Week 1 Roster'!$AS:$AS))</f>
        <v>0</v>
      </c>
      <c r="AI255" s="17">
        <f t="shared" ca="1" si="82"/>
        <v>0</v>
      </c>
      <c r="AK255" s="17">
        <f ca="1">IF($A255=0,0,SUMIF('Week 2 Roster'!$AZ:$AZ,$B255,'Week 2 Roster'!$AE:$AE))</f>
        <v>0</v>
      </c>
      <c r="AL255" s="17">
        <f ca="1">IF($A255=0,0,SUMIF('Week 2 Roster'!$AZ:$AZ,$B255,'Week 2 Roster'!$AG:$AG))</f>
        <v>0</v>
      </c>
      <c r="AM255" s="17">
        <f ca="1">IF($A255=0,0,SUMIF('Week 2 Roster'!$AZ:$AZ,$B255,'Week 2 Roster'!$AI:$AI))</f>
        <v>0</v>
      </c>
      <c r="AN255" s="17">
        <f ca="1">IF($A255=0,0,SUMIF('Week 2 Roster'!$AZ:$AZ,$B255,'Week 2 Roster'!$AK:$AK))</f>
        <v>0</v>
      </c>
      <c r="AO255" s="17">
        <f ca="1">IF($A255=0,0,SUMIF('Week 2 Roster'!$AZ:$AZ,$B255,'Week 2 Roster'!$AM:$AM))</f>
        <v>0</v>
      </c>
      <c r="AP255" s="17">
        <f ca="1">IF($A255=0,0,SUMIF('Week 2 Roster'!$AZ:$AZ,$B255,'Week 2 Roster'!$AO:$AO))</f>
        <v>0</v>
      </c>
      <c r="AQ255" s="38">
        <f ca="1">IF($A255=0,0,SUMIF('Week 2 Roster'!$AZ:$AZ,$B255,'Week 2 Roster'!$AP:$AP))</f>
        <v>0</v>
      </c>
      <c r="AR255" s="17">
        <f ca="1">IF($A255=0,0,SUMIF('Week 2 Roster'!$AZ:$AZ,$B255,'Week 2 Roster'!$AQ:$AQ))</f>
        <v>0</v>
      </c>
      <c r="AS255" s="17">
        <f ca="1">IF($A255=0,0,SUMIF('Week 2 Roster'!$AZ:$AZ,$B255,'Week 2 Roster'!$AR:$AR))</f>
        <v>0</v>
      </c>
      <c r="AT255" s="17">
        <f ca="1">IF($A255=0,0,SUMIF('Week 2 Roster'!$AZ:$AZ,$B255,'Week 2 Roster'!$AS:$AS))</f>
        <v>0</v>
      </c>
      <c r="AU255" s="17">
        <f t="shared" ca="1" si="83"/>
        <v>0</v>
      </c>
    </row>
    <row r="256" spans="1:47">
      <c r="A256" s="16" cm="1">
        <f t="array" aca="1" ref="A256" ca="1">_xlfn.NUMBERVALUE(INDIRECT(TEXT(MIN(IF(($AW$2:$AX$300&lt;&gt;"")*(COUNTIF($B$1:B255,$AW$2:$AX$300)=0),ROW($2:$300)*100+COLUMN($AW:$AX),7^8)),"R0C00"),)&amp;"")</f>
        <v>0</v>
      </c>
      <c r="B256" s="28" t="str">
        <f t="shared" ca="1" si="69"/>
        <v/>
      </c>
      <c r="C256" s="28" t="str">
        <f ca="1">IF($A256=0,"",VLOOKUP($B256,Employees!$A:$G,2,FALSE))</f>
        <v/>
      </c>
      <c r="D256" s="28" t="str">
        <f ca="1">IF($A256=0,"",VLOOKUP($B256,Employees!$A:$G,3,FALSE))</f>
        <v/>
      </c>
      <c r="E256" s="26" t="str">
        <f ca="1">IF($A256=0,"",VLOOKUP($B256,Employees!$A:$G,5,FALSE))</f>
        <v/>
      </c>
      <c r="F256" s="13" t="str">
        <f ca="1">IF($E256="","",ROUNDDOWN(YEARFRAC($E256, 'Week 1 Roster'!$D$1-1, 1), 0))</f>
        <v/>
      </c>
      <c r="G256" s="13" t="str">
        <f ca="1">IF($E256="","",ROUNDDOWN(YEARFRAC($E256, 'Week 1 Roster'!$D$1+14, 1), 0))</f>
        <v/>
      </c>
      <c r="H256" s="13" t="str">
        <f t="shared" ca="1" si="70"/>
        <v/>
      </c>
      <c r="I256" s="13" t="str">
        <f ca="1">IF($A256=0,"",VLOOKUP($B256,Employees!$A:$G,6,FALSE))</f>
        <v/>
      </c>
      <c r="J256" s="13" t="str">
        <f ca="1">IF($A256=0,"",VLOOKUP($B256,Employees!$A:$G,7,FALSE))</f>
        <v/>
      </c>
      <c r="K256" s="13" t="str">
        <f ca="1">IF($A256=0,"",IF(ISNA(VLOOKUP(A256,'Week 1 Roster'!A:C,2,0)),VLOOKUP(A256,'Week 2 Roster'!A:C,2,0),VLOOKUP(A256,'Week 1 Roster'!A:C,2,0)))</f>
        <v/>
      </c>
      <c r="L256" s="13" t="str">
        <f ca="1">IF($A256=0,"",VLOOKUP(K256,Stores!A:B,2,0))</f>
        <v/>
      </c>
      <c r="M256" s="14">
        <f t="shared" ca="1" si="71"/>
        <v>0</v>
      </c>
      <c r="N256" s="14">
        <f t="shared" ca="1" si="72"/>
        <v>0</v>
      </c>
      <c r="O256" s="14">
        <f t="shared" ca="1" si="73"/>
        <v>0</v>
      </c>
      <c r="P256" s="14">
        <f t="shared" ca="1" si="74"/>
        <v>0</v>
      </c>
      <c r="Q256" s="14">
        <f t="shared" ca="1" si="75"/>
        <v>0</v>
      </c>
      <c r="R256" s="14">
        <f t="shared" ca="1" si="76"/>
        <v>0</v>
      </c>
      <c r="S256" s="28">
        <f t="shared" ca="1" si="77"/>
        <v>0</v>
      </c>
      <c r="T256" s="14">
        <f t="shared" ca="1" si="78"/>
        <v>0</v>
      </c>
      <c r="U256" s="14">
        <f t="shared" ca="1" si="79"/>
        <v>0</v>
      </c>
      <c r="V256" s="14">
        <f t="shared" ca="1" si="80"/>
        <v>0</v>
      </c>
      <c r="W256" s="14">
        <f t="shared" ca="1" si="81"/>
        <v>0</v>
      </c>
      <c r="Y256" s="17">
        <f ca="1">IF($A256=0,0,SUMIF('Week 1 Roster'!$AZ:$AZ,$B256,'Week 1 Roster'!$AE:$AE))</f>
        <v>0</v>
      </c>
      <c r="Z256" s="17">
        <f ca="1">IF($A256=0,0,SUMIF('Week 1 Roster'!$AZ:$AZ,$B256,'Week 1 Roster'!$AG:$AG))</f>
        <v>0</v>
      </c>
      <c r="AA256" s="17">
        <f ca="1">IF($A256=0,0,SUMIF('Week 1 Roster'!$AZ:$AZ,$B256,'Week 1 Roster'!$AI:$AI))</f>
        <v>0</v>
      </c>
      <c r="AB256" s="17">
        <f ca="1">IF($A256=0,0,SUMIF('Week 1 Roster'!$AZ:$AZ,$B256,'Week 1 Roster'!$AK:$AK))</f>
        <v>0</v>
      </c>
      <c r="AC256" s="17">
        <f ca="1">IF($A256=0,0,SUMIF('Week 1 Roster'!$AZ:$AZ,$B256,'Week 1 Roster'!$AM:$AM))</f>
        <v>0</v>
      </c>
      <c r="AD256" s="17">
        <f ca="1">IF($A256=0,0,SUMIF('Week 1 Roster'!$AZ:$AZ,$B256,'Week 1 Roster'!$AO:$AO))</f>
        <v>0</v>
      </c>
      <c r="AE256" s="38">
        <f ca="1">IF($A256=0,0,SUMIF('Week 1 Roster'!$AZ:$AZ,$B256,'Week 1 Roster'!$AP:$AP))</f>
        <v>0</v>
      </c>
      <c r="AF256" s="17">
        <f ca="1">IF($A256=0,0,SUMIF('Week 1 Roster'!$AZ:$AZ,$B256,'Week 1 Roster'!$AQ:$AQ))</f>
        <v>0</v>
      </c>
      <c r="AG256" s="17">
        <f ca="1">IF($A256=0,0,SUMIF('Week 1 Roster'!$AZ:$AZ,$B256,'Week 1 Roster'!$AR:$AR))</f>
        <v>0</v>
      </c>
      <c r="AH256" s="17">
        <f ca="1">IF($A256=0,0,SUMIF('Week 1 Roster'!$AZ:$AZ,$B256,'Week 1 Roster'!$AS:$AS))</f>
        <v>0</v>
      </c>
      <c r="AI256" s="17">
        <f t="shared" ca="1" si="82"/>
        <v>0</v>
      </c>
      <c r="AK256" s="17">
        <f ca="1">IF($A256=0,0,SUMIF('Week 2 Roster'!$AZ:$AZ,$B256,'Week 2 Roster'!$AE:$AE))</f>
        <v>0</v>
      </c>
      <c r="AL256" s="17">
        <f ca="1">IF($A256=0,0,SUMIF('Week 2 Roster'!$AZ:$AZ,$B256,'Week 2 Roster'!$AG:$AG))</f>
        <v>0</v>
      </c>
      <c r="AM256" s="17">
        <f ca="1">IF($A256=0,0,SUMIF('Week 2 Roster'!$AZ:$AZ,$B256,'Week 2 Roster'!$AI:$AI))</f>
        <v>0</v>
      </c>
      <c r="AN256" s="17">
        <f ca="1">IF($A256=0,0,SUMIF('Week 2 Roster'!$AZ:$AZ,$B256,'Week 2 Roster'!$AK:$AK))</f>
        <v>0</v>
      </c>
      <c r="AO256" s="17">
        <f ca="1">IF($A256=0,0,SUMIF('Week 2 Roster'!$AZ:$AZ,$B256,'Week 2 Roster'!$AM:$AM))</f>
        <v>0</v>
      </c>
      <c r="AP256" s="17">
        <f ca="1">IF($A256=0,0,SUMIF('Week 2 Roster'!$AZ:$AZ,$B256,'Week 2 Roster'!$AO:$AO))</f>
        <v>0</v>
      </c>
      <c r="AQ256" s="38">
        <f ca="1">IF($A256=0,0,SUMIF('Week 2 Roster'!$AZ:$AZ,$B256,'Week 2 Roster'!$AP:$AP))</f>
        <v>0</v>
      </c>
      <c r="AR256" s="17">
        <f ca="1">IF($A256=0,0,SUMIF('Week 2 Roster'!$AZ:$AZ,$B256,'Week 2 Roster'!$AQ:$AQ))</f>
        <v>0</v>
      </c>
      <c r="AS256" s="17">
        <f ca="1">IF($A256=0,0,SUMIF('Week 2 Roster'!$AZ:$AZ,$B256,'Week 2 Roster'!$AR:$AR))</f>
        <v>0</v>
      </c>
      <c r="AT256" s="17">
        <f ca="1">IF($A256=0,0,SUMIF('Week 2 Roster'!$AZ:$AZ,$B256,'Week 2 Roster'!$AS:$AS))</f>
        <v>0</v>
      </c>
      <c r="AU256" s="17">
        <f t="shared" ca="1" si="83"/>
        <v>0</v>
      </c>
    </row>
    <row r="257" spans="1:47">
      <c r="A257" s="16" cm="1">
        <f t="array" aca="1" ref="A257" ca="1">_xlfn.NUMBERVALUE(INDIRECT(TEXT(MIN(IF(($AW$2:$AX$300&lt;&gt;"")*(COUNTIF($B$1:B256,$AW$2:$AX$300)=0),ROW($2:$300)*100+COLUMN($AW:$AX),7^8)),"R0C00"),)&amp;"")</f>
        <v>0</v>
      </c>
      <c r="B257" s="28" t="str">
        <f t="shared" ca="1" si="69"/>
        <v/>
      </c>
      <c r="C257" s="28" t="str">
        <f ca="1">IF($A257=0,"",VLOOKUP($B257,Employees!$A:$G,2,FALSE))</f>
        <v/>
      </c>
      <c r="D257" s="28" t="str">
        <f ca="1">IF($A257=0,"",VLOOKUP($B257,Employees!$A:$G,3,FALSE))</f>
        <v/>
      </c>
      <c r="E257" s="26" t="str">
        <f ca="1">IF($A257=0,"",VLOOKUP($B257,Employees!$A:$G,5,FALSE))</f>
        <v/>
      </c>
      <c r="F257" s="13" t="str">
        <f ca="1">IF($E257="","",ROUNDDOWN(YEARFRAC($E257, 'Week 1 Roster'!$D$1-1, 1), 0))</f>
        <v/>
      </c>
      <c r="G257" s="13" t="str">
        <f ca="1">IF($E257="","",ROUNDDOWN(YEARFRAC($E257, 'Week 1 Roster'!$D$1+14, 1), 0))</f>
        <v/>
      </c>
      <c r="H257" s="13" t="str">
        <f t="shared" ca="1" si="70"/>
        <v/>
      </c>
      <c r="I257" s="13" t="str">
        <f ca="1">IF($A257=0,"",VLOOKUP($B257,Employees!$A:$G,6,FALSE))</f>
        <v/>
      </c>
      <c r="J257" s="13" t="str">
        <f ca="1">IF($A257=0,"",VLOOKUP($B257,Employees!$A:$G,7,FALSE))</f>
        <v/>
      </c>
      <c r="K257" s="13" t="str">
        <f ca="1">IF($A257=0,"",IF(ISNA(VLOOKUP(A257,'Week 1 Roster'!A:C,2,0)),VLOOKUP(A257,'Week 2 Roster'!A:C,2,0),VLOOKUP(A257,'Week 1 Roster'!A:C,2,0)))</f>
        <v/>
      </c>
      <c r="L257" s="13" t="str">
        <f ca="1">IF($A257=0,"",VLOOKUP(K257,Stores!A:B,2,0))</f>
        <v/>
      </c>
      <c r="M257" s="14">
        <f t="shared" ca="1" si="71"/>
        <v>0</v>
      </c>
      <c r="N257" s="14">
        <f t="shared" ca="1" si="72"/>
        <v>0</v>
      </c>
      <c r="O257" s="14">
        <f t="shared" ca="1" si="73"/>
        <v>0</v>
      </c>
      <c r="P257" s="14">
        <f t="shared" ca="1" si="74"/>
        <v>0</v>
      </c>
      <c r="Q257" s="14">
        <f t="shared" ca="1" si="75"/>
        <v>0</v>
      </c>
      <c r="R257" s="14">
        <f t="shared" ca="1" si="76"/>
        <v>0</v>
      </c>
      <c r="S257" s="28">
        <f t="shared" ca="1" si="77"/>
        <v>0</v>
      </c>
      <c r="T257" s="14">
        <f t="shared" ca="1" si="78"/>
        <v>0</v>
      </c>
      <c r="U257" s="14">
        <f t="shared" ca="1" si="79"/>
        <v>0</v>
      </c>
      <c r="V257" s="14">
        <f t="shared" ca="1" si="80"/>
        <v>0</v>
      </c>
      <c r="W257" s="14">
        <f t="shared" ca="1" si="81"/>
        <v>0</v>
      </c>
      <c r="Y257" s="17">
        <f ca="1">IF($A257=0,0,SUMIF('Week 1 Roster'!$AZ:$AZ,$B257,'Week 1 Roster'!$AE:$AE))</f>
        <v>0</v>
      </c>
      <c r="Z257" s="17">
        <f ca="1">IF($A257=0,0,SUMIF('Week 1 Roster'!$AZ:$AZ,$B257,'Week 1 Roster'!$AG:$AG))</f>
        <v>0</v>
      </c>
      <c r="AA257" s="17">
        <f ca="1">IF($A257=0,0,SUMIF('Week 1 Roster'!$AZ:$AZ,$B257,'Week 1 Roster'!$AI:$AI))</f>
        <v>0</v>
      </c>
      <c r="AB257" s="17">
        <f ca="1">IF($A257=0,0,SUMIF('Week 1 Roster'!$AZ:$AZ,$B257,'Week 1 Roster'!$AK:$AK))</f>
        <v>0</v>
      </c>
      <c r="AC257" s="17">
        <f ca="1">IF($A257=0,0,SUMIF('Week 1 Roster'!$AZ:$AZ,$B257,'Week 1 Roster'!$AM:$AM))</f>
        <v>0</v>
      </c>
      <c r="AD257" s="17">
        <f ca="1">IF($A257=0,0,SUMIF('Week 1 Roster'!$AZ:$AZ,$B257,'Week 1 Roster'!$AO:$AO))</f>
        <v>0</v>
      </c>
      <c r="AE257" s="38">
        <f ca="1">IF($A257=0,0,SUMIF('Week 1 Roster'!$AZ:$AZ,$B257,'Week 1 Roster'!$AP:$AP))</f>
        <v>0</v>
      </c>
      <c r="AF257" s="17">
        <f ca="1">IF($A257=0,0,SUMIF('Week 1 Roster'!$AZ:$AZ,$B257,'Week 1 Roster'!$AQ:$AQ))</f>
        <v>0</v>
      </c>
      <c r="AG257" s="17">
        <f ca="1">IF($A257=0,0,SUMIF('Week 1 Roster'!$AZ:$AZ,$B257,'Week 1 Roster'!$AR:$AR))</f>
        <v>0</v>
      </c>
      <c r="AH257" s="17">
        <f ca="1">IF($A257=0,0,SUMIF('Week 1 Roster'!$AZ:$AZ,$B257,'Week 1 Roster'!$AS:$AS))</f>
        <v>0</v>
      </c>
      <c r="AI257" s="17">
        <f t="shared" ca="1" si="82"/>
        <v>0</v>
      </c>
      <c r="AK257" s="17">
        <f ca="1">IF($A257=0,0,SUMIF('Week 2 Roster'!$AZ:$AZ,$B257,'Week 2 Roster'!$AE:$AE))</f>
        <v>0</v>
      </c>
      <c r="AL257" s="17">
        <f ca="1">IF($A257=0,0,SUMIF('Week 2 Roster'!$AZ:$AZ,$B257,'Week 2 Roster'!$AG:$AG))</f>
        <v>0</v>
      </c>
      <c r="AM257" s="17">
        <f ca="1">IF($A257=0,0,SUMIF('Week 2 Roster'!$AZ:$AZ,$B257,'Week 2 Roster'!$AI:$AI))</f>
        <v>0</v>
      </c>
      <c r="AN257" s="17">
        <f ca="1">IF($A257=0,0,SUMIF('Week 2 Roster'!$AZ:$AZ,$B257,'Week 2 Roster'!$AK:$AK))</f>
        <v>0</v>
      </c>
      <c r="AO257" s="17">
        <f ca="1">IF($A257=0,0,SUMIF('Week 2 Roster'!$AZ:$AZ,$B257,'Week 2 Roster'!$AM:$AM))</f>
        <v>0</v>
      </c>
      <c r="AP257" s="17">
        <f ca="1">IF($A257=0,0,SUMIF('Week 2 Roster'!$AZ:$AZ,$B257,'Week 2 Roster'!$AO:$AO))</f>
        <v>0</v>
      </c>
      <c r="AQ257" s="38">
        <f ca="1">IF($A257=0,0,SUMIF('Week 2 Roster'!$AZ:$AZ,$B257,'Week 2 Roster'!$AP:$AP))</f>
        <v>0</v>
      </c>
      <c r="AR257" s="17">
        <f ca="1">IF($A257=0,0,SUMIF('Week 2 Roster'!$AZ:$AZ,$B257,'Week 2 Roster'!$AQ:$AQ))</f>
        <v>0</v>
      </c>
      <c r="AS257" s="17">
        <f ca="1">IF($A257=0,0,SUMIF('Week 2 Roster'!$AZ:$AZ,$B257,'Week 2 Roster'!$AR:$AR))</f>
        <v>0</v>
      </c>
      <c r="AT257" s="17">
        <f ca="1">IF($A257=0,0,SUMIF('Week 2 Roster'!$AZ:$AZ,$B257,'Week 2 Roster'!$AS:$AS))</f>
        <v>0</v>
      </c>
      <c r="AU257" s="17">
        <f t="shared" ca="1" si="83"/>
        <v>0</v>
      </c>
    </row>
    <row r="258" spans="1:47">
      <c r="A258" s="16" cm="1">
        <f t="array" aca="1" ref="A258" ca="1">_xlfn.NUMBERVALUE(INDIRECT(TEXT(MIN(IF(($AW$2:$AX$300&lt;&gt;"")*(COUNTIF($B$1:B257,$AW$2:$AX$300)=0),ROW($2:$300)*100+COLUMN($AW:$AX),7^8)),"R0C00"),)&amp;"")</f>
        <v>0</v>
      </c>
      <c r="B258" s="28" t="str">
        <f t="shared" ca="1" si="69"/>
        <v/>
      </c>
      <c r="C258" s="28" t="str">
        <f ca="1">IF($A258=0,"",VLOOKUP($B258,Employees!$A:$G,2,FALSE))</f>
        <v/>
      </c>
      <c r="D258" s="28" t="str">
        <f ca="1">IF($A258=0,"",VLOOKUP($B258,Employees!$A:$G,3,FALSE))</f>
        <v/>
      </c>
      <c r="E258" s="26" t="str">
        <f ca="1">IF($A258=0,"",VLOOKUP($B258,Employees!$A:$G,5,FALSE))</f>
        <v/>
      </c>
      <c r="F258" s="13" t="str">
        <f ca="1">IF($E258="","",ROUNDDOWN(YEARFRAC($E258, 'Week 1 Roster'!$D$1-1, 1), 0))</f>
        <v/>
      </c>
      <c r="G258" s="13" t="str">
        <f ca="1">IF($E258="","",ROUNDDOWN(YEARFRAC($E258, 'Week 1 Roster'!$D$1+14, 1), 0))</f>
        <v/>
      </c>
      <c r="H258" s="13" t="str">
        <f t="shared" ca="1" si="70"/>
        <v/>
      </c>
      <c r="I258" s="13" t="str">
        <f ca="1">IF($A258=0,"",VLOOKUP($B258,Employees!$A:$G,6,FALSE))</f>
        <v/>
      </c>
      <c r="J258" s="13" t="str">
        <f ca="1">IF($A258=0,"",VLOOKUP($B258,Employees!$A:$G,7,FALSE))</f>
        <v/>
      </c>
      <c r="K258" s="13" t="str">
        <f ca="1">IF($A258=0,"",IF(ISNA(VLOOKUP(A258,'Week 1 Roster'!A:C,2,0)),VLOOKUP(A258,'Week 2 Roster'!A:C,2,0),VLOOKUP(A258,'Week 1 Roster'!A:C,2,0)))</f>
        <v/>
      </c>
      <c r="L258" s="13" t="str">
        <f ca="1">IF($A258=0,"",VLOOKUP(K258,Stores!A:B,2,0))</f>
        <v/>
      </c>
      <c r="M258" s="14">
        <f t="shared" ca="1" si="71"/>
        <v>0</v>
      </c>
      <c r="N258" s="14">
        <f t="shared" ca="1" si="72"/>
        <v>0</v>
      </c>
      <c r="O258" s="14">
        <f t="shared" ca="1" si="73"/>
        <v>0</v>
      </c>
      <c r="P258" s="14">
        <f t="shared" ca="1" si="74"/>
        <v>0</v>
      </c>
      <c r="Q258" s="14">
        <f t="shared" ca="1" si="75"/>
        <v>0</v>
      </c>
      <c r="R258" s="14">
        <f t="shared" ca="1" si="76"/>
        <v>0</v>
      </c>
      <c r="S258" s="28">
        <f t="shared" ca="1" si="77"/>
        <v>0</v>
      </c>
      <c r="T258" s="14">
        <f t="shared" ca="1" si="78"/>
        <v>0</v>
      </c>
      <c r="U258" s="14">
        <f t="shared" ca="1" si="79"/>
        <v>0</v>
      </c>
      <c r="V258" s="14">
        <f t="shared" ca="1" si="80"/>
        <v>0</v>
      </c>
      <c r="W258" s="14">
        <f t="shared" ca="1" si="81"/>
        <v>0</v>
      </c>
      <c r="Y258" s="17">
        <f ca="1">IF($A258=0,0,SUMIF('Week 1 Roster'!$AZ:$AZ,$B258,'Week 1 Roster'!$AE:$AE))</f>
        <v>0</v>
      </c>
      <c r="Z258" s="17">
        <f ca="1">IF($A258=0,0,SUMIF('Week 1 Roster'!$AZ:$AZ,$B258,'Week 1 Roster'!$AG:$AG))</f>
        <v>0</v>
      </c>
      <c r="AA258" s="17">
        <f ca="1">IF($A258=0,0,SUMIF('Week 1 Roster'!$AZ:$AZ,$B258,'Week 1 Roster'!$AI:$AI))</f>
        <v>0</v>
      </c>
      <c r="AB258" s="17">
        <f ca="1">IF($A258=0,0,SUMIF('Week 1 Roster'!$AZ:$AZ,$B258,'Week 1 Roster'!$AK:$AK))</f>
        <v>0</v>
      </c>
      <c r="AC258" s="17">
        <f ca="1">IF($A258=0,0,SUMIF('Week 1 Roster'!$AZ:$AZ,$B258,'Week 1 Roster'!$AM:$AM))</f>
        <v>0</v>
      </c>
      <c r="AD258" s="17">
        <f ca="1">IF($A258=0,0,SUMIF('Week 1 Roster'!$AZ:$AZ,$B258,'Week 1 Roster'!$AO:$AO))</f>
        <v>0</v>
      </c>
      <c r="AE258" s="38">
        <f ca="1">IF($A258=0,0,SUMIF('Week 1 Roster'!$AZ:$AZ,$B258,'Week 1 Roster'!$AP:$AP))</f>
        <v>0</v>
      </c>
      <c r="AF258" s="17">
        <f ca="1">IF($A258=0,0,SUMIF('Week 1 Roster'!$AZ:$AZ,$B258,'Week 1 Roster'!$AQ:$AQ))</f>
        <v>0</v>
      </c>
      <c r="AG258" s="17">
        <f ca="1">IF($A258=0,0,SUMIF('Week 1 Roster'!$AZ:$AZ,$B258,'Week 1 Roster'!$AR:$AR))</f>
        <v>0</v>
      </c>
      <c r="AH258" s="17">
        <f ca="1">IF($A258=0,0,SUMIF('Week 1 Roster'!$AZ:$AZ,$B258,'Week 1 Roster'!$AS:$AS))</f>
        <v>0</v>
      </c>
      <c r="AI258" s="17">
        <f t="shared" ca="1" si="82"/>
        <v>0</v>
      </c>
      <c r="AK258" s="17">
        <f ca="1">IF($A258=0,0,SUMIF('Week 2 Roster'!$AZ:$AZ,$B258,'Week 2 Roster'!$AE:$AE))</f>
        <v>0</v>
      </c>
      <c r="AL258" s="17">
        <f ca="1">IF($A258=0,0,SUMIF('Week 2 Roster'!$AZ:$AZ,$B258,'Week 2 Roster'!$AG:$AG))</f>
        <v>0</v>
      </c>
      <c r="AM258" s="17">
        <f ca="1">IF($A258=0,0,SUMIF('Week 2 Roster'!$AZ:$AZ,$B258,'Week 2 Roster'!$AI:$AI))</f>
        <v>0</v>
      </c>
      <c r="AN258" s="17">
        <f ca="1">IF($A258=0,0,SUMIF('Week 2 Roster'!$AZ:$AZ,$B258,'Week 2 Roster'!$AK:$AK))</f>
        <v>0</v>
      </c>
      <c r="AO258" s="17">
        <f ca="1">IF($A258=0,0,SUMIF('Week 2 Roster'!$AZ:$AZ,$B258,'Week 2 Roster'!$AM:$AM))</f>
        <v>0</v>
      </c>
      <c r="AP258" s="17">
        <f ca="1">IF($A258=0,0,SUMIF('Week 2 Roster'!$AZ:$AZ,$B258,'Week 2 Roster'!$AO:$AO))</f>
        <v>0</v>
      </c>
      <c r="AQ258" s="38">
        <f ca="1">IF($A258=0,0,SUMIF('Week 2 Roster'!$AZ:$AZ,$B258,'Week 2 Roster'!$AP:$AP))</f>
        <v>0</v>
      </c>
      <c r="AR258" s="17">
        <f ca="1">IF($A258=0,0,SUMIF('Week 2 Roster'!$AZ:$AZ,$B258,'Week 2 Roster'!$AQ:$AQ))</f>
        <v>0</v>
      </c>
      <c r="AS258" s="17">
        <f ca="1">IF($A258=0,0,SUMIF('Week 2 Roster'!$AZ:$AZ,$B258,'Week 2 Roster'!$AR:$AR))</f>
        <v>0</v>
      </c>
      <c r="AT258" s="17">
        <f ca="1">IF($A258=0,0,SUMIF('Week 2 Roster'!$AZ:$AZ,$B258,'Week 2 Roster'!$AS:$AS))</f>
        <v>0</v>
      </c>
      <c r="AU258" s="17">
        <f t="shared" ca="1" si="83"/>
        <v>0</v>
      </c>
    </row>
    <row r="259" spans="1:47">
      <c r="A259" s="16" cm="1">
        <f t="array" aca="1" ref="A259" ca="1">_xlfn.NUMBERVALUE(INDIRECT(TEXT(MIN(IF(($AW$2:$AX$300&lt;&gt;"")*(COUNTIF($B$1:B258,$AW$2:$AX$300)=0),ROW($2:$300)*100+COLUMN($AW:$AX),7^8)),"R0C00"),)&amp;"")</f>
        <v>0</v>
      </c>
      <c r="B259" s="28" t="str">
        <f t="shared" ca="1" si="69"/>
        <v/>
      </c>
      <c r="C259" s="28" t="str">
        <f ca="1">IF($A259=0,"",VLOOKUP($B259,Employees!$A:$G,2,FALSE))</f>
        <v/>
      </c>
      <c r="D259" s="28" t="str">
        <f ca="1">IF($A259=0,"",VLOOKUP($B259,Employees!$A:$G,3,FALSE))</f>
        <v/>
      </c>
      <c r="E259" s="26" t="str">
        <f ca="1">IF($A259=0,"",VLOOKUP($B259,Employees!$A:$G,5,FALSE))</f>
        <v/>
      </c>
      <c r="F259" s="13" t="str">
        <f ca="1">IF($E259="","",ROUNDDOWN(YEARFRAC($E259, 'Week 1 Roster'!$D$1-1, 1), 0))</f>
        <v/>
      </c>
      <c r="G259" s="13" t="str">
        <f ca="1">IF($E259="","",ROUNDDOWN(YEARFRAC($E259, 'Week 1 Roster'!$D$1+14, 1), 0))</f>
        <v/>
      </c>
      <c r="H259" s="13" t="str">
        <f t="shared" ca="1" si="70"/>
        <v/>
      </c>
      <c r="I259" s="13" t="str">
        <f ca="1">IF($A259=0,"",VLOOKUP($B259,Employees!$A:$G,6,FALSE))</f>
        <v/>
      </c>
      <c r="J259" s="13" t="str">
        <f ca="1">IF($A259=0,"",VLOOKUP($B259,Employees!$A:$G,7,FALSE))</f>
        <v/>
      </c>
      <c r="K259" s="13" t="str">
        <f ca="1">IF($A259=0,"",IF(ISNA(VLOOKUP(A259,'Week 1 Roster'!A:C,2,0)),VLOOKUP(A259,'Week 2 Roster'!A:C,2,0),VLOOKUP(A259,'Week 1 Roster'!A:C,2,0)))</f>
        <v/>
      </c>
      <c r="L259" s="13" t="str">
        <f ca="1">IF($A259=0,"",VLOOKUP(K259,Stores!A:B,2,0))</f>
        <v/>
      </c>
      <c r="M259" s="14">
        <f t="shared" ca="1" si="71"/>
        <v>0</v>
      </c>
      <c r="N259" s="14">
        <f t="shared" ca="1" si="72"/>
        <v>0</v>
      </c>
      <c r="O259" s="14">
        <f t="shared" ca="1" si="73"/>
        <v>0</v>
      </c>
      <c r="P259" s="14">
        <f t="shared" ca="1" si="74"/>
        <v>0</v>
      </c>
      <c r="Q259" s="14">
        <f t="shared" ca="1" si="75"/>
        <v>0</v>
      </c>
      <c r="R259" s="14">
        <f t="shared" ca="1" si="76"/>
        <v>0</v>
      </c>
      <c r="S259" s="28">
        <f t="shared" ca="1" si="77"/>
        <v>0</v>
      </c>
      <c r="T259" s="14">
        <f t="shared" ca="1" si="78"/>
        <v>0</v>
      </c>
      <c r="U259" s="14">
        <f t="shared" ca="1" si="79"/>
        <v>0</v>
      </c>
      <c r="V259" s="14">
        <f t="shared" ca="1" si="80"/>
        <v>0</v>
      </c>
      <c r="W259" s="14">
        <f t="shared" ca="1" si="81"/>
        <v>0</v>
      </c>
      <c r="Y259" s="17">
        <f ca="1">IF($A259=0,0,SUMIF('Week 1 Roster'!$AZ:$AZ,$B259,'Week 1 Roster'!$AE:$AE))</f>
        <v>0</v>
      </c>
      <c r="Z259" s="17">
        <f ca="1">IF($A259=0,0,SUMIF('Week 1 Roster'!$AZ:$AZ,$B259,'Week 1 Roster'!$AG:$AG))</f>
        <v>0</v>
      </c>
      <c r="AA259" s="17">
        <f ca="1">IF($A259=0,0,SUMIF('Week 1 Roster'!$AZ:$AZ,$B259,'Week 1 Roster'!$AI:$AI))</f>
        <v>0</v>
      </c>
      <c r="AB259" s="17">
        <f ca="1">IF($A259=0,0,SUMIF('Week 1 Roster'!$AZ:$AZ,$B259,'Week 1 Roster'!$AK:$AK))</f>
        <v>0</v>
      </c>
      <c r="AC259" s="17">
        <f ca="1">IF($A259=0,0,SUMIF('Week 1 Roster'!$AZ:$AZ,$B259,'Week 1 Roster'!$AM:$AM))</f>
        <v>0</v>
      </c>
      <c r="AD259" s="17">
        <f ca="1">IF($A259=0,0,SUMIF('Week 1 Roster'!$AZ:$AZ,$B259,'Week 1 Roster'!$AO:$AO))</f>
        <v>0</v>
      </c>
      <c r="AE259" s="38">
        <f ca="1">IF($A259=0,0,SUMIF('Week 1 Roster'!$AZ:$AZ,$B259,'Week 1 Roster'!$AP:$AP))</f>
        <v>0</v>
      </c>
      <c r="AF259" s="17">
        <f ca="1">IF($A259=0,0,SUMIF('Week 1 Roster'!$AZ:$AZ,$B259,'Week 1 Roster'!$AQ:$AQ))</f>
        <v>0</v>
      </c>
      <c r="AG259" s="17">
        <f ca="1">IF($A259=0,0,SUMIF('Week 1 Roster'!$AZ:$AZ,$B259,'Week 1 Roster'!$AR:$AR))</f>
        <v>0</v>
      </c>
      <c r="AH259" s="17">
        <f ca="1">IF($A259=0,0,SUMIF('Week 1 Roster'!$AZ:$AZ,$B259,'Week 1 Roster'!$AS:$AS))</f>
        <v>0</v>
      </c>
      <c r="AI259" s="17">
        <f t="shared" ca="1" si="82"/>
        <v>0</v>
      </c>
      <c r="AK259" s="17">
        <f ca="1">IF($A259=0,0,SUMIF('Week 2 Roster'!$AZ:$AZ,$B259,'Week 2 Roster'!$AE:$AE))</f>
        <v>0</v>
      </c>
      <c r="AL259" s="17">
        <f ca="1">IF($A259=0,0,SUMIF('Week 2 Roster'!$AZ:$AZ,$B259,'Week 2 Roster'!$AG:$AG))</f>
        <v>0</v>
      </c>
      <c r="AM259" s="17">
        <f ca="1">IF($A259=0,0,SUMIF('Week 2 Roster'!$AZ:$AZ,$B259,'Week 2 Roster'!$AI:$AI))</f>
        <v>0</v>
      </c>
      <c r="AN259" s="17">
        <f ca="1">IF($A259=0,0,SUMIF('Week 2 Roster'!$AZ:$AZ,$B259,'Week 2 Roster'!$AK:$AK))</f>
        <v>0</v>
      </c>
      <c r="AO259" s="17">
        <f ca="1">IF($A259=0,0,SUMIF('Week 2 Roster'!$AZ:$AZ,$B259,'Week 2 Roster'!$AM:$AM))</f>
        <v>0</v>
      </c>
      <c r="AP259" s="17">
        <f ca="1">IF($A259=0,0,SUMIF('Week 2 Roster'!$AZ:$AZ,$B259,'Week 2 Roster'!$AO:$AO))</f>
        <v>0</v>
      </c>
      <c r="AQ259" s="38">
        <f ca="1">IF($A259=0,0,SUMIF('Week 2 Roster'!$AZ:$AZ,$B259,'Week 2 Roster'!$AP:$AP))</f>
        <v>0</v>
      </c>
      <c r="AR259" s="17">
        <f ca="1">IF($A259=0,0,SUMIF('Week 2 Roster'!$AZ:$AZ,$B259,'Week 2 Roster'!$AQ:$AQ))</f>
        <v>0</v>
      </c>
      <c r="AS259" s="17">
        <f ca="1">IF($A259=0,0,SUMIF('Week 2 Roster'!$AZ:$AZ,$B259,'Week 2 Roster'!$AR:$AR))</f>
        <v>0</v>
      </c>
      <c r="AT259" s="17">
        <f ca="1">IF($A259=0,0,SUMIF('Week 2 Roster'!$AZ:$AZ,$B259,'Week 2 Roster'!$AS:$AS))</f>
        <v>0</v>
      </c>
      <c r="AU259" s="17">
        <f t="shared" ca="1" si="83"/>
        <v>0</v>
      </c>
    </row>
    <row r="260" spans="1:47">
      <c r="A260" s="16" cm="1">
        <f t="array" aca="1" ref="A260" ca="1">_xlfn.NUMBERVALUE(INDIRECT(TEXT(MIN(IF(($AW$2:$AX$300&lt;&gt;"")*(COUNTIF($B$1:B259,$AW$2:$AX$300)=0),ROW($2:$300)*100+COLUMN($AW:$AX),7^8)),"R0C00"),)&amp;"")</f>
        <v>0</v>
      </c>
      <c r="B260" s="28" t="str">
        <f t="shared" ca="1" si="69"/>
        <v/>
      </c>
      <c r="C260" s="28" t="str">
        <f ca="1">IF($A260=0,"",VLOOKUP($B260,Employees!$A:$G,2,FALSE))</f>
        <v/>
      </c>
      <c r="D260" s="28" t="str">
        <f ca="1">IF($A260=0,"",VLOOKUP($B260,Employees!$A:$G,3,FALSE))</f>
        <v/>
      </c>
      <c r="E260" s="26" t="str">
        <f ca="1">IF($A260=0,"",VLOOKUP($B260,Employees!$A:$G,5,FALSE))</f>
        <v/>
      </c>
      <c r="F260" s="13" t="str">
        <f ca="1">IF($E260="","",ROUNDDOWN(YEARFRAC($E260, 'Week 1 Roster'!$D$1-1, 1), 0))</f>
        <v/>
      </c>
      <c r="G260" s="13" t="str">
        <f ca="1">IF($E260="","",ROUNDDOWN(YEARFRAC($E260, 'Week 1 Roster'!$D$1+14, 1), 0))</f>
        <v/>
      </c>
      <c r="H260" s="13" t="str">
        <f t="shared" ca="1" si="70"/>
        <v/>
      </c>
      <c r="I260" s="13" t="str">
        <f ca="1">IF($A260=0,"",VLOOKUP($B260,Employees!$A:$G,6,FALSE))</f>
        <v/>
      </c>
      <c r="J260" s="13" t="str">
        <f ca="1">IF($A260=0,"",VLOOKUP($B260,Employees!$A:$G,7,FALSE))</f>
        <v/>
      </c>
      <c r="K260" s="13" t="str">
        <f ca="1">IF($A260=0,"",IF(ISNA(VLOOKUP(A260,'Week 1 Roster'!A:C,2,0)),VLOOKUP(A260,'Week 2 Roster'!A:C,2,0),VLOOKUP(A260,'Week 1 Roster'!A:C,2,0)))</f>
        <v/>
      </c>
      <c r="L260" s="13" t="str">
        <f ca="1">IF($A260=0,"",VLOOKUP(K260,Stores!A:B,2,0))</f>
        <v/>
      </c>
      <c r="M260" s="14">
        <f t="shared" ca="1" si="71"/>
        <v>0</v>
      </c>
      <c r="N260" s="14">
        <f t="shared" ca="1" si="72"/>
        <v>0</v>
      </c>
      <c r="O260" s="14">
        <f t="shared" ca="1" si="73"/>
        <v>0</v>
      </c>
      <c r="P260" s="14">
        <f t="shared" ca="1" si="74"/>
        <v>0</v>
      </c>
      <c r="Q260" s="14">
        <f t="shared" ca="1" si="75"/>
        <v>0</v>
      </c>
      <c r="R260" s="14">
        <f t="shared" ca="1" si="76"/>
        <v>0</v>
      </c>
      <c r="S260" s="28">
        <f t="shared" ca="1" si="77"/>
        <v>0</v>
      </c>
      <c r="T260" s="14">
        <f t="shared" ca="1" si="78"/>
        <v>0</v>
      </c>
      <c r="U260" s="14">
        <f t="shared" ca="1" si="79"/>
        <v>0</v>
      </c>
      <c r="V260" s="14">
        <f t="shared" ca="1" si="80"/>
        <v>0</v>
      </c>
      <c r="W260" s="14">
        <f t="shared" ca="1" si="81"/>
        <v>0</v>
      </c>
      <c r="Y260" s="17">
        <f ca="1">IF($A260=0,0,SUMIF('Week 1 Roster'!$AZ:$AZ,$B260,'Week 1 Roster'!$AE:$AE))</f>
        <v>0</v>
      </c>
      <c r="Z260" s="17">
        <f ca="1">IF($A260=0,0,SUMIF('Week 1 Roster'!$AZ:$AZ,$B260,'Week 1 Roster'!$AG:$AG))</f>
        <v>0</v>
      </c>
      <c r="AA260" s="17">
        <f ca="1">IF($A260=0,0,SUMIF('Week 1 Roster'!$AZ:$AZ,$B260,'Week 1 Roster'!$AI:$AI))</f>
        <v>0</v>
      </c>
      <c r="AB260" s="17">
        <f ca="1">IF($A260=0,0,SUMIF('Week 1 Roster'!$AZ:$AZ,$B260,'Week 1 Roster'!$AK:$AK))</f>
        <v>0</v>
      </c>
      <c r="AC260" s="17">
        <f ca="1">IF($A260=0,0,SUMIF('Week 1 Roster'!$AZ:$AZ,$B260,'Week 1 Roster'!$AM:$AM))</f>
        <v>0</v>
      </c>
      <c r="AD260" s="17">
        <f ca="1">IF($A260=0,0,SUMIF('Week 1 Roster'!$AZ:$AZ,$B260,'Week 1 Roster'!$AO:$AO))</f>
        <v>0</v>
      </c>
      <c r="AE260" s="38">
        <f ca="1">IF($A260=0,0,SUMIF('Week 1 Roster'!$AZ:$AZ,$B260,'Week 1 Roster'!$AP:$AP))</f>
        <v>0</v>
      </c>
      <c r="AF260" s="17">
        <f ca="1">IF($A260=0,0,SUMIF('Week 1 Roster'!$AZ:$AZ,$B260,'Week 1 Roster'!$AQ:$AQ))</f>
        <v>0</v>
      </c>
      <c r="AG260" s="17">
        <f ca="1">IF($A260=0,0,SUMIF('Week 1 Roster'!$AZ:$AZ,$B260,'Week 1 Roster'!$AR:$AR))</f>
        <v>0</v>
      </c>
      <c r="AH260" s="17">
        <f ca="1">IF($A260=0,0,SUMIF('Week 1 Roster'!$AZ:$AZ,$B260,'Week 1 Roster'!$AS:$AS))</f>
        <v>0</v>
      </c>
      <c r="AI260" s="17">
        <f t="shared" ca="1" si="82"/>
        <v>0</v>
      </c>
      <c r="AK260" s="17">
        <f ca="1">IF($A260=0,0,SUMIF('Week 2 Roster'!$AZ:$AZ,$B260,'Week 2 Roster'!$AE:$AE))</f>
        <v>0</v>
      </c>
      <c r="AL260" s="17">
        <f ca="1">IF($A260=0,0,SUMIF('Week 2 Roster'!$AZ:$AZ,$B260,'Week 2 Roster'!$AG:$AG))</f>
        <v>0</v>
      </c>
      <c r="AM260" s="17">
        <f ca="1">IF($A260=0,0,SUMIF('Week 2 Roster'!$AZ:$AZ,$B260,'Week 2 Roster'!$AI:$AI))</f>
        <v>0</v>
      </c>
      <c r="AN260" s="17">
        <f ca="1">IF($A260=0,0,SUMIF('Week 2 Roster'!$AZ:$AZ,$B260,'Week 2 Roster'!$AK:$AK))</f>
        <v>0</v>
      </c>
      <c r="AO260" s="17">
        <f ca="1">IF($A260=0,0,SUMIF('Week 2 Roster'!$AZ:$AZ,$B260,'Week 2 Roster'!$AM:$AM))</f>
        <v>0</v>
      </c>
      <c r="AP260" s="17">
        <f ca="1">IF($A260=0,0,SUMIF('Week 2 Roster'!$AZ:$AZ,$B260,'Week 2 Roster'!$AO:$AO))</f>
        <v>0</v>
      </c>
      <c r="AQ260" s="38">
        <f ca="1">IF($A260=0,0,SUMIF('Week 2 Roster'!$AZ:$AZ,$B260,'Week 2 Roster'!$AP:$AP))</f>
        <v>0</v>
      </c>
      <c r="AR260" s="17">
        <f ca="1">IF($A260=0,0,SUMIF('Week 2 Roster'!$AZ:$AZ,$B260,'Week 2 Roster'!$AQ:$AQ))</f>
        <v>0</v>
      </c>
      <c r="AS260" s="17">
        <f ca="1">IF($A260=0,0,SUMIF('Week 2 Roster'!$AZ:$AZ,$B260,'Week 2 Roster'!$AR:$AR))</f>
        <v>0</v>
      </c>
      <c r="AT260" s="17">
        <f ca="1">IF($A260=0,0,SUMIF('Week 2 Roster'!$AZ:$AZ,$B260,'Week 2 Roster'!$AS:$AS))</f>
        <v>0</v>
      </c>
      <c r="AU260" s="17">
        <f t="shared" ca="1" si="83"/>
        <v>0</v>
      </c>
    </row>
    <row r="261" spans="1:47">
      <c r="A261" s="16" cm="1">
        <f t="array" aca="1" ref="A261" ca="1">_xlfn.NUMBERVALUE(INDIRECT(TEXT(MIN(IF(($AW$2:$AX$300&lt;&gt;"")*(COUNTIF($B$1:B260,$AW$2:$AX$300)=0),ROW($2:$300)*100+COLUMN($AW:$AX),7^8)),"R0C00"),)&amp;"")</f>
        <v>0</v>
      </c>
      <c r="B261" s="28" t="str">
        <f t="shared" ca="1" si="69"/>
        <v/>
      </c>
      <c r="C261" s="28" t="str">
        <f ca="1">IF($A261=0,"",VLOOKUP($B261,Employees!$A:$G,2,FALSE))</f>
        <v/>
      </c>
      <c r="D261" s="28" t="str">
        <f ca="1">IF($A261=0,"",VLOOKUP($B261,Employees!$A:$G,3,FALSE))</f>
        <v/>
      </c>
      <c r="E261" s="26" t="str">
        <f ca="1">IF($A261=0,"",VLOOKUP($B261,Employees!$A:$G,5,FALSE))</f>
        <v/>
      </c>
      <c r="F261" s="13" t="str">
        <f ca="1">IF($E261="","",ROUNDDOWN(YEARFRAC($E261, 'Week 1 Roster'!$D$1-1, 1), 0))</f>
        <v/>
      </c>
      <c r="G261" s="13" t="str">
        <f ca="1">IF($E261="","",ROUNDDOWN(YEARFRAC($E261, 'Week 1 Roster'!$D$1+14, 1), 0))</f>
        <v/>
      </c>
      <c r="H261" s="13" t="str">
        <f t="shared" ca="1" si="70"/>
        <v/>
      </c>
      <c r="I261" s="13" t="str">
        <f ca="1">IF($A261=0,"",VLOOKUP($B261,Employees!$A:$G,6,FALSE))</f>
        <v/>
      </c>
      <c r="J261" s="13" t="str">
        <f ca="1">IF($A261=0,"",VLOOKUP($B261,Employees!$A:$G,7,FALSE))</f>
        <v/>
      </c>
      <c r="K261" s="13" t="str">
        <f ca="1">IF($A261=0,"",IF(ISNA(VLOOKUP(A261,'Week 1 Roster'!A:C,2,0)),VLOOKUP(A261,'Week 2 Roster'!A:C,2,0),VLOOKUP(A261,'Week 1 Roster'!A:C,2,0)))</f>
        <v/>
      </c>
      <c r="L261" s="13" t="str">
        <f ca="1">IF($A261=0,"",VLOOKUP(K261,Stores!A:B,2,0))</f>
        <v/>
      </c>
      <c r="M261" s="14">
        <f t="shared" ca="1" si="71"/>
        <v>0</v>
      </c>
      <c r="N261" s="14">
        <f t="shared" ca="1" si="72"/>
        <v>0</v>
      </c>
      <c r="O261" s="14">
        <f t="shared" ca="1" si="73"/>
        <v>0</v>
      </c>
      <c r="P261" s="14">
        <f t="shared" ca="1" si="74"/>
        <v>0</v>
      </c>
      <c r="Q261" s="14">
        <f t="shared" ca="1" si="75"/>
        <v>0</v>
      </c>
      <c r="R261" s="14">
        <f t="shared" ca="1" si="76"/>
        <v>0</v>
      </c>
      <c r="S261" s="28">
        <f t="shared" ca="1" si="77"/>
        <v>0</v>
      </c>
      <c r="T261" s="14">
        <f t="shared" ca="1" si="78"/>
        <v>0</v>
      </c>
      <c r="U261" s="14">
        <f t="shared" ca="1" si="79"/>
        <v>0</v>
      </c>
      <c r="V261" s="14">
        <f t="shared" ca="1" si="80"/>
        <v>0</v>
      </c>
      <c r="W261" s="14">
        <f t="shared" ca="1" si="81"/>
        <v>0</v>
      </c>
      <c r="Y261" s="17">
        <f ca="1">IF($A261=0,0,SUMIF('Week 1 Roster'!$AZ:$AZ,$B261,'Week 1 Roster'!$AE:$AE))</f>
        <v>0</v>
      </c>
      <c r="Z261" s="17">
        <f ca="1">IF($A261=0,0,SUMIF('Week 1 Roster'!$AZ:$AZ,$B261,'Week 1 Roster'!$AG:$AG))</f>
        <v>0</v>
      </c>
      <c r="AA261" s="17">
        <f ca="1">IF($A261=0,0,SUMIF('Week 1 Roster'!$AZ:$AZ,$B261,'Week 1 Roster'!$AI:$AI))</f>
        <v>0</v>
      </c>
      <c r="AB261" s="17">
        <f ca="1">IF($A261=0,0,SUMIF('Week 1 Roster'!$AZ:$AZ,$B261,'Week 1 Roster'!$AK:$AK))</f>
        <v>0</v>
      </c>
      <c r="AC261" s="17">
        <f ca="1">IF($A261=0,0,SUMIF('Week 1 Roster'!$AZ:$AZ,$B261,'Week 1 Roster'!$AM:$AM))</f>
        <v>0</v>
      </c>
      <c r="AD261" s="17">
        <f ca="1">IF($A261=0,0,SUMIF('Week 1 Roster'!$AZ:$AZ,$B261,'Week 1 Roster'!$AO:$AO))</f>
        <v>0</v>
      </c>
      <c r="AE261" s="38">
        <f ca="1">IF($A261=0,0,SUMIF('Week 1 Roster'!$AZ:$AZ,$B261,'Week 1 Roster'!$AP:$AP))</f>
        <v>0</v>
      </c>
      <c r="AF261" s="17">
        <f ca="1">IF($A261=0,0,SUMIF('Week 1 Roster'!$AZ:$AZ,$B261,'Week 1 Roster'!$AQ:$AQ))</f>
        <v>0</v>
      </c>
      <c r="AG261" s="17">
        <f ca="1">IF($A261=0,0,SUMIF('Week 1 Roster'!$AZ:$AZ,$B261,'Week 1 Roster'!$AR:$AR))</f>
        <v>0</v>
      </c>
      <c r="AH261" s="17">
        <f ca="1">IF($A261=0,0,SUMIF('Week 1 Roster'!$AZ:$AZ,$B261,'Week 1 Roster'!$AS:$AS))</f>
        <v>0</v>
      </c>
      <c r="AI261" s="17">
        <f t="shared" ca="1" si="82"/>
        <v>0</v>
      </c>
      <c r="AK261" s="17">
        <f ca="1">IF($A261=0,0,SUMIF('Week 2 Roster'!$AZ:$AZ,$B261,'Week 2 Roster'!$AE:$AE))</f>
        <v>0</v>
      </c>
      <c r="AL261" s="17">
        <f ca="1">IF($A261=0,0,SUMIF('Week 2 Roster'!$AZ:$AZ,$B261,'Week 2 Roster'!$AG:$AG))</f>
        <v>0</v>
      </c>
      <c r="AM261" s="17">
        <f ca="1">IF($A261=0,0,SUMIF('Week 2 Roster'!$AZ:$AZ,$B261,'Week 2 Roster'!$AI:$AI))</f>
        <v>0</v>
      </c>
      <c r="AN261" s="17">
        <f ca="1">IF($A261=0,0,SUMIF('Week 2 Roster'!$AZ:$AZ,$B261,'Week 2 Roster'!$AK:$AK))</f>
        <v>0</v>
      </c>
      <c r="AO261" s="17">
        <f ca="1">IF($A261=0,0,SUMIF('Week 2 Roster'!$AZ:$AZ,$B261,'Week 2 Roster'!$AM:$AM))</f>
        <v>0</v>
      </c>
      <c r="AP261" s="17">
        <f ca="1">IF($A261=0,0,SUMIF('Week 2 Roster'!$AZ:$AZ,$B261,'Week 2 Roster'!$AO:$AO))</f>
        <v>0</v>
      </c>
      <c r="AQ261" s="38">
        <f ca="1">IF($A261=0,0,SUMIF('Week 2 Roster'!$AZ:$AZ,$B261,'Week 2 Roster'!$AP:$AP))</f>
        <v>0</v>
      </c>
      <c r="AR261" s="17">
        <f ca="1">IF($A261=0,0,SUMIF('Week 2 Roster'!$AZ:$AZ,$B261,'Week 2 Roster'!$AQ:$AQ))</f>
        <v>0</v>
      </c>
      <c r="AS261" s="17">
        <f ca="1">IF($A261=0,0,SUMIF('Week 2 Roster'!$AZ:$AZ,$B261,'Week 2 Roster'!$AR:$AR))</f>
        <v>0</v>
      </c>
      <c r="AT261" s="17">
        <f ca="1">IF($A261=0,0,SUMIF('Week 2 Roster'!$AZ:$AZ,$B261,'Week 2 Roster'!$AS:$AS))</f>
        <v>0</v>
      </c>
      <c r="AU261" s="17">
        <f t="shared" ca="1" si="83"/>
        <v>0</v>
      </c>
    </row>
    <row r="262" spans="1:47">
      <c r="A262" s="16" cm="1">
        <f t="array" aca="1" ref="A262" ca="1">_xlfn.NUMBERVALUE(INDIRECT(TEXT(MIN(IF(($AW$2:$AX$300&lt;&gt;"")*(COUNTIF($B$1:B261,$AW$2:$AX$300)=0),ROW($2:$300)*100+COLUMN($AW:$AX),7^8)),"R0C00"),)&amp;"")</f>
        <v>0</v>
      </c>
      <c r="B262" s="28" t="str">
        <f t="shared" ca="1" si="69"/>
        <v/>
      </c>
      <c r="C262" s="28" t="str">
        <f ca="1">IF($A262=0,"",VLOOKUP($B262,Employees!$A:$G,2,FALSE))</f>
        <v/>
      </c>
      <c r="D262" s="28" t="str">
        <f ca="1">IF($A262=0,"",VLOOKUP($B262,Employees!$A:$G,3,FALSE))</f>
        <v/>
      </c>
      <c r="E262" s="26" t="str">
        <f ca="1">IF($A262=0,"",VLOOKUP($B262,Employees!$A:$G,5,FALSE))</f>
        <v/>
      </c>
      <c r="F262" s="13" t="str">
        <f ca="1">IF($E262="","",ROUNDDOWN(YEARFRAC($E262, 'Week 1 Roster'!$D$1-1, 1), 0))</f>
        <v/>
      </c>
      <c r="G262" s="13" t="str">
        <f ca="1">IF($E262="","",ROUNDDOWN(YEARFRAC($E262, 'Week 1 Roster'!$D$1+14, 1), 0))</f>
        <v/>
      </c>
      <c r="H262" s="13" t="str">
        <f t="shared" ca="1" si="70"/>
        <v/>
      </c>
      <c r="I262" s="13" t="str">
        <f ca="1">IF($A262=0,"",VLOOKUP($B262,Employees!$A:$G,6,FALSE))</f>
        <v/>
      </c>
      <c r="J262" s="13" t="str">
        <f ca="1">IF($A262=0,"",VLOOKUP($B262,Employees!$A:$G,7,FALSE))</f>
        <v/>
      </c>
      <c r="K262" s="13" t="str">
        <f ca="1">IF($A262=0,"",IF(ISNA(VLOOKUP(A262,'Week 1 Roster'!A:C,2,0)),VLOOKUP(A262,'Week 2 Roster'!A:C,2,0),VLOOKUP(A262,'Week 1 Roster'!A:C,2,0)))</f>
        <v/>
      </c>
      <c r="L262" s="13" t="str">
        <f ca="1">IF($A262=0,"",VLOOKUP(K262,Stores!A:B,2,0))</f>
        <v/>
      </c>
      <c r="M262" s="14">
        <f t="shared" ca="1" si="71"/>
        <v>0</v>
      </c>
      <c r="N262" s="14">
        <f t="shared" ca="1" si="72"/>
        <v>0</v>
      </c>
      <c r="O262" s="14">
        <f t="shared" ca="1" si="73"/>
        <v>0</v>
      </c>
      <c r="P262" s="14">
        <f t="shared" ca="1" si="74"/>
        <v>0</v>
      </c>
      <c r="Q262" s="14">
        <f t="shared" ca="1" si="75"/>
        <v>0</v>
      </c>
      <c r="R262" s="14">
        <f t="shared" ca="1" si="76"/>
        <v>0</v>
      </c>
      <c r="S262" s="28">
        <f t="shared" ca="1" si="77"/>
        <v>0</v>
      </c>
      <c r="T262" s="14">
        <f t="shared" ca="1" si="78"/>
        <v>0</v>
      </c>
      <c r="U262" s="14">
        <f t="shared" ca="1" si="79"/>
        <v>0</v>
      </c>
      <c r="V262" s="14">
        <f t="shared" ca="1" si="80"/>
        <v>0</v>
      </c>
      <c r="W262" s="14">
        <f t="shared" ca="1" si="81"/>
        <v>0</v>
      </c>
      <c r="Y262" s="17">
        <f ca="1">IF($A262=0,0,SUMIF('Week 1 Roster'!$AZ:$AZ,$B262,'Week 1 Roster'!$AE:$AE))</f>
        <v>0</v>
      </c>
      <c r="Z262" s="17">
        <f ca="1">IF($A262=0,0,SUMIF('Week 1 Roster'!$AZ:$AZ,$B262,'Week 1 Roster'!$AG:$AG))</f>
        <v>0</v>
      </c>
      <c r="AA262" s="17">
        <f ca="1">IF($A262=0,0,SUMIF('Week 1 Roster'!$AZ:$AZ,$B262,'Week 1 Roster'!$AI:$AI))</f>
        <v>0</v>
      </c>
      <c r="AB262" s="17">
        <f ca="1">IF($A262=0,0,SUMIF('Week 1 Roster'!$AZ:$AZ,$B262,'Week 1 Roster'!$AK:$AK))</f>
        <v>0</v>
      </c>
      <c r="AC262" s="17">
        <f ca="1">IF($A262=0,0,SUMIF('Week 1 Roster'!$AZ:$AZ,$B262,'Week 1 Roster'!$AM:$AM))</f>
        <v>0</v>
      </c>
      <c r="AD262" s="17">
        <f ca="1">IF($A262=0,0,SUMIF('Week 1 Roster'!$AZ:$AZ,$B262,'Week 1 Roster'!$AO:$AO))</f>
        <v>0</v>
      </c>
      <c r="AE262" s="38">
        <f ca="1">IF($A262=0,0,SUMIF('Week 1 Roster'!$AZ:$AZ,$B262,'Week 1 Roster'!$AP:$AP))</f>
        <v>0</v>
      </c>
      <c r="AF262" s="17">
        <f ca="1">IF($A262=0,0,SUMIF('Week 1 Roster'!$AZ:$AZ,$B262,'Week 1 Roster'!$AQ:$AQ))</f>
        <v>0</v>
      </c>
      <c r="AG262" s="17">
        <f ca="1">IF($A262=0,0,SUMIF('Week 1 Roster'!$AZ:$AZ,$B262,'Week 1 Roster'!$AR:$AR))</f>
        <v>0</v>
      </c>
      <c r="AH262" s="17">
        <f ca="1">IF($A262=0,0,SUMIF('Week 1 Roster'!$AZ:$AZ,$B262,'Week 1 Roster'!$AS:$AS))</f>
        <v>0</v>
      </c>
      <c r="AI262" s="17">
        <f t="shared" ca="1" si="82"/>
        <v>0</v>
      </c>
      <c r="AK262" s="17">
        <f ca="1">IF($A262=0,0,SUMIF('Week 2 Roster'!$AZ:$AZ,$B262,'Week 2 Roster'!$AE:$AE))</f>
        <v>0</v>
      </c>
      <c r="AL262" s="17">
        <f ca="1">IF($A262=0,0,SUMIF('Week 2 Roster'!$AZ:$AZ,$B262,'Week 2 Roster'!$AG:$AG))</f>
        <v>0</v>
      </c>
      <c r="AM262" s="17">
        <f ca="1">IF($A262=0,0,SUMIF('Week 2 Roster'!$AZ:$AZ,$B262,'Week 2 Roster'!$AI:$AI))</f>
        <v>0</v>
      </c>
      <c r="AN262" s="17">
        <f ca="1">IF($A262=0,0,SUMIF('Week 2 Roster'!$AZ:$AZ,$B262,'Week 2 Roster'!$AK:$AK))</f>
        <v>0</v>
      </c>
      <c r="AO262" s="17">
        <f ca="1">IF($A262=0,0,SUMIF('Week 2 Roster'!$AZ:$AZ,$B262,'Week 2 Roster'!$AM:$AM))</f>
        <v>0</v>
      </c>
      <c r="AP262" s="17">
        <f ca="1">IF($A262=0,0,SUMIF('Week 2 Roster'!$AZ:$AZ,$B262,'Week 2 Roster'!$AO:$AO))</f>
        <v>0</v>
      </c>
      <c r="AQ262" s="38">
        <f ca="1">IF($A262=0,0,SUMIF('Week 2 Roster'!$AZ:$AZ,$B262,'Week 2 Roster'!$AP:$AP))</f>
        <v>0</v>
      </c>
      <c r="AR262" s="17">
        <f ca="1">IF($A262=0,0,SUMIF('Week 2 Roster'!$AZ:$AZ,$B262,'Week 2 Roster'!$AQ:$AQ))</f>
        <v>0</v>
      </c>
      <c r="AS262" s="17">
        <f ca="1">IF($A262=0,0,SUMIF('Week 2 Roster'!$AZ:$AZ,$B262,'Week 2 Roster'!$AR:$AR))</f>
        <v>0</v>
      </c>
      <c r="AT262" s="17">
        <f ca="1">IF($A262=0,0,SUMIF('Week 2 Roster'!$AZ:$AZ,$B262,'Week 2 Roster'!$AS:$AS))</f>
        <v>0</v>
      </c>
      <c r="AU262" s="17">
        <f t="shared" ca="1" si="83"/>
        <v>0</v>
      </c>
    </row>
    <row r="263" spans="1:47">
      <c r="A263" s="16" cm="1">
        <f t="array" aca="1" ref="A263" ca="1">_xlfn.NUMBERVALUE(INDIRECT(TEXT(MIN(IF(($AW$2:$AX$300&lt;&gt;"")*(COUNTIF($B$1:B262,$AW$2:$AX$300)=0),ROW($2:$300)*100+COLUMN($AW:$AX),7^8)),"R0C00"),)&amp;"")</f>
        <v>0</v>
      </c>
      <c r="B263" s="28" t="str">
        <f t="shared" ca="1" si="69"/>
        <v/>
      </c>
      <c r="C263" s="28" t="str">
        <f ca="1">IF($A263=0,"",VLOOKUP($B263,Employees!$A:$G,2,FALSE))</f>
        <v/>
      </c>
      <c r="D263" s="28" t="str">
        <f ca="1">IF($A263=0,"",VLOOKUP($B263,Employees!$A:$G,3,FALSE))</f>
        <v/>
      </c>
      <c r="E263" s="26" t="str">
        <f ca="1">IF($A263=0,"",VLOOKUP($B263,Employees!$A:$G,5,FALSE))</f>
        <v/>
      </c>
      <c r="F263" s="13" t="str">
        <f ca="1">IF($E263="","",ROUNDDOWN(YEARFRAC($E263, 'Week 1 Roster'!$D$1-1, 1), 0))</f>
        <v/>
      </c>
      <c r="G263" s="13" t="str">
        <f ca="1">IF($E263="","",ROUNDDOWN(YEARFRAC($E263, 'Week 1 Roster'!$D$1+14, 1), 0))</f>
        <v/>
      </c>
      <c r="H263" s="13" t="str">
        <f t="shared" ca="1" si="70"/>
        <v/>
      </c>
      <c r="I263" s="13" t="str">
        <f ca="1">IF($A263=0,"",VLOOKUP($B263,Employees!$A:$G,6,FALSE))</f>
        <v/>
      </c>
      <c r="J263" s="13" t="str">
        <f ca="1">IF($A263=0,"",VLOOKUP($B263,Employees!$A:$G,7,FALSE))</f>
        <v/>
      </c>
      <c r="K263" s="13" t="str">
        <f ca="1">IF($A263=0,"",IF(ISNA(VLOOKUP(A263,'Week 1 Roster'!A:C,2,0)),VLOOKUP(A263,'Week 2 Roster'!A:C,2,0),VLOOKUP(A263,'Week 1 Roster'!A:C,2,0)))</f>
        <v/>
      </c>
      <c r="L263" s="13" t="str">
        <f ca="1">IF($A263=0,"",VLOOKUP(K263,Stores!A:B,2,0))</f>
        <v/>
      </c>
      <c r="M263" s="14">
        <f t="shared" ca="1" si="71"/>
        <v>0</v>
      </c>
      <c r="N263" s="14">
        <f t="shared" ca="1" si="72"/>
        <v>0</v>
      </c>
      <c r="O263" s="14">
        <f t="shared" ca="1" si="73"/>
        <v>0</v>
      </c>
      <c r="P263" s="14">
        <f t="shared" ca="1" si="74"/>
        <v>0</v>
      </c>
      <c r="Q263" s="14">
        <f t="shared" ca="1" si="75"/>
        <v>0</v>
      </c>
      <c r="R263" s="14">
        <f t="shared" ca="1" si="76"/>
        <v>0</v>
      </c>
      <c r="S263" s="28">
        <f t="shared" ca="1" si="77"/>
        <v>0</v>
      </c>
      <c r="T263" s="14">
        <f t="shared" ca="1" si="78"/>
        <v>0</v>
      </c>
      <c r="U263" s="14">
        <f t="shared" ca="1" si="79"/>
        <v>0</v>
      </c>
      <c r="V263" s="14">
        <f t="shared" ca="1" si="80"/>
        <v>0</v>
      </c>
      <c r="W263" s="14">
        <f t="shared" ca="1" si="81"/>
        <v>0</v>
      </c>
      <c r="Y263" s="17">
        <f ca="1">IF($A263=0,0,SUMIF('Week 1 Roster'!$AZ:$AZ,$B263,'Week 1 Roster'!$AE:$AE))</f>
        <v>0</v>
      </c>
      <c r="Z263" s="17">
        <f ca="1">IF($A263=0,0,SUMIF('Week 1 Roster'!$AZ:$AZ,$B263,'Week 1 Roster'!$AG:$AG))</f>
        <v>0</v>
      </c>
      <c r="AA263" s="17">
        <f ca="1">IF($A263=0,0,SUMIF('Week 1 Roster'!$AZ:$AZ,$B263,'Week 1 Roster'!$AI:$AI))</f>
        <v>0</v>
      </c>
      <c r="AB263" s="17">
        <f ca="1">IF($A263=0,0,SUMIF('Week 1 Roster'!$AZ:$AZ,$B263,'Week 1 Roster'!$AK:$AK))</f>
        <v>0</v>
      </c>
      <c r="AC263" s="17">
        <f ca="1">IF($A263=0,0,SUMIF('Week 1 Roster'!$AZ:$AZ,$B263,'Week 1 Roster'!$AM:$AM))</f>
        <v>0</v>
      </c>
      <c r="AD263" s="17">
        <f ca="1">IF($A263=0,0,SUMIF('Week 1 Roster'!$AZ:$AZ,$B263,'Week 1 Roster'!$AO:$AO))</f>
        <v>0</v>
      </c>
      <c r="AE263" s="38">
        <f ca="1">IF($A263=0,0,SUMIF('Week 1 Roster'!$AZ:$AZ,$B263,'Week 1 Roster'!$AP:$AP))</f>
        <v>0</v>
      </c>
      <c r="AF263" s="17">
        <f ca="1">IF($A263=0,0,SUMIF('Week 1 Roster'!$AZ:$AZ,$B263,'Week 1 Roster'!$AQ:$AQ))</f>
        <v>0</v>
      </c>
      <c r="AG263" s="17">
        <f ca="1">IF($A263=0,0,SUMIF('Week 1 Roster'!$AZ:$AZ,$B263,'Week 1 Roster'!$AR:$AR))</f>
        <v>0</v>
      </c>
      <c r="AH263" s="17">
        <f ca="1">IF($A263=0,0,SUMIF('Week 1 Roster'!$AZ:$AZ,$B263,'Week 1 Roster'!$AS:$AS))</f>
        <v>0</v>
      </c>
      <c r="AI263" s="17">
        <f t="shared" ca="1" si="82"/>
        <v>0</v>
      </c>
      <c r="AK263" s="17">
        <f ca="1">IF($A263=0,0,SUMIF('Week 2 Roster'!$AZ:$AZ,$B263,'Week 2 Roster'!$AE:$AE))</f>
        <v>0</v>
      </c>
      <c r="AL263" s="17">
        <f ca="1">IF($A263=0,0,SUMIF('Week 2 Roster'!$AZ:$AZ,$B263,'Week 2 Roster'!$AG:$AG))</f>
        <v>0</v>
      </c>
      <c r="AM263" s="17">
        <f ca="1">IF($A263=0,0,SUMIF('Week 2 Roster'!$AZ:$AZ,$B263,'Week 2 Roster'!$AI:$AI))</f>
        <v>0</v>
      </c>
      <c r="AN263" s="17">
        <f ca="1">IF($A263=0,0,SUMIF('Week 2 Roster'!$AZ:$AZ,$B263,'Week 2 Roster'!$AK:$AK))</f>
        <v>0</v>
      </c>
      <c r="AO263" s="17">
        <f ca="1">IF($A263=0,0,SUMIF('Week 2 Roster'!$AZ:$AZ,$B263,'Week 2 Roster'!$AM:$AM))</f>
        <v>0</v>
      </c>
      <c r="AP263" s="17">
        <f ca="1">IF($A263=0,0,SUMIF('Week 2 Roster'!$AZ:$AZ,$B263,'Week 2 Roster'!$AO:$AO))</f>
        <v>0</v>
      </c>
      <c r="AQ263" s="38">
        <f ca="1">IF($A263=0,0,SUMIF('Week 2 Roster'!$AZ:$AZ,$B263,'Week 2 Roster'!$AP:$AP))</f>
        <v>0</v>
      </c>
      <c r="AR263" s="17">
        <f ca="1">IF($A263=0,0,SUMIF('Week 2 Roster'!$AZ:$AZ,$B263,'Week 2 Roster'!$AQ:$AQ))</f>
        <v>0</v>
      </c>
      <c r="AS263" s="17">
        <f ca="1">IF($A263=0,0,SUMIF('Week 2 Roster'!$AZ:$AZ,$B263,'Week 2 Roster'!$AR:$AR))</f>
        <v>0</v>
      </c>
      <c r="AT263" s="17">
        <f ca="1">IF($A263=0,0,SUMIF('Week 2 Roster'!$AZ:$AZ,$B263,'Week 2 Roster'!$AS:$AS))</f>
        <v>0</v>
      </c>
      <c r="AU263" s="17">
        <f t="shared" ca="1" si="83"/>
        <v>0</v>
      </c>
    </row>
    <row r="264" spans="1:47">
      <c r="A264" s="16" cm="1">
        <f t="array" aca="1" ref="A264" ca="1">_xlfn.NUMBERVALUE(INDIRECT(TEXT(MIN(IF(($AW$2:$AX$300&lt;&gt;"")*(COUNTIF($B$1:B263,$AW$2:$AX$300)=0),ROW($2:$300)*100+COLUMN($AW:$AX),7^8)),"R0C00"),)&amp;"")</f>
        <v>0</v>
      </c>
      <c r="B264" s="28" t="str">
        <f t="shared" ca="1" si="69"/>
        <v/>
      </c>
      <c r="C264" s="28" t="str">
        <f ca="1">IF($A264=0,"",VLOOKUP($B264,Employees!$A:$G,2,FALSE))</f>
        <v/>
      </c>
      <c r="D264" s="28" t="str">
        <f ca="1">IF($A264=0,"",VLOOKUP($B264,Employees!$A:$G,3,FALSE))</f>
        <v/>
      </c>
      <c r="E264" s="26" t="str">
        <f ca="1">IF($A264=0,"",VLOOKUP($B264,Employees!$A:$G,5,FALSE))</f>
        <v/>
      </c>
      <c r="F264" s="13" t="str">
        <f ca="1">IF($E264="","",ROUNDDOWN(YEARFRAC($E264, 'Week 1 Roster'!$D$1-1, 1), 0))</f>
        <v/>
      </c>
      <c r="G264" s="13" t="str">
        <f ca="1">IF($E264="","",ROUNDDOWN(YEARFRAC($E264, 'Week 1 Roster'!$D$1+14, 1), 0))</f>
        <v/>
      </c>
      <c r="H264" s="13" t="str">
        <f t="shared" ca="1" si="70"/>
        <v/>
      </c>
      <c r="I264" s="13" t="str">
        <f ca="1">IF($A264=0,"",VLOOKUP($B264,Employees!$A:$G,6,FALSE))</f>
        <v/>
      </c>
      <c r="J264" s="13" t="str">
        <f ca="1">IF($A264=0,"",VLOOKUP($B264,Employees!$A:$G,7,FALSE))</f>
        <v/>
      </c>
      <c r="K264" s="13" t="str">
        <f ca="1">IF($A264=0,"",IF(ISNA(VLOOKUP(A264,'Week 1 Roster'!A:C,2,0)),VLOOKUP(A264,'Week 2 Roster'!A:C,2,0),VLOOKUP(A264,'Week 1 Roster'!A:C,2,0)))</f>
        <v/>
      </c>
      <c r="L264" s="13" t="str">
        <f ca="1">IF($A264=0,"",VLOOKUP(K264,Stores!A:B,2,0))</f>
        <v/>
      </c>
      <c r="M264" s="14">
        <f t="shared" ca="1" si="71"/>
        <v>0</v>
      </c>
      <c r="N264" s="14">
        <f t="shared" ca="1" si="72"/>
        <v>0</v>
      </c>
      <c r="O264" s="14">
        <f t="shared" ca="1" si="73"/>
        <v>0</v>
      </c>
      <c r="P264" s="14">
        <f t="shared" ca="1" si="74"/>
        <v>0</v>
      </c>
      <c r="Q264" s="14">
        <f t="shared" ca="1" si="75"/>
        <v>0</v>
      </c>
      <c r="R264" s="14">
        <f t="shared" ca="1" si="76"/>
        <v>0</v>
      </c>
      <c r="S264" s="28">
        <f t="shared" ca="1" si="77"/>
        <v>0</v>
      </c>
      <c r="T264" s="14">
        <f t="shared" ca="1" si="78"/>
        <v>0</v>
      </c>
      <c r="U264" s="14">
        <f t="shared" ca="1" si="79"/>
        <v>0</v>
      </c>
      <c r="V264" s="14">
        <f t="shared" ca="1" si="80"/>
        <v>0</v>
      </c>
      <c r="W264" s="14">
        <f t="shared" ca="1" si="81"/>
        <v>0</v>
      </c>
      <c r="Y264" s="17">
        <f ca="1">IF($A264=0,0,SUMIF('Week 1 Roster'!$AZ:$AZ,$B264,'Week 1 Roster'!$AE:$AE))</f>
        <v>0</v>
      </c>
      <c r="Z264" s="17">
        <f ca="1">IF($A264=0,0,SUMIF('Week 1 Roster'!$AZ:$AZ,$B264,'Week 1 Roster'!$AG:$AG))</f>
        <v>0</v>
      </c>
      <c r="AA264" s="17">
        <f ca="1">IF($A264=0,0,SUMIF('Week 1 Roster'!$AZ:$AZ,$B264,'Week 1 Roster'!$AI:$AI))</f>
        <v>0</v>
      </c>
      <c r="AB264" s="17">
        <f ca="1">IF($A264=0,0,SUMIF('Week 1 Roster'!$AZ:$AZ,$B264,'Week 1 Roster'!$AK:$AK))</f>
        <v>0</v>
      </c>
      <c r="AC264" s="17">
        <f ca="1">IF($A264=0,0,SUMIF('Week 1 Roster'!$AZ:$AZ,$B264,'Week 1 Roster'!$AM:$AM))</f>
        <v>0</v>
      </c>
      <c r="AD264" s="17">
        <f ca="1">IF($A264=0,0,SUMIF('Week 1 Roster'!$AZ:$AZ,$B264,'Week 1 Roster'!$AO:$AO))</f>
        <v>0</v>
      </c>
      <c r="AE264" s="38">
        <f ca="1">IF($A264=0,0,SUMIF('Week 1 Roster'!$AZ:$AZ,$B264,'Week 1 Roster'!$AP:$AP))</f>
        <v>0</v>
      </c>
      <c r="AF264" s="17">
        <f ca="1">IF($A264=0,0,SUMIF('Week 1 Roster'!$AZ:$AZ,$B264,'Week 1 Roster'!$AQ:$AQ))</f>
        <v>0</v>
      </c>
      <c r="AG264" s="17">
        <f ca="1">IF($A264=0,0,SUMIF('Week 1 Roster'!$AZ:$AZ,$B264,'Week 1 Roster'!$AR:$AR))</f>
        <v>0</v>
      </c>
      <c r="AH264" s="17">
        <f ca="1">IF($A264=0,0,SUMIF('Week 1 Roster'!$AZ:$AZ,$B264,'Week 1 Roster'!$AS:$AS))</f>
        <v>0</v>
      </c>
      <c r="AI264" s="17">
        <f t="shared" ca="1" si="82"/>
        <v>0</v>
      </c>
      <c r="AK264" s="17">
        <f ca="1">IF($A264=0,0,SUMIF('Week 2 Roster'!$AZ:$AZ,$B264,'Week 2 Roster'!$AE:$AE))</f>
        <v>0</v>
      </c>
      <c r="AL264" s="17">
        <f ca="1">IF($A264=0,0,SUMIF('Week 2 Roster'!$AZ:$AZ,$B264,'Week 2 Roster'!$AG:$AG))</f>
        <v>0</v>
      </c>
      <c r="AM264" s="17">
        <f ca="1">IF($A264=0,0,SUMIF('Week 2 Roster'!$AZ:$AZ,$B264,'Week 2 Roster'!$AI:$AI))</f>
        <v>0</v>
      </c>
      <c r="AN264" s="17">
        <f ca="1">IF($A264=0,0,SUMIF('Week 2 Roster'!$AZ:$AZ,$B264,'Week 2 Roster'!$AK:$AK))</f>
        <v>0</v>
      </c>
      <c r="AO264" s="17">
        <f ca="1">IF($A264=0,0,SUMIF('Week 2 Roster'!$AZ:$AZ,$B264,'Week 2 Roster'!$AM:$AM))</f>
        <v>0</v>
      </c>
      <c r="AP264" s="17">
        <f ca="1">IF($A264=0,0,SUMIF('Week 2 Roster'!$AZ:$AZ,$B264,'Week 2 Roster'!$AO:$AO))</f>
        <v>0</v>
      </c>
      <c r="AQ264" s="38">
        <f ca="1">IF($A264=0,0,SUMIF('Week 2 Roster'!$AZ:$AZ,$B264,'Week 2 Roster'!$AP:$AP))</f>
        <v>0</v>
      </c>
      <c r="AR264" s="17">
        <f ca="1">IF($A264=0,0,SUMIF('Week 2 Roster'!$AZ:$AZ,$B264,'Week 2 Roster'!$AQ:$AQ))</f>
        <v>0</v>
      </c>
      <c r="AS264" s="17">
        <f ca="1">IF($A264=0,0,SUMIF('Week 2 Roster'!$AZ:$AZ,$B264,'Week 2 Roster'!$AR:$AR))</f>
        <v>0</v>
      </c>
      <c r="AT264" s="17">
        <f ca="1">IF($A264=0,0,SUMIF('Week 2 Roster'!$AZ:$AZ,$B264,'Week 2 Roster'!$AS:$AS))</f>
        <v>0</v>
      </c>
      <c r="AU264" s="17">
        <f t="shared" ca="1" si="83"/>
        <v>0</v>
      </c>
    </row>
    <row r="265" spans="1:47">
      <c r="A265" s="16" cm="1">
        <f t="array" aca="1" ref="A265" ca="1">_xlfn.NUMBERVALUE(INDIRECT(TEXT(MIN(IF(($AW$2:$AX$300&lt;&gt;"")*(COUNTIF($B$1:B264,$AW$2:$AX$300)=0),ROW($2:$300)*100+COLUMN($AW:$AX),7^8)),"R0C00"),)&amp;"")</f>
        <v>0</v>
      </c>
      <c r="B265" s="28" t="str">
        <f t="shared" ref="B265:B300" ca="1" si="84">IF(A265=0,"",_xlfn.NUMBERVALUE(A265))</f>
        <v/>
      </c>
      <c r="C265" s="28" t="str">
        <f ca="1">IF($A265=0,"",VLOOKUP($B265,Employees!$A:$G,2,FALSE))</f>
        <v/>
      </c>
      <c r="D265" s="28" t="str">
        <f ca="1">IF($A265=0,"",VLOOKUP($B265,Employees!$A:$G,3,FALSE))</f>
        <v/>
      </c>
      <c r="E265" s="26" t="str">
        <f ca="1">IF($A265=0,"",VLOOKUP($B265,Employees!$A:$G,5,FALSE))</f>
        <v/>
      </c>
      <c r="F265" s="13" t="str">
        <f ca="1">IF($E265="","",ROUNDDOWN(YEARFRAC($E265, 'Week 1 Roster'!$D$1-1, 1), 0))</f>
        <v/>
      </c>
      <c r="G265" s="13" t="str">
        <f ca="1">IF($E265="","",ROUNDDOWN(YEARFRAC($E265, 'Week 1 Roster'!$D$1+14, 1), 0))</f>
        <v/>
      </c>
      <c r="H265" s="13" t="str">
        <f t="shared" ref="H265:H300" ca="1" si="85">IF($E265="","",IF(AND(F265&lt;21,F265&lt;&gt;G265),TRUE,FALSE))</f>
        <v/>
      </c>
      <c r="I265" s="13" t="str">
        <f ca="1">IF($A265=0,"",VLOOKUP($B265,Employees!$A:$G,6,FALSE))</f>
        <v/>
      </c>
      <c r="J265" s="13" t="str">
        <f ca="1">IF($A265=0,"",VLOOKUP($B265,Employees!$A:$G,7,FALSE))</f>
        <v/>
      </c>
      <c r="K265" s="13" t="str">
        <f ca="1">IF($A265=0,"",IF(ISNA(VLOOKUP(A265,'Week 1 Roster'!A:C,2,0)),VLOOKUP(A265,'Week 2 Roster'!A:C,2,0),VLOOKUP(A265,'Week 1 Roster'!A:C,2,0)))</f>
        <v/>
      </c>
      <c r="L265" s="13" t="str">
        <f ca="1">IF($A265=0,"",VLOOKUP(K265,Stores!A:B,2,0))</f>
        <v/>
      </c>
      <c r="M265" s="14">
        <f t="shared" ref="M265:M300" ca="1" si="86">Y265+AK265</f>
        <v>0</v>
      </c>
      <c r="N265" s="14">
        <f t="shared" ref="N265:N300" ca="1" si="87">Z265+AL265</f>
        <v>0</v>
      </c>
      <c r="O265" s="14">
        <f t="shared" ref="O265:O300" ca="1" si="88">AA265+AM265</f>
        <v>0</v>
      </c>
      <c r="P265" s="14">
        <f t="shared" ref="P265:P300" ca="1" si="89">AB265+AN265</f>
        <v>0</v>
      </c>
      <c r="Q265" s="14">
        <f t="shared" ref="Q265:Q300" ca="1" si="90">AC265+AO265</f>
        <v>0</v>
      </c>
      <c r="R265" s="14">
        <f t="shared" ref="R265:R300" ca="1" si="91">AD265+AP265</f>
        <v>0</v>
      </c>
      <c r="S265" s="28">
        <f t="shared" ref="S265:S300" ca="1" si="92">AE265+AQ265</f>
        <v>0</v>
      </c>
      <c r="T265" s="14">
        <f t="shared" ref="T265:T300" ca="1" si="93">AF265+AR265</f>
        <v>0</v>
      </c>
      <c r="U265" s="14">
        <f t="shared" ref="U265:U300" ca="1" si="94">AG265+AS265</f>
        <v>0</v>
      </c>
      <c r="V265" s="14">
        <f t="shared" ref="V265:V300" ca="1" si="95">AH265+AT265</f>
        <v>0</v>
      </c>
      <c r="W265" s="14">
        <f t="shared" ref="W265:W300" ca="1" si="96">SUM(M265:R265,T265:V265)</f>
        <v>0</v>
      </c>
      <c r="Y265" s="17">
        <f ca="1">IF($A265=0,0,SUMIF('Week 1 Roster'!$AZ:$AZ,$B265,'Week 1 Roster'!$AE:$AE))</f>
        <v>0</v>
      </c>
      <c r="Z265" s="17">
        <f ca="1">IF($A265=0,0,SUMIF('Week 1 Roster'!$AZ:$AZ,$B265,'Week 1 Roster'!$AG:$AG))</f>
        <v>0</v>
      </c>
      <c r="AA265" s="17">
        <f ca="1">IF($A265=0,0,SUMIF('Week 1 Roster'!$AZ:$AZ,$B265,'Week 1 Roster'!$AI:$AI))</f>
        <v>0</v>
      </c>
      <c r="AB265" s="17">
        <f ca="1">IF($A265=0,0,SUMIF('Week 1 Roster'!$AZ:$AZ,$B265,'Week 1 Roster'!$AK:$AK))</f>
        <v>0</v>
      </c>
      <c r="AC265" s="17">
        <f ca="1">IF($A265=0,0,SUMIF('Week 1 Roster'!$AZ:$AZ,$B265,'Week 1 Roster'!$AM:$AM))</f>
        <v>0</v>
      </c>
      <c r="AD265" s="17">
        <f ca="1">IF($A265=0,0,SUMIF('Week 1 Roster'!$AZ:$AZ,$B265,'Week 1 Roster'!$AO:$AO))</f>
        <v>0</v>
      </c>
      <c r="AE265" s="38">
        <f ca="1">IF($A265=0,0,SUMIF('Week 1 Roster'!$AZ:$AZ,$B265,'Week 1 Roster'!$AP:$AP))</f>
        <v>0</v>
      </c>
      <c r="AF265" s="17">
        <f ca="1">IF($A265=0,0,SUMIF('Week 1 Roster'!$AZ:$AZ,$B265,'Week 1 Roster'!$AQ:$AQ))</f>
        <v>0</v>
      </c>
      <c r="AG265" s="17">
        <f ca="1">IF($A265=0,0,SUMIF('Week 1 Roster'!$AZ:$AZ,$B265,'Week 1 Roster'!$AR:$AR))</f>
        <v>0</v>
      </c>
      <c r="AH265" s="17">
        <f ca="1">IF($A265=0,0,SUMIF('Week 1 Roster'!$AZ:$AZ,$B265,'Week 1 Roster'!$AS:$AS))</f>
        <v>0</v>
      </c>
      <c r="AI265" s="17">
        <f t="shared" ref="AI265:AI300" ca="1" si="97">SUM(Y265:AD265,AF265:AH265)</f>
        <v>0</v>
      </c>
      <c r="AK265" s="17">
        <f ca="1">IF($A265=0,0,SUMIF('Week 2 Roster'!$AZ:$AZ,$B265,'Week 2 Roster'!$AE:$AE))</f>
        <v>0</v>
      </c>
      <c r="AL265" s="17">
        <f ca="1">IF($A265=0,0,SUMIF('Week 2 Roster'!$AZ:$AZ,$B265,'Week 2 Roster'!$AG:$AG))</f>
        <v>0</v>
      </c>
      <c r="AM265" s="17">
        <f ca="1">IF($A265=0,0,SUMIF('Week 2 Roster'!$AZ:$AZ,$B265,'Week 2 Roster'!$AI:$AI))</f>
        <v>0</v>
      </c>
      <c r="AN265" s="17">
        <f ca="1">IF($A265=0,0,SUMIF('Week 2 Roster'!$AZ:$AZ,$B265,'Week 2 Roster'!$AK:$AK))</f>
        <v>0</v>
      </c>
      <c r="AO265" s="17">
        <f ca="1">IF($A265=0,0,SUMIF('Week 2 Roster'!$AZ:$AZ,$B265,'Week 2 Roster'!$AM:$AM))</f>
        <v>0</v>
      </c>
      <c r="AP265" s="17">
        <f ca="1">IF($A265=0,0,SUMIF('Week 2 Roster'!$AZ:$AZ,$B265,'Week 2 Roster'!$AO:$AO))</f>
        <v>0</v>
      </c>
      <c r="AQ265" s="38">
        <f ca="1">IF($A265=0,0,SUMIF('Week 2 Roster'!$AZ:$AZ,$B265,'Week 2 Roster'!$AP:$AP))</f>
        <v>0</v>
      </c>
      <c r="AR265" s="17">
        <f ca="1">IF($A265=0,0,SUMIF('Week 2 Roster'!$AZ:$AZ,$B265,'Week 2 Roster'!$AQ:$AQ))</f>
        <v>0</v>
      </c>
      <c r="AS265" s="17">
        <f ca="1">IF($A265=0,0,SUMIF('Week 2 Roster'!$AZ:$AZ,$B265,'Week 2 Roster'!$AR:$AR))</f>
        <v>0</v>
      </c>
      <c r="AT265" s="17">
        <f ca="1">IF($A265=0,0,SUMIF('Week 2 Roster'!$AZ:$AZ,$B265,'Week 2 Roster'!$AS:$AS))</f>
        <v>0</v>
      </c>
      <c r="AU265" s="17">
        <f t="shared" ref="AU265:AU300" ca="1" si="98">SUM(AK265:AP265,AR265:AT265)</f>
        <v>0</v>
      </c>
    </row>
    <row r="266" spans="1:47">
      <c r="A266" s="16" cm="1">
        <f t="array" aca="1" ref="A266" ca="1">_xlfn.NUMBERVALUE(INDIRECT(TEXT(MIN(IF(($AW$2:$AX$300&lt;&gt;"")*(COUNTIF($B$1:B265,$AW$2:$AX$300)=0),ROW($2:$300)*100+COLUMN($AW:$AX),7^8)),"R0C00"),)&amp;"")</f>
        <v>0</v>
      </c>
      <c r="B266" s="28" t="str">
        <f t="shared" ca="1" si="84"/>
        <v/>
      </c>
      <c r="C266" s="28" t="str">
        <f ca="1">IF($A266=0,"",VLOOKUP($B266,Employees!$A:$G,2,FALSE))</f>
        <v/>
      </c>
      <c r="D266" s="28" t="str">
        <f ca="1">IF($A266=0,"",VLOOKUP($B266,Employees!$A:$G,3,FALSE))</f>
        <v/>
      </c>
      <c r="E266" s="26" t="str">
        <f ca="1">IF($A266=0,"",VLOOKUP($B266,Employees!$A:$G,5,FALSE))</f>
        <v/>
      </c>
      <c r="F266" s="13" t="str">
        <f ca="1">IF($E266="","",ROUNDDOWN(YEARFRAC($E266, 'Week 1 Roster'!$D$1-1, 1), 0))</f>
        <v/>
      </c>
      <c r="G266" s="13" t="str">
        <f ca="1">IF($E266="","",ROUNDDOWN(YEARFRAC($E266, 'Week 1 Roster'!$D$1+14, 1), 0))</f>
        <v/>
      </c>
      <c r="H266" s="13" t="str">
        <f t="shared" ca="1" si="85"/>
        <v/>
      </c>
      <c r="I266" s="13" t="str">
        <f ca="1">IF($A266=0,"",VLOOKUP($B266,Employees!$A:$G,6,FALSE))</f>
        <v/>
      </c>
      <c r="J266" s="13" t="str">
        <f ca="1">IF($A266=0,"",VLOOKUP($B266,Employees!$A:$G,7,FALSE))</f>
        <v/>
      </c>
      <c r="K266" s="13" t="str">
        <f ca="1">IF($A266=0,"",IF(ISNA(VLOOKUP(A266,'Week 1 Roster'!A:C,2,0)),VLOOKUP(A266,'Week 2 Roster'!A:C,2,0),VLOOKUP(A266,'Week 1 Roster'!A:C,2,0)))</f>
        <v/>
      </c>
      <c r="L266" s="13" t="str">
        <f ca="1">IF($A266=0,"",VLOOKUP(K266,Stores!A:B,2,0))</f>
        <v/>
      </c>
      <c r="M266" s="14">
        <f t="shared" ca="1" si="86"/>
        <v>0</v>
      </c>
      <c r="N266" s="14">
        <f t="shared" ca="1" si="87"/>
        <v>0</v>
      </c>
      <c r="O266" s="14">
        <f t="shared" ca="1" si="88"/>
        <v>0</v>
      </c>
      <c r="P266" s="14">
        <f t="shared" ca="1" si="89"/>
        <v>0</v>
      </c>
      <c r="Q266" s="14">
        <f t="shared" ca="1" si="90"/>
        <v>0</v>
      </c>
      <c r="R266" s="14">
        <f t="shared" ca="1" si="91"/>
        <v>0</v>
      </c>
      <c r="S266" s="28">
        <f t="shared" ca="1" si="92"/>
        <v>0</v>
      </c>
      <c r="T266" s="14">
        <f t="shared" ca="1" si="93"/>
        <v>0</v>
      </c>
      <c r="U266" s="14">
        <f t="shared" ca="1" si="94"/>
        <v>0</v>
      </c>
      <c r="V266" s="14">
        <f t="shared" ca="1" si="95"/>
        <v>0</v>
      </c>
      <c r="W266" s="14">
        <f t="shared" ca="1" si="96"/>
        <v>0</v>
      </c>
      <c r="Y266" s="17">
        <f ca="1">IF($A266=0,0,SUMIF('Week 1 Roster'!$AZ:$AZ,$B266,'Week 1 Roster'!$AE:$AE))</f>
        <v>0</v>
      </c>
      <c r="Z266" s="17">
        <f ca="1">IF($A266=0,0,SUMIF('Week 1 Roster'!$AZ:$AZ,$B266,'Week 1 Roster'!$AG:$AG))</f>
        <v>0</v>
      </c>
      <c r="AA266" s="17">
        <f ca="1">IF($A266=0,0,SUMIF('Week 1 Roster'!$AZ:$AZ,$B266,'Week 1 Roster'!$AI:$AI))</f>
        <v>0</v>
      </c>
      <c r="AB266" s="17">
        <f ca="1">IF($A266=0,0,SUMIF('Week 1 Roster'!$AZ:$AZ,$B266,'Week 1 Roster'!$AK:$AK))</f>
        <v>0</v>
      </c>
      <c r="AC266" s="17">
        <f ca="1">IF($A266=0,0,SUMIF('Week 1 Roster'!$AZ:$AZ,$B266,'Week 1 Roster'!$AM:$AM))</f>
        <v>0</v>
      </c>
      <c r="AD266" s="17">
        <f ca="1">IF($A266=0,0,SUMIF('Week 1 Roster'!$AZ:$AZ,$B266,'Week 1 Roster'!$AO:$AO))</f>
        <v>0</v>
      </c>
      <c r="AE266" s="38">
        <f ca="1">IF($A266=0,0,SUMIF('Week 1 Roster'!$AZ:$AZ,$B266,'Week 1 Roster'!$AP:$AP))</f>
        <v>0</v>
      </c>
      <c r="AF266" s="17">
        <f ca="1">IF($A266=0,0,SUMIF('Week 1 Roster'!$AZ:$AZ,$B266,'Week 1 Roster'!$AQ:$AQ))</f>
        <v>0</v>
      </c>
      <c r="AG266" s="17">
        <f ca="1">IF($A266=0,0,SUMIF('Week 1 Roster'!$AZ:$AZ,$B266,'Week 1 Roster'!$AR:$AR))</f>
        <v>0</v>
      </c>
      <c r="AH266" s="17">
        <f ca="1">IF($A266=0,0,SUMIF('Week 1 Roster'!$AZ:$AZ,$B266,'Week 1 Roster'!$AS:$AS))</f>
        <v>0</v>
      </c>
      <c r="AI266" s="17">
        <f t="shared" ca="1" si="97"/>
        <v>0</v>
      </c>
      <c r="AK266" s="17">
        <f ca="1">IF($A266=0,0,SUMIF('Week 2 Roster'!$AZ:$AZ,$B266,'Week 2 Roster'!$AE:$AE))</f>
        <v>0</v>
      </c>
      <c r="AL266" s="17">
        <f ca="1">IF($A266=0,0,SUMIF('Week 2 Roster'!$AZ:$AZ,$B266,'Week 2 Roster'!$AG:$AG))</f>
        <v>0</v>
      </c>
      <c r="AM266" s="17">
        <f ca="1">IF($A266=0,0,SUMIF('Week 2 Roster'!$AZ:$AZ,$B266,'Week 2 Roster'!$AI:$AI))</f>
        <v>0</v>
      </c>
      <c r="AN266" s="17">
        <f ca="1">IF($A266=0,0,SUMIF('Week 2 Roster'!$AZ:$AZ,$B266,'Week 2 Roster'!$AK:$AK))</f>
        <v>0</v>
      </c>
      <c r="AO266" s="17">
        <f ca="1">IF($A266=0,0,SUMIF('Week 2 Roster'!$AZ:$AZ,$B266,'Week 2 Roster'!$AM:$AM))</f>
        <v>0</v>
      </c>
      <c r="AP266" s="17">
        <f ca="1">IF($A266=0,0,SUMIF('Week 2 Roster'!$AZ:$AZ,$B266,'Week 2 Roster'!$AO:$AO))</f>
        <v>0</v>
      </c>
      <c r="AQ266" s="38">
        <f ca="1">IF($A266=0,0,SUMIF('Week 2 Roster'!$AZ:$AZ,$B266,'Week 2 Roster'!$AP:$AP))</f>
        <v>0</v>
      </c>
      <c r="AR266" s="17">
        <f ca="1">IF($A266=0,0,SUMIF('Week 2 Roster'!$AZ:$AZ,$B266,'Week 2 Roster'!$AQ:$AQ))</f>
        <v>0</v>
      </c>
      <c r="AS266" s="17">
        <f ca="1">IF($A266=0,0,SUMIF('Week 2 Roster'!$AZ:$AZ,$B266,'Week 2 Roster'!$AR:$AR))</f>
        <v>0</v>
      </c>
      <c r="AT266" s="17">
        <f ca="1">IF($A266=0,0,SUMIF('Week 2 Roster'!$AZ:$AZ,$B266,'Week 2 Roster'!$AS:$AS))</f>
        <v>0</v>
      </c>
      <c r="AU266" s="17">
        <f t="shared" ca="1" si="98"/>
        <v>0</v>
      </c>
    </row>
    <row r="267" spans="1:47">
      <c r="A267" s="16" cm="1">
        <f t="array" aca="1" ref="A267" ca="1">_xlfn.NUMBERVALUE(INDIRECT(TEXT(MIN(IF(($AW$2:$AX$300&lt;&gt;"")*(COUNTIF($B$1:B266,$AW$2:$AX$300)=0),ROW($2:$300)*100+COLUMN($AW:$AX),7^8)),"R0C00"),)&amp;"")</f>
        <v>0</v>
      </c>
      <c r="B267" s="28" t="str">
        <f t="shared" ca="1" si="84"/>
        <v/>
      </c>
      <c r="C267" s="28" t="str">
        <f ca="1">IF($A267=0,"",VLOOKUP($B267,Employees!$A:$G,2,FALSE))</f>
        <v/>
      </c>
      <c r="D267" s="28" t="str">
        <f ca="1">IF($A267=0,"",VLOOKUP($B267,Employees!$A:$G,3,FALSE))</f>
        <v/>
      </c>
      <c r="E267" s="26" t="str">
        <f ca="1">IF($A267=0,"",VLOOKUP($B267,Employees!$A:$G,5,FALSE))</f>
        <v/>
      </c>
      <c r="F267" s="13" t="str">
        <f ca="1">IF($E267="","",ROUNDDOWN(YEARFRAC($E267, 'Week 1 Roster'!$D$1-1, 1), 0))</f>
        <v/>
      </c>
      <c r="G267" s="13" t="str">
        <f ca="1">IF($E267="","",ROUNDDOWN(YEARFRAC($E267, 'Week 1 Roster'!$D$1+14, 1), 0))</f>
        <v/>
      </c>
      <c r="H267" s="13" t="str">
        <f t="shared" ca="1" si="85"/>
        <v/>
      </c>
      <c r="I267" s="13" t="str">
        <f ca="1">IF($A267=0,"",VLOOKUP($B267,Employees!$A:$G,6,FALSE))</f>
        <v/>
      </c>
      <c r="J267" s="13" t="str">
        <f ca="1">IF($A267=0,"",VLOOKUP($B267,Employees!$A:$G,7,FALSE))</f>
        <v/>
      </c>
      <c r="K267" s="13" t="str">
        <f ca="1">IF($A267=0,"",IF(ISNA(VLOOKUP(A267,'Week 1 Roster'!A:C,2,0)),VLOOKUP(A267,'Week 2 Roster'!A:C,2,0),VLOOKUP(A267,'Week 1 Roster'!A:C,2,0)))</f>
        <v/>
      </c>
      <c r="L267" s="13" t="str">
        <f ca="1">IF($A267=0,"",VLOOKUP(K267,Stores!A:B,2,0))</f>
        <v/>
      </c>
      <c r="M267" s="14">
        <f t="shared" ca="1" si="86"/>
        <v>0</v>
      </c>
      <c r="N267" s="14">
        <f t="shared" ca="1" si="87"/>
        <v>0</v>
      </c>
      <c r="O267" s="14">
        <f t="shared" ca="1" si="88"/>
        <v>0</v>
      </c>
      <c r="P267" s="14">
        <f t="shared" ca="1" si="89"/>
        <v>0</v>
      </c>
      <c r="Q267" s="14">
        <f t="shared" ca="1" si="90"/>
        <v>0</v>
      </c>
      <c r="R267" s="14">
        <f t="shared" ca="1" si="91"/>
        <v>0</v>
      </c>
      <c r="S267" s="28">
        <f t="shared" ca="1" si="92"/>
        <v>0</v>
      </c>
      <c r="T267" s="14">
        <f t="shared" ca="1" si="93"/>
        <v>0</v>
      </c>
      <c r="U267" s="14">
        <f t="shared" ca="1" si="94"/>
        <v>0</v>
      </c>
      <c r="V267" s="14">
        <f t="shared" ca="1" si="95"/>
        <v>0</v>
      </c>
      <c r="W267" s="14">
        <f t="shared" ca="1" si="96"/>
        <v>0</v>
      </c>
      <c r="Y267" s="17">
        <f ca="1">IF($A267=0,0,SUMIF('Week 1 Roster'!$AZ:$AZ,$B267,'Week 1 Roster'!$AE:$AE))</f>
        <v>0</v>
      </c>
      <c r="Z267" s="17">
        <f ca="1">IF($A267=0,0,SUMIF('Week 1 Roster'!$AZ:$AZ,$B267,'Week 1 Roster'!$AG:$AG))</f>
        <v>0</v>
      </c>
      <c r="AA267" s="17">
        <f ca="1">IF($A267=0,0,SUMIF('Week 1 Roster'!$AZ:$AZ,$B267,'Week 1 Roster'!$AI:$AI))</f>
        <v>0</v>
      </c>
      <c r="AB267" s="17">
        <f ca="1">IF($A267=0,0,SUMIF('Week 1 Roster'!$AZ:$AZ,$B267,'Week 1 Roster'!$AK:$AK))</f>
        <v>0</v>
      </c>
      <c r="AC267" s="17">
        <f ca="1">IF($A267=0,0,SUMIF('Week 1 Roster'!$AZ:$AZ,$B267,'Week 1 Roster'!$AM:$AM))</f>
        <v>0</v>
      </c>
      <c r="AD267" s="17">
        <f ca="1">IF($A267=0,0,SUMIF('Week 1 Roster'!$AZ:$AZ,$B267,'Week 1 Roster'!$AO:$AO))</f>
        <v>0</v>
      </c>
      <c r="AE267" s="38">
        <f ca="1">IF($A267=0,0,SUMIF('Week 1 Roster'!$AZ:$AZ,$B267,'Week 1 Roster'!$AP:$AP))</f>
        <v>0</v>
      </c>
      <c r="AF267" s="17">
        <f ca="1">IF($A267=0,0,SUMIF('Week 1 Roster'!$AZ:$AZ,$B267,'Week 1 Roster'!$AQ:$AQ))</f>
        <v>0</v>
      </c>
      <c r="AG267" s="17">
        <f ca="1">IF($A267=0,0,SUMIF('Week 1 Roster'!$AZ:$AZ,$B267,'Week 1 Roster'!$AR:$AR))</f>
        <v>0</v>
      </c>
      <c r="AH267" s="17">
        <f ca="1">IF($A267=0,0,SUMIF('Week 1 Roster'!$AZ:$AZ,$B267,'Week 1 Roster'!$AS:$AS))</f>
        <v>0</v>
      </c>
      <c r="AI267" s="17">
        <f t="shared" ca="1" si="97"/>
        <v>0</v>
      </c>
      <c r="AK267" s="17">
        <f ca="1">IF($A267=0,0,SUMIF('Week 2 Roster'!$AZ:$AZ,$B267,'Week 2 Roster'!$AE:$AE))</f>
        <v>0</v>
      </c>
      <c r="AL267" s="17">
        <f ca="1">IF($A267=0,0,SUMIF('Week 2 Roster'!$AZ:$AZ,$B267,'Week 2 Roster'!$AG:$AG))</f>
        <v>0</v>
      </c>
      <c r="AM267" s="17">
        <f ca="1">IF($A267=0,0,SUMIF('Week 2 Roster'!$AZ:$AZ,$B267,'Week 2 Roster'!$AI:$AI))</f>
        <v>0</v>
      </c>
      <c r="AN267" s="17">
        <f ca="1">IF($A267=0,0,SUMIF('Week 2 Roster'!$AZ:$AZ,$B267,'Week 2 Roster'!$AK:$AK))</f>
        <v>0</v>
      </c>
      <c r="AO267" s="17">
        <f ca="1">IF($A267=0,0,SUMIF('Week 2 Roster'!$AZ:$AZ,$B267,'Week 2 Roster'!$AM:$AM))</f>
        <v>0</v>
      </c>
      <c r="AP267" s="17">
        <f ca="1">IF($A267=0,0,SUMIF('Week 2 Roster'!$AZ:$AZ,$B267,'Week 2 Roster'!$AO:$AO))</f>
        <v>0</v>
      </c>
      <c r="AQ267" s="38">
        <f ca="1">IF($A267=0,0,SUMIF('Week 2 Roster'!$AZ:$AZ,$B267,'Week 2 Roster'!$AP:$AP))</f>
        <v>0</v>
      </c>
      <c r="AR267" s="17">
        <f ca="1">IF($A267=0,0,SUMIF('Week 2 Roster'!$AZ:$AZ,$B267,'Week 2 Roster'!$AQ:$AQ))</f>
        <v>0</v>
      </c>
      <c r="AS267" s="17">
        <f ca="1">IF($A267=0,0,SUMIF('Week 2 Roster'!$AZ:$AZ,$B267,'Week 2 Roster'!$AR:$AR))</f>
        <v>0</v>
      </c>
      <c r="AT267" s="17">
        <f ca="1">IF($A267=0,0,SUMIF('Week 2 Roster'!$AZ:$AZ,$B267,'Week 2 Roster'!$AS:$AS))</f>
        <v>0</v>
      </c>
      <c r="AU267" s="17">
        <f t="shared" ca="1" si="98"/>
        <v>0</v>
      </c>
    </row>
    <row r="268" spans="1:47">
      <c r="A268" s="16" cm="1">
        <f t="array" aca="1" ref="A268" ca="1">_xlfn.NUMBERVALUE(INDIRECT(TEXT(MIN(IF(($AW$2:$AX$300&lt;&gt;"")*(COUNTIF($B$1:B267,$AW$2:$AX$300)=0),ROW($2:$300)*100+COLUMN($AW:$AX),7^8)),"R0C00"),)&amp;"")</f>
        <v>0</v>
      </c>
      <c r="B268" s="28" t="str">
        <f t="shared" ca="1" si="84"/>
        <v/>
      </c>
      <c r="C268" s="28" t="str">
        <f ca="1">IF($A268=0,"",VLOOKUP($B268,Employees!$A:$G,2,FALSE))</f>
        <v/>
      </c>
      <c r="D268" s="28" t="str">
        <f ca="1">IF($A268=0,"",VLOOKUP($B268,Employees!$A:$G,3,FALSE))</f>
        <v/>
      </c>
      <c r="E268" s="26" t="str">
        <f ca="1">IF($A268=0,"",VLOOKUP($B268,Employees!$A:$G,5,FALSE))</f>
        <v/>
      </c>
      <c r="F268" s="13" t="str">
        <f ca="1">IF($E268="","",ROUNDDOWN(YEARFRAC($E268, 'Week 1 Roster'!$D$1-1, 1), 0))</f>
        <v/>
      </c>
      <c r="G268" s="13" t="str">
        <f ca="1">IF($E268="","",ROUNDDOWN(YEARFRAC($E268, 'Week 1 Roster'!$D$1+14, 1), 0))</f>
        <v/>
      </c>
      <c r="H268" s="13" t="str">
        <f t="shared" ca="1" si="85"/>
        <v/>
      </c>
      <c r="I268" s="13" t="str">
        <f ca="1">IF($A268=0,"",VLOOKUP($B268,Employees!$A:$G,6,FALSE))</f>
        <v/>
      </c>
      <c r="J268" s="13" t="str">
        <f ca="1">IF($A268=0,"",VLOOKUP($B268,Employees!$A:$G,7,FALSE))</f>
        <v/>
      </c>
      <c r="K268" s="13" t="str">
        <f ca="1">IF($A268=0,"",IF(ISNA(VLOOKUP(A268,'Week 1 Roster'!A:C,2,0)),VLOOKUP(A268,'Week 2 Roster'!A:C,2,0),VLOOKUP(A268,'Week 1 Roster'!A:C,2,0)))</f>
        <v/>
      </c>
      <c r="L268" s="13" t="str">
        <f ca="1">IF($A268=0,"",VLOOKUP(K268,Stores!A:B,2,0))</f>
        <v/>
      </c>
      <c r="M268" s="14">
        <f t="shared" ca="1" si="86"/>
        <v>0</v>
      </c>
      <c r="N268" s="14">
        <f t="shared" ca="1" si="87"/>
        <v>0</v>
      </c>
      <c r="O268" s="14">
        <f t="shared" ca="1" si="88"/>
        <v>0</v>
      </c>
      <c r="P268" s="14">
        <f t="shared" ca="1" si="89"/>
        <v>0</v>
      </c>
      <c r="Q268" s="14">
        <f t="shared" ca="1" si="90"/>
        <v>0</v>
      </c>
      <c r="R268" s="14">
        <f t="shared" ca="1" si="91"/>
        <v>0</v>
      </c>
      <c r="S268" s="28">
        <f t="shared" ca="1" si="92"/>
        <v>0</v>
      </c>
      <c r="T268" s="14">
        <f t="shared" ca="1" si="93"/>
        <v>0</v>
      </c>
      <c r="U268" s="14">
        <f t="shared" ca="1" si="94"/>
        <v>0</v>
      </c>
      <c r="V268" s="14">
        <f t="shared" ca="1" si="95"/>
        <v>0</v>
      </c>
      <c r="W268" s="14">
        <f t="shared" ca="1" si="96"/>
        <v>0</v>
      </c>
      <c r="Y268" s="17">
        <f ca="1">IF($A268=0,0,SUMIF('Week 1 Roster'!$AZ:$AZ,$B268,'Week 1 Roster'!$AE:$AE))</f>
        <v>0</v>
      </c>
      <c r="Z268" s="17">
        <f ca="1">IF($A268=0,0,SUMIF('Week 1 Roster'!$AZ:$AZ,$B268,'Week 1 Roster'!$AG:$AG))</f>
        <v>0</v>
      </c>
      <c r="AA268" s="17">
        <f ca="1">IF($A268=0,0,SUMIF('Week 1 Roster'!$AZ:$AZ,$B268,'Week 1 Roster'!$AI:$AI))</f>
        <v>0</v>
      </c>
      <c r="AB268" s="17">
        <f ca="1">IF($A268=0,0,SUMIF('Week 1 Roster'!$AZ:$AZ,$B268,'Week 1 Roster'!$AK:$AK))</f>
        <v>0</v>
      </c>
      <c r="AC268" s="17">
        <f ca="1">IF($A268=0,0,SUMIF('Week 1 Roster'!$AZ:$AZ,$B268,'Week 1 Roster'!$AM:$AM))</f>
        <v>0</v>
      </c>
      <c r="AD268" s="17">
        <f ca="1">IF($A268=0,0,SUMIF('Week 1 Roster'!$AZ:$AZ,$B268,'Week 1 Roster'!$AO:$AO))</f>
        <v>0</v>
      </c>
      <c r="AE268" s="38">
        <f ca="1">IF($A268=0,0,SUMIF('Week 1 Roster'!$AZ:$AZ,$B268,'Week 1 Roster'!$AP:$AP))</f>
        <v>0</v>
      </c>
      <c r="AF268" s="17">
        <f ca="1">IF($A268=0,0,SUMIF('Week 1 Roster'!$AZ:$AZ,$B268,'Week 1 Roster'!$AQ:$AQ))</f>
        <v>0</v>
      </c>
      <c r="AG268" s="17">
        <f ca="1">IF($A268=0,0,SUMIF('Week 1 Roster'!$AZ:$AZ,$B268,'Week 1 Roster'!$AR:$AR))</f>
        <v>0</v>
      </c>
      <c r="AH268" s="17">
        <f ca="1">IF($A268=0,0,SUMIF('Week 1 Roster'!$AZ:$AZ,$B268,'Week 1 Roster'!$AS:$AS))</f>
        <v>0</v>
      </c>
      <c r="AI268" s="17">
        <f t="shared" ca="1" si="97"/>
        <v>0</v>
      </c>
      <c r="AK268" s="17">
        <f ca="1">IF($A268=0,0,SUMIF('Week 2 Roster'!$AZ:$AZ,$B268,'Week 2 Roster'!$AE:$AE))</f>
        <v>0</v>
      </c>
      <c r="AL268" s="17">
        <f ca="1">IF($A268=0,0,SUMIF('Week 2 Roster'!$AZ:$AZ,$B268,'Week 2 Roster'!$AG:$AG))</f>
        <v>0</v>
      </c>
      <c r="AM268" s="17">
        <f ca="1">IF($A268=0,0,SUMIF('Week 2 Roster'!$AZ:$AZ,$B268,'Week 2 Roster'!$AI:$AI))</f>
        <v>0</v>
      </c>
      <c r="AN268" s="17">
        <f ca="1">IF($A268=0,0,SUMIF('Week 2 Roster'!$AZ:$AZ,$B268,'Week 2 Roster'!$AK:$AK))</f>
        <v>0</v>
      </c>
      <c r="AO268" s="17">
        <f ca="1">IF($A268=0,0,SUMIF('Week 2 Roster'!$AZ:$AZ,$B268,'Week 2 Roster'!$AM:$AM))</f>
        <v>0</v>
      </c>
      <c r="AP268" s="17">
        <f ca="1">IF($A268=0,0,SUMIF('Week 2 Roster'!$AZ:$AZ,$B268,'Week 2 Roster'!$AO:$AO))</f>
        <v>0</v>
      </c>
      <c r="AQ268" s="38">
        <f ca="1">IF($A268=0,0,SUMIF('Week 2 Roster'!$AZ:$AZ,$B268,'Week 2 Roster'!$AP:$AP))</f>
        <v>0</v>
      </c>
      <c r="AR268" s="17">
        <f ca="1">IF($A268=0,0,SUMIF('Week 2 Roster'!$AZ:$AZ,$B268,'Week 2 Roster'!$AQ:$AQ))</f>
        <v>0</v>
      </c>
      <c r="AS268" s="17">
        <f ca="1">IF($A268=0,0,SUMIF('Week 2 Roster'!$AZ:$AZ,$B268,'Week 2 Roster'!$AR:$AR))</f>
        <v>0</v>
      </c>
      <c r="AT268" s="17">
        <f ca="1">IF($A268=0,0,SUMIF('Week 2 Roster'!$AZ:$AZ,$B268,'Week 2 Roster'!$AS:$AS))</f>
        <v>0</v>
      </c>
      <c r="AU268" s="17">
        <f t="shared" ca="1" si="98"/>
        <v>0</v>
      </c>
    </row>
    <row r="269" spans="1:47">
      <c r="A269" s="16" cm="1">
        <f t="array" aca="1" ref="A269" ca="1">_xlfn.NUMBERVALUE(INDIRECT(TEXT(MIN(IF(($AW$2:$AX$300&lt;&gt;"")*(COUNTIF($B$1:B268,$AW$2:$AX$300)=0),ROW($2:$300)*100+COLUMN($AW:$AX),7^8)),"R0C00"),)&amp;"")</f>
        <v>0</v>
      </c>
      <c r="B269" s="28" t="str">
        <f t="shared" ca="1" si="84"/>
        <v/>
      </c>
      <c r="C269" s="28" t="str">
        <f ca="1">IF($A269=0,"",VLOOKUP($B269,Employees!$A:$G,2,FALSE))</f>
        <v/>
      </c>
      <c r="D269" s="28" t="str">
        <f ca="1">IF($A269=0,"",VLOOKUP($B269,Employees!$A:$G,3,FALSE))</f>
        <v/>
      </c>
      <c r="E269" s="26" t="str">
        <f ca="1">IF($A269=0,"",VLOOKUP($B269,Employees!$A:$G,5,FALSE))</f>
        <v/>
      </c>
      <c r="F269" s="13" t="str">
        <f ca="1">IF($E269="","",ROUNDDOWN(YEARFRAC($E269, 'Week 1 Roster'!$D$1-1, 1), 0))</f>
        <v/>
      </c>
      <c r="G269" s="13" t="str">
        <f ca="1">IF($E269="","",ROUNDDOWN(YEARFRAC($E269, 'Week 1 Roster'!$D$1+14, 1), 0))</f>
        <v/>
      </c>
      <c r="H269" s="13" t="str">
        <f t="shared" ca="1" si="85"/>
        <v/>
      </c>
      <c r="I269" s="13" t="str">
        <f ca="1">IF($A269=0,"",VLOOKUP($B269,Employees!$A:$G,6,FALSE))</f>
        <v/>
      </c>
      <c r="J269" s="13" t="str">
        <f ca="1">IF($A269=0,"",VLOOKUP($B269,Employees!$A:$G,7,FALSE))</f>
        <v/>
      </c>
      <c r="K269" s="13" t="str">
        <f ca="1">IF($A269=0,"",IF(ISNA(VLOOKUP(A269,'Week 1 Roster'!A:C,2,0)),VLOOKUP(A269,'Week 2 Roster'!A:C,2,0),VLOOKUP(A269,'Week 1 Roster'!A:C,2,0)))</f>
        <v/>
      </c>
      <c r="L269" s="13" t="str">
        <f ca="1">IF($A269=0,"",VLOOKUP(K269,Stores!A:B,2,0))</f>
        <v/>
      </c>
      <c r="M269" s="14">
        <f t="shared" ca="1" si="86"/>
        <v>0</v>
      </c>
      <c r="N269" s="14">
        <f t="shared" ca="1" si="87"/>
        <v>0</v>
      </c>
      <c r="O269" s="14">
        <f t="shared" ca="1" si="88"/>
        <v>0</v>
      </c>
      <c r="P269" s="14">
        <f t="shared" ca="1" si="89"/>
        <v>0</v>
      </c>
      <c r="Q269" s="14">
        <f t="shared" ca="1" si="90"/>
        <v>0</v>
      </c>
      <c r="R269" s="14">
        <f t="shared" ca="1" si="91"/>
        <v>0</v>
      </c>
      <c r="S269" s="28">
        <f t="shared" ca="1" si="92"/>
        <v>0</v>
      </c>
      <c r="T269" s="14">
        <f t="shared" ca="1" si="93"/>
        <v>0</v>
      </c>
      <c r="U269" s="14">
        <f t="shared" ca="1" si="94"/>
        <v>0</v>
      </c>
      <c r="V269" s="14">
        <f t="shared" ca="1" si="95"/>
        <v>0</v>
      </c>
      <c r="W269" s="14">
        <f t="shared" ca="1" si="96"/>
        <v>0</v>
      </c>
      <c r="Y269" s="17">
        <f ca="1">IF($A269=0,0,SUMIF('Week 1 Roster'!$AZ:$AZ,$B269,'Week 1 Roster'!$AE:$AE))</f>
        <v>0</v>
      </c>
      <c r="Z269" s="17">
        <f ca="1">IF($A269=0,0,SUMIF('Week 1 Roster'!$AZ:$AZ,$B269,'Week 1 Roster'!$AG:$AG))</f>
        <v>0</v>
      </c>
      <c r="AA269" s="17">
        <f ca="1">IF($A269=0,0,SUMIF('Week 1 Roster'!$AZ:$AZ,$B269,'Week 1 Roster'!$AI:$AI))</f>
        <v>0</v>
      </c>
      <c r="AB269" s="17">
        <f ca="1">IF($A269=0,0,SUMIF('Week 1 Roster'!$AZ:$AZ,$B269,'Week 1 Roster'!$AK:$AK))</f>
        <v>0</v>
      </c>
      <c r="AC269" s="17">
        <f ca="1">IF($A269=0,0,SUMIF('Week 1 Roster'!$AZ:$AZ,$B269,'Week 1 Roster'!$AM:$AM))</f>
        <v>0</v>
      </c>
      <c r="AD269" s="17">
        <f ca="1">IF($A269=0,0,SUMIF('Week 1 Roster'!$AZ:$AZ,$B269,'Week 1 Roster'!$AO:$AO))</f>
        <v>0</v>
      </c>
      <c r="AE269" s="38">
        <f ca="1">IF($A269=0,0,SUMIF('Week 1 Roster'!$AZ:$AZ,$B269,'Week 1 Roster'!$AP:$AP))</f>
        <v>0</v>
      </c>
      <c r="AF269" s="17">
        <f ca="1">IF($A269=0,0,SUMIF('Week 1 Roster'!$AZ:$AZ,$B269,'Week 1 Roster'!$AQ:$AQ))</f>
        <v>0</v>
      </c>
      <c r="AG269" s="17">
        <f ca="1">IF($A269=0,0,SUMIF('Week 1 Roster'!$AZ:$AZ,$B269,'Week 1 Roster'!$AR:$AR))</f>
        <v>0</v>
      </c>
      <c r="AH269" s="17">
        <f ca="1">IF($A269=0,0,SUMIF('Week 1 Roster'!$AZ:$AZ,$B269,'Week 1 Roster'!$AS:$AS))</f>
        <v>0</v>
      </c>
      <c r="AI269" s="17">
        <f t="shared" ca="1" si="97"/>
        <v>0</v>
      </c>
      <c r="AK269" s="17">
        <f ca="1">IF($A269=0,0,SUMIF('Week 2 Roster'!$AZ:$AZ,$B269,'Week 2 Roster'!$AE:$AE))</f>
        <v>0</v>
      </c>
      <c r="AL269" s="17">
        <f ca="1">IF($A269=0,0,SUMIF('Week 2 Roster'!$AZ:$AZ,$B269,'Week 2 Roster'!$AG:$AG))</f>
        <v>0</v>
      </c>
      <c r="AM269" s="17">
        <f ca="1">IF($A269=0,0,SUMIF('Week 2 Roster'!$AZ:$AZ,$B269,'Week 2 Roster'!$AI:$AI))</f>
        <v>0</v>
      </c>
      <c r="AN269" s="17">
        <f ca="1">IF($A269=0,0,SUMIF('Week 2 Roster'!$AZ:$AZ,$B269,'Week 2 Roster'!$AK:$AK))</f>
        <v>0</v>
      </c>
      <c r="AO269" s="17">
        <f ca="1">IF($A269=0,0,SUMIF('Week 2 Roster'!$AZ:$AZ,$B269,'Week 2 Roster'!$AM:$AM))</f>
        <v>0</v>
      </c>
      <c r="AP269" s="17">
        <f ca="1">IF($A269=0,0,SUMIF('Week 2 Roster'!$AZ:$AZ,$B269,'Week 2 Roster'!$AO:$AO))</f>
        <v>0</v>
      </c>
      <c r="AQ269" s="38">
        <f ca="1">IF($A269=0,0,SUMIF('Week 2 Roster'!$AZ:$AZ,$B269,'Week 2 Roster'!$AP:$AP))</f>
        <v>0</v>
      </c>
      <c r="AR269" s="17">
        <f ca="1">IF($A269=0,0,SUMIF('Week 2 Roster'!$AZ:$AZ,$B269,'Week 2 Roster'!$AQ:$AQ))</f>
        <v>0</v>
      </c>
      <c r="AS269" s="17">
        <f ca="1">IF($A269=0,0,SUMIF('Week 2 Roster'!$AZ:$AZ,$B269,'Week 2 Roster'!$AR:$AR))</f>
        <v>0</v>
      </c>
      <c r="AT269" s="17">
        <f ca="1">IF($A269=0,0,SUMIF('Week 2 Roster'!$AZ:$AZ,$B269,'Week 2 Roster'!$AS:$AS))</f>
        <v>0</v>
      </c>
      <c r="AU269" s="17">
        <f t="shared" ca="1" si="98"/>
        <v>0</v>
      </c>
    </row>
    <row r="270" spans="1:47">
      <c r="A270" s="16" cm="1">
        <f t="array" aca="1" ref="A270" ca="1">_xlfn.NUMBERVALUE(INDIRECT(TEXT(MIN(IF(($AW$2:$AX$300&lt;&gt;"")*(COUNTIF($B$1:B269,$AW$2:$AX$300)=0),ROW($2:$300)*100+COLUMN($AW:$AX),7^8)),"R0C00"),)&amp;"")</f>
        <v>0</v>
      </c>
      <c r="B270" s="28" t="str">
        <f t="shared" ca="1" si="84"/>
        <v/>
      </c>
      <c r="C270" s="28" t="str">
        <f ca="1">IF($A270=0,"",VLOOKUP($B270,Employees!$A:$G,2,FALSE))</f>
        <v/>
      </c>
      <c r="D270" s="28" t="str">
        <f ca="1">IF($A270=0,"",VLOOKUP($B270,Employees!$A:$G,3,FALSE))</f>
        <v/>
      </c>
      <c r="E270" s="26" t="str">
        <f ca="1">IF($A270=0,"",VLOOKUP($B270,Employees!$A:$G,5,FALSE))</f>
        <v/>
      </c>
      <c r="F270" s="13" t="str">
        <f ca="1">IF($E270="","",ROUNDDOWN(YEARFRAC($E270, 'Week 1 Roster'!$D$1-1, 1), 0))</f>
        <v/>
      </c>
      <c r="G270" s="13" t="str">
        <f ca="1">IF($E270="","",ROUNDDOWN(YEARFRAC($E270, 'Week 1 Roster'!$D$1+14, 1), 0))</f>
        <v/>
      </c>
      <c r="H270" s="13" t="str">
        <f t="shared" ca="1" si="85"/>
        <v/>
      </c>
      <c r="I270" s="13" t="str">
        <f ca="1">IF($A270=0,"",VLOOKUP($B270,Employees!$A:$G,6,FALSE))</f>
        <v/>
      </c>
      <c r="J270" s="13" t="str">
        <f ca="1">IF($A270=0,"",VLOOKUP($B270,Employees!$A:$G,7,FALSE))</f>
        <v/>
      </c>
      <c r="K270" s="13" t="str">
        <f ca="1">IF($A270=0,"",IF(ISNA(VLOOKUP(A270,'Week 1 Roster'!A:C,2,0)),VLOOKUP(A270,'Week 2 Roster'!A:C,2,0),VLOOKUP(A270,'Week 1 Roster'!A:C,2,0)))</f>
        <v/>
      </c>
      <c r="L270" s="13" t="str">
        <f ca="1">IF($A270=0,"",VLOOKUP(K270,Stores!A:B,2,0))</f>
        <v/>
      </c>
      <c r="M270" s="14">
        <f t="shared" ca="1" si="86"/>
        <v>0</v>
      </c>
      <c r="N270" s="14">
        <f t="shared" ca="1" si="87"/>
        <v>0</v>
      </c>
      <c r="O270" s="14">
        <f t="shared" ca="1" si="88"/>
        <v>0</v>
      </c>
      <c r="P270" s="14">
        <f t="shared" ca="1" si="89"/>
        <v>0</v>
      </c>
      <c r="Q270" s="14">
        <f t="shared" ca="1" si="90"/>
        <v>0</v>
      </c>
      <c r="R270" s="14">
        <f t="shared" ca="1" si="91"/>
        <v>0</v>
      </c>
      <c r="S270" s="28">
        <f t="shared" ca="1" si="92"/>
        <v>0</v>
      </c>
      <c r="T270" s="14">
        <f t="shared" ca="1" si="93"/>
        <v>0</v>
      </c>
      <c r="U270" s="14">
        <f t="shared" ca="1" si="94"/>
        <v>0</v>
      </c>
      <c r="V270" s="14">
        <f t="shared" ca="1" si="95"/>
        <v>0</v>
      </c>
      <c r="W270" s="14">
        <f t="shared" ca="1" si="96"/>
        <v>0</v>
      </c>
      <c r="Y270" s="17">
        <f ca="1">IF($A270=0,0,SUMIF('Week 1 Roster'!$AZ:$AZ,$B270,'Week 1 Roster'!$AE:$AE))</f>
        <v>0</v>
      </c>
      <c r="Z270" s="17">
        <f ca="1">IF($A270=0,0,SUMIF('Week 1 Roster'!$AZ:$AZ,$B270,'Week 1 Roster'!$AG:$AG))</f>
        <v>0</v>
      </c>
      <c r="AA270" s="17">
        <f ca="1">IF($A270=0,0,SUMIF('Week 1 Roster'!$AZ:$AZ,$B270,'Week 1 Roster'!$AI:$AI))</f>
        <v>0</v>
      </c>
      <c r="AB270" s="17">
        <f ca="1">IF($A270=0,0,SUMIF('Week 1 Roster'!$AZ:$AZ,$B270,'Week 1 Roster'!$AK:$AK))</f>
        <v>0</v>
      </c>
      <c r="AC270" s="17">
        <f ca="1">IF($A270=0,0,SUMIF('Week 1 Roster'!$AZ:$AZ,$B270,'Week 1 Roster'!$AM:$AM))</f>
        <v>0</v>
      </c>
      <c r="AD270" s="17">
        <f ca="1">IF($A270=0,0,SUMIF('Week 1 Roster'!$AZ:$AZ,$B270,'Week 1 Roster'!$AO:$AO))</f>
        <v>0</v>
      </c>
      <c r="AE270" s="38">
        <f ca="1">IF($A270=0,0,SUMIF('Week 1 Roster'!$AZ:$AZ,$B270,'Week 1 Roster'!$AP:$AP))</f>
        <v>0</v>
      </c>
      <c r="AF270" s="17">
        <f ca="1">IF($A270=0,0,SUMIF('Week 1 Roster'!$AZ:$AZ,$B270,'Week 1 Roster'!$AQ:$AQ))</f>
        <v>0</v>
      </c>
      <c r="AG270" s="17">
        <f ca="1">IF($A270=0,0,SUMIF('Week 1 Roster'!$AZ:$AZ,$B270,'Week 1 Roster'!$AR:$AR))</f>
        <v>0</v>
      </c>
      <c r="AH270" s="17">
        <f ca="1">IF($A270=0,0,SUMIF('Week 1 Roster'!$AZ:$AZ,$B270,'Week 1 Roster'!$AS:$AS))</f>
        <v>0</v>
      </c>
      <c r="AI270" s="17">
        <f t="shared" ca="1" si="97"/>
        <v>0</v>
      </c>
      <c r="AK270" s="17">
        <f ca="1">IF($A270=0,0,SUMIF('Week 2 Roster'!$AZ:$AZ,$B270,'Week 2 Roster'!$AE:$AE))</f>
        <v>0</v>
      </c>
      <c r="AL270" s="17">
        <f ca="1">IF($A270=0,0,SUMIF('Week 2 Roster'!$AZ:$AZ,$B270,'Week 2 Roster'!$AG:$AG))</f>
        <v>0</v>
      </c>
      <c r="AM270" s="17">
        <f ca="1">IF($A270=0,0,SUMIF('Week 2 Roster'!$AZ:$AZ,$B270,'Week 2 Roster'!$AI:$AI))</f>
        <v>0</v>
      </c>
      <c r="AN270" s="17">
        <f ca="1">IF($A270=0,0,SUMIF('Week 2 Roster'!$AZ:$AZ,$B270,'Week 2 Roster'!$AK:$AK))</f>
        <v>0</v>
      </c>
      <c r="AO270" s="17">
        <f ca="1">IF($A270=0,0,SUMIF('Week 2 Roster'!$AZ:$AZ,$B270,'Week 2 Roster'!$AM:$AM))</f>
        <v>0</v>
      </c>
      <c r="AP270" s="17">
        <f ca="1">IF($A270=0,0,SUMIF('Week 2 Roster'!$AZ:$AZ,$B270,'Week 2 Roster'!$AO:$AO))</f>
        <v>0</v>
      </c>
      <c r="AQ270" s="38">
        <f ca="1">IF($A270=0,0,SUMIF('Week 2 Roster'!$AZ:$AZ,$B270,'Week 2 Roster'!$AP:$AP))</f>
        <v>0</v>
      </c>
      <c r="AR270" s="17">
        <f ca="1">IF($A270=0,0,SUMIF('Week 2 Roster'!$AZ:$AZ,$B270,'Week 2 Roster'!$AQ:$AQ))</f>
        <v>0</v>
      </c>
      <c r="AS270" s="17">
        <f ca="1">IF($A270=0,0,SUMIF('Week 2 Roster'!$AZ:$AZ,$B270,'Week 2 Roster'!$AR:$AR))</f>
        <v>0</v>
      </c>
      <c r="AT270" s="17">
        <f ca="1">IF($A270=0,0,SUMIF('Week 2 Roster'!$AZ:$AZ,$B270,'Week 2 Roster'!$AS:$AS))</f>
        <v>0</v>
      </c>
      <c r="AU270" s="17">
        <f t="shared" ca="1" si="98"/>
        <v>0</v>
      </c>
    </row>
    <row r="271" spans="1:47">
      <c r="A271" s="16" cm="1">
        <f t="array" aca="1" ref="A271" ca="1">_xlfn.NUMBERVALUE(INDIRECT(TEXT(MIN(IF(($AW$2:$AX$300&lt;&gt;"")*(COUNTIF($B$1:B270,$AW$2:$AX$300)=0),ROW($2:$300)*100+COLUMN($AW:$AX),7^8)),"R0C00"),)&amp;"")</f>
        <v>0</v>
      </c>
      <c r="B271" s="28" t="str">
        <f t="shared" ca="1" si="84"/>
        <v/>
      </c>
      <c r="C271" s="28" t="str">
        <f ca="1">IF($A271=0,"",VLOOKUP($B271,Employees!$A:$G,2,FALSE))</f>
        <v/>
      </c>
      <c r="D271" s="28" t="str">
        <f ca="1">IF($A271=0,"",VLOOKUP($B271,Employees!$A:$G,3,FALSE))</f>
        <v/>
      </c>
      <c r="E271" s="26" t="str">
        <f ca="1">IF($A271=0,"",VLOOKUP($B271,Employees!$A:$G,5,FALSE))</f>
        <v/>
      </c>
      <c r="F271" s="13" t="str">
        <f ca="1">IF($E271="","",ROUNDDOWN(YEARFRAC($E271, 'Week 1 Roster'!$D$1-1, 1), 0))</f>
        <v/>
      </c>
      <c r="G271" s="13" t="str">
        <f ca="1">IF($E271="","",ROUNDDOWN(YEARFRAC($E271, 'Week 1 Roster'!$D$1+14, 1), 0))</f>
        <v/>
      </c>
      <c r="H271" s="13" t="str">
        <f t="shared" ca="1" si="85"/>
        <v/>
      </c>
      <c r="I271" s="13" t="str">
        <f ca="1">IF($A271=0,"",VLOOKUP($B271,Employees!$A:$G,6,FALSE))</f>
        <v/>
      </c>
      <c r="J271" s="13" t="str">
        <f ca="1">IF($A271=0,"",VLOOKUP($B271,Employees!$A:$G,7,FALSE))</f>
        <v/>
      </c>
      <c r="K271" s="13" t="str">
        <f ca="1">IF($A271=0,"",IF(ISNA(VLOOKUP(A271,'Week 1 Roster'!A:C,2,0)),VLOOKUP(A271,'Week 2 Roster'!A:C,2,0),VLOOKUP(A271,'Week 1 Roster'!A:C,2,0)))</f>
        <v/>
      </c>
      <c r="L271" s="13" t="str">
        <f ca="1">IF($A271=0,"",VLOOKUP(K271,Stores!A:B,2,0))</f>
        <v/>
      </c>
      <c r="M271" s="14">
        <f t="shared" ca="1" si="86"/>
        <v>0</v>
      </c>
      <c r="N271" s="14">
        <f t="shared" ca="1" si="87"/>
        <v>0</v>
      </c>
      <c r="O271" s="14">
        <f t="shared" ca="1" si="88"/>
        <v>0</v>
      </c>
      <c r="P271" s="14">
        <f t="shared" ca="1" si="89"/>
        <v>0</v>
      </c>
      <c r="Q271" s="14">
        <f t="shared" ca="1" si="90"/>
        <v>0</v>
      </c>
      <c r="R271" s="14">
        <f t="shared" ca="1" si="91"/>
        <v>0</v>
      </c>
      <c r="S271" s="28">
        <f t="shared" ca="1" si="92"/>
        <v>0</v>
      </c>
      <c r="T271" s="14">
        <f t="shared" ca="1" si="93"/>
        <v>0</v>
      </c>
      <c r="U271" s="14">
        <f t="shared" ca="1" si="94"/>
        <v>0</v>
      </c>
      <c r="V271" s="14">
        <f t="shared" ca="1" si="95"/>
        <v>0</v>
      </c>
      <c r="W271" s="14">
        <f t="shared" ca="1" si="96"/>
        <v>0</v>
      </c>
      <c r="Y271" s="17">
        <f ca="1">IF($A271=0,0,SUMIF('Week 1 Roster'!$AZ:$AZ,$B271,'Week 1 Roster'!$AE:$AE))</f>
        <v>0</v>
      </c>
      <c r="Z271" s="17">
        <f ca="1">IF($A271=0,0,SUMIF('Week 1 Roster'!$AZ:$AZ,$B271,'Week 1 Roster'!$AG:$AG))</f>
        <v>0</v>
      </c>
      <c r="AA271" s="17">
        <f ca="1">IF($A271=0,0,SUMIF('Week 1 Roster'!$AZ:$AZ,$B271,'Week 1 Roster'!$AI:$AI))</f>
        <v>0</v>
      </c>
      <c r="AB271" s="17">
        <f ca="1">IF($A271=0,0,SUMIF('Week 1 Roster'!$AZ:$AZ,$B271,'Week 1 Roster'!$AK:$AK))</f>
        <v>0</v>
      </c>
      <c r="AC271" s="17">
        <f ca="1">IF($A271=0,0,SUMIF('Week 1 Roster'!$AZ:$AZ,$B271,'Week 1 Roster'!$AM:$AM))</f>
        <v>0</v>
      </c>
      <c r="AD271" s="17">
        <f ca="1">IF($A271=0,0,SUMIF('Week 1 Roster'!$AZ:$AZ,$B271,'Week 1 Roster'!$AO:$AO))</f>
        <v>0</v>
      </c>
      <c r="AE271" s="38">
        <f ca="1">IF($A271=0,0,SUMIF('Week 1 Roster'!$AZ:$AZ,$B271,'Week 1 Roster'!$AP:$AP))</f>
        <v>0</v>
      </c>
      <c r="AF271" s="17">
        <f ca="1">IF($A271=0,0,SUMIF('Week 1 Roster'!$AZ:$AZ,$B271,'Week 1 Roster'!$AQ:$AQ))</f>
        <v>0</v>
      </c>
      <c r="AG271" s="17">
        <f ca="1">IF($A271=0,0,SUMIF('Week 1 Roster'!$AZ:$AZ,$B271,'Week 1 Roster'!$AR:$AR))</f>
        <v>0</v>
      </c>
      <c r="AH271" s="17">
        <f ca="1">IF($A271=0,0,SUMIF('Week 1 Roster'!$AZ:$AZ,$B271,'Week 1 Roster'!$AS:$AS))</f>
        <v>0</v>
      </c>
      <c r="AI271" s="17">
        <f t="shared" ca="1" si="97"/>
        <v>0</v>
      </c>
      <c r="AK271" s="17">
        <f ca="1">IF($A271=0,0,SUMIF('Week 2 Roster'!$AZ:$AZ,$B271,'Week 2 Roster'!$AE:$AE))</f>
        <v>0</v>
      </c>
      <c r="AL271" s="17">
        <f ca="1">IF($A271=0,0,SUMIF('Week 2 Roster'!$AZ:$AZ,$B271,'Week 2 Roster'!$AG:$AG))</f>
        <v>0</v>
      </c>
      <c r="AM271" s="17">
        <f ca="1">IF($A271=0,0,SUMIF('Week 2 Roster'!$AZ:$AZ,$B271,'Week 2 Roster'!$AI:$AI))</f>
        <v>0</v>
      </c>
      <c r="AN271" s="17">
        <f ca="1">IF($A271=0,0,SUMIF('Week 2 Roster'!$AZ:$AZ,$B271,'Week 2 Roster'!$AK:$AK))</f>
        <v>0</v>
      </c>
      <c r="AO271" s="17">
        <f ca="1">IF($A271=0,0,SUMIF('Week 2 Roster'!$AZ:$AZ,$B271,'Week 2 Roster'!$AM:$AM))</f>
        <v>0</v>
      </c>
      <c r="AP271" s="17">
        <f ca="1">IF($A271=0,0,SUMIF('Week 2 Roster'!$AZ:$AZ,$B271,'Week 2 Roster'!$AO:$AO))</f>
        <v>0</v>
      </c>
      <c r="AQ271" s="38">
        <f ca="1">IF($A271=0,0,SUMIF('Week 2 Roster'!$AZ:$AZ,$B271,'Week 2 Roster'!$AP:$AP))</f>
        <v>0</v>
      </c>
      <c r="AR271" s="17">
        <f ca="1">IF($A271=0,0,SUMIF('Week 2 Roster'!$AZ:$AZ,$B271,'Week 2 Roster'!$AQ:$AQ))</f>
        <v>0</v>
      </c>
      <c r="AS271" s="17">
        <f ca="1">IF($A271=0,0,SUMIF('Week 2 Roster'!$AZ:$AZ,$B271,'Week 2 Roster'!$AR:$AR))</f>
        <v>0</v>
      </c>
      <c r="AT271" s="17">
        <f ca="1">IF($A271=0,0,SUMIF('Week 2 Roster'!$AZ:$AZ,$B271,'Week 2 Roster'!$AS:$AS))</f>
        <v>0</v>
      </c>
      <c r="AU271" s="17">
        <f t="shared" ca="1" si="98"/>
        <v>0</v>
      </c>
    </row>
    <row r="272" spans="1:47">
      <c r="A272" s="16" cm="1">
        <f t="array" aca="1" ref="A272" ca="1">_xlfn.NUMBERVALUE(INDIRECT(TEXT(MIN(IF(($AW$2:$AX$300&lt;&gt;"")*(COUNTIF($B$1:B271,$AW$2:$AX$300)=0),ROW($2:$300)*100+COLUMN($AW:$AX),7^8)),"R0C00"),)&amp;"")</f>
        <v>0</v>
      </c>
      <c r="B272" s="28" t="str">
        <f t="shared" ca="1" si="84"/>
        <v/>
      </c>
      <c r="C272" s="28" t="str">
        <f ca="1">IF($A272=0,"",VLOOKUP($B272,Employees!$A:$G,2,FALSE))</f>
        <v/>
      </c>
      <c r="D272" s="28" t="str">
        <f ca="1">IF($A272=0,"",VLOOKUP($B272,Employees!$A:$G,3,FALSE))</f>
        <v/>
      </c>
      <c r="E272" s="26" t="str">
        <f ca="1">IF($A272=0,"",VLOOKUP($B272,Employees!$A:$G,5,FALSE))</f>
        <v/>
      </c>
      <c r="F272" s="13" t="str">
        <f ca="1">IF($E272="","",ROUNDDOWN(YEARFRAC($E272, 'Week 1 Roster'!$D$1-1, 1), 0))</f>
        <v/>
      </c>
      <c r="G272" s="13" t="str">
        <f ca="1">IF($E272="","",ROUNDDOWN(YEARFRAC($E272, 'Week 1 Roster'!$D$1+14, 1), 0))</f>
        <v/>
      </c>
      <c r="H272" s="13" t="str">
        <f t="shared" ca="1" si="85"/>
        <v/>
      </c>
      <c r="I272" s="13" t="str">
        <f ca="1">IF($A272=0,"",VLOOKUP($B272,Employees!$A:$G,6,FALSE))</f>
        <v/>
      </c>
      <c r="J272" s="13" t="str">
        <f ca="1">IF($A272=0,"",VLOOKUP($B272,Employees!$A:$G,7,FALSE))</f>
        <v/>
      </c>
      <c r="K272" s="13" t="str">
        <f ca="1">IF($A272=0,"",IF(ISNA(VLOOKUP(A272,'Week 1 Roster'!A:C,2,0)),VLOOKUP(A272,'Week 2 Roster'!A:C,2,0),VLOOKUP(A272,'Week 1 Roster'!A:C,2,0)))</f>
        <v/>
      </c>
      <c r="L272" s="13" t="str">
        <f ca="1">IF($A272=0,"",VLOOKUP(K272,Stores!A:B,2,0))</f>
        <v/>
      </c>
      <c r="M272" s="14">
        <f t="shared" ca="1" si="86"/>
        <v>0</v>
      </c>
      <c r="N272" s="14">
        <f t="shared" ca="1" si="87"/>
        <v>0</v>
      </c>
      <c r="O272" s="14">
        <f t="shared" ca="1" si="88"/>
        <v>0</v>
      </c>
      <c r="P272" s="14">
        <f t="shared" ca="1" si="89"/>
        <v>0</v>
      </c>
      <c r="Q272" s="14">
        <f t="shared" ca="1" si="90"/>
        <v>0</v>
      </c>
      <c r="R272" s="14">
        <f t="shared" ca="1" si="91"/>
        <v>0</v>
      </c>
      <c r="S272" s="28">
        <f t="shared" ca="1" si="92"/>
        <v>0</v>
      </c>
      <c r="T272" s="14">
        <f t="shared" ca="1" si="93"/>
        <v>0</v>
      </c>
      <c r="U272" s="14">
        <f t="shared" ca="1" si="94"/>
        <v>0</v>
      </c>
      <c r="V272" s="14">
        <f t="shared" ca="1" si="95"/>
        <v>0</v>
      </c>
      <c r="W272" s="14">
        <f t="shared" ca="1" si="96"/>
        <v>0</v>
      </c>
      <c r="Y272" s="17">
        <f ca="1">IF($A272=0,0,SUMIF('Week 1 Roster'!$AZ:$AZ,$B272,'Week 1 Roster'!$AE:$AE))</f>
        <v>0</v>
      </c>
      <c r="Z272" s="17">
        <f ca="1">IF($A272=0,0,SUMIF('Week 1 Roster'!$AZ:$AZ,$B272,'Week 1 Roster'!$AG:$AG))</f>
        <v>0</v>
      </c>
      <c r="AA272" s="17">
        <f ca="1">IF($A272=0,0,SUMIF('Week 1 Roster'!$AZ:$AZ,$B272,'Week 1 Roster'!$AI:$AI))</f>
        <v>0</v>
      </c>
      <c r="AB272" s="17">
        <f ca="1">IF($A272=0,0,SUMIF('Week 1 Roster'!$AZ:$AZ,$B272,'Week 1 Roster'!$AK:$AK))</f>
        <v>0</v>
      </c>
      <c r="AC272" s="17">
        <f ca="1">IF($A272=0,0,SUMIF('Week 1 Roster'!$AZ:$AZ,$B272,'Week 1 Roster'!$AM:$AM))</f>
        <v>0</v>
      </c>
      <c r="AD272" s="17">
        <f ca="1">IF($A272=0,0,SUMIF('Week 1 Roster'!$AZ:$AZ,$B272,'Week 1 Roster'!$AO:$AO))</f>
        <v>0</v>
      </c>
      <c r="AE272" s="38">
        <f ca="1">IF($A272=0,0,SUMIF('Week 1 Roster'!$AZ:$AZ,$B272,'Week 1 Roster'!$AP:$AP))</f>
        <v>0</v>
      </c>
      <c r="AF272" s="17">
        <f ca="1">IF($A272=0,0,SUMIF('Week 1 Roster'!$AZ:$AZ,$B272,'Week 1 Roster'!$AQ:$AQ))</f>
        <v>0</v>
      </c>
      <c r="AG272" s="17">
        <f ca="1">IF($A272=0,0,SUMIF('Week 1 Roster'!$AZ:$AZ,$B272,'Week 1 Roster'!$AR:$AR))</f>
        <v>0</v>
      </c>
      <c r="AH272" s="17">
        <f ca="1">IF($A272=0,0,SUMIF('Week 1 Roster'!$AZ:$AZ,$B272,'Week 1 Roster'!$AS:$AS))</f>
        <v>0</v>
      </c>
      <c r="AI272" s="17">
        <f t="shared" ca="1" si="97"/>
        <v>0</v>
      </c>
      <c r="AK272" s="17">
        <f ca="1">IF($A272=0,0,SUMIF('Week 2 Roster'!$AZ:$AZ,$B272,'Week 2 Roster'!$AE:$AE))</f>
        <v>0</v>
      </c>
      <c r="AL272" s="17">
        <f ca="1">IF($A272=0,0,SUMIF('Week 2 Roster'!$AZ:$AZ,$B272,'Week 2 Roster'!$AG:$AG))</f>
        <v>0</v>
      </c>
      <c r="AM272" s="17">
        <f ca="1">IF($A272=0,0,SUMIF('Week 2 Roster'!$AZ:$AZ,$B272,'Week 2 Roster'!$AI:$AI))</f>
        <v>0</v>
      </c>
      <c r="AN272" s="17">
        <f ca="1">IF($A272=0,0,SUMIF('Week 2 Roster'!$AZ:$AZ,$B272,'Week 2 Roster'!$AK:$AK))</f>
        <v>0</v>
      </c>
      <c r="AO272" s="17">
        <f ca="1">IF($A272=0,0,SUMIF('Week 2 Roster'!$AZ:$AZ,$B272,'Week 2 Roster'!$AM:$AM))</f>
        <v>0</v>
      </c>
      <c r="AP272" s="17">
        <f ca="1">IF($A272=0,0,SUMIF('Week 2 Roster'!$AZ:$AZ,$B272,'Week 2 Roster'!$AO:$AO))</f>
        <v>0</v>
      </c>
      <c r="AQ272" s="38">
        <f ca="1">IF($A272=0,0,SUMIF('Week 2 Roster'!$AZ:$AZ,$B272,'Week 2 Roster'!$AP:$AP))</f>
        <v>0</v>
      </c>
      <c r="AR272" s="17">
        <f ca="1">IF($A272=0,0,SUMIF('Week 2 Roster'!$AZ:$AZ,$B272,'Week 2 Roster'!$AQ:$AQ))</f>
        <v>0</v>
      </c>
      <c r="AS272" s="17">
        <f ca="1">IF($A272=0,0,SUMIF('Week 2 Roster'!$AZ:$AZ,$B272,'Week 2 Roster'!$AR:$AR))</f>
        <v>0</v>
      </c>
      <c r="AT272" s="17">
        <f ca="1">IF($A272=0,0,SUMIF('Week 2 Roster'!$AZ:$AZ,$B272,'Week 2 Roster'!$AS:$AS))</f>
        <v>0</v>
      </c>
      <c r="AU272" s="17">
        <f t="shared" ca="1" si="98"/>
        <v>0</v>
      </c>
    </row>
    <row r="273" spans="1:47">
      <c r="A273" s="16" cm="1">
        <f t="array" aca="1" ref="A273" ca="1">_xlfn.NUMBERVALUE(INDIRECT(TEXT(MIN(IF(($AW$2:$AX$300&lt;&gt;"")*(COUNTIF($B$1:B272,$AW$2:$AX$300)=0),ROW($2:$300)*100+COLUMN($AW:$AX),7^8)),"R0C00"),)&amp;"")</f>
        <v>0</v>
      </c>
      <c r="B273" s="28" t="str">
        <f t="shared" ca="1" si="84"/>
        <v/>
      </c>
      <c r="C273" s="28" t="str">
        <f ca="1">IF($A273=0,"",VLOOKUP($B273,Employees!$A:$G,2,FALSE))</f>
        <v/>
      </c>
      <c r="D273" s="28" t="str">
        <f ca="1">IF($A273=0,"",VLOOKUP($B273,Employees!$A:$G,3,FALSE))</f>
        <v/>
      </c>
      <c r="E273" s="26" t="str">
        <f ca="1">IF($A273=0,"",VLOOKUP($B273,Employees!$A:$G,5,FALSE))</f>
        <v/>
      </c>
      <c r="F273" s="13" t="str">
        <f ca="1">IF($E273="","",ROUNDDOWN(YEARFRAC($E273, 'Week 1 Roster'!$D$1-1, 1), 0))</f>
        <v/>
      </c>
      <c r="G273" s="13" t="str">
        <f ca="1">IF($E273="","",ROUNDDOWN(YEARFRAC($E273, 'Week 1 Roster'!$D$1+14, 1), 0))</f>
        <v/>
      </c>
      <c r="H273" s="13" t="str">
        <f t="shared" ca="1" si="85"/>
        <v/>
      </c>
      <c r="I273" s="13" t="str">
        <f ca="1">IF($A273=0,"",VLOOKUP($B273,Employees!$A:$G,6,FALSE))</f>
        <v/>
      </c>
      <c r="J273" s="13" t="str">
        <f ca="1">IF($A273=0,"",VLOOKUP($B273,Employees!$A:$G,7,FALSE))</f>
        <v/>
      </c>
      <c r="K273" s="13" t="str">
        <f ca="1">IF($A273=0,"",IF(ISNA(VLOOKUP(A273,'Week 1 Roster'!A:C,2,0)),VLOOKUP(A273,'Week 2 Roster'!A:C,2,0),VLOOKUP(A273,'Week 1 Roster'!A:C,2,0)))</f>
        <v/>
      </c>
      <c r="L273" s="13" t="str">
        <f ca="1">IF($A273=0,"",VLOOKUP(K273,Stores!A:B,2,0))</f>
        <v/>
      </c>
      <c r="M273" s="14">
        <f t="shared" ca="1" si="86"/>
        <v>0</v>
      </c>
      <c r="N273" s="14">
        <f t="shared" ca="1" si="87"/>
        <v>0</v>
      </c>
      <c r="O273" s="14">
        <f t="shared" ca="1" si="88"/>
        <v>0</v>
      </c>
      <c r="P273" s="14">
        <f t="shared" ca="1" si="89"/>
        <v>0</v>
      </c>
      <c r="Q273" s="14">
        <f t="shared" ca="1" si="90"/>
        <v>0</v>
      </c>
      <c r="R273" s="14">
        <f t="shared" ca="1" si="91"/>
        <v>0</v>
      </c>
      <c r="S273" s="28">
        <f t="shared" ca="1" si="92"/>
        <v>0</v>
      </c>
      <c r="T273" s="14">
        <f t="shared" ca="1" si="93"/>
        <v>0</v>
      </c>
      <c r="U273" s="14">
        <f t="shared" ca="1" si="94"/>
        <v>0</v>
      </c>
      <c r="V273" s="14">
        <f t="shared" ca="1" si="95"/>
        <v>0</v>
      </c>
      <c r="W273" s="14">
        <f t="shared" ca="1" si="96"/>
        <v>0</v>
      </c>
      <c r="Y273" s="17">
        <f ca="1">IF($A273=0,0,SUMIF('Week 1 Roster'!$AZ:$AZ,$B273,'Week 1 Roster'!$AE:$AE))</f>
        <v>0</v>
      </c>
      <c r="Z273" s="17">
        <f ca="1">IF($A273=0,0,SUMIF('Week 1 Roster'!$AZ:$AZ,$B273,'Week 1 Roster'!$AG:$AG))</f>
        <v>0</v>
      </c>
      <c r="AA273" s="17">
        <f ca="1">IF($A273=0,0,SUMIF('Week 1 Roster'!$AZ:$AZ,$B273,'Week 1 Roster'!$AI:$AI))</f>
        <v>0</v>
      </c>
      <c r="AB273" s="17">
        <f ca="1">IF($A273=0,0,SUMIF('Week 1 Roster'!$AZ:$AZ,$B273,'Week 1 Roster'!$AK:$AK))</f>
        <v>0</v>
      </c>
      <c r="AC273" s="17">
        <f ca="1">IF($A273=0,0,SUMIF('Week 1 Roster'!$AZ:$AZ,$B273,'Week 1 Roster'!$AM:$AM))</f>
        <v>0</v>
      </c>
      <c r="AD273" s="17">
        <f ca="1">IF($A273=0,0,SUMIF('Week 1 Roster'!$AZ:$AZ,$B273,'Week 1 Roster'!$AO:$AO))</f>
        <v>0</v>
      </c>
      <c r="AE273" s="38">
        <f ca="1">IF($A273=0,0,SUMIF('Week 1 Roster'!$AZ:$AZ,$B273,'Week 1 Roster'!$AP:$AP))</f>
        <v>0</v>
      </c>
      <c r="AF273" s="17">
        <f ca="1">IF($A273=0,0,SUMIF('Week 1 Roster'!$AZ:$AZ,$B273,'Week 1 Roster'!$AQ:$AQ))</f>
        <v>0</v>
      </c>
      <c r="AG273" s="17">
        <f ca="1">IF($A273=0,0,SUMIF('Week 1 Roster'!$AZ:$AZ,$B273,'Week 1 Roster'!$AR:$AR))</f>
        <v>0</v>
      </c>
      <c r="AH273" s="17">
        <f ca="1">IF($A273=0,0,SUMIF('Week 1 Roster'!$AZ:$AZ,$B273,'Week 1 Roster'!$AS:$AS))</f>
        <v>0</v>
      </c>
      <c r="AI273" s="17">
        <f t="shared" ca="1" si="97"/>
        <v>0</v>
      </c>
      <c r="AK273" s="17">
        <f ca="1">IF($A273=0,0,SUMIF('Week 2 Roster'!$AZ:$AZ,$B273,'Week 2 Roster'!$AE:$AE))</f>
        <v>0</v>
      </c>
      <c r="AL273" s="17">
        <f ca="1">IF($A273=0,0,SUMIF('Week 2 Roster'!$AZ:$AZ,$B273,'Week 2 Roster'!$AG:$AG))</f>
        <v>0</v>
      </c>
      <c r="AM273" s="17">
        <f ca="1">IF($A273=0,0,SUMIF('Week 2 Roster'!$AZ:$AZ,$B273,'Week 2 Roster'!$AI:$AI))</f>
        <v>0</v>
      </c>
      <c r="AN273" s="17">
        <f ca="1">IF($A273=0,0,SUMIF('Week 2 Roster'!$AZ:$AZ,$B273,'Week 2 Roster'!$AK:$AK))</f>
        <v>0</v>
      </c>
      <c r="AO273" s="17">
        <f ca="1">IF($A273=0,0,SUMIF('Week 2 Roster'!$AZ:$AZ,$B273,'Week 2 Roster'!$AM:$AM))</f>
        <v>0</v>
      </c>
      <c r="AP273" s="17">
        <f ca="1">IF($A273=0,0,SUMIF('Week 2 Roster'!$AZ:$AZ,$B273,'Week 2 Roster'!$AO:$AO))</f>
        <v>0</v>
      </c>
      <c r="AQ273" s="38">
        <f ca="1">IF($A273=0,0,SUMIF('Week 2 Roster'!$AZ:$AZ,$B273,'Week 2 Roster'!$AP:$AP))</f>
        <v>0</v>
      </c>
      <c r="AR273" s="17">
        <f ca="1">IF($A273=0,0,SUMIF('Week 2 Roster'!$AZ:$AZ,$B273,'Week 2 Roster'!$AQ:$AQ))</f>
        <v>0</v>
      </c>
      <c r="AS273" s="17">
        <f ca="1">IF($A273=0,0,SUMIF('Week 2 Roster'!$AZ:$AZ,$B273,'Week 2 Roster'!$AR:$AR))</f>
        <v>0</v>
      </c>
      <c r="AT273" s="17">
        <f ca="1">IF($A273=0,0,SUMIF('Week 2 Roster'!$AZ:$AZ,$B273,'Week 2 Roster'!$AS:$AS))</f>
        <v>0</v>
      </c>
      <c r="AU273" s="17">
        <f t="shared" ca="1" si="98"/>
        <v>0</v>
      </c>
    </row>
    <row r="274" spans="1:47">
      <c r="A274" s="16" cm="1">
        <f t="array" aca="1" ref="A274" ca="1">_xlfn.NUMBERVALUE(INDIRECT(TEXT(MIN(IF(($AW$2:$AX$300&lt;&gt;"")*(COUNTIF($B$1:B273,$AW$2:$AX$300)=0),ROW($2:$300)*100+COLUMN($AW:$AX),7^8)),"R0C00"),)&amp;"")</f>
        <v>0</v>
      </c>
      <c r="B274" s="28" t="str">
        <f t="shared" ca="1" si="84"/>
        <v/>
      </c>
      <c r="C274" s="28" t="str">
        <f ca="1">IF($A274=0,"",VLOOKUP($B274,Employees!$A:$G,2,FALSE))</f>
        <v/>
      </c>
      <c r="D274" s="28" t="str">
        <f ca="1">IF($A274=0,"",VLOOKUP($B274,Employees!$A:$G,3,FALSE))</f>
        <v/>
      </c>
      <c r="E274" s="26" t="str">
        <f ca="1">IF($A274=0,"",VLOOKUP($B274,Employees!$A:$G,5,FALSE))</f>
        <v/>
      </c>
      <c r="F274" s="13" t="str">
        <f ca="1">IF($E274="","",ROUNDDOWN(YEARFRAC($E274, 'Week 1 Roster'!$D$1-1, 1), 0))</f>
        <v/>
      </c>
      <c r="G274" s="13" t="str">
        <f ca="1">IF($E274="","",ROUNDDOWN(YEARFRAC($E274, 'Week 1 Roster'!$D$1+14, 1), 0))</f>
        <v/>
      </c>
      <c r="H274" s="13" t="str">
        <f t="shared" ca="1" si="85"/>
        <v/>
      </c>
      <c r="I274" s="13" t="str">
        <f ca="1">IF($A274=0,"",VLOOKUP($B274,Employees!$A:$G,6,FALSE))</f>
        <v/>
      </c>
      <c r="J274" s="13" t="str">
        <f ca="1">IF($A274=0,"",VLOOKUP($B274,Employees!$A:$G,7,FALSE))</f>
        <v/>
      </c>
      <c r="K274" s="13" t="str">
        <f ca="1">IF($A274=0,"",IF(ISNA(VLOOKUP(A274,'Week 1 Roster'!A:C,2,0)),VLOOKUP(A274,'Week 2 Roster'!A:C,2,0),VLOOKUP(A274,'Week 1 Roster'!A:C,2,0)))</f>
        <v/>
      </c>
      <c r="L274" s="13" t="str">
        <f ca="1">IF($A274=0,"",VLOOKUP(K274,Stores!A:B,2,0))</f>
        <v/>
      </c>
      <c r="M274" s="14">
        <f t="shared" ca="1" si="86"/>
        <v>0</v>
      </c>
      <c r="N274" s="14">
        <f t="shared" ca="1" si="87"/>
        <v>0</v>
      </c>
      <c r="O274" s="14">
        <f t="shared" ca="1" si="88"/>
        <v>0</v>
      </c>
      <c r="P274" s="14">
        <f t="shared" ca="1" si="89"/>
        <v>0</v>
      </c>
      <c r="Q274" s="14">
        <f t="shared" ca="1" si="90"/>
        <v>0</v>
      </c>
      <c r="R274" s="14">
        <f t="shared" ca="1" si="91"/>
        <v>0</v>
      </c>
      <c r="S274" s="28">
        <f t="shared" ca="1" si="92"/>
        <v>0</v>
      </c>
      <c r="T274" s="14">
        <f t="shared" ca="1" si="93"/>
        <v>0</v>
      </c>
      <c r="U274" s="14">
        <f t="shared" ca="1" si="94"/>
        <v>0</v>
      </c>
      <c r="V274" s="14">
        <f t="shared" ca="1" si="95"/>
        <v>0</v>
      </c>
      <c r="W274" s="14">
        <f t="shared" ca="1" si="96"/>
        <v>0</v>
      </c>
      <c r="Y274" s="17">
        <f ca="1">IF($A274=0,0,SUMIF('Week 1 Roster'!$AZ:$AZ,$B274,'Week 1 Roster'!$AE:$AE))</f>
        <v>0</v>
      </c>
      <c r="Z274" s="17">
        <f ca="1">IF($A274=0,0,SUMIF('Week 1 Roster'!$AZ:$AZ,$B274,'Week 1 Roster'!$AG:$AG))</f>
        <v>0</v>
      </c>
      <c r="AA274" s="17">
        <f ca="1">IF($A274=0,0,SUMIF('Week 1 Roster'!$AZ:$AZ,$B274,'Week 1 Roster'!$AI:$AI))</f>
        <v>0</v>
      </c>
      <c r="AB274" s="17">
        <f ca="1">IF($A274=0,0,SUMIF('Week 1 Roster'!$AZ:$AZ,$B274,'Week 1 Roster'!$AK:$AK))</f>
        <v>0</v>
      </c>
      <c r="AC274" s="17">
        <f ca="1">IF($A274=0,0,SUMIF('Week 1 Roster'!$AZ:$AZ,$B274,'Week 1 Roster'!$AM:$AM))</f>
        <v>0</v>
      </c>
      <c r="AD274" s="17">
        <f ca="1">IF($A274=0,0,SUMIF('Week 1 Roster'!$AZ:$AZ,$B274,'Week 1 Roster'!$AO:$AO))</f>
        <v>0</v>
      </c>
      <c r="AE274" s="38">
        <f ca="1">IF($A274=0,0,SUMIF('Week 1 Roster'!$AZ:$AZ,$B274,'Week 1 Roster'!$AP:$AP))</f>
        <v>0</v>
      </c>
      <c r="AF274" s="17">
        <f ca="1">IF($A274=0,0,SUMIF('Week 1 Roster'!$AZ:$AZ,$B274,'Week 1 Roster'!$AQ:$AQ))</f>
        <v>0</v>
      </c>
      <c r="AG274" s="17">
        <f ca="1">IF($A274=0,0,SUMIF('Week 1 Roster'!$AZ:$AZ,$B274,'Week 1 Roster'!$AR:$AR))</f>
        <v>0</v>
      </c>
      <c r="AH274" s="17">
        <f ca="1">IF($A274=0,0,SUMIF('Week 1 Roster'!$AZ:$AZ,$B274,'Week 1 Roster'!$AS:$AS))</f>
        <v>0</v>
      </c>
      <c r="AI274" s="17">
        <f t="shared" ca="1" si="97"/>
        <v>0</v>
      </c>
      <c r="AK274" s="17">
        <f ca="1">IF($A274=0,0,SUMIF('Week 2 Roster'!$AZ:$AZ,$B274,'Week 2 Roster'!$AE:$AE))</f>
        <v>0</v>
      </c>
      <c r="AL274" s="17">
        <f ca="1">IF($A274=0,0,SUMIF('Week 2 Roster'!$AZ:$AZ,$B274,'Week 2 Roster'!$AG:$AG))</f>
        <v>0</v>
      </c>
      <c r="AM274" s="17">
        <f ca="1">IF($A274=0,0,SUMIF('Week 2 Roster'!$AZ:$AZ,$B274,'Week 2 Roster'!$AI:$AI))</f>
        <v>0</v>
      </c>
      <c r="AN274" s="17">
        <f ca="1">IF($A274=0,0,SUMIF('Week 2 Roster'!$AZ:$AZ,$B274,'Week 2 Roster'!$AK:$AK))</f>
        <v>0</v>
      </c>
      <c r="AO274" s="17">
        <f ca="1">IF($A274=0,0,SUMIF('Week 2 Roster'!$AZ:$AZ,$B274,'Week 2 Roster'!$AM:$AM))</f>
        <v>0</v>
      </c>
      <c r="AP274" s="17">
        <f ca="1">IF($A274=0,0,SUMIF('Week 2 Roster'!$AZ:$AZ,$B274,'Week 2 Roster'!$AO:$AO))</f>
        <v>0</v>
      </c>
      <c r="AQ274" s="38">
        <f ca="1">IF($A274=0,0,SUMIF('Week 2 Roster'!$AZ:$AZ,$B274,'Week 2 Roster'!$AP:$AP))</f>
        <v>0</v>
      </c>
      <c r="AR274" s="17">
        <f ca="1">IF($A274=0,0,SUMIF('Week 2 Roster'!$AZ:$AZ,$B274,'Week 2 Roster'!$AQ:$AQ))</f>
        <v>0</v>
      </c>
      <c r="AS274" s="17">
        <f ca="1">IF($A274=0,0,SUMIF('Week 2 Roster'!$AZ:$AZ,$B274,'Week 2 Roster'!$AR:$AR))</f>
        <v>0</v>
      </c>
      <c r="AT274" s="17">
        <f ca="1">IF($A274=0,0,SUMIF('Week 2 Roster'!$AZ:$AZ,$B274,'Week 2 Roster'!$AS:$AS))</f>
        <v>0</v>
      </c>
      <c r="AU274" s="17">
        <f t="shared" ca="1" si="98"/>
        <v>0</v>
      </c>
    </row>
    <row r="275" spans="1:47">
      <c r="A275" s="16" cm="1">
        <f t="array" aca="1" ref="A275" ca="1">_xlfn.NUMBERVALUE(INDIRECT(TEXT(MIN(IF(($AW$2:$AX$300&lt;&gt;"")*(COUNTIF($B$1:B274,$AW$2:$AX$300)=0),ROW($2:$300)*100+COLUMN($AW:$AX),7^8)),"R0C00"),)&amp;"")</f>
        <v>0</v>
      </c>
      <c r="B275" s="28" t="str">
        <f t="shared" ca="1" si="84"/>
        <v/>
      </c>
      <c r="C275" s="28" t="str">
        <f ca="1">IF($A275=0,"",VLOOKUP($B275,Employees!$A:$G,2,FALSE))</f>
        <v/>
      </c>
      <c r="D275" s="28" t="str">
        <f ca="1">IF($A275=0,"",VLOOKUP($B275,Employees!$A:$G,3,FALSE))</f>
        <v/>
      </c>
      <c r="E275" s="26" t="str">
        <f ca="1">IF($A275=0,"",VLOOKUP($B275,Employees!$A:$G,5,FALSE))</f>
        <v/>
      </c>
      <c r="F275" s="13" t="str">
        <f ca="1">IF($E275="","",ROUNDDOWN(YEARFRAC($E275, 'Week 1 Roster'!$D$1-1, 1), 0))</f>
        <v/>
      </c>
      <c r="G275" s="13" t="str">
        <f ca="1">IF($E275="","",ROUNDDOWN(YEARFRAC($E275, 'Week 1 Roster'!$D$1+14, 1), 0))</f>
        <v/>
      </c>
      <c r="H275" s="13" t="str">
        <f t="shared" ca="1" si="85"/>
        <v/>
      </c>
      <c r="I275" s="13" t="str">
        <f ca="1">IF($A275=0,"",VLOOKUP($B275,Employees!$A:$G,6,FALSE))</f>
        <v/>
      </c>
      <c r="J275" s="13" t="str">
        <f ca="1">IF($A275=0,"",VLOOKUP($B275,Employees!$A:$G,7,FALSE))</f>
        <v/>
      </c>
      <c r="K275" s="13" t="str">
        <f ca="1">IF($A275=0,"",IF(ISNA(VLOOKUP(A275,'Week 1 Roster'!A:C,2,0)),VLOOKUP(A275,'Week 2 Roster'!A:C,2,0),VLOOKUP(A275,'Week 1 Roster'!A:C,2,0)))</f>
        <v/>
      </c>
      <c r="L275" s="13" t="str">
        <f ca="1">IF($A275=0,"",VLOOKUP(K275,Stores!A:B,2,0))</f>
        <v/>
      </c>
      <c r="M275" s="14">
        <f t="shared" ca="1" si="86"/>
        <v>0</v>
      </c>
      <c r="N275" s="14">
        <f t="shared" ca="1" si="87"/>
        <v>0</v>
      </c>
      <c r="O275" s="14">
        <f t="shared" ca="1" si="88"/>
        <v>0</v>
      </c>
      <c r="P275" s="14">
        <f t="shared" ca="1" si="89"/>
        <v>0</v>
      </c>
      <c r="Q275" s="14">
        <f t="shared" ca="1" si="90"/>
        <v>0</v>
      </c>
      <c r="R275" s="14">
        <f t="shared" ca="1" si="91"/>
        <v>0</v>
      </c>
      <c r="S275" s="28">
        <f t="shared" ca="1" si="92"/>
        <v>0</v>
      </c>
      <c r="T275" s="14">
        <f t="shared" ca="1" si="93"/>
        <v>0</v>
      </c>
      <c r="U275" s="14">
        <f t="shared" ca="1" si="94"/>
        <v>0</v>
      </c>
      <c r="V275" s="14">
        <f t="shared" ca="1" si="95"/>
        <v>0</v>
      </c>
      <c r="W275" s="14">
        <f t="shared" ca="1" si="96"/>
        <v>0</v>
      </c>
      <c r="Y275" s="17">
        <f ca="1">IF($A275=0,0,SUMIF('Week 1 Roster'!$AZ:$AZ,$B275,'Week 1 Roster'!$AE:$AE))</f>
        <v>0</v>
      </c>
      <c r="Z275" s="17">
        <f ca="1">IF($A275=0,0,SUMIF('Week 1 Roster'!$AZ:$AZ,$B275,'Week 1 Roster'!$AG:$AG))</f>
        <v>0</v>
      </c>
      <c r="AA275" s="17">
        <f ca="1">IF($A275=0,0,SUMIF('Week 1 Roster'!$AZ:$AZ,$B275,'Week 1 Roster'!$AI:$AI))</f>
        <v>0</v>
      </c>
      <c r="AB275" s="17">
        <f ca="1">IF($A275=0,0,SUMIF('Week 1 Roster'!$AZ:$AZ,$B275,'Week 1 Roster'!$AK:$AK))</f>
        <v>0</v>
      </c>
      <c r="AC275" s="17">
        <f ca="1">IF($A275=0,0,SUMIF('Week 1 Roster'!$AZ:$AZ,$B275,'Week 1 Roster'!$AM:$AM))</f>
        <v>0</v>
      </c>
      <c r="AD275" s="17">
        <f ca="1">IF($A275=0,0,SUMIF('Week 1 Roster'!$AZ:$AZ,$B275,'Week 1 Roster'!$AO:$AO))</f>
        <v>0</v>
      </c>
      <c r="AE275" s="38">
        <f ca="1">IF($A275=0,0,SUMIF('Week 1 Roster'!$AZ:$AZ,$B275,'Week 1 Roster'!$AP:$AP))</f>
        <v>0</v>
      </c>
      <c r="AF275" s="17">
        <f ca="1">IF($A275=0,0,SUMIF('Week 1 Roster'!$AZ:$AZ,$B275,'Week 1 Roster'!$AQ:$AQ))</f>
        <v>0</v>
      </c>
      <c r="AG275" s="17">
        <f ca="1">IF($A275=0,0,SUMIF('Week 1 Roster'!$AZ:$AZ,$B275,'Week 1 Roster'!$AR:$AR))</f>
        <v>0</v>
      </c>
      <c r="AH275" s="17">
        <f ca="1">IF($A275=0,0,SUMIF('Week 1 Roster'!$AZ:$AZ,$B275,'Week 1 Roster'!$AS:$AS))</f>
        <v>0</v>
      </c>
      <c r="AI275" s="17">
        <f t="shared" ca="1" si="97"/>
        <v>0</v>
      </c>
      <c r="AK275" s="17">
        <f ca="1">IF($A275=0,0,SUMIF('Week 2 Roster'!$AZ:$AZ,$B275,'Week 2 Roster'!$AE:$AE))</f>
        <v>0</v>
      </c>
      <c r="AL275" s="17">
        <f ca="1">IF($A275=0,0,SUMIF('Week 2 Roster'!$AZ:$AZ,$B275,'Week 2 Roster'!$AG:$AG))</f>
        <v>0</v>
      </c>
      <c r="AM275" s="17">
        <f ca="1">IF($A275=0,0,SUMIF('Week 2 Roster'!$AZ:$AZ,$B275,'Week 2 Roster'!$AI:$AI))</f>
        <v>0</v>
      </c>
      <c r="AN275" s="17">
        <f ca="1">IF($A275=0,0,SUMIF('Week 2 Roster'!$AZ:$AZ,$B275,'Week 2 Roster'!$AK:$AK))</f>
        <v>0</v>
      </c>
      <c r="AO275" s="17">
        <f ca="1">IF($A275=0,0,SUMIF('Week 2 Roster'!$AZ:$AZ,$B275,'Week 2 Roster'!$AM:$AM))</f>
        <v>0</v>
      </c>
      <c r="AP275" s="17">
        <f ca="1">IF($A275=0,0,SUMIF('Week 2 Roster'!$AZ:$AZ,$B275,'Week 2 Roster'!$AO:$AO))</f>
        <v>0</v>
      </c>
      <c r="AQ275" s="38">
        <f ca="1">IF($A275=0,0,SUMIF('Week 2 Roster'!$AZ:$AZ,$B275,'Week 2 Roster'!$AP:$AP))</f>
        <v>0</v>
      </c>
      <c r="AR275" s="17">
        <f ca="1">IF($A275=0,0,SUMIF('Week 2 Roster'!$AZ:$AZ,$B275,'Week 2 Roster'!$AQ:$AQ))</f>
        <v>0</v>
      </c>
      <c r="AS275" s="17">
        <f ca="1">IF($A275=0,0,SUMIF('Week 2 Roster'!$AZ:$AZ,$B275,'Week 2 Roster'!$AR:$AR))</f>
        <v>0</v>
      </c>
      <c r="AT275" s="17">
        <f ca="1">IF($A275=0,0,SUMIF('Week 2 Roster'!$AZ:$AZ,$B275,'Week 2 Roster'!$AS:$AS))</f>
        <v>0</v>
      </c>
      <c r="AU275" s="17">
        <f t="shared" ca="1" si="98"/>
        <v>0</v>
      </c>
    </row>
    <row r="276" spans="1:47">
      <c r="A276" s="16" cm="1">
        <f t="array" aca="1" ref="A276" ca="1">_xlfn.NUMBERVALUE(INDIRECT(TEXT(MIN(IF(($AW$2:$AX$300&lt;&gt;"")*(COUNTIF($B$1:B275,$AW$2:$AX$300)=0),ROW($2:$300)*100+COLUMN($AW:$AX),7^8)),"R0C00"),)&amp;"")</f>
        <v>0</v>
      </c>
      <c r="B276" s="28" t="str">
        <f t="shared" ca="1" si="84"/>
        <v/>
      </c>
      <c r="C276" s="28" t="str">
        <f ca="1">IF($A276=0,"",VLOOKUP($B276,Employees!$A:$G,2,FALSE))</f>
        <v/>
      </c>
      <c r="D276" s="28" t="str">
        <f ca="1">IF($A276=0,"",VLOOKUP($B276,Employees!$A:$G,3,FALSE))</f>
        <v/>
      </c>
      <c r="E276" s="26" t="str">
        <f ca="1">IF($A276=0,"",VLOOKUP($B276,Employees!$A:$G,5,FALSE))</f>
        <v/>
      </c>
      <c r="F276" s="13" t="str">
        <f ca="1">IF($E276="","",ROUNDDOWN(YEARFRAC($E276, 'Week 1 Roster'!$D$1-1, 1), 0))</f>
        <v/>
      </c>
      <c r="G276" s="13" t="str">
        <f ca="1">IF($E276="","",ROUNDDOWN(YEARFRAC($E276, 'Week 1 Roster'!$D$1+14, 1), 0))</f>
        <v/>
      </c>
      <c r="H276" s="13" t="str">
        <f t="shared" ca="1" si="85"/>
        <v/>
      </c>
      <c r="I276" s="13" t="str">
        <f ca="1">IF($A276=0,"",VLOOKUP($B276,Employees!$A:$G,6,FALSE))</f>
        <v/>
      </c>
      <c r="J276" s="13" t="str">
        <f ca="1">IF($A276=0,"",VLOOKUP($B276,Employees!$A:$G,7,FALSE))</f>
        <v/>
      </c>
      <c r="K276" s="13" t="str">
        <f ca="1">IF($A276=0,"",IF(ISNA(VLOOKUP(A276,'Week 1 Roster'!A:C,2,0)),VLOOKUP(A276,'Week 2 Roster'!A:C,2,0),VLOOKUP(A276,'Week 1 Roster'!A:C,2,0)))</f>
        <v/>
      </c>
      <c r="L276" s="13" t="str">
        <f ca="1">IF($A276=0,"",VLOOKUP(K276,Stores!A:B,2,0))</f>
        <v/>
      </c>
      <c r="M276" s="14">
        <f t="shared" ca="1" si="86"/>
        <v>0</v>
      </c>
      <c r="N276" s="14">
        <f t="shared" ca="1" si="87"/>
        <v>0</v>
      </c>
      <c r="O276" s="14">
        <f t="shared" ca="1" si="88"/>
        <v>0</v>
      </c>
      <c r="P276" s="14">
        <f t="shared" ca="1" si="89"/>
        <v>0</v>
      </c>
      <c r="Q276" s="14">
        <f t="shared" ca="1" si="90"/>
        <v>0</v>
      </c>
      <c r="R276" s="14">
        <f t="shared" ca="1" si="91"/>
        <v>0</v>
      </c>
      <c r="S276" s="28">
        <f t="shared" ca="1" si="92"/>
        <v>0</v>
      </c>
      <c r="T276" s="14">
        <f t="shared" ca="1" si="93"/>
        <v>0</v>
      </c>
      <c r="U276" s="14">
        <f t="shared" ca="1" si="94"/>
        <v>0</v>
      </c>
      <c r="V276" s="14">
        <f t="shared" ca="1" si="95"/>
        <v>0</v>
      </c>
      <c r="W276" s="14">
        <f t="shared" ca="1" si="96"/>
        <v>0</v>
      </c>
      <c r="Y276" s="17">
        <f ca="1">IF($A276=0,0,SUMIF('Week 1 Roster'!$AZ:$AZ,$B276,'Week 1 Roster'!$AE:$AE))</f>
        <v>0</v>
      </c>
      <c r="Z276" s="17">
        <f ca="1">IF($A276=0,0,SUMIF('Week 1 Roster'!$AZ:$AZ,$B276,'Week 1 Roster'!$AG:$AG))</f>
        <v>0</v>
      </c>
      <c r="AA276" s="17">
        <f ca="1">IF($A276=0,0,SUMIF('Week 1 Roster'!$AZ:$AZ,$B276,'Week 1 Roster'!$AI:$AI))</f>
        <v>0</v>
      </c>
      <c r="AB276" s="17">
        <f ca="1">IF($A276=0,0,SUMIF('Week 1 Roster'!$AZ:$AZ,$B276,'Week 1 Roster'!$AK:$AK))</f>
        <v>0</v>
      </c>
      <c r="AC276" s="17">
        <f ca="1">IF($A276=0,0,SUMIF('Week 1 Roster'!$AZ:$AZ,$B276,'Week 1 Roster'!$AM:$AM))</f>
        <v>0</v>
      </c>
      <c r="AD276" s="17">
        <f ca="1">IF($A276=0,0,SUMIF('Week 1 Roster'!$AZ:$AZ,$B276,'Week 1 Roster'!$AO:$AO))</f>
        <v>0</v>
      </c>
      <c r="AE276" s="38">
        <f ca="1">IF($A276=0,0,SUMIF('Week 1 Roster'!$AZ:$AZ,$B276,'Week 1 Roster'!$AP:$AP))</f>
        <v>0</v>
      </c>
      <c r="AF276" s="17">
        <f ca="1">IF($A276=0,0,SUMIF('Week 1 Roster'!$AZ:$AZ,$B276,'Week 1 Roster'!$AQ:$AQ))</f>
        <v>0</v>
      </c>
      <c r="AG276" s="17">
        <f ca="1">IF($A276=0,0,SUMIF('Week 1 Roster'!$AZ:$AZ,$B276,'Week 1 Roster'!$AR:$AR))</f>
        <v>0</v>
      </c>
      <c r="AH276" s="17">
        <f ca="1">IF($A276=0,0,SUMIF('Week 1 Roster'!$AZ:$AZ,$B276,'Week 1 Roster'!$AS:$AS))</f>
        <v>0</v>
      </c>
      <c r="AI276" s="17">
        <f t="shared" ca="1" si="97"/>
        <v>0</v>
      </c>
      <c r="AK276" s="17">
        <f ca="1">IF($A276=0,0,SUMIF('Week 2 Roster'!$AZ:$AZ,$B276,'Week 2 Roster'!$AE:$AE))</f>
        <v>0</v>
      </c>
      <c r="AL276" s="17">
        <f ca="1">IF($A276=0,0,SUMIF('Week 2 Roster'!$AZ:$AZ,$B276,'Week 2 Roster'!$AG:$AG))</f>
        <v>0</v>
      </c>
      <c r="AM276" s="17">
        <f ca="1">IF($A276=0,0,SUMIF('Week 2 Roster'!$AZ:$AZ,$B276,'Week 2 Roster'!$AI:$AI))</f>
        <v>0</v>
      </c>
      <c r="AN276" s="17">
        <f ca="1">IF($A276=0,0,SUMIF('Week 2 Roster'!$AZ:$AZ,$B276,'Week 2 Roster'!$AK:$AK))</f>
        <v>0</v>
      </c>
      <c r="AO276" s="17">
        <f ca="1">IF($A276=0,0,SUMIF('Week 2 Roster'!$AZ:$AZ,$B276,'Week 2 Roster'!$AM:$AM))</f>
        <v>0</v>
      </c>
      <c r="AP276" s="17">
        <f ca="1">IF($A276=0,0,SUMIF('Week 2 Roster'!$AZ:$AZ,$B276,'Week 2 Roster'!$AO:$AO))</f>
        <v>0</v>
      </c>
      <c r="AQ276" s="38">
        <f ca="1">IF($A276=0,0,SUMIF('Week 2 Roster'!$AZ:$AZ,$B276,'Week 2 Roster'!$AP:$AP))</f>
        <v>0</v>
      </c>
      <c r="AR276" s="17">
        <f ca="1">IF($A276=0,0,SUMIF('Week 2 Roster'!$AZ:$AZ,$B276,'Week 2 Roster'!$AQ:$AQ))</f>
        <v>0</v>
      </c>
      <c r="AS276" s="17">
        <f ca="1">IF($A276=0,0,SUMIF('Week 2 Roster'!$AZ:$AZ,$B276,'Week 2 Roster'!$AR:$AR))</f>
        <v>0</v>
      </c>
      <c r="AT276" s="17">
        <f ca="1">IF($A276=0,0,SUMIF('Week 2 Roster'!$AZ:$AZ,$B276,'Week 2 Roster'!$AS:$AS))</f>
        <v>0</v>
      </c>
      <c r="AU276" s="17">
        <f t="shared" ca="1" si="98"/>
        <v>0</v>
      </c>
    </row>
    <row r="277" spans="1:47">
      <c r="A277" s="16" cm="1">
        <f t="array" aca="1" ref="A277" ca="1">_xlfn.NUMBERVALUE(INDIRECT(TEXT(MIN(IF(($AW$2:$AX$300&lt;&gt;"")*(COUNTIF($B$1:B276,$AW$2:$AX$300)=0),ROW($2:$300)*100+COLUMN($AW:$AX),7^8)),"R0C00"),)&amp;"")</f>
        <v>0</v>
      </c>
      <c r="B277" s="28" t="str">
        <f t="shared" ca="1" si="84"/>
        <v/>
      </c>
      <c r="C277" s="28" t="str">
        <f ca="1">IF($A277=0,"",VLOOKUP($B277,Employees!$A:$G,2,FALSE))</f>
        <v/>
      </c>
      <c r="D277" s="28" t="str">
        <f ca="1">IF($A277=0,"",VLOOKUP($B277,Employees!$A:$G,3,FALSE))</f>
        <v/>
      </c>
      <c r="E277" s="26" t="str">
        <f ca="1">IF($A277=0,"",VLOOKUP($B277,Employees!$A:$G,5,FALSE))</f>
        <v/>
      </c>
      <c r="F277" s="13" t="str">
        <f ca="1">IF($E277="","",ROUNDDOWN(YEARFRAC($E277, 'Week 1 Roster'!$D$1-1, 1), 0))</f>
        <v/>
      </c>
      <c r="G277" s="13" t="str">
        <f ca="1">IF($E277="","",ROUNDDOWN(YEARFRAC($E277, 'Week 1 Roster'!$D$1+14, 1), 0))</f>
        <v/>
      </c>
      <c r="H277" s="13" t="str">
        <f t="shared" ca="1" si="85"/>
        <v/>
      </c>
      <c r="I277" s="13" t="str">
        <f ca="1">IF($A277=0,"",VLOOKUP($B277,Employees!$A:$G,6,FALSE))</f>
        <v/>
      </c>
      <c r="J277" s="13" t="str">
        <f ca="1">IF($A277=0,"",VLOOKUP($B277,Employees!$A:$G,7,FALSE))</f>
        <v/>
      </c>
      <c r="K277" s="13" t="str">
        <f ca="1">IF($A277=0,"",IF(ISNA(VLOOKUP(A277,'Week 1 Roster'!A:C,2,0)),VLOOKUP(A277,'Week 2 Roster'!A:C,2,0),VLOOKUP(A277,'Week 1 Roster'!A:C,2,0)))</f>
        <v/>
      </c>
      <c r="L277" s="13" t="str">
        <f ca="1">IF($A277=0,"",VLOOKUP(K277,Stores!A:B,2,0))</f>
        <v/>
      </c>
      <c r="M277" s="14">
        <f t="shared" ca="1" si="86"/>
        <v>0</v>
      </c>
      <c r="N277" s="14">
        <f t="shared" ca="1" si="87"/>
        <v>0</v>
      </c>
      <c r="O277" s="14">
        <f t="shared" ca="1" si="88"/>
        <v>0</v>
      </c>
      <c r="P277" s="14">
        <f t="shared" ca="1" si="89"/>
        <v>0</v>
      </c>
      <c r="Q277" s="14">
        <f t="shared" ca="1" si="90"/>
        <v>0</v>
      </c>
      <c r="R277" s="14">
        <f t="shared" ca="1" si="91"/>
        <v>0</v>
      </c>
      <c r="S277" s="28">
        <f t="shared" ca="1" si="92"/>
        <v>0</v>
      </c>
      <c r="T277" s="14">
        <f t="shared" ca="1" si="93"/>
        <v>0</v>
      </c>
      <c r="U277" s="14">
        <f t="shared" ca="1" si="94"/>
        <v>0</v>
      </c>
      <c r="V277" s="14">
        <f t="shared" ca="1" si="95"/>
        <v>0</v>
      </c>
      <c r="W277" s="14">
        <f t="shared" ca="1" si="96"/>
        <v>0</v>
      </c>
      <c r="Y277" s="17">
        <f ca="1">IF($A277=0,0,SUMIF('Week 1 Roster'!$AZ:$AZ,$B277,'Week 1 Roster'!$AE:$AE))</f>
        <v>0</v>
      </c>
      <c r="Z277" s="17">
        <f ca="1">IF($A277=0,0,SUMIF('Week 1 Roster'!$AZ:$AZ,$B277,'Week 1 Roster'!$AG:$AG))</f>
        <v>0</v>
      </c>
      <c r="AA277" s="17">
        <f ca="1">IF($A277=0,0,SUMIF('Week 1 Roster'!$AZ:$AZ,$B277,'Week 1 Roster'!$AI:$AI))</f>
        <v>0</v>
      </c>
      <c r="AB277" s="17">
        <f ca="1">IF($A277=0,0,SUMIF('Week 1 Roster'!$AZ:$AZ,$B277,'Week 1 Roster'!$AK:$AK))</f>
        <v>0</v>
      </c>
      <c r="AC277" s="17">
        <f ca="1">IF($A277=0,0,SUMIF('Week 1 Roster'!$AZ:$AZ,$B277,'Week 1 Roster'!$AM:$AM))</f>
        <v>0</v>
      </c>
      <c r="AD277" s="17">
        <f ca="1">IF($A277=0,0,SUMIF('Week 1 Roster'!$AZ:$AZ,$B277,'Week 1 Roster'!$AO:$AO))</f>
        <v>0</v>
      </c>
      <c r="AE277" s="38">
        <f ca="1">IF($A277=0,0,SUMIF('Week 1 Roster'!$AZ:$AZ,$B277,'Week 1 Roster'!$AP:$AP))</f>
        <v>0</v>
      </c>
      <c r="AF277" s="17">
        <f ca="1">IF($A277=0,0,SUMIF('Week 1 Roster'!$AZ:$AZ,$B277,'Week 1 Roster'!$AQ:$AQ))</f>
        <v>0</v>
      </c>
      <c r="AG277" s="17">
        <f ca="1">IF($A277=0,0,SUMIF('Week 1 Roster'!$AZ:$AZ,$B277,'Week 1 Roster'!$AR:$AR))</f>
        <v>0</v>
      </c>
      <c r="AH277" s="17">
        <f ca="1">IF($A277=0,0,SUMIF('Week 1 Roster'!$AZ:$AZ,$B277,'Week 1 Roster'!$AS:$AS))</f>
        <v>0</v>
      </c>
      <c r="AI277" s="17">
        <f t="shared" ca="1" si="97"/>
        <v>0</v>
      </c>
      <c r="AK277" s="17">
        <f ca="1">IF($A277=0,0,SUMIF('Week 2 Roster'!$AZ:$AZ,$B277,'Week 2 Roster'!$AE:$AE))</f>
        <v>0</v>
      </c>
      <c r="AL277" s="17">
        <f ca="1">IF($A277=0,0,SUMIF('Week 2 Roster'!$AZ:$AZ,$B277,'Week 2 Roster'!$AG:$AG))</f>
        <v>0</v>
      </c>
      <c r="AM277" s="17">
        <f ca="1">IF($A277=0,0,SUMIF('Week 2 Roster'!$AZ:$AZ,$B277,'Week 2 Roster'!$AI:$AI))</f>
        <v>0</v>
      </c>
      <c r="AN277" s="17">
        <f ca="1">IF($A277=0,0,SUMIF('Week 2 Roster'!$AZ:$AZ,$B277,'Week 2 Roster'!$AK:$AK))</f>
        <v>0</v>
      </c>
      <c r="AO277" s="17">
        <f ca="1">IF($A277=0,0,SUMIF('Week 2 Roster'!$AZ:$AZ,$B277,'Week 2 Roster'!$AM:$AM))</f>
        <v>0</v>
      </c>
      <c r="AP277" s="17">
        <f ca="1">IF($A277=0,0,SUMIF('Week 2 Roster'!$AZ:$AZ,$B277,'Week 2 Roster'!$AO:$AO))</f>
        <v>0</v>
      </c>
      <c r="AQ277" s="38">
        <f ca="1">IF($A277=0,0,SUMIF('Week 2 Roster'!$AZ:$AZ,$B277,'Week 2 Roster'!$AP:$AP))</f>
        <v>0</v>
      </c>
      <c r="AR277" s="17">
        <f ca="1">IF($A277=0,0,SUMIF('Week 2 Roster'!$AZ:$AZ,$B277,'Week 2 Roster'!$AQ:$AQ))</f>
        <v>0</v>
      </c>
      <c r="AS277" s="17">
        <f ca="1">IF($A277=0,0,SUMIF('Week 2 Roster'!$AZ:$AZ,$B277,'Week 2 Roster'!$AR:$AR))</f>
        <v>0</v>
      </c>
      <c r="AT277" s="17">
        <f ca="1">IF($A277=0,0,SUMIF('Week 2 Roster'!$AZ:$AZ,$B277,'Week 2 Roster'!$AS:$AS))</f>
        <v>0</v>
      </c>
      <c r="AU277" s="17">
        <f t="shared" ca="1" si="98"/>
        <v>0</v>
      </c>
    </row>
    <row r="278" spans="1:47">
      <c r="A278" s="16" cm="1">
        <f t="array" aca="1" ref="A278" ca="1">_xlfn.NUMBERVALUE(INDIRECT(TEXT(MIN(IF(($AW$2:$AX$300&lt;&gt;"")*(COUNTIF($B$1:B277,$AW$2:$AX$300)=0),ROW($2:$300)*100+COLUMN($AW:$AX),7^8)),"R0C00"),)&amp;"")</f>
        <v>0</v>
      </c>
      <c r="B278" s="28" t="str">
        <f t="shared" ca="1" si="84"/>
        <v/>
      </c>
      <c r="C278" s="28" t="str">
        <f ca="1">IF($A278=0,"",VLOOKUP($B278,Employees!$A:$G,2,FALSE))</f>
        <v/>
      </c>
      <c r="D278" s="28" t="str">
        <f ca="1">IF($A278=0,"",VLOOKUP($B278,Employees!$A:$G,3,FALSE))</f>
        <v/>
      </c>
      <c r="E278" s="26" t="str">
        <f ca="1">IF($A278=0,"",VLOOKUP($B278,Employees!$A:$G,5,FALSE))</f>
        <v/>
      </c>
      <c r="F278" s="13" t="str">
        <f ca="1">IF($E278="","",ROUNDDOWN(YEARFRAC($E278, 'Week 1 Roster'!$D$1-1, 1), 0))</f>
        <v/>
      </c>
      <c r="G278" s="13" t="str">
        <f ca="1">IF($E278="","",ROUNDDOWN(YEARFRAC($E278, 'Week 1 Roster'!$D$1+14, 1), 0))</f>
        <v/>
      </c>
      <c r="H278" s="13" t="str">
        <f t="shared" ca="1" si="85"/>
        <v/>
      </c>
      <c r="I278" s="13" t="str">
        <f ca="1">IF($A278=0,"",VLOOKUP($B278,Employees!$A:$G,6,FALSE))</f>
        <v/>
      </c>
      <c r="J278" s="13" t="str">
        <f ca="1">IF($A278=0,"",VLOOKUP($B278,Employees!$A:$G,7,FALSE))</f>
        <v/>
      </c>
      <c r="K278" s="13" t="str">
        <f ca="1">IF($A278=0,"",IF(ISNA(VLOOKUP(A278,'Week 1 Roster'!A:C,2,0)),VLOOKUP(A278,'Week 2 Roster'!A:C,2,0),VLOOKUP(A278,'Week 1 Roster'!A:C,2,0)))</f>
        <v/>
      </c>
      <c r="L278" s="13" t="str">
        <f ca="1">IF($A278=0,"",VLOOKUP(K278,Stores!A:B,2,0))</f>
        <v/>
      </c>
      <c r="M278" s="14">
        <f t="shared" ca="1" si="86"/>
        <v>0</v>
      </c>
      <c r="N278" s="14">
        <f t="shared" ca="1" si="87"/>
        <v>0</v>
      </c>
      <c r="O278" s="14">
        <f t="shared" ca="1" si="88"/>
        <v>0</v>
      </c>
      <c r="P278" s="14">
        <f t="shared" ca="1" si="89"/>
        <v>0</v>
      </c>
      <c r="Q278" s="14">
        <f t="shared" ca="1" si="90"/>
        <v>0</v>
      </c>
      <c r="R278" s="14">
        <f t="shared" ca="1" si="91"/>
        <v>0</v>
      </c>
      <c r="S278" s="28">
        <f t="shared" ca="1" si="92"/>
        <v>0</v>
      </c>
      <c r="T278" s="14">
        <f t="shared" ca="1" si="93"/>
        <v>0</v>
      </c>
      <c r="U278" s="14">
        <f t="shared" ca="1" si="94"/>
        <v>0</v>
      </c>
      <c r="V278" s="14">
        <f t="shared" ca="1" si="95"/>
        <v>0</v>
      </c>
      <c r="W278" s="14">
        <f t="shared" ca="1" si="96"/>
        <v>0</v>
      </c>
      <c r="Y278" s="17">
        <f ca="1">IF($A278=0,0,SUMIF('Week 1 Roster'!$AZ:$AZ,$B278,'Week 1 Roster'!$AE:$AE))</f>
        <v>0</v>
      </c>
      <c r="Z278" s="17">
        <f ca="1">IF($A278=0,0,SUMIF('Week 1 Roster'!$AZ:$AZ,$B278,'Week 1 Roster'!$AG:$AG))</f>
        <v>0</v>
      </c>
      <c r="AA278" s="17">
        <f ca="1">IF($A278=0,0,SUMIF('Week 1 Roster'!$AZ:$AZ,$B278,'Week 1 Roster'!$AI:$AI))</f>
        <v>0</v>
      </c>
      <c r="AB278" s="17">
        <f ca="1">IF($A278=0,0,SUMIF('Week 1 Roster'!$AZ:$AZ,$B278,'Week 1 Roster'!$AK:$AK))</f>
        <v>0</v>
      </c>
      <c r="AC278" s="17">
        <f ca="1">IF($A278=0,0,SUMIF('Week 1 Roster'!$AZ:$AZ,$B278,'Week 1 Roster'!$AM:$AM))</f>
        <v>0</v>
      </c>
      <c r="AD278" s="17">
        <f ca="1">IF($A278=0,0,SUMIF('Week 1 Roster'!$AZ:$AZ,$B278,'Week 1 Roster'!$AO:$AO))</f>
        <v>0</v>
      </c>
      <c r="AE278" s="38">
        <f ca="1">IF($A278=0,0,SUMIF('Week 1 Roster'!$AZ:$AZ,$B278,'Week 1 Roster'!$AP:$AP))</f>
        <v>0</v>
      </c>
      <c r="AF278" s="17">
        <f ca="1">IF($A278=0,0,SUMIF('Week 1 Roster'!$AZ:$AZ,$B278,'Week 1 Roster'!$AQ:$AQ))</f>
        <v>0</v>
      </c>
      <c r="AG278" s="17">
        <f ca="1">IF($A278=0,0,SUMIF('Week 1 Roster'!$AZ:$AZ,$B278,'Week 1 Roster'!$AR:$AR))</f>
        <v>0</v>
      </c>
      <c r="AH278" s="17">
        <f ca="1">IF($A278=0,0,SUMIF('Week 1 Roster'!$AZ:$AZ,$B278,'Week 1 Roster'!$AS:$AS))</f>
        <v>0</v>
      </c>
      <c r="AI278" s="17">
        <f t="shared" ca="1" si="97"/>
        <v>0</v>
      </c>
      <c r="AK278" s="17">
        <f ca="1">IF($A278=0,0,SUMIF('Week 2 Roster'!$AZ:$AZ,$B278,'Week 2 Roster'!$AE:$AE))</f>
        <v>0</v>
      </c>
      <c r="AL278" s="17">
        <f ca="1">IF($A278=0,0,SUMIF('Week 2 Roster'!$AZ:$AZ,$B278,'Week 2 Roster'!$AG:$AG))</f>
        <v>0</v>
      </c>
      <c r="AM278" s="17">
        <f ca="1">IF($A278=0,0,SUMIF('Week 2 Roster'!$AZ:$AZ,$B278,'Week 2 Roster'!$AI:$AI))</f>
        <v>0</v>
      </c>
      <c r="AN278" s="17">
        <f ca="1">IF($A278=0,0,SUMIF('Week 2 Roster'!$AZ:$AZ,$B278,'Week 2 Roster'!$AK:$AK))</f>
        <v>0</v>
      </c>
      <c r="AO278" s="17">
        <f ca="1">IF($A278=0,0,SUMIF('Week 2 Roster'!$AZ:$AZ,$B278,'Week 2 Roster'!$AM:$AM))</f>
        <v>0</v>
      </c>
      <c r="AP278" s="17">
        <f ca="1">IF($A278=0,0,SUMIF('Week 2 Roster'!$AZ:$AZ,$B278,'Week 2 Roster'!$AO:$AO))</f>
        <v>0</v>
      </c>
      <c r="AQ278" s="38">
        <f ca="1">IF($A278=0,0,SUMIF('Week 2 Roster'!$AZ:$AZ,$B278,'Week 2 Roster'!$AP:$AP))</f>
        <v>0</v>
      </c>
      <c r="AR278" s="17">
        <f ca="1">IF($A278=0,0,SUMIF('Week 2 Roster'!$AZ:$AZ,$B278,'Week 2 Roster'!$AQ:$AQ))</f>
        <v>0</v>
      </c>
      <c r="AS278" s="17">
        <f ca="1">IF($A278=0,0,SUMIF('Week 2 Roster'!$AZ:$AZ,$B278,'Week 2 Roster'!$AR:$AR))</f>
        <v>0</v>
      </c>
      <c r="AT278" s="17">
        <f ca="1">IF($A278=0,0,SUMIF('Week 2 Roster'!$AZ:$AZ,$B278,'Week 2 Roster'!$AS:$AS))</f>
        <v>0</v>
      </c>
      <c r="AU278" s="17">
        <f t="shared" ca="1" si="98"/>
        <v>0</v>
      </c>
    </row>
    <row r="279" spans="1:47">
      <c r="A279" s="16" cm="1">
        <f t="array" aca="1" ref="A279" ca="1">_xlfn.NUMBERVALUE(INDIRECT(TEXT(MIN(IF(($AW$2:$AX$300&lt;&gt;"")*(COUNTIF($B$1:B278,$AW$2:$AX$300)=0),ROW($2:$300)*100+COLUMN($AW:$AX),7^8)),"R0C00"),)&amp;"")</f>
        <v>0</v>
      </c>
      <c r="B279" s="28" t="str">
        <f t="shared" ca="1" si="84"/>
        <v/>
      </c>
      <c r="C279" s="28" t="str">
        <f ca="1">IF($A279=0,"",VLOOKUP($B279,Employees!$A:$G,2,FALSE))</f>
        <v/>
      </c>
      <c r="D279" s="28" t="str">
        <f ca="1">IF($A279=0,"",VLOOKUP($B279,Employees!$A:$G,3,FALSE))</f>
        <v/>
      </c>
      <c r="E279" s="26" t="str">
        <f ca="1">IF($A279=0,"",VLOOKUP($B279,Employees!$A:$G,5,FALSE))</f>
        <v/>
      </c>
      <c r="F279" s="13" t="str">
        <f ca="1">IF($E279="","",ROUNDDOWN(YEARFRAC($E279, 'Week 1 Roster'!$D$1-1, 1), 0))</f>
        <v/>
      </c>
      <c r="G279" s="13" t="str">
        <f ca="1">IF($E279="","",ROUNDDOWN(YEARFRAC($E279, 'Week 1 Roster'!$D$1+14, 1), 0))</f>
        <v/>
      </c>
      <c r="H279" s="13" t="str">
        <f t="shared" ca="1" si="85"/>
        <v/>
      </c>
      <c r="I279" s="13" t="str">
        <f ca="1">IF($A279=0,"",VLOOKUP($B279,Employees!$A:$G,6,FALSE))</f>
        <v/>
      </c>
      <c r="J279" s="13" t="str">
        <f ca="1">IF($A279=0,"",VLOOKUP($B279,Employees!$A:$G,7,FALSE))</f>
        <v/>
      </c>
      <c r="K279" s="13" t="str">
        <f ca="1">IF($A279=0,"",IF(ISNA(VLOOKUP(A279,'Week 1 Roster'!A:C,2,0)),VLOOKUP(A279,'Week 2 Roster'!A:C,2,0),VLOOKUP(A279,'Week 1 Roster'!A:C,2,0)))</f>
        <v/>
      </c>
      <c r="L279" s="13" t="str">
        <f ca="1">IF($A279=0,"",VLOOKUP(K279,Stores!A:B,2,0))</f>
        <v/>
      </c>
      <c r="M279" s="14">
        <f t="shared" ca="1" si="86"/>
        <v>0</v>
      </c>
      <c r="N279" s="14">
        <f t="shared" ca="1" si="87"/>
        <v>0</v>
      </c>
      <c r="O279" s="14">
        <f t="shared" ca="1" si="88"/>
        <v>0</v>
      </c>
      <c r="P279" s="14">
        <f t="shared" ca="1" si="89"/>
        <v>0</v>
      </c>
      <c r="Q279" s="14">
        <f t="shared" ca="1" si="90"/>
        <v>0</v>
      </c>
      <c r="R279" s="14">
        <f t="shared" ca="1" si="91"/>
        <v>0</v>
      </c>
      <c r="S279" s="28">
        <f t="shared" ca="1" si="92"/>
        <v>0</v>
      </c>
      <c r="T279" s="14">
        <f t="shared" ca="1" si="93"/>
        <v>0</v>
      </c>
      <c r="U279" s="14">
        <f t="shared" ca="1" si="94"/>
        <v>0</v>
      </c>
      <c r="V279" s="14">
        <f t="shared" ca="1" si="95"/>
        <v>0</v>
      </c>
      <c r="W279" s="14">
        <f t="shared" ca="1" si="96"/>
        <v>0</v>
      </c>
      <c r="Y279" s="17">
        <f ca="1">IF($A279=0,0,SUMIF('Week 1 Roster'!$AZ:$AZ,$B279,'Week 1 Roster'!$AE:$AE))</f>
        <v>0</v>
      </c>
      <c r="Z279" s="17">
        <f ca="1">IF($A279=0,0,SUMIF('Week 1 Roster'!$AZ:$AZ,$B279,'Week 1 Roster'!$AG:$AG))</f>
        <v>0</v>
      </c>
      <c r="AA279" s="17">
        <f ca="1">IF($A279=0,0,SUMIF('Week 1 Roster'!$AZ:$AZ,$B279,'Week 1 Roster'!$AI:$AI))</f>
        <v>0</v>
      </c>
      <c r="AB279" s="17">
        <f ca="1">IF($A279=0,0,SUMIF('Week 1 Roster'!$AZ:$AZ,$B279,'Week 1 Roster'!$AK:$AK))</f>
        <v>0</v>
      </c>
      <c r="AC279" s="17">
        <f ca="1">IF($A279=0,0,SUMIF('Week 1 Roster'!$AZ:$AZ,$B279,'Week 1 Roster'!$AM:$AM))</f>
        <v>0</v>
      </c>
      <c r="AD279" s="17">
        <f ca="1">IF($A279=0,0,SUMIF('Week 1 Roster'!$AZ:$AZ,$B279,'Week 1 Roster'!$AO:$AO))</f>
        <v>0</v>
      </c>
      <c r="AE279" s="38">
        <f ca="1">IF($A279=0,0,SUMIF('Week 1 Roster'!$AZ:$AZ,$B279,'Week 1 Roster'!$AP:$AP))</f>
        <v>0</v>
      </c>
      <c r="AF279" s="17">
        <f ca="1">IF($A279=0,0,SUMIF('Week 1 Roster'!$AZ:$AZ,$B279,'Week 1 Roster'!$AQ:$AQ))</f>
        <v>0</v>
      </c>
      <c r="AG279" s="17">
        <f ca="1">IF($A279=0,0,SUMIF('Week 1 Roster'!$AZ:$AZ,$B279,'Week 1 Roster'!$AR:$AR))</f>
        <v>0</v>
      </c>
      <c r="AH279" s="17">
        <f ca="1">IF($A279=0,0,SUMIF('Week 1 Roster'!$AZ:$AZ,$B279,'Week 1 Roster'!$AS:$AS))</f>
        <v>0</v>
      </c>
      <c r="AI279" s="17">
        <f t="shared" ca="1" si="97"/>
        <v>0</v>
      </c>
      <c r="AK279" s="17">
        <f ca="1">IF($A279=0,0,SUMIF('Week 2 Roster'!$AZ:$AZ,$B279,'Week 2 Roster'!$AE:$AE))</f>
        <v>0</v>
      </c>
      <c r="AL279" s="17">
        <f ca="1">IF($A279=0,0,SUMIF('Week 2 Roster'!$AZ:$AZ,$B279,'Week 2 Roster'!$AG:$AG))</f>
        <v>0</v>
      </c>
      <c r="AM279" s="17">
        <f ca="1">IF($A279=0,0,SUMIF('Week 2 Roster'!$AZ:$AZ,$B279,'Week 2 Roster'!$AI:$AI))</f>
        <v>0</v>
      </c>
      <c r="AN279" s="17">
        <f ca="1">IF($A279=0,0,SUMIF('Week 2 Roster'!$AZ:$AZ,$B279,'Week 2 Roster'!$AK:$AK))</f>
        <v>0</v>
      </c>
      <c r="AO279" s="17">
        <f ca="1">IF($A279=0,0,SUMIF('Week 2 Roster'!$AZ:$AZ,$B279,'Week 2 Roster'!$AM:$AM))</f>
        <v>0</v>
      </c>
      <c r="AP279" s="17">
        <f ca="1">IF($A279=0,0,SUMIF('Week 2 Roster'!$AZ:$AZ,$B279,'Week 2 Roster'!$AO:$AO))</f>
        <v>0</v>
      </c>
      <c r="AQ279" s="38">
        <f ca="1">IF($A279=0,0,SUMIF('Week 2 Roster'!$AZ:$AZ,$B279,'Week 2 Roster'!$AP:$AP))</f>
        <v>0</v>
      </c>
      <c r="AR279" s="17">
        <f ca="1">IF($A279=0,0,SUMIF('Week 2 Roster'!$AZ:$AZ,$B279,'Week 2 Roster'!$AQ:$AQ))</f>
        <v>0</v>
      </c>
      <c r="AS279" s="17">
        <f ca="1">IF($A279=0,0,SUMIF('Week 2 Roster'!$AZ:$AZ,$B279,'Week 2 Roster'!$AR:$AR))</f>
        <v>0</v>
      </c>
      <c r="AT279" s="17">
        <f ca="1">IF($A279=0,0,SUMIF('Week 2 Roster'!$AZ:$AZ,$B279,'Week 2 Roster'!$AS:$AS))</f>
        <v>0</v>
      </c>
      <c r="AU279" s="17">
        <f t="shared" ca="1" si="98"/>
        <v>0</v>
      </c>
    </row>
    <row r="280" spans="1:47">
      <c r="A280" s="16" cm="1">
        <f t="array" aca="1" ref="A280" ca="1">_xlfn.NUMBERVALUE(INDIRECT(TEXT(MIN(IF(($AW$2:$AX$300&lt;&gt;"")*(COUNTIF($B$1:B279,$AW$2:$AX$300)=0),ROW($2:$300)*100+COLUMN($AW:$AX),7^8)),"R0C00"),)&amp;"")</f>
        <v>0</v>
      </c>
      <c r="B280" s="28" t="str">
        <f t="shared" ca="1" si="84"/>
        <v/>
      </c>
      <c r="C280" s="28" t="str">
        <f ca="1">IF($A280=0,"",VLOOKUP($B280,Employees!$A:$G,2,FALSE))</f>
        <v/>
      </c>
      <c r="D280" s="28" t="str">
        <f ca="1">IF($A280=0,"",VLOOKUP($B280,Employees!$A:$G,3,FALSE))</f>
        <v/>
      </c>
      <c r="E280" s="26" t="str">
        <f ca="1">IF($A280=0,"",VLOOKUP($B280,Employees!$A:$G,5,FALSE))</f>
        <v/>
      </c>
      <c r="F280" s="13" t="str">
        <f ca="1">IF($E280="","",ROUNDDOWN(YEARFRAC($E280, 'Week 1 Roster'!$D$1-1, 1), 0))</f>
        <v/>
      </c>
      <c r="G280" s="13" t="str">
        <f ca="1">IF($E280="","",ROUNDDOWN(YEARFRAC($E280, 'Week 1 Roster'!$D$1+14, 1), 0))</f>
        <v/>
      </c>
      <c r="H280" s="13" t="str">
        <f t="shared" ca="1" si="85"/>
        <v/>
      </c>
      <c r="I280" s="13" t="str">
        <f ca="1">IF($A280=0,"",VLOOKUP($B280,Employees!$A:$G,6,FALSE))</f>
        <v/>
      </c>
      <c r="J280" s="13" t="str">
        <f ca="1">IF($A280=0,"",VLOOKUP($B280,Employees!$A:$G,7,FALSE))</f>
        <v/>
      </c>
      <c r="K280" s="13" t="str">
        <f ca="1">IF($A280=0,"",IF(ISNA(VLOOKUP(A280,'Week 1 Roster'!A:C,2,0)),VLOOKUP(A280,'Week 2 Roster'!A:C,2,0),VLOOKUP(A280,'Week 1 Roster'!A:C,2,0)))</f>
        <v/>
      </c>
      <c r="L280" s="13" t="str">
        <f ca="1">IF($A280=0,"",VLOOKUP(K280,Stores!A:B,2,0))</f>
        <v/>
      </c>
      <c r="M280" s="14">
        <f t="shared" ca="1" si="86"/>
        <v>0</v>
      </c>
      <c r="N280" s="14">
        <f t="shared" ca="1" si="87"/>
        <v>0</v>
      </c>
      <c r="O280" s="14">
        <f t="shared" ca="1" si="88"/>
        <v>0</v>
      </c>
      <c r="P280" s="14">
        <f t="shared" ca="1" si="89"/>
        <v>0</v>
      </c>
      <c r="Q280" s="14">
        <f t="shared" ca="1" si="90"/>
        <v>0</v>
      </c>
      <c r="R280" s="14">
        <f t="shared" ca="1" si="91"/>
        <v>0</v>
      </c>
      <c r="S280" s="28">
        <f t="shared" ca="1" si="92"/>
        <v>0</v>
      </c>
      <c r="T280" s="14">
        <f t="shared" ca="1" si="93"/>
        <v>0</v>
      </c>
      <c r="U280" s="14">
        <f t="shared" ca="1" si="94"/>
        <v>0</v>
      </c>
      <c r="V280" s="14">
        <f t="shared" ca="1" si="95"/>
        <v>0</v>
      </c>
      <c r="W280" s="14">
        <f t="shared" ca="1" si="96"/>
        <v>0</v>
      </c>
      <c r="Y280" s="17">
        <f ca="1">IF($A280=0,0,SUMIF('Week 1 Roster'!$AZ:$AZ,$B280,'Week 1 Roster'!$AE:$AE))</f>
        <v>0</v>
      </c>
      <c r="Z280" s="17">
        <f ca="1">IF($A280=0,0,SUMIF('Week 1 Roster'!$AZ:$AZ,$B280,'Week 1 Roster'!$AG:$AG))</f>
        <v>0</v>
      </c>
      <c r="AA280" s="17">
        <f ca="1">IF($A280=0,0,SUMIF('Week 1 Roster'!$AZ:$AZ,$B280,'Week 1 Roster'!$AI:$AI))</f>
        <v>0</v>
      </c>
      <c r="AB280" s="17">
        <f ca="1">IF($A280=0,0,SUMIF('Week 1 Roster'!$AZ:$AZ,$B280,'Week 1 Roster'!$AK:$AK))</f>
        <v>0</v>
      </c>
      <c r="AC280" s="17">
        <f ca="1">IF($A280=0,0,SUMIF('Week 1 Roster'!$AZ:$AZ,$B280,'Week 1 Roster'!$AM:$AM))</f>
        <v>0</v>
      </c>
      <c r="AD280" s="17">
        <f ca="1">IF($A280=0,0,SUMIF('Week 1 Roster'!$AZ:$AZ,$B280,'Week 1 Roster'!$AO:$AO))</f>
        <v>0</v>
      </c>
      <c r="AE280" s="38">
        <f ca="1">IF($A280=0,0,SUMIF('Week 1 Roster'!$AZ:$AZ,$B280,'Week 1 Roster'!$AP:$AP))</f>
        <v>0</v>
      </c>
      <c r="AF280" s="17">
        <f ca="1">IF($A280=0,0,SUMIF('Week 1 Roster'!$AZ:$AZ,$B280,'Week 1 Roster'!$AQ:$AQ))</f>
        <v>0</v>
      </c>
      <c r="AG280" s="17">
        <f ca="1">IF($A280=0,0,SUMIF('Week 1 Roster'!$AZ:$AZ,$B280,'Week 1 Roster'!$AR:$AR))</f>
        <v>0</v>
      </c>
      <c r="AH280" s="17">
        <f ca="1">IF($A280=0,0,SUMIF('Week 1 Roster'!$AZ:$AZ,$B280,'Week 1 Roster'!$AS:$AS))</f>
        <v>0</v>
      </c>
      <c r="AI280" s="17">
        <f t="shared" ca="1" si="97"/>
        <v>0</v>
      </c>
      <c r="AK280" s="17">
        <f ca="1">IF($A280=0,0,SUMIF('Week 2 Roster'!$AZ:$AZ,$B280,'Week 2 Roster'!$AE:$AE))</f>
        <v>0</v>
      </c>
      <c r="AL280" s="17">
        <f ca="1">IF($A280=0,0,SUMIF('Week 2 Roster'!$AZ:$AZ,$B280,'Week 2 Roster'!$AG:$AG))</f>
        <v>0</v>
      </c>
      <c r="AM280" s="17">
        <f ca="1">IF($A280=0,0,SUMIF('Week 2 Roster'!$AZ:$AZ,$B280,'Week 2 Roster'!$AI:$AI))</f>
        <v>0</v>
      </c>
      <c r="AN280" s="17">
        <f ca="1">IF($A280=0,0,SUMIF('Week 2 Roster'!$AZ:$AZ,$B280,'Week 2 Roster'!$AK:$AK))</f>
        <v>0</v>
      </c>
      <c r="AO280" s="17">
        <f ca="1">IF($A280=0,0,SUMIF('Week 2 Roster'!$AZ:$AZ,$B280,'Week 2 Roster'!$AM:$AM))</f>
        <v>0</v>
      </c>
      <c r="AP280" s="17">
        <f ca="1">IF($A280=0,0,SUMIF('Week 2 Roster'!$AZ:$AZ,$B280,'Week 2 Roster'!$AO:$AO))</f>
        <v>0</v>
      </c>
      <c r="AQ280" s="38">
        <f ca="1">IF($A280=0,0,SUMIF('Week 2 Roster'!$AZ:$AZ,$B280,'Week 2 Roster'!$AP:$AP))</f>
        <v>0</v>
      </c>
      <c r="AR280" s="17">
        <f ca="1">IF($A280=0,0,SUMIF('Week 2 Roster'!$AZ:$AZ,$B280,'Week 2 Roster'!$AQ:$AQ))</f>
        <v>0</v>
      </c>
      <c r="AS280" s="17">
        <f ca="1">IF($A280=0,0,SUMIF('Week 2 Roster'!$AZ:$AZ,$B280,'Week 2 Roster'!$AR:$AR))</f>
        <v>0</v>
      </c>
      <c r="AT280" s="17">
        <f ca="1">IF($A280=0,0,SUMIF('Week 2 Roster'!$AZ:$AZ,$B280,'Week 2 Roster'!$AS:$AS))</f>
        <v>0</v>
      </c>
      <c r="AU280" s="17">
        <f t="shared" ca="1" si="98"/>
        <v>0</v>
      </c>
    </row>
    <row r="281" spans="1:47">
      <c r="A281" s="16" cm="1">
        <f t="array" aca="1" ref="A281" ca="1">_xlfn.NUMBERVALUE(INDIRECT(TEXT(MIN(IF(($AW$2:$AX$300&lt;&gt;"")*(COUNTIF($B$1:B280,$AW$2:$AX$300)=0),ROW($2:$300)*100+COLUMN($AW:$AX),7^8)),"R0C00"),)&amp;"")</f>
        <v>0</v>
      </c>
      <c r="B281" s="28" t="str">
        <f t="shared" ca="1" si="84"/>
        <v/>
      </c>
      <c r="C281" s="28" t="str">
        <f ca="1">IF($A281=0,"",VLOOKUP($B281,Employees!$A:$G,2,FALSE))</f>
        <v/>
      </c>
      <c r="D281" s="28" t="str">
        <f ca="1">IF($A281=0,"",VLOOKUP($B281,Employees!$A:$G,3,FALSE))</f>
        <v/>
      </c>
      <c r="E281" s="26" t="str">
        <f ca="1">IF($A281=0,"",VLOOKUP($B281,Employees!$A:$G,5,FALSE))</f>
        <v/>
      </c>
      <c r="F281" s="13" t="str">
        <f ca="1">IF($E281="","",ROUNDDOWN(YEARFRAC($E281, 'Week 1 Roster'!$D$1-1, 1), 0))</f>
        <v/>
      </c>
      <c r="G281" s="13" t="str">
        <f ca="1">IF($E281="","",ROUNDDOWN(YEARFRAC($E281, 'Week 1 Roster'!$D$1+14, 1), 0))</f>
        <v/>
      </c>
      <c r="H281" s="13" t="str">
        <f t="shared" ca="1" si="85"/>
        <v/>
      </c>
      <c r="I281" s="13" t="str">
        <f ca="1">IF($A281=0,"",VLOOKUP($B281,Employees!$A:$G,6,FALSE))</f>
        <v/>
      </c>
      <c r="J281" s="13" t="str">
        <f ca="1">IF($A281=0,"",VLOOKUP($B281,Employees!$A:$G,7,FALSE))</f>
        <v/>
      </c>
      <c r="K281" s="13" t="str">
        <f ca="1">IF($A281=0,"",IF(ISNA(VLOOKUP(A281,'Week 1 Roster'!A:C,2,0)),VLOOKUP(A281,'Week 2 Roster'!A:C,2,0),VLOOKUP(A281,'Week 1 Roster'!A:C,2,0)))</f>
        <v/>
      </c>
      <c r="L281" s="13" t="str">
        <f ca="1">IF($A281=0,"",VLOOKUP(K281,Stores!A:B,2,0))</f>
        <v/>
      </c>
      <c r="M281" s="14">
        <f t="shared" ca="1" si="86"/>
        <v>0</v>
      </c>
      <c r="N281" s="14">
        <f t="shared" ca="1" si="87"/>
        <v>0</v>
      </c>
      <c r="O281" s="14">
        <f t="shared" ca="1" si="88"/>
        <v>0</v>
      </c>
      <c r="P281" s="14">
        <f t="shared" ca="1" si="89"/>
        <v>0</v>
      </c>
      <c r="Q281" s="14">
        <f t="shared" ca="1" si="90"/>
        <v>0</v>
      </c>
      <c r="R281" s="14">
        <f t="shared" ca="1" si="91"/>
        <v>0</v>
      </c>
      <c r="S281" s="28">
        <f t="shared" ca="1" si="92"/>
        <v>0</v>
      </c>
      <c r="T281" s="14">
        <f t="shared" ca="1" si="93"/>
        <v>0</v>
      </c>
      <c r="U281" s="14">
        <f t="shared" ca="1" si="94"/>
        <v>0</v>
      </c>
      <c r="V281" s="14">
        <f t="shared" ca="1" si="95"/>
        <v>0</v>
      </c>
      <c r="W281" s="14">
        <f t="shared" ca="1" si="96"/>
        <v>0</v>
      </c>
      <c r="Y281" s="17">
        <f ca="1">IF($A281=0,0,SUMIF('Week 1 Roster'!$AZ:$AZ,$B281,'Week 1 Roster'!$AE:$AE))</f>
        <v>0</v>
      </c>
      <c r="Z281" s="17">
        <f ca="1">IF($A281=0,0,SUMIF('Week 1 Roster'!$AZ:$AZ,$B281,'Week 1 Roster'!$AG:$AG))</f>
        <v>0</v>
      </c>
      <c r="AA281" s="17">
        <f ca="1">IF($A281=0,0,SUMIF('Week 1 Roster'!$AZ:$AZ,$B281,'Week 1 Roster'!$AI:$AI))</f>
        <v>0</v>
      </c>
      <c r="AB281" s="17">
        <f ca="1">IF($A281=0,0,SUMIF('Week 1 Roster'!$AZ:$AZ,$B281,'Week 1 Roster'!$AK:$AK))</f>
        <v>0</v>
      </c>
      <c r="AC281" s="17">
        <f ca="1">IF($A281=0,0,SUMIF('Week 1 Roster'!$AZ:$AZ,$B281,'Week 1 Roster'!$AM:$AM))</f>
        <v>0</v>
      </c>
      <c r="AD281" s="17">
        <f ca="1">IF($A281=0,0,SUMIF('Week 1 Roster'!$AZ:$AZ,$B281,'Week 1 Roster'!$AO:$AO))</f>
        <v>0</v>
      </c>
      <c r="AE281" s="38">
        <f ca="1">IF($A281=0,0,SUMIF('Week 1 Roster'!$AZ:$AZ,$B281,'Week 1 Roster'!$AP:$AP))</f>
        <v>0</v>
      </c>
      <c r="AF281" s="17">
        <f ca="1">IF($A281=0,0,SUMIF('Week 1 Roster'!$AZ:$AZ,$B281,'Week 1 Roster'!$AQ:$AQ))</f>
        <v>0</v>
      </c>
      <c r="AG281" s="17">
        <f ca="1">IF($A281=0,0,SUMIF('Week 1 Roster'!$AZ:$AZ,$B281,'Week 1 Roster'!$AR:$AR))</f>
        <v>0</v>
      </c>
      <c r="AH281" s="17">
        <f ca="1">IF($A281=0,0,SUMIF('Week 1 Roster'!$AZ:$AZ,$B281,'Week 1 Roster'!$AS:$AS))</f>
        <v>0</v>
      </c>
      <c r="AI281" s="17">
        <f t="shared" ca="1" si="97"/>
        <v>0</v>
      </c>
      <c r="AK281" s="17">
        <f ca="1">IF($A281=0,0,SUMIF('Week 2 Roster'!$AZ:$AZ,$B281,'Week 2 Roster'!$AE:$AE))</f>
        <v>0</v>
      </c>
      <c r="AL281" s="17">
        <f ca="1">IF($A281=0,0,SUMIF('Week 2 Roster'!$AZ:$AZ,$B281,'Week 2 Roster'!$AG:$AG))</f>
        <v>0</v>
      </c>
      <c r="AM281" s="17">
        <f ca="1">IF($A281=0,0,SUMIF('Week 2 Roster'!$AZ:$AZ,$B281,'Week 2 Roster'!$AI:$AI))</f>
        <v>0</v>
      </c>
      <c r="AN281" s="17">
        <f ca="1">IF($A281=0,0,SUMIF('Week 2 Roster'!$AZ:$AZ,$B281,'Week 2 Roster'!$AK:$AK))</f>
        <v>0</v>
      </c>
      <c r="AO281" s="17">
        <f ca="1">IF($A281=0,0,SUMIF('Week 2 Roster'!$AZ:$AZ,$B281,'Week 2 Roster'!$AM:$AM))</f>
        <v>0</v>
      </c>
      <c r="AP281" s="17">
        <f ca="1">IF($A281=0,0,SUMIF('Week 2 Roster'!$AZ:$AZ,$B281,'Week 2 Roster'!$AO:$AO))</f>
        <v>0</v>
      </c>
      <c r="AQ281" s="38">
        <f ca="1">IF($A281=0,0,SUMIF('Week 2 Roster'!$AZ:$AZ,$B281,'Week 2 Roster'!$AP:$AP))</f>
        <v>0</v>
      </c>
      <c r="AR281" s="17">
        <f ca="1">IF($A281=0,0,SUMIF('Week 2 Roster'!$AZ:$AZ,$B281,'Week 2 Roster'!$AQ:$AQ))</f>
        <v>0</v>
      </c>
      <c r="AS281" s="17">
        <f ca="1">IF($A281=0,0,SUMIF('Week 2 Roster'!$AZ:$AZ,$B281,'Week 2 Roster'!$AR:$AR))</f>
        <v>0</v>
      </c>
      <c r="AT281" s="17">
        <f ca="1">IF($A281=0,0,SUMIF('Week 2 Roster'!$AZ:$AZ,$B281,'Week 2 Roster'!$AS:$AS))</f>
        <v>0</v>
      </c>
      <c r="AU281" s="17">
        <f t="shared" ca="1" si="98"/>
        <v>0</v>
      </c>
    </row>
    <row r="282" spans="1:47">
      <c r="A282" s="16" cm="1">
        <f t="array" aca="1" ref="A282" ca="1">_xlfn.NUMBERVALUE(INDIRECT(TEXT(MIN(IF(($AW$2:$AX$300&lt;&gt;"")*(COUNTIF($B$1:B281,$AW$2:$AX$300)=0),ROW($2:$300)*100+COLUMN($AW:$AX),7^8)),"R0C00"),)&amp;"")</f>
        <v>0</v>
      </c>
      <c r="B282" s="28" t="str">
        <f t="shared" ca="1" si="84"/>
        <v/>
      </c>
      <c r="C282" s="28" t="str">
        <f ca="1">IF($A282=0,"",VLOOKUP($B282,Employees!$A:$G,2,FALSE))</f>
        <v/>
      </c>
      <c r="D282" s="28" t="str">
        <f ca="1">IF($A282=0,"",VLOOKUP($B282,Employees!$A:$G,3,FALSE))</f>
        <v/>
      </c>
      <c r="E282" s="26" t="str">
        <f ca="1">IF($A282=0,"",VLOOKUP($B282,Employees!$A:$G,5,FALSE))</f>
        <v/>
      </c>
      <c r="F282" s="13" t="str">
        <f ca="1">IF($E282="","",ROUNDDOWN(YEARFRAC($E282, 'Week 1 Roster'!$D$1-1, 1), 0))</f>
        <v/>
      </c>
      <c r="G282" s="13" t="str">
        <f ca="1">IF($E282="","",ROUNDDOWN(YEARFRAC($E282, 'Week 1 Roster'!$D$1+14, 1), 0))</f>
        <v/>
      </c>
      <c r="H282" s="13" t="str">
        <f t="shared" ca="1" si="85"/>
        <v/>
      </c>
      <c r="I282" s="13" t="str">
        <f ca="1">IF($A282=0,"",VLOOKUP($B282,Employees!$A:$G,6,FALSE))</f>
        <v/>
      </c>
      <c r="J282" s="13" t="str">
        <f ca="1">IF($A282=0,"",VLOOKUP($B282,Employees!$A:$G,7,FALSE))</f>
        <v/>
      </c>
      <c r="K282" s="13" t="str">
        <f ca="1">IF($A282=0,"",IF(ISNA(VLOOKUP(A282,'Week 1 Roster'!A:C,2,0)),VLOOKUP(A282,'Week 2 Roster'!A:C,2,0),VLOOKUP(A282,'Week 1 Roster'!A:C,2,0)))</f>
        <v/>
      </c>
      <c r="L282" s="13" t="str">
        <f ca="1">IF($A282=0,"",VLOOKUP(K282,Stores!A:B,2,0))</f>
        <v/>
      </c>
      <c r="M282" s="14">
        <f t="shared" ca="1" si="86"/>
        <v>0</v>
      </c>
      <c r="N282" s="14">
        <f t="shared" ca="1" si="87"/>
        <v>0</v>
      </c>
      <c r="O282" s="14">
        <f t="shared" ca="1" si="88"/>
        <v>0</v>
      </c>
      <c r="P282" s="14">
        <f t="shared" ca="1" si="89"/>
        <v>0</v>
      </c>
      <c r="Q282" s="14">
        <f t="shared" ca="1" si="90"/>
        <v>0</v>
      </c>
      <c r="R282" s="14">
        <f t="shared" ca="1" si="91"/>
        <v>0</v>
      </c>
      <c r="S282" s="28">
        <f t="shared" ca="1" si="92"/>
        <v>0</v>
      </c>
      <c r="T282" s="14">
        <f t="shared" ca="1" si="93"/>
        <v>0</v>
      </c>
      <c r="U282" s="14">
        <f t="shared" ca="1" si="94"/>
        <v>0</v>
      </c>
      <c r="V282" s="14">
        <f t="shared" ca="1" si="95"/>
        <v>0</v>
      </c>
      <c r="W282" s="14">
        <f t="shared" ca="1" si="96"/>
        <v>0</v>
      </c>
      <c r="Y282" s="17">
        <f ca="1">IF($A282=0,0,SUMIF('Week 1 Roster'!$AZ:$AZ,$B282,'Week 1 Roster'!$AE:$AE))</f>
        <v>0</v>
      </c>
      <c r="Z282" s="17">
        <f ca="1">IF($A282=0,0,SUMIF('Week 1 Roster'!$AZ:$AZ,$B282,'Week 1 Roster'!$AG:$AG))</f>
        <v>0</v>
      </c>
      <c r="AA282" s="17">
        <f ca="1">IF($A282=0,0,SUMIF('Week 1 Roster'!$AZ:$AZ,$B282,'Week 1 Roster'!$AI:$AI))</f>
        <v>0</v>
      </c>
      <c r="AB282" s="17">
        <f ca="1">IF($A282=0,0,SUMIF('Week 1 Roster'!$AZ:$AZ,$B282,'Week 1 Roster'!$AK:$AK))</f>
        <v>0</v>
      </c>
      <c r="AC282" s="17">
        <f ca="1">IF($A282=0,0,SUMIF('Week 1 Roster'!$AZ:$AZ,$B282,'Week 1 Roster'!$AM:$AM))</f>
        <v>0</v>
      </c>
      <c r="AD282" s="17">
        <f ca="1">IF($A282=0,0,SUMIF('Week 1 Roster'!$AZ:$AZ,$B282,'Week 1 Roster'!$AO:$AO))</f>
        <v>0</v>
      </c>
      <c r="AE282" s="38">
        <f ca="1">IF($A282=0,0,SUMIF('Week 1 Roster'!$AZ:$AZ,$B282,'Week 1 Roster'!$AP:$AP))</f>
        <v>0</v>
      </c>
      <c r="AF282" s="17">
        <f ca="1">IF($A282=0,0,SUMIF('Week 1 Roster'!$AZ:$AZ,$B282,'Week 1 Roster'!$AQ:$AQ))</f>
        <v>0</v>
      </c>
      <c r="AG282" s="17">
        <f ca="1">IF($A282=0,0,SUMIF('Week 1 Roster'!$AZ:$AZ,$B282,'Week 1 Roster'!$AR:$AR))</f>
        <v>0</v>
      </c>
      <c r="AH282" s="17">
        <f ca="1">IF($A282=0,0,SUMIF('Week 1 Roster'!$AZ:$AZ,$B282,'Week 1 Roster'!$AS:$AS))</f>
        <v>0</v>
      </c>
      <c r="AI282" s="17">
        <f t="shared" ca="1" si="97"/>
        <v>0</v>
      </c>
      <c r="AK282" s="17">
        <f ca="1">IF($A282=0,0,SUMIF('Week 2 Roster'!$AZ:$AZ,$B282,'Week 2 Roster'!$AE:$AE))</f>
        <v>0</v>
      </c>
      <c r="AL282" s="17">
        <f ca="1">IF($A282=0,0,SUMIF('Week 2 Roster'!$AZ:$AZ,$B282,'Week 2 Roster'!$AG:$AG))</f>
        <v>0</v>
      </c>
      <c r="AM282" s="17">
        <f ca="1">IF($A282=0,0,SUMIF('Week 2 Roster'!$AZ:$AZ,$B282,'Week 2 Roster'!$AI:$AI))</f>
        <v>0</v>
      </c>
      <c r="AN282" s="17">
        <f ca="1">IF($A282=0,0,SUMIF('Week 2 Roster'!$AZ:$AZ,$B282,'Week 2 Roster'!$AK:$AK))</f>
        <v>0</v>
      </c>
      <c r="AO282" s="17">
        <f ca="1">IF($A282=0,0,SUMIF('Week 2 Roster'!$AZ:$AZ,$B282,'Week 2 Roster'!$AM:$AM))</f>
        <v>0</v>
      </c>
      <c r="AP282" s="17">
        <f ca="1">IF($A282=0,0,SUMIF('Week 2 Roster'!$AZ:$AZ,$B282,'Week 2 Roster'!$AO:$AO))</f>
        <v>0</v>
      </c>
      <c r="AQ282" s="38">
        <f ca="1">IF($A282=0,0,SUMIF('Week 2 Roster'!$AZ:$AZ,$B282,'Week 2 Roster'!$AP:$AP))</f>
        <v>0</v>
      </c>
      <c r="AR282" s="17">
        <f ca="1">IF($A282=0,0,SUMIF('Week 2 Roster'!$AZ:$AZ,$B282,'Week 2 Roster'!$AQ:$AQ))</f>
        <v>0</v>
      </c>
      <c r="AS282" s="17">
        <f ca="1">IF($A282=0,0,SUMIF('Week 2 Roster'!$AZ:$AZ,$B282,'Week 2 Roster'!$AR:$AR))</f>
        <v>0</v>
      </c>
      <c r="AT282" s="17">
        <f ca="1">IF($A282=0,0,SUMIF('Week 2 Roster'!$AZ:$AZ,$B282,'Week 2 Roster'!$AS:$AS))</f>
        <v>0</v>
      </c>
      <c r="AU282" s="17">
        <f t="shared" ca="1" si="98"/>
        <v>0</v>
      </c>
    </row>
    <row r="283" spans="1:47">
      <c r="A283" s="16" cm="1">
        <f t="array" aca="1" ref="A283" ca="1">_xlfn.NUMBERVALUE(INDIRECT(TEXT(MIN(IF(($AW$2:$AX$300&lt;&gt;"")*(COUNTIF($B$1:B282,$AW$2:$AX$300)=0),ROW($2:$300)*100+COLUMN($AW:$AX),7^8)),"R0C00"),)&amp;"")</f>
        <v>0</v>
      </c>
      <c r="B283" s="28" t="str">
        <f t="shared" ca="1" si="84"/>
        <v/>
      </c>
      <c r="C283" s="28" t="str">
        <f ca="1">IF($A283=0,"",VLOOKUP($B283,Employees!$A:$G,2,FALSE))</f>
        <v/>
      </c>
      <c r="D283" s="28" t="str">
        <f ca="1">IF($A283=0,"",VLOOKUP($B283,Employees!$A:$G,3,FALSE))</f>
        <v/>
      </c>
      <c r="E283" s="26" t="str">
        <f ca="1">IF($A283=0,"",VLOOKUP($B283,Employees!$A:$G,5,FALSE))</f>
        <v/>
      </c>
      <c r="F283" s="13" t="str">
        <f ca="1">IF($E283="","",ROUNDDOWN(YEARFRAC($E283, 'Week 1 Roster'!$D$1-1, 1), 0))</f>
        <v/>
      </c>
      <c r="G283" s="13" t="str">
        <f ca="1">IF($E283="","",ROUNDDOWN(YEARFRAC($E283, 'Week 1 Roster'!$D$1+14, 1), 0))</f>
        <v/>
      </c>
      <c r="H283" s="13" t="str">
        <f t="shared" ca="1" si="85"/>
        <v/>
      </c>
      <c r="I283" s="13" t="str">
        <f ca="1">IF($A283=0,"",VLOOKUP($B283,Employees!$A:$G,6,FALSE))</f>
        <v/>
      </c>
      <c r="J283" s="13" t="str">
        <f ca="1">IF($A283=0,"",VLOOKUP($B283,Employees!$A:$G,7,FALSE))</f>
        <v/>
      </c>
      <c r="K283" s="13" t="str">
        <f ca="1">IF($A283=0,"",IF(ISNA(VLOOKUP(A283,'Week 1 Roster'!A:C,2,0)),VLOOKUP(A283,'Week 2 Roster'!A:C,2,0),VLOOKUP(A283,'Week 1 Roster'!A:C,2,0)))</f>
        <v/>
      </c>
      <c r="L283" s="13" t="str">
        <f ca="1">IF($A283=0,"",VLOOKUP(K283,Stores!A:B,2,0))</f>
        <v/>
      </c>
      <c r="M283" s="14">
        <f t="shared" ca="1" si="86"/>
        <v>0</v>
      </c>
      <c r="N283" s="14">
        <f t="shared" ca="1" si="87"/>
        <v>0</v>
      </c>
      <c r="O283" s="14">
        <f t="shared" ca="1" si="88"/>
        <v>0</v>
      </c>
      <c r="P283" s="14">
        <f t="shared" ca="1" si="89"/>
        <v>0</v>
      </c>
      <c r="Q283" s="14">
        <f t="shared" ca="1" si="90"/>
        <v>0</v>
      </c>
      <c r="R283" s="14">
        <f t="shared" ca="1" si="91"/>
        <v>0</v>
      </c>
      <c r="S283" s="28">
        <f t="shared" ca="1" si="92"/>
        <v>0</v>
      </c>
      <c r="T283" s="14">
        <f t="shared" ca="1" si="93"/>
        <v>0</v>
      </c>
      <c r="U283" s="14">
        <f t="shared" ca="1" si="94"/>
        <v>0</v>
      </c>
      <c r="V283" s="14">
        <f t="shared" ca="1" si="95"/>
        <v>0</v>
      </c>
      <c r="W283" s="14">
        <f t="shared" ca="1" si="96"/>
        <v>0</v>
      </c>
      <c r="Y283" s="17">
        <f ca="1">IF($A283=0,0,SUMIF('Week 1 Roster'!$AZ:$AZ,$B283,'Week 1 Roster'!$AE:$AE))</f>
        <v>0</v>
      </c>
      <c r="Z283" s="17">
        <f ca="1">IF($A283=0,0,SUMIF('Week 1 Roster'!$AZ:$AZ,$B283,'Week 1 Roster'!$AG:$AG))</f>
        <v>0</v>
      </c>
      <c r="AA283" s="17">
        <f ca="1">IF($A283=0,0,SUMIF('Week 1 Roster'!$AZ:$AZ,$B283,'Week 1 Roster'!$AI:$AI))</f>
        <v>0</v>
      </c>
      <c r="AB283" s="17">
        <f ca="1">IF($A283=0,0,SUMIF('Week 1 Roster'!$AZ:$AZ,$B283,'Week 1 Roster'!$AK:$AK))</f>
        <v>0</v>
      </c>
      <c r="AC283" s="17">
        <f ca="1">IF($A283=0,0,SUMIF('Week 1 Roster'!$AZ:$AZ,$B283,'Week 1 Roster'!$AM:$AM))</f>
        <v>0</v>
      </c>
      <c r="AD283" s="17">
        <f ca="1">IF($A283=0,0,SUMIF('Week 1 Roster'!$AZ:$AZ,$B283,'Week 1 Roster'!$AO:$AO))</f>
        <v>0</v>
      </c>
      <c r="AE283" s="38">
        <f ca="1">IF($A283=0,0,SUMIF('Week 1 Roster'!$AZ:$AZ,$B283,'Week 1 Roster'!$AP:$AP))</f>
        <v>0</v>
      </c>
      <c r="AF283" s="17">
        <f ca="1">IF($A283=0,0,SUMIF('Week 1 Roster'!$AZ:$AZ,$B283,'Week 1 Roster'!$AQ:$AQ))</f>
        <v>0</v>
      </c>
      <c r="AG283" s="17">
        <f ca="1">IF($A283=0,0,SUMIF('Week 1 Roster'!$AZ:$AZ,$B283,'Week 1 Roster'!$AR:$AR))</f>
        <v>0</v>
      </c>
      <c r="AH283" s="17">
        <f ca="1">IF($A283=0,0,SUMIF('Week 1 Roster'!$AZ:$AZ,$B283,'Week 1 Roster'!$AS:$AS))</f>
        <v>0</v>
      </c>
      <c r="AI283" s="17">
        <f t="shared" ca="1" si="97"/>
        <v>0</v>
      </c>
      <c r="AK283" s="17">
        <f ca="1">IF($A283=0,0,SUMIF('Week 2 Roster'!$AZ:$AZ,$B283,'Week 2 Roster'!$AE:$AE))</f>
        <v>0</v>
      </c>
      <c r="AL283" s="17">
        <f ca="1">IF($A283=0,0,SUMIF('Week 2 Roster'!$AZ:$AZ,$B283,'Week 2 Roster'!$AG:$AG))</f>
        <v>0</v>
      </c>
      <c r="AM283" s="17">
        <f ca="1">IF($A283=0,0,SUMIF('Week 2 Roster'!$AZ:$AZ,$B283,'Week 2 Roster'!$AI:$AI))</f>
        <v>0</v>
      </c>
      <c r="AN283" s="17">
        <f ca="1">IF($A283=0,0,SUMIF('Week 2 Roster'!$AZ:$AZ,$B283,'Week 2 Roster'!$AK:$AK))</f>
        <v>0</v>
      </c>
      <c r="AO283" s="17">
        <f ca="1">IF($A283=0,0,SUMIF('Week 2 Roster'!$AZ:$AZ,$B283,'Week 2 Roster'!$AM:$AM))</f>
        <v>0</v>
      </c>
      <c r="AP283" s="17">
        <f ca="1">IF($A283=0,0,SUMIF('Week 2 Roster'!$AZ:$AZ,$B283,'Week 2 Roster'!$AO:$AO))</f>
        <v>0</v>
      </c>
      <c r="AQ283" s="38">
        <f ca="1">IF($A283=0,0,SUMIF('Week 2 Roster'!$AZ:$AZ,$B283,'Week 2 Roster'!$AP:$AP))</f>
        <v>0</v>
      </c>
      <c r="AR283" s="17">
        <f ca="1">IF($A283=0,0,SUMIF('Week 2 Roster'!$AZ:$AZ,$B283,'Week 2 Roster'!$AQ:$AQ))</f>
        <v>0</v>
      </c>
      <c r="AS283" s="17">
        <f ca="1">IF($A283=0,0,SUMIF('Week 2 Roster'!$AZ:$AZ,$B283,'Week 2 Roster'!$AR:$AR))</f>
        <v>0</v>
      </c>
      <c r="AT283" s="17">
        <f ca="1">IF($A283=0,0,SUMIF('Week 2 Roster'!$AZ:$AZ,$B283,'Week 2 Roster'!$AS:$AS))</f>
        <v>0</v>
      </c>
      <c r="AU283" s="17">
        <f t="shared" ca="1" si="98"/>
        <v>0</v>
      </c>
    </row>
    <row r="284" spans="1:47">
      <c r="A284" s="16" cm="1">
        <f t="array" aca="1" ref="A284" ca="1">_xlfn.NUMBERVALUE(INDIRECT(TEXT(MIN(IF(($AW$2:$AX$300&lt;&gt;"")*(COUNTIF($B$1:B283,$AW$2:$AX$300)=0),ROW($2:$300)*100+COLUMN($AW:$AX),7^8)),"R0C00"),)&amp;"")</f>
        <v>0</v>
      </c>
      <c r="B284" s="28" t="str">
        <f t="shared" ca="1" si="84"/>
        <v/>
      </c>
      <c r="C284" s="28" t="str">
        <f ca="1">IF($A284=0,"",VLOOKUP($B284,Employees!$A:$G,2,FALSE))</f>
        <v/>
      </c>
      <c r="D284" s="28" t="str">
        <f ca="1">IF($A284=0,"",VLOOKUP($B284,Employees!$A:$G,3,FALSE))</f>
        <v/>
      </c>
      <c r="E284" s="26" t="str">
        <f ca="1">IF($A284=0,"",VLOOKUP($B284,Employees!$A:$G,5,FALSE))</f>
        <v/>
      </c>
      <c r="F284" s="13" t="str">
        <f ca="1">IF($E284="","",ROUNDDOWN(YEARFRAC($E284, 'Week 1 Roster'!$D$1-1, 1), 0))</f>
        <v/>
      </c>
      <c r="G284" s="13" t="str">
        <f ca="1">IF($E284="","",ROUNDDOWN(YEARFRAC($E284, 'Week 1 Roster'!$D$1+14, 1), 0))</f>
        <v/>
      </c>
      <c r="H284" s="13" t="str">
        <f t="shared" ca="1" si="85"/>
        <v/>
      </c>
      <c r="I284" s="13" t="str">
        <f ca="1">IF($A284=0,"",VLOOKUP($B284,Employees!$A:$G,6,FALSE))</f>
        <v/>
      </c>
      <c r="J284" s="13" t="str">
        <f ca="1">IF($A284=0,"",VLOOKUP($B284,Employees!$A:$G,7,FALSE))</f>
        <v/>
      </c>
      <c r="K284" s="13" t="str">
        <f ca="1">IF($A284=0,"",IF(ISNA(VLOOKUP(A284,'Week 1 Roster'!A:C,2,0)),VLOOKUP(A284,'Week 2 Roster'!A:C,2,0),VLOOKUP(A284,'Week 1 Roster'!A:C,2,0)))</f>
        <v/>
      </c>
      <c r="L284" s="13" t="str">
        <f ca="1">IF($A284=0,"",VLOOKUP(K284,Stores!A:B,2,0))</f>
        <v/>
      </c>
      <c r="M284" s="14">
        <f t="shared" ca="1" si="86"/>
        <v>0</v>
      </c>
      <c r="N284" s="14">
        <f t="shared" ca="1" si="87"/>
        <v>0</v>
      </c>
      <c r="O284" s="14">
        <f t="shared" ca="1" si="88"/>
        <v>0</v>
      </c>
      <c r="P284" s="14">
        <f t="shared" ca="1" si="89"/>
        <v>0</v>
      </c>
      <c r="Q284" s="14">
        <f t="shared" ca="1" si="90"/>
        <v>0</v>
      </c>
      <c r="R284" s="14">
        <f t="shared" ca="1" si="91"/>
        <v>0</v>
      </c>
      <c r="S284" s="28">
        <f t="shared" ca="1" si="92"/>
        <v>0</v>
      </c>
      <c r="T284" s="14">
        <f t="shared" ca="1" si="93"/>
        <v>0</v>
      </c>
      <c r="U284" s="14">
        <f t="shared" ca="1" si="94"/>
        <v>0</v>
      </c>
      <c r="V284" s="14">
        <f t="shared" ca="1" si="95"/>
        <v>0</v>
      </c>
      <c r="W284" s="14">
        <f t="shared" ca="1" si="96"/>
        <v>0</v>
      </c>
      <c r="Y284" s="17">
        <f ca="1">IF($A284=0,0,SUMIF('Week 1 Roster'!$AZ:$AZ,$B284,'Week 1 Roster'!$AE:$AE))</f>
        <v>0</v>
      </c>
      <c r="Z284" s="17">
        <f ca="1">IF($A284=0,0,SUMIF('Week 1 Roster'!$AZ:$AZ,$B284,'Week 1 Roster'!$AG:$AG))</f>
        <v>0</v>
      </c>
      <c r="AA284" s="17">
        <f ca="1">IF($A284=0,0,SUMIF('Week 1 Roster'!$AZ:$AZ,$B284,'Week 1 Roster'!$AI:$AI))</f>
        <v>0</v>
      </c>
      <c r="AB284" s="17">
        <f ca="1">IF($A284=0,0,SUMIF('Week 1 Roster'!$AZ:$AZ,$B284,'Week 1 Roster'!$AK:$AK))</f>
        <v>0</v>
      </c>
      <c r="AC284" s="17">
        <f ca="1">IF($A284=0,0,SUMIF('Week 1 Roster'!$AZ:$AZ,$B284,'Week 1 Roster'!$AM:$AM))</f>
        <v>0</v>
      </c>
      <c r="AD284" s="17">
        <f ca="1">IF($A284=0,0,SUMIF('Week 1 Roster'!$AZ:$AZ,$B284,'Week 1 Roster'!$AO:$AO))</f>
        <v>0</v>
      </c>
      <c r="AE284" s="38">
        <f ca="1">IF($A284=0,0,SUMIF('Week 1 Roster'!$AZ:$AZ,$B284,'Week 1 Roster'!$AP:$AP))</f>
        <v>0</v>
      </c>
      <c r="AF284" s="17">
        <f ca="1">IF($A284=0,0,SUMIF('Week 1 Roster'!$AZ:$AZ,$B284,'Week 1 Roster'!$AQ:$AQ))</f>
        <v>0</v>
      </c>
      <c r="AG284" s="17">
        <f ca="1">IF($A284=0,0,SUMIF('Week 1 Roster'!$AZ:$AZ,$B284,'Week 1 Roster'!$AR:$AR))</f>
        <v>0</v>
      </c>
      <c r="AH284" s="17">
        <f ca="1">IF($A284=0,0,SUMIF('Week 1 Roster'!$AZ:$AZ,$B284,'Week 1 Roster'!$AS:$AS))</f>
        <v>0</v>
      </c>
      <c r="AI284" s="17">
        <f t="shared" ca="1" si="97"/>
        <v>0</v>
      </c>
      <c r="AK284" s="17">
        <f ca="1">IF($A284=0,0,SUMIF('Week 2 Roster'!$AZ:$AZ,$B284,'Week 2 Roster'!$AE:$AE))</f>
        <v>0</v>
      </c>
      <c r="AL284" s="17">
        <f ca="1">IF($A284=0,0,SUMIF('Week 2 Roster'!$AZ:$AZ,$B284,'Week 2 Roster'!$AG:$AG))</f>
        <v>0</v>
      </c>
      <c r="AM284" s="17">
        <f ca="1">IF($A284=0,0,SUMIF('Week 2 Roster'!$AZ:$AZ,$B284,'Week 2 Roster'!$AI:$AI))</f>
        <v>0</v>
      </c>
      <c r="AN284" s="17">
        <f ca="1">IF($A284=0,0,SUMIF('Week 2 Roster'!$AZ:$AZ,$B284,'Week 2 Roster'!$AK:$AK))</f>
        <v>0</v>
      </c>
      <c r="AO284" s="17">
        <f ca="1">IF($A284=0,0,SUMIF('Week 2 Roster'!$AZ:$AZ,$B284,'Week 2 Roster'!$AM:$AM))</f>
        <v>0</v>
      </c>
      <c r="AP284" s="17">
        <f ca="1">IF($A284=0,0,SUMIF('Week 2 Roster'!$AZ:$AZ,$B284,'Week 2 Roster'!$AO:$AO))</f>
        <v>0</v>
      </c>
      <c r="AQ284" s="38">
        <f ca="1">IF($A284=0,0,SUMIF('Week 2 Roster'!$AZ:$AZ,$B284,'Week 2 Roster'!$AP:$AP))</f>
        <v>0</v>
      </c>
      <c r="AR284" s="17">
        <f ca="1">IF($A284=0,0,SUMIF('Week 2 Roster'!$AZ:$AZ,$B284,'Week 2 Roster'!$AQ:$AQ))</f>
        <v>0</v>
      </c>
      <c r="AS284" s="17">
        <f ca="1">IF($A284=0,0,SUMIF('Week 2 Roster'!$AZ:$AZ,$B284,'Week 2 Roster'!$AR:$AR))</f>
        <v>0</v>
      </c>
      <c r="AT284" s="17">
        <f ca="1">IF($A284=0,0,SUMIF('Week 2 Roster'!$AZ:$AZ,$B284,'Week 2 Roster'!$AS:$AS))</f>
        <v>0</v>
      </c>
      <c r="AU284" s="17">
        <f t="shared" ca="1" si="98"/>
        <v>0</v>
      </c>
    </row>
    <row r="285" spans="1:47">
      <c r="A285" s="16" cm="1">
        <f t="array" aca="1" ref="A285" ca="1">_xlfn.NUMBERVALUE(INDIRECT(TEXT(MIN(IF(($AW$2:$AX$300&lt;&gt;"")*(COUNTIF($B$1:B284,$AW$2:$AX$300)=0),ROW($2:$300)*100+COLUMN($AW:$AX),7^8)),"R0C00"),)&amp;"")</f>
        <v>0</v>
      </c>
      <c r="B285" s="28" t="str">
        <f t="shared" ca="1" si="84"/>
        <v/>
      </c>
      <c r="C285" s="28" t="str">
        <f ca="1">IF($A285=0,"",VLOOKUP($B285,Employees!$A:$G,2,FALSE))</f>
        <v/>
      </c>
      <c r="D285" s="28" t="str">
        <f ca="1">IF($A285=0,"",VLOOKUP($B285,Employees!$A:$G,3,FALSE))</f>
        <v/>
      </c>
      <c r="E285" s="26" t="str">
        <f ca="1">IF($A285=0,"",VLOOKUP($B285,Employees!$A:$G,5,FALSE))</f>
        <v/>
      </c>
      <c r="F285" s="13" t="str">
        <f ca="1">IF($E285="","",ROUNDDOWN(YEARFRAC($E285, 'Week 1 Roster'!$D$1-1, 1), 0))</f>
        <v/>
      </c>
      <c r="G285" s="13" t="str">
        <f ca="1">IF($E285="","",ROUNDDOWN(YEARFRAC($E285, 'Week 1 Roster'!$D$1+14, 1), 0))</f>
        <v/>
      </c>
      <c r="H285" s="13" t="str">
        <f t="shared" ca="1" si="85"/>
        <v/>
      </c>
      <c r="I285" s="13" t="str">
        <f ca="1">IF($A285=0,"",VLOOKUP($B285,Employees!$A:$G,6,FALSE))</f>
        <v/>
      </c>
      <c r="J285" s="13" t="str">
        <f ca="1">IF($A285=0,"",VLOOKUP($B285,Employees!$A:$G,7,FALSE))</f>
        <v/>
      </c>
      <c r="K285" s="13" t="str">
        <f ca="1">IF($A285=0,"",IF(ISNA(VLOOKUP(A285,'Week 1 Roster'!A:C,2,0)),VLOOKUP(A285,'Week 2 Roster'!A:C,2,0),VLOOKUP(A285,'Week 1 Roster'!A:C,2,0)))</f>
        <v/>
      </c>
      <c r="L285" s="13" t="str">
        <f ca="1">IF($A285=0,"",VLOOKUP(K285,Stores!A:B,2,0))</f>
        <v/>
      </c>
      <c r="M285" s="14">
        <f t="shared" ca="1" si="86"/>
        <v>0</v>
      </c>
      <c r="N285" s="14">
        <f t="shared" ca="1" si="87"/>
        <v>0</v>
      </c>
      <c r="O285" s="14">
        <f t="shared" ca="1" si="88"/>
        <v>0</v>
      </c>
      <c r="P285" s="14">
        <f t="shared" ca="1" si="89"/>
        <v>0</v>
      </c>
      <c r="Q285" s="14">
        <f t="shared" ca="1" si="90"/>
        <v>0</v>
      </c>
      <c r="R285" s="14">
        <f t="shared" ca="1" si="91"/>
        <v>0</v>
      </c>
      <c r="S285" s="28">
        <f t="shared" ca="1" si="92"/>
        <v>0</v>
      </c>
      <c r="T285" s="14">
        <f t="shared" ca="1" si="93"/>
        <v>0</v>
      </c>
      <c r="U285" s="14">
        <f t="shared" ca="1" si="94"/>
        <v>0</v>
      </c>
      <c r="V285" s="14">
        <f t="shared" ca="1" si="95"/>
        <v>0</v>
      </c>
      <c r="W285" s="14">
        <f t="shared" ca="1" si="96"/>
        <v>0</v>
      </c>
      <c r="Y285" s="17">
        <f ca="1">IF($A285=0,0,SUMIF('Week 1 Roster'!$AZ:$AZ,$B285,'Week 1 Roster'!$AE:$AE))</f>
        <v>0</v>
      </c>
      <c r="Z285" s="17">
        <f ca="1">IF($A285=0,0,SUMIF('Week 1 Roster'!$AZ:$AZ,$B285,'Week 1 Roster'!$AG:$AG))</f>
        <v>0</v>
      </c>
      <c r="AA285" s="17">
        <f ca="1">IF($A285=0,0,SUMIF('Week 1 Roster'!$AZ:$AZ,$B285,'Week 1 Roster'!$AI:$AI))</f>
        <v>0</v>
      </c>
      <c r="AB285" s="17">
        <f ca="1">IF($A285=0,0,SUMIF('Week 1 Roster'!$AZ:$AZ,$B285,'Week 1 Roster'!$AK:$AK))</f>
        <v>0</v>
      </c>
      <c r="AC285" s="17">
        <f ca="1">IF($A285=0,0,SUMIF('Week 1 Roster'!$AZ:$AZ,$B285,'Week 1 Roster'!$AM:$AM))</f>
        <v>0</v>
      </c>
      <c r="AD285" s="17">
        <f ca="1">IF($A285=0,0,SUMIF('Week 1 Roster'!$AZ:$AZ,$B285,'Week 1 Roster'!$AO:$AO))</f>
        <v>0</v>
      </c>
      <c r="AE285" s="38">
        <f ca="1">IF($A285=0,0,SUMIF('Week 1 Roster'!$AZ:$AZ,$B285,'Week 1 Roster'!$AP:$AP))</f>
        <v>0</v>
      </c>
      <c r="AF285" s="17">
        <f ca="1">IF($A285=0,0,SUMIF('Week 1 Roster'!$AZ:$AZ,$B285,'Week 1 Roster'!$AQ:$AQ))</f>
        <v>0</v>
      </c>
      <c r="AG285" s="17">
        <f ca="1">IF($A285=0,0,SUMIF('Week 1 Roster'!$AZ:$AZ,$B285,'Week 1 Roster'!$AR:$AR))</f>
        <v>0</v>
      </c>
      <c r="AH285" s="17">
        <f ca="1">IF($A285=0,0,SUMIF('Week 1 Roster'!$AZ:$AZ,$B285,'Week 1 Roster'!$AS:$AS))</f>
        <v>0</v>
      </c>
      <c r="AI285" s="17">
        <f t="shared" ca="1" si="97"/>
        <v>0</v>
      </c>
      <c r="AK285" s="17">
        <f ca="1">IF($A285=0,0,SUMIF('Week 2 Roster'!$AZ:$AZ,$B285,'Week 2 Roster'!$AE:$AE))</f>
        <v>0</v>
      </c>
      <c r="AL285" s="17">
        <f ca="1">IF($A285=0,0,SUMIF('Week 2 Roster'!$AZ:$AZ,$B285,'Week 2 Roster'!$AG:$AG))</f>
        <v>0</v>
      </c>
      <c r="AM285" s="17">
        <f ca="1">IF($A285=0,0,SUMIF('Week 2 Roster'!$AZ:$AZ,$B285,'Week 2 Roster'!$AI:$AI))</f>
        <v>0</v>
      </c>
      <c r="AN285" s="17">
        <f ca="1">IF($A285=0,0,SUMIF('Week 2 Roster'!$AZ:$AZ,$B285,'Week 2 Roster'!$AK:$AK))</f>
        <v>0</v>
      </c>
      <c r="AO285" s="17">
        <f ca="1">IF($A285=0,0,SUMIF('Week 2 Roster'!$AZ:$AZ,$B285,'Week 2 Roster'!$AM:$AM))</f>
        <v>0</v>
      </c>
      <c r="AP285" s="17">
        <f ca="1">IF($A285=0,0,SUMIF('Week 2 Roster'!$AZ:$AZ,$B285,'Week 2 Roster'!$AO:$AO))</f>
        <v>0</v>
      </c>
      <c r="AQ285" s="38">
        <f ca="1">IF($A285=0,0,SUMIF('Week 2 Roster'!$AZ:$AZ,$B285,'Week 2 Roster'!$AP:$AP))</f>
        <v>0</v>
      </c>
      <c r="AR285" s="17">
        <f ca="1">IF($A285=0,0,SUMIF('Week 2 Roster'!$AZ:$AZ,$B285,'Week 2 Roster'!$AQ:$AQ))</f>
        <v>0</v>
      </c>
      <c r="AS285" s="17">
        <f ca="1">IF($A285=0,0,SUMIF('Week 2 Roster'!$AZ:$AZ,$B285,'Week 2 Roster'!$AR:$AR))</f>
        <v>0</v>
      </c>
      <c r="AT285" s="17">
        <f ca="1">IF($A285=0,0,SUMIF('Week 2 Roster'!$AZ:$AZ,$B285,'Week 2 Roster'!$AS:$AS))</f>
        <v>0</v>
      </c>
      <c r="AU285" s="17">
        <f t="shared" ca="1" si="98"/>
        <v>0</v>
      </c>
    </row>
    <row r="286" spans="1:47">
      <c r="A286" s="16" cm="1">
        <f t="array" aca="1" ref="A286" ca="1">_xlfn.NUMBERVALUE(INDIRECT(TEXT(MIN(IF(($AW$2:$AX$300&lt;&gt;"")*(COUNTIF($B$1:B285,$AW$2:$AX$300)=0),ROW($2:$300)*100+COLUMN($AW:$AX),7^8)),"R0C00"),)&amp;"")</f>
        <v>0</v>
      </c>
      <c r="B286" s="28" t="str">
        <f t="shared" ca="1" si="84"/>
        <v/>
      </c>
      <c r="C286" s="28" t="str">
        <f ca="1">IF($A286=0,"",VLOOKUP($B286,Employees!$A:$G,2,FALSE))</f>
        <v/>
      </c>
      <c r="D286" s="28" t="str">
        <f ca="1">IF($A286=0,"",VLOOKUP($B286,Employees!$A:$G,3,FALSE))</f>
        <v/>
      </c>
      <c r="E286" s="26" t="str">
        <f ca="1">IF($A286=0,"",VLOOKUP($B286,Employees!$A:$G,5,FALSE))</f>
        <v/>
      </c>
      <c r="F286" s="13" t="str">
        <f ca="1">IF($E286="","",ROUNDDOWN(YEARFRAC($E286, 'Week 1 Roster'!$D$1-1, 1), 0))</f>
        <v/>
      </c>
      <c r="G286" s="13" t="str">
        <f ca="1">IF($E286="","",ROUNDDOWN(YEARFRAC($E286, 'Week 1 Roster'!$D$1+14, 1), 0))</f>
        <v/>
      </c>
      <c r="H286" s="13" t="str">
        <f t="shared" ca="1" si="85"/>
        <v/>
      </c>
      <c r="I286" s="13" t="str">
        <f ca="1">IF($A286=0,"",VLOOKUP($B286,Employees!$A:$G,6,FALSE))</f>
        <v/>
      </c>
      <c r="J286" s="13" t="str">
        <f ca="1">IF($A286=0,"",VLOOKUP($B286,Employees!$A:$G,7,FALSE))</f>
        <v/>
      </c>
      <c r="K286" s="13" t="str">
        <f ca="1">IF($A286=0,"",IF(ISNA(VLOOKUP(A286,'Week 1 Roster'!A:C,2,0)),VLOOKUP(A286,'Week 2 Roster'!A:C,2,0),VLOOKUP(A286,'Week 1 Roster'!A:C,2,0)))</f>
        <v/>
      </c>
      <c r="L286" s="13" t="str">
        <f ca="1">IF($A286=0,"",VLOOKUP(K286,Stores!A:B,2,0))</f>
        <v/>
      </c>
      <c r="M286" s="14">
        <f t="shared" ca="1" si="86"/>
        <v>0</v>
      </c>
      <c r="N286" s="14">
        <f t="shared" ca="1" si="87"/>
        <v>0</v>
      </c>
      <c r="O286" s="14">
        <f t="shared" ca="1" si="88"/>
        <v>0</v>
      </c>
      <c r="P286" s="14">
        <f t="shared" ca="1" si="89"/>
        <v>0</v>
      </c>
      <c r="Q286" s="14">
        <f t="shared" ca="1" si="90"/>
        <v>0</v>
      </c>
      <c r="R286" s="14">
        <f t="shared" ca="1" si="91"/>
        <v>0</v>
      </c>
      <c r="S286" s="28">
        <f t="shared" ca="1" si="92"/>
        <v>0</v>
      </c>
      <c r="T286" s="14">
        <f t="shared" ca="1" si="93"/>
        <v>0</v>
      </c>
      <c r="U286" s="14">
        <f t="shared" ca="1" si="94"/>
        <v>0</v>
      </c>
      <c r="V286" s="14">
        <f t="shared" ca="1" si="95"/>
        <v>0</v>
      </c>
      <c r="W286" s="14">
        <f t="shared" ca="1" si="96"/>
        <v>0</v>
      </c>
      <c r="Y286" s="17">
        <f ca="1">IF($A286=0,0,SUMIF('Week 1 Roster'!$AZ:$AZ,$B286,'Week 1 Roster'!$AE:$AE))</f>
        <v>0</v>
      </c>
      <c r="Z286" s="17">
        <f ca="1">IF($A286=0,0,SUMIF('Week 1 Roster'!$AZ:$AZ,$B286,'Week 1 Roster'!$AG:$AG))</f>
        <v>0</v>
      </c>
      <c r="AA286" s="17">
        <f ca="1">IF($A286=0,0,SUMIF('Week 1 Roster'!$AZ:$AZ,$B286,'Week 1 Roster'!$AI:$AI))</f>
        <v>0</v>
      </c>
      <c r="AB286" s="17">
        <f ca="1">IF($A286=0,0,SUMIF('Week 1 Roster'!$AZ:$AZ,$B286,'Week 1 Roster'!$AK:$AK))</f>
        <v>0</v>
      </c>
      <c r="AC286" s="17">
        <f ca="1">IF($A286=0,0,SUMIF('Week 1 Roster'!$AZ:$AZ,$B286,'Week 1 Roster'!$AM:$AM))</f>
        <v>0</v>
      </c>
      <c r="AD286" s="17">
        <f ca="1">IF($A286=0,0,SUMIF('Week 1 Roster'!$AZ:$AZ,$B286,'Week 1 Roster'!$AO:$AO))</f>
        <v>0</v>
      </c>
      <c r="AE286" s="38">
        <f ca="1">IF($A286=0,0,SUMIF('Week 1 Roster'!$AZ:$AZ,$B286,'Week 1 Roster'!$AP:$AP))</f>
        <v>0</v>
      </c>
      <c r="AF286" s="17">
        <f ca="1">IF($A286=0,0,SUMIF('Week 1 Roster'!$AZ:$AZ,$B286,'Week 1 Roster'!$AQ:$AQ))</f>
        <v>0</v>
      </c>
      <c r="AG286" s="17">
        <f ca="1">IF($A286=0,0,SUMIF('Week 1 Roster'!$AZ:$AZ,$B286,'Week 1 Roster'!$AR:$AR))</f>
        <v>0</v>
      </c>
      <c r="AH286" s="17">
        <f ca="1">IF($A286=0,0,SUMIF('Week 1 Roster'!$AZ:$AZ,$B286,'Week 1 Roster'!$AS:$AS))</f>
        <v>0</v>
      </c>
      <c r="AI286" s="17">
        <f t="shared" ca="1" si="97"/>
        <v>0</v>
      </c>
      <c r="AK286" s="17">
        <f ca="1">IF($A286=0,0,SUMIF('Week 2 Roster'!$AZ:$AZ,$B286,'Week 2 Roster'!$AE:$AE))</f>
        <v>0</v>
      </c>
      <c r="AL286" s="17">
        <f ca="1">IF($A286=0,0,SUMIF('Week 2 Roster'!$AZ:$AZ,$B286,'Week 2 Roster'!$AG:$AG))</f>
        <v>0</v>
      </c>
      <c r="AM286" s="17">
        <f ca="1">IF($A286=0,0,SUMIF('Week 2 Roster'!$AZ:$AZ,$B286,'Week 2 Roster'!$AI:$AI))</f>
        <v>0</v>
      </c>
      <c r="AN286" s="17">
        <f ca="1">IF($A286=0,0,SUMIF('Week 2 Roster'!$AZ:$AZ,$B286,'Week 2 Roster'!$AK:$AK))</f>
        <v>0</v>
      </c>
      <c r="AO286" s="17">
        <f ca="1">IF($A286=0,0,SUMIF('Week 2 Roster'!$AZ:$AZ,$B286,'Week 2 Roster'!$AM:$AM))</f>
        <v>0</v>
      </c>
      <c r="AP286" s="17">
        <f ca="1">IF($A286=0,0,SUMIF('Week 2 Roster'!$AZ:$AZ,$B286,'Week 2 Roster'!$AO:$AO))</f>
        <v>0</v>
      </c>
      <c r="AQ286" s="38">
        <f ca="1">IF($A286=0,0,SUMIF('Week 2 Roster'!$AZ:$AZ,$B286,'Week 2 Roster'!$AP:$AP))</f>
        <v>0</v>
      </c>
      <c r="AR286" s="17">
        <f ca="1">IF($A286=0,0,SUMIF('Week 2 Roster'!$AZ:$AZ,$B286,'Week 2 Roster'!$AQ:$AQ))</f>
        <v>0</v>
      </c>
      <c r="AS286" s="17">
        <f ca="1">IF($A286=0,0,SUMIF('Week 2 Roster'!$AZ:$AZ,$B286,'Week 2 Roster'!$AR:$AR))</f>
        <v>0</v>
      </c>
      <c r="AT286" s="17">
        <f ca="1">IF($A286=0,0,SUMIF('Week 2 Roster'!$AZ:$AZ,$B286,'Week 2 Roster'!$AS:$AS))</f>
        <v>0</v>
      </c>
      <c r="AU286" s="17">
        <f t="shared" ca="1" si="98"/>
        <v>0</v>
      </c>
    </row>
    <row r="287" spans="1:47">
      <c r="A287" s="16" cm="1">
        <f t="array" aca="1" ref="A287" ca="1">_xlfn.NUMBERVALUE(INDIRECT(TEXT(MIN(IF(($AW$2:$AX$300&lt;&gt;"")*(COUNTIF($B$1:B286,$AW$2:$AX$300)=0),ROW($2:$300)*100+COLUMN($AW:$AX),7^8)),"R0C00"),)&amp;"")</f>
        <v>0</v>
      </c>
      <c r="B287" s="28" t="str">
        <f t="shared" ca="1" si="84"/>
        <v/>
      </c>
      <c r="C287" s="28" t="str">
        <f ca="1">IF($A287=0,"",VLOOKUP($B287,Employees!$A:$G,2,FALSE))</f>
        <v/>
      </c>
      <c r="D287" s="28" t="str">
        <f ca="1">IF($A287=0,"",VLOOKUP($B287,Employees!$A:$G,3,FALSE))</f>
        <v/>
      </c>
      <c r="E287" s="26" t="str">
        <f ca="1">IF($A287=0,"",VLOOKUP($B287,Employees!$A:$G,5,FALSE))</f>
        <v/>
      </c>
      <c r="F287" s="13" t="str">
        <f ca="1">IF($E287="","",ROUNDDOWN(YEARFRAC($E287, 'Week 1 Roster'!$D$1-1, 1), 0))</f>
        <v/>
      </c>
      <c r="G287" s="13" t="str">
        <f ca="1">IF($E287="","",ROUNDDOWN(YEARFRAC($E287, 'Week 1 Roster'!$D$1+14, 1), 0))</f>
        <v/>
      </c>
      <c r="H287" s="13" t="str">
        <f t="shared" ca="1" si="85"/>
        <v/>
      </c>
      <c r="I287" s="13" t="str">
        <f ca="1">IF($A287=0,"",VLOOKUP($B287,Employees!$A:$G,6,FALSE))</f>
        <v/>
      </c>
      <c r="J287" s="13" t="str">
        <f ca="1">IF($A287=0,"",VLOOKUP($B287,Employees!$A:$G,7,FALSE))</f>
        <v/>
      </c>
      <c r="K287" s="13" t="str">
        <f ca="1">IF($A287=0,"",IF(ISNA(VLOOKUP(A287,'Week 1 Roster'!A:C,2,0)),VLOOKUP(A287,'Week 2 Roster'!A:C,2,0),VLOOKUP(A287,'Week 1 Roster'!A:C,2,0)))</f>
        <v/>
      </c>
      <c r="L287" s="13" t="str">
        <f ca="1">IF($A287=0,"",VLOOKUP(K287,Stores!A:B,2,0))</f>
        <v/>
      </c>
      <c r="M287" s="14">
        <f t="shared" ca="1" si="86"/>
        <v>0</v>
      </c>
      <c r="N287" s="14">
        <f t="shared" ca="1" si="87"/>
        <v>0</v>
      </c>
      <c r="O287" s="14">
        <f t="shared" ca="1" si="88"/>
        <v>0</v>
      </c>
      <c r="P287" s="14">
        <f t="shared" ca="1" si="89"/>
        <v>0</v>
      </c>
      <c r="Q287" s="14">
        <f t="shared" ca="1" si="90"/>
        <v>0</v>
      </c>
      <c r="R287" s="14">
        <f t="shared" ca="1" si="91"/>
        <v>0</v>
      </c>
      <c r="S287" s="28">
        <f t="shared" ca="1" si="92"/>
        <v>0</v>
      </c>
      <c r="T287" s="14">
        <f t="shared" ca="1" si="93"/>
        <v>0</v>
      </c>
      <c r="U287" s="14">
        <f t="shared" ca="1" si="94"/>
        <v>0</v>
      </c>
      <c r="V287" s="14">
        <f t="shared" ca="1" si="95"/>
        <v>0</v>
      </c>
      <c r="W287" s="14">
        <f t="shared" ca="1" si="96"/>
        <v>0</v>
      </c>
      <c r="Y287" s="17">
        <f ca="1">IF($A287=0,0,SUMIF('Week 1 Roster'!$AZ:$AZ,$B287,'Week 1 Roster'!$AE:$AE))</f>
        <v>0</v>
      </c>
      <c r="Z287" s="17">
        <f ca="1">IF($A287=0,0,SUMIF('Week 1 Roster'!$AZ:$AZ,$B287,'Week 1 Roster'!$AG:$AG))</f>
        <v>0</v>
      </c>
      <c r="AA287" s="17">
        <f ca="1">IF($A287=0,0,SUMIF('Week 1 Roster'!$AZ:$AZ,$B287,'Week 1 Roster'!$AI:$AI))</f>
        <v>0</v>
      </c>
      <c r="AB287" s="17">
        <f ca="1">IF($A287=0,0,SUMIF('Week 1 Roster'!$AZ:$AZ,$B287,'Week 1 Roster'!$AK:$AK))</f>
        <v>0</v>
      </c>
      <c r="AC287" s="17">
        <f ca="1">IF($A287=0,0,SUMIF('Week 1 Roster'!$AZ:$AZ,$B287,'Week 1 Roster'!$AM:$AM))</f>
        <v>0</v>
      </c>
      <c r="AD287" s="17">
        <f ca="1">IF($A287=0,0,SUMIF('Week 1 Roster'!$AZ:$AZ,$B287,'Week 1 Roster'!$AO:$AO))</f>
        <v>0</v>
      </c>
      <c r="AE287" s="38">
        <f ca="1">IF($A287=0,0,SUMIF('Week 1 Roster'!$AZ:$AZ,$B287,'Week 1 Roster'!$AP:$AP))</f>
        <v>0</v>
      </c>
      <c r="AF287" s="17">
        <f ca="1">IF($A287=0,0,SUMIF('Week 1 Roster'!$AZ:$AZ,$B287,'Week 1 Roster'!$AQ:$AQ))</f>
        <v>0</v>
      </c>
      <c r="AG287" s="17">
        <f ca="1">IF($A287=0,0,SUMIF('Week 1 Roster'!$AZ:$AZ,$B287,'Week 1 Roster'!$AR:$AR))</f>
        <v>0</v>
      </c>
      <c r="AH287" s="17">
        <f ca="1">IF($A287=0,0,SUMIF('Week 1 Roster'!$AZ:$AZ,$B287,'Week 1 Roster'!$AS:$AS))</f>
        <v>0</v>
      </c>
      <c r="AI287" s="17">
        <f t="shared" ca="1" si="97"/>
        <v>0</v>
      </c>
      <c r="AK287" s="17">
        <f ca="1">IF($A287=0,0,SUMIF('Week 2 Roster'!$AZ:$AZ,$B287,'Week 2 Roster'!$AE:$AE))</f>
        <v>0</v>
      </c>
      <c r="AL287" s="17">
        <f ca="1">IF($A287=0,0,SUMIF('Week 2 Roster'!$AZ:$AZ,$B287,'Week 2 Roster'!$AG:$AG))</f>
        <v>0</v>
      </c>
      <c r="AM287" s="17">
        <f ca="1">IF($A287=0,0,SUMIF('Week 2 Roster'!$AZ:$AZ,$B287,'Week 2 Roster'!$AI:$AI))</f>
        <v>0</v>
      </c>
      <c r="AN287" s="17">
        <f ca="1">IF($A287=0,0,SUMIF('Week 2 Roster'!$AZ:$AZ,$B287,'Week 2 Roster'!$AK:$AK))</f>
        <v>0</v>
      </c>
      <c r="AO287" s="17">
        <f ca="1">IF($A287=0,0,SUMIF('Week 2 Roster'!$AZ:$AZ,$B287,'Week 2 Roster'!$AM:$AM))</f>
        <v>0</v>
      </c>
      <c r="AP287" s="17">
        <f ca="1">IF($A287=0,0,SUMIF('Week 2 Roster'!$AZ:$AZ,$B287,'Week 2 Roster'!$AO:$AO))</f>
        <v>0</v>
      </c>
      <c r="AQ287" s="38">
        <f ca="1">IF($A287=0,0,SUMIF('Week 2 Roster'!$AZ:$AZ,$B287,'Week 2 Roster'!$AP:$AP))</f>
        <v>0</v>
      </c>
      <c r="AR287" s="17">
        <f ca="1">IF($A287=0,0,SUMIF('Week 2 Roster'!$AZ:$AZ,$B287,'Week 2 Roster'!$AQ:$AQ))</f>
        <v>0</v>
      </c>
      <c r="AS287" s="17">
        <f ca="1">IF($A287=0,0,SUMIF('Week 2 Roster'!$AZ:$AZ,$B287,'Week 2 Roster'!$AR:$AR))</f>
        <v>0</v>
      </c>
      <c r="AT287" s="17">
        <f ca="1">IF($A287=0,0,SUMIF('Week 2 Roster'!$AZ:$AZ,$B287,'Week 2 Roster'!$AS:$AS))</f>
        <v>0</v>
      </c>
      <c r="AU287" s="17">
        <f t="shared" ca="1" si="98"/>
        <v>0</v>
      </c>
    </row>
    <row r="288" spans="1:47">
      <c r="A288" s="16" cm="1">
        <f t="array" aca="1" ref="A288" ca="1">_xlfn.NUMBERVALUE(INDIRECT(TEXT(MIN(IF(($AW$2:$AX$300&lt;&gt;"")*(COUNTIF($B$1:B287,$AW$2:$AX$300)=0),ROW($2:$300)*100+COLUMN($AW:$AX),7^8)),"R0C00"),)&amp;"")</f>
        <v>0</v>
      </c>
      <c r="B288" s="28" t="str">
        <f t="shared" ca="1" si="84"/>
        <v/>
      </c>
      <c r="C288" s="28" t="str">
        <f ca="1">IF($A288=0,"",VLOOKUP($B288,Employees!$A:$G,2,FALSE))</f>
        <v/>
      </c>
      <c r="D288" s="28" t="str">
        <f ca="1">IF($A288=0,"",VLOOKUP($B288,Employees!$A:$G,3,FALSE))</f>
        <v/>
      </c>
      <c r="E288" s="26" t="str">
        <f ca="1">IF($A288=0,"",VLOOKUP($B288,Employees!$A:$G,5,FALSE))</f>
        <v/>
      </c>
      <c r="F288" s="13" t="str">
        <f ca="1">IF($E288="","",ROUNDDOWN(YEARFRAC($E288, 'Week 1 Roster'!$D$1-1, 1), 0))</f>
        <v/>
      </c>
      <c r="G288" s="13" t="str">
        <f ca="1">IF($E288="","",ROUNDDOWN(YEARFRAC($E288, 'Week 1 Roster'!$D$1+14, 1), 0))</f>
        <v/>
      </c>
      <c r="H288" s="13" t="str">
        <f t="shared" ca="1" si="85"/>
        <v/>
      </c>
      <c r="I288" s="13" t="str">
        <f ca="1">IF($A288=0,"",VLOOKUP($B288,Employees!$A:$G,6,FALSE))</f>
        <v/>
      </c>
      <c r="J288" s="13" t="str">
        <f ca="1">IF($A288=0,"",VLOOKUP($B288,Employees!$A:$G,7,FALSE))</f>
        <v/>
      </c>
      <c r="K288" s="13" t="str">
        <f ca="1">IF($A288=0,"",IF(ISNA(VLOOKUP(A288,'Week 1 Roster'!A:C,2,0)),VLOOKUP(A288,'Week 2 Roster'!A:C,2,0),VLOOKUP(A288,'Week 1 Roster'!A:C,2,0)))</f>
        <v/>
      </c>
      <c r="L288" s="13" t="str">
        <f ca="1">IF($A288=0,"",VLOOKUP(K288,Stores!A:B,2,0))</f>
        <v/>
      </c>
      <c r="M288" s="14">
        <f t="shared" ca="1" si="86"/>
        <v>0</v>
      </c>
      <c r="N288" s="14">
        <f t="shared" ca="1" si="87"/>
        <v>0</v>
      </c>
      <c r="O288" s="14">
        <f t="shared" ca="1" si="88"/>
        <v>0</v>
      </c>
      <c r="P288" s="14">
        <f t="shared" ca="1" si="89"/>
        <v>0</v>
      </c>
      <c r="Q288" s="14">
        <f t="shared" ca="1" si="90"/>
        <v>0</v>
      </c>
      <c r="R288" s="14">
        <f t="shared" ca="1" si="91"/>
        <v>0</v>
      </c>
      <c r="S288" s="28">
        <f t="shared" ca="1" si="92"/>
        <v>0</v>
      </c>
      <c r="T288" s="14">
        <f t="shared" ca="1" si="93"/>
        <v>0</v>
      </c>
      <c r="U288" s="14">
        <f t="shared" ca="1" si="94"/>
        <v>0</v>
      </c>
      <c r="V288" s="14">
        <f t="shared" ca="1" si="95"/>
        <v>0</v>
      </c>
      <c r="W288" s="14">
        <f t="shared" ca="1" si="96"/>
        <v>0</v>
      </c>
      <c r="Y288" s="17">
        <f ca="1">IF($A288=0,0,SUMIF('Week 1 Roster'!$AZ:$AZ,$B288,'Week 1 Roster'!$AE:$AE))</f>
        <v>0</v>
      </c>
      <c r="Z288" s="17">
        <f ca="1">IF($A288=0,0,SUMIF('Week 1 Roster'!$AZ:$AZ,$B288,'Week 1 Roster'!$AG:$AG))</f>
        <v>0</v>
      </c>
      <c r="AA288" s="17">
        <f ca="1">IF($A288=0,0,SUMIF('Week 1 Roster'!$AZ:$AZ,$B288,'Week 1 Roster'!$AI:$AI))</f>
        <v>0</v>
      </c>
      <c r="AB288" s="17">
        <f ca="1">IF($A288=0,0,SUMIF('Week 1 Roster'!$AZ:$AZ,$B288,'Week 1 Roster'!$AK:$AK))</f>
        <v>0</v>
      </c>
      <c r="AC288" s="17">
        <f ca="1">IF($A288=0,0,SUMIF('Week 1 Roster'!$AZ:$AZ,$B288,'Week 1 Roster'!$AM:$AM))</f>
        <v>0</v>
      </c>
      <c r="AD288" s="17">
        <f ca="1">IF($A288=0,0,SUMIF('Week 1 Roster'!$AZ:$AZ,$B288,'Week 1 Roster'!$AO:$AO))</f>
        <v>0</v>
      </c>
      <c r="AE288" s="38">
        <f ca="1">IF($A288=0,0,SUMIF('Week 1 Roster'!$AZ:$AZ,$B288,'Week 1 Roster'!$AP:$AP))</f>
        <v>0</v>
      </c>
      <c r="AF288" s="17">
        <f ca="1">IF($A288=0,0,SUMIF('Week 1 Roster'!$AZ:$AZ,$B288,'Week 1 Roster'!$AQ:$AQ))</f>
        <v>0</v>
      </c>
      <c r="AG288" s="17">
        <f ca="1">IF($A288=0,0,SUMIF('Week 1 Roster'!$AZ:$AZ,$B288,'Week 1 Roster'!$AR:$AR))</f>
        <v>0</v>
      </c>
      <c r="AH288" s="17">
        <f ca="1">IF($A288=0,0,SUMIF('Week 1 Roster'!$AZ:$AZ,$B288,'Week 1 Roster'!$AS:$AS))</f>
        <v>0</v>
      </c>
      <c r="AI288" s="17">
        <f t="shared" ca="1" si="97"/>
        <v>0</v>
      </c>
      <c r="AK288" s="17">
        <f ca="1">IF($A288=0,0,SUMIF('Week 2 Roster'!$AZ:$AZ,$B288,'Week 2 Roster'!$AE:$AE))</f>
        <v>0</v>
      </c>
      <c r="AL288" s="17">
        <f ca="1">IF($A288=0,0,SUMIF('Week 2 Roster'!$AZ:$AZ,$B288,'Week 2 Roster'!$AG:$AG))</f>
        <v>0</v>
      </c>
      <c r="AM288" s="17">
        <f ca="1">IF($A288=0,0,SUMIF('Week 2 Roster'!$AZ:$AZ,$B288,'Week 2 Roster'!$AI:$AI))</f>
        <v>0</v>
      </c>
      <c r="AN288" s="17">
        <f ca="1">IF($A288=0,0,SUMIF('Week 2 Roster'!$AZ:$AZ,$B288,'Week 2 Roster'!$AK:$AK))</f>
        <v>0</v>
      </c>
      <c r="AO288" s="17">
        <f ca="1">IF($A288=0,0,SUMIF('Week 2 Roster'!$AZ:$AZ,$B288,'Week 2 Roster'!$AM:$AM))</f>
        <v>0</v>
      </c>
      <c r="AP288" s="17">
        <f ca="1">IF($A288=0,0,SUMIF('Week 2 Roster'!$AZ:$AZ,$B288,'Week 2 Roster'!$AO:$AO))</f>
        <v>0</v>
      </c>
      <c r="AQ288" s="38">
        <f ca="1">IF($A288=0,0,SUMIF('Week 2 Roster'!$AZ:$AZ,$B288,'Week 2 Roster'!$AP:$AP))</f>
        <v>0</v>
      </c>
      <c r="AR288" s="17">
        <f ca="1">IF($A288=0,0,SUMIF('Week 2 Roster'!$AZ:$AZ,$B288,'Week 2 Roster'!$AQ:$AQ))</f>
        <v>0</v>
      </c>
      <c r="AS288" s="17">
        <f ca="1">IF($A288=0,0,SUMIF('Week 2 Roster'!$AZ:$AZ,$B288,'Week 2 Roster'!$AR:$AR))</f>
        <v>0</v>
      </c>
      <c r="AT288" s="17">
        <f ca="1">IF($A288=0,0,SUMIF('Week 2 Roster'!$AZ:$AZ,$B288,'Week 2 Roster'!$AS:$AS))</f>
        <v>0</v>
      </c>
      <c r="AU288" s="17">
        <f t="shared" ca="1" si="98"/>
        <v>0</v>
      </c>
    </row>
    <row r="289" spans="1:47">
      <c r="A289" s="16" cm="1">
        <f t="array" aca="1" ref="A289" ca="1">_xlfn.NUMBERVALUE(INDIRECT(TEXT(MIN(IF(($AW$2:$AX$300&lt;&gt;"")*(COUNTIF($B$1:B288,$AW$2:$AX$300)=0),ROW($2:$300)*100+COLUMN($AW:$AX),7^8)),"R0C00"),)&amp;"")</f>
        <v>0</v>
      </c>
      <c r="B289" s="28" t="str">
        <f t="shared" ca="1" si="84"/>
        <v/>
      </c>
      <c r="C289" s="28" t="str">
        <f ca="1">IF($A289=0,"",VLOOKUP($B289,Employees!$A:$G,2,FALSE))</f>
        <v/>
      </c>
      <c r="D289" s="28" t="str">
        <f ca="1">IF($A289=0,"",VLOOKUP($B289,Employees!$A:$G,3,FALSE))</f>
        <v/>
      </c>
      <c r="E289" s="26" t="str">
        <f ca="1">IF($A289=0,"",VLOOKUP($B289,Employees!$A:$G,5,FALSE))</f>
        <v/>
      </c>
      <c r="F289" s="13" t="str">
        <f ca="1">IF($E289="","",ROUNDDOWN(YEARFRAC($E289, 'Week 1 Roster'!$D$1-1, 1), 0))</f>
        <v/>
      </c>
      <c r="G289" s="13" t="str">
        <f ca="1">IF($E289="","",ROUNDDOWN(YEARFRAC($E289, 'Week 1 Roster'!$D$1+14, 1), 0))</f>
        <v/>
      </c>
      <c r="H289" s="13" t="str">
        <f t="shared" ca="1" si="85"/>
        <v/>
      </c>
      <c r="I289" s="13" t="str">
        <f ca="1">IF($A289=0,"",VLOOKUP($B289,Employees!$A:$G,6,FALSE))</f>
        <v/>
      </c>
      <c r="J289" s="13" t="str">
        <f ca="1">IF($A289=0,"",VLOOKUP($B289,Employees!$A:$G,7,FALSE))</f>
        <v/>
      </c>
      <c r="K289" s="13" t="str">
        <f ca="1">IF($A289=0,"",IF(ISNA(VLOOKUP(A289,'Week 1 Roster'!A:C,2,0)),VLOOKUP(A289,'Week 2 Roster'!A:C,2,0),VLOOKUP(A289,'Week 1 Roster'!A:C,2,0)))</f>
        <v/>
      </c>
      <c r="L289" s="13" t="str">
        <f ca="1">IF($A289=0,"",VLOOKUP(K289,Stores!A:B,2,0))</f>
        <v/>
      </c>
      <c r="M289" s="14">
        <f t="shared" ca="1" si="86"/>
        <v>0</v>
      </c>
      <c r="N289" s="14">
        <f t="shared" ca="1" si="87"/>
        <v>0</v>
      </c>
      <c r="O289" s="14">
        <f t="shared" ca="1" si="88"/>
        <v>0</v>
      </c>
      <c r="P289" s="14">
        <f t="shared" ca="1" si="89"/>
        <v>0</v>
      </c>
      <c r="Q289" s="14">
        <f t="shared" ca="1" si="90"/>
        <v>0</v>
      </c>
      <c r="R289" s="14">
        <f t="shared" ca="1" si="91"/>
        <v>0</v>
      </c>
      <c r="S289" s="28">
        <f t="shared" ca="1" si="92"/>
        <v>0</v>
      </c>
      <c r="T289" s="14">
        <f t="shared" ca="1" si="93"/>
        <v>0</v>
      </c>
      <c r="U289" s="14">
        <f t="shared" ca="1" si="94"/>
        <v>0</v>
      </c>
      <c r="V289" s="14">
        <f t="shared" ca="1" si="95"/>
        <v>0</v>
      </c>
      <c r="W289" s="14">
        <f t="shared" ca="1" si="96"/>
        <v>0</v>
      </c>
      <c r="Y289" s="17">
        <f ca="1">IF($A289=0,0,SUMIF('Week 1 Roster'!$AZ:$AZ,$B289,'Week 1 Roster'!$AE:$AE))</f>
        <v>0</v>
      </c>
      <c r="Z289" s="17">
        <f ca="1">IF($A289=0,0,SUMIF('Week 1 Roster'!$AZ:$AZ,$B289,'Week 1 Roster'!$AG:$AG))</f>
        <v>0</v>
      </c>
      <c r="AA289" s="17">
        <f ca="1">IF($A289=0,0,SUMIF('Week 1 Roster'!$AZ:$AZ,$B289,'Week 1 Roster'!$AI:$AI))</f>
        <v>0</v>
      </c>
      <c r="AB289" s="17">
        <f ca="1">IF($A289=0,0,SUMIF('Week 1 Roster'!$AZ:$AZ,$B289,'Week 1 Roster'!$AK:$AK))</f>
        <v>0</v>
      </c>
      <c r="AC289" s="17">
        <f ca="1">IF($A289=0,0,SUMIF('Week 1 Roster'!$AZ:$AZ,$B289,'Week 1 Roster'!$AM:$AM))</f>
        <v>0</v>
      </c>
      <c r="AD289" s="17">
        <f ca="1">IF($A289=0,0,SUMIF('Week 1 Roster'!$AZ:$AZ,$B289,'Week 1 Roster'!$AO:$AO))</f>
        <v>0</v>
      </c>
      <c r="AE289" s="38">
        <f ca="1">IF($A289=0,0,SUMIF('Week 1 Roster'!$AZ:$AZ,$B289,'Week 1 Roster'!$AP:$AP))</f>
        <v>0</v>
      </c>
      <c r="AF289" s="17">
        <f ca="1">IF($A289=0,0,SUMIF('Week 1 Roster'!$AZ:$AZ,$B289,'Week 1 Roster'!$AQ:$AQ))</f>
        <v>0</v>
      </c>
      <c r="AG289" s="17">
        <f ca="1">IF($A289=0,0,SUMIF('Week 1 Roster'!$AZ:$AZ,$B289,'Week 1 Roster'!$AR:$AR))</f>
        <v>0</v>
      </c>
      <c r="AH289" s="17">
        <f ca="1">IF($A289=0,0,SUMIF('Week 1 Roster'!$AZ:$AZ,$B289,'Week 1 Roster'!$AS:$AS))</f>
        <v>0</v>
      </c>
      <c r="AI289" s="17">
        <f t="shared" ca="1" si="97"/>
        <v>0</v>
      </c>
      <c r="AK289" s="17">
        <f ca="1">IF($A289=0,0,SUMIF('Week 2 Roster'!$AZ:$AZ,$B289,'Week 2 Roster'!$AE:$AE))</f>
        <v>0</v>
      </c>
      <c r="AL289" s="17">
        <f ca="1">IF($A289=0,0,SUMIF('Week 2 Roster'!$AZ:$AZ,$B289,'Week 2 Roster'!$AG:$AG))</f>
        <v>0</v>
      </c>
      <c r="AM289" s="17">
        <f ca="1">IF($A289=0,0,SUMIF('Week 2 Roster'!$AZ:$AZ,$B289,'Week 2 Roster'!$AI:$AI))</f>
        <v>0</v>
      </c>
      <c r="AN289" s="17">
        <f ca="1">IF($A289=0,0,SUMIF('Week 2 Roster'!$AZ:$AZ,$B289,'Week 2 Roster'!$AK:$AK))</f>
        <v>0</v>
      </c>
      <c r="AO289" s="17">
        <f ca="1">IF($A289=0,0,SUMIF('Week 2 Roster'!$AZ:$AZ,$B289,'Week 2 Roster'!$AM:$AM))</f>
        <v>0</v>
      </c>
      <c r="AP289" s="17">
        <f ca="1">IF($A289=0,0,SUMIF('Week 2 Roster'!$AZ:$AZ,$B289,'Week 2 Roster'!$AO:$AO))</f>
        <v>0</v>
      </c>
      <c r="AQ289" s="38">
        <f ca="1">IF($A289=0,0,SUMIF('Week 2 Roster'!$AZ:$AZ,$B289,'Week 2 Roster'!$AP:$AP))</f>
        <v>0</v>
      </c>
      <c r="AR289" s="17">
        <f ca="1">IF($A289=0,0,SUMIF('Week 2 Roster'!$AZ:$AZ,$B289,'Week 2 Roster'!$AQ:$AQ))</f>
        <v>0</v>
      </c>
      <c r="AS289" s="17">
        <f ca="1">IF($A289=0,0,SUMIF('Week 2 Roster'!$AZ:$AZ,$B289,'Week 2 Roster'!$AR:$AR))</f>
        <v>0</v>
      </c>
      <c r="AT289" s="17">
        <f ca="1">IF($A289=0,0,SUMIF('Week 2 Roster'!$AZ:$AZ,$B289,'Week 2 Roster'!$AS:$AS))</f>
        <v>0</v>
      </c>
      <c r="AU289" s="17">
        <f t="shared" ca="1" si="98"/>
        <v>0</v>
      </c>
    </row>
    <row r="290" spans="1:47">
      <c r="A290" s="16" cm="1">
        <f t="array" aca="1" ref="A290" ca="1">_xlfn.NUMBERVALUE(INDIRECT(TEXT(MIN(IF(($AW$2:$AX$300&lt;&gt;"")*(COUNTIF($B$1:B289,$AW$2:$AX$300)=0),ROW($2:$300)*100+COLUMN($AW:$AX),7^8)),"R0C00"),)&amp;"")</f>
        <v>0</v>
      </c>
      <c r="B290" s="28" t="str">
        <f t="shared" ca="1" si="84"/>
        <v/>
      </c>
      <c r="C290" s="28" t="str">
        <f ca="1">IF($A290=0,"",VLOOKUP($B290,Employees!$A:$G,2,FALSE))</f>
        <v/>
      </c>
      <c r="D290" s="28" t="str">
        <f ca="1">IF($A290=0,"",VLOOKUP($B290,Employees!$A:$G,3,FALSE))</f>
        <v/>
      </c>
      <c r="E290" s="26" t="str">
        <f ca="1">IF($A290=0,"",VLOOKUP($B290,Employees!$A:$G,5,FALSE))</f>
        <v/>
      </c>
      <c r="F290" s="13" t="str">
        <f ca="1">IF($E290="","",ROUNDDOWN(YEARFRAC($E290, 'Week 1 Roster'!$D$1-1, 1), 0))</f>
        <v/>
      </c>
      <c r="G290" s="13" t="str">
        <f ca="1">IF($E290="","",ROUNDDOWN(YEARFRAC($E290, 'Week 1 Roster'!$D$1+14, 1), 0))</f>
        <v/>
      </c>
      <c r="H290" s="13" t="str">
        <f t="shared" ca="1" si="85"/>
        <v/>
      </c>
      <c r="I290" s="13" t="str">
        <f ca="1">IF($A290=0,"",VLOOKUP($B290,Employees!$A:$G,6,FALSE))</f>
        <v/>
      </c>
      <c r="J290" s="13" t="str">
        <f ca="1">IF($A290=0,"",VLOOKUP($B290,Employees!$A:$G,7,FALSE))</f>
        <v/>
      </c>
      <c r="K290" s="13" t="str">
        <f ca="1">IF($A290=0,"",IF(ISNA(VLOOKUP(A290,'Week 1 Roster'!A:C,2,0)),VLOOKUP(A290,'Week 2 Roster'!A:C,2,0),VLOOKUP(A290,'Week 1 Roster'!A:C,2,0)))</f>
        <v/>
      </c>
      <c r="L290" s="13" t="str">
        <f ca="1">IF($A290=0,"",VLOOKUP(K290,Stores!A:B,2,0))</f>
        <v/>
      </c>
      <c r="M290" s="14">
        <f t="shared" ca="1" si="86"/>
        <v>0</v>
      </c>
      <c r="N290" s="14">
        <f t="shared" ca="1" si="87"/>
        <v>0</v>
      </c>
      <c r="O290" s="14">
        <f t="shared" ca="1" si="88"/>
        <v>0</v>
      </c>
      <c r="P290" s="14">
        <f t="shared" ca="1" si="89"/>
        <v>0</v>
      </c>
      <c r="Q290" s="14">
        <f t="shared" ca="1" si="90"/>
        <v>0</v>
      </c>
      <c r="R290" s="14">
        <f t="shared" ca="1" si="91"/>
        <v>0</v>
      </c>
      <c r="S290" s="28">
        <f t="shared" ca="1" si="92"/>
        <v>0</v>
      </c>
      <c r="T290" s="14">
        <f t="shared" ca="1" si="93"/>
        <v>0</v>
      </c>
      <c r="U290" s="14">
        <f t="shared" ca="1" si="94"/>
        <v>0</v>
      </c>
      <c r="V290" s="14">
        <f t="shared" ca="1" si="95"/>
        <v>0</v>
      </c>
      <c r="W290" s="14">
        <f t="shared" ca="1" si="96"/>
        <v>0</v>
      </c>
      <c r="Y290" s="17">
        <f ca="1">IF($A290=0,0,SUMIF('Week 1 Roster'!$AZ:$AZ,$B290,'Week 1 Roster'!$AE:$AE))</f>
        <v>0</v>
      </c>
      <c r="Z290" s="17">
        <f ca="1">IF($A290=0,0,SUMIF('Week 1 Roster'!$AZ:$AZ,$B290,'Week 1 Roster'!$AG:$AG))</f>
        <v>0</v>
      </c>
      <c r="AA290" s="17">
        <f ca="1">IF($A290=0,0,SUMIF('Week 1 Roster'!$AZ:$AZ,$B290,'Week 1 Roster'!$AI:$AI))</f>
        <v>0</v>
      </c>
      <c r="AB290" s="17">
        <f ca="1">IF($A290=0,0,SUMIF('Week 1 Roster'!$AZ:$AZ,$B290,'Week 1 Roster'!$AK:$AK))</f>
        <v>0</v>
      </c>
      <c r="AC290" s="17">
        <f ca="1">IF($A290=0,0,SUMIF('Week 1 Roster'!$AZ:$AZ,$B290,'Week 1 Roster'!$AM:$AM))</f>
        <v>0</v>
      </c>
      <c r="AD290" s="17">
        <f ca="1">IF($A290=0,0,SUMIF('Week 1 Roster'!$AZ:$AZ,$B290,'Week 1 Roster'!$AO:$AO))</f>
        <v>0</v>
      </c>
      <c r="AE290" s="38">
        <f ca="1">IF($A290=0,0,SUMIF('Week 1 Roster'!$AZ:$AZ,$B290,'Week 1 Roster'!$AP:$AP))</f>
        <v>0</v>
      </c>
      <c r="AF290" s="17">
        <f ca="1">IF($A290=0,0,SUMIF('Week 1 Roster'!$AZ:$AZ,$B290,'Week 1 Roster'!$AQ:$AQ))</f>
        <v>0</v>
      </c>
      <c r="AG290" s="17">
        <f ca="1">IF($A290=0,0,SUMIF('Week 1 Roster'!$AZ:$AZ,$B290,'Week 1 Roster'!$AR:$AR))</f>
        <v>0</v>
      </c>
      <c r="AH290" s="17">
        <f ca="1">IF($A290=0,0,SUMIF('Week 1 Roster'!$AZ:$AZ,$B290,'Week 1 Roster'!$AS:$AS))</f>
        <v>0</v>
      </c>
      <c r="AI290" s="17">
        <f t="shared" ca="1" si="97"/>
        <v>0</v>
      </c>
      <c r="AK290" s="17">
        <f ca="1">IF($A290=0,0,SUMIF('Week 2 Roster'!$AZ:$AZ,$B290,'Week 2 Roster'!$AE:$AE))</f>
        <v>0</v>
      </c>
      <c r="AL290" s="17">
        <f ca="1">IF($A290=0,0,SUMIF('Week 2 Roster'!$AZ:$AZ,$B290,'Week 2 Roster'!$AG:$AG))</f>
        <v>0</v>
      </c>
      <c r="AM290" s="17">
        <f ca="1">IF($A290=0,0,SUMIF('Week 2 Roster'!$AZ:$AZ,$B290,'Week 2 Roster'!$AI:$AI))</f>
        <v>0</v>
      </c>
      <c r="AN290" s="17">
        <f ca="1">IF($A290=0,0,SUMIF('Week 2 Roster'!$AZ:$AZ,$B290,'Week 2 Roster'!$AK:$AK))</f>
        <v>0</v>
      </c>
      <c r="AO290" s="17">
        <f ca="1">IF($A290=0,0,SUMIF('Week 2 Roster'!$AZ:$AZ,$B290,'Week 2 Roster'!$AM:$AM))</f>
        <v>0</v>
      </c>
      <c r="AP290" s="17">
        <f ca="1">IF($A290=0,0,SUMIF('Week 2 Roster'!$AZ:$AZ,$B290,'Week 2 Roster'!$AO:$AO))</f>
        <v>0</v>
      </c>
      <c r="AQ290" s="38">
        <f ca="1">IF($A290=0,0,SUMIF('Week 2 Roster'!$AZ:$AZ,$B290,'Week 2 Roster'!$AP:$AP))</f>
        <v>0</v>
      </c>
      <c r="AR290" s="17">
        <f ca="1">IF($A290=0,0,SUMIF('Week 2 Roster'!$AZ:$AZ,$B290,'Week 2 Roster'!$AQ:$AQ))</f>
        <v>0</v>
      </c>
      <c r="AS290" s="17">
        <f ca="1">IF($A290=0,0,SUMIF('Week 2 Roster'!$AZ:$AZ,$B290,'Week 2 Roster'!$AR:$AR))</f>
        <v>0</v>
      </c>
      <c r="AT290" s="17">
        <f ca="1">IF($A290=0,0,SUMIF('Week 2 Roster'!$AZ:$AZ,$B290,'Week 2 Roster'!$AS:$AS))</f>
        <v>0</v>
      </c>
      <c r="AU290" s="17">
        <f t="shared" ca="1" si="98"/>
        <v>0</v>
      </c>
    </row>
    <row r="291" spans="1:47">
      <c r="A291" s="16" cm="1">
        <f t="array" aca="1" ref="A291" ca="1">_xlfn.NUMBERVALUE(INDIRECT(TEXT(MIN(IF(($AW$2:$AX$300&lt;&gt;"")*(COUNTIF($B$1:B290,$AW$2:$AX$300)=0),ROW($2:$300)*100+COLUMN($AW:$AX),7^8)),"R0C00"),)&amp;"")</f>
        <v>0</v>
      </c>
      <c r="B291" s="28" t="str">
        <f t="shared" ca="1" si="84"/>
        <v/>
      </c>
      <c r="C291" s="28" t="str">
        <f ca="1">IF($A291=0,"",VLOOKUP($B291,Employees!$A:$G,2,FALSE))</f>
        <v/>
      </c>
      <c r="D291" s="28" t="str">
        <f ca="1">IF($A291=0,"",VLOOKUP($B291,Employees!$A:$G,3,FALSE))</f>
        <v/>
      </c>
      <c r="E291" s="26" t="str">
        <f ca="1">IF($A291=0,"",VLOOKUP($B291,Employees!$A:$G,5,FALSE))</f>
        <v/>
      </c>
      <c r="F291" s="13" t="str">
        <f ca="1">IF($E291="","",ROUNDDOWN(YEARFRAC($E291, 'Week 1 Roster'!$D$1-1, 1), 0))</f>
        <v/>
      </c>
      <c r="G291" s="13" t="str">
        <f ca="1">IF($E291="","",ROUNDDOWN(YEARFRAC($E291, 'Week 1 Roster'!$D$1+14, 1), 0))</f>
        <v/>
      </c>
      <c r="H291" s="13" t="str">
        <f t="shared" ca="1" si="85"/>
        <v/>
      </c>
      <c r="I291" s="13" t="str">
        <f ca="1">IF($A291=0,"",VLOOKUP($B291,Employees!$A:$G,6,FALSE))</f>
        <v/>
      </c>
      <c r="J291" s="13" t="str">
        <f ca="1">IF($A291=0,"",VLOOKUP($B291,Employees!$A:$G,7,FALSE))</f>
        <v/>
      </c>
      <c r="K291" s="13" t="str">
        <f ca="1">IF($A291=0,"",IF(ISNA(VLOOKUP(A291,'Week 1 Roster'!A:C,2,0)),VLOOKUP(A291,'Week 2 Roster'!A:C,2,0),VLOOKUP(A291,'Week 1 Roster'!A:C,2,0)))</f>
        <v/>
      </c>
      <c r="L291" s="13" t="str">
        <f ca="1">IF($A291=0,"",VLOOKUP(K291,Stores!A:B,2,0))</f>
        <v/>
      </c>
      <c r="M291" s="14">
        <f t="shared" ca="1" si="86"/>
        <v>0</v>
      </c>
      <c r="N291" s="14">
        <f t="shared" ca="1" si="87"/>
        <v>0</v>
      </c>
      <c r="O291" s="14">
        <f t="shared" ca="1" si="88"/>
        <v>0</v>
      </c>
      <c r="P291" s="14">
        <f t="shared" ca="1" si="89"/>
        <v>0</v>
      </c>
      <c r="Q291" s="14">
        <f t="shared" ca="1" si="90"/>
        <v>0</v>
      </c>
      <c r="R291" s="14">
        <f t="shared" ca="1" si="91"/>
        <v>0</v>
      </c>
      <c r="S291" s="28">
        <f t="shared" ca="1" si="92"/>
        <v>0</v>
      </c>
      <c r="T291" s="14">
        <f t="shared" ca="1" si="93"/>
        <v>0</v>
      </c>
      <c r="U291" s="14">
        <f t="shared" ca="1" si="94"/>
        <v>0</v>
      </c>
      <c r="V291" s="14">
        <f t="shared" ca="1" si="95"/>
        <v>0</v>
      </c>
      <c r="W291" s="14">
        <f t="shared" ca="1" si="96"/>
        <v>0</v>
      </c>
      <c r="Y291" s="17">
        <f ca="1">IF($A291=0,0,SUMIF('Week 1 Roster'!$AZ:$AZ,$B291,'Week 1 Roster'!$AE:$AE))</f>
        <v>0</v>
      </c>
      <c r="Z291" s="17">
        <f ca="1">IF($A291=0,0,SUMIF('Week 1 Roster'!$AZ:$AZ,$B291,'Week 1 Roster'!$AG:$AG))</f>
        <v>0</v>
      </c>
      <c r="AA291" s="17">
        <f ca="1">IF($A291=0,0,SUMIF('Week 1 Roster'!$AZ:$AZ,$B291,'Week 1 Roster'!$AI:$AI))</f>
        <v>0</v>
      </c>
      <c r="AB291" s="17">
        <f ca="1">IF($A291=0,0,SUMIF('Week 1 Roster'!$AZ:$AZ,$B291,'Week 1 Roster'!$AK:$AK))</f>
        <v>0</v>
      </c>
      <c r="AC291" s="17">
        <f ca="1">IF($A291=0,0,SUMIF('Week 1 Roster'!$AZ:$AZ,$B291,'Week 1 Roster'!$AM:$AM))</f>
        <v>0</v>
      </c>
      <c r="AD291" s="17">
        <f ca="1">IF($A291=0,0,SUMIF('Week 1 Roster'!$AZ:$AZ,$B291,'Week 1 Roster'!$AO:$AO))</f>
        <v>0</v>
      </c>
      <c r="AE291" s="38">
        <f ca="1">IF($A291=0,0,SUMIF('Week 1 Roster'!$AZ:$AZ,$B291,'Week 1 Roster'!$AP:$AP))</f>
        <v>0</v>
      </c>
      <c r="AF291" s="17">
        <f ca="1">IF($A291=0,0,SUMIF('Week 1 Roster'!$AZ:$AZ,$B291,'Week 1 Roster'!$AQ:$AQ))</f>
        <v>0</v>
      </c>
      <c r="AG291" s="17">
        <f ca="1">IF($A291=0,0,SUMIF('Week 1 Roster'!$AZ:$AZ,$B291,'Week 1 Roster'!$AR:$AR))</f>
        <v>0</v>
      </c>
      <c r="AH291" s="17">
        <f ca="1">IF($A291=0,0,SUMIF('Week 1 Roster'!$AZ:$AZ,$B291,'Week 1 Roster'!$AS:$AS))</f>
        <v>0</v>
      </c>
      <c r="AI291" s="17">
        <f t="shared" ca="1" si="97"/>
        <v>0</v>
      </c>
      <c r="AK291" s="17">
        <f ca="1">IF($A291=0,0,SUMIF('Week 2 Roster'!$AZ:$AZ,$B291,'Week 2 Roster'!$AE:$AE))</f>
        <v>0</v>
      </c>
      <c r="AL291" s="17">
        <f ca="1">IF($A291=0,0,SUMIF('Week 2 Roster'!$AZ:$AZ,$B291,'Week 2 Roster'!$AG:$AG))</f>
        <v>0</v>
      </c>
      <c r="AM291" s="17">
        <f ca="1">IF($A291=0,0,SUMIF('Week 2 Roster'!$AZ:$AZ,$B291,'Week 2 Roster'!$AI:$AI))</f>
        <v>0</v>
      </c>
      <c r="AN291" s="17">
        <f ca="1">IF($A291=0,0,SUMIF('Week 2 Roster'!$AZ:$AZ,$B291,'Week 2 Roster'!$AK:$AK))</f>
        <v>0</v>
      </c>
      <c r="AO291" s="17">
        <f ca="1">IF($A291=0,0,SUMIF('Week 2 Roster'!$AZ:$AZ,$B291,'Week 2 Roster'!$AM:$AM))</f>
        <v>0</v>
      </c>
      <c r="AP291" s="17">
        <f ca="1">IF($A291=0,0,SUMIF('Week 2 Roster'!$AZ:$AZ,$B291,'Week 2 Roster'!$AO:$AO))</f>
        <v>0</v>
      </c>
      <c r="AQ291" s="38">
        <f ca="1">IF($A291=0,0,SUMIF('Week 2 Roster'!$AZ:$AZ,$B291,'Week 2 Roster'!$AP:$AP))</f>
        <v>0</v>
      </c>
      <c r="AR291" s="17">
        <f ca="1">IF($A291=0,0,SUMIF('Week 2 Roster'!$AZ:$AZ,$B291,'Week 2 Roster'!$AQ:$AQ))</f>
        <v>0</v>
      </c>
      <c r="AS291" s="17">
        <f ca="1">IF($A291=0,0,SUMIF('Week 2 Roster'!$AZ:$AZ,$B291,'Week 2 Roster'!$AR:$AR))</f>
        <v>0</v>
      </c>
      <c r="AT291" s="17">
        <f ca="1">IF($A291=0,0,SUMIF('Week 2 Roster'!$AZ:$AZ,$B291,'Week 2 Roster'!$AS:$AS))</f>
        <v>0</v>
      </c>
      <c r="AU291" s="17">
        <f t="shared" ca="1" si="98"/>
        <v>0</v>
      </c>
    </row>
    <row r="292" spans="1:47">
      <c r="A292" s="16" cm="1">
        <f t="array" aca="1" ref="A292" ca="1">_xlfn.NUMBERVALUE(INDIRECT(TEXT(MIN(IF(($AW$2:$AX$300&lt;&gt;"")*(COUNTIF($B$1:B291,$AW$2:$AX$300)=0),ROW($2:$300)*100+COLUMN($AW:$AX),7^8)),"R0C00"),)&amp;"")</f>
        <v>0</v>
      </c>
      <c r="B292" s="28" t="str">
        <f t="shared" ca="1" si="84"/>
        <v/>
      </c>
      <c r="C292" s="28" t="str">
        <f ca="1">IF($A292=0,"",VLOOKUP($B292,Employees!$A:$G,2,FALSE))</f>
        <v/>
      </c>
      <c r="D292" s="28" t="str">
        <f ca="1">IF($A292=0,"",VLOOKUP($B292,Employees!$A:$G,3,FALSE))</f>
        <v/>
      </c>
      <c r="E292" s="26" t="str">
        <f ca="1">IF($A292=0,"",VLOOKUP($B292,Employees!$A:$G,5,FALSE))</f>
        <v/>
      </c>
      <c r="F292" s="13" t="str">
        <f ca="1">IF($E292="","",ROUNDDOWN(YEARFRAC($E292, 'Week 1 Roster'!$D$1-1, 1), 0))</f>
        <v/>
      </c>
      <c r="G292" s="13" t="str">
        <f ca="1">IF($E292="","",ROUNDDOWN(YEARFRAC($E292, 'Week 1 Roster'!$D$1+14, 1), 0))</f>
        <v/>
      </c>
      <c r="H292" s="13" t="str">
        <f t="shared" ca="1" si="85"/>
        <v/>
      </c>
      <c r="I292" s="13" t="str">
        <f ca="1">IF($A292=0,"",VLOOKUP($B292,Employees!$A:$G,6,FALSE))</f>
        <v/>
      </c>
      <c r="J292" s="13" t="str">
        <f ca="1">IF($A292=0,"",VLOOKUP($B292,Employees!$A:$G,7,FALSE))</f>
        <v/>
      </c>
      <c r="K292" s="13" t="str">
        <f ca="1">IF($A292=0,"",IF(ISNA(VLOOKUP(A292,'Week 1 Roster'!A:C,2,0)),VLOOKUP(A292,'Week 2 Roster'!A:C,2,0),VLOOKUP(A292,'Week 1 Roster'!A:C,2,0)))</f>
        <v/>
      </c>
      <c r="L292" s="13" t="str">
        <f ca="1">IF($A292=0,"",VLOOKUP(K292,Stores!A:B,2,0))</f>
        <v/>
      </c>
      <c r="M292" s="14">
        <f t="shared" ca="1" si="86"/>
        <v>0</v>
      </c>
      <c r="N292" s="14">
        <f t="shared" ca="1" si="87"/>
        <v>0</v>
      </c>
      <c r="O292" s="14">
        <f t="shared" ca="1" si="88"/>
        <v>0</v>
      </c>
      <c r="P292" s="14">
        <f t="shared" ca="1" si="89"/>
        <v>0</v>
      </c>
      <c r="Q292" s="14">
        <f t="shared" ca="1" si="90"/>
        <v>0</v>
      </c>
      <c r="R292" s="14">
        <f t="shared" ca="1" si="91"/>
        <v>0</v>
      </c>
      <c r="S292" s="28">
        <f t="shared" ca="1" si="92"/>
        <v>0</v>
      </c>
      <c r="T292" s="14">
        <f t="shared" ca="1" si="93"/>
        <v>0</v>
      </c>
      <c r="U292" s="14">
        <f t="shared" ca="1" si="94"/>
        <v>0</v>
      </c>
      <c r="V292" s="14">
        <f t="shared" ca="1" si="95"/>
        <v>0</v>
      </c>
      <c r="W292" s="14">
        <f t="shared" ca="1" si="96"/>
        <v>0</v>
      </c>
      <c r="Y292" s="17">
        <f ca="1">IF($A292=0,0,SUMIF('Week 1 Roster'!$AZ:$AZ,$B292,'Week 1 Roster'!$AE:$AE))</f>
        <v>0</v>
      </c>
      <c r="Z292" s="17">
        <f ca="1">IF($A292=0,0,SUMIF('Week 1 Roster'!$AZ:$AZ,$B292,'Week 1 Roster'!$AG:$AG))</f>
        <v>0</v>
      </c>
      <c r="AA292" s="17">
        <f ca="1">IF($A292=0,0,SUMIF('Week 1 Roster'!$AZ:$AZ,$B292,'Week 1 Roster'!$AI:$AI))</f>
        <v>0</v>
      </c>
      <c r="AB292" s="17">
        <f ca="1">IF($A292=0,0,SUMIF('Week 1 Roster'!$AZ:$AZ,$B292,'Week 1 Roster'!$AK:$AK))</f>
        <v>0</v>
      </c>
      <c r="AC292" s="17">
        <f ca="1">IF($A292=0,0,SUMIF('Week 1 Roster'!$AZ:$AZ,$B292,'Week 1 Roster'!$AM:$AM))</f>
        <v>0</v>
      </c>
      <c r="AD292" s="17">
        <f ca="1">IF($A292=0,0,SUMIF('Week 1 Roster'!$AZ:$AZ,$B292,'Week 1 Roster'!$AO:$AO))</f>
        <v>0</v>
      </c>
      <c r="AE292" s="38">
        <f ca="1">IF($A292=0,0,SUMIF('Week 1 Roster'!$AZ:$AZ,$B292,'Week 1 Roster'!$AP:$AP))</f>
        <v>0</v>
      </c>
      <c r="AF292" s="17">
        <f ca="1">IF($A292=0,0,SUMIF('Week 1 Roster'!$AZ:$AZ,$B292,'Week 1 Roster'!$AQ:$AQ))</f>
        <v>0</v>
      </c>
      <c r="AG292" s="17">
        <f ca="1">IF($A292=0,0,SUMIF('Week 1 Roster'!$AZ:$AZ,$B292,'Week 1 Roster'!$AR:$AR))</f>
        <v>0</v>
      </c>
      <c r="AH292" s="17">
        <f ca="1">IF($A292=0,0,SUMIF('Week 1 Roster'!$AZ:$AZ,$B292,'Week 1 Roster'!$AS:$AS))</f>
        <v>0</v>
      </c>
      <c r="AI292" s="17">
        <f t="shared" ca="1" si="97"/>
        <v>0</v>
      </c>
      <c r="AK292" s="17">
        <f ca="1">IF($A292=0,0,SUMIF('Week 2 Roster'!$AZ:$AZ,$B292,'Week 2 Roster'!$AE:$AE))</f>
        <v>0</v>
      </c>
      <c r="AL292" s="17">
        <f ca="1">IF($A292=0,0,SUMIF('Week 2 Roster'!$AZ:$AZ,$B292,'Week 2 Roster'!$AG:$AG))</f>
        <v>0</v>
      </c>
      <c r="AM292" s="17">
        <f ca="1">IF($A292=0,0,SUMIF('Week 2 Roster'!$AZ:$AZ,$B292,'Week 2 Roster'!$AI:$AI))</f>
        <v>0</v>
      </c>
      <c r="AN292" s="17">
        <f ca="1">IF($A292=0,0,SUMIF('Week 2 Roster'!$AZ:$AZ,$B292,'Week 2 Roster'!$AK:$AK))</f>
        <v>0</v>
      </c>
      <c r="AO292" s="17">
        <f ca="1">IF($A292=0,0,SUMIF('Week 2 Roster'!$AZ:$AZ,$B292,'Week 2 Roster'!$AM:$AM))</f>
        <v>0</v>
      </c>
      <c r="AP292" s="17">
        <f ca="1">IF($A292=0,0,SUMIF('Week 2 Roster'!$AZ:$AZ,$B292,'Week 2 Roster'!$AO:$AO))</f>
        <v>0</v>
      </c>
      <c r="AQ292" s="38">
        <f ca="1">IF($A292=0,0,SUMIF('Week 2 Roster'!$AZ:$AZ,$B292,'Week 2 Roster'!$AP:$AP))</f>
        <v>0</v>
      </c>
      <c r="AR292" s="17">
        <f ca="1">IF($A292=0,0,SUMIF('Week 2 Roster'!$AZ:$AZ,$B292,'Week 2 Roster'!$AQ:$AQ))</f>
        <v>0</v>
      </c>
      <c r="AS292" s="17">
        <f ca="1">IF($A292=0,0,SUMIF('Week 2 Roster'!$AZ:$AZ,$B292,'Week 2 Roster'!$AR:$AR))</f>
        <v>0</v>
      </c>
      <c r="AT292" s="17">
        <f ca="1">IF($A292=0,0,SUMIF('Week 2 Roster'!$AZ:$AZ,$B292,'Week 2 Roster'!$AS:$AS))</f>
        <v>0</v>
      </c>
      <c r="AU292" s="17">
        <f t="shared" ca="1" si="98"/>
        <v>0</v>
      </c>
    </row>
    <row r="293" spans="1:47">
      <c r="A293" s="16" cm="1">
        <f t="array" aca="1" ref="A293" ca="1">_xlfn.NUMBERVALUE(INDIRECT(TEXT(MIN(IF(($AW$2:$AX$300&lt;&gt;"")*(COUNTIF($B$1:B292,$AW$2:$AX$300)=0),ROW($2:$300)*100+COLUMN($AW:$AX),7^8)),"R0C00"),)&amp;"")</f>
        <v>0</v>
      </c>
      <c r="B293" s="28" t="str">
        <f t="shared" ca="1" si="84"/>
        <v/>
      </c>
      <c r="C293" s="28" t="str">
        <f ca="1">IF($A293=0,"",VLOOKUP($B293,Employees!$A:$G,2,FALSE))</f>
        <v/>
      </c>
      <c r="D293" s="28" t="str">
        <f ca="1">IF($A293=0,"",VLOOKUP($B293,Employees!$A:$G,3,FALSE))</f>
        <v/>
      </c>
      <c r="E293" s="26" t="str">
        <f ca="1">IF($A293=0,"",VLOOKUP($B293,Employees!$A:$G,5,FALSE))</f>
        <v/>
      </c>
      <c r="F293" s="13" t="str">
        <f ca="1">IF($E293="","",ROUNDDOWN(YEARFRAC($E293, 'Week 1 Roster'!$D$1-1, 1), 0))</f>
        <v/>
      </c>
      <c r="G293" s="13" t="str">
        <f ca="1">IF($E293="","",ROUNDDOWN(YEARFRAC($E293, 'Week 1 Roster'!$D$1+14, 1), 0))</f>
        <v/>
      </c>
      <c r="H293" s="13" t="str">
        <f t="shared" ca="1" si="85"/>
        <v/>
      </c>
      <c r="I293" s="13" t="str">
        <f ca="1">IF($A293=0,"",VLOOKUP($B293,Employees!$A:$G,6,FALSE))</f>
        <v/>
      </c>
      <c r="J293" s="13" t="str">
        <f ca="1">IF($A293=0,"",VLOOKUP($B293,Employees!$A:$G,7,FALSE))</f>
        <v/>
      </c>
      <c r="K293" s="13" t="str">
        <f ca="1">IF($A293=0,"",IF(ISNA(VLOOKUP(A293,'Week 1 Roster'!A:C,2,0)),VLOOKUP(A293,'Week 2 Roster'!A:C,2,0),VLOOKUP(A293,'Week 1 Roster'!A:C,2,0)))</f>
        <v/>
      </c>
      <c r="L293" s="13" t="str">
        <f ca="1">IF($A293=0,"",VLOOKUP(K293,Stores!A:B,2,0))</f>
        <v/>
      </c>
      <c r="M293" s="14">
        <f t="shared" ca="1" si="86"/>
        <v>0</v>
      </c>
      <c r="N293" s="14">
        <f t="shared" ca="1" si="87"/>
        <v>0</v>
      </c>
      <c r="O293" s="14">
        <f t="shared" ca="1" si="88"/>
        <v>0</v>
      </c>
      <c r="P293" s="14">
        <f t="shared" ca="1" si="89"/>
        <v>0</v>
      </c>
      <c r="Q293" s="14">
        <f t="shared" ca="1" si="90"/>
        <v>0</v>
      </c>
      <c r="R293" s="14">
        <f t="shared" ca="1" si="91"/>
        <v>0</v>
      </c>
      <c r="S293" s="28">
        <f t="shared" ca="1" si="92"/>
        <v>0</v>
      </c>
      <c r="T293" s="14">
        <f t="shared" ca="1" si="93"/>
        <v>0</v>
      </c>
      <c r="U293" s="14">
        <f t="shared" ca="1" si="94"/>
        <v>0</v>
      </c>
      <c r="V293" s="14">
        <f t="shared" ca="1" si="95"/>
        <v>0</v>
      </c>
      <c r="W293" s="14">
        <f t="shared" ca="1" si="96"/>
        <v>0</v>
      </c>
      <c r="Y293" s="17">
        <f ca="1">IF($A293=0,0,SUMIF('Week 1 Roster'!$AZ:$AZ,$B293,'Week 1 Roster'!$AE:$AE))</f>
        <v>0</v>
      </c>
      <c r="Z293" s="17">
        <f ca="1">IF($A293=0,0,SUMIF('Week 1 Roster'!$AZ:$AZ,$B293,'Week 1 Roster'!$AG:$AG))</f>
        <v>0</v>
      </c>
      <c r="AA293" s="17">
        <f ca="1">IF($A293=0,0,SUMIF('Week 1 Roster'!$AZ:$AZ,$B293,'Week 1 Roster'!$AI:$AI))</f>
        <v>0</v>
      </c>
      <c r="AB293" s="17">
        <f ca="1">IF($A293=0,0,SUMIF('Week 1 Roster'!$AZ:$AZ,$B293,'Week 1 Roster'!$AK:$AK))</f>
        <v>0</v>
      </c>
      <c r="AC293" s="17">
        <f ca="1">IF($A293=0,0,SUMIF('Week 1 Roster'!$AZ:$AZ,$B293,'Week 1 Roster'!$AM:$AM))</f>
        <v>0</v>
      </c>
      <c r="AD293" s="17">
        <f ca="1">IF($A293=0,0,SUMIF('Week 1 Roster'!$AZ:$AZ,$B293,'Week 1 Roster'!$AO:$AO))</f>
        <v>0</v>
      </c>
      <c r="AE293" s="38">
        <f ca="1">IF($A293=0,0,SUMIF('Week 1 Roster'!$AZ:$AZ,$B293,'Week 1 Roster'!$AP:$AP))</f>
        <v>0</v>
      </c>
      <c r="AF293" s="17">
        <f ca="1">IF($A293=0,0,SUMIF('Week 1 Roster'!$AZ:$AZ,$B293,'Week 1 Roster'!$AQ:$AQ))</f>
        <v>0</v>
      </c>
      <c r="AG293" s="17">
        <f ca="1">IF($A293=0,0,SUMIF('Week 1 Roster'!$AZ:$AZ,$B293,'Week 1 Roster'!$AR:$AR))</f>
        <v>0</v>
      </c>
      <c r="AH293" s="17">
        <f ca="1">IF($A293=0,0,SUMIF('Week 1 Roster'!$AZ:$AZ,$B293,'Week 1 Roster'!$AS:$AS))</f>
        <v>0</v>
      </c>
      <c r="AI293" s="17">
        <f t="shared" ca="1" si="97"/>
        <v>0</v>
      </c>
      <c r="AK293" s="17">
        <f ca="1">IF($A293=0,0,SUMIF('Week 2 Roster'!$AZ:$AZ,$B293,'Week 2 Roster'!$AE:$AE))</f>
        <v>0</v>
      </c>
      <c r="AL293" s="17">
        <f ca="1">IF($A293=0,0,SUMIF('Week 2 Roster'!$AZ:$AZ,$B293,'Week 2 Roster'!$AG:$AG))</f>
        <v>0</v>
      </c>
      <c r="AM293" s="17">
        <f ca="1">IF($A293=0,0,SUMIF('Week 2 Roster'!$AZ:$AZ,$B293,'Week 2 Roster'!$AI:$AI))</f>
        <v>0</v>
      </c>
      <c r="AN293" s="17">
        <f ca="1">IF($A293=0,0,SUMIF('Week 2 Roster'!$AZ:$AZ,$B293,'Week 2 Roster'!$AK:$AK))</f>
        <v>0</v>
      </c>
      <c r="AO293" s="17">
        <f ca="1">IF($A293=0,0,SUMIF('Week 2 Roster'!$AZ:$AZ,$B293,'Week 2 Roster'!$AM:$AM))</f>
        <v>0</v>
      </c>
      <c r="AP293" s="17">
        <f ca="1">IF($A293=0,0,SUMIF('Week 2 Roster'!$AZ:$AZ,$B293,'Week 2 Roster'!$AO:$AO))</f>
        <v>0</v>
      </c>
      <c r="AQ293" s="38">
        <f ca="1">IF($A293=0,0,SUMIF('Week 2 Roster'!$AZ:$AZ,$B293,'Week 2 Roster'!$AP:$AP))</f>
        <v>0</v>
      </c>
      <c r="AR293" s="17">
        <f ca="1">IF($A293=0,0,SUMIF('Week 2 Roster'!$AZ:$AZ,$B293,'Week 2 Roster'!$AQ:$AQ))</f>
        <v>0</v>
      </c>
      <c r="AS293" s="17">
        <f ca="1">IF($A293=0,0,SUMIF('Week 2 Roster'!$AZ:$AZ,$B293,'Week 2 Roster'!$AR:$AR))</f>
        <v>0</v>
      </c>
      <c r="AT293" s="17">
        <f ca="1">IF($A293=0,0,SUMIF('Week 2 Roster'!$AZ:$AZ,$B293,'Week 2 Roster'!$AS:$AS))</f>
        <v>0</v>
      </c>
      <c r="AU293" s="17">
        <f t="shared" ca="1" si="98"/>
        <v>0</v>
      </c>
    </row>
    <row r="294" spans="1:47">
      <c r="A294" s="16" cm="1">
        <f t="array" aca="1" ref="A294" ca="1">_xlfn.NUMBERVALUE(INDIRECT(TEXT(MIN(IF(($AW$2:$AX$300&lt;&gt;"")*(COUNTIF($B$1:B293,$AW$2:$AX$300)=0),ROW($2:$300)*100+COLUMN($AW:$AX),7^8)),"R0C00"),)&amp;"")</f>
        <v>0</v>
      </c>
      <c r="B294" s="28" t="str">
        <f t="shared" ca="1" si="84"/>
        <v/>
      </c>
      <c r="C294" s="28" t="str">
        <f ca="1">IF($A294=0,"",VLOOKUP($B294,Employees!$A:$G,2,FALSE))</f>
        <v/>
      </c>
      <c r="D294" s="28" t="str">
        <f ca="1">IF($A294=0,"",VLOOKUP($B294,Employees!$A:$G,3,FALSE))</f>
        <v/>
      </c>
      <c r="E294" s="26" t="str">
        <f ca="1">IF($A294=0,"",VLOOKUP($B294,Employees!$A:$G,5,FALSE))</f>
        <v/>
      </c>
      <c r="F294" s="13" t="str">
        <f ca="1">IF($E294="","",ROUNDDOWN(YEARFRAC($E294, 'Week 1 Roster'!$D$1-1, 1), 0))</f>
        <v/>
      </c>
      <c r="G294" s="13" t="str">
        <f ca="1">IF($E294="","",ROUNDDOWN(YEARFRAC($E294, 'Week 1 Roster'!$D$1+14, 1), 0))</f>
        <v/>
      </c>
      <c r="H294" s="13" t="str">
        <f t="shared" ca="1" si="85"/>
        <v/>
      </c>
      <c r="I294" s="13" t="str">
        <f ca="1">IF($A294=0,"",VLOOKUP($B294,Employees!$A:$G,6,FALSE))</f>
        <v/>
      </c>
      <c r="J294" s="13" t="str">
        <f ca="1">IF($A294=0,"",VLOOKUP($B294,Employees!$A:$G,7,FALSE))</f>
        <v/>
      </c>
      <c r="K294" s="13" t="str">
        <f ca="1">IF($A294=0,"",IF(ISNA(VLOOKUP(A294,'Week 1 Roster'!A:C,2,0)),VLOOKUP(A294,'Week 2 Roster'!A:C,2,0),VLOOKUP(A294,'Week 1 Roster'!A:C,2,0)))</f>
        <v/>
      </c>
      <c r="L294" s="13" t="str">
        <f ca="1">IF($A294=0,"",VLOOKUP(K294,Stores!A:B,2,0))</f>
        <v/>
      </c>
      <c r="M294" s="14">
        <f t="shared" ca="1" si="86"/>
        <v>0</v>
      </c>
      <c r="N294" s="14">
        <f t="shared" ca="1" si="87"/>
        <v>0</v>
      </c>
      <c r="O294" s="14">
        <f t="shared" ca="1" si="88"/>
        <v>0</v>
      </c>
      <c r="P294" s="14">
        <f t="shared" ca="1" si="89"/>
        <v>0</v>
      </c>
      <c r="Q294" s="14">
        <f t="shared" ca="1" si="90"/>
        <v>0</v>
      </c>
      <c r="R294" s="14">
        <f t="shared" ca="1" si="91"/>
        <v>0</v>
      </c>
      <c r="S294" s="28">
        <f t="shared" ca="1" si="92"/>
        <v>0</v>
      </c>
      <c r="T294" s="14">
        <f t="shared" ca="1" si="93"/>
        <v>0</v>
      </c>
      <c r="U294" s="14">
        <f t="shared" ca="1" si="94"/>
        <v>0</v>
      </c>
      <c r="V294" s="14">
        <f t="shared" ca="1" si="95"/>
        <v>0</v>
      </c>
      <c r="W294" s="14">
        <f t="shared" ca="1" si="96"/>
        <v>0</v>
      </c>
      <c r="Y294" s="17">
        <f ca="1">IF($A294=0,0,SUMIF('Week 1 Roster'!$AZ:$AZ,$B294,'Week 1 Roster'!$AE:$AE))</f>
        <v>0</v>
      </c>
      <c r="Z294" s="17">
        <f ca="1">IF($A294=0,0,SUMIF('Week 1 Roster'!$AZ:$AZ,$B294,'Week 1 Roster'!$AG:$AG))</f>
        <v>0</v>
      </c>
      <c r="AA294" s="17">
        <f ca="1">IF($A294=0,0,SUMIF('Week 1 Roster'!$AZ:$AZ,$B294,'Week 1 Roster'!$AI:$AI))</f>
        <v>0</v>
      </c>
      <c r="AB294" s="17">
        <f ca="1">IF($A294=0,0,SUMIF('Week 1 Roster'!$AZ:$AZ,$B294,'Week 1 Roster'!$AK:$AK))</f>
        <v>0</v>
      </c>
      <c r="AC294" s="17">
        <f ca="1">IF($A294=0,0,SUMIF('Week 1 Roster'!$AZ:$AZ,$B294,'Week 1 Roster'!$AM:$AM))</f>
        <v>0</v>
      </c>
      <c r="AD294" s="17">
        <f ca="1">IF($A294=0,0,SUMIF('Week 1 Roster'!$AZ:$AZ,$B294,'Week 1 Roster'!$AO:$AO))</f>
        <v>0</v>
      </c>
      <c r="AE294" s="38">
        <f ca="1">IF($A294=0,0,SUMIF('Week 1 Roster'!$AZ:$AZ,$B294,'Week 1 Roster'!$AP:$AP))</f>
        <v>0</v>
      </c>
      <c r="AF294" s="17">
        <f ca="1">IF($A294=0,0,SUMIF('Week 1 Roster'!$AZ:$AZ,$B294,'Week 1 Roster'!$AQ:$AQ))</f>
        <v>0</v>
      </c>
      <c r="AG294" s="17">
        <f ca="1">IF($A294=0,0,SUMIF('Week 1 Roster'!$AZ:$AZ,$B294,'Week 1 Roster'!$AR:$AR))</f>
        <v>0</v>
      </c>
      <c r="AH294" s="17">
        <f ca="1">IF($A294=0,0,SUMIF('Week 1 Roster'!$AZ:$AZ,$B294,'Week 1 Roster'!$AS:$AS))</f>
        <v>0</v>
      </c>
      <c r="AI294" s="17">
        <f t="shared" ca="1" si="97"/>
        <v>0</v>
      </c>
      <c r="AK294" s="17">
        <f ca="1">IF($A294=0,0,SUMIF('Week 2 Roster'!$AZ:$AZ,$B294,'Week 2 Roster'!$AE:$AE))</f>
        <v>0</v>
      </c>
      <c r="AL294" s="17">
        <f ca="1">IF($A294=0,0,SUMIF('Week 2 Roster'!$AZ:$AZ,$B294,'Week 2 Roster'!$AG:$AG))</f>
        <v>0</v>
      </c>
      <c r="AM294" s="17">
        <f ca="1">IF($A294=0,0,SUMIF('Week 2 Roster'!$AZ:$AZ,$B294,'Week 2 Roster'!$AI:$AI))</f>
        <v>0</v>
      </c>
      <c r="AN294" s="17">
        <f ca="1">IF($A294=0,0,SUMIF('Week 2 Roster'!$AZ:$AZ,$B294,'Week 2 Roster'!$AK:$AK))</f>
        <v>0</v>
      </c>
      <c r="AO294" s="17">
        <f ca="1">IF($A294=0,0,SUMIF('Week 2 Roster'!$AZ:$AZ,$B294,'Week 2 Roster'!$AM:$AM))</f>
        <v>0</v>
      </c>
      <c r="AP294" s="17">
        <f ca="1">IF($A294=0,0,SUMIF('Week 2 Roster'!$AZ:$AZ,$B294,'Week 2 Roster'!$AO:$AO))</f>
        <v>0</v>
      </c>
      <c r="AQ294" s="38">
        <f ca="1">IF($A294=0,0,SUMIF('Week 2 Roster'!$AZ:$AZ,$B294,'Week 2 Roster'!$AP:$AP))</f>
        <v>0</v>
      </c>
      <c r="AR294" s="17">
        <f ca="1">IF($A294=0,0,SUMIF('Week 2 Roster'!$AZ:$AZ,$B294,'Week 2 Roster'!$AQ:$AQ))</f>
        <v>0</v>
      </c>
      <c r="AS294" s="17">
        <f ca="1">IF($A294=0,0,SUMIF('Week 2 Roster'!$AZ:$AZ,$B294,'Week 2 Roster'!$AR:$AR))</f>
        <v>0</v>
      </c>
      <c r="AT294" s="17">
        <f ca="1">IF($A294=0,0,SUMIF('Week 2 Roster'!$AZ:$AZ,$B294,'Week 2 Roster'!$AS:$AS))</f>
        <v>0</v>
      </c>
      <c r="AU294" s="17">
        <f t="shared" ca="1" si="98"/>
        <v>0</v>
      </c>
    </row>
    <row r="295" spans="1:47">
      <c r="A295" s="16" cm="1">
        <f t="array" aca="1" ref="A295" ca="1">_xlfn.NUMBERVALUE(INDIRECT(TEXT(MIN(IF(($AW$2:$AX$300&lt;&gt;"")*(COUNTIF($B$1:B294,$AW$2:$AX$300)=0),ROW($2:$300)*100+COLUMN($AW:$AX),7^8)),"R0C00"),)&amp;"")</f>
        <v>0</v>
      </c>
      <c r="B295" s="28" t="str">
        <f t="shared" ca="1" si="84"/>
        <v/>
      </c>
      <c r="C295" s="28" t="str">
        <f ca="1">IF($A295=0,"",VLOOKUP($B295,Employees!$A:$G,2,FALSE))</f>
        <v/>
      </c>
      <c r="D295" s="28" t="str">
        <f ca="1">IF($A295=0,"",VLOOKUP($B295,Employees!$A:$G,3,FALSE))</f>
        <v/>
      </c>
      <c r="E295" s="26" t="str">
        <f ca="1">IF($A295=0,"",VLOOKUP($B295,Employees!$A:$G,5,FALSE))</f>
        <v/>
      </c>
      <c r="F295" s="13" t="str">
        <f ca="1">IF($E295="","",ROUNDDOWN(YEARFRAC($E295, 'Week 1 Roster'!$D$1-1, 1), 0))</f>
        <v/>
      </c>
      <c r="G295" s="13" t="str">
        <f ca="1">IF($E295="","",ROUNDDOWN(YEARFRAC($E295, 'Week 1 Roster'!$D$1+14, 1), 0))</f>
        <v/>
      </c>
      <c r="H295" s="13" t="str">
        <f t="shared" ca="1" si="85"/>
        <v/>
      </c>
      <c r="I295" s="13" t="str">
        <f ca="1">IF($A295=0,"",VLOOKUP($B295,Employees!$A:$G,6,FALSE))</f>
        <v/>
      </c>
      <c r="J295" s="13" t="str">
        <f ca="1">IF($A295=0,"",VLOOKUP($B295,Employees!$A:$G,7,FALSE))</f>
        <v/>
      </c>
      <c r="K295" s="13" t="str">
        <f ca="1">IF($A295=0,"",IF(ISNA(VLOOKUP(A295,'Week 1 Roster'!A:C,2,0)),VLOOKUP(A295,'Week 2 Roster'!A:C,2,0),VLOOKUP(A295,'Week 1 Roster'!A:C,2,0)))</f>
        <v/>
      </c>
      <c r="L295" s="13" t="str">
        <f ca="1">IF($A295=0,"",VLOOKUP(K295,Stores!A:B,2,0))</f>
        <v/>
      </c>
      <c r="M295" s="14">
        <f t="shared" ca="1" si="86"/>
        <v>0</v>
      </c>
      <c r="N295" s="14">
        <f t="shared" ca="1" si="87"/>
        <v>0</v>
      </c>
      <c r="O295" s="14">
        <f t="shared" ca="1" si="88"/>
        <v>0</v>
      </c>
      <c r="P295" s="14">
        <f t="shared" ca="1" si="89"/>
        <v>0</v>
      </c>
      <c r="Q295" s="14">
        <f t="shared" ca="1" si="90"/>
        <v>0</v>
      </c>
      <c r="R295" s="14">
        <f t="shared" ca="1" si="91"/>
        <v>0</v>
      </c>
      <c r="S295" s="28">
        <f t="shared" ca="1" si="92"/>
        <v>0</v>
      </c>
      <c r="T295" s="14">
        <f t="shared" ca="1" si="93"/>
        <v>0</v>
      </c>
      <c r="U295" s="14">
        <f t="shared" ca="1" si="94"/>
        <v>0</v>
      </c>
      <c r="V295" s="14">
        <f t="shared" ca="1" si="95"/>
        <v>0</v>
      </c>
      <c r="W295" s="14">
        <f t="shared" ca="1" si="96"/>
        <v>0</v>
      </c>
      <c r="Y295" s="17">
        <f ca="1">IF($A295=0,0,SUMIF('Week 1 Roster'!$AZ:$AZ,$B295,'Week 1 Roster'!$AE:$AE))</f>
        <v>0</v>
      </c>
      <c r="Z295" s="17">
        <f ca="1">IF($A295=0,0,SUMIF('Week 1 Roster'!$AZ:$AZ,$B295,'Week 1 Roster'!$AG:$AG))</f>
        <v>0</v>
      </c>
      <c r="AA295" s="17">
        <f ca="1">IF($A295=0,0,SUMIF('Week 1 Roster'!$AZ:$AZ,$B295,'Week 1 Roster'!$AI:$AI))</f>
        <v>0</v>
      </c>
      <c r="AB295" s="17">
        <f ca="1">IF($A295=0,0,SUMIF('Week 1 Roster'!$AZ:$AZ,$B295,'Week 1 Roster'!$AK:$AK))</f>
        <v>0</v>
      </c>
      <c r="AC295" s="17">
        <f ca="1">IF($A295=0,0,SUMIF('Week 1 Roster'!$AZ:$AZ,$B295,'Week 1 Roster'!$AM:$AM))</f>
        <v>0</v>
      </c>
      <c r="AD295" s="17">
        <f ca="1">IF($A295=0,0,SUMIF('Week 1 Roster'!$AZ:$AZ,$B295,'Week 1 Roster'!$AO:$AO))</f>
        <v>0</v>
      </c>
      <c r="AE295" s="38">
        <f ca="1">IF($A295=0,0,SUMIF('Week 1 Roster'!$AZ:$AZ,$B295,'Week 1 Roster'!$AP:$AP))</f>
        <v>0</v>
      </c>
      <c r="AF295" s="17">
        <f ca="1">IF($A295=0,0,SUMIF('Week 1 Roster'!$AZ:$AZ,$B295,'Week 1 Roster'!$AQ:$AQ))</f>
        <v>0</v>
      </c>
      <c r="AG295" s="17">
        <f ca="1">IF($A295=0,0,SUMIF('Week 1 Roster'!$AZ:$AZ,$B295,'Week 1 Roster'!$AR:$AR))</f>
        <v>0</v>
      </c>
      <c r="AH295" s="17">
        <f ca="1">IF($A295=0,0,SUMIF('Week 1 Roster'!$AZ:$AZ,$B295,'Week 1 Roster'!$AS:$AS))</f>
        <v>0</v>
      </c>
      <c r="AI295" s="17">
        <f t="shared" ca="1" si="97"/>
        <v>0</v>
      </c>
      <c r="AK295" s="17">
        <f ca="1">IF($A295=0,0,SUMIF('Week 2 Roster'!$AZ:$AZ,$B295,'Week 2 Roster'!$AE:$AE))</f>
        <v>0</v>
      </c>
      <c r="AL295" s="17">
        <f ca="1">IF($A295=0,0,SUMIF('Week 2 Roster'!$AZ:$AZ,$B295,'Week 2 Roster'!$AG:$AG))</f>
        <v>0</v>
      </c>
      <c r="AM295" s="17">
        <f ca="1">IF($A295=0,0,SUMIF('Week 2 Roster'!$AZ:$AZ,$B295,'Week 2 Roster'!$AI:$AI))</f>
        <v>0</v>
      </c>
      <c r="AN295" s="17">
        <f ca="1">IF($A295=0,0,SUMIF('Week 2 Roster'!$AZ:$AZ,$B295,'Week 2 Roster'!$AK:$AK))</f>
        <v>0</v>
      </c>
      <c r="AO295" s="17">
        <f ca="1">IF($A295=0,0,SUMIF('Week 2 Roster'!$AZ:$AZ,$B295,'Week 2 Roster'!$AM:$AM))</f>
        <v>0</v>
      </c>
      <c r="AP295" s="17">
        <f ca="1">IF($A295=0,0,SUMIF('Week 2 Roster'!$AZ:$AZ,$B295,'Week 2 Roster'!$AO:$AO))</f>
        <v>0</v>
      </c>
      <c r="AQ295" s="38">
        <f ca="1">IF($A295=0,0,SUMIF('Week 2 Roster'!$AZ:$AZ,$B295,'Week 2 Roster'!$AP:$AP))</f>
        <v>0</v>
      </c>
      <c r="AR295" s="17">
        <f ca="1">IF($A295=0,0,SUMIF('Week 2 Roster'!$AZ:$AZ,$B295,'Week 2 Roster'!$AQ:$AQ))</f>
        <v>0</v>
      </c>
      <c r="AS295" s="17">
        <f ca="1">IF($A295=0,0,SUMIF('Week 2 Roster'!$AZ:$AZ,$B295,'Week 2 Roster'!$AR:$AR))</f>
        <v>0</v>
      </c>
      <c r="AT295" s="17">
        <f ca="1">IF($A295=0,0,SUMIF('Week 2 Roster'!$AZ:$AZ,$B295,'Week 2 Roster'!$AS:$AS))</f>
        <v>0</v>
      </c>
      <c r="AU295" s="17">
        <f t="shared" ca="1" si="98"/>
        <v>0</v>
      </c>
    </row>
    <row r="296" spans="1:47">
      <c r="A296" s="16" cm="1">
        <f t="array" aca="1" ref="A296" ca="1">_xlfn.NUMBERVALUE(INDIRECT(TEXT(MIN(IF(($AW$2:$AX$300&lt;&gt;"")*(COUNTIF($B$1:B295,$AW$2:$AX$300)=0),ROW($2:$300)*100+COLUMN($AW:$AX),7^8)),"R0C00"),)&amp;"")</f>
        <v>0</v>
      </c>
      <c r="B296" s="28" t="str">
        <f t="shared" ca="1" si="84"/>
        <v/>
      </c>
      <c r="C296" s="28" t="str">
        <f ca="1">IF($A296=0,"",VLOOKUP($B296,Employees!$A:$G,2,FALSE))</f>
        <v/>
      </c>
      <c r="D296" s="28" t="str">
        <f ca="1">IF($A296=0,"",VLOOKUP($B296,Employees!$A:$G,3,FALSE))</f>
        <v/>
      </c>
      <c r="E296" s="26" t="str">
        <f ca="1">IF($A296=0,"",VLOOKUP($B296,Employees!$A:$G,5,FALSE))</f>
        <v/>
      </c>
      <c r="F296" s="13" t="str">
        <f ca="1">IF($E296="","",ROUNDDOWN(YEARFRAC($E296, 'Week 1 Roster'!$D$1-1, 1), 0))</f>
        <v/>
      </c>
      <c r="G296" s="13" t="str">
        <f ca="1">IF($E296="","",ROUNDDOWN(YEARFRAC($E296, 'Week 1 Roster'!$D$1+14, 1), 0))</f>
        <v/>
      </c>
      <c r="H296" s="13" t="str">
        <f t="shared" ca="1" si="85"/>
        <v/>
      </c>
      <c r="I296" s="13" t="str">
        <f ca="1">IF($A296=0,"",VLOOKUP($B296,Employees!$A:$G,6,FALSE))</f>
        <v/>
      </c>
      <c r="J296" s="13" t="str">
        <f ca="1">IF($A296=0,"",VLOOKUP($B296,Employees!$A:$G,7,FALSE))</f>
        <v/>
      </c>
      <c r="K296" s="13" t="str">
        <f ca="1">IF($A296=0,"",IF(ISNA(VLOOKUP(A296,'Week 1 Roster'!A:C,2,0)),VLOOKUP(A296,'Week 2 Roster'!A:C,2,0),VLOOKUP(A296,'Week 1 Roster'!A:C,2,0)))</f>
        <v/>
      </c>
      <c r="L296" s="13" t="str">
        <f ca="1">IF($A296=0,"",VLOOKUP(K296,Stores!A:B,2,0))</f>
        <v/>
      </c>
      <c r="M296" s="14">
        <f t="shared" ca="1" si="86"/>
        <v>0</v>
      </c>
      <c r="N296" s="14">
        <f t="shared" ca="1" si="87"/>
        <v>0</v>
      </c>
      <c r="O296" s="14">
        <f t="shared" ca="1" si="88"/>
        <v>0</v>
      </c>
      <c r="P296" s="14">
        <f t="shared" ca="1" si="89"/>
        <v>0</v>
      </c>
      <c r="Q296" s="14">
        <f t="shared" ca="1" si="90"/>
        <v>0</v>
      </c>
      <c r="R296" s="14">
        <f t="shared" ca="1" si="91"/>
        <v>0</v>
      </c>
      <c r="S296" s="28">
        <f t="shared" ca="1" si="92"/>
        <v>0</v>
      </c>
      <c r="T296" s="14">
        <f t="shared" ca="1" si="93"/>
        <v>0</v>
      </c>
      <c r="U296" s="14">
        <f t="shared" ca="1" si="94"/>
        <v>0</v>
      </c>
      <c r="V296" s="14">
        <f t="shared" ca="1" si="95"/>
        <v>0</v>
      </c>
      <c r="W296" s="14">
        <f t="shared" ca="1" si="96"/>
        <v>0</v>
      </c>
      <c r="Y296" s="17">
        <f ca="1">IF($A296=0,0,SUMIF('Week 1 Roster'!$AZ:$AZ,$B296,'Week 1 Roster'!$AE:$AE))</f>
        <v>0</v>
      </c>
      <c r="Z296" s="17">
        <f ca="1">IF($A296=0,0,SUMIF('Week 1 Roster'!$AZ:$AZ,$B296,'Week 1 Roster'!$AG:$AG))</f>
        <v>0</v>
      </c>
      <c r="AA296" s="17">
        <f ca="1">IF($A296=0,0,SUMIF('Week 1 Roster'!$AZ:$AZ,$B296,'Week 1 Roster'!$AI:$AI))</f>
        <v>0</v>
      </c>
      <c r="AB296" s="17">
        <f ca="1">IF($A296=0,0,SUMIF('Week 1 Roster'!$AZ:$AZ,$B296,'Week 1 Roster'!$AK:$AK))</f>
        <v>0</v>
      </c>
      <c r="AC296" s="17">
        <f ca="1">IF($A296=0,0,SUMIF('Week 1 Roster'!$AZ:$AZ,$B296,'Week 1 Roster'!$AM:$AM))</f>
        <v>0</v>
      </c>
      <c r="AD296" s="17">
        <f ca="1">IF($A296=0,0,SUMIF('Week 1 Roster'!$AZ:$AZ,$B296,'Week 1 Roster'!$AO:$AO))</f>
        <v>0</v>
      </c>
      <c r="AE296" s="38">
        <f ca="1">IF($A296=0,0,SUMIF('Week 1 Roster'!$AZ:$AZ,$B296,'Week 1 Roster'!$AP:$AP))</f>
        <v>0</v>
      </c>
      <c r="AF296" s="17">
        <f ca="1">IF($A296=0,0,SUMIF('Week 1 Roster'!$AZ:$AZ,$B296,'Week 1 Roster'!$AQ:$AQ))</f>
        <v>0</v>
      </c>
      <c r="AG296" s="17">
        <f ca="1">IF($A296=0,0,SUMIF('Week 1 Roster'!$AZ:$AZ,$B296,'Week 1 Roster'!$AR:$AR))</f>
        <v>0</v>
      </c>
      <c r="AH296" s="17">
        <f ca="1">IF($A296=0,0,SUMIF('Week 1 Roster'!$AZ:$AZ,$B296,'Week 1 Roster'!$AS:$AS))</f>
        <v>0</v>
      </c>
      <c r="AI296" s="17">
        <f t="shared" ca="1" si="97"/>
        <v>0</v>
      </c>
      <c r="AK296" s="17">
        <f ca="1">IF($A296=0,0,SUMIF('Week 2 Roster'!$AZ:$AZ,$B296,'Week 2 Roster'!$AE:$AE))</f>
        <v>0</v>
      </c>
      <c r="AL296" s="17">
        <f ca="1">IF($A296=0,0,SUMIF('Week 2 Roster'!$AZ:$AZ,$B296,'Week 2 Roster'!$AG:$AG))</f>
        <v>0</v>
      </c>
      <c r="AM296" s="17">
        <f ca="1">IF($A296=0,0,SUMIF('Week 2 Roster'!$AZ:$AZ,$B296,'Week 2 Roster'!$AI:$AI))</f>
        <v>0</v>
      </c>
      <c r="AN296" s="17">
        <f ca="1">IF($A296=0,0,SUMIF('Week 2 Roster'!$AZ:$AZ,$B296,'Week 2 Roster'!$AK:$AK))</f>
        <v>0</v>
      </c>
      <c r="AO296" s="17">
        <f ca="1">IF($A296=0,0,SUMIF('Week 2 Roster'!$AZ:$AZ,$B296,'Week 2 Roster'!$AM:$AM))</f>
        <v>0</v>
      </c>
      <c r="AP296" s="17">
        <f ca="1">IF($A296=0,0,SUMIF('Week 2 Roster'!$AZ:$AZ,$B296,'Week 2 Roster'!$AO:$AO))</f>
        <v>0</v>
      </c>
      <c r="AQ296" s="38">
        <f ca="1">IF($A296=0,0,SUMIF('Week 2 Roster'!$AZ:$AZ,$B296,'Week 2 Roster'!$AP:$AP))</f>
        <v>0</v>
      </c>
      <c r="AR296" s="17">
        <f ca="1">IF($A296=0,0,SUMIF('Week 2 Roster'!$AZ:$AZ,$B296,'Week 2 Roster'!$AQ:$AQ))</f>
        <v>0</v>
      </c>
      <c r="AS296" s="17">
        <f ca="1">IF($A296=0,0,SUMIF('Week 2 Roster'!$AZ:$AZ,$B296,'Week 2 Roster'!$AR:$AR))</f>
        <v>0</v>
      </c>
      <c r="AT296" s="17">
        <f ca="1">IF($A296=0,0,SUMIF('Week 2 Roster'!$AZ:$AZ,$B296,'Week 2 Roster'!$AS:$AS))</f>
        <v>0</v>
      </c>
      <c r="AU296" s="17">
        <f t="shared" ca="1" si="98"/>
        <v>0</v>
      </c>
    </row>
    <row r="297" spans="1:47">
      <c r="A297" s="16" cm="1">
        <f t="array" aca="1" ref="A297" ca="1">_xlfn.NUMBERVALUE(INDIRECT(TEXT(MIN(IF(($AW$2:$AX$300&lt;&gt;"")*(COUNTIF($B$1:B296,$AW$2:$AX$300)=0),ROW($2:$300)*100+COLUMN($AW:$AX),7^8)),"R0C00"),)&amp;"")</f>
        <v>0</v>
      </c>
      <c r="B297" s="28" t="str">
        <f t="shared" ca="1" si="84"/>
        <v/>
      </c>
      <c r="C297" s="28" t="str">
        <f ca="1">IF($A297=0,"",VLOOKUP($B297,Employees!$A:$G,2,FALSE))</f>
        <v/>
      </c>
      <c r="D297" s="28" t="str">
        <f ca="1">IF($A297=0,"",VLOOKUP($B297,Employees!$A:$G,3,FALSE))</f>
        <v/>
      </c>
      <c r="E297" s="26" t="str">
        <f ca="1">IF($A297=0,"",VLOOKUP($B297,Employees!$A:$G,5,FALSE))</f>
        <v/>
      </c>
      <c r="F297" s="13" t="str">
        <f ca="1">IF($E297="","",ROUNDDOWN(YEARFRAC($E297, 'Week 1 Roster'!$D$1-1, 1), 0))</f>
        <v/>
      </c>
      <c r="G297" s="13" t="str">
        <f ca="1">IF($E297="","",ROUNDDOWN(YEARFRAC($E297, 'Week 1 Roster'!$D$1+14, 1), 0))</f>
        <v/>
      </c>
      <c r="H297" s="13" t="str">
        <f t="shared" ca="1" si="85"/>
        <v/>
      </c>
      <c r="I297" s="13" t="str">
        <f ca="1">IF($A297=0,"",VLOOKUP($B297,Employees!$A:$G,6,FALSE))</f>
        <v/>
      </c>
      <c r="J297" s="13" t="str">
        <f ca="1">IF($A297=0,"",VLOOKUP($B297,Employees!$A:$G,7,FALSE))</f>
        <v/>
      </c>
      <c r="K297" s="13" t="str">
        <f ca="1">IF($A297=0,"",IF(ISNA(VLOOKUP(A297,'Week 1 Roster'!A:C,2,0)),VLOOKUP(A297,'Week 2 Roster'!A:C,2,0),VLOOKUP(A297,'Week 1 Roster'!A:C,2,0)))</f>
        <v/>
      </c>
      <c r="L297" s="13" t="str">
        <f ca="1">IF($A297=0,"",VLOOKUP(K297,Stores!A:B,2,0))</f>
        <v/>
      </c>
      <c r="M297" s="14">
        <f t="shared" ca="1" si="86"/>
        <v>0</v>
      </c>
      <c r="N297" s="14">
        <f t="shared" ca="1" si="87"/>
        <v>0</v>
      </c>
      <c r="O297" s="14">
        <f t="shared" ca="1" si="88"/>
        <v>0</v>
      </c>
      <c r="P297" s="14">
        <f t="shared" ca="1" si="89"/>
        <v>0</v>
      </c>
      <c r="Q297" s="14">
        <f t="shared" ca="1" si="90"/>
        <v>0</v>
      </c>
      <c r="R297" s="14">
        <f t="shared" ca="1" si="91"/>
        <v>0</v>
      </c>
      <c r="S297" s="28">
        <f t="shared" ca="1" si="92"/>
        <v>0</v>
      </c>
      <c r="T297" s="14">
        <f t="shared" ca="1" si="93"/>
        <v>0</v>
      </c>
      <c r="U297" s="14">
        <f t="shared" ca="1" si="94"/>
        <v>0</v>
      </c>
      <c r="V297" s="14">
        <f t="shared" ca="1" si="95"/>
        <v>0</v>
      </c>
      <c r="W297" s="14">
        <f t="shared" ca="1" si="96"/>
        <v>0</v>
      </c>
      <c r="Y297" s="17">
        <f ca="1">IF($A297=0,0,SUMIF('Week 1 Roster'!$AZ:$AZ,$B297,'Week 1 Roster'!$AE:$AE))</f>
        <v>0</v>
      </c>
      <c r="Z297" s="17">
        <f ca="1">IF($A297=0,0,SUMIF('Week 1 Roster'!$AZ:$AZ,$B297,'Week 1 Roster'!$AG:$AG))</f>
        <v>0</v>
      </c>
      <c r="AA297" s="17">
        <f ca="1">IF($A297=0,0,SUMIF('Week 1 Roster'!$AZ:$AZ,$B297,'Week 1 Roster'!$AI:$AI))</f>
        <v>0</v>
      </c>
      <c r="AB297" s="17">
        <f ca="1">IF($A297=0,0,SUMIF('Week 1 Roster'!$AZ:$AZ,$B297,'Week 1 Roster'!$AK:$AK))</f>
        <v>0</v>
      </c>
      <c r="AC297" s="17">
        <f ca="1">IF($A297=0,0,SUMIF('Week 1 Roster'!$AZ:$AZ,$B297,'Week 1 Roster'!$AM:$AM))</f>
        <v>0</v>
      </c>
      <c r="AD297" s="17">
        <f ca="1">IF($A297=0,0,SUMIF('Week 1 Roster'!$AZ:$AZ,$B297,'Week 1 Roster'!$AO:$AO))</f>
        <v>0</v>
      </c>
      <c r="AE297" s="38">
        <f ca="1">IF($A297=0,0,SUMIF('Week 1 Roster'!$AZ:$AZ,$B297,'Week 1 Roster'!$AP:$AP))</f>
        <v>0</v>
      </c>
      <c r="AF297" s="17">
        <f ca="1">IF($A297=0,0,SUMIF('Week 1 Roster'!$AZ:$AZ,$B297,'Week 1 Roster'!$AQ:$AQ))</f>
        <v>0</v>
      </c>
      <c r="AG297" s="17">
        <f ca="1">IF($A297=0,0,SUMIF('Week 1 Roster'!$AZ:$AZ,$B297,'Week 1 Roster'!$AR:$AR))</f>
        <v>0</v>
      </c>
      <c r="AH297" s="17">
        <f ca="1">IF($A297=0,0,SUMIF('Week 1 Roster'!$AZ:$AZ,$B297,'Week 1 Roster'!$AS:$AS))</f>
        <v>0</v>
      </c>
      <c r="AI297" s="17">
        <f t="shared" ca="1" si="97"/>
        <v>0</v>
      </c>
      <c r="AK297" s="17">
        <f ca="1">IF($A297=0,0,SUMIF('Week 2 Roster'!$AZ:$AZ,$B297,'Week 2 Roster'!$AE:$AE))</f>
        <v>0</v>
      </c>
      <c r="AL297" s="17">
        <f ca="1">IF($A297=0,0,SUMIF('Week 2 Roster'!$AZ:$AZ,$B297,'Week 2 Roster'!$AG:$AG))</f>
        <v>0</v>
      </c>
      <c r="AM297" s="17">
        <f ca="1">IF($A297=0,0,SUMIF('Week 2 Roster'!$AZ:$AZ,$B297,'Week 2 Roster'!$AI:$AI))</f>
        <v>0</v>
      </c>
      <c r="AN297" s="17">
        <f ca="1">IF($A297=0,0,SUMIF('Week 2 Roster'!$AZ:$AZ,$B297,'Week 2 Roster'!$AK:$AK))</f>
        <v>0</v>
      </c>
      <c r="AO297" s="17">
        <f ca="1">IF($A297=0,0,SUMIF('Week 2 Roster'!$AZ:$AZ,$B297,'Week 2 Roster'!$AM:$AM))</f>
        <v>0</v>
      </c>
      <c r="AP297" s="17">
        <f ca="1">IF($A297=0,0,SUMIF('Week 2 Roster'!$AZ:$AZ,$B297,'Week 2 Roster'!$AO:$AO))</f>
        <v>0</v>
      </c>
      <c r="AQ297" s="38">
        <f ca="1">IF($A297=0,0,SUMIF('Week 2 Roster'!$AZ:$AZ,$B297,'Week 2 Roster'!$AP:$AP))</f>
        <v>0</v>
      </c>
      <c r="AR297" s="17">
        <f ca="1">IF($A297=0,0,SUMIF('Week 2 Roster'!$AZ:$AZ,$B297,'Week 2 Roster'!$AQ:$AQ))</f>
        <v>0</v>
      </c>
      <c r="AS297" s="17">
        <f ca="1">IF($A297=0,0,SUMIF('Week 2 Roster'!$AZ:$AZ,$B297,'Week 2 Roster'!$AR:$AR))</f>
        <v>0</v>
      </c>
      <c r="AT297" s="17">
        <f ca="1">IF($A297=0,0,SUMIF('Week 2 Roster'!$AZ:$AZ,$B297,'Week 2 Roster'!$AS:$AS))</f>
        <v>0</v>
      </c>
      <c r="AU297" s="17">
        <f t="shared" ca="1" si="98"/>
        <v>0</v>
      </c>
    </row>
    <row r="298" spans="1:47">
      <c r="A298" s="16" cm="1">
        <f t="array" aca="1" ref="A298" ca="1">_xlfn.NUMBERVALUE(INDIRECT(TEXT(MIN(IF(($AW$2:$AX$300&lt;&gt;"")*(COUNTIF($B$1:B297,$AW$2:$AX$300)=0),ROW($2:$300)*100+COLUMN($AW:$AX),7^8)),"R0C00"),)&amp;"")</f>
        <v>0</v>
      </c>
      <c r="B298" s="28" t="str">
        <f t="shared" ca="1" si="84"/>
        <v/>
      </c>
      <c r="C298" s="28" t="str">
        <f ca="1">IF($A298=0,"",VLOOKUP($B298,Employees!$A:$G,2,FALSE))</f>
        <v/>
      </c>
      <c r="D298" s="28" t="str">
        <f ca="1">IF($A298=0,"",VLOOKUP($B298,Employees!$A:$G,3,FALSE))</f>
        <v/>
      </c>
      <c r="E298" s="26" t="str">
        <f ca="1">IF($A298=0,"",VLOOKUP($B298,Employees!$A:$G,5,FALSE))</f>
        <v/>
      </c>
      <c r="F298" s="13" t="str">
        <f ca="1">IF($E298="","",ROUNDDOWN(YEARFRAC($E298, 'Week 1 Roster'!$D$1-1, 1), 0))</f>
        <v/>
      </c>
      <c r="G298" s="13" t="str">
        <f ca="1">IF($E298="","",ROUNDDOWN(YEARFRAC($E298, 'Week 1 Roster'!$D$1+14, 1), 0))</f>
        <v/>
      </c>
      <c r="H298" s="13" t="str">
        <f t="shared" ca="1" si="85"/>
        <v/>
      </c>
      <c r="I298" s="13" t="str">
        <f ca="1">IF($A298=0,"",VLOOKUP($B298,Employees!$A:$G,6,FALSE))</f>
        <v/>
      </c>
      <c r="J298" s="13" t="str">
        <f ca="1">IF($A298=0,"",VLOOKUP($B298,Employees!$A:$G,7,FALSE))</f>
        <v/>
      </c>
      <c r="K298" s="13" t="str">
        <f ca="1">IF($A298=0,"",IF(ISNA(VLOOKUP(A298,'Week 1 Roster'!A:C,2,0)),VLOOKUP(A298,'Week 2 Roster'!A:C,2,0),VLOOKUP(A298,'Week 1 Roster'!A:C,2,0)))</f>
        <v/>
      </c>
      <c r="L298" s="13" t="str">
        <f ca="1">IF($A298=0,"",VLOOKUP(K298,Stores!A:B,2,0))</f>
        <v/>
      </c>
      <c r="M298" s="14">
        <f t="shared" ca="1" si="86"/>
        <v>0</v>
      </c>
      <c r="N298" s="14">
        <f t="shared" ca="1" si="87"/>
        <v>0</v>
      </c>
      <c r="O298" s="14">
        <f t="shared" ca="1" si="88"/>
        <v>0</v>
      </c>
      <c r="P298" s="14">
        <f t="shared" ca="1" si="89"/>
        <v>0</v>
      </c>
      <c r="Q298" s="14">
        <f t="shared" ca="1" si="90"/>
        <v>0</v>
      </c>
      <c r="R298" s="14">
        <f t="shared" ca="1" si="91"/>
        <v>0</v>
      </c>
      <c r="S298" s="28">
        <f t="shared" ca="1" si="92"/>
        <v>0</v>
      </c>
      <c r="T298" s="14">
        <f t="shared" ca="1" si="93"/>
        <v>0</v>
      </c>
      <c r="U298" s="14">
        <f t="shared" ca="1" si="94"/>
        <v>0</v>
      </c>
      <c r="V298" s="14">
        <f t="shared" ca="1" si="95"/>
        <v>0</v>
      </c>
      <c r="W298" s="14">
        <f t="shared" ca="1" si="96"/>
        <v>0</v>
      </c>
      <c r="Y298" s="17">
        <f ca="1">IF($A298=0,0,SUMIF('Week 1 Roster'!$AZ:$AZ,$B298,'Week 1 Roster'!$AE:$AE))</f>
        <v>0</v>
      </c>
      <c r="Z298" s="17">
        <f ca="1">IF($A298=0,0,SUMIF('Week 1 Roster'!$AZ:$AZ,$B298,'Week 1 Roster'!$AG:$AG))</f>
        <v>0</v>
      </c>
      <c r="AA298" s="17">
        <f ca="1">IF($A298=0,0,SUMIF('Week 1 Roster'!$AZ:$AZ,$B298,'Week 1 Roster'!$AI:$AI))</f>
        <v>0</v>
      </c>
      <c r="AB298" s="17">
        <f ca="1">IF($A298=0,0,SUMIF('Week 1 Roster'!$AZ:$AZ,$B298,'Week 1 Roster'!$AK:$AK))</f>
        <v>0</v>
      </c>
      <c r="AC298" s="17">
        <f ca="1">IF($A298=0,0,SUMIF('Week 1 Roster'!$AZ:$AZ,$B298,'Week 1 Roster'!$AM:$AM))</f>
        <v>0</v>
      </c>
      <c r="AD298" s="17">
        <f ca="1">IF($A298=0,0,SUMIF('Week 1 Roster'!$AZ:$AZ,$B298,'Week 1 Roster'!$AO:$AO))</f>
        <v>0</v>
      </c>
      <c r="AE298" s="38">
        <f ca="1">IF($A298=0,0,SUMIF('Week 1 Roster'!$AZ:$AZ,$B298,'Week 1 Roster'!$AP:$AP))</f>
        <v>0</v>
      </c>
      <c r="AF298" s="17">
        <f ca="1">IF($A298=0,0,SUMIF('Week 1 Roster'!$AZ:$AZ,$B298,'Week 1 Roster'!$AQ:$AQ))</f>
        <v>0</v>
      </c>
      <c r="AG298" s="17">
        <f ca="1">IF($A298=0,0,SUMIF('Week 1 Roster'!$AZ:$AZ,$B298,'Week 1 Roster'!$AR:$AR))</f>
        <v>0</v>
      </c>
      <c r="AH298" s="17">
        <f ca="1">IF($A298=0,0,SUMIF('Week 1 Roster'!$AZ:$AZ,$B298,'Week 1 Roster'!$AS:$AS))</f>
        <v>0</v>
      </c>
      <c r="AI298" s="17">
        <f t="shared" ca="1" si="97"/>
        <v>0</v>
      </c>
      <c r="AK298" s="17">
        <f ca="1">IF($A298=0,0,SUMIF('Week 2 Roster'!$AZ:$AZ,$B298,'Week 2 Roster'!$AE:$AE))</f>
        <v>0</v>
      </c>
      <c r="AL298" s="17">
        <f ca="1">IF($A298=0,0,SUMIF('Week 2 Roster'!$AZ:$AZ,$B298,'Week 2 Roster'!$AG:$AG))</f>
        <v>0</v>
      </c>
      <c r="AM298" s="17">
        <f ca="1">IF($A298=0,0,SUMIF('Week 2 Roster'!$AZ:$AZ,$B298,'Week 2 Roster'!$AI:$AI))</f>
        <v>0</v>
      </c>
      <c r="AN298" s="17">
        <f ca="1">IF($A298=0,0,SUMIF('Week 2 Roster'!$AZ:$AZ,$B298,'Week 2 Roster'!$AK:$AK))</f>
        <v>0</v>
      </c>
      <c r="AO298" s="17">
        <f ca="1">IF($A298=0,0,SUMIF('Week 2 Roster'!$AZ:$AZ,$B298,'Week 2 Roster'!$AM:$AM))</f>
        <v>0</v>
      </c>
      <c r="AP298" s="17">
        <f ca="1">IF($A298=0,0,SUMIF('Week 2 Roster'!$AZ:$AZ,$B298,'Week 2 Roster'!$AO:$AO))</f>
        <v>0</v>
      </c>
      <c r="AQ298" s="38">
        <f ca="1">IF($A298=0,0,SUMIF('Week 2 Roster'!$AZ:$AZ,$B298,'Week 2 Roster'!$AP:$AP))</f>
        <v>0</v>
      </c>
      <c r="AR298" s="17">
        <f ca="1">IF($A298=0,0,SUMIF('Week 2 Roster'!$AZ:$AZ,$B298,'Week 2 Roster'!$AQ:$AQ))</f>
        <v>0</v>
      </c>
      <c r="AS298" s="17">
        <f ca="1">IF($A298=0,0,SUMIF('Week 2 Roster'!$AZ:$AZ,$B298,'Week 2 Roster'!$AR:$AR))</f>
        <v>0</v>
      </c>
      <c r="AT298" s="17">
        <f ca="1">IF($A298=0,0,SUMIF('Week 2 Roster'!$AZ:$AZ,$B298,'Week 2 Roster'!$AS:$AS))</f>
        <v>0</v>
      </c>
      <c r="AU298" s="17">
        <f t="shared" ca="1" si="98"/>
        <v>0</v>
      </c>
    </row>
    <row r="299" spans="1:47">
      <c r="A299" s="16" cm="1">
        <f t="array" aca="1" ref="A299" ca="1">_xlfn.NUMBERVALUE(INDIRECT(TEXT(MIN(IF(($AW$2:$AX$300&lt;&gt;"")*(COUNTIF($B$1:B298,$AW$2:$AX$300)=0),ROW($2:$300)*100+COLUMN($AW:$AX),7^8)),"R0C00"),)&amp;"")</f>
        <v>0</v>
      </c>
      <c r="B299" s="28" t="str">
        <f t="shared" ca="1" si="84"/>
        <v/>
      </c>
      <c r="C299" s="28" t="str">
        <f ca="1">IF($A299=0,"",VLOOKUP($B299,Employees!$A:$G,2,FALSE))</f>
        <v/>
      </c>
      <c r="D299" s="28" t="str">
        <f ca="1">IF($A299=0,"",VLOOKUP($B299,Employees!$A:$G,3,FALSE))</f>
        <v/>
      </c>
      <c r="E299" s="26" t="str">
        <f ca="1">IF($A299=0,"",VLOOKUP($B299,Employees!$A:$G,5,FALSE))</f>
        <v/>
      </c>
      <c r="F299" s="13" t="str">
        <f ca="1">IF($E299="","",ROUNDDOWN(YEARFRAC($E299, 'Week 1 Roster'!$D$1-1, 1), 0))</f>
        <v/>
      </c>
      <c r="G299" s="13" t="str">
        <f ca="1">IF($E299="","",ROUNDDOWN(YEARFRAC($E299, 'Week 1 Roster'!$D$1+14, 1), 0))</f>
        <v/>
      </c>
      <c r="H299" s="13" t="str">
        <f t="shared" ca="1" si="85"/>
        <v/>
      </c>
      <c r="I299" s="13" t="str">
        <f ca="1">IF($A299=0,"",VLOOKUP($B299,Employees!$A:$G,6,FALSE))</f>
        <v/>
      </c>
      <c r="J299" s="13" t="str">
        <f ca="1">IF($A299=0,"",VLOOKUP($B299,Employees!$A:$G,7,FALSE))</f>
        <v/>
      </c>
      <c r="K299" s="13" t="str">
        <f ca="1">IF($A299=0,"",IF(ISNA(VLOOKUP(A299,'Week 1 Roster'!A:C,2,0)),VLOOKUP(A299,'Week 2 Roster'!A:C,2,0),VLOOKUP(A299,'Week 1 Roster'!A:C,2,0)))</f>
        <v/>
      </c>
      <c r="L299" s="13" t="str">
        <f ca="1">IF($A299=0,"",VLOOKUP(K299,Stores!A:B,2,0))</f>
        <v/>
      </c>
      <c r="M299" s="14">
        <f t="shared" ca="1" si="86"/>
        <v>0</v>
      </c>
      <c r="N299" s="14">
        <f t="shared" ca="1" si="87"/>
        <v>0</v>
      </c>
      <c r="O299" s="14">
        <f t="shared" ca="1" si="88"/>
        <v>0</v>
      </c>
      <c r="P299" s="14">
        <f t="shared" ca="1" si="89"/>
        <v>0</v>
      </c>
      <c r="Q299" s="14">
        <f t="shared" ca="1" si="90"/>
        <v>0</v>
      </c>
      <c r="R299" s="14">
        <f t="shared" ca="1" si="91"/>
        <v>0</v>
      </c>
      <c r="S299" s="28">
        <f t="shared" ca="1" si="92"/>
        <v>0</v>
      </c>
      <c r="T299" s="14">
        <f t="shared" ca="1" si="93"/>
        <v>0</v>
      </c>
      <c r="U299" s="14">
        <f t="shared" ca="1" si="94"/>
        <v>0</v>
      </c>
      <c r="V299" s="14">
        <f t="shared" ca="1" si="95"/>
        <v>0</v>
      </c>
      <c r="W299" s="14">
        <f t="shared" ca="1" si="96"/>
        <v>0</v>
      </c>
      <c r="Y299" s="17">
        <f ca="1">IF($A299=0,0,SUMIF('Week 1 Roster'!$AZ:$AZ,$B299,'Week 1 Roster'!$AE:$AE))</f>
        <v>0</v>
      </c>
      <c r="Z299" s="17">
        <f ca="1">IF($A299=0,0,SUMIF('Week 1 Roster'!$AZ:$AZ,$B299,'Week 1 Roster'!$AG:$AG))</f>
        <v>0</v>
      </c>
      <c r="AA299" s="17">
        <f ca="1">IF($A299=0,0,SUMIF('Week 1 Roster'!$AZ:$AZ,$B299,'Week 1 Roster'!$AI:$AI))</f>
        <v>0</v>
      </c>
      <c r="AB299" s="17">
        <f ca="1">IF($A299=0,0,SUMIF('Week 1 Roster'!$AZ:$AZ,$B299,'Week 1 Roster'!$AK:$AK))</f>
        <v>0</v>
      </c>
      <c r="AC299" s="17">
        <f ca="1">IF($A299=0,0,SUMIF('Week 1 Roster'!$AZ:$AZ,$B299,'Week 1 Roster'!$AM:$AM))</f>
        <v>0</v>
      </c>
      <c r="AD299" s="17">
        <f ca="1">IF($A299=0,0,SUMIF('Week 1 Roster'!$AZ:$AZ,$B299,'Week 1 Roster'!$AO:$AO))</f>
        <v>0</v>
      </c>
      <c r="AE299" s="38">
        <f ca="1">IF($A299=0,0,SUMIF('Week 1 Roster'!$AZ:$AZ,$B299,'Week 1 Roster'!$AP:$AP))</f>
        <v>0</v>
      </c>
      <c r="AF299" s="17">
        <f ca="1">IF($A299=0,0,SUMIF('Week 1 Roster'!$AZ:$AZ,$B299,'Week 1 Roster'!$AQ:$AQ))</f>
        <v>0</v>
      </c>
      <c r="AG299" s="17">
        <f ca="1">IF($A299=0,0,SUMIF('Week 1 Roster'!$AZ:$AZ,$B299,'Week 1 Roster'!$AR:$AR))</f>
        <v>0</v>
      </c>
      <c r="AH299" s="17">
        <f ca="1">IF($A299=0,0,SUMIF('Week 1 Roster'!$AZ:$AZ,$B299,'Week 1 Roster'!$AS:$AS))</f>
        <v>0</v>
      </c>
      <c r="AI299" s="17">
        <f t="shared" ca="1" si="97"/>
        <v>0</v>
      </c>
      <c r="AK299" s="17">
        <f ca="1">IF($A299=0,0,SUMIF('Week 2 Roster'!$AZ:$AZ,$B299,'Week 2 Roster'!$AE:$AE))</f>
        <v>0</v>
      </c>
      <c r="AL299" s="17">
        <f ca="1">IF($A299=0,0,SUMIF('Week 2 Roster'!$AZ:$AZ,$B299,'Week 2 Roster'!$AG:$AG))</f>
        <v>0</v>
      </c>
      <c r="AM299" s="17">
        <f ca="1">IF($A299=0,0,SUMIF('Week 2 Roster'!$AZ:$AZ,$B299,'Week 2 Roster'!$AI:$AI))</f>
        <v>0</v>
      </c>
      <c r="AN299" s="17">
        <f ca="1">IF($A299=0,0,SUMIF('Week 2 Roster'!$AZ:$AZ,$B299,'Week 2 Roster'!$AK:$AK))</f>
        <v>0</v>
      </c>
      <c r="AO299" s="17">
        <f ca="1">IF($A299=0,0,SUMIF('Week 2 Roster'!$AZ:$AZ,$B299,'Week 2 Roster'!$AM:$AM))</f>
        <v>0</v>
      </c>
      <c r="AP299" s="17">
        <f ca="1">IF($A299=0,0,SUMIF('Week 2 Roster'!$AZ:$AZ,$B299,'Week 2 Roster'!$AO:$AO))</f>
        <v>0</v>
      </c>
      <c r="AQ299" s="38">
        <f ca="1">IF($A299=0,0,SUMIF('Week 2 Roster'!$AZ:$AZ,$B299,'Week 2 Roster'!$AP:$AP))</f>
        <v>0</v>
      </c>
      <c r="AR299" s="17">
        <f ca="1">IF($A299=0,0,SUMIF('Week 2 Roster'!$AZ:$AZ,$B299,'Week 2 Roster'!$AQ:$AQ))</f>
        <v>0</v>
      </c>
      <c r="AS299" s="17">
        <f ca="1">IF($A299=0,0,SUMIF('Week 2 Roster'!$AZ:$AZ,$B299,'Week 2 Roster'!$AR:$AR))</f>
        <v>0</v>
      </c>
      <c r="AT299" s="17">
        <f ca="1">IF($A299=0,0,SUMIF('Week 2 Roster'!$AZ:$AZ,$B299,'Week 2 Roster'!$AS:$AS))</f>
        <v>0</v>
      </c>
      <c r="AU299" s="17">
        <f t="shared" ca="1" si="98"/>
        <v>0</v>
      </c>
    </row>
    <row r="300" spans="1:47">
      <c r="A300" s="16" cm="1">
        <f t="array" aca="1" ref="A300" ca="1">_xlfn.NUMBERVALUE(INDIRECT(TEXT(MIN(IF(($AW$2:$AX$300&lt;&gt;"")*(COUNTIF($B$1:B299,$AW$2:$AX$300)=0),ROW($2:$300)*100+COLUMN($AW:$AX),7^8)),"R0C00"),)&amp;"")</f>
        <v>0</v>
      </c>
      <c r="B300" s="28" t="str">
        <f t="shared" ca="1" si="84"/>
        <v/>
      </c>
      <c r="C300" s="28" t="str">
        <f ca="1">IF($A300=0,"",VLOOKUP($B300,Employees!$A:$G,2,FALSE))</f>
        <v/>
      </c>
      <c r="D300" s="28" t="str">
        <f ca="1">IF($A300=0,"",VLOOKUP($B300,Employees!$A:$G,3,FALSE))</f>
        <v/>
      </c>
      <c r="E300" s="26" t="str">
        <f ca="1">IF($A300=0,"",VLOOKUP($B300,Employees!$A:$G,5,FALSE))</f>
        <v/>
      </c>
      <c r="F300" s="13" t="str">
        <f ca="1">IF($E300="","",ROUNDDOWN(YEARFRAC($E300, 'Week 1 Roster'!$D$1-1, 1), 0))</f>
        <v/>
      </c>
      <c r="G300" s="13" t="str">
        <f ca="1">IF($E300="","",ROUNDDOWN(YEARFRAC($E300, 'Week 1 Roster'!$D$1+14, 1), 0))</f>
        <v/>
      </c>
      <c r="H300" s="13" t="str">
        <f t="shared" ca="1" si="85"/>
        <v/>
      </c>
      <c r="I300" s="13" t="str">
        <f ca="1">IF($A300=0,"",VLOOKUP($B300,Employees!$A:$G,6,FALSE))</f>
        <v/>
      </c>
      <c r="J300" s="13" t="str">
        <f ca="1">IF($A300=0,"",VLOOKUP($B300,Employees!$A:$G,7,FALSE))</f>
        <v/>
      </c>
      <c r="K300" s="13" t="str">
        <f ca="1">IF($A300=0,"",IF(ISNA(VLOOKUP(A300,'Week 1 Roster'!A:C,2,0)),VLOOKUP(A300,'Week 2 Roster'!A:C,2,0),VLOOKUP(A300,'Week 1 Roster'!A:C,2,0)))</f>
        <v/>
      </c>
      <c r="L300" s="13" t="str">
        <f ca="1">IF($A300=0,"",VLOOKUP(K300,Stores!A:B,2,0))</f>
        <v/>
      </c>
      <c r="M300" s="14">
        <f t="shared" ca="1" si="86"/>
        <v>0</v>
      </c>
      <c r="N300" s="14">
        <f t="shared" ca="1" si="87"/>
        <v>0</v>
      </c>
      <c r="O300" s="14">
        <f t="shared" ca="1" si="88"/>
        <v>0</v>
      </c>
      <c r="P300" s="14">
        <f t="shared" ca="1" si="89"/>
        <v>0</v>
      </c>
      <c r="Q300" s="14">
        <f t="shared" ca="1" si="90"/>
        <v>0</v>
      </c>
      <c r="R300" s="14">
        <f t="shared" ca="1" si="91"/>
        <v>0</v>
      </c>
      <c r="S300" s="28">
        <f t="shared" ca="1" si="92"/>
        <v>0</v>
      </c>
      <c r="T300" s="14">
        <f t="shared" ca="1" si="93"/>
        <v>0</v>
      </c>
      <c r="U300" s="14">
        <f t="shared" ca="1" si="94"/>
        <v>0</v>
      </c>
      <c r="V300" s="14">
        <f t="shared" ca="1" si="95"/>
        <v>0</v>
      </c>
      <c r="W300" s="14">
        <f t="shared" ca="1" si="96"/>
        <v>0</v>
      </c>
      <c r="Y300" s="17">
        <f ca="1">IF($A300=0,0,SUMIF('Week 1 Roster'!$AZ:$AZ,$B300,'Week 1 Roster'!$AE:$AE))</f>
        <v>0</v>
      </c>
      <c r="Z300" s="17">
        <f ca="1">IF($A300=0,0,SUMIF('Week 1 Roster'!$AZ:$AZ,$B300,'Week 1 Roster'!$AG:$AG))</f>
        <v>0</v>
      </c>
      <c r="AA300" s="17">
        <f ca="1">IF($A300=0,0,SUMIF('Week 1 Roster'!$AZ:$AZ,$B300,'Week 1 Roster'!$AI:$AI))</f>
        <v>0</v>
      </c>
      <c r="AB300" s="17">
        <f ca="1">IF($A300=0,0,SUMIF('Week 1 Roster'!$AZ:$AZ,$B300,'Week 1 Roster'!$AK:$AK))</f>
        <v>0</v>
      </c>
      <c r="AC300" s="17">
        <f ca="1">IF($A300=0,0,SUMIF('Week 1 Roster'!$AZ:$AZ,$B300,'Week 1 Roster'!$AM:$AM))</f>
        <v>0</v>
      </c>
      <c r="AD300" s="17">
        <f ca="1">IF($A300=0,0,SUMIF('Week 1 Roster'!$AZ:$AZ,$B300,'Week 1 Roster'!$AO:$AO))</f>
        <v>0</v>
      </c>
      <c r="AE300" s="38">
        <f ca="1">IF($A300=0,0,SUMIF('Week 1 Roster'!$AZ:$AZ,$B300,'Week 1 Roster'!$AP:$AP))</f>
        <v>0</v>
      </c>
      <c r="AF300" s="17">
        <f ca="1">IF($A300=0,0,SUMIF('Week 1 Roster'!$AZ:$AZ,$B300,'Week 1 Roster'!$AQ:$AQ))</f>
        <v>0</v>
      </c>
      <c r="AG300" s="17">
        <f ca="1">IF($A300=0,0,SUMIF('Week 1 Roster'!$AZ:$AZ,$B300,'Week 1 Roster'!$AR:$AR))</f>
        <v>0</v>
      </c>
      <c r="AH300" s="17">
        <f ca="1">IF($A300=0,0,SUMIF('Week 1 Roster'!$AZ:$AZ,$B300,'Week 1 Roster'!$AS:$AS))</f>
        <v>0</v>
      </c>
      <c r="AI300" s="17">
        <f t="shared" ca="1" si="97"/>
        <v>0</v>
      </c>
      <c r="AK300" s="17">
        <f ca="1">IF($A300=0,0,SUMIF('Week 2 Roster'!$AZ:$AZ,$B300,'Week 2 Roster'!$AE:$AE))</f>
        <v>0</v>
      </c>
      <c r="AL300" s="17">
        <f ca="1">IF($A300=0,0,SUMIF('Week 2 Roster'!$AZ:$AZ,$B300,'Week 2 Roster'!$AG:$AG))</f>
        <v>0</v>
      </c>
      <c r="AM300" s="17">
        <f ca="1">IF($A300=0,0,SUMIF('Week 2 Roster'!$AZ:$AZ,$B300,'Week 2 Roster'!$AI:$AI))</f>
        <v>0</v>
      </c>
      <c r="AN300" s="17">
        <f ca="1">IF($A300=0,0,SUMIF('Week 2 Roster'!$AZ:$AZ,$B300,'Week 2 Roster'!$AK:$AK))</f>
        <v>0</v>
      </c>
      <c r="AO300" s="17">
        <f ca="1">IF($A300=0,0,SUMIF('Week 2 Roster'!$AZ:$AZ,$B300,'Week 2 Roster'!$AM:$AM))</f>
        <v>0</v>
      </c>
      <c r="AP300" s="17">
        <f ca="1">IF($A300=0,0,SUMIF('Week 2 Roster'!$AZ:$AZ,$B300,'Week 2 Roster'!$AO:$AO))</f>
        <v>0</v>
      </c>
      <c r="AQ300" s="38">
        <f ca="1">IF($A300=0,0,SUMIF('Week 2 Roster'!$AZ:$AZ,$B300,'Week 2 Roster'!$AP:$AP))</f>
        <v>0</v>
      </c>
      <c r="AR300" s="17">
        <f ca="1">IF($A300=0,0,SUMIF('Week 2 Roster'!$AZ:$AZ,$B300,'Week 2 Roster'!$AQ:$AQ))</f>
        <v>0</v>
      </c>
      <c r="AS300" s="17">
        <f ca="1">IF($A300=0,0,SUMIF('Week 2 Roster'!$AZ:$AZ,$B300,'Week 2 Roster'!$AR:$AR))</f>
        <v>0</v>
      </c>
      <c r="AT300" s="17">
        <f ca="1">IF($A300=0,0,SUMIF('Week 2 Roster'!$AZ:$AZ,$B300,'Week 2 Roster'!$AS:$AS))</f>
        <v>0</v>
      </c>
      <c r="AU300" s="17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dataConsolidate function="var"/>
  <phoneticPr fontId="2" type="noConversion"/>
  <conditionalFormatting sqref="H1:I1048576">
    <cfRule type="cellIs" dxfId="1" priority="1" operator="equal">
      <formula>FALSE</formula>
    </cfRule>
  </conditionalFormatting>
  <conditionalFormatting sqref="M1:AU1048576">
    <cfRule type="cellIs" dxfId="0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4BDC-C142-E944-927F-8EF6E3B01564}">
  <sheetPr codeName="Sheet5"/>
  <dimension ref="A1:I2228"/>
  <sheetViews>
    <sheetView topLeftCell="A83" zoomScale="186" zoomScaleNormal="186" workbookViewId="0">
      <selection activeCell="F98" sqref="F98"/>
    </sheetView>
  </sheetViews>
  <sheetFormatPr baseColWidth="10" defaultColWidth="10.83203125" defaultRowHeight="13"/>
  <cols>
    <col min="1" max="1" width="11.5" customWidth="1"/>
    <col min="2" max="2" width="17.1640625" bestFit="1" customWidth="1"/>
    <col min="3" max="3" width="16.1640625" customWidth="1"/>
    <col min="4" max="4" width="22.83203125" customWidth="1"/>
    <col min="5" max="5" width="11.5"/>
    <col min="6" max="6" width="13.6640625" style="32" bestFit="1" customWidth="1"/>
    <col min="7" max="7" width="14.1640625" bestFit="1" customWidth="1"/>
    <col min="8" max="8" width="14.1640625" customWidth="1"/>
    <col min="9" max="16384" width="10.83203125" style="12"/>
  </cols>
  <sheetData>
    <row r="1" spans="1:9">
      <c r="A1" t="s">
        <v>0</v>
      </c>
      <c r="B1" t="s">
        <v>37</v>
      </c>
      <c r="C1" t="s">
        <v>38</v>
      </c>
      <c r="D1" t="s">
        <v>2</v>
      </c>
      <c r="E1" t="s">
        <v>39</v>
      </c>
      <c r="F1" s="31" t="s">
        <v>41</v>
      </c>
      <c r="G1" t="s">
        <v>47</v>
      </c>
      <c r="H1" s="2" t="s">
        <v>48</v>
      </c>
      <c r="I1" s="12" t="str">
        <f>A1</f>
        <v>Employee ID</v>
      </c>
    </row>
    <row r="2" spans="1:9">
      <c r="A2">
        <v>10001</v>
      </c>
      <c r="B2" s="65" t="s">
        <v>49</v>
      </c>
      <c r="C2" s="65" t="s">
        <v>50</v>
      </c>
      <c r="D2" s="65" t="s">
        <v>51</v>
      </c>
      <c r="E2" s="66">
        <v>33178</v>
      </c>
      <c r="F2" s="65">
        <v>76</v>
      </c>
      <c r="G2" s="65" t="s">
        <v>52</v>
      </c>
      <c r="H2" s="65" t="s">
        <v>53</v>
      </c>
      <c r="I2" s="12">
        <f t="shared" ref="I2:I65" si="0">A2</f>
        <v>10001</v>
      </c>
    </row>
    <row r="3" spans="1:9">
      <c r="A3">
        <v>10002</v>
      </c>
      <c r="B3" s="65" t="s">
        <v>54</v>
      </c>
      <c r="C3" s="65" t="s">
        <v>55</v>
      </c>
      <c r="D3" s="65" t="s">
        <v>56</v>
      </c>
      <c r="E3" s="66">
        <v>34854</v>
      </c>
      <c r="F3" s="65">
        <v>76</v>
      </c>
      <c r="G3" s="65" t="s">
        <v>52</v>
      </c>
      <c r="H3" s="65"/>
      <c r="I3" s="12">
        <f t="shared" si="0"/>
        <v>10002</v>
      </c>
    </row>
    <row r="4" spans="1:9">
      <c r="A4">
        <v>10003</v>
      </c>
      <c r="B4" s="65" t="s">
        <v>57</v>
      </c>
      <c r="C4" s="65" t="s">
        <v>58</v>
      </c>
      <c r="D4" s="65" t="s">
        <v>59</v>
      </c>
      <c r="E4" s="66">
        <v>36881</v>
      </c>
      <c r="F4" s="65">
        <v>48</v>
      </c>
      <c r="G4" s="65" t="s">
        <v>52</v>
      </c>
      <c r="H4" s="65"/>
      <c r="I4" s="12">
        <f t="shared" si="0"/>
        <v>10003</v>
      </c>
    </row>
    <row r="5" spans="1:9">
      <c r="A5">
        <v>10004</v>
      </c>
      <c r="B5" s="65" t="s">
        <v>60</v>
      </c>
      <c r="C5" s="65" t="s">
        <v>61</v>
      </c>
      <c r="D5" s="65" t="s">
        <v>62</v>
      </c>
      <c r="E5" s="66">
        <v>37038</v>
      </c>
      <c r="F5" s="65">
        <v>48</v>
      </c>
      <c r="G5" s="65" t="s">
        <v>52</v>
      </c>
      <c r="H5" s="65"/>
      <c r="I5" s="12">
        <f t="shared" si="0"/>
        <v>10004</v>
      </c>
    </row>
    <row r="6" spans="1:9">
      <c r="A6">
        <v>10005</v>
      </c>
      <c r="B6" s="65" t="s">
        <v>63</v>
      </c>
      <c r="C6" s="65" t="s">
        <v>64</v>
      </c>
      <c r="D6" s="65" t="s">
        <v>65</v>
      </c>
      <c r="E6" s="66">
        <v>32417</v>
      </c>
      <c r="F6" s="65">
        <v>76</v>
      </c>
      <c r="G6" s="65" t="s">
        <v>52</v>
      </c>
      <c r="H6" s="65"/>
      <c r="I6" s="12">
        <f t="shared" si="0"/>
        <v>10005</v>
      </c>
    </row>
    <row r="7" spans="1:9">
      <c r="A7">
        <v>10006</v>
      </c>
      <c r="B7" s="65" t="s">
        <v>66</v>
      </c>
      <c r="C7" s="65" t="s">
        <v>67</v>
      </c>
      <c r="D7" s="65" t="s">
        <v>68</v>
      </c>
      <c r="E7" s="66">
        <v>32528</v>
      </c>
      <c r="F7" s="65">
        <v>76</v>
      </c>
      <c r="G7" s="65" t="s">
        <v>69</v>
      </c>
      <c r="H7" s="65"/>
      <c r="I7" s="12">
        <f t="shared" si="0"/>
        <v>10006</v>
      </c>
    </row>
    <row r="8" spans="1:9">
      <c r="A8">
        <v>10007</v>
      </c>
      <c r="B8" s="65" t="s">
        <v>70</v>
      </c>
      <c r="C8" s="65" t="s">
        <v>71</v>
      </c>
      <c r="D8" s="65" t="s">
        <v>72</v>
      </c>
      <c r="E8" s="66">
        <v>36422</v>
      </c>
      <c r="F8" s="65">
        <v>76</v>
      </c>
      <c r="G8" s="65" t="s">
        <v>52</v>
      </c>
      <c r="H8" s="65"/>
      <c r="I8" s="12">
        <f t="shared" si="0"/>
        <v>10007</v>
      </c>
    </row>
    <row r="9" spans="1:9">
      <c r="A9">
        <v>10008</v>
      </c>
      <c r="B9" s="65" t="s">
        <v>73</v>
      </c>
      <c r="C9" s="65" t="s">
        <v>74</v>
      </c>
      <c r="D9" s="65" t="s">
        <v>75</v>
      </c>
      <c r="E9" s="66">
        <v>36271</v>
      </c>
      <c r="F9" s="65">
        <v>76</v>
      </c>
      <c r="G9" s="65" t="s">
        <v>52</v>
      </c>
      <c r="H9" s="65"/>
      <c r="I9" s="12">
        <f t="shared" si="0"/>
        <v>10008</v>
      </c>
    </row>
    <row r="10" spans="1:9">
      <c r="A10">
        <v>10009</v>
      </c>
      <c r="B10" s="65" t="s">
        <v>76</v>
      </c>
      <c r="C10" s="65" t="s">
        <v>77</v>
      </c>
      <c r="D10" s="65" t="s">
        <v>78</v>
      </c>
      <c r="E10" s="66">
        <v>38294</v>
      </c>
      <c r="F10" s="65">
        <v>76</v>
      </c>
      <c r="G10" s="65" t="s">
        <v>52</v>
      </c>
      <c r="H10" s="65"/>
      <c r="I10" s="12">
        <f t="shared" si="0"/>
        <v>10009</v>
      </c>
    </row>
    <row r="11" spans="1:9">
      <c r="A11">
        <v>10010</v>
      </c>
      <c r="B11" s="65" t="s">
        <v>79</v>
      </c>
      <c r="C11" s="65" t="s">
        <v>80</v>
      </c>
      <c r="D11" s="65" t="s">
        <v>81</v>
      </c>
      <c r="E11" s="66">
        <v>36628</v>
      </c>
      <c r="F11" s="65">
        <v>76</v>
      </c>
      <c r="G11" s="65" t="s">
        <v>52</v>
      </c>
      <c r="H11" s="65"/>
      <c r="I11" s="12">
        <f t="shared" si="0"/>
        <v>10010</v>
      </c>
    </row>
    <row r="12" spans="1:9">
      <c r="A12">
        <v>10011</v>
      </c>
      <c r="B12" s="65" t="s">
        <v>82</v>
      </c>
      <c r="C12" s="65" t="s">
        <v>83</v>
      </c>
      <c r="D12" s="65" t="s">
        <v>84</v>
      </c>
      <c r="E12" s="66">
        <v>34222</v>
      </c>
      <c r="F12" s="65">
        <v>76</v>
      </c>
      <c r="G12" s="65" t="s">
        <v>52</v>
      </c>
      <c r="H12" s="65"/>
      <c r="I12" s="12">
        <f t="shared" si="0"/>
        <v>10011</v>
      </c>
    </row>
    <row r="13" spans="1:9">
      <c r="A13">
        <v>10012</v>
      </c>
      <c r="B13" s="65" t="s">
        <v>85</v>
      </c>
      <c r="C13" s="65" t="s">
        <v>86</v>
      </c>
      <c r="D13" s="65" t="s">
        <v>87</v>
      </c>
      <c r="E13" s="66">
        <v>35102</v>
      </c>
      <c r="F13" s="65">
        <v>76</v>
      </c>
      <c r="G13" s="65" t="s">
        <v>52</v>
      </c>
      <c r="H13" s="65" t="s">
        <v>53</v>
      </c>
      <c r="I13" s="12">
        <f t="shared" si="0"/>
        <v>10012</v>
      </c>
    </row>
    <row r="14" spans="1:9">
      <c r="A14">
        <v>10013</v>
      </c>
      <c r="B14" s="65" t="s">
        <v>88</v>
      </c>
      <c r="C14" s="65" t="s">
        <v>71</v>
      </c>
      <c r="D14" s="65" t="s">
        <v>89</v>
      </c>
      <c r="E14" s="66">
        <v>36798</v>
      </c>
      <c r="F14" s="65">
        <v>48</v>
      </c>
      <c r="G14" s="65" t="s">
        <v>52</v>
      </c>
      <c r="H14" s="65"/>
      <c r="I14" s="12">
        <f t="shared" si="0"/>
        <v>10013</v>
      </c>
    </row>
    <row r="15" spans="1:9">
      <c r="A15">
        <v>10014</v>
      </c>
      <c r="B15" s="65" t="s">
        <v>90</v>
      </c>
      <c r="C15" s="65" t="s">
        <v>91</v>
      </c>
      <c r="D15" s="65" t="s">
        <v>92</v>
      </c>
      <c r="E15" s="66">
        <v>36559</v>
      </c>
      <c r="F15" s="65">
        <v>76</v>
      </c>
      <c r="G15" s="65" t="s">
        <v>52</v>
      </c>
      <c r="H15" s="65"/>
      <c r="I15" s="12">
        <f t="shared" si="0"/>
        <v>10014</v>
      </c>
    </row>
    <row r="16" spans="1:9">
      <c r="A16">
        <v>10015</v>
      </c>
      <c r="B16" s="65" t="s">
        <v>93</v>
      </c>
      <c r="C16" s="65" t="s">
        <v>94</v>
      </c>
      <c r="D16" s="65" t="s">
        <v>95</v>
      </c>
      <c r="E16" s="66">
        <v>37913</v>
      </c>
      <c r="F16" s="65">
        <v>76</v>
      </c>
      <c r="G16" s="65" t="s">
        <v>52</v>
      </c>
      <c r="H16" s="65" t="s">
        <v>53</v>
      </c>
      <c r="I16" s="12">
        <f t="shared" si="0"/>
        <v>10015</v>
      </c>
    </row>
    <row r="17" spans="1:9">
      <c r="A17">
        <v>10016</v>
      </c>
      <c r="B17" s="65" t="s">
        <v>96</v>
      </c>
      <c r="C17" s="65" t="s">
        <v>97</v>
      </c>
      <c r="D17" s="65" t="s">
        <v>98</v>
      </c>
      <c r="E17" s="66">
        <v>38227</v>
      </c>
      <c r="F17" s="65">
        <v>76</v>
      </c>
      <c r="G17" s="65" t="s">
        <v>52</v>
      </c>
      <c r="H17" s="65"/>
      <c r="I17" s="12">
        <f t="shared" si="0"/>
        <v>10016</v>
      </c>
    </row>
    <row r="18" spans="1:9">
      <c r="A18">
        <v>10017</v>
      </c>
      <c r="B18" s="65" t="s">
        <v>99</v>
      </c>
      <c r="C18" s="65" t="s">
        <v>100</v>
      </c>
      <c r="D18" s="65" t="s">
        <v>101</v>
      </c>
      <c r="E18" s="66">
        <v>37993</v>
      </c>
      <c r="F18" s="65">
        <v>76</v>
      </c>
      <c r="G18" s="65" t="s">
        <v>52</v>
      </c>
      <c r="H18" s="65"/>
      <c r="I18" s="12">
        <f t="shared" si="0"/>
        <v>10017</v>
      </c>
    </row>
    <row r="19" spans="1:9">
      <c r="A19">
        <v>10018</v>
      </c>
      <c r="B19" s="65" t="s">
        <v>102</v>
      </c>
      <c r="C19" s="65" t="s">
        <v>103</v>
      </c>
      <c r="D19" s="65" t="s">
        <v>104</v>
      </c>
      <c r="E19" s="66">
        <v>35489</v>
      </c>
      <c r="F19" s="65">
        <v>76</v>
      </c>
      <c r="G19" s="65" t="s">
        <v>52</v>
      </c>
      <c r="H19" s="65"/>
      <c r="I19" s="12">
        <f t="shared" si="0"/>
        <v>10018</v>
      </c>
    </row>
    <row r="20" spans="1:9">
      <c r="A20">
        <v>10019</v>
      </c>
      <c r="B20" s="65" t="s">
        <v>105</v>
      </c>
      <c r="C20" s="65" t="s">
        <v>106</v>
      </c>
      <c r="D20" s="65" t="s">
        <v>107</v>
      </c>
      <c r="E20" s="66">
        <v>35403</v>
      </c>
      <c r="F20" s="65">
        <v>76</v>
      </c>
      <c r="G20" s="65" t="s">
        <v>52</v>
      </c>
      <c r="H20" s="65"/>
      <c r="I20" s="12">
        <f t="shared" si="0"/>
        <v>10019</v>
      </c>
    </row>
    <row r="21" spans="1:9">
      <c r="A21">
        <v>10020</v>
      </c>
      <c r="B21" s="65" t="s">
        <v>108</v>
      </c>
      <c r="C21" s="65" t="s">
        <v>109</v>
      </c>
      <c r="D21" s="65" t="s">
        <v>110</v>
      </c>
      <c r="E21" s="66">
        <v>36886</v>
      </c>
      <c r="F21" s="65">
        <v>76</v>
      </c>
      <c r="G21" s="65" t="s">
        <v>52</v>
      </c>
      <c r="H21" s="65"/>
      <c r="I21" s="12">
        <f t="shared" si="0"/>
        <v>10020</v>
      </c>
    </row>
    <row r="22" spans="1:9">
      <c r="A22">
        <v>10021</v>
      </c>
      <c r="B22" s="65" t="s">
        <v>111</v>
      </c>
      <c r="C22" s="65" t="s">
        <v>86</v>
      </c>
      <c r="D22" s="65" t="s">
        <v>112</v>
      </c>
      <c r="E22" s="66">
        <v>35725</v>
      </c>
      <c r="F22" s="65">
        <v>76</v>
      </c>
      <c r="G22" s="65" t="s">
        <v>52</v>
      </c>
      <c r="H22" s="65"/>
      <c r="I22" s="12">
        <f t="shared" si="0"/>
        <v>10021</v>
      </c>
    </row>
    <row r="23" spans="1:9">
      <c r="A23">
        <v>10022</v>
      </c>
      <c r="B23" s="65" t="s">
        <v>113</v>
      </c>
      <c r="C23" s="65" t="s">
        <v>114</v>
      </c>
      <c r="D23" s="65" t="s">
        <v>115</v>
      </c>
      <c r="E23" s="66">
        <v>35862</v>
      </c>
      <c r="F23" s="65">
        <v>76</v>
      </c>
      <c r="G23" s="65" t="s">
        <v>52</v>
      </c>
      <c r="H23" s="65" t="s">
        <v>53</v>
      </c>
      <c r="I23" s="12">
        <f t="shared" si="0"/>
        <v>10022</v>
      </c>
    </row>
    <row r="24" spans="1:9">
      <c r="A24">
        <v>10023</v>
      </c>
      <c r="B24" s="65" t="s">
        <v>116</v>
      </c>
      <c r="C24" s="65" t="s">
        <v>117</v>
      </c>
      <c r="D24" s="65"/>
      <c r="E24" s="66">
        <v>34717</v>
      </c>
      <c r="F24" s="65">
        <v>76</v>
      </c>
      <c r="G24" s="65" t="s">
        <v>52</v>
      </c>
      <c r="H24" s="65"/>
      <c r="I24" s="12">
        <f t="shared" si="0"/>
        <v>10023</v>
      </c>
    </row>
    <row r="25" spans="1:9">
      <c r="A25">
        <v>10024</v>
      </c>
      <c r="B25" s="65" t="s">
        <v>118</v>
      </c>
      <c r="C25" s="65" t="s">
        <v>119</v>
      </c>
      <c r="D25" s="65" t="s">
        <v>120</v>
      </c>
      <c r="E25" s="66">
        <v>35194</v>
      </c>
      <c r="F25" s="65">
        <v>76</v>
      </c>
      <c r="G25" s="65" t="s">
        <v>52</v>
      </c>
      <c r="H25" s="65"/>
      <c r="I25" s="12">
        <f t="shared" si="0"/>
        <v>10024</v>
      </c>
    </row>
    <row r="26" spans="1:9">
      <c r="A26">
        <v>10025</v>
      </c>
      <c r="B26" s="65" t="s">
        <v>121</v>
      </c>
      <c r="C26" s="65" t="s">
        <v>122</v>
      </c>
      <c r="D26" s="65" t="s">
        <v>123</v>
      </c>
      <c r="E26" s="66">
        <v>37388</v>
      </c>
      <c r="F26" s="65">
        <v>48</v>
      </c>
      <c r="G26" s="65" t="s">
        <v>52</v>
      </c>
      <c r="H26" s="65"/>
      <c r="I26" s="12">
        <f t="shared" si="0"/>
        <v>10025</v>
      </c>
    </row>
    <row r="27" spans="1:9">
      <c r="A27">
        <v>10026</v>
      </c>
      <c r="B27" s="65" t="s">
        <v>124</v>
      </c>
      <c r="C27" s="65" t="s">
        <v>125</v>
      </c>
      <c r="D27" s="65" t="s">
        <v>126</v>
      </c>
      <c r="E27" s="66">
        <v>36209</v>
      </c>
      <c r="F27" s="65">
        <v>76</v>
      </c>
      <c r="G27" s="65" t="s">
        <v>52</v>
      </c>
      <c r="H27" s="65"/>
      <c r="I27" s="12">
        <f t="shared" si="0"/>
        <v>10026</v>
      </c>
    </row>
    <row r="28" spans="1:9">
      <c r="A28">
        <v>10027</v>
      </c>
      <c r="B28" s="65" t="s">
        <v>127</v>
      </c>
      <c r="C28" s="65" t="s">
        <v>58</v>
      </c>
      <c r="D28" s="65" t="s">
        <v>128</v>
      </c>
      <c r="E28" s="66">
        <v>37716</v>
      </c>
      <c r="F28" s="65">
        <v>76</v>
      </c>
      <c r="G28" s="65" t="s">
        <v>52</v>
      </c>
      <c r="H28" s="65"/>
      <c r="I28" s="12">
        <f t="shared" si="0"/>
        <v>10027</v>
      </c>
    </row>
    <row r="29" spans="1:9">
      <c r="A29">
        <v>10028</v>
      </c>
      <c r="B29" s="65" t="s">
        <v>129</v>
      </c>
      <c r="C29" s="65" t="s">
        <v>130</v>
      </c>
      <c r="D29" s="65" t="s">
        <v>131</v>
      </c>
      <c r="E29" s="66">
        <v>36036</v>
      </c>
      <c r="F29" s="65">
        <v>4880</v>
      </c>
      <c r="G29" s="65" t="s">
        <v>132</v>
      </c>
      <c r="H29" s="65"/>
      <c r="I29" s="12">
        <f t="shared" si="0"/>
        <v>10028</v>
      </c>
    </row>
    <row r="30" spans="1:9">
      <c r="A30">
        <v>10029</v>
      </c>
      <c r="B30" s="65" t="s">
        <v>133</v>
      </c>
      <c r="C30" s="65" t="s">
        <v>134</v>
      </c>
      <c r="D30" s="65" t="s">
        <v>135</v>
      </c>
      <c r="E30" s="66">
        <v>36819</v>
      </c>
      <c r="F30" s="65">
        <v>76</v>
      </c>
      <c r="G30" s="65" t="s">
        <v>52</v>
      </c>
      <c r="H30" s="65"/>
      <c r="I30" s="12">
        <f t="shared" si="0"/>
        <v>10029</v>
      </c>
    </row>
    <row r="31" spans="1:9">
      <c r="A31">
        <v>10030</v>
      </c>
      <c r="B31" s="65" t="s">
        <v>136</v>
      </c>
      <c r="C31" s="65" t="s">
        <v>137</v>
      </c>
      <c r="D31" s="65" t="s">
        <v>138</v>
      </c>
      <c r="E31" s="66">
        <v>35798</v>
      </c>
      <c r="F31" s="65">
        <v>48</v>
      </c>
      <c r="G31" s="65" t="s">
        <v>52</v>
      </c>
      <c r="H31" s="65"/>
      <c r="I31" s="12">
        <f t="shared" si="0"/>
        <v>10030</v>
      </c>
    </row>
    <row r="32" spans="1:9">
      <c r="A32">
        <v>10031</v>
      </c>
      <c r="B32" s="65" t="s">
        <v>139</v>
      </c>
      <c r="C32" s="65" t="s">
        <v>140</v>
      </c>
      <c r="D32" s="65" t="s">
        <v>141</v>
      </c>
      <c r="E32" s="66">
        <v>35679</v>
      </c>
      <c r="F32" s="65">
        <v>48</v>
      </c>
      <c r="G32" s="65" t="s">
        <v>52</v>
      </c>
      <c r="H32" s="65"/>
      <c r="I32" s="12">
        <f t="shared" si="0"/>
        <v>10031</v>
      </c>
    </row>
    <row r="33" spans="1:9">
      <c r="A33">
        <v>10032</v>
      </c>
      <c r="B33" s="65" t="s">
        <v>142</v>
      </c>
      <c r="C33" s="65" t="s">
        <v>143</v>
      </c>
      <c r="D33" s="65" t="s">
        <v>144</v>
      </c>
      <c r="E33" s="66">
        <v>36733</v>
      </c>
      <c r="F33" s="65">
        <v>76</v>
      </c>
      <c r="G33" s="65" t="s">
        <v>52</v>
      </c>
      <c r="H33" s="65"/>
      <c r="I33" s="12">
        <f t="shared" si="0"/>
        <v>10032</v>
      </c>
    </row>
    <row r="34" spans="1:9">
      <c r="A34">
        <v>10033</v>
      </c>
      <c r="B34" s="65" t="s">
        <v>145</v>
      </c>
      <c r="C34" s="65" t="s">
        <v>146</v>
      </c>
      <c r="D34" s="65" t="s">
        <v>147</v>
      </c>
      <c r="E34" s="66">
        <v>36142</v>
      </c>
      <c r="F34" s="65">
        <v>76</v>
      </c>
      <c r="G34" s="65" t="s">
        <v>52</v>
      </c>
      <c r="H34" s="65"/>
      <c r="I34" s="12">
        <f t="shared" si="0"/>
        <v>10033</v>
      </c>
    </row>
    <row r="35" spans="1:9">
      <c r="A35">
        <v>10034</v>
      </c>
      <c r="B35" s="65" t="s">
        <v>148</v>
      </c>
      <c r="C35" s="65" t="s">
        <v>125</v>
      </c>
      <c r="D35" s="65" t="s">
        <v>149</v>
      </c>
      <c r="E35" s="66">
        <v>35108</v>
      </c>
      <c r="F35" s="65">
        <v>76</v>
      </c>
      <c r="G35" s="65" t="s">
        <v>52</v>
      </c>
      <c r="H35" s="65"/>
      <c r="I35" s="12">
        <f t="shared" si="0"/>
        <v>10034</v>
      </c>
    </row>
    <row r="36" spans="1:9">
      <c r="A36">
        <v>10035</v>
      </c>
      <c r="B36" s="65" t="s">
        <v>150</v>
      </c>
      <c r="C36" s="65" t="s">
        <v>114</v>
      </c>
      <c r="D36" s="65" t="s">
        <v>151</v>
      </c>
      <c r="E36" s="66">
        <v>35436</v>
      </c>
      <c r="F36" s="65">
        <v>48</v>
      </c>
      <c r="G36" s="65" t="s">
        <v>52</v>
      </c>
      <c r="H36" s="65"/>
      <c r="I36" s="12">
        <f t="shared" si="0"/>
        <v>10035</v>
      </c>
    </row>
    <row r="37" spans="1:9">
      <c r="A37">
        <v>10036</v>
      </c>
      <c r="B37" s="65" t="s">
        <v>152</v>
      </c>
      <c r="C37" s="65" t="s">
        <v>153</v>
      </c>
      <c r="D37" s="65" t="s">
        <v>154</v>
      </c>
      <c r="E37" s="66">
        <v>37272</v>
      </c>
      <c r="F37" s="65">
        <v>76</v>
      </c>
      <c r="G37" s="65" t="s">
        <v>52</v>
      </c>
      <c r="H37" s="65"/>
      <c r="I37" s="12">
        <f t="shared" si="0"/>
        <v>10036</v>
      </c>
    </row>
    <row r="38" spans="1:9">
      <c r="A38">
        <v>10037</v>
      </c>
      <c r="B38" s="65" t="s">
        <v>155</v>
      </c>
      <c r="C38" s="65" t="s">
        <v>156</v>
      </c>
      <c r="D38" s="65" t="s">
        <v>157</v>
      </c>
      <c r="E38" s="66">
        <v>33792</v>
      </c>
      <c r="F38" s="65">
        <v>96</v>
      </c>
      <c r="G38" s="65" t="s">
        <v>52</v>
      </c>
      <c r="H38" s="65"/>
      <c r="I38" s="12">
        <f t="shared" si="0"/>
        <v>10037</v>
      </c>
    </row>
    <row r="39" spans="1:9">
      <c r="A39">
        <v>10038</v>
      </c>
      <c r="B39" s="65" t="s">
        <v>158</v>
      </c>
      <c r="C39" s="65" t="s">
        <v>159</v>
      </c>
      <c r="D39" s="67" t="s">
        <v>160</v>
      </c>
      <c r="E39" s="66">
        <v>37403</v>
      </c>
      <c r="F39" s="65">
        <v>76</v>
      </c>
      <c r="G39" s="65" t="s">
        <v>52</v>
      </c>
      <c r="H39" s="65"/>
      <c r="I39" s="12">
        <f t="shared" si="0"/>
        <v>10038</v>
      </c>
    </row>
    <row r="40" spans="1:9">
      <c r="A40">
        <v>10039</v>
      </c>
      <c r="B40" s="65" t="s">
        <v>161</v>
      </c>
      <c r="C40" s="65" t="s">
        <v>86</v>
      </c>
      <c r="D40" s="65" t="s">
        <v>162</v>
      </c>
      <c r="E40" s="66">
        <v>34280</v>
      </c>
      <c r="F40" s="65">
        <v>76</v>
      </c>
      <c r="G40" s="65" t="s">
        <v>52</v>
      </c>
      <c r="H40" s="65"/>
      <c r="I40" s="12">
        <f t="shared" si="0"/>
        <v>10039</v>
      </c>
    </row>
    <row r="41" spans="1:9">
      <c r="A41">
        <v>10040</v>
      </c>
      <c r="B41" s="65" t="s">
        <v>163</v>
      </c>
      <c r="C41" s="65" t="s">
        <v>164</v>
      </c>
      <c r="D41" s="65" t="s">
        <v>165</v>
      </c>
      <c r="E41" s="66">
        <v>37068</v>
      </c>
      <c r="F41" s="67">
        <v>76</v>
      </c>
      <c r="G41" s="65" t="s">
        <v>52</v>
      </c>
      <c r="H41" s="65" t="s">
        <v>53</v>
      </c>
      <c r="I41" s="12">
        <f t="shared" si="0"/>
        <v>10040</v>
      </c>
    </row>
    <row r="42" spans="1:9">
      <c r="A42">
        <v>10041</v>
      </c>
      <c r="B42" s="65" t="s">
        <v>166</v>
      </c>
      <c r="C42" s="65" t="s">
        <v>167</v>
      </c>
      <c r="D42" s="65" t="s">
        <v>168</v>
      </c>
      <c r="E42" s="66">
        <v>35284</v>
      </c>
      <c r="F42" s="67">
        <v>76</v>
      </c>
      <c r="G42" s="65" t="s">
        <v>52</v>
      </c>
      <c r="H42" s="65"/>
      <c r="I42" s="12">
        <f t="shared" si="0"/>
        <v>10041</v>
      </c>
    </row>
    <row r="43" spans="1:9">
      <c r="A43">
        <v>10042</v>
      </c>
      <c r="B43" s="65" t="s">
        <v>169</v>
      </c>
      <c r="C43" s="65" t="s">
        <v>170</v>
      </c>
      <c r="D43" s="65" t="s">
        <v>171</v>
      </c>
      <c r="E43" s="66">
        <v>36161</v>
      </c>
      <c r="F43" s="67">
        <v>76</v>
      </c>
      <c r="G43" s="65" t="s">
        <v>52</v>
      </c>
      <c r="H43" s="65"/>
      <c r="I43" s="12">
        <f t="shared" si="0"/>
        <v>10042</v>
      </c>
    </row>
    <row r="44" spans="1:9">
      <c r="A44">
        <v>10043</v>
      </c>
      <c r="B44" s="65" t="s">
        <v>172</v>
      </c>
      <c r="C44" s="65" t="s">
        <v>173</v>
      </c>
      <c r="D44" s="65" t="s">
        <v>174</v>
      </c>
      <c r="E44" s="66">
        <v>37272</v>
      </c>
      <c r="F44" s="67">
        <v>76</v>
      </c>
      <c r="G44" s="65" t="s">
        <v>52</v>
      </c>
      <c r="H44" s="65"/>
      <c r="I44" s="12">
        <f t="shared" si="0"/>
        <v>10043</v>
      </c>
    </row>
    <row r="45" spans="1:9">
      <c r="A45">
        <v>10044</v>
      </c>
      <c r="B45" s="65" t="s">
        <v>175</v>
      </c>
      <c r="C45" s="65" t="s">
        <v>176</v>
      </c>
      <c r="D45" s="65"/>
      <c r="E45" s="66">
        <v>33435</v>
      </c>
      <c r="F45" s="67">
        <v>76</v>
      </c>
      <c r="G45" s="65" t="s">
        <v>52</v>
      </c>
      <c r="H45" s="65"/>
      <c r="I45" s="12">
        <f t="shared" si="0"/>
        <v>10044</v>
      </c>
    </row>
    <row r="46" spans="1:9">
      <c r="A46">
        <v>10045</v>
      </c>
      <c r="B46" s="65" t="s">
        <v>177</v>
      </c>
      <c r="C46" s="65" t="s">
        <v>125</v>
      </c>
      <c r="D46" s="65" t="s">
        <v>178</v>
      </c>
      <c r="E46" s="66">
        <v>35301</v>
      </c>
      <c r="F46" s="67">
        <v>4880</v>
      </c>
      <c r="G46" s="65" t="s">
        <v>52</v>
      </c>
      <c r="H46" s="65"/>
      <c r="I46" s="12">
        <f t="shared" si="0"/>
        <v>10045</v>
      </c>
    </row>
    <row r="47" spans="1:9">
      <c r="A47">
        <v>10046</v>
      </c>
      <c r="B47" s="65" t="s">
        <v>179</v>
      </c>
      <c r="C47" s="65" t="s">
        <v>86</v>
      </c>
      <c r="D47" s="65" t="s">
        <v>180</v>
      </c>
      <c r="E47" s="66">
        <v>36986</v>
      </c>
      <c r="F47" s="67">
        <v>76</v>
      </c>
      <c r="G47" s="65" t="s">
        <v>52</v>
      </c>
      <c r="H47" s="65"/>
      <c r="I47" s="12">
        <f t="shared" si="0"/>
        <v>10046</v>
      </c>
    </row>
    <row r="48" spans="1:9">
      <c r="A48">
        <v>10047</v>
      </c>
      <c r="B48" s="65" t="s">
        <v>181</v>
      </c>
      <c r="C48" s="65" t="s">
        <v>114</v>
      </c>
      <c r="D48" s="65" t="s">
        <v>182</v>
      </c>
      <c r="E48" s="66">
        <v>35330</v>
      </c>
      <c r="F48" s="67">
        <v>76</v>
      </c>
      <c r="G48" s="65" t="s">
        <v>52</v>
      </c>
      <c r="H48" s="65"/>
      <c r="I48" s="12">
        <f t="shared" si="0"/>
        <v>10047</v>
      </c>
    </row>
    <row r="49" spans="1:9">
      <c r="A49">
        <v>10048</v>
      </c>
      <c r="B49" s="65" t="s">
        <v>183</v>
      </c>
      <c r="C49" s="65" t="s">
        <v>184</v>
      </c>
      <c r="D49" s="65" t="s">
        <v>185</v>
      </c>
      <c r="E49" s="66">
        <v>35083</v>
      </c>
      <c r="F49" s="67">
        <v>48</v>
      </c>
      <c r="G49" s="65" t="s">
        <v>52</v>
      </c>
      <c r="H49" s="65"/>
      <c r="I49" s="12">
        <f t="shared" si="0"/>
        <v>10048</v>
      </c>
    </row>
    <row r="50" spans="1:9">
      <c r="A50">
        <v>10049</v>
      </c>
      <c r="B50" s="65" t="s">
        <v>186</v>
      </c>
      <c r="C50" s="65" t="s">
        <v>114</v>
      </c>
      <c r="D50" s="65" t="s">
        <v>187</v>
      </c>
      <c r="E50" s="66">
        <v>35096</v>
      </c>
      <c r="F50" s="67">
        <v>76</v>
      </c>
      <c r="G50" s="65" t="s">
        <v>52</v>
      </c>
      <c r="H50" s="65"/>
      <c r="I50" s="12">
        <f t="shared" si="0"/>
        <v>10049</v>
      </c>
    </row>
    <row r="51" spans="1:9">
      <c r="A51">
        <v>10050</v>
      </c>
      <c r="B51" s="65" t="s">
        <v>188</v>
      </c>
      <c r="C51" s="65" t="s">
        <v>67</v>
      </c>
      <c r="D51" s="65" t="s">
        <v>189</v>
      </c>
      <c r="E51" s="66">
        <v>35193</v>
      </c>
      <c r="F51" s="67">
        <v>76</v>
      </c>
      <c r="G51" s="65" t="s">
        <v>52</v>
      </c>
      <c r="H51" s="65"/>
      <c r="I51" s="12">
        <f t="shared" si="0"/>
        <v>10050</v>
      </c>
    </row>
    <row r="52" spans="1:9">
      <c r="A52">
        <v>10051</v>
      </c>
      <c r="B52" s="65" t="s">
        <v>188</v>
      </c>
      <c r="C52" s="65" t="s">
        <v>71</v>
      </c>
      <c r="D52" s="65" t="s">
        <v>190</v>
      </c>
      <c r="E52" s="66">
        <v>35454</v>
      </c>
      <c r="F52" s="67">
        <v>76</v>
      </c>
      <c r="G52" s="65" t="s">
        <v>52</v>
      </c>
      <c r="H52" s="65"/>
      <c r="I52" s="12">
        <f t="shared" si="0"/>
        <v>10051</v>
      </c>
    </row>
    <row r="53" spans="1:9">
      <c r="A53">
        <v>10052</v>
      </c>
      <c r="B53" s="65" t="s">
        <v>191</v>
      </c>
      <c r="C53" s="65" t="s">
        <v>192</v>
      </c>
      <c r="D53" s="65" t="s">
        <v>193</v>
      </c>
      <c r="E53" s="66">
        <v>35308</v>
      </c>
      <c r="F53" s="67">
        <v>76</v>
      </c>
      <c r="G53" s="65" t="s">
        <v>52</v>
      </c>
      <c r="H53" s="65"/>
      <c r="I53" s="12">
        <f t="shared" si="0"/>
        <v>10052</v>
      </c>
    </row>
    <row r="54" spans="1:9">
      <c r="A54">
        <v>10053</v>
      </c>
      <c r="B54" s="65" t="s">
        <v>194</v>
      </c>
      <c r="C54" s="65" t="s">
        <v>58</v>
      </c>
      <c r="D54" s="65" t="s">
        <v>195</v>
      </c>
      <c r="E54" s="66">
        <v>32003</v>
      </c>
      <c r="F54" s="67">
        <v>48</v>
      </c>
      <c r="G54" s="65" t="s">
        <v>52</v>
      </c>
      <c r="H54" s="65"/>
      <c r="I54" s="12">
        <f t="shared" si="0"/>
        <v>10053</v>
      </c>
    </row>
    <row r="55" spans="1:9">
      <c r="A55">
        <v>10054</v>
      </c>
      <c r="B55" s="65" t="s">
        <v>196</v>
      </c>
      <c r="C55" s="65" t="s">
        <v>71</v>
      </c>
      <c r="D55" s="65" t="s">
        <v>197</v>
      </c>
      <c r="E55" s="66">
        <v>37182</v>
      </c>
      <c r="F55" s="67">
        <v>76</v>
      </c>
      <c r="G55" s="65" t="s">
        <v>69</v>
      </c>
      <c r="H55" s="65"/>
      <c r="I55" s="12">
        <f t="shared" si="0"/>
        <v>10054</v>
      </c>
    </row>
    <row r="56" spans="1:9">
      <c r="A56">
        <v>10055</v>
      </c>
      <c r="B56" s="65" t="s">
        <v>198</v>
      </c>
      <c r="C56" s="65" t="s">
        <v>50</v>
      </c>
      <c r="D56" s="65" t="s">
        <v>199</v>
      </c>
      <c r="E56" s="66">
        <v>36727</v>
      </c>
      <c r="F56" s="67">
        <v>48</v>
      </c>
      <c r="G56" s="65" t="s">
        <v>52</v>
      </c>
      <c r="H56" s="65"/>
      <c r="I56" s="12">
        <f t="shared" si="0"/>
        <v>10055</v>
      </c>
    </row>
    <row r="57" spans="1:9">
      <c r="A57">
        <v>10056</v>
      </c>
      <c r="B57" s="65" t="s">
        <v>200</v>
      </c>
      <c r="C57" s="65" t="s">
        <v>201</v>
      </c>
      <c r="D57" s="65" t="s">
        <v>202</v>
      </c>
      <c r="E57" s="66">
        <v>35983</v>
      </c>
      <c r="F57" s="67">
        <v>76</v>
      </c>
      <c r="G57" s="65" t="s">
        <v>52</v>
      </c>
      <c r="H57" s="65"/>
      <c r="I57" s="12">
        <f t="shared" si="0"/>
        <v>10056</v>
      </c>
    </row>
    <row r="58" spans="1:9">
      <c r="A58">
        <v>10057</v>
      </c>
      <c r="B58" s="65" t="s">
        <v>203</v>
      </c>
      <c r="C58" s="65" t="s">
        <v>86</v>
      </c>
      <c r="D58" s="65" t="s">
        <v>204</v>
      </c>
      <c r="E58" s="66">
        <v>34915</v>
      </c>
      <c r="F58" s="67">
        <v>76</v>
      </c>
      <c r="G58" s="65" t="s">
        <v>52</v>
      </c>
      <c r="H58" s="65"/>
      <c r="I58" s="12">
        <f t="shared" si="0"/>
        <v>10057</v>
      </c>
    </row>
    <row r="59" spans="1:9">
      <c r="A59">
        <v>10058</v>
      </c>
      <c r="B59" s="65" t="s">
        <v>205</v>
      </c>
      <c r="C59" s="65" t="s">
        <v>206</v>
      </c>
      <c r="D59" s="65" t="s">
        <v>207</v>
      </c>
      <c r="E59" s="68">
        <v>35353</v>
      </c>
      <c r="F59" s="67">
        <v>76</v>
      </c>
      <c r="G59" s="65" t="s">
        <v>52</v>
      </c>
      <c r="H59" s="65"/>
      <c r="I59" s="12">
        <f t="shared" si="0"/>
        <v>10058</v>
      </c>
    </row>
    <row r="60" spans="1:9">
      <c r="A60">
        <v>10059</v>
      </c>
      <c r="B60" s="65" t="s">
        <v>208</v>
      </c>
      <c r="C60" s="65" t="s">
        <v>137</v>
      </c>
      <c r="D60" s="65" t="s">
        <v>31</v>
      </c>
      <c r="E60" s="68">
        <v>35147</v>
      </c>
      <c r="F60" s="67">
        <v>76</v>
      </c>
      <c r="G60" s="65" t="s">
        <v>52</v>
      </c>
      <c r="H60" s="65"/>
      <c r="I60" s="12">
        <f t="shared" si="0"/>
        <v>10059</v>
      </c>
    </row>
    <row r="61" spans="1:9">
      <c r="A61">
        <v>10060</v>
      </c>
      <c r="B61" s="65" t="s">
        <v>209</v>
      </c>
      <c r="C61" s="65" t="s">
        <v>210</v>
      </c>
      <c r="D61" s="65" t="s">
        <v>211</v>
      </c>
      <c r="E61" s="68">
        <v>34540</v>
      </c>
      <c r="F61" s="67">
        <v>76</v>
      </c>
      <c r="G61" s="65" t="s">
        <v>52</v>
      </c>
      <c r="H61" s="65"/>
      <c r="I61" s="12">
        <f t="shared" si="0"/>
        <v>10060</v>
      </c>
    </row>
    <row r="62" spans="1:9">
      <c r="A62">
        <v>10061</v>
      </c>
      <c r="B62" s="65" t="s">
        <v>212</v>
      </c>
      <c r="C62" s="65" t="s">
        <v>176</v>
      </c>
      <c r="D62" s="65" t="s">
        <v>213</v>
      </c>
      <c r="E62" s="66">
        <v>36386</v>
      </c>
      <c r="F62" s="67">
        <v>76</v>
      </c>
      <c r="G62" s="65" t="s">
        <v>214</v>
      </c>
      <c r="H62" s="65" t="s">
        <v>53</v>
      </c>
      <c r="I62" s="12">
        <f t="shared" si="0"/>
        <v>10061</v>
      </c>
    </row>
    <row r="63" spans="1:9">
      <c r="A63">
        <v>10062</v>
      </c>
      <c r="B63" s="65" t="s">
        <v>215</v>
      </c>
      <c r="C63" s="65" t="s">
        <v>216</v>
      </c>
      <c r="D63" s="65" t="s">
        <v>217</v>
      </c>
      <c r="E63" s="66">
        <v>38748</v>
      </c>
      <c r="F63" s="67">
        <v>76</v>
      </c>
      <c r="G63" s="65" t="s">
        <v>214</v>
      </c>
      <c r="H63" s="65"/>
      <c r="I63" s="12">
        <f t="shared" si="0"/>
        <v>10062</v>
      </c>
    </row>
    <row r="64" spans="1:9">
      <c r="A64">
        <v>10063</v>
      </c>
      <c r="B64" s="65" t="s">
        <v>218</v>
      </c>
      <c r="C64" s="65" t="s">
        <v>219</v>
      </c>
      <c r="D64" s="65" t="s">
        <v>220</v>
      </c>
      <c r="E64" s="66">
        <v>38463</v>
      </c>
      <c r="F64" s="67">
        <v>76</v>
      </c>
      <c r="G64" s="65" t="s">
        <v>214</v>
      </c>
      <c r="H64" s="65"/>
      <c r="I64" s="12">
        <f t="shared" si="0"/>
        <v>10063</v>
      </c>
    </row>
    <row r="65" spans="1:9">
      <c r="A65">
        <v>10064</v>
      </c>
      <c r="B65" s="65" t="s">
        <v>221</v>
      </c>
      <c r="C65" s="65" t="s">
        <v>222</v>
      </c>
      <c r="D65" s="65" t="s">
        <v>223</v>
      </c>
      <c r="E65" s="66">
        <v>38081</v>
      </c>
      <c r="F65" s="67">
        <v>76</v>
      </c>
      <c r="G65" s="65" t="s">
        <v>214</v>
      </c>
      <c r="H65" s="65"/>
      <c r="I65" s="12">
        <f t="shared" si="0"/>
        <v>10064</v>
      </c>
    </row>
    <row r="66" spans="1:9">
      <c r="A66">
        <v>10065</v>
      </c>
      <c r="B66" s="65" t="s">
        <v>224</v>
      </c>
      <c r="C66" s="65" t="s">
        <v>225</v>
      </c>
      <c r="D66" s="65" t="s">
        <v>226</v>
      </c>
      <c r="E66" s="66">
        <v>36354</v>
      </c>
      <c r="F66" s="67">
        <v>76</v>
      </c>
      <c r="G66" s="65" t="s">
        <v>214</v>
      </c>
      <c r="H66" s="65"/>
      <c r="I66" s="12">
        <f t="shared" ref="I66:I129" si="1">A66</f>
        <v>10065</v>
      </c>
    </row>
    <row r="67" spans="1:9">
      <c r="A67">
        <v>10066</v>
      </c>
      <c r="B67" s="65" t="s">
        <v>227</v>
      </c>
      <c r="C67" s="65" t="s">
        <v>228</v>
      </c>
      <c r="D67" s="65" t="s">
        <v>229</v>
      </c>
      <c r="E67" s="66">
        <v>37867</v>
      </c>
      <c r="F67" s="67">
        <v>76</v>
      </c>
      <c r="G67" s="65" t="s">
        <v>214</v>
      </c>
      <c r="H67" s="65"/>
      <c r="I67" s="12">
        <f t="shared" si="1"/>
        <v>10066</v>
      </c>
    </row>
    <row r="68" spans="1:9">
      <c r="A68">
        <v>10067</v>
      </c>
      <c r="B68" s="65" t="s">
        <v>230</v>
      </c>
      <c r="C68" s="65" t="s">
        <v>231</v>
      </c>
      <c r="D68" s="65" t="s">
        <v>232</v>
      </c>
      <c r="E68" s="66">
        <v>34508</v>
      </c>
      <c r="F68" s="67">
        <v>76</v>
      </c>
      <c r="G68" s="65" t="s">
        <v>214</v>
      </c>
      <c r="H68" s="65"/>
      <c r="I68" s="12">
        <f t="shared" si="1"/>
        <v>10067</v>
      </c>
    </row>
    <row r="69" spans="1:9">
      <c r="A69">
        <v>10068</v>
      </c>
      <c r="B69" s="65" t="s">
        <v>233</v>
      </c>
      <c r="C69" s="65" t="s">
        <v>234</v>
      </c>
      <c r="D69" s="65" t="s">
        <v>235</v>
      </c>
      <c r="E69" s="66">
        <v>37566</v>
      </c>
      <c r="F69" s="67">
        <v>76</v>
      </c>
      <c r="G69" s="65" t="s">
        <v>214</v>
      </c>
      <c r="H69" s="65"/>
      <c r="I69" s="12">
        <f t="shared" si="1"/>
        <v>10068</v>
      </c>
    </row>
    <row r="70" spans="1:9">
      <c r="A70">
        <v>10069</v>
      </c>
      <c r="B70" s="65" t="s">
        <v>236</v>
      </c>
      <c r="C70" s="65" t="s">
        <v>237</v>
      </c>
      <c r="D70" s="65" t="s">
        <v>238</v>
      </c>
      <c r="E70" s="66">
        <v>38483</v>
      </c>
      <c r="F70" s="67">
        <v>76</v>
      </c>
      <c r="G70" s="65" t="s">
        <v>214</v>
      </c>
      <c r="H70" s="65"/>
      <c r="I70" s="12">
        <f t="shared" si="1"/>
        <v>10069</v>
      </c>
    </row>
    <row r="71" spans="1:9">
      <c r="A71">
        <v>10070</v>
      </c>
      <c r="B71" s="65" t="s">
        <v>239</v>
      </c>
      <c r="C71" s="65" t="s">
        <v>240</v>
      </c>
      <c r="D71" s="65" t="s">
        <v>241</v>
      </c>
      <c r="E71" s="66">
        <v>38175</v>
      </c>
      <c r="F71" s="67">
        <v>76</v>
      </c>
      <c r="G71" s="65" t="s">
        <v>214</v>
      </c>
      <c r="H71" s="65"/>
      <c r="I71" s="12">
        <f t="shared" si="1"/>
        <v>10070</v>
      </c>
    </row>
    <row r="72" spans="1:9">
      <c r="A72">
        <v>10071</v>
      </c>
      <c r="B72" s="65" t="s">
        <v>242</v>
      </c>
      <c r="C72" s="65" t="s">
        <v>243</v>
      </c>
      <c r="D72" s="65" t="s">
        <v>244</v>
      </c>
      <c r="E72" s="66">
        <v>38303</v>
      </c>
      <c r="F72" s="67">
        <v>76</v>
      </c>
      <c r="G72" s="65" t="s">
        <v>214</v>
      </c>
      <c r="H72" s="65"/>
      <c r="I72" s="12">
        <f t="shared" si="1"/>
        <v>10071</v>
      </c>
    </row>
    <row r="73" spans="1:9">
      <c r="A73">
        <v>10072</v>
      </c>
      <c r="B73" s="65" t="s">
        <v>245</v>
      </c>
      <c r="C73" s="65" t="s">
        <v>125</v>
      </c>
      <c r="D73" s="65" t="s">
        <v>246</v>
      </c>
      <c r="E73" s="66">
        <v>35410</v>
      </c>
      <c r="F73" s="67">
        <v>76</v>
      </c>
      <c r="G73" s="65" t="s">
        <v>214</v>
      </c>
      <c r="H73" s="65"/>
      <c r="I73" s="12">
        <f t="shared" si="1"/>
        <v>10072</v>
      </c>
    </row>
    <row r="74" spans="1:9">
      <c r="A74">
        <v>10073</v>
      </c>
      <c r="B74" s="65" t="s">
        <v>247</v>
      </c>
      <c r="C74" s="65" t="s">
        <v>248</v>
      </c>
      <c r="D74" s="65" t="s">
        <v>249</v>
      </c>
      <c r="E74" s="66">
        <v>38121</v>
      </c>
      <c r="F74" s="67">
        <v>76</v>
      </c>
      <c r="G74" s="65" t="s">
        <v>214</v>
      </c>
      <c r="H74" s="65"/>
      <c r="I74" s="12">
        <f t="shared" si="1"/>
        <v>10073</v>
      </c>
    </row>
    <row r="75" spans="1:9">
      <c r="A75">
        <v>10074</v>
      </c>
      <c r="B75" s="65" t="s">
        <v>250</v>
      </c>
      <c r="C75" s="65" t="s">
        <v>251</v>
      </c>
      <c r="D75" s="65" t="s">
        <v>252</v>
      </c>
      <c r="E75" s="66">
        <v>32690</v>
      </c>
      <c r="F75" s="67">
        <v>48</v>
      </c>
      <c r="G75" s="65" t="s">
        <v>214</v>
      </c>
      <c r="H75" s="65"/>
      <c r="I75" s="12">
        <f t="shared" si="1"/>
        <v>10074</v>
      </c>
    </row>
    <row r="76" spans="1:9">
      <c r="A76">
        <v>10075</v>
      </c>
      <c r="B76" s="65" t="s">
        <v>253</v>
      </c>
      <c r="C76" s="65" t="s">
        <v>240</v>
      </c>
      <c r="D76" s="65" t="s">
        <v>254</v>
      </c>
      <c r="E76" s="66">
        <v>31279</v>
      </c>
      <c r="F76" s="67">
        <v>76</v>
      </c>
      <c r="G76" s="65" t="s">
        <v>214</v>
      </c>
      <c r="H76" s="65"/>
      <c r="I76" s="12">
        <f t="shared" si="1"/>
        <v>10075</v>
      </c>
    </row>
    <row r="77" spans="1:9">
      <c r="A77">
        <v>10076</v>
      </c>
      <c r="B77" s="65" t="s">
        <v>60</v>
      </c>
      <c r="C77" s="65" t="s">
        <v>77</v>
      </c>
      <c r="D77" s="65" t="s">
        <v>255</v>
      </c>
      <c r="E77" s="66">
        <v>35852</v>
      </c>
      <c r="F77" s="67">
        <v>76</v>
      </c>
      <c r="G77" s="65" t="s">
        <v>214</v>
      </c>
      <c r="H77" s="65"/>
      <c r="I77" s="12">
        <f t="shared" si="1"/>
        <v>10076</v>
      </c>
    </row>
    <row r="78" spans="1:9">
      <c r="A78">
        <v>10077</v>
      </c>
      <c r="B78" s="65" t="s">
        <v>256</v>
      </c>
      <c r="C78" s="65" t="s">
        <v>257</v>
      </c>
      <c r="D78" s="65" t="s">
        <v>256</v>
      </c>
      <c r="E78" s="66">
        <v>37626</v>
      </c>
      <c r="F78" s="67">
        <v>76</v>
      </c>
      <c r="G78" s="65" t="s">
        <v>214</v>
      </c>
      <c r="H78" s="65"/>
      <c r="I78" s="12">
        <f t="shared" si="1"/>
        <v>10077</v>
      </c>
    </row>
    <row r="79" spans="1:9">
      <c r="A79">
        <v>10078</v>
      </c>
      <c r="B79" s="65" t="s">
        <v>258</v>
      </c>
      <c r="C79" s="65" t="s">
        <v>259</v>
      </c>
      <c r="D79" s="65" t="s">
        <v>260</v>
      </c>
      <c r="E79" s="66">
        <v>37475</v>
      </c>
      <c r="F79" s="67">
        <v>76</v>
      </c>
      <c r="G79" s="65" t="s">
        <v>214</v>
      </c>
      <c r="H79" s="65"/>
      <c r="I79" s="12">
        <f t="shared" si="1"/>
        <v>10078</v>
      </c>
    </row>
    <row r="80" spans="1:9">
      <c r="A80">
        <v>10079</v>
      </c>
      <c r="B80" s="65" t="s">
        <v>261</v>
      </c>
      <c r="C80" s="65" t="s">
        <v>170</v>
      </c>
      <c r="D80" s="65" t="s">
        <v>262</v>
      </c>
      <c r="E80" s="66">
        <v>34998</v>
      </c>
      <c r="F80" s="67">
        <v>76</v>
      </c>
      <c r="G80" s="65" t="s">
        <v>214</v>
      </c>
      <c r="H80" s="65"/>
      <c r="I80" s="12">
        <f t="shared" si="1"/>
        <v>10079</v>
      </c>
    </row>
    <row r="81" spans="1:9">
      <c r="A81">
        <v>10080</v>
      </c>
      <c r="B81" s="65" t="s">
        <v>263</v>
      </c>
      <c r="C81" s="65" t="s">
        <v>264</v>
      </c>
      <c r="D81" s="65" t="s">
        <v>265</v>
      </c>
      <c r="E81" s="66">
        <v>39227</v>
      </c>
      <c r="F81" s="67">
        <v>76</v>
      </c>
      <c r="G81" s="65" t="s">
        <v>214</v>
      </c>
      <c r="H81" s="65"/>
      <c r="I81" s="12">
        <f t="shared" si="1"/>
        <v>10080</v>
      </c>
    </row>
    <row r="82" spans="1:9">
      <c r="A82">
        <v>10081</v>
      </c>
      <c r="B82" s="65" t="s">
        <v>266</v>
      </c>
      <c r="C82" s="65" t="s">
        <v>267</v>
      </c>
      <c r="D82" s="65" t="s">
        <v>268</v>
      </c>
      <c r="E82" s="66">
        <v>37594</v>
      </c>
      <c r="F82" s="67">
        <v>76</v>
      </c>
      <c r="G82" s="65" t="s">
        <v>214</v>
      </c>
      <c r="H82" s="65"/>
      <c r="I82" s="12">
        <f t="shared" si="1"/>
        <v>10081</v>
      </c>
    </row>
    <row r="83" spans="1:9">
      <c r="A83">
        <v>10082</v>
      </c>
      <c r="B83" s="65" t="s">
        <v>269</v>
      </c>
      <c r="C83" s="65" t="s">
        <v>270</v>
      </c>
      <c r="D83" s="65" t="s">
        <v>271</v>
      </c>
      <c r="E83" s="66">
        <v>38610</v>
      </c>
      <c r="F83" s="67">
        <v>76</v>
      </c>
      <c r="G83" s="65" t="s">
        <v>214</v>
      </c>
      <c r="H83" s="65"/>
      <c r="I83" s="12">
        <f t="shared" si="1"/>
        <v>10082</v>
      </c>
    </row>
    <row r="84" spans="1:9">
      <c r="A84">
        <v>10083</v>
      </c>
      <c r="B84" s="65" t="s">
        <v>272</v>
      </c>
      <c r="C84" s="65" t="s">
        <v>273</v>
      </c>
      <c r="D84" s="65" t="s">
        <v>274</v>
      </c>
      <c r="E84" s="66">
        <v>37674</v>
      </c>
      <c r="F84" s="67">
        <v>76</v>
      </c>
      <c r="G84" s="65" t="s">
        <v>214</v>
      </c>
      <c r="H84" s="65"/>
      <c r="I84" s="12">
        <f t="shared" si="1"/>
        <v>10083</v>
      </c>
    </row>
    <row r="85" spans="1:9">
      <c r="A85">
        <v>10084</v>
      </c>
      <c r="B85" s="65" t="s">
        <v>275</v>
      </c>
      <c r="C85" s="65" t="s">
        <v>276</v>
      </c>
      <c r="D85" s="65" t="s">
        <v>277</v>
      </c>
      <c r="E85" s="66">
        <v>38575</v>
      </c>
      <c r="F85" s="67">
        <v>76</v>
      </c>
      <c r="G85" s="65" t="s">
        <v>214</v>
      </c>
      <c r="H85" s="65"/>
      <c r="I85" s="12">
        <f t="shared" si="1"/>
        <v>10084</v>
      </c>
    </row>
    <row r="86" spans="1:9">
      <c r="A86">
        <v>10085</v>
      </c>
      <c r="B86" s="65" t="s">
        <v>278</v>
      </c>
      <c r="C86" s="65" t="s">
        <v>279</v>
      </c>
      <c r="D86" s="65" t="s">
        <v>280</v>
      </c>
      <c r="E86" s="66">
        <v>38322</v>
      </c>
      <c r="F86" s="67">
        <v>76</v>
      </c>
      <c r="G86" s="65" t="s">
        <v>214</v>
      </c>
      <c r="H86" s="65"/>
      <c r="I86" s="12">
        <f t="shared" si="1"/>
        <v>10085</v>
      </c>
    </row>
    <row r="87" spans="1:9">
      <c r="A87">
        <v>10086</v>
      </c>
      <c r="B87" s="65" t="s">
        <v>281</v>
      </c>
      <c r="C87" s="65" t="s">
        <v>125</v>
      </c>
      <c r="D87" s="65" t="s">
        <v>282</v>
      </c>
      <c r="E87" s="66">
        <v>33456</v>
      </c>
      <c r="F87" s="67">
        <v>76</v>
      </c>
      <c r="G87" s="65" t="s">
        <v>214</v>
      </c>
      <c r="H87" s="65"/>
      <c r="I87" s="12">
        <f t="shared" si="1"/>
        <v>10086</v>
      </c>
    </row>
    <row r="88" spans="1:9">
      <c r="A88">
        <v>10087</v>
      </c>
      <c r="B88" s="65" t="s">
        <v>283</v>
      </c>
      <c r="C88" s="65" t="s">
        <v>284</v>
      </c>
      <c r="D88" s="65" t="s">
        <v>285</v>
      </c>
      <c r="E88" s="66">
        <v>35972</v>
      </c>
      <c r="F88" s="67">
        <v>76</v>
      </c>
      <c r="G88" s="65" t="s">
        <v>214</v>
      </c>
      <c r="H88" s="65"/>
      <c r="I88" s="12">
        <f t="shared" si="1"/>
        <v>10087</v>
      </c>
    </row>
    <row r="89" spans="1:9">
      <c r="A89">
        <v>10088</v>
      </c>
      <c r="B89" s="65" t="s">
        <v>286</v>
      </c>
      <c r="C89" s="65" t="s">
        <v>170</v>
      </c>
      <c r="D89" s="65" t="s">
        <v>287</v>
      </c>
      <c r="E89" s="66">
        <v>36599</v>
      </c>
      <c r="F89" s="67">
        <v>76</v>
      </c>
      <c r="G89" s="65" t="s">
        <v>214</v>
      </c>
      <c r="H89" s="65"/>
      <c r="I89" s="12">
        <f t="shared" si="1"/>
        <v>10088</v>
      </c>
    </row>
    <row r="90" spans="1:9">
      <c r="A90">
        <v>10089</v>
      </c>
      <c r="B90" s="65" t="s">
        <v>288</v>
      </c>
      <c r="C90" s="65" t="s">
        <v>289</v>
      </c>
      <c r="D90" s="65" t="s">
        <v>290</v>
      </c>
      <c r="E90" s="66">
        <v>35131</v>
      </c>
      <c r="F90" s="67">
        <v>76</v>
      </c>
      <c r="G90" s="65" t="s">
        <v>214</v>
      </c>
      <c r="H90" s="65"/>
      <c r="I90" s="12">
        <f t="shared" si="1"/>
        <v>10089</v>
      </c>
    </row>
    <row r="91" spans="1:9">
      <c r="A91">
        <v>10090</v>
      </c>
      <c r="B91" s="65" t="s">
        <v>291</v>
      </c>
      <c r="C91" s="65" t="s">
        <v>292</v>
      </c>
      <c r="D91" s="65" t="s">
        <v>33</v>
      </c>
      <c r="E91" s="66">
        <v>33945</v>
      </c>
      <c r="F91" s="67">
        <v>76</v>
      </c>
      <c r="G91" s="65" t="s">
        <v>214</v>
      </c>
      <c r="H91" s="65" t="s">
        <v>53</v>
      </c>
      <c r="I91" s="12">
        <f t="shared" si="1"/>
        <v>10090</v>
      </c>
    </row>
    <row r="92" spans="1:9">
      <c r="A92">
        <v>10091</v>
      </c>
      <c r="B92" s="65" t="s">
        <v>293</v>
      </c>
      <c r="C92" s="65" t="s">
        <v>294</v>
      </c>
      <c r="D92" s="65" t="s">
        <v>295</v>
      </c>
      <c r="E92" s="66">
        <v>37208</v>
      </c>
      <c r="F92" s="67">
        <v>48</v>
      </c>
      <c r="G92" s="65" t="s">
        <v>214</v>
      </c>
      <c r="H92" s="65"/>
      <c r="I92" s="12">
        <f t="shared" si="1"/>
        <v>10091</v>
      </c>
    </row>
    <row r="93" spans="1:9">
      <c r="A93">
        <v>10092</v>
      </c>
      <c r="B93" s="65" t="s">
        <v>296</v>
      </c>
      <c r="C93" s="65" t="s">
        <v>170</v>
      </c>
      <c r="D93" s="65" t="s">
        <v>297</v>
      </c>
      <c r="E93" s="66">
        <v>37772</v>
      </c>
      <c r="F93" s="67">
        <v>76</v>
      </c>
      <c r="G93" s="65" t="s">
        <v>214</v>
      </c>
      <c r="H93" s="65"/>
      <c r="I93" s="12">
        <f t="shared" si="1"/>
        <v>10092</v>
      </c>
    </row>
    <row r="94" spans="1:9">
      <c r="A94">
        <v>10093</v>
      </c>
      <c r="B94" s="65" t="s">
        <v>298</v>
      </c>
      <c r="C94" s="65" t="s">
        <v>299</v>
      </c>
      <c r="D94" s="65" t="s">
        <v>300</v>
      </c>
      <c r="E94" s="66">
        <v>38290</v>
      </c>
      <c r="F94" s="67">
        <v>76</v>
      </c>
      <c r="G94" s="65" t="s">
        <v>214</v>
      </c>
      <c r="H94" s="65"/>
      <c r="I94" s="12">
        <f t="shared" si="1"/>
        <v>10093</v>
      </c>
    </row>
    <row r="95" spans="1:9">
      <c r="A95">
        <v>10094</v>
      </c>
      <c r="B95" s="65" t="s">
        <v>301</v>
      </c>
      <c r="C95" s="65" t="s">
        <v>302</v>
      </c>
      <c r="D95" s="65" t="s">
        <v>303</v>
      </c>
      <c r="E95" s="66">
        <v>36889</v>
      </c>
      <c r="F95" s="67">
        <v>76</v>
      </c>
      <c r="G95" s="65" t="s">
        <v>214</v>
      </c>
      <c r="H95" s="65"/>
      <c r="I95" s="12">
        <f t="shared" si="1"/>
        <v>10094</v>
      </c>
    </row>
    <row r="96" spans="1:9">
      <c r="A96">
        <v>10095</v>
      </c>
      <c r="B96" s="65" t="s">
        <v>304</v>
      </c>
      <c r="C96" s="65" t="s">
        <v>305</v>
      </c>
      <c r="D96" s="65" t="s">
        <v>306</v>
      </c>
      <c r="E96" s="66">
        <v>36967</v>
      </c>
      <c r="F96" s="67">
        <v>76</v>
      </c>
      <c r="G96" s="65" t="s">
        <v>214</v>
      </c>
      <c r="H96" s="65"/>
      <c r="I96" s="12">
        <f t="shared" si="1"/>
        <v>10095</v>
      </c>
    </row>
    <row r="97" spans="1:9">
      <c r="A97">
        <v>10096</v>
      </c>
      <c r="B97" s="65" t="s">
        <v>307</v>
      </c>
      <c r="C97" s="65" t="s">
        <v>308</v>
      </c>
      <c r="D97" s="65" t="s">
        <v>309</v>
      </c>
      <c r="E97" s="66">
        <v>29368</v>
      </c>
      <c r="F97" s="67">
        <v>76</v>
      </c>
      <c r="G97" s="65" t="s">
        <v>214</v>
      </c>
      <c r="H97" s="65"/>
      <c r="I97" s="12">
        <f t="shared" si="1"/>
        <v>10096</v>
      </c>
    </row>
    <row r="98" spans="1:9">
      <c r="A98">
        <v>10097</v>
      </c>
      <c r="B98" s="65" t="s">
        <v>111</v>
      </c>
      <c r="C98" s="65" t="s">
        <v>310</v>
      </c>
      <c r="D98" s="65" t="s">
        <v>311</v>
      </c>
      <c r="E98" s="66">
        <v>32547</v>
      </c>
      <c r="F98" s="67">
        <v>100</v>
      </c>
      <c r="G98" s="65" t="s">
        <v>214</v>
      </c>
      <c r="H98" s="65"/>
      <c r="I98" s="12">
        <f t="shared" si="1"/>
        <v>10097</v>
      </c>
    </row>
    <row r="99" spans="1:9">
      <c r="A99">
        <v>10098</v>
      </c>
      <c r="B99" s="65" t="s">
        <v>312</v>
      </c>
      <c r="C99" s="65" t="s">
        <v>313</v>
      </c>
      <c r="D99" s="65" t="s">
        <v>314</v>
      </c>
      <c r="E99" s="66">
        <v>37885</v>
      </c>
      <c r="F99" s="67">
        <v>76</v>
      </c>
      <c r="G99" s="65" t="s">
        <v>214</v>
      </c>
      <c r="H99" s="65"/>
      <c r="I99" s="12">
        <f t="shared" si="1"/>
        <v>10098</v>
      </c>
    </row>
    <row r="100" spans="1:9">
      <c r="A100">
        <v>10099</v>
      </c>
      <c r="B100" s="65" t="s">
        <v>116</v>
      </c>
      <c r="C100" s="65" t="s">
        <v>117</v>
      </c>
      <c r="D100" s="65" t="s">
        <v>315</v>
      </c>
      <c r="E100" s="66">
        <v>34717</v>
      </c>
      <c r="F100" s="67">
        <v>76</v>
      </c>
      <c r="G100" s="65" t="s">
        <v>214</v>
      </c>
      <c r="H100" s="65"/>
      <c r="I100" s="12">
        <f t="shared" si="1"/>
        <v>10099</v>
      </c>
    </row>
    <row r="101" spans="1:9">
      <c r="A101">
        <v>10100</v>
      </c>
      <c r="B101" s="65" t="s">
        <v>316</v>
      </c>
      <c r="C101" s="65" t="s">
        <v>317</v>
      </c>
      <c r="D101" s="65" t="s">
        <v>318</v>
      </c>
      <c r="E101" s="66">
        <v>36411</v>
      </c>
      <c r="F101" s="67">
        <v>76</v>
      </c>
      <c r="G101" s="65" t="s">
        <v>214</v>
      </c>
      <c r="H101" s="65"/>
      <c r="I101" s="12">
        <f t="shared" si="1"/>
        <v>10100</v>
      </c>
    </row>
    <row r="102" spans="1:9">
      <c r="A102">
        <v>10101</v>
      </c>
      <c r="B102" s="65" t="s">
        <v>319</v>
      </c>
      <c r="C102" s="65" t="s">
        <v>114</v>
      </c>
      <c r="D102" s="65" t="s">
        <v>320</v>
      </c>
      <c r="E102" s="66">
        <v>35497</v>
      </c>
      <c r="F102" s="67">
        <v>76</v>
      </c>
      <c r="G102" s="65" t="s">
        <v>214</v>
      </c>
      <c r="H102" s="65"/>
      <c r="I102" s="12">
        <f t="shared" si="1"/>
        <v>10101</v>
      </c>
    </row>
    <row r="103" spans="1:9">
      <c r="A103">
        <v>10102</v>
      </c>
      <c r="B103" s="65" t="s">
        <v>321</v>
      </c>
      <c r="C103" s="65" t="s">
        <v>322</v>
      </c>
      <c r="D103" s="65" t="s">
        <v>323</v>
      </c>
      <c r="E103" s="66">
        <v>38134</v>
      </c>
      <c r="F103" s="67">
        <v>76</v>
      </c>
      <c r="G103" s="65" t="s">
        <v>214</v>
      </c>
      <c r="H103" s="65"/>
      <c r="I103" s="12">
        <f t="shared" si="1"/>
        <v>10102</v>
      </c>
    </row>
    <row r="104" spans="1:9">
      <c r="A104">
        <v>10103</v>
      </c>
      <c r="B104" s="65" t="s">
        <v>324</v>
      </c>
      <c r="C104" s="65" t="s">
        <v>325</v>
      </c>
      <c r="D104" s="65" t="s">
        <v>326</v>
      </c>
      <c r="E104" s="66">
        <v>38319</v>
      </c>
      <c r="F104" s="67">
        <v>76</v>
      </c>
      <c r="G104" s="65" t="s">
        <v>214</v>
      </c>
      <c r="H104" s="65"/>
      <c r="I104" s="12">
        <f t="shared" si="1"/>
        <v>10103</v>
      </c>
    </row>
    <row r="105" spans="1:9">
      <c r="A105">
        <v>10104</v>
      </c>
      <c r="B105" s="65" t="s">
        <v>327</v>
      </c>
      <c r="C105" s="65" t="s">
        <v>328</v>
      </c>
      <c r="D105" s="65" t="s">
        <v>329</v>
      </c>
      <c r="E105" s="66">
        <v>38565</v>
      </c>
      <c r="F105" s="67">
        <v>76</v>
      </c>
      <c r="G105" s="65" t="s">
        <v>214</v>
      </c>
      <c r="H105" s="65"/>
      <c r="I105" s="12">
        <f t="shared" si="1"/>
        <v>10104</v>
      </c>
    </row>
    <row r="106" spans="1:9">
      <c r="A106">
        <v>10105</v>
      </c>
      <c r="B106" s="65" t="s">
        <v>330</v>
      </c>
      <c r="C106" s="65" t="s">
        <v>331</v>
      </c>
      <c r="D106" s="65" t="s">
        <v>332</v>
      </c>
      <c r="E106" s="66">
        <v>38355</v>
      </c>
      <c r="F106" s="67">
        <v>76</v>
      </c>
      <c r="G106" s="65" t="s">
        <v>69</v>
      </c>
      <c r="H106" s="65"/>
      <c r="I106" s="12">
        <f t="shared" si="1"/>
        <v>10105</v>
      </c>
    </row>
    <row r="107" spans="1:9">
      <c r="A107">
        <v>10106</v>
      </c>
      <c r="B107" s="65" t="s">
        <v>333</v>
      </c>
      <c r="C107" s="65" t="s">
        <v>334</v>
      </c>
      <c r="D107" s="65" t="s">
        <v>335</v>
      </c>
      <c r="E107" s="66">
        <v>36861</v>
      </c>
      <c r="F107" s="67">
        <v>48</v>
      </c>
      <c r="G107" s="65" t="s">
        <v>214</v>
      </c>
      <c r="H107" s="65"/>
      <c r="I107" s="12">
        <f t="shared" si="1"/>
        <v>10106</v>
      </c>
    </row>
    <row r="108" spans="1:9">
      <c r="A108">
        <v>10107</v>
      </c>
      <c r="B108" s="65" t="s">
        <v>336</v>
      </c>
      <c r="C108" s="65" t="s">
        <v>337</v>
      </c>
      <c r="D108" s="65" t="s">
        <v>336</v>
      </c>
      <c r="E108" s="66">
        <v>38536</v>
      </c>
      <c r="F108" s="67">
        <v>76</v>
      </c>
      <c r="G108" s="65" t="s">
        <v>214</v>
      </c>
      <c r="H108" s="65"/>
      <c r="I108" s="12">
        <f t="shared" si="1"/>
        <v>10107</v>
      </c>
    </row>
    <row r="109" spans="1:9">
      <c r="A109">
        <v>10108</v>
      </c>
      <c r="B109" s="65" t="s">
        <v>338</v>
      </c>
      <c r="C109" s="65" t="s">
        <v>339</v>
      </c>
      <c r="D109" s="65" t="s">
        <v>340</v>
      </c>
      <c r="E109" s="66">
        <v>38156</v>
      </c>
      <c r="F109" s="67">
        <v>76</v>
      </c>
      <c r="G109" s="65" t="s">
        <v>214</v>
      </c>
      <c r="H109" s="65"/>
      <c r="I109" s="12">
        <f t="shared" si="1"/>
        <v>10108</v>
      </c>
    </row>
    <row r="110" spans="1:9">
      <c r="A110">
        <v>10109</v>
      </c>
      <c r="B110" s="65" t="s">
        <v>341</v>
      </c>
      <c r="C110" s="65" t="s">
        <v>342</v>
      </c>
      <c r="D110" s="65" t="s">
        <v>343</v>
      </c>
      <c r="E110" s="66">
        <v>37541</v>
      </c>
      <c r="F110" s="67">
        <v>76</v>
      </c>
      <c r="G110" s="65" t="s">
        <v>214</v>
      </c>
      <c r="H110" s="65"/>
      <c r="I110" s="12">
        <f t="shared" si="1"/>
        <v>10109</v>
      </c>
    </row>
    <row r="111" spans="1:9">
      <c r="A111">
        <v>10110</v>
      </c>
      <c r="B111" s="65" t="s">
        <v>344</v>
      </c>
      <c r="C111" s="65" t="s">
        <v>345</v>
      </c>
      <c r="D111" s="65" t="s">
        <v>346</v>
      </c>
      <c r="E111" s="66">
        <v>32304</v>
      </c>
      <c r="F111" s="67">
        <v>76</v>
      </c>
      <c r="G111" s="65" t="s">
        <v>214</v>
      </c>
      <c r="H111" s="65"/>
      <c r="I111" s="12">
        <f t="shared" si="1"/>
        <v>10110</v>
      </c>
    </row>
    <row r="112" spans="1:9">
      <c r="A112">
        <v>10111</v>
      </c>
      <c r="B112" s="65" t="s">
        <v>347</v>
      </c>
      <c r="C112" s="65" t="s">
        <v>125</v>
      </c>
      <c r="D112" s="65" t="s">
        <v>348</v>
      </c>
      <c r="E112" s="66">
        <v>34923</v>
      </c>
      <c r="F112" s="67">
        <v>76</v>
      </c>
      <c r="G112" s="65" t="s">
        <v>214</v>
      </c>
      <c r="H112" s="65"/>
      <c r="I112" s="12">
        <f t="shared" si="1"/>
        <v>10111</v>
      </c>
    </row>
    <row r="113" spans="1:9">
      <c r="A113">
        <v>10112</v>
      </c>
      <c r="B113" s="65" t="s">
        <v>228</v>
      </c>
      <c r="C113" s="65" t="s">
        <v>349</v>
      </c>
      <c r="D113" s="65" t="s">
        <v>350</v>
      </c>
      <c r="E113" s="66">
        <v>38864</v>
      </c>
      <c r="F113" s="67">
        <v>76</v>
      </c>
      <c r="G113" s="65" t="s">
        <v>214</v>
      </c>
      <c r="H113" s="65"/>
      <c r="I113" s="12">
        <f t="shared" si="1"/>
        <v>10112</v>
      </c>
    </row>
    <row r="114" spans="1:9">
      <c r="A114">
        <v>10113</v>
      </c>
      <c r="B114" s="65" t="s">
        <v>351</v>
      </c>
      <c r="C114" s="65" t="s">
        <v>134</v>
      </c>
      <c r="D114" s="65" t="s">
        <v>352</v>
      </c>
      <c r="E114" s="66">
        <v>37690</v>
      </c>
      <c r="F114" s="67">
        <v>76</v>
      </c>
      <c r="G114" s="65" t="s">
        <v>214</v>
      </c>
      <c r="H114" s="65"/>
      <c r="I114" s="12">
        <f t="shared" si="1"/>
        <v>10113</v>
      </c>
    </row>
    <row r="115" spans="1:9">
      <c r="A115">
        <v>10114</v>
      </c>
      <c r="B115" s="65" t="s">
        <v>353</v>
      </c>
      <c r="C115" s="65" t="s">
        <v>354</v>
      </c>
      <c r="D115" s="65" t="s">
        <v>355</v>
      </c>
      <c r="E115" s="66">
        <v>37406</v>
      </c>
      <c r="F115" s="67">
        <v>76</v>
      </c>
      <c r="G115" s="65" t="s">
        <v>214</v>
      </c>
      <c r="H115" s="65"/>
      <c r="I115" s="12">
        <f t="shared" si="1"/>
        <v>10114</v>
      </c>
    </row>
    <row r="116" spans="1:9">
      <c r="A116">
        <v>10115</v>
      </c>
      <c r="B116" s="65" t="s">
        <v>356</v>
      </c>
      <c r="C116" s="65" t="s">
        <v>117</v>
      </c>
      <c r="D116" s="65" t="s">
        <v>357</v>
      </c>
      <c r="E116" s="66">
        <v>38996</v>
      </c>
      <c r="F116" s="67">
        <v>76</v>
      </c>
      <c r="G116" s="65" t="s">
        <v>214</v>
      </c>
      <c r="H116" s="65"/>
      <c r="I116" s="12">
        <f t="shared" si="1"/>
        <v>10115</v>
      </c>
    </row>
    <row r="117" spans="1:9">
      <c r="A117">
        <v>10116</v>
      </c>
      <c r="B117" s="65" t="s">
        <v>358</v>
      </c>
      <c r="C117" s="65" t="s">
        <v>359</v>
      </c>
      <c r="D117" s="65" t="s">
        <v>360</v>
      </c>
      <c r="E117" s="66">
        <v>37090</v>
      </c>
      <c r="F117" s="67">
        <v>76</v>
      </c>
      <c r="G117" s="65" t="s">
        <v>214</v>
      </c>
      <c r="H117" s="65"/>
      <c r="I117" s="12">
        <f t="shared" si="1"/>
        <v>10116</v>
      </c>
    </row>
    <row r="118" spans="1:9">
      <c r="A118">
        <v>10117</v>
      </c>
      <c r="B118" s="65" t="s">
        <v>361</v>
      </c>
      <c r="C118" s="65" t="s">
        <v>206</v>
      </c>
      <c r="D118" s="65" t="s">
        <v>362</v>
      </c>
      <c r="E118" s="66">
        <v>37755</v>
      </c>
      <c r="F118" s="67">
        <v>76</v>
      </c>
      <c r="G118" s="65" t="s">
        <v>214</v>
      </c>
      <c r="H118" s="65"/>
      <c r="I118" s="12">
        <f t="shared" si="1"/>
        <v>10117</v>
      </c>
    </row>
    <row r="119" spans="1:9">
      <c r="A119">
        <v>10118</v>
      </c>
      <c r="B119" s="65" t="s">
        <v>363</v>
      </c>
      <c r="C119" s="65" t="s">
        <v>125</v>
      </c>
      <c r="D119" s="65" t="s">
        <v>364</v>
      </c>
      <c r="E119" s="66">
        <v>37518</v>
      </c>
      <c r="F119" s="67">
        <v>76</v>
      </c>
      <c r="G119" s="65" t="s">
        <v>214</v>
      </c>
      <c r="H119" s="65"/>
      <c r="I119" s="12">
        <f t="shared" si="1"/>
        <v>10118</v>
      </c>
    </row>
    <row r="120" spans="1:9">
      <c r="A120">
        <v>10119</v>
      </c>
      <c r="B120" s="65" t="s">
        <v>365</v>
      </c>
      <c r="C120" s="65" t="s">
        <v>164</v>
      </c>
      <c r="D120" s="65" t="s">
        <v>366</v>
      </c>
      <c r="E120" s="66">
        <v>37896</v>
      </c>
      <c r="F120" s="67">
        <v>76</v>
      </c>
      <c r="G120" s="65" t="s">
        <v>214</v>
      </c>
      <c r="H120" s="65"/>
      <c r="I120" s="12">
        <f t="shared" si="1"/>
        <v>10119</v>
      </c>
    </row>
    <row r="121" spans="1:9">
      <c r="A121">
        <v>10120</v>
      </c>
      <c r="B121" s="65" t="s">
        <v>367</v>
      </c>
      <c r="C121" s="65" t="s">
        <v>334</v>
      </c>
      <c r="D121" s="65" t="s">
        <v>368</v>
      </c>
      <c r="E121" s="66">
        <v>36300</v>
      </c>
      <c r="F121" s="67">
        <v>100</v>
      </c>
      <c r="G121" s="65" t="s">
        <v>214</v>
      </c>
      <c r="H121" s="65"/>
      <c r="I121" s="12">
        <f t="shared" si="1"/>
        <v>10120</v>
      </c>
    </row>
    <row r="122" spans="1:9">
      <c r="A122">
        <v>10121</v>
      </c>
      <c r="B122" s="65" t="s">
        <v>369</v>
      </c>
      <c r="C122" s="65" t="s">
        <v>50</v>
      </c>
      <c r="D122" s="65" t="s">
        <v>370</v>
      </c>
      <c r="E122" s="66">
        <v>38072</v>
      </c>
      <c r="F122" s="67">
        <v>76</v>
      </c>
      <c r="G122" s="65" t="s">
        <v>214</v>
      </c>
      <c r="H122" s="65"/>
      <c r="I122" s="12">
        <f t="shared" si="1"/>
        <v>10121</v>
      </c>
    </row>
    <row r="123" spans="1:9">
      <c r="A123">
        <v>10122</v>
      </c>
      <c r="B123" s="65" t="s">
        <v>371</v>
      </c>
      <c r="C123" s="65" t="s">
        <v>170</v>
      </c>
      <c r="D123" s="65" t="s">
        <v>372</v>
      </c>
      <c r="E123" s="66">
        <v>38669</v>
      </c>
      <c r="F123" s="67">
        <v>76</v>
      </c>
      <c r="G123" s="65" t="s">
        <v>214</v>
      </c>
      <c r="H123" s="65"/>
      <c r="I123" s="12">
        <f t="shared" si="1"/>
        <v>10122</v>
      </c>
    </row>
    <row r="124" spans="1:9">
      <c r="A124">
        <v>10123</v>
      </c>
      <c r="B124" s="65" t="s">
        <v>373</v>
      </c>
      <c r="C124" s="65" t="s">
        <v>313</v>
      </c>
      <c r="D124" s="65" t="s">
        <v>374</v>
      </c>
      <c r="E124" s="66">
        <v>36329</v>
      </c>
      <c r="F124" s="67">
        <v>48</v>
      </c>
      <c r="G124" s="65" t="s">
        <v>214</v>
      </c>
      <c r="H124" s="65"/>
      <c r="I124" s="12">
        <f t="shared" si="1"/>
        <v>10123</v>
      </c>
    </row>
    <row r="125" spans="1:9">
      <c r="A125">
        <v>10124</v>
      </c>
      <c r="B125" s="65" t="s">
        <v>375</v>
      </c>
      <c r="C125" s="65" t="s">
        <v>376</v>
      </c>
      <c r="D125" s="65" t="s">
        <v>377</v>
      </c>
      <c r="E125" s="66">
        <v>37614</v>
      </c>
      <c r="F125" s="67">
        <v>76</v>
      </c>
      <c r="G125" s="65" t="s">
        <v>214</v>
      </c>
      <c r="H125" s="65"/>
      <c r="I125" s="12">
        <f t="shared" si="1"/>
        <v>10124</v>
      </c>
    </row>
    <row r="126" spans="1:9">
      <c r="A126">
        <v>10125</v>
      </c>
      <c r="B126" s="65" t="s">
        <v>378</v>
      </c>
      <c r="C126" s="65" t="s">
        <v>379</v>
      </c>
      <c r="D126" s="65" t="s">
        <v>380</v>
      </c>
      <c r="E126" s="66">
        <v>35184</v>
      </c>
      <c r="F126" s="67">
        <v>76</v>
      </c>
      <c r="G126" s="65" t="s">
        <v>214</v>
      </c>
      <c r="H126" s="65"/>
      <c r="I126" s="12">
        <f t="shared" si="1"/>
        <v>10125</v>
      </c>
    </row>
    <row r="127" spans="1:9">
      <c r="A127">
        <v>10126</v>
      </c>
      <c r="B127" s="65" t="s">
        <v>381</v>
      </c>
      <c r="C127" s="65" t="s">
        <v>382</v>
      </c>
      <c r="D127" s="65" t="s">
        <v>383</v>
      </c>
      <c r="E127" s="66">
        <v>37577</v>
      </c>
      <c r="F127" s="67">
        <v>76</v>
      </c>
      <c r="G127" s="65" t="s">
        <v>214</v>
      </c>
      <c r="H127" s="65"/>
      <c r="I127" s="12">
        <f t="shared" si="1"/>
        <v>10126</v>
      </c>
    </row>
    <row r="128" spans="1:9">
      <c r="A128">
        <v>10127</v>
      </c>
      <c r="B128" s="65" t="s">
        <v>384</v>
      </c>
      <c r="C128" s="65" t="s">
        <v>198</v>
      </c>
      <c r="D128" s="65" t="s">
        <v>385</v>
      </c>
      <c r="E128" s="66">
        <v>35846</v>
      </c>
      <c r="F128" s="67">
        <v>76</v>
      </c>
      <c r="G128" s="65" t="s">
        <v>214</v>
      </c>
      <c r="H128" s="65"/>
      <c r="I128" s="12">
        <f t="shared" si="1"/>
        <v>10127</v>
      </c>
    </row>
    <row r="129" spans="1:9">
      <c r="A129">
        <v>10128</v>
      </c>
      <c r="B129" s="65" t="s">
        <v>386</v>
      </c>
      <c r="C129" s="65" t="s">
        <v>188</v>
      </c>
      <c r="D129" s="65" t="s">
        <v>387</v>
      </c>
      <c r="E129" s="66">
        <v>22788</v>
      </c>
      <c r="F129" s="67">
        <v>76</v>
      </c>
      <c r="G129" s="65" t="s">
        <v>214</v>
      </c>
      <c r="H129" s="65"/>
      <c r="I129" s="12">
        <f t="shared" si="1"/>
        <v>10128</v>
      </c>
    </row>
    <row r="130" spans="1:9">
      <c r="A130">
        <v>10129</v>
      </c>
      <c r="B130" s="65" t="s">
        <v>388</v>
      </c>
      <c r="C130" s="65" t="s">
        <v>114</v>
      </c>
      <c r="D130" s="65" t="s">
        <v>389</v>
      </c>
      <c r="E130" s="66">
        <v>34442</v>
      </c>
      <c r="F130" s="67">
        <v>76</v>
      </c>
      <c r="G130" s="65" t="s">
        <v>214</v>
      </c>
      <c r="H130" s="65"/>
      <c r="I130" s="12">
        <f t="shared" ref="I130:I193" si="2">A130</f>
        <v>10129</v>
      </c>
    </row>
    <row r="131" spans="1:9">
      <c r="A131">
        <v>10130</v>
      </c>
      <c r="B131" s="65" t="s">
        <v>390</v>
      </c>
      <c r="C131" s="65" t="s">
        <v>391</v>
      </c>
      <c r="D131" s="65" t="s">
        <v>392</v>
      </c>
      <c r="E131" s="66">
        <v>27367</v>
      </c>
      <c r="F131" s="67">
        <v>100</v>
      </c>
      <c r="G131" s="65" t="s">
        <v>214</v>
      </c>
      <c r="H131" s="65"/>
      <c r="I131" s="12">
        <f t="shared" si="2"/>
        <v>10130</v>
      </c>
    </row>
    <row r="132" spans="1:9">
      <c r="A132">
        <v>10131</v>
      </c>
      <c r="B132" s="65" t="s">
        <v>393</v>
      </c>
      <c r="C132" s="65" t="s">
        <v>334</v>
      </c>
      <c r="D132" s="65" t="s">
        <v>394</v>
      </c>
      <c r="E132" s="66">
        <v>36569</v>
      </c>
      <c r="F132" s="67">
        <v>76</v>
      </c>
      <c r="G132" s="65" t="s">
        <v>214</v>
      </c>
      <c r="H132" s="65"/>
      <c r="I132" s="12">
        <f t="shared" si="2"/>
        <v>10131</v>
      </c>
    </row>
    <row r="133" spans="1:9">
      <c r="A133">
        <v>10132</v>
      </c>
      <c r="B133" s="65" t="s">
        <v>395</v>
      </c>
      <c r="C133" s="65" t="s">
        <v>396</v>
      </c>
      <c r="D133" s="65" t="s">
        <v>397</v>
      </c>
      <c r="E133" s="66">
        <v>39168</v>
      </c>
      <c r="F133" s="67">
        <v>76</v>
      </c>
      <c r="G133" s="65" t="s">
        <v>214</v>
      </c>
      <c r="H133" s="65"/>
      <c r="I133" s="12">
        <f t="shared" si="2"/>
        <v>10132</v>
      </c>
    </row>
    <row r="134" spans="1:9">
      <c r="A134">
        <v>10133</v>
      </c>
      <c r="B134" s="65" t="s">
        <v>398</v>
      </c>
      <c r="C134" s="65" t="s">
        <v>58</v>
      </c>
      <c r="D134" s="65" t="s">
        <v>399</v>
      </c>
      <c r="E134" s="66">
        <v>33225</v>
      </c>
      <c r="F134" s="67">
        <v>76</v>
      </c>
      <c r="G134" s="65" t="s">
        <v>214</v>
      </c>
      <c r="H134" s="65"/>
      <c r="I134" s="12">
        <f t="shared" si="2"/>
        <v>10133</v>
      </c>
    </row>
    <row r="135" spans="1:9">
      <c r="A135">
        <v>10134</v>
      </c>
      <c r="B135" s="65" t="s">
        <v>400</v>
      </c>
      <c r="C135" s="65" t="s">
        <v>401</v>
      </c>
      <c r="D135" s="65" t="s">
        <v>402</v>
      </c>
      <c r="E135" s="66">
        <v>36014</v>
      </c>
      <c r="F135" s="67">
        <v>76</v>
      </c>
      <c r="G135" s="65" t="s">
        <v>214</v>
      </c>
      <c r="H135" s="65"/>
      <c r="I135" s="12">
        <f t="shared" si="2"/>
        <v>10134</v>
      </c>
    </row>
    <row r="136" spans="1:9">
      <c r="A136">
        <v>10135</v>
      </c>
      <c r="B136" s="65" t="s">
        <v>403</v>
      </c>
      <c r="C136" s="65" t="s">
        <v>404</v>
      </c>
      <c r="D136" s="65" t="s">
        <v>405</v>
      </c>
      <c r="E136" s="66">
        <v>27035</v>
      </c>
      <c r="F136" s="67">
        <v>76</v>
      </c>
      <c r="G136" s="65" t="s">
        <v>214</v>
      </c>
      <c r="H136" s="65"/>
      <c r="I136" s="12">
        <f t="shared" si="2"/>
        <v>10135</v>
      </c>
    </row>
    <row r="137" spans="1:9">
      <c r="A137">
        <v>10136</v>
      </c>
      <c r="B137" s="65" t="s">
        <v>406</v>
      </c>
      <c r="C137" s="65" t="s">
        <v>407</v>
      </c>
      <c r="D137" s="65" t="s">
        <v>408</v>
      </c>
      <c r="E137" s="66">
        <v>34726</v>
      </c>
      <c r="F137" s="67">
        <v>76</v>
      </c>
      <c r="G137" s="65" t="s">
        <v>214</v>
      </c>
      <c r="H137" s="65"/>
      <c r="I137" s="12">
        <f t="shared" si="2"/>
        <v>10136</v>
      </c>
    </row>
    <row r="138" spans="1:9">
      <c r="A138">
        <v>10137</v>
      </c>
      <c r="B138" s="65" t="s">
        <v>409</v>
      </c>
      <c r="C138" s="65" t="s">
        <v>410</v>
      </c>
      <c r="D138" s="65" t="s">
        <v>411</v>
      </c>
      <c r="E138" s="66">
        <v>32442</v>
      </c>
      <c r="F138" s="67">
        <v>76</v>
      </c>
      <c r="G138" s="65" t="s">
        <v>214</v>
      </c>
      <c r="H138" s="65"/>
      <c r="I138" s="12">
        <f t="shared" si="2"/>
        <v>10137</v>
      </c>
    </row>
    <row r="139" spans="1:9">
      <c r="A139">
        <v>10138</v>
      </c>
      <c r="B139" s="65" t="s">
        <v>412</v>
      </c>
      <c r="C139" s="65" t="s">
        <v>413</v>
      </c>
      <c r="D139" s="65" t="s">
        <v>414</v>
      </c>
      <c r="E139" s="66">
        <v>38436</v>
      </c>
      <c r="F139" s="67">
        <v>48</v>
      </c>
      <c r="G139" s="65" t="s">
        <v>214</v>
      </c>
      <c r="H139" s="65"/>
      <c r="I139" s="12">
        <f t="shared" si="2"/>
        <v>10138</v>
      </c>
    </row>
    <row r="140" spans="1:9">
      <c r="A140">
        <v>10139</v>
      </c>
      <c r="B140" s="65" t="s">
        <v>415</v>
      </c>
      <c r="C140" s="65" t="s">
        <v>416</v>
      </c>
      <c r="D140" s="65" t="s">
        <v>417</v>
      </c>
      <c r="E140" s="66">
        <v>36790</v>
      </c>
      <c r="F140" s="67">
        <v>76</v>
      </c>
      <c r="G140" s="65" t="s">
        <v>214</v>
      </c>
      <c r="H140" s="65"/>
      <c r="I140" s="12">
        <f t="shared" si="2"/>
        <v>10139</v>
      </c>
    </row>
    <row r="141" spans="1:9">
      <c r="A141">
        <v>10140</v>
      </c>
      <c r="B141" s="65" t="s">
        <v>418</v>
      </c>
      <c r="C141" s="65" t="s">
        <v>419</v>
      </c>
      <c r="D141" s="65" t="s">
        <v>420</v>
      </c>
      <c r="E141" s="66">
        <v>31365</v>
      </c>
      <c r="F141" s="67">
        <v>76</v>
      </c>
      <c r="G141" s="65" t="s">
        <v>214</v>
      </c>
      <c r="H141" s="65"/>
      <c r="I141" s="12">
        <f t="shared" si="2"/>
        <v>10140</v>
      </c>
    </row>
    <row r="142" spans="1:9">
      <c r="A142">
        <v>10141</v>
      </c>
      <c r="B142" s="65" t="s">
        <v>421</v>
      </c>
      <c r="C142" s="65" t="s">
        <v>422</v>
      </c>
      <c r="D142" s="65" t="s">
        <v>423</v>
      </c>
      <c r="E142" s="66">
        <v>37864</v>
      </c>
      <c r="F142" s="67">
        <v>48</v>
      </c>
      <c r="G142" s="65" t="s">
        <v>214</v>
      </c>
      <c r="H142" s="65"/>
      <c r="I142" s="12">
        <f t="shared" si="2"/>
        <v>10141</v>
      </c>
    </row>
    <row r="143" spans="1:9">
      <c r="A143">
        <v>10142</v>
      </c>
      <c r="B143" s="65" t="s">
        <v>424</v>
      </c>
      <c r="C143" s="65" t="s">
        <v>425</v>
      </c>
      <c r="D143" s="65" t="s">
        <v>426</v>
      </c>
      <c r="E143" s="66">
        <v>38177</v>
      </c>
      <c r="F143" s="67">
        <v>76</v>
      </c>
      <c r="G143" s="65" t="s">
        <v>214</v>
      </c>
      <c r="H143" s="65"/>
      <c r="I143" s="12">
        <f t="shared" si="2"/>
        <v>10142</v>
      </c>
    </row>
    <row r="144" spans="1:9">
      <c r="A144">
        <v>10143</v>
      </c>
      <c r="B144" s="65" t="s">
        <v>427</v>
      </c>
      <c r="C144" s="65" t="s">
        <v>170</v>
      </c>
      <c r="D144" s="65" t="s">
        <v>428</v>
      </c>
      <c r="E144" s="66">
        <v>36625</v>
      </c>
      <c r="F144" s="67">
        <v>76</v>
      </c>
      <c r="G144" s="65" t="s">
        <v>214</v>
      </c>
      <c r="H144" s="65"/>
      <c r="I144" s="12">
        <f t="shared" si="2"/>
        <v>10143</v>
      </c>
    </row>
    <row r="145" spans="1:9">
      <c r="A145">
        <v>10144</v>
      </c>
      <c r="B145" s="65" t="s">
        <v>429</v>
      </c>
      <c r="C145" s="65" t="s">
        <v>430</v>
      </c>
      <c r="D145" s="65" t="s">
        <v>431</v>
      </c>
      <c r="E145" s="66">
        <v>37616</v>
      </c>
      <c r="F145" s="67">
        <v>76</v>
      </c>
      <c r="G145" s="65" t="s">
        <v>214</v>
      </c>
      <c r="H145" s="65"/>
      <c r="I145" s="12">
        <f t="shared" si="2"/>
        <v>10144</v>
      </c>
    </row>
    <row r="146" spans="1:9">
      <c r="A146">
        <v>10145</v>
      </c>
      <c r="B146" s="65" t="s">
        <v>432</v>
      </c>
      <c r="C146" s="65" t="s">
        <v>58</v>
      </c>
      <c r="D146" s="65" t="s">
        <v>433</v>
      </c>
      <c r="E146" s="66">
        <v>28047</v>
      </c>
      <c r="F146" s="67">
        <v>76</v>
      </c>
      <c r="G146" s="65" t="s">
        <v>214</v>
      </c>
      <c r="H146" s="65"/>
      <c r="I146" s="12">
        <f t="shared" si="2"/>
        <v>10145</v>
      </c>
    </row>
    <row r="147" spans="1:9">
      <c r="A147">
        <v>10146</v>
      </c>
      <c r="B147" s="65" t="s">
        <v>434</v>
      </c>
      <c r="C147" s="65" t="s">
        <v>94</v>
      </c>
      <c r="D147" s="65" t="s">
        <v>435</v>
      </c>
      <c r="E147" s="66">
        <v>33892</v>
      </c>
      <c r="F147" s="67">
        <v>76</v>
      </c>
      <c r="G147" s="65" t="s">
        <v>214</v>
      </c>
      <c r="H147" s="65"/>
      <c r="I147" s="12">
        <f t="shared" si="2"/>
        <v>10146</v>
      </c>
    </row>
    <row r="148" spans="1:9">
      <c r="A148">
        <v>10147</v>
      </c>
      <c r="B148" s="65" t="s">
        <v>436</v>
      </c>
      <c r="C148" s="65" t="s">
        <v>419</v>
      </c>
      <c r="D148" s="65" t="s">
        <v>437</v>
      </c>
      <c r="E148" s="66">
        <v>36932</v>
      </c>
      <c r="F148" s="67">
        <v>100</v>
      </c>
      <c r="G148" s="65" t="s">
        <v>214</v>
      </c>
      <c r="H148" s="65"/>
      <c r="I148" s="12">
        <f t="shared" si="2"/>
        <v>10147</v>
      </c>
    </row>
    <row r="149" spans="1:9">
      <c r="A149">
        <v>10148</v>
      </c>
      <c r="B149" s="65" t="s">
        <v>438</v>
      </c>
      <c r="C149" s="65" t="s">
        <v>439</v>
      </c>
      <c r="D149" s="65" t="s">
        <v>440</v>
      </c>
      <c r="E149" s="66">
        <v>36453</v>
      </c>
      <c r="F149" s="67">
        <v>76</v>
      </c>
      <c r="G149" s="65" t="s">
        <v>214</v>
      </c>
      <c r="H149" s="65" t="s">
        <v>53</v>
      </c>
      <c r="I149" s="12">
        <f t="shared" si="2"/>
        <v>10148</v>
      </c>
    </row>
    <row r="150" spans="1:9">
      <c r="A150">
        <v>10149</v>
      </c>
      <c r="B150" s="65" t="s">
        <v>441</v>
      </c>
      <c r="C150" s="65" t="s">
        <v>442</v>
      </c>
      <c r="D150" s="65" t="s">
        <v>443</v>
      </c>
      <c r="E150" s="66">
        <v>35642</v>
      </c>
      <c r="F150" s="67">
        <v>76</v>
      </c>
      <c r="G150" s="65" t="s">
        <v>214</v>
      </c>
      <c r="H150" s="65"/>
      <c r="I150" s="12">
        <f t="shared" si="2"/>
        <v>10149</v>
      </c>
    </row>
    <row r="151" spans="1:9">
      <c r="A151">
        <v>10150</v>
      </c>
      <c r="B151" s="65" t="s">
        <v>444</v>
      </c>
      <c r="C151" s="65" t="s">
        <v>445</v>
      </c>
      <c r="D151" s="65" t="s">
        <v>446</v>
      </c>
      <c r="E151" s="66">
        <v>33094</v>
      </c>
      <c r="F151" s="67">
        <v>76</v>
      </c>
      <c r="G151" s="65" t="s">
        <v>214</v>
      </c>
      <c r="H151" s="65"/>
      <c r="I151" s="12">
        <f t="shared" si="2"/>
        <v>10150</v>
      </c>
    </row>
    <row r="152" spans="1:9">
      <c r="A152">
        <v>10151</v>
      </c>
      <c r="B152" s="65" t="s">
        <v>447</v>
      </c>
      <c r="C152" s="65" t="s">
        <v>448</v>
      </c>
      <c r="D152" s="65" t="s">
        <v>449</v>
      </c>
      <c r="E152" s="66">
        <v>36756</v>
      </c>
      <c r="F152" s="67">
        <v>76</v>
      </c>
      <c r="G152" s="65" t="s">
        <v>214</v>
      </c>
      <c r="H152" s="65"/>
      <c r="I152" s="12">
        <f t="shared" si="2"/>
        <v>10151</v>
      </c>
    </row>
    <row r="153" spans="1:9">
      <c r="A153">
        <v>10152</v>
      </c>
      <c r="B153" s="65" t="s">
        <v>450</v>
      </c>
      <c r="C153" s="65" t="s">
        <v>71</v>
      </c>
      <c r="D153" s="65" t="s">
        <v>451</v>
      </c>
      <c r="E153" s="66">
        <v>37203</v>
      </c>
      <c r="F153" s="67">
        <v>76</v>
      </c>
      <c r="G153" s="65" t="s">
        <v>214</v>
      </c>
      <c r="H153" s="65"/>
      <c r="I153" s="12">
        <f t="shared" si="2"/>
        <v>10152</v>
      </c>
    </row>
    <row r="154" spans="1:9">
      <c r="A154">
        <v>10153</v>
      </c>
      <c r="B154" s="65" t="s">
        <v>452</v>
      </c>
      <c r="C154" s="65" t="s">
        <v>453</v>
      </c>
      <c r="D154" s="65" t="s">
        <v>454</v>
      </c>
      <c r="E154" s="69" t="s">
        <v>455</v>
      </c>
      <c r="F154" s="67">
        <v>76</v>
      </c>
      <c r="G154" s="65" t="s">
        <v>214</v>
      </c>
      <c r="H154" s="65"/>
      <c r="I154" s="12">
        <f t="shared" si="2"/>
        <v>10153</v>
      </c>
    </row>
    <row r="155" spans="1:9">
      <c r="A155">
        <v>10154</v>
      </c>
      <c r="B155" s="65" t="s">
        <v>456</v>
      </c>
      <c r="C155" s="65" t="s">
        <v>457</v>
      </c>
      <c r="D155" s="65" t="s">
        <v>458</v>
      </c>
      <c r="E155" s="66">
        <v>36809</v>
      </c>
      <c r="F155" s="67">
        <v>200</v>
      </c>
      <c r="G155" s="65" t="s">
        <v>214</v>
      </c>
      <c r="H155" s="65"/>
      <c r="I155" s="12">
        <f t="shared" si="2"/>
        <v>10154</v>
      </c>
    </row>
    <row r="156" spans="1:9">
      <c r="A156">
        <v>10155</v>
      </c>
      <c r="B156" s="65" t="s">
        <v>459</v>
      </c>
      <c r="C156" s="65" t="s">
        <v>86</v>
      </c>
      <c r="D156" s="65" t="s">
        <v>460</v>
      </c>
      <c r="E156" s="66">
        <v>35234</v>
      </c>
      <c r="F156" s="67">
        <v>76</v>
      </c>
      <c r="G156" s="65" t="s">
        <v>69</v>
      </c>
      <c r="H156" s="65" t="s">
        <v>53</v>
      </c>
      <c r="I156" s="12">
        <f t="shared" si="2"/>
        <v>10155</v>
      </c>
    </row>
    <row r="157" spans="1:9">
      <c r="A157">
        <v>10156</v>
      </c>
      <c r="B157" s="39" t="s">
        <v>461</v>
      </c>
      <c r="C157" s="39" t="s">
        <v>462</v>
      </c>
      <c r="D157" s="65" t="s">
        <v>463</v>
      </c>
      <c r="E157" s="66">
        <v>34555</v>
      </c>
      <c r="F157" s="32">
        <v>4880</v>
      </c>
      <c r="G157" s="39" t="s">
        <v>464</v>
      </c>
      <c r="H157" s="39"/>
      <c r="I157" s="12">
        <f t="shared" si="2"/>
        <v>10156</v>
      </c>
    </row>
    <row r="158" spans="1:9">
      <c r="A158">
        <v>10157</v>
      </c>
      <c r="B158" s="65" t="s">
        <v>465</v>
      </c>
      <c r="C158" s="65" t="s">
        <v>466</v>
      </c>
      <c r="D158" s="65" t="s">
        <v>467</v>
      </c>
      <c r="E158" s="66">
        <v>34427</v>
      </c>
      <c r="F158" s="32">
        <v>76</v>
      </c>
      <c r="G158" s="39" t="s">
        <v>464</v>
      </c>
      <c r="H158" s="39"/>
      <c r="I158" s="12">
        <f t="shared" si="2"/>
        <v>10157</v>
      </c>
    </row>
    <row r="159" spans="1:9">
      <c r="A159">
        <v>10158</v>
      </c>
      <c r="B159" s="39" t="s">
        <v>468</v>
      </c>
      <c r="C159" s="65" t="s">
        <v>469</v>
      </c>
      <c r="D159" s="65" t="s">
        <v>470</v>
      </c>
      <c r="E159" s="66">
        <v>32933</v>
      </c>
      <c r="F159" s="32">
        <v>76</v>
      </c>
      <c r="G159" s="39" t="s">
        <v>464</v>
      </c>
      <c r="H159" s="39"/>
      <c r="I159" s="12">
        <f t="shared" si="2"/>
        <v>10158</v>
      </c>
    </row>
    <row r="160" spans="1:9">
      <c r="A160">
        <v>10159</v>
      </c>
      <c r="B160" s="39" t="s">
        <v>471</v>
      </c>
      <c r="C160" s="39" t="s">
        <v>472</v>
      </c>
      <c r="D160" s="65" t="s">
        <v>473</v>
      </c>
      <c r="E160" s="66">
        <v>37096</v>
      </c>
      <c r="F160" s="32">
        <v>48</v>
      </c>
      <c r="G160" s="39" t="s">
        <v>474</v>
      </c>
      <c r="H160" s="39"/>
      <c r="I160" s="12">
        <f t="shared" si="2"/>
        <v>10159</v>
      </c>
    </row>
    <row r="161" spans="1:9">
      <c r="A161">
        <v>10160</v>
      </c>
      <c r="B161" s="39" t="s">
        <v>475</v>
      </c>
      <c r="C161" s="39" t="s">
        <v>476</v>
      </c>
      <c r="D161" s="65" t="s">
        <v>477</v>
      </c>
      <c r="E161" s="66">
        <v>36402</v>
      </c>
      <c r="F161" s="32">
        <v>76</v>
      </c>
      <c r="G161" s="39" t="s">
        <v>474</v>
      </c>
      <c r="H161" s="39"/>
      <c r="I161" s="12">
        <f t="shared" si="2"/>
        <v>10160</v>
      </c>
    </row>
    <row r="162" spans="1:9">
      <c r="A162">
        <v>10161</v>
      </c>
      <c r="B162" s="39" t="s">
        <v>478</v>
      </c>
      <c r="C162" s="39" t="s">
        <v>466</v>
      </c>
      <c r="D162" s="65" t="s">
        <v>479</v>
      </c>
      <c r="E162" s="66">
        <v>37115</v>
      </c>
      <c r="F162" s="32">
        <v>76</v>
      </c>
      <c r="G162" s="39" t="s">
        <v>474</v>
      </c>
      <c r="H162" s="39"/>
      <c r="I162" s="12">
        <f t="shared" si="2"/>
        <v>10161</v>
      </c>
    </row>
    <row r="163" spans="1:9">
      <c r="A163">
        <v>10162</v>
      </c>
      <c r="B163" s="39" t="s">
        <v>480</v>
      </c>
      <c r="C163" s="39" t="s">
        <v>481</v>
      </c>
      <c r="D163" s="65" t="s">
        <v>482</v>
      </c>
      <c r="E163" s="66">
        <v>36157</v>
      </c>
      <c r="F163" s="32">
        <v>76</v>
      </c>
      <c r="G163" s="39" t="s">
        <v>474</v>
      </c>
      <c r="H163" s="39"/>
      <c r="I163" s="12">
        <f t="shared" si="2"/>
        <v>10162</v>
      </c>
    </row>
    <row r="164" spans="1:9">
      <c r="A164">
        <v>10163</v>
      </c>
      <c r="B164" s="39" t="s">
        <v>483</v>
      </c>
      <c r="C164" s="39" t="s">
        <v>484</v>
      </c>
      <c r="D164" s="65" t="s">
        <v>485</v>
      </c>
      <c r="E164" s="66">
        <v>35172</v>
      </c>
      <c r="F164" s="32">
        <v>48</v>
      </c>
      <c r="G164" s="39" t="s">
        <v>464</v>
      </c>
      <c r="H164" s="39"/>
      <c r="I164" s="12">
        <f t="shared" si="2"/>
        <v>10163</v>
      </c>
    </row>
    <row r="165" spans="1:9">
      <c r="A165">
        <v>10164</v>
      </c>
      <c r="B165" s="39" t="s">
        <v>486</v>
      </c>
      <c r="C165" s="39" t="s">
        <v>476</v>
      </c>
      <c r="D165" s="65" t="s">
        <v>487</v>
      </c>
      <c r="E165" s="66">
        <v>35866</v>
      </c>
      <c r="F165" s="32">
        <v>76</v>
      </c>
      <c r="G165" s="39" t="s">
        <v>474</v>
      </c>
      <c r="H165" s="39"/>
      <c r="I165" s="12">
        <f t="shared" si="2"/>
        <v>10164</v>
      </c>
    </row>
    <row r="166" spans="1:9">
      <c r="A166">
        <v>10165</v>
      </c>
      <c r="B166" s="39" t="s">
        <v>488</v>
      </c>
      <c r="C166" s="39" t="s">
        <v>489</v>
      </c>
      <c r="D166" s="65" t="s">
        <v>490</v>
      </c>
      <c r="E166" s="66">
        <v>35618</v>
      </c>
      <c r="F166" s="32">
        <v>76</v>
      </c>
      <c r="G166" s="39" t="s">
        <v>474</v>
      </c>
      <c r="H166" s="39"/>
      <c r="I166" s="12">
        <f t="shared" si="2"/>
        <v>10165</v>
      </c>
    </row>
    <row r="167" spans="1:9">
      <c r="A167">
        <v>10166</v>
      </c>
      <c r="B167" s="39" t="s">
        <v>491</v>
      </c>
      <c r="C167" s="39" t="s">
        <v>492</v>
      </c>
      <c r="D167" s="65" t="s">
        <v>493</v>
      </c>
      <c r="E167" s="66">
        <v>27005</v>
      </c>
      <c r="F167" s="32">
        <v>76</v>
      </c>
      <c r="G167" s="39" t="s">
        <v>464</v>
      </c>
      <c r="H167" s="39"/>
      <c r="I167" s="12">
        <f t="shared" si="2"/>
        <v>10166</v>
      </c>
    </row>
    <row r="168" spans="1:9">
      <c r="A168">
        <v>10167</v>
      </c>
      <c r="B168" s="39" t="s">
        <v>494</v>
      </c>
      <c r="C168" s="39" t="s">
        <v>495</v>
      </c>
      <c r="D168" s="65" t="s">
        <v>496</v>
      </c>
      <c r="E168" s="66">
        <v>38228</v>
      </c>
      <c r="F168" s="32">
        <v>76</v>
      </c>
      <c r="G168" s="39" t="s">
        <v>464</v>
      </c>
      <c r="H168" s="39"/>
      <c r="I168" s="12">
        <f t="shared" si="2"/>
        <v>10167</v>
      </c>
    </row>
    <row r="169" spans="1:9">
      <c r="A169">
        <v>210168</v>
      </c>
      <c r="B169" s="39" t="s">
        <v>497</v>
      </c>
      <c r="C169" s="39" t="s">
        <v>498</v>
      </c>
      <c r="D169" s="65" t="s">
        <v>499</v>
      </c>
      <c r="E169" s="66">
        <v>39141</v>
      </c>
      <c r="F169" s="32">
        <v>76</v>
      </c>
      <c r="G169" s="39" t="s">
        <v>214</v>
      </c>
      <c r="H169" s="39"/>
      <c r="I169" s="12">
        <f t="shared" si="2"/>
        <v>210168</v>
      </c>
    </row>
    <row r="170" spans="1:9">
      <c r="A170">
        <v>10169</v>
      </c>
      <c r="B170" s="39" t="s">
        <v>500</v>
      </c>
      <c r="C170" s="39" t="s">
        <v>501</v>
      </c>
      <c r="D170" s="65" t="s">
        <v>502</v>
      </c>
      <c r="E170" s="66">
        <v>28521</v>
      </c>
      <c r="F170" s="32">
        <v>76</v>
      </c>
      <c r="G170" s="39" t="s">
        <v>214</v>
      </c>
      <c r="H170" s="39"/>
      <c r="I170" s="12">
        <f t="shared" si="2"/>
        <v>10169</v>
      </c>
    </row>
    <row r="171" spans="1:9">
      <c r="A171">
        <v>10170</v>
      </c>
      <c r="B171" s="39" t="s">
        <v>503</v>
      </c>
      <c r="C171" s="39" t="s">
        <v>504</v>
      </c>
      <c r="D171" s="65" t="s">
        <v>505</v>
      </c>
      <c r="E171" s="66">
        <v>37012</v>
      </c>
      <c r="F171" s="32">
        <v>76</v>
      </c>
      <c r="G171" s="39" t="s">
        <v>52</v>
      </c>
      <c r="H171" s="39"/>
      <c r="I171" s="12">
        <f t="shared" si="2"/>
        <v>10170</v>
      </c>
    </row>
    <row r="172" spans="1:9">
      <c r="A172">
        <v>10171</v>
      </c>
      <c r="B172" s="39" t="s">
        <v>506</v>
      </c>
      <c r="C172" s="39" t="s">
        <v>507</v>
      </c>
      <c r="D172" s="65" t="s">
        <v>508</v>
      </c>
      <c r="E172" s="66">
        <v>36922</v>
      </c>
      <c r="F172" s="32">
        <v>76</v>
      </c>
      <c r="G172" s="39" t="s">
        <v>69</v>
      </c>
      <c r="H172" s="39"/>
      <c r="I172" s="12">
        <f t="shared" si="2"/>
        <v>10171</v>
      </c>
    </row>
    <row r="173" spans="1:9">
      <c r="A173">
        <v>10172</v>
      </c>
      <c r="B173" s="39" t="s">
        <v>509</v>
      </c>
      <c r="C173" s="39" t="s">
        <v>86</v>
      </c>
      <c r="D173" s="65" t="s">
        <v>510</v>
      </c>
      <c r="E173" s="66">
        <v>36657</v>
      </c>
      <c r="F173" s="32">
        <v>76</v>
      </c>
      <c r="G173" s="39" t="s">
        <v>214</v>
      </c>
      <c r="H173" s="39"/>
      <c r="I173" s="12">
        <f t="shared" si="2"/>
        <v>10172</v>
      </c>
    </row>
    <row r="174" spans="1:9">
      <c r="A174">
        <v>10173</v>
      </c>
      <c r="B174" s="39" t="s">
        <v>511</v>
      </c>
      <c r="C174" s="39" t="s">
        <v>512</v>
      </c>
      <c r="D174" s="65" t="s">
        <v>513</v>
      </c>
      <c r="E174" s="66">
        <v>36877</v>
      </c>
      <c r="F174" s="32">
        <v>76</v>
      </c>
      <c r="G174" s="39" t="s">
        <v>52</v>
      </c>
      <c r="H174" s="39"/>
      <c r="I174" s="12">
        <f t="shared" si="2"/>
        <v>10173</v>
      </c>
    </row>
    <row r="175" spans="1:9">
      <c r="A175">
        <v>10174</v>
      </c>
      <c r="B175" s="39" t="s">
        <v>514</v>
      </c>
      <c r="C175" s="39" t="s">
        <v>515</v>
      </c>
      <c r="D175" s="65" t="s">
        <v>516</v>
      </c>
      <c r="E175" s="66">
        <v>37977</v>
      </c>
      <c r="F175" s="32">
        <v>76</v>
      </c>
      <c r="G175" s="39" t="s">
        <v>52</v>
      </c>
      <c r="H175" s="39"/>
      <c r="I175" s="12">
        <f t="shared" si="2"/>
        <v>10174</v>
      </c>
    </row>
    <row r="176" spans="1:9">
      <c r="A176">
        <v>10175</v>
      </c>
      <c r="B176" s="39" t="s">
        <v>517</v>
      </c>
      <c r="C176" s="39" t="s">
        <v>518</v>
      </c>
      <c r="D176" s="65" t="s">
        <v>519</v>
      </c>
      <c r="E176" s="66">
        <v>34558</v>
      </c>
      <c r="F176" s="32">
        <v>48</v>
      </c>
      <c r="G176" s="39" t="s">
        <v>52</v>
      </c>
      <c r="H176" s="39"/>
      <c r="I176" s="12">
        <f t="shared" si="2"/>
        <v>10175</v>
      </c>
    </row>
    <row r="177" spans="1:9">
      <c r="A177" s="2">
        <v>210176</v>
      </c>
      <c r="B177" s="39" t="s">
        <v>520</v>
      </c>
      <c r="C177" s="39" t="s">
        <v>521</v>
      </c>
      <c r="D177" s="65" t="s">
        <v>522</v>
      </c>
      <c r="E177" s="66">
        <v>37710</v>
      </c>
      <c r="F177" s="32">
        <v>76</v>
      </c>
      <c r="G177" s="39" t="s">
        <v>214</v>
      </c>
      <c r="H177" s="39"/>
      <c r="I177" s="12">
        <f t="shared" si="2"/>
        <v>210176</v>
      </c>
    </row>
    <row r="178" spans="1:9">
      <c r="A178" s="2">
        <v>210177</v>
      </c>
      <c r="B178" s="39" t="s">
        <v>523</v>
      </c>
      <c r="C178" s="39" t="s">
        <v>170</v>
      </c>
      <c r="D178" s="65" t="s">
        <v>524</v>
      </c>
      <c r="E178" s="66">
        <v>39319</v>
      </c>
      <c r="F178" s="32">
        <v>76</v>
      </c>
      <c r="G178" s="39" t="s">
        <v>214</v>
      </c>
      <c r="H178" s="39"/>
      <c r="I178" s="12">
        <f t="shared" si="2"/>
        <v>210177</v>
      </c>
    </row>
    <row r="179" spans="1:9">
      <c r="A179">
        <v>10178</v>
      </c>
      <c r="B179" s="39" t="s">
        <v>525</v>
      </c>
      <c r="C179" s="39" t="s">
        <v>170</v>
      </c>
      <c r="D179" s="65" t="s">
        <v>526</v>
      </c>
      <c r="E179" s="66">
        <v>37887</v>
      </c>
      <c r="F179" s="32">
        <v>76</v>
      </c>
      <c r="G179" s="39" t="s">
        <v>52</v>
      </c>
      <c r="H179" s="39"/>
      <c r="I179" s="12">
        <f t="shared" si="2"/>
        <v>10178</v>
      </c>
    </row>
    <row r="180" spans="1:9">
      <c r="A180">
        <v>10179</v>
      </c>
      <c r="B180" s="39" t="s">
        <v>527</v>
      </c>
      <c r="C180" s="39" t="s">
        <v>528</v>
      </c>
      <c r="D180" s="65" t="s">
        <v>529</v>
      </c>
      <c r="E180" s="66">
        <v>37426</v>
      </c>
      <c r="F180" s="32">
        <v>76</v>
      </c>
      <c r="G180" s="39" t="s">
        <v>52</v>
      </c>
      <c r="H180" s="39"/>
      <c r="I180" s="12">
        <f t="shared" si="2"/>
        <v>10179</v>
      </c>
    </row>
    <row r="181" spans="1:9">
      <c r="A181">
        <v>10180</v>
      </c>
      <c r="B181" s="39" t="s">
        <v>530</v>
      </c>
      <c r="C181" s="39" t="s">
        <v>531</v>
      </c>
      <c r="D181" s="65" t="s">
        <v>532</v>
      </c>
      <c r="E181" s="66">
        <v>36339</v>
      </c>
      <c r="F181" s="32">
        <v>76</v>
      </c>
      <c r="G181" s="39" t="s">
        <v>52</v>
      </c>
      <c r="H181" s="39"/>
      <c r="I181" s="12">
        <f t="shared" si="2"/>
        <v>10180</v>
      </c>
    </row>
    <row r="182" spans="1:9">
      <c r="A182">
        <v>10181</v>
      </c>
      <c r="B182" s="39" t="s">
        <v>533</v>
      </c>
      <c r="C182" s="39" t="s">
        <v>439</v>
      </c>
      <c r="D182" s="65" t="s">
        <v>534</v>
      </c>
      <c r="E182" s="66">
        <v>35083</v>
      </c>
      <c r="F182" s="32">
        <v>76</v>
      </c>
      <c r="G182" s="39" t="s">
        <v>214</v>
      </c>
      <c r="H182" s="39"/>
      <c r="I182" s="12">
        <f t="shared" si="2"/>
        <v>10181</v>
      </c>
    </row>
    <row r="183" spans="1:9">
      <c r="A183">
        <v>10182</v>
      </c>
      <c r="B183" s="39" t="s">
        <v>535</v>
      </c>
      <c r="C183" s="39" t="s">
        <v>536</v>
      </c>
      <c r="D183" s="65" t="s">
        <v>537</v>
      </c>
      <c r="E183" s="66">
        <v>35151</v>
      </c>
      <c r="F183" s="32">
        <v>76</v>
      </c>
      <c r="G183" s="39" t="s">
        <v>214</v>
      </c>
      <c r="H183" s="39"/>
      <c r="I183" s="12">
        <f t="shared" si="2"/>
        <v>10182</v>
      </c>
    </row>
    <row r="184" spans="1:9">
      <c r="A184" s="2">
        <v>210183</v>
      </c>
      <c r="B184" s="39" t="s">
        <v>538</v>
      </c>
      <c r="C184" s="39" t="s">
        <v>539</v>
      </c>
      <c r="D184" s="65" t="s">
        <v>540</v>
      </c>
      <c r="E184" s="66">
        <v>39260</v>
      </c>
      <c r="F184" s="32">
        <v>76</v>
      </c>
      <c r="G184" s="39" t="s">
        <v>214</v>
      </c>
      <c r="H184" s="39"/>
      <c r="I184" s="12">
        <f t="shared" si="2"/>
        <v>210183</v>
      </c>
    </row>
    <row r="185" spans="1:9">
      <c r="A185" s="2">
        <v>210184</v>
      </c>
      <c r="B185" s="39" t="s">
        <v>541</v>
      </c>
      <c r="C185" s="39" t="s">
        <v>542</v>
      </c>
      <c r="D185" s="65" t="s">
        <v>543</v>
      </c>
      <c r="E185" s="66">
        <v>39072</v>
      </c>
      <c r="F185" s="32">
        <v>76</v>
      </c>
      <c r="G185" s="39" t="s">
        <v>214</v>
      </c>
      <c r="H185" s="39"/>
      <c r="I185" s="12">
        <f t="shared" si="2"/>
        <v>210184</v>
      </c>
    </row>
    <row r="186" spans="1:9">
      <c r="A186" s="2">
        <v>10185</v>
      </c>
      <c r="B186" s="39" t="s">
        <v>544</v>
      </c>
      <c r="C186" s="39" t="s">
        <v>545</v>
      </c>
      <c r="D186" s="65" t="s">
        <v>546</v>
      </c>
      <c r="E186" s="66">
        <v>36488</v>
      </c>
      <c r="F186" s="32">
        <v>48</v>
      </c>
      <c r="G186" s="39" t="s">
        <v>214</v>
      </c>
      <c r="H186" s="39"/>
      <c r="I186" s="12">
        <f t="shared" si="2"/>
        <v>10185</v>
      </c>
    </row>
    <row r="187" spans="1:9">
      <c r="A187" s="2">
        <v>210186</v>
      </c>
      <c r="B187" s="39" t="s">
        <v>547</v>
      </c>
      <c r="C187" s="39" t="s">
        <v>548</v>
      </c>
      <c r="D187" s="65" t="s">
        <v>549</v>
      </c>
      <c r="E187" s="66">
        <v>39124</v>
      </c>
      <c r="F187" s="32">
        <v>76</v>
      </c>
      <c r="G187" s="39" t="s">
        <v>214</v>
      </c>
      <c r="H187" s="39"/>
      <c r="I187" s="12">
        <f t="shared" si="2"/>
        <v>210186</v>
      </c>
    </row>
    <row r="188" spans="1:9">
      <c r="A188" s="2">
        <v>10187</v>
      </c>
      <c r="B188" s="39" t="s">
        <v>550</v>
      </c>
      <c r="C188" s="39" t="s">
        <v>551</v>
      </c>
      <c r="D188" s="65" t="s">
        <v>552</v>
      </c>
      <c r="E188" s="66">
        <v>37836</v>
      </c>
      <c r="F188" s="32">
        <v>76</v>
      </c>
      <c r="G188" s="39" t="s">
        <v>52</v>
      </c>
      <c r="H188" s="39"/>
      <c r="I188" s="12">
        <f t="shared" si="2"/>
        <v>10187</v>
      </c>
    </row>
    <row r="189" spans="1:9">
      <c r="A189" s="2">
        <v>210188</v>
      </c>
      <c r="B189" s="39" t="s">
        <v>553</v>
      </c>
      <c r="C189" s="39" t="s">
        <v>554</v>
      </c>
      <c r="D189" s="65" t="s">
        <v>555</v>
      </c>
      <c r="E189" s="66">
        <v>37835</v>
      </c>
      <c r="F189" s="32">
        <v>48</v>
      </c>
      <c r="G189" s="39" t="s">
        <v>556</v>
      </c>
      <c r="H189" s="39"/>
      <c r="I189" s="12">
        <f t="shared" si="2"/>
        <v>210188</v>
      </c>
    </row>
    <row r="190" spans="1:9">
      <c r="A190" s="2">
        <v>210189</v>
      </c>
      <c r="B190" s="39" t="s">
        <v>557</v>
      </c>
      <c r="C190" s="39" t="s">
        <v>391</v>
      </c>
      <c r="D190" s="65" t="s">
        <v>558</v>
      </c>
      <c r="E190" s="66">
        <v>29643</v>
      </c>
      <c r="F190" s="32">
        <v>76</v>
      </c>
      <c r="G190" s="39" t="s">
        <v>556</v>
      </c>
      <c r="H190" s="39"/>
      <c r="I190" s="12">
        <f t="shared" si="2"/>
        <v>210189</v>
      </c>
    </row>
    <row r="191" spans="1:9">
      <c r="A191" s="2">
        <v>10190</v>
      </c>
      <c r="B191" s="39" t="s">
        <v>559</v>
      </c>
      <c r="C191" s="39" t="s">
        <v>560</v>
      </c>
      <c r="D191" s="65" t="s">
        <v>561</v>
      </c>
      <c r="E191" s="66">
        <v>34706</v>
      </c>
      <c r="F191" s="32">
        <v>76</v>
      </c>
      <c r="G191" s="39" t="s">
        <v>52</v>
      </c>
      <c r="H191" s="39"/>
      <c r="I191" s="12">
        <f t="shared" si="2"/>
        <v>10190</v>
      </c>
    </row>
    <row r="192" spans="1:9">
      <c r="A192" s="2">
        <v>10191</v>
      </c>
      <c r="B192" s="39" t="s">
        <v>562</v>
      </c>
      <c r="C192" s="39" t="s">
        <v>114</v>
      </c>
      <c r="D192" s="65" t="s">
        <v>563</v>
      </c>
      <c r="E192" s="66">
        <v>37721</v>
      </c>
      <c r="F192" s="32">
        <v>76</v>
      </c>
      <c r="G192" s="39" t="s">
        <v>52</v>
      </c>
      <c r="H192" s="39"/>
      <c r="I192" s="12">
        <f t="shared" si="2"/>
        <v>10191</v>
      </c>
    </row>
    <row r="193" spans="1:9">
      <c r="A193" s="2">
        <v>10192</v>
      </c>
      <c r="B193" s="39" t="s">
        <v>564</v>
      </c>
      <c r="C193" s="39" t="s">
        <v>565</v>
      </c>
      <c r="D193" s="65" t="s">
        <v>566</v>
      </c>
      <c r="E193" s="66">
        <v>37876</v>
      </c>
      <c r="F193" s="32">
        <v>76</v>
      </c>
      <c r="G193" s="39" t="s">
        <v>214</v>
      </c>
      <c r="H193" s="39"/>
      <c r="I193" s="12">
        <f t="shared" si="2"/>
        <v>10192</v>
      </c>
    </row>
    <row r="194" spans="1:9">
      <c r="A194" s="2">
        <v>210193</v>
      </c>
      <c r="B194" s="39" t="s">
        <v>567</v>
      </c>
      <c r="C194" s="39" t="s">
        <v>568</v>
      </c>
      <c r="D194" s="65" t="s">
        <v>569</v>
      </c>
      <c r="E194" s="66">
        <v>38782</v>
      </c>
      <c r="F194" s="32">
        <v>76</v>
      </c>
      <c r="G194" s="39" t="s">
        <v>214</v>
      </c>
      <c r="H194" s="39"/>
      <c r="I194" s="12">
        <f t="shared" ref="I194:I257" si="3">A194</f>
        <v>210193</v>
      </c>
    </row>
    <row r="195" spans="1:9">
      <c r="A195" s="2">
        <v>10194</v>
      </c>
      <c r="B195" s="39" t="s">
        <v>570</v>
      </c>
      <c r="C195" s="39" t="s">
        <v>571</v>
      </c>
      <c r="D195" s="65" t="s">
        <v>572</v>
      </c>
      <c r="E195" s="66">
        <v>32465</v>
      </c>
      <c r="F195" s="32">
        <v>76</v>
      </c>
      <c r="G195" s="39" t="s">
        <v>214</v>
      </c>
      <c r="H195" s="39"/>
      <c r="I195" s="12">
        <f t="shared" si="3"/>
        <v>10194</v>
      </c>
    </row>
    <row r="196" spans="1:9">
      <c r="A196" s="2">
        <v>10195</v>
      </c>
      <c r="B196" s="39" t="s">
        <v>573</v>
      </c>
      <c r="C196" s="39" t="s">
        <v>574</v>
      </c>
      <c r="D196" s="65" t="s">
        <v>575</v>
      </c>
      <c r="E196" s="66">
        <v>34596</v>
      </c>
      <c r="F196" s="32">
        <v>76</v>
      </c>
      <c r="G196" s="39" t="s">
        <v>214</v>
      </c>
      <c r="H196" s="39"/>
      <c r="I196" s="12">
        <f t="shared" si="3"/>
        <v>10195</v>
      </c>
    </row>
    <row r="197" spans="1:9">
      <c r="A197" s="2">
        <v>10196</v>
      </c>
      <c r="B197" s="39" t="s">
        <v>108</v>
      </c>
      <c r="C197" s="39" t="s">
        <v>206</v>
      </c>
      <c r="D197" s="65" t="s">
        <v>576</v>
      </c>
      <c r="E197" s="66">
        <v>36441</v>
      </c>
      <c r="F197" s="32">
        <v>48</v>
      </c>
      <c r="G197" s="39" t="s">
        <v>214</v>
      </c>
      <c r="H197" s="39"/>
      <c r="I197" s="12">
        <f t="shared" si="3"/>
        <v>10196</v>
      </c>
    </row>
    <row r="198" spans="1:9">
      <c r="A198" s="2">
        <v>210197</v>
      </c>
      <c r="B198" s="39" t="s">
        <v>577</v>
      </c>
      <c r="C198" s="39" t="s">
        <v>50</v>
      </c>
      <c r="D198" s="65" t="s">
        <v>578</v>
      </c>
      <c r="E198" s="66">
        <v>39196</v>
      </c>
      <c r="F198" s="32">
        <v>76</v>
      </c>
      <c r="G198" s="39" t="s">
        <v>214</v>
      </c>
      <c r="H198" s="39"/>
      <c r="I198" s="12">
        <f t="shared" si="3"/>
        <v>210197</v>
      </c>
    </row>
    <row r="199" spans="1:9">
      <c r="A199" s="2">
        <v>10198</v>
      </c>
      <c r="B199" s="39" t="s">
        <v>579</v>
      </c>
      <c r="C199" s="39" t="s">
        <v>188</v>
      </c>
      <c r="D199" s="65" t="s">
        <v>580</v>
      </c>
      <c r="E199" s="66">
        <v>38050</v>
      </c>
      <c r="F199" s="32">
        <v>76</v>
      </c>
      <c r="G199" s="39" t="s">
        <v>214</v>
      </c>
      <c r="H199" s="39"/>
      <c r="I199" s="12">
        <f t="shared" si="3"/>
        <v>10198</v>
      </c>
    </row>
    <row r="200" spans="1:9">
      <c r="A200" s="2">
        <v>210199</v>
      </c>
      <c r="B200" s="39" t="s">
        <v>581</v>
      </c>
      <c r="C200" s="39" t="s">
        <v>582</v>
      </c>
      <c r="D200" s="65" t="s">
        <v>583</v>
      </c>
      <c r="E200" s="66">
        <v>39310</v>
      </c>
      <c r="F200" s="32">
        <v>76</v>
      </c>
      <c r="G200" s="39" t="s">
        <v>214</v>
      </c>
      <c r="H200" s="39"/>
      <c r="I200" s="12">
        <f t="shared" si="3"/>
        <v>210199</v>
      </c>
    </row>
    <row r="201" spans="1:9">
      <c r="A201" s="2">
        <v>210200</v>
      </c>
      <c r="B201" s="39" t="s">
        <v>584</v>
      </c>
      <c r="C201" s="39" t="s">
        <v>585</v>
      </c>
      <c r="D201" s="65" t="s">
        <v>586</v>
      </c>
      <c r="E201" s="66">
        <v>38937</v>
      </c>
      <c r="F201" s="32">
        <v>76</v>
      </c>
      <c r="G201" s="39" t="s">
        <v>69</v>
      </c>
      <c r="H201" s="39"/>
      <c r="I201" s="12">
        <f t="shared" si="3"/>
        <v>210200</v>
      </c>
    </row>
    <row r="202" spans="1:9">
      <c r="A202" s="2">
        <v>210201</v>
      </c>
      <c r="B202" s="39" t="s">
        <v>587</v>
      </c>
      <c r="C202" s="39" t="s">
        <v>322</v>
      </c>
      <c r="D202" s="65" t="s">
        <v>588</v>
      </c>
      <c r="E202" s="66">
        <v>38884</v>
      </c>
      <c r="F202" s="32">
        <v>76</v>
      </c>
      <c r="G202" s="39" t="s">
        <v>214</v>
      </c>
      <c r="H202" s="39"/>
      <c r="I202" s="12">
        <f t="shared" si="3"/>
        <v>210201</v>
      </c>
    </row>
    <row r="203" spans="1:9">
      <c r="A203" s="2">
        <v>10202</v>
      </c>
      <c r="B203" s="39" t="s">
        <v>215</v>
      </c>
      <c r="C203" s="39" t="s">
        <v>589</v>
      </c>
      <c r="D203" s="65" t="s">
        <v>590</v>
      </c>
      <c r="E203" s="66">
        <v>37730</v>
      </c>
      <c r="F203" s="32">
        <v>48</v>
      </c>
      <c r="G203" s="39" t="s">
        <v>52</v>
      </c>
      <c r="H203" s="39"/>
      <c r="I203" s="12">
        <f t="shared" si="3"/>
        <v>10202</v>
      </c>
    </row>
    <row r="204" spans="1:9">
      <c r="A204" s="2">
        <v>10203</v>
      </c>
      <c r="B204" s="39" t="s">
        <v>591</v>
      </c>
      <c r="C204" s="39" t="s">
        <v>592</v>
      </c>
      <c r="D204" s="65" t="s">
        <v>593</v>
      </c>
      <c r="E204" s="66">
        <v>33987</v>
      </c>
      <c r="F204" s="32">
        <v>76</v>
      </c>
      <c r="G204" s="39" t="s">
        <v>214</v>
      </c>
      <c r="H204" s="39"/>
      <c r="I204" s="12">
        <f t="shared" si="3"/>
        <v>10203</v>
      </c>
    </row>
    <row r="205" spans="1:9">
      <c r="A205" s="2">
        <v>10204</v>
      </c>
      <c r="B205" s="39" t="s">
        <v>594</v>
      </c>
      <c r="C205" s="39" t="s">
        <v>170</v>
      </c>
      <c r="D205" s="65" t="s">
        <v>595</v>
      </c>
      <c r="E205" s="66">
        <v>37228</v>
      </c>
      <c r="F205" s="32">
        <v>48</v>
      </c>
      <c r="G205" s="39" t="s">
        <v>214</v>
      </c>
      <c r="H205" s="39"/>
      <c r="I205" s="12">
        <f t="shared" si="3"/>
        <v>10204</v>
      </c>
    </row>
    <row r="206" spans="1:9">
      <c r="A206" s="2">
        <v>10205</v>
      </c>
      <c r="B206" s="39" t="s">
        <v>170</v>
      </c>
      <c r="C206" s="39" t="s">
        <v>596</v>
      </c>
      <c r="D206" s="65" t="s">
        <v>597</v>
      </c>
      <c r="E206" s="66">
        <v>35382</v>
      </c>
      <c r="F206" s="32">
        <v>76</v>
      </c>
      <c r="G206" s="39" t="s">
        <v>214</v>
      </c>
      <c r="H206" s="39"/>
      <c r="I206" s="12">
        <f t="shared" si="3"/>
        <v>10205</v>
      </c>
    </row>
    <row r="207" spans="1:9">
      <c r="A207" s="2">
        <v>10206</v>
      </c>
      <c r="B207" s="39" t="s">
        <v>598</v>
      </c>
      <c r="C207" s="39" t="s">
        <v>599</v>
      </c>
      <c r="D207" s="65" t="s">
        <v>600</v>
      </c>
      <c r="E207" s="66">
        <v>34769</v>
      </c>
      <c r="F207" s="32">
        <v>48</v>
      </c>
      <c r="G207" s="39" t="s">
        <v>214</v>
      </c>
      <c r="H207" s="39"/>
      <c r="I207" s="12">
        <f t="shared" si="3"/>
        <v>10206</v>
      </c>
    </row>
    <row r="208" spans="1:9">
      <c r="A208" s="2">
        <v>210207</v>
      </c>
      <c r="B208" s="39" t="s">
        <v>515</v>
      </c>
      <c r="C208" s="39" t="s">
        <v>170</v>
      </c>
      <c r="D208" s="65" t="s">
        <v>601</v>
      </c>
      <c r="E208" s="66">
        <v>38852</v>
      </c>
      <c r="F208" s="32">
        <v>76</v>
      </c>
      <c r="G208" s="39" t="s">
        <v>52</v>
      </c>
      <c r="H208" s="39"/>
      <c r="I208" s="12">
        <f t="shared" si="3"/>
        <v>210207</v>
      </c>
    </row>
    <row r="209" spans="1:9">
      <c r="A209" s="2">
        <v>210208</v>
      </c>
      <c r="B209" s="39" t="s">
        <v>602</v>
      </c>
      <c r="C209" s="39" t="s">
        <v>603</v>
      </c>
      <c r="D209" s="65" t="s">
        <v>604</v>
      </c>
      <c r="E209" s="66">
        <v>39188</v>
      </c>
      <c r="F209" s="32">
        <v>76</v>
      </c>
      <c r="G209" s="39" t="s">
        <v>214</v>
      </c>
      <c r="H209" s="39"/>
      <c r="I209" s="12">
        <f t="shared" si="3"/>
        <v>210208</v>
      </c>
    </row>
    <row r="210" spans="1:9">
      <c r="A210" s="2">
        <v>10209</v>
      </c>
      <c r="B210" s="39" t="s">
        <v>605</v>
      </c>
      <c r="C210" s="39" t="s">
        <v>71</v>
      </c>
      <c r="D210" s="65" t="s">
        <v>606</v>
      </c>
      <c r="E210" s="66">
        <v>36848</v>
      </c>
      <c r="F210" s="32">
        <v>76</v>
      </c>
      <c r="G210" s="39" t="s">
        <v>52</v>
      </c>
      <c r="H210" s="39"/>
      <c r="I210" s="12">
        <f t="shared" si="3"/>
        <v>10209</v>
      </c>
    </row>
    <row r="211" spans="1:9">
      <c r="A211" s="2">
        <v>10210</v>
      </c>
      <c r="B211" s="39" t="s">
        <v>607</v>
      </c>
      <c r="C211" s="39" t="s">
        <v>608</v>
      </c>
      <c r="D211" s="65" t="s">
        <v>609</v>
      </c>
      <c r="E211" s="66">
        <v>35935</v>
      </c>
      <c r="F211" s="32">
        <v>76</v>
      </c>
      <c r="G211" s="39" t="s">
        <v>52</v>
      </c>
      <c r="H211" s="39"/>
      <c r="I211" s="12">
        <f t="shared" si="3"/>
        <v>10210</v>
      </c>
    </row>
    <row r="212" spans="1:9">
      <c r="A212" s="2">
        <v>10211</v>
      </c>
      <c r="B212" s="39" t="s">
        <v>610</v>
      </c>
      <c r="C212" s="39" t="s">
        <v>611</v>
      </c>
      <c r="D212" s="65" t="s">
        <v>612</v>
      </c>
      <c r="E212" s="66">
        <v>33574</v>
      </c>
      <c r="F212" s="32">
        <v>200</v>
      </c>
      <c r="G212" s="39" t="s">
        <v>214</v>
      </c>
      <c r="H212" s="39"/>
      <c r="I212" s="12">
        <f t="shared" si="3"/>
        <v>10211</v>
      </c>
    </row>
    <row r="213" spans="1:9">
      <c r="A213" s="2">
        <v>210212</v>
      </c>
      <c r="B213" s="39" t="s">
        <v>613</v>
      </c>
      <c r="C213" s="39" t="s">
        <v>614</v>
      </c>
      <c r="D213" s="65" t="s">
        <v>615</v>
      </c>
      <c r="E213" s="66">
        <v>38844</v>
      </c>
      <c r="F213" s="32">
        <v>76</v>
      </c>
      <c r="G213" s="39" t="s">
        <v>214</v>
      </c>
      <c r="H213" s="39"/>
      <c r="I213" s="12">
        <f t="shared" si="3"/>
        <v>210212</v>
      </c>
    </row>
    <row r="214" spans="1:9">
      <c r="A214" s="2">
        <v>10213</v>
      </c>
      <c r="B214" s="39" t="s">
        <v>616</v>
      </c>
      <c r="C214" s="39" t="s">
        <v>617</v>
      </c>
      <c r="D214" s="65" t="s">
        <v>618</v>
      </c>
      <c r="E214" s="66">
        <v>38256</v>
      </c>
      <c r="F214" s="32">
        <v>76</v>
      </c>
      <c r="G214" s="39" t="s">
        <v>214</v>
      </c>
      <c r="H214" s="39"/>
      <c r="I214" s="12">
        <f t="shared" si="3"/>
        <v>10213</v>
      </c>
    </row>
    <row r="215" spans="1:9">
      <c r="A215" s="2">
        <v>10214</v>
      </c>
      <c r="B215" s="39" t="s">
        <v>619</v>
      </c>
      <c r="C215" s="39" t="s">
        <v>71</v>
      </c>
      <c r="D215" s="65" t="s">
        <v>620</v>
      </c>
      <c r="E215" s="66">
        <v>37855</v>
      </c>
      <c r="F215" s="32">
        <v>76</v>
      </c>
      <c r="G215" s="39" t="s">
        <v>69</v>
      </c>
      <c r="H215" s="39"/>
      <c r="I215" s="12">
        <f t="shared" si="3"/>
        <v>10214</v>
      </c>
    </row>
    <row r="216" spans="1:9">
      <c r="A216" s="2">
        <v>10215</v>
      </c>
      <c r="B216" s="39" t="s">
        <v>621</v>
      </c>
      <c r="C216" s="39" t="s">
        <v>192</v>
      </c>
      <c r="D216" s="65" t="s">
        <v>622</v>
      </c>
      <c r="E216" s="66">
        <v>25228</v>
      </c>
      <c r="F216" s="32">
        <v>76</v>
      </c>
      <c r="G216" s="39" t="s">
        <v>214</v>
      </c>
      <c r="H216" s="39"/>
      <c r="I216" s="12">
        <f t="shared" si="3"/>
        <v>10215</v>
      </c>
    </row>
    <row r="217" spans="1:9">
      <c r="A217" s="2">
        <v>10216</v>
      </c>
      <c r="B217" s="39" t="s">
        <v>623</v>
      </c>
      <c r="C217" s="39" t="s">
        <v>624</v>
      </c>
      <c r="D217" s="65" t="s">
        <v>625</v>
      </c>
      <c r="E217" s="66">
        <v>35708</v>
      </c>
      <c r="F217" s="32">
        <v>48</v>
      </c>
      <c r="G217" s="39" t="s">
        <v>52</v>
      </c>
      <c r="H217" s="39"/>
      <c r="I217" s="12">
        <f t="shared" si="3"/>
        <v>10216</v>
      </c>
    </row>
    <row r="218" spans="1:9">
      <c r="A218" s="2">
        <v>10217</v>
      </c>
      <c r="B218" s="39" t="s">
        <v>626</v>
      </c>
      <c r="C218" s="39" t="s">
        <v>627</v>
      </c>
      <c r="D218" s="65" t="s">
        <v>628</v>
      </c>
      <c r="E218" s="66">
        <v>38818</v>
      </c>
      <c r="F218" s="32">
        <v>76</v>
      </c>
      <c r="G218" s="39" t="s">
        <v>214</v>
      </c>
      <c r="H218" s="39"/>
      <c r="I218" s="12">
        <f t="shared" si="3"/>
        <v>10217</v>
      </c>
    </row>
    <row r="219" spans="1:9">
      <c r="A219" s="2">
        <v>210218</v>
      </c>
      <c r="B219" s="39" t="s">
        <v>629</v>
      </c>
      <c r="C219" s="39" t="s">
        <v>630</v>
      </c>
      <c r="D219" s="65" t="s">
        <v>631</v>
      </c>
      <c r="E219" s="66">
        <v>39043</v>
      </c>
      <c r="F219" s="32">
        <v>76</v>
      </c>
      <c r="G219" s="39" t="s">
        <v>214</v>
      </c>
      <c r="H219" s="39"/>
      <c r="I219" s="12">
        <f t="shared" si="3"/>
        <v>210218</v>
      </c>
    </row>
    <row r="220" spans="1:9">
      <c r="A220" s="2">
        <v>210219</v>
      </c>
      <c r="B220" s="39" t="s">
        <v>632</v>
      </c>
      <c r="C220" s="39" t="s">
        <v>58</v>
      </c>
      <c r="D220" s="65" t="s">
        <v>633</v>
      </c>
      <c r="E220" s="66">
        <v>39383</v>
      </c>
      <c r="F220" s="32">
        <v>76</v>
      </c>
      <c r="G220" s="39" t="s">
        <v>214</v>
      </c>
      <c r="H220" s="39"/>
      <c r="I220" s="12">
        <f t="shared" si="3"/>
        <v>210219</v>
      </c>
    </row>
    <row r="221" spans="1:9">
      <c r="A221" s="2">
        <v>10220</v>
      </c>
      <c r="B221" s="39" t="s">
        <v>634</v>
      </c>
      <c r="C221" s="39" t="s">
        <v>635</v>
      </c>
      <c r="D221" s="65" t="s">
        <v>636</v>
      </c>
      <c r="E221" s="66">
        <v>38861</v>
      </c>
      <c r="F221" s="32">
        <v>76</v>
      </c>
      <c r="G221" s="39" t="s">
        <v>214</v>
      </c>
      <c r="H221" s="39"/>
      <c r="I221" s="12">
        <f t="shared" si="3"/>
        <v>10220</v>
      </c>
    </row>
    <row r="222" spans="1:9">
      <c r="A222" s="2">
        <v>10221</v>
      </c>
      <c r="B222" s="39" t="s">
        <v>637</v>
      </c>
      <c r="C222" s="39" t="s">
        <v>117</v>
      </c>
      <c r="D222" s="65" t="s">
        <v>638</v>
      </c>
      <c r="E222" s="66">
        <v>35471</v>
      </c>
      <c r="F222" s="32">
        <v>48</v>
      </c>
      <c r="G222" s="39" t="s">
        <v>214</v>
      </c>
      <c r="H222" s="39"/>
      <c r="I222" s="12">
        <f t="shared" si="3"/>
        <v>10221</v>
      </c>
    </row>
    <row r="223" spans="1:9">
      <c r="A223" s="2">
        <v>10222</v>
      </c>
      <c r="B223" s="39" t="s">
        <v>639</v>
      </c>
      <c r="C223" s="39" t="s">
        <v>640</v>
      </c>
      <c r="D223" s="65" t="s">
        <v>641</v>
      </c>
      <c r="E223" s="66">
        <v>36400</v>
      </c>
      <c r="F223" s="32">
        <v>76</v>
      </c>
      <c r="G223" s="39" t="s">
        <v>214</v>
      </c>
      <c r="H223" s="39"/>
      <c r="I223" s="12">
        <f t="shared" si="3"/>
        <v>10222</v>
      </c>
    </row>
    <row r="224" spans="1:9">
      <c r="A224" s="2">
        <v>210223</v>
      </c>
      <c r="B224" s="39" t="s">
        <v>642</v>
      </c>
      <c r="C224" s="39" t="s">
        <v>71</v>
      </c>
      <c r="D224" s="65" t="s">
        <v>643</v>
      </c>
      <c r="E224" s="66">
        <v>39443</v>
      </c>
      <c r="F224" s="32">
        <v>76</v>
      </c>
      <c r="G224" s="39" t="s">
        <v>214</v>
      </c>
      <c r="H224" s="39"/>
      <c r="I224" s="12">
        <f t="shared" si="3"/>
        <v>210223</v>
      </c>
    </row>
    <row r="225" spans="1:9">
      <c r="A225" s="2">
        <v>10224</v>
      </c>
      <c r="B225" s="39" t="s">
        <v>336</v>
      </c>
      <c r="C225" s="39" t="s">
        <v>644</v>
      </c>
      <c r="D225" s="65" t="s">
        <v>645</v>
      </c>
      <c r="E225" s="66">
        <v>38536</v>
      </c>
      <c r="F225" s="32">
        <v>76</v>
      </c>
      <c r="G225" s="39" t="s">
        <v>214</v>
      </c>
      <c r="H225" s="39"/>
      <c r="I225" s="12">
        <f t="shared" si="3"/>
        <v>10224</v>
      </c>
    </row>
    <row r="226" spans="1:9">
      <c r="A226" s="2">
        <v>10225</v>
      </c>
      <c r="B226" s="39" t="s">
        <v>646</v>
      </c>
      <c r="C226" s="39" t="s">
        <v>170</v>
      </c>
      <c r="D226" s="65" t="s">
        <v>647</v>
      </c>
      <c r="E226" s="66">
        <v>37692</v>
      </c>
      <c r="F226" s="32">
        <v>76</v>
      </c>
      <c r="G226" s="39" t="s">
        <v>214</v>
      </c>
      <c r="H226" s="39"/>
      <c r="I226" s="12">
        <f t="shared" si="3"/>
        <v>10225</v>
      </c>
    </row>
    <row r="227" spans="1:9">
      <c r="A227" s="2">
        <v>10226</v>
      </c>
      <c r="B227" s="39" t="s">
        <v>648</v>
      </c>
      <c r="C227" s="39" t="s">
        <v>439</v>
      </c>
      <c r="D227" s="65" t="s">
        <v>649</v>
      </c>
      <c r="E227" s="66">
        <v>36825</v>
      </c>
      <c r="F227" s="32">
        <v>48</v>
      </c>
      <c r="G227" s="39" t="s">
        <v>52</v>
      </c>
      <c r="H227" s="39"/>
      <c r="I227" s="12">
        <f t="shared" si="3"/>
        <v>10226</v>
      </c>
    </row>
    <row r="228" spans="1:9">
      <c r="A228" s="2">
        <v>10227</v>
      </c>
      <c r="B228" s="39" t="s">
        <v>650</v>
      </c>
      <c r="C228" s="39" t="s">
        <v>125</v>
      </c>
      <c r="D228" s="65" t="s">
        <v>651</v>
      </c>
      <c r="E228" s="66">
        <v>35198</v>
      </c>
      <c r="F228" s="32">
        <v>48</v>
      </c>
      <c r="G228" s="39" t="s">
        <v>52</v>
      </c>
      <c r="H228" s="39"/>
      <c r="I228" s="12">
        <f t="shared" si="3"/>
        <v>10227</v>
      </c>
    </row>
    <row r="229" spans="1:9">
      <c r="A229" s="2">
        <v>10228</v>
      </c>
      <c r="B229" s="39" t="s">
        <v>504</v>
      </c>
      <c r="C229" s="39" t="s">
        <v>114</v>
      </c>
      <c r="D229" s="65" t="s">
        <v>652</v>
      </c>
      <c r="E229" s="66">
        <v>36988</v>
      </c>
      <c r="F229" s="32">
        <v>76</v>
      </c>
      <c r="G229" s="39" t="s">
        <v>52</v>
      </c>
      <c r="H229" s="39"/>
      <c r="I229" s="12">
        <f t="shared" si="3"/>
        <v>10228</v>
      </c>
    </row>
    <row r="230" spans="1:9">
      <c r="A230" s="2">
        <v>10229</v>
      </c>
      <c r="B230" s="39" t="s">
        <v>653</v>
      </c>
      <c r="C230" s="39" t="s">
        <v>654</v>
      </c>
      <c r="D230" s="65" t="s">
        <v>655</v>
      </c>
      <c r="E230" s="66">
        <v>37527</v>
      </c>
      <c r="F230" s="32">
        <v>76</v>
      </c>
      <c r="G230" s="39" t="s">
        <v>52</v>
      </c>
      <c r="H230" s="39"/>
      <c r="I230" s="12">
        <f t="shared" si="3"/>
        <v>10229</v>
      </c>
    </row>
    <row r="231" spans="1:9">
      <c r="A231" s="2">
        <v>10230</v>
      </c>
      <c r="B231" s="39" t="s">
        <v>656</v>
      </c>
      <c r="C231" s="39" t="s">
        <v>67</v>
      </c>
      <c r="D231" s="65" t="s">
        <v>657</v>
      </c>
      <c r="E231" s="66">
        <v>34408</v>
      </c>
      <c r="F231" s="32">
        <v>76</v>
      </c>
      <c r="G231" s="39" t="s">
        <v>52</v>
      </c>
      <c r="H231" s="39"/>
      <c r="I231" s="12">
        <f t="shared" si="3"/>
        <v>10230</v>
      </c>
    </row>
    <row r="232" spans="1:9">
      <c r="A232" s="2">
        <v>10231</v>
      </c>
      <c r="B232" s="39" t="s">
        <v>658</v>
      </c>
      <c r="C232" s="39" t="s">
        <v>659</v>
      </c>
      <c r="D232" s="65" t="s">
        <v>660</v>
      </c>
      <c r="E232" s="66">
        <v>33274</v>
      </c>
      <c r="F232" s="32">
        <v>76</v>
      </c>
      <c r="G232" s="39" t="s">
        <v>52</v>
      </c>
      <c r="H232" s="39"/>
      <c r="I232" s="12">
        <f t="shared" si="3"/>
        <v>10231</v>
      </c>
    </row>
    <row r="233" spans="1:9">
      <c r="A233" s="2">
        <v>210232</v>
      </c>
      <c r="B233" s="39" t="s">
        <v>661</v>
      </c>
      <c r="C233" s="39" t="s">
        <v>117</v>
      </c>
      <c r="D233" s="65" t="s">
        <v>662</v>
      </c>
      <c r="E233" s="66">
        <v>39187</v>
      </c>
      <c r="F233" s="32">
        <v>76</v>
      </c>
      <c r="G233" s="39" t="s">
        <v>214</v>
      </c>
      <c r="H233" s="39"/>
      <c r="I233" s="12">
        <f t="shared" si="3"/>
        <v>210232</v>
      </c>
    </row>
    <row r="234" spans="1:9">
      <c r="A234" s="2">
        <v>10233</v>
      </c>
      <c r="B234" s="39" t="s">
        <v>663</v>
      </c>
      <c r="C234" s="39" t="s">
        <v>125</v>
      </c>
      <c r="D234" s="65" t="s">
        <v>664</v>
      </c>
      <c r="E234" s="66">
        <v>35702</v>
      </c>
      <c r="F234" s="32">
        <v>76</v>
      </c>
      <c r="G234" s="39" t="s">
        <v>52</v>
      </c>
      <c r="H234" s="39"/>
      <c r="I234" s="12">
        <f t="shared" si="3"/>
        <v>10233</v>
      </c>
    </row>
    <row r="235" spans="1:9">
      <c r="A235" s="2">
        <v>210234</v>
      </c>
      <c r="B235" s="39" t="s">
        <v>665</v>
      </c>
      <c r="C235" s="39" t="s">
        <v>666</v>
      </c>
      <c r="D235" s="65" t="s">
        <v>667</v>
      </c>
      <c r="E235" s="66">
        <v>39434</v>
      </c>
      <c r="F235" s="32">
        <v>76</v>
      </c>
      <c r="G235" s="39" t="s">
        <v>214</v>
      </c>
      <c r="H235" s="39"/>
      <c r="I235" s="12">
        <f t="shared" si="3"/>
        <v>210234</v>
      </c>
    </row>
    <row r="236" spans="1:9">
      <c r="A236" s="2">
        <v>10235</v>
      </c>
      <c r="B236" s="39" t="s">
        <v>668</v>
      </c>
      <c r="C236" s="39" t="s">
        <v>669</v>
      </c>
      <c r="D236" s="65" t="s">
        <v>670</v>
      </c>
      <c r="E236" s="66">
        <v>38068</v>
      </c>
      <c r="F236" s="32">
        <v>48</v>
      </c>
      <c r="G236" s="39" t="s">
        <v>52</v>
      </c>
      <c r="H236" s="39"/>
      <c r="I236" s="12">
        <f t="shared" si="3"/>
        <v>10235</v>
      </c>
    </row>
    <row r="237" spans="1:9">
      <c r="A237" s="2">
        <v>210236</v>
      </c>
      <c r="B237" s="39" t="s">
        <v>671</v>
      </c>
      <c r="C237" s="39" t="s">
        <v>672</v>
      </c>
      <c r="D237" s="65" t="s">
        <v>671</v>
      </c>
      <c r="E237" s="66">
        <v>38983</v>
      </c>
      <c r="F237" s="32">
        <v>76</v>
      </c>
      <c r="G237" s="39" t="s">
        <v>214</v>
      </c>
      <c r="H237" s="39"/>
      <c r="I237" s="12">
        <f t="shared" si="3"/>
        <v>210236</v>
      </c>
    </row>
    <row r="238" spans="1:9">
      <c r="A238" s="2">
        <v>10237</v>
      </c>
      <c r="B238" s="39" t="s">
        <v>673</v>
      </c>
      <c r="C238" s="39" t="s">
        <v>67</v>
      </c>
      <c r="D238" s="65" t="s">
        <v>674</v>
      </c>
      <c r="E238" s="66">
        <v>35318</v>
      </c>
      <c r="F238" s="32">
        <v>76</v>
      </c>
      <c r="G238" s="39" t="s">
        <v>69</v>
      </c>
      <c r="H238" s="39"/>
      <c r="I238" s="12">
        <f t="shared" si="3"/>
        <v>10237</v>
      </c>
    </row>
    <row r="239" spans="1:9">
      <c r="A239" s="2">
        <v>10238</v>
      </c>
      <c r="B239" s="39" t="s">
        <v>675</v>
      </c>
      <c r="C239" s="39" t="s">
        <v>675</v>
      </c>
      <c r="D239" s="65" t="s">
        <v>675</v>
      </c>
      <c r="E239" s="66">
        <v>36510</v>
      </c>
      <c r="F239" s="32">
        <v>48</v>
      </c>
      <c r="G239" s="39" t="s">
        <v>52</v>
      </c>
      <c r="H239" s="39"/>
      <c r="I239" s="12">
        <f t="shared" si="3"/>
        <v>10238</v>
      </c>
    </row>
    <row r="240" spans="1:9">
      <c r="A240" s="2">
        <v>10239</v>
      </c>
      <c r="B240" s="39" t="s">
        <v>676</v>
      </c>
      <c r="C240" s="39" t="s">
        <v>677</v>
      </c>
      <c r="D240" s="65" t="s">
        <v>678</v>
      </c>
      <c r="E240" s="66">
        <v>38125</v>
      </c>
      <c r="F240" s="32">
        <v>48</v>
      </c>
      <c r="G240" s="39" t="s">
        <v>52</v>
      </c>
      <c r="H240" s="39"/>
      <c r="I240" s="12">
        <f t="shared" si="3"/>
        <v>10239</v>
      </c>
    </row>
    <row r="241" spans="1:9">
      <c r="A241" s="2">
        <v>10240</v>
      </c>
      <c r="B241" s="39" t="s">
        <v>679</v>
      </c>
      <c r="C241" s="39" t="s">
        <v>680</v>
      </c>
      <c r="D241" s="65" t="s">
        <v>681</v>
      </c>
      <c r="E241" s="66">
        <v>36206</v>
      </c>
      <c r="F241" s="32">
        <v>48</v>
      </c>
      <c r="G241" s="39" t="s">
        <v>52</v>
      </c>
      <c r="H241" s="39"/>
      <c r="I241" s="12">
        <f t="shared" si="3"/>
        <v>10240</v>
      </c>
    </row>
    <row r="242" spans="1:9">
      <c r="A242" s="2">
        <v>10241</v>
      </c>
      <c r="B242" s="39" t="s">
        <v>682</v>
      </c>
      <c r="C242" s="39" t="s">
        <v>683</v>
      </c>
      <c r="D242" s="65" t="s">
        <v>684</v>
      </c>
      <c r="E242" s="66">
        <v>37149</v>
      </c>
      <c r="F242" s="32">
        <v>76</v>
      </c>
      <c r="G242" s="39" t="s">
        <v>52</v>
      </c>
      <c r="H242" s="39"/>
      <c r="I242" s="12">
        <f t="shared" si="3"/>
        <v>10241</v>
      </c>
    </row>
    <row r="243" spans="1:9">
      <c r="A243" s="2">
        <v>10242</v>
      </c>
      <c r="B243" s="39" t="s">
        <v>685</v>
      </c>
      <c r="C243" s="39" t="s">
        <v>686</v>
      </c>
      <c r="D243" s="65" t="s">
        <v>687</v>
      </c>
      <c r="E243" s="66">
        <v>35473</v>
      </c>
      <c r="F243" s="32">
        <v>76</v>
      </c>
      <c r="G243" s="39" t="s">
        <v>52</v>
      </c>
      <c r="H243" s="39"/>
      <c r="I243" s="12">
        <f t="shared" si="3"/>
        <v>10242</v>
      </c>
    </row>
    <row r="244" spans="1:9">
      <c r="A244" s="2">
        <v>10243</v>
      </c>
      <c r="B244" s="39" t="s">
        <v>688</v>
      </c>
      <c r="C244" s="39" t="s">
        <v>521</v>
      </c>
      <c r="D244" s="65" t="s">
        <v>689</v>
      </c>
      <c r="E244" s="66">
        <v>36411</v>
      </c>
      <c r="F244" s="32">
        <v>76</v>
      </c>
      <c r="G244" s="39" t="s">
        <v>52</v>
      </c>
      <c r="H244" s="39"/>
      <c r="I244" s="12">
        <f t="shared" si="3"/>
        <v>10243</v>
      </c>
    </row>
    <row r="245" spans="1:9">
      <c r="A245" s="2">
        <v>10244</v>
      </c>
      <c r="B245" s="39" t="s">
        <v>690</v>
      </c>
      <c r="C245" s="39" t="s">
        <v>691</v>
      </c>
      <c r="D245" s="65" t="s">
        <v>692</v>
      </c>
      <c r="E245" s="66">
        <v>38773</v>
      </c>
      <c r="F245" s="32">
        <v>76</v>
      </c>
      <c r="G245" s="39" t="s">
        <v>214</v>
      </c>
      <c r="H245" s="39"/>
      <c r="I245" s="12">
        <f t="shared" si="3"/>
        <v>10244</v>
      </c>
    </row>
    <row r="246" spans="1:9">
      <c r="A246" s="2">
        <v>10245</v>
      </c>
      <c r="B246" s="39" t="s">
        <v>693</v>
      </c>
      <c r="C246" s="39" t="s">
        <v>694</v>
      </c>
      <c r="D246" s="65" t="s">
        <v>695</v>
      </c>
      <c r="E246" s="66">
        <v>36046</v>
      </c>
      <c r="F246" s="32">
        <v>48</v>
      </c>
      <c r="G246" s="39" t="s">
        <v>52</v>
      </c>
      <c r="H246" s="39"/>
      <c r="I246" s="12">
        <f t="shared" si="3"/>
        <v>10245</v>
      </c>
    </row>
    <row r="247" spans="1:9">
      <c r="A247" s="2">
        <v>10246</v>
      </c>
      <c r="B247" s="39" t="s">
        <v>696</v>
      </c>
      <c r="C247" s="39" t="s">
        <v>55</v>
      </c>
      <c r="D247" s="65" t="s">
        <v>697</v>
      </c>
      <c r="E247" s="66">
        <v>34847</v>
      </c>
      <c r="F247" s="32">
        <v>48</v>
      </c>
      <c r="G247" s="39" t="s">
        <v>69</v>
      </c>
      <c r="H247" s="39"/>
      <c r="I247" s="12">
        <f t="shared" si="3"/>
        <v>10246</v>
      </c>
    </row>
    <row r="248" spans="1:9">
      <c r="A248" s="2">
        <v>10247</v>
      </c>
      <c r="B248" s="39" t="s">
        <v>698</v>
      </c>
      <c r="C248" s="39" t="s">
        <v>699</v>
      </c>
      <c r="D248" s="65" t="s">
        <v>700</v>
      </c>
      <c r="E248" s="66">
        <v>35944</v>
      </c>
      <c r="F248" s="32">
        <v>76</v>
      </c>
      <c r="G248" s="39" t="s">
        <v>52</v>
      </c>
      <c r="H248" s="39"/>
      <c r="I248" s="12">
        <f t="shared" si="3"/>
        <v>10247</v>
      </c>
    </row>
    <row r="249" spans="1:9">
      <c r="A249" s="2">
        <v>10248</v>
      </c>
      <c r="B249" s="39" t="s">
        <v>701</v>
      </c>
      <c r="C249" s="39" t="s">
        <v>67</v>
      </c>
      <c r="D249" s="65" t="s">
        <v>702</v>
      </c>
      <c r="E249" s="66">
        <v>36225</v>
      </c>
      <c r="F249" s="32">
        <v>76</v>
      </c>
      <c r="G249" s="39" t="s">
        <v>52</v>
      </c>
      <c r="H249" s="39"/>
      <c r="I249" s="12">
        <f t="shared" si="3"/>
        <v>10248</v>
      </c>
    </row>
    <row r="250" spans="1:9">
      <c r="A250" s="2">
        <v>10249</v>
      </c>
      <c r="B250" s="39" t="s">
        <v>703</v>
      </c>
      <c r="C250" s="39" t="s">
        <v>442</v>
      </c>
      <c r="D250" s="65" t="s">
        <v>704</v>
      </c>
      <c r="E250" s="66">
        <v>35962</v>
      </c>
      <c r="F250" s="32">
        <v>76</v>
      </c>
      <c r="G250" s="39" t="s">
        <v>52</v>
      </c>
      <c r="H250" s="39"/>
      <c r="I250" s="12">
        <f t="shared" si="3"/>
        <v>10249</v>
      </c>
    </row>
    <row r="251" spans="1:9">
      <c r="A251" s="2">
        <v>10250</v>
      </c>
      <c r="B251" s="39" t="s">
        <v>705</v>
      </c>
      <c r="C251" s="39" t="s">
        <v>706</v>
      </c>
      <c r="D251" s="65" t="s">
        <v>707</v>
      </c>
      <c r="E251" s="66">
        <v>38325</v>
      </c>
      <c r="F251" s="32">
        <v>76</v>
      </c>
      <c r="G251" s="39" t="s">
        <v>52</v>
      </c>
      <c r="H251" s="39"/>
      <c r="I251" s="12">
        <f t="shared" si="3"/>
        <v>10250</v>
      </c>
    </row>
    <row r="252" spans="1:9">
      <c r="A252" s="2">
        <v>10251</v>
      </c>
      <c r="B252" s="39" t="s">
        <v>708</v>
      </c>
      <c r="C252" s="39" t="s">
        <v>188</v>
      </c>
      <c r="D252" s="65" t="s">
        <v>709</v>
      </c>
      <c r="E252" s="66">
        <v>36851</v>
      </c>
      <c r="F252" s="32">
        <v>48</v>
      </c>
      <c r="G252" s="39" t="s">
        <v>52</v>
      </c>
      <c r="H252" s="39"/>
      <c r="I252" s="12">
        <f t="shared" si="3"/>
        <v>10251</v>
      </c>
    </row>
    <row r="253" spans="1:9">
      <c r="A253" s="2">
        <v>10252</v>
      </c>
      <c r="B253" s="39" t="s">
        <v>710</v>
      </c>
      <c r="C253" s="39" t="s">
        <v>188</v>
      </c>
      <c r="D253" s="65" t="s">
        <v>711</v>
      </c>
      <c r="E253" s="66">
        <v>38345</v>
      </c>
      <c r="F253" s="32">
        <v>76</v>
      </c>
      <c r="G253" s="39" t="s">
        <v>214</v>
      </c>
      <c r="H253" s="39"/>
      <c r="I253" s="12">
        <f t="shared" si="3"/>
        <v>10252</v>
      </c>
    </row>
    <row r="254" spans="1:9">
      <c r="A254" s="2">
        <v>10253</v>
      </c>
      <c r="B254" s="39" t="s">
        <v>712</v>
      </c>
      <c r="C254" s="39" t="s">
        <v>713</v>
      </c>
      <c r="D254" s="65" t="s">
        <v>714</v>
      </c>
      <c r="E254" s="66">
        <v>36991</v>
      </c>
      <c r="F254" s="32">
        <v>76</v>
      </c>
      <c r="G254" s="39" t="s">
        <v>52</v>
      </c>
      <c r="H254" s="39" t="s">
        <v>53</v>
      </c>
      <c r="I254" s="12">
        <f t="shared" si="3"/>
        <v>10253</v>
      </c>
    </row>
    <row r="255" spans="1:9">
      <c r="A255" s="2">
        <v>210254</v>
      </c>
      <c r="B255" s="39" t="s">
        <v>715</v>
      </c>
      <c r="C255" s="39" t="s">
        <v>716</v>
      </c>
      <c r="D255" s="65" t="s">
        <v>717</v>
      </c>
      <c r="E255" s="66">
        <v>38890</v>
      </c>
      <c r="F255" s="32">
        <v>76</v>
      </c>
      <c r="G255" s="39" t="s">
        <v>214</v>
      </c>
      <c r="H255" s="39"/>
      <c r="I255" s="12">
        <f t="shared" si="3"/>
        <v>210254</v>
      </c>
    </row>
    <row r="256" spans="1:9">
      <c r="A256" s="2">
        <v>10255</v>
      </c>
      <c r="B256" s="39" t="s">
        <v>718</v>
      </c>
      <c r="C256" s="39" t="s">
        <v>67</v>
      </c>
      <c r="D256" s="65" t="s">
        <v>719</v>
      </c>
      <c r="E256" s="66">
        <v>36868</v>
      </c>
      <c r="F256" s="32">
        <v>76</v>
      </c>
      <c r="G256" s="39" t="s">
        <v>52</v>
      </c>
      <c r="H256" s="39"/>
      <c r="I256" s="12">
        <f t="shared" si="3"/>
        <v>10255</v>
      </c>
    </row>
    <row r="257" spans="1:9">
      <c r="A257" s="2">
        <v>10256</v>
      </c>
      <c r="B257" s="39" t="s">
        <v>720</v>
      </c>
      <c r="C257" s="39" t="s">
        <v>721</v>
      </c>
      <c r="D257" s="65" t="s">
        <v>722</v>
      </c>
      <c r="E257" s="66">
        <v>37267</v>
      </c>
      <c r="F257" s="32">
        <v>76</v>
      </c>
      <c r="G257" s="39" t="s">
        <v>52</v>
      </c>
      <c r="H257" s="39"/>
      <c r="I257" s="12">
        <f t="shared" si="3"/>
        <v>10256</v>
      </c>
    </row>
    <row r="258" spans="1:9">
      <c r="A258" s="2">
        <v>10257</v>
      </c>
      <c r="B258" s="39" t="s">
        <v>723</v>
      </c>
      <c r="C258" s="39" t="s">
        <v>134</v>
      </c>
      <c r="D258" s="65" t="s">
        <v>724</v>
      </c>
      <c r="E258" s="66">
        <v>27704</v>
      </c>
      <c r="F258" s="32">
        <v>76</v>
      </c>
      <c r="G258" s="39" t="s">
        <v>214</v>
      </c>
      <c r="H258" s="39"/>
      <c r="I258" s="12">
        <f t="shared" ref="I258:I321" si="4">A258</f>
        <v>10257</v>
      </c>
    </row>
    <row r="259" spans="1:9">
      <c r="A259" s="2">
        <v>10258</v>
      </c>
      <c r="B259" s="39" t="s">
        <v>725</v>
      </c>
      <c r="C259" s="39" t="s">
        <v>726</v>
      </c>
      <c r="D259" s="65" t="s">
        <v>727</v>
      </c>
      <c r="E259" s="66">
        <v>35807</v>
      </c>
      <c r="F259" s="32">
        <v>76</v>
      </c>
      <c r="G259" s="39" t="s">
        <v>52</v>
      </c>
      <c r="H259" s="39"/>
      <c r="I259" s="12">
        <f t="shared" si="4"/>
        <v>10258</v>
      </c>
    </row>
    <row r="260" spans="1:9">
      <c r="A260" s="2">
        <v>10259</v>
      </c>
      <c r="B260" s="39" t="s">
        <v>728</v>
      </c>
      <c r="C260" s="39" t="s">
        <v>521</v>
      </c>
      <c r="D260" s="65" t="s">
        <v>729</v>
      </c>
      <c r="E260" s="66">
        <v>38487</v>
      </c>
      <c r="F260" s="32">
        <v>76</v>
      </c>
      <c r="G260" s="39" t="s">
        <v>214</v>
      </c>
      <c r="H260" s="39"/>
      <c r="I260" s="12">
        <f t="shared" si="4"/>
        <v>10259</v>
      </c>
    </row>
    <row r="261" spans="1:9">
      <c r="A261" s="2">
        <v>10260</v>
      </c>
      <c r="B261" s="39" t="s">
        <v>730</v>
      </c>
      <c r="C261" s="39" t="s">
        <v>97</v>
      </c>
      <c r="D261" s="65" t="s">
        <v>731</v>
      </c>
      <c r="E261" s="66">
        <v>35804</v>
      </c>
      <c r="F261" s="32">
        <v>76</v>
      </c>
      <c r="G261" s="39" t="s">
        <v>52</v>
      </c>
      <c r="H261" s="39"/>
      <c r="I261" s="12">
        <f t="shared" si="4"/>
        <v>10260</v>
      </c>
    </row>
    <row r="262" spans="1:9">
      <c r="A262" s="2">
        <v>210261</v>
      </c>
      <c r="B262" s="39" t="s">
        <v>732</v>
      </c>
      <c r="C262" s="39" t="s">
        <v>453</v>
      </c>
      <c r="D262" s="65" t="s">
        <v>733</v>
      </c>
      <c r="E262" s="66">
        <v>38174</v>
      </c>
      <c r="F262" s="32">
        <v>48</v>
      </c>
      <c r="G262" s="39" t="s">
        <v>52</v>
      </c>
      <c r="H262" s="39"/>
      <c r="I262" s="12">
        <f t="shared" si="4"/>
        <v>210261</v>
      </c>
    </row>
    <row r="263" spans="1:9">
      <c r="A263" s="2">
        <v>10262</v>
      </c>
      <c r="B263" s="39" t="s">
        <v>734</v>
      </c>
      <c r="C263" s="39" t="s">
        <v>71</v>
      </c>
      <c r="D263" s="65" t="s">
        <v>735</v>
      </c>
      <c r="E263" s="66">
        <v>37243</v>
      </c>
      <c r="F263" s="32">
        <v>48</v>
      </c>
      <c r="G263" s="39" t="s">
        <v>52</v>
      </c>
      <c r="H263" s="39"/>
      <c r="I263" s="12">
        <f t="shared" si="4"/>
        <v>10262</v>
      </c>
    </row>
    <row r="264" spans="1:9">
      <c r="A264" s="2">
        <v>10263</v>
      </c>
      <c r="B264" s="39" t="s">
        <v>736</v>
      </c>
      <c r="C264" s="39" t="s">
        <v>737</v>
      </c>
      <c r="D264" s="65" t="s">
        <v>738</v>
      </c>
      <c r="E264" s="66">
        <v>36747</v>
      </c>
      <c r="F264" s="32">
        <v>48</v>
      </c>
      <c r="G264" s="39" t="s">
        <v>214</v>
      </c>
      <c r="H264" s="39"/>
      <c r="I264" s="12">
        <f t="shared" si="4"/>
        <v>10263</v>
      </c>
    </row>
    <row r="265" spans="1:9">
      <c r="A265" s="2">
        <v>10264</v>
      </c>
      <c r="B265" s="39" t="s">
        <v>739</v>
      </c>
      <c r="C265" s="39" t="s">
        <v>740</v>
      </c>
      <c r="D265" s="65" t="s">
        <v>741</v>
      </c>
      <c r="E265" s="66">
        <v>36604</v>
      </c>
      <c r="F265" s="32">
        <v>76</v>
      </c>
      <c r="G265" s="39" t="s">
        <v>52</v>
      </c>
      <c r="H265" s="39"/>
      <c r="I265" s="12">
        <f t="shared" si="4"/>
        <v>10264</v>
      </c>
    </row>
    <row r="266" spans="1:9">
      <c r="A266" s="2">
        <v>10265</v>
      </c>
      <c r="B266" s="39" t="s">
        <v>742</v>
      </c>
      <c r="C266" s="39" t="s">
        <v>86</v>
      </c>
      <c r="D266" s="65" t="s">
        <v>743</v>
      </c>
      <c r="E266" s="66">
        <v>37171</v>
      </c>
      <c r="F266" s="32">
        <v>48</v>
      </c>
      <c r="G266" s="39" t="s">
        <v>214</v>
      </c>
      <c r="H266" s="39"/>
      <c r="I266" s="12">
        <f t="shared" si="4"/>
        <v>10265</v>
      </c>
    </row>
    <row r="267" spans="1:9">
      <c r="A267" s="2">
        <v>10266</v>
      </c>
      <c r="B267" s="39" t="s">
        <v>744</v>
      </c>
      <c r="C267" s="39" t="s">
        <v>745</v>
      </c>
      <c r="D267" s="65" t="s">
        <v>746</v>
      </c>
      <c r="E267" s="66">
        <v>37030</v>
      </c>
      <c r="F267" s="32">
        <v>76</v>
      </c>
      <c r="G267" s="39" t="s">
        <v>52</v>
      </c>
      <c r="H267" s="39"/>
      <c r="I267" s="12">
        <f t="shared" si="4"/>
        <v>10266</v>
      </c>
    </row>
    <row r="268" spans="1:9">
      <c r="A268" s="2">
        <v>10267</v>
      </c>
      <c r="B268" s="39" t="s">
        <v>747</v>
      </c>
      <c r="C268" s="39" t="s">
        <v>748</v>
      </c>
      <c r="D268" s="65" t="s">
        <v>749</v>
      </c>
      <c r="E268" s="66">
        <v>37091</v>
      </c>
      <c r="F268" s="32">
        <v>76</v>
      </c>
      <c r="G268" s="39" t="s">
        <v>52</v>
      </c>
      <c r="H268" s="39"/>
      <c r="I268" s="12">
        <f t="shared" si="4"/>
        <v>10267</v>
      </c>
    </row>
    <row r="269" spans="1:9">
      <c r="A269" s="2">
        <v>10268</v>
      </c>
      <c r="B269" s="39" t="s">
        <v>750</v>
      </c>
      <c r="C269" s="39" t="s">
        <v>125</v>
      </c>
      <c r="D269" s="65" t="s">
        <v>751</v>
      </c>
      <c r="E269" s="66">
        <v>37479</v>
      </c>
      <c r="F269" s="32">
        <v>48</v>
      </c>
      <c r="G269" s="39" t="s">
        <v>52</v>
      </c>
      <c r="H269" s="39"/>
      <c r="I269" s="12">
        <f t="shared" si="4"/>
        <v>10268</v>
      </c>
    </row>
    <row r="270" spans="1:9">
      <c r="A270" s="2">
        <v>10269</v>
      </c>
      <c r="B270" s="39" t="s">
        <v>752</v>
      </c>
      <c r="C270" s="39" t="s">
        <v>753</v>
      </c>
      <c r="D270" s="65" t="s">
        <v>754</v>
      </c>
      <c r="E270" s="66">
        <v>38054</v>
      </c>
      <c r="F270" s="32">
        <v>76</v>
      </c>
      <c r="G270" s="39" t="s">
        <v>52</v>
      </c>
      <c r="H270" s="39"/>
      <c r="I270" s="12">
        <f t="shared" si="4"/>
        <v>10269</v>
      </c>
    </row>
    <row r="271" spans="1:9">
      <c r="A271" s="2">
        <v>10270</v>
      </c>
      <c r="B271" s="39" t="s">
        <v>755</v>
      </c>
      <c r="C271" s="39" t="s">
        <v>756</v>
      </c>
      <c r="D271" s="65" t="s">
        <v>757</v>
      </c>
      <c r="E271" s="66">
        <v>37893</v>
      </c>
      <c r="F271" s="32">
        <v>48</v>
      </c>
      <c r="G271" s="39" t="s">
        <v>52</v>
      </c>
      <c r="H271" s="39"/>
      <c r="I271" s="12">
        <f t="shared" si="4"/>
        <v>10270</v>
      </c>
    </row>
    <row r="272" spans="1:9">
      <c r="A272" s="2">
        <v>10271</v>
      </c>
      <c r="B272" s="39" t="s">
        <v>758</v>
      </c>
      <c r="C272" s="39" t="s">
        <v>114</v>
      </c>
      <c r="D272" s="65" t="s">
        <v>759</v>
      </c>
      <c r="E272" s="66">
        <v>38451</v>
      </c>
      <c r="F272" s="32">
        <v>76</v>
      </c>
      <c r="G272" s="39" t="s">
        <v>214</v>
      </c>
      <c r="H272" s="39"/>
      <c r="I272" s="12">
        <f t="shared" si="4"/>
        <v>10271</v>
      </c>
    </row>
    <row r="273" spans="1:9">
      <c r="A273" s="2">
        <v>10272</v>
      </c>
      <c r="B273" s="39" t="s">
        <v>760</v>
      </c>
      <c r="C273" s="39" t="s">
        <v>761</v>
      </c>
      <c r="D273" s="65" t="s">
        <v>762</v>
      </c>
      <c r="E273" s="66">
        <v>34622</v>
      </c>
      <c r="F273" s="32">
        <v>48</v>
      </c>
      <c r="G273" s="39" t="s">
        <v>214</v>
      </c>
      <c r="H273" s="39"/>
      <c r="I273" s="12">
        <f t="shared" si="4"/>
        <v>10272</v>
      </c>
    </row>
    <row r="274" spans="1:9">
      <c r="A274" s="2">
        <v>210273</v>
      </c>
      <c r="B274" s="39" t="s">
        <v>763</v>
      </c>
      <c r="C274" s="39" t="s">
        <v>764</v>
      </c>
      <c r="D274" s="65" t="s">
        <v>765</v>
      </c>
      <c r="E274" s="66">
        <v>38847</v>
      </c>
      <c r="F274" s="32">
        <v>76</v>
      </c>
      <c r="G274" s="39" t="s">
        <v>214</v>
      </c>
      <c r="H274" s="39"/>
      <c r="I274" s="12">
        <f t="shared" si="4"/>
        <v>210273</v>
      </c>
    </row>
    <row r="275" spans="1:9">
      <c r="A275" s="2">
        <v>10274</v>
      </c>
      <c r="B275" s="39" t="s">
        <v>766</v>
      </c>
      <c r="C275" s="39" t="s">
        <v>334</v>
      </c>
      <c r="D275" s="65" t="s">
        <v>767</v>
      </c>
      <c r="E275" s="66">
        <v>35720</v>
      </c>
      <c r="F275" s="32">
        <v>48</v>
      </c>
      <c r="G275" s="39" t="s">
        <v>214</v>
      </c>
      <c r="H275" s="39"/>
      <c r="I275" s="12">
        <f t="shared" si="4"/>
        <v>10274</v>
      </c>
    </row>
    <row r="276" spans="1:9">
      <c r="A276" s="2">
        <v>10275</v>
      </c>
      <c r="B276" s="39" t="s">
        <v>768</v>
      </c>
      <c r="C276" s="39" t="s">
        <v>769</v>
      </c>
      <c r="D276" s="65" t="s">
        <v>770</v>
      </c>
      <c r="E276" s="66">
        <v>37628</v>
      </c>
      <c r="F276" s="32">
        <v>48</v>
      </c>
      <c r="G276" s="39" t="s">
        <v>52</v>
      </c>
      <c r="H276" s="39"/>
      <c r="I276" s="12">
        <f t="shared" si="4"/>
        <v>10275</v>
      </c>
    </row>
    <row r="277" spans="1:9">
      <c r="A277" s="2">
        <v>10276</v>
      </c>
      <c r="B277" s="39" t="s">
        <v>771</v>
      </c>
      <c r="C277" s="39" t="s">
        <v>772</v>
      </c>
      <c r="D277" s="65" t="s">
        <v>773</v>
      </c>
      <c r="E277" s="66">
        <v>38185</v>
      </c>
      <c r="F277" s="32">
        <v>76</v>
      </c>
      <c r="G277" s="39" t="s">
        <v>52</v>
      </c>
      <c r="H277" s="39"/>
      <c r="I277" s="12">
        <f t="shared" si="4"/>
        <v>10276</v>
      </c>
    </row>
    <row r="278" spans="1:9">
      <c r="A278" s="2">
        <v>10277</v>
      </c>
      <c r="B278" s="39" t="s">
        <v>774</v>
      </c>
      <c r="C278" s="39" t="s">
        <v>775</v>
      </c>
      <c r="D278" s="65" t="s">
        <v>776</v>
      </c>
      <c r="E278" s="66">
        <v>34350</v>
      </c>
      <c r="F278" s="32">
        <v>76</v>
      </c>
      <c r="G278" s="39" t="s">
        <v>52</v>
      </c>
      <c r="H278" s="39"/>
      <c r="I278" s="12">
        <f t="shared" si="4"/>
        <v>10277</v>
      </c>
    </row>
    <row r="279" spans="1:9">
      <c r="A279" s="2">
        <v>10278</v>
      </c>
      <c r="B279" s="39" t="s">
        <v>777</v>
      </c>
      <c r="C279" s="39" t="s">
        <v>109</v>
      </c>
      <c r="D279" s="65" t="s">
        <v>778</v>
      </c>
      <c r="E279" s="66">
        <v>36307</v>
      </c>
      <c r="F279" s="32">
        <v>48</v>
      </c>
      <c r="G279" s="39" t="s">
        <v>214</v>
      </c>
      <c r="H279" s="39"/>
      <c r="I279" s="12">
        <f t="shared" si="4"/>
        <v>10278</v>
      </c>
    </row>
    <row r="280" spans="1:9">
      <c r="A280" s="2">
        <v>10279</v>
      </c>
      <c r="B280" s="39" t="s">
        <v>779</v>
      </c>
      <c r="C280" s="39" t="s">
        <v>780</v>
      </c>
      <c r="D280" s="65" t="s">
        <v>781</v>
      </c>
      <c r="E280" s="66">
        <v>36635</v>
      </c>
      <c r="F280" s="32">
        <v>76</v>
      </c>
      <c r="G280" s="39" t="s">
        <v>52</v>
      </c>
      <c r="H280" s="39"/>
      <c r="I280" s="12">
        <f t="shared" si="4"/>
        <v>10279</v>
      </c>
    </row>
    <row r="281" spans="1:9">
      <c r="A281" s="2">
        <v>10280</v>
      </c>
      <c r="B281" s="39" t="s">
        <v>782</v>
      </c>
      <c r="C281" s="39" t="s">
        <v>117</v>
      </c>
      <c r="D281" s="65" t="s">
        <v>783</v>
      </c>
      <c r="E281" s="66">
        <v>36627</v>
      </c>
      <c r="F281" s="32">
        <v>76</v>
      </c>
      <c r="G281" s="39" t="s">
        <v>52</v>
      </c>
      <c r="H281" s="39" t="s">
        <v>53</v>
      </c>
      <c r="I281" s="12">
        <f t="shared" si="4"/>
        <v>10280</v>
      </c>
    </row>
    <row r="282" spans="1:9">
      <c r="A282" s="2">
        <v>10281</v>
      </c>
      <c r="B282" s="39" t="s">
        <v>784</v>
      </c>
      <c r="C282" s="39" t="s">
        <v>785</v>
      </c>
      <c r="D282" s="65" t="s">
        <v>786</v>
      </c>
      <c r="E282" s="66">
        <v>33475</v>
      </c>
      <c r="F282" s="32">
        <v>76</v>
      </c>
      <c r="G282" s="39" t="s">
        <v>214</v>
      </c>
      <c r="H282" s="39"/>
      <c r="I282" s="12">
        <f t="shared" si="4"/>
        <v>10281</v>
      </c>
    </row>
    <row r="283" spans="1:9">
      <c r="A283" s="2">
        <v>10282</v>
      </c>
      <c r="B283" s="39" t="s">
        <v>787</v>
      </c>
      <c r="C283" s="39" t="s">
        <v>788</v>
      </c>
      <c r="D283" s="65" t="s">
        <v>789</v>
      </c>
      <c r="E283" s="66">
        <v>34304</v>
      </c>
      <c r="F283" s="32">
        <v>76</v>
      </c>
      <c r="G283" s="39" t="s">
        <v>52</v>
      </c>
      <c r="H283" s="39"/>
      <c r="I283" s="12">
        <f t="shared" si="4"/>
        <v>10282</v>
      </c>
    </row>
    <row r="284" spans="1:9">
      <c r="A284" s="2">
        <v>10283</v>
      </c>
      <c r="B284" s="39" t="s">
        <v>790</v>
      </c>
      <c r="C284" s="39" t="s">
        <v>686</v>
      </c>
      <c r="D284" s="65" t="s">
        <v>791</v>
      </c>
      <c r="E284" s="66">
        <v>38543</v>
      </c>
      <c r="F284" s="32">
        <v>76</v>
      </c>
      <c r="G284" s="39" t="s">
        <v>214</v>
      </c>
      <c r="H284" s="39"/>
      <c r="I284" s="12">
        <f t="shared" si="4"/>
        <v>10283</v>
      </c>
    </row>
    <row r="285" spans="1:9">
      <c r="A285" s="2">
        <v>10284</v>
      </c>
      <c r="B285" s="39" t="s">
        <v>792</v>
      </c>
      <c r="C285" s="39" t="s">
        <v>589</v>
      </c>
      <c r="D285" s="65" t="s">
        <v>793</v>
      </c>
      <c r="E285" s="66">
        <v>37856</v>
      </c>
      <c r="F285" s="32">
        <v>48</v>
      </c>
      <c r="G285" s="39" t="s">
        <v>214</v>
      </c>
      <c r="H285" s="39"/>
      <c r="I285" s="12">
        <f t="shared" si="4"/>
        <v>10284</v>
      </c>
    </row>
    <row r="286" spans="1:9">
      <c r="A286" s="2">
        <v>10285</v>
      </c>
      <c r="B286" s="39" t="s">
        <v>794</v>
      </c>
      <c r="C286" s="39" t="s">
        <v>795</v>
      </c>
      <c r="D286" s="65" t="s">
        <v>796</v>
      </c>
      <c r="E286" s="66">
        <v>36639</v>
      </c>
      <c r="F286" s="32">
        <v>76</v>
      </c>
      <c r="G286" s="39" t="s">
        <v>214</v>
      </c>
      <c r="H286" s="39"/>
      <c r="I286" s="12">
        <f t="shared" si="4"/>
        <v>10285</v>
      </c>
    </row>
    <row r="287" spans="1:9">
      <c r="A287" s="2">
        <v>10286</v>
      </c>
      <c r="B287" s="39" t="s">
        <v>797</v>
      </c>
      <c r="C287" s="39" t="s">
        <v>798</v>
      </c>
      <c r="D287" s="65" t="s">
        <v>799</v>
      </c>
      <c r="E287" s="66">
        <v>34998</v>
      </c>
      <c r="F287" s="32">
        <v>48</v>
      </c>
      <c r="G287" s="39" t="s">
        <v>214</v>
      </c>
      <c r="H287" s="39"/>
      <c r="I287" s="12">
        <f t="shared" si="4"/>
        <v>10286</v>
      </c>
    </row>
    <row r="288" spans="1:9">
      <c r="A288" s="2">
        <v>10287</v>
      </c>
      <c r="B288" s="39" t="s">
        <v>800</v>
      </c>
      <c r="C288" s="39" t="s">
        <v>801</v>
      </c>
      <c r="D288" s="65" t="s">
        <v>802</v>
      </c>
      <c r="E288" s="66">
        <v>34921</v>
      </c>
      <c r="F288" s="32">
        <v>76</v>
      </c>
      <c r="G288" s="39" t="s">
        <v>214</v>
      </c>
      <c r="H288" s="39"/>
      <c r="I288" s="12">
        <f t="shared" si="4"/>
        <v>10287</v>
      </c>
    </row>
    <row r="289" spans="1:9">
      <c r="A289" s="2">
        <v>10288</v>
      </c>
      <c r="B289" s="39" t="s">
        <v>803</v>
      </c>
      <c r="C289" s="39" t="s">
        <v>804</v>
      </c>
      <c r="D289" s="65" t="s">
        <v>805</v>
      </c>
      <c r="E289" s="66">
        <v>38549</v>
      </c>
      <c r="F289" s="32">
        <v>76</v>
      </c>
      <c r="G289" s="39" t="s">
        <v>214</v>
      </c>
      <c r="H289" s="39"/>
      <c r="I289" s="12">
        <f t="shared" si="4"/>
        <v>10288</v>
      </c>
    </row>
    <row r="290" spans="1:9">
      <c r="A290" s="2">
        <v>10289</v>
      </c>
      <c r="B290" s="39" t="s">
        <v>806</v>
      </c>
      <c r="C290" s="39" t="s">
        <v>807</v>
      </c>
      <c r="D290" s="65" t="s">
        <v>808</v>
      </c>
      <c r="E290" s="66">
        <v>38544</v>
      </c>
      <c r="F290" s="32">
        <v>76</v>
      </c>
      <c r="G290" s="39" t="s">
        <v>52</v>
      </c>
      <c r="H290" s="39"/>
      <c r="I290" s="12">
        <f t="shared" si="4"/>
        <v>10289</v>
      </c>
    </row>
    <row r="291" spans="1:9">
      <c r="A291" s="2">
        <v>10290</v>
      </c>
      <c r="B291" s="39" t="s">
        <v>809</v>
      </c>
      <c r="C291" s="39" t="s">
        <v>810</v>
      </c>
      <c r="D291" s="65" t="s">
        <v>811</v>
      </c>
      <c r="E291" s="66">
        <v>35698</v>
      </c>
      <c r="F291" s="32">
        <v>48</v>
      </c>
      <c r="G291" s="39" t="s">
        <v>52</v>
      </c>
      <c r="H291" s="39"/>
      <c r="I291" s="12">
        <f t="shared" si="4"/>
        <v>10290</v>
      </c>
    </row>
    <row r="292" spans="1:9">
      <c r="A292" s="2">
        <v>10291</v>
      </c>
      <c r="B292" s="39" t="s">
        <v>812</v>
      </c>
      <c r="C292" s="39" t="s">
        <v>114</v>
      </c>
      <c r="D292" s="65" t="s">
        <v>813</v>
      </c>
      <c r="E292" s="66">
        <v>36922</v>
      </c>
      <c r="F292" s="32">
        <v>48</v>
      </c>
      <c r="G292" s="39" t="s">
        <v>52</v>
      </c>
      <c r="H292" s="39"/>
      <c r="I292" s="12">
        <f t="shared" si="4"/>
        <v>10291</v>
      </c>
    </row>
    <row r="293" spans="1:9">
      <c r="A293" s="2">
        <v>10292</v>
      </c>
      <c r="B293" s="39" t="s">
        <v>814</v>
      </c>
      <c r="C293" s="39" t="s">
        <v>184</v>
      </c>
      <c r="D293" s="65" t="s">
        <v>815</v>
      </c>
      <c r="E293" s="66">
        <v>36923</v>
      </c>
      <c r="F293" s="32">
        <v>48</v>
      </c>
      <c r="G293" s="39" t="s">
        <v>214</v>
      </c>
      <c r="H293" s="39"/>
      <c r="I293" s="12">
        <f t="shared" si="4"/>
        <v>10292</v>
      </c>
    </row>
    <row r="294" spans="1:9">
      <c r="A294" s="2">
        <v>10293</v>
      </c>
      <c r="B294" s="39" t="s">
        <v>218</v>
      </c>
      <c r="C294" s="39" t="s">
        <v>134</v>
      </c>
      <c r="D294" s="65" t="s">
        <v>816</v>
      </c>
      <c r="E294" s="66">
        <v>38664</v>
      </c>
      <c r="F294" s="32">
        <v>76</v>
      </c>
      <c r="G294" s="39" t="s">
        <v>214</v>
      </c>
      <c r="H294" s="39"/>
      <c r="I294" s="12">
        <f t="shared" si="4"/>
        <v>10293</v>
      </c>
    </row>
    <row r="295" spans="1:9">
      <c r="A295" s="2">
        <v>10294</v>
      </c>
      <c r="B295" s="39" t="s">
        <v>817</v>
      </c>
      <c r="C295" s="39" t="s">
        <v>818</v>
      </c>
      <c r="D295" s="65" t="s">
        <v>819</v>
      </c>
      <c r="E295" s="66">
        <v>38798</v>
      </c>
      <c r="F295" s="32">
        <v>76</v>
      </c>
      <c r="G295" s="39" t="s">
        <v>214</v>
      </c>
      <c r="H295" s="39"/>
      <c r="I295" s="12">
        <f t="shared" si="4"/>
        <v>10294</v>
      </c>
    </row>
    <row r="296" spans="1:9">
      <c r="A296" s="2">
        <v>10295</v>
      </c>
      <c r="B296" s="39" t="s">
        <v>820</v>
      </c>
      <c r="C296" s="39" t="s">
        <v>109</v>
      </c>
      <c r="D296" s="65" t="s">
        <v>821</v>
      </c>
      <c r="E296" s="66">
        <v>36234</v>
      </c>
      <c r="F296" s="32">
        <v>48</v>
      </c>
      <c r="G296" s="39" t="s">
        <v>52</v>
      </c>
      <c r="H296" s="39"/>
      <c r="I296" s="12">
        <f t="shared" si="4"/>
        <v>10295</v>
      </c>
    </row>
    <row r="297" spans="1:9">
      <c r="A297" s="2">
        <v>10296</v>
      </c>
      <c r="B297" s="39" t="s">
        <v>822</v>
      </c>
      <c r="C297" s="39" t="s">
        <v>114</v>
      </c>
      <c r="D297" s="65" t="s">
        <v>823</v>
      </c>
      <c r="E297" s="66">
        <v>35259</v>
      </c>
      <c r="F297" s="32">
        <v>76</v>
      </c>
      <c r="G297" s="39" t="s">
        <v>52</v>
      </c>
      <c r="H297" s="39"/>
      <c r="I297" s="12">
        <f t="shared" si="4"/>
        <v>10296</v>
      </c>
    </row>
    <row r="298" spans="1:9">
      <c r="A298" s="2">
        <v>10297</v>
      </c>
      <c r="B298" s="39" t="s">
        <v>824</v>
      </c>
      <c r="C298" s="39" t="s">
        <v>170</v>
      </c>
      <c r="D298" s="65" t="s">
        <v>825</v>
      </c>
      <c r="E298" s="66">
        <v>38499</v>
      </c>
      <c r="F298" s="32">
        <v>76</v>
      </c>
      <c r="G298" s="39" t="s">
        <v>214</v>
      </c>
      <c r="H298" s="39"/>
      <c r="I298" s="12">
        <f t="shared" si="4"/>
        <v>10297</v>
      </c>
    </row>
    <row r="299" spans="1:9">
      <c r="A299" s="2">
        <v>10298</v>
      </c>
      <c r="B299" s="39" t="s">
        <v>826</v>
      </c>
      <c r="C299" s="39" t="s">
        <v>55</v>
      </c>
      <c r="D299" s="65" t="s">
        <v>827</v>
      </c>
      <c r="E299" s="66">
        <v>34174</v>
      </c>
      <c r="F299" s="32">
        <v>76</v>
      </c>
      <c r="G299" s="39" t="s">
        <v>52</v>
      </c>
      <c r="H299" s="39"/>
      <c r="I299" s="12">
        <f t="shared" si="4"/>
        <v>10298</v>
      </c>
    </row>
    <row r="300" spans="1:9">
      <c r="A300" s="2">
        <v>10299</v>
      </c>
      <c r="B300" s="39" t="s">
        <v>828</v>
      </c>
      <c r="C300" s="39" t="s">
        <v>611</v>
      </c>
      <c r="D300" s="65" t="s">
        <v>829</v>
      </c>
      <c r="E300" s="66">
        <v>33976</v>
      </c>
      <c r="F300" s="32">
        <v>200</v>
      </c>
      <c r="G300" s="39" t="s">
        <v>69</v>
      </c>
      <c r="H300" s="39"/>
      <c r="I300" s="12">
        <f t="shared" si="4"/>
        <v>10299</v>
      </c>
    </row>
    <row r="301" spans="1:9">
      <c r="A301" s="2">
        <v>10300</v>
      </c>
      <c r="B301" s="39" t="s">
        <v>379</v>
      </c>
      <c r="C301" s="39" t="s">
        <v>830</v>
      </c>
      <c r="D301" s="65" t="s">
        <v>831</v>
      </c>
      <c r="E301" s="66">
        <v>36266</v>
      </c>
      <c r="F301" s="32">
        <v>48</v>
      </c>
      <c r="G301" s="39" t="s">
        <v>214</v>
      </c>
      <c r="H301" s="39"/>
      <c r="I301" s="12">
        <f t="shared" si="4"/>
        <v>10300</v>
      </c>
    </row>
    <row r="302" spans="1:9">
      <c r="A302" s="2">
        <v>10301</v>
      </c>
      <c r="B302" s="39" t="s">
        <v>832</v>
      </c>
      <c r="C302" s="39" t="s">
        <v>833</v>
      </c>
      <c r="D302" s="65" t="s">
        <v>834</v>
      </c>
      <c r="E302" s="66">
        <v>35887</v>
      </c>
      <c r="F302" s="32">
        <v>48</v>
      </c>
      <c r="G302" s="39" t="s">
        <v>52</v>
      </c>
      <c r="H302" s="39"/>
      <c r="I302" s="12">
        <f t="shared" si="4"/>
        <v>10301</v>
      </c>
    </row>
    <row r="303" spans="1:9">
      <c r="A303" s="2">
        <v>10302</v>
      </c>
      <c r="B303" s="39" t="s">
        <v>835</v>
      </c>
      <c r="C303" s="39" t="s">
        <v>836</v>
      </c>
      <c r="D303" s="65" t="s">
        <v>837</v>
      </c>
      <c r="E303" s="66">
        <v>38457</v>
      </c>
      <c r="F303" s="32">
        <v>48</v>
      </c>
      <c r="G303" s="39" t="s">
        <v>214</v>
      </c>
      <c r="H303" s="39"/>
      <c r="I303" s="12">
        <f t="shared" si="4"/>
        <v>10302</v>
      </c>
    </row>
    <row r="304" spans="1:9">
      <c r="A304" s="2">
        <v>10303</v>
      </c>
      <c r="B304" s="39" t="s">
        <v>838</v>
      </c>
      <c r="C304" s="39" t="s">
        <v>134</v>
      </c>
      <c r="D304" s="65" t="s">
        <v>839</v>
      </c>
      <c r="E304" s="66">
        <v>36259</v>
      </c>
      <c r="F304" s="32">
        <v>76</v>
      </c>
      <c r="G304" s="39" t="s">
        <v>214</v>
      </c>
      <c r="H304" s="39"/>
      <c r="I304" s="12">
        <f t="shared" si="4"/>
        <v>10303</v>
      </c>
    </row>
    <row r="305" spans="1:9">
      <c r="A305" s="2">
        <v>10304</v>
      </c>
      <c r="B305" s="39" t="s">
        <v>840</v>
      </c>
      <c r="C305" s="39" t="s">
        <v>97</v>
      </c>
      <c r="D305" s="65" t="s">
        <v>841</v>
      </c>
      <c r="E305" s="66">
        <v>36260</v>
      </c>
      <c r="F305" s="32">
        <v>76</v>
      </c>
      <c r="G305" s="39" t="s">
        <v>214</v>
      </c>
      <c r="H305" s="39"/>
      <c r="I305" s="12">
        <f t="shared" si="4"/>
        <v>10304</v>
      </c>
    </row>
    <row r="306" spans="1:9">
      <c r="A306" s="2">
        <v>10305</v>
      </c>
      <c r="B306" s="39" t="s">
        <v>842</v>
      </c>
      <c r="C306" s="39" t="s">
        <v>843</v>
      </c>
      <c r="D306" s="65" t="s">
        <v>844</v>
      </c>
      <c r="E306" s="66">
        <v>35763</v>
      </c>
      <c r="F306" s="32">
        <v>76</v>
      </c>
      <c r="G306" s="39" t="s">
        <v>214</v>
      </c>
      <c r="H306" s="39"/>
      <c r="I306" s="12">
        <f t="shared" si="4"/>
        <v>10305</v>
      </c>
    </row>
    <row r="307" spans="1:9">
      <c r="A307" s="2">
        <v>10306</v>
      </c>
      <c r="B307" s="39" t="s">
        <v>845</v>
      </c>
      <c r="C307" s="39" t="s">
        <v>453</v>
      </c>
      <c r="D307" s="65" t="s">
        <v>846</v>
      </c>
      <c r="E307" s="66">
        <v>37927</v>
      </c>
      <c r="F307" s="32">
        <v>48</v>
      </c>
      <c r="G307" s="39" t="s">
        <v>52</v>
      </c>
      <c r="H307" s="39" t="s">
        <v>53</v>
      </c>
      <c r="I307" s="12">
        <f t="shared" si="4"/>
        <v>10306</v>
      </c>
    </row>
    <row r="308" spans="1:9">
      <c r="A308" s="2">
        <v>10307</v>
      </c>
      <c r="B308" s="39" t="s">
        <v>847</v>
      </c>
      <c r="C308" s="39" t="s">
        <v>848</v>
      </c>
      <c r="D308" s="65" t="s">
        <v>849</v>
      </c>
      <c r="E308" s="66">
        <v>38353</v>
      </c>
      <c r="F308" s="32">
        <v>48</v>
      </c>
      <c r="G308" s="39" t="s">
        <v>52</v>
      </c>
      <c r="H308" s="39"/>
      <c r="I308" s="12">
        <f t="shared" si="4"/>
        <v>10307</v>
      </c>
    </row>
    <row r="309" spans="1:9">
      <c r="A309" s="2">
        <v>10308</v>
      </c>
      <c r="B309" s="39" t="s">
        <v>850</v>
      </c>
      <c r="C309" s="39" t="s">
        <v>599</v>
      </c>
      <c r="D309" s="65" t="s">
        <v>851</v>
      </c>
      <c r="E309" s="66">
        <v>29640</v>
      </c>
      <c r="F309" s="32">
        <v>200</v>
      </c>
      <c r="G309" s="39" t="s">
        <v>52</v>
      </c>
      <c r="H309" s="39"/>
      <c r="I309" s="12">
        <f t="shared" si="4"/>
        <v>10308</v>
      </c>
    </row>
    <row r="310" spans="1:9">
      <c r="A310" s="2">
        <v>10309</v>
      </c>
      <c r="B310" s="39" t="s">
        <v>852</v>
      </c>
      <c r="C310" s="39" t="s">
        <v>853</v>
      </c>
      <c r="D310" s="65" t="s">
        <v>854</v>
      </c>
      <c r="E310" s="66">
        <v>37121</v>
      </c>
      <c r="F310" s="32">
        <v>76</v>
      </c>
      <c r="G310" s="39" t="s">
        <v>52</v>
      </c>
      <c r="H310" s="39"/>
      <c r="I310" s="12">
        <f t="shared" si="4"/>
        <v>10309</v>
      </c>
    </row>
    <row r="311" spans="1:9">
      <c r="A311" s="2">
        <v>10310</v>
      </c>
      <c r="B311" s="39" t="s">
        <v>855</v>
      </c>
      <c r="C311" s="39" t="s">
        <v>856</v>
      </c>
      <c r="D311" s="65" t="s">
        <v>855</v>
      </c>
      <c r="E311" s="66">
        <v>38162</v>
      </c>
      <c r="F311" s="32">
        <v>76</v>
      </c>
      <c r="G311" s="39" t="s">
        <v>52</v>
      </c>
      <c r="H311" s="39"/>
      <c r="I311" s="12">
        <f t="shared" si="4"/>
        <v>10310</v>
      </c>
    </row>
    <row r="312" spans="1:9">
      <c r="A312" s="2">
        <v>10311</v>
      </c>
      <c r="B312" s="39" t="s">
        <v>321</v>
      </c>
      <c r="C312" s="39" t="s">
        <v>857</v>
      </c>
      <c r="D312" s="65" t="s">
        <v>858</v>
      </c>
      <c r="E312" s="66">
        <v>38269</v>
      </c>
      <c r="F312" s="32">
        <v>48</v>
      </c>
      <c r="G312" s="39" t="s">
        <v>52</v>
      </c>
      <c r="H312" s="39"/>
      <c r="I312" s="12">
        <f t="shared" si="4"/>
        <v>10311</v>
      </c>
    </row>
    <row r="313" spans="1:9">
      <c r="A313" s="2">
        <v>10312</v>
      </c>
      <c r="B313" s="39" t="s">
        <v>859</v>
      </c>
      <c r="C313" s="39" t="s">
        <v>259</v>
      </c>
      <c r="D313" s="65" t="s">
        <v>860</v>
      </c>
      <c r="E313" s="66">
        <v>37780</v>
      </c>
      <c r="F313" s="32">
        <v>48</v>
      </c>
      <c r="G313" s="39" t="s">
        <v>69</v>
      </c>
      <c r="H313" s="39"/>
      <c r="I313" s="12">
        <f t="shared" si="4"/>
        <v>10312</v>
      </c>
    </row>
    <row r="314" spans="1:9">
      <c r="A314" s="2">
        <v>10313</v>
      </c>
      <c r="B314" s="39" t="s">
        <v>861</v>
      </c>
      <c r="C314" s="39" t="s">
        <v>862</v>
      </c>
      <c r="D314" s="65" t="s">
        <v>863</v>
      </c>
      <c r="E314" s="66">
        <v>38087</v>
      </c>
      <c r="F314" s="32">
        <v>48</v>
      </c>
      <c r="G314" s="39" t="s">
        <v>69</v>
      </c>
      <c r="H314" s="39"/>
      <c r="I314" s="12">
        <f t="shared" si="4"/>
        <v>10313</v>
      </c>
    </row>
    <row r="315" spans="1:9">
      <c r="A315" s="2">
        <v>10314</v>
      </c>
      <c r="B315" s="39" t="s">
        <v>864</v>
      </c>
      <c r="C315" s="39" t="s">
        <v>865</v>
      </c>
      <c r="D315" s="65" t="s">
        <v>866</v>
      </c>
      <c r="E315" s="66">
        <v>38088</v>
      </c>
      <c r="F315" s="32">
        <v>48</v>
      </c>
      <c r="G315" s="39" t="s">
        <v>214</v>
      </c>
      <c r="H315" s="39"/>
      <c r="I315" s="12">
        <f t="shared" si="4"/>
        <v>10314</v>
      </c>
    </row>
    <row r="316" spans="1:9">
      <c r="A316" s="2">
        <v>210315</v>
      </c>
      <c r="B316" s="39" t="s">
        <v>867</v>
      </c>
      <c r="C316" s="39" t="s">
        <v>868</v>
      </c>
      <c r="D316" s="65" t="s">
        <v>868</v>
      </c>
      <c r="E316" s="66">
        <v>33240</v>
      </c>
      <c r="F316" s="32">
        <v>48</v>
      </c>
      <c r="G316" s="39" t="s">
        <v>214</v>
      </c>
      <c r="H316" s="39"/>
      <c r="I316" s="12">
        <f t="shared" si="4"/>
        <v>210315</v>
      </c>
    </row>
    <row r="317" spans="1:9">
      <c r="A317" s="2">
        <v>10316</v>
      </c>
      <c r="B317" s="39" t="s">
        <v>869</v>
      </c>
      <c r="C317" s="39" t="s">
        <v>870</v>
      </c>
      <c r="D317" s="65" t="s">
        <v>871</v>
      </c>
      <c r="E317" s="66">
        <v>33474</v>
      </c>
      <c r="F317" s="32">
        <v>48</v>
      </c>
      <c r="G317" s="39" t="s">
        <v>69</v>
      </c>
      <c r="H317" s="39"/>
      <c r="I317" s="12">
        <f t="shared" si="4"/>
        <v>10316</v>
      </c>
    </row>
    <row r="318" spans="1:9">
      <c r="A318" s="2">
        <v>10317</v>
      </c>
      <c r="B318" s="39" t="s">
        <v>872</v>
      </c>
      <c r="C318" s="39" t="s">
        <v>873</v>
      </c>
      <c r="D318" s="65" t="s">
        <v>874</v>
      </c>
      <c r="E318" s="66">
        <v>35245</v>
      </c>
      <c r="F318" s="32">
        <v>76</v>
      </c>
      <c r="G318" s="39" t="s">
        <v>69</v>
      </c>
      <c r="H318" s="39"/>
      <c r="I318" s="12">
        <f t="shared" si="4"/>
        <v>10317</v>
      </c>
    </row>
    <row r="319" spans="1:9">
      <c r="A319" s="2">
        <v>10318</v>
      </c>
      <c r="B319" s="39" t="s">
        <v>875</v>
      </c>
      <c r="C319" s="39" t="s">
        <v>125</v>
      </c>
      <c r="D319" s="65" t="s">
        <v>876</v>
      </c>
      <c r="E319" s="66">
        <v>37102</v>
      </c>
      <c r="F319" s="32">
        <v>48</v>
      </c>
      <c r="G319" s="39" t="s">
        <v>69</v>
      </c>
      <c r="H319" s="39"/>
      <c r="I319" s="12">
        <f t="shared" si="4"/>
        <v>10318</v>
      </c>
    </row>
    <row r="320" spans="1:9">
      <c r="A320" s="2">
        <v>10319</v>
      </c>
      <c r="B320" s="39" t="s">
        <v>877</v>
      </c>
      <c r="C320" s="39" t="s">
        <v>170</v>
      </c>
      <c r="D320" s="65" t="s">
        <v>878</v>
      </c>
      <c r="E320" s="66">
        <v>38585</v>
      </c>
      <c r="F320" s="32">
        <v>48</v>
      </c>
      <c r="G320" s="39" t="s">
        <v>69</v>
      </c>
      <c r="H320" s="39"/>
      <c r="I320" s="12">
        <f t="shared" si="4"/>
        <v>10319</v>
      </c>
    </row>
    <row r="321" spans="1:9">
      <c r="A321" s="2">
        <v>10320</v>
      </c>
      <c r="B321" s="39" t="s">
        <v>879</v>
      </c>
      <c r="C321" s="39" t="s">
        <v>188</v>
      </c>
      <c r="D321" s="65" t="s">
        <v>880</v>
      </c>
      <c r="E321" s="66">
        <v>35821</v>
      </c>
      <c r="F321" s="32">
        <v>48</v>
      </c>
      <c r="G321" s="39" t="s">
        <v>69</v>
      </c>
      <c r="H321" s="39"/>
      <c r="I321" s="12">
        <f t="shared" si="4"/>
        <v>10320</v>
      </c>
    </row>
    <row r="322" spans="1:9">
      <c r="A322" s="2">
        <v>210321</v>
      </c>
      <c r="B322" s="39" t="s">
        <v>881</v>
      </c>
      <c r="C322" s="39" t="s">
        <v>100</v>
      </c>
      <c r="D322" s="65" t="s">
        <v>882</v>
      </c>
      <c r="E322" s="66">
        <v>39646</v>
      </c>
      <c r="F322" s="32">
        <v>48</v>
      </c>
      <c r="G322" s="39" t="s">
        <v>69</v>
      </c>
      <c r="H322" s="39"/>
      <c r="I322" s="12">
        <f t="shared" ref="I322:I385" si="5">A322</f>
        <v>210321</v>
      </c>
    </row>
    <row r="323" spans="1:9">
      <c r="A323" s="2">
        <v>10322</v>
      </c>
      <c r="B323" s="39" t="s">
        <v>883</v>
      </c>
      <c r="C323" s="39" t="s">
        <v>109</v>
      </c>
      <c r="D323" s="67" t="s">
        <v>884</v>
      </c>
      <c r="E323" s="66">
        <v>36979</v>
      </c>
      <c r="F323" s="32">
        <v>48</v>
      </c>
      <c r="G323" s="39" t="s">
        <v>69</v>
      </c>
      <c r="H323" s="39"/>
      <c r="I323" s="12">
        <f t="shared" si="5"/>
        <v>10322</v>
      </c>
    </row>
    <row r="324" spans="1:9">
      <c r="A324" s="2">
        <v>10323</v>
      </c>
      <c r="B324" s="39" t="s">
        <v>885</v>
      </c>
      <c r="C324" s="39" t="s">
        <v>114</v>
      </c>
      <c r="D324" s="65" t="s">
        <v>886</v>
      </c>
      <c r="E324" s="66">
        <v>35397</v>
      </c>
      <c r="F324" s="32">
        <v>48</v>
      </c>
      <c r="G324" s="39" t="s">
        <v>69</v>
      </c>
      <c r="H324" s="39"/>
      <c r="I324" s="12">
        <f t="shared" si="5"/>
        <v>10323</v>
      </c>
    </row>
    <row r="325" spans="1:9">
      <c r="A325" s="2">
        <v>10324</v>
      </c>
      <c r="B325" s="39" t="s">
        <v>887</v>
      </c>
      <c r="C325" s="39" t="s">
        <v>117</v>
      </c>
      <c r="D325" s="65" t="s">
        <v>888</v>
      </c>
      <c r="E325" s="66">
        <v>32069</v>
      </c>
      <c r="F325" s="32">
        <v>200</v>
      </c>
      <c r="G325" s="39" t="s">
        <v>69</v>
      </c>
      <c r="H325" s="39"/>
      <c r="I325" s="12">
        <f t="shared" si="5"/>
        <v>10324</v>
      </c>
    </row>
    <row r="326" spans="1:9">
      <c r="A326" s="2">
        <v>210325</v>
      </c>
      <c r="B326" s="39" t="s">
        <v>889</v>
      </c>
      <c r="C326" s="39" t="s">
        <v>67</v>
      </c>
      <c r="D326" s="65" t="s">
        <v>890</v>
      </c>
      <c r="E326" s="66">
        <v>39255</v>
      </c>
      <c r="F326" s="32">
        <v>76</v>
      </c>
      <c r="G326" s="39" t="s">
        <v>69</v>
      </c>
      <c r="H326" s="39"/>
      <c r="I326" s="12">
        <f t="shared" si="5"/>
        <v>210325</v>
      </c>
    </row>
    <row r="327" spans="1:9">
      <c r="A327" s="2">
        <v>10326</v>
      </c>
      <c r="B327" s="39" t="s">
        <v>891</v>
      </c>
      <c r="C327" s="39" t="s">
        <v>892</v>
      </c>
      <c r="D327" s="65" t="s">
        <v>893</v>
      </c>
      <c r="E327" s="66">
        <v>38894</v>
      </c>
      <c r="F327" s="32">
        <v>76</v>
      </c>
      <c r="G327" s="39" t="s">
        <v>69</v>
      </c>
      <c r="H327" s="39"/>
      <c r="I327" s="12">
        <f t="shared" si="5"/>
        <v>10326</v>
      </c>
    </row>
    <row r="328" spans="1:9">
      <c r="A328" s="2">
        <v>10327</v>
      </c>
      <c r="B328" s="39" t="s">
        <v>894</v>
      </c>
      <c r="C328" s="39" t="s">
        <v>448</v>
      </c>
      <c r="D328" s="65" t="s">
        <v>895</v>
      </c>
      <c r="E328" s="66">
        <v>36469</v>
      </c>
      <c r="F328" s="32">
        <v>48</v>
      </c>
      <c r="G328" s="39" t="s">
        <v>69</v>
      </c>
      <c r="H328" s="39"/>
      <c r="I328" s="12">
        <f t="shared" si="5"/>
        <v>10327</v>
      </c>
    </row>
    <row r="329" spans="1:9">
      <c r="A329" s="2">
        <v>10328</v>
      </c>
      <c r="B329" s="39" t="s">
        <v>896</v>
      </c>
      <c r="C329" s="39" t="s">
        <v>125</v>
      </c>
      <c r="D329" s="65" t="s">
        <v>897</v>
      </c>
      <c r="E329" s="66">
        <v>35593</v>
      </c>
      <c r="F329" s="32">
        <v>48</v>
      </c>
      <c r="G329" s="39" t="s">
        <v>69</v>
      </c>
      <c r="H329" s="39"/>
      <c r="I329" s="12">
        <f t="shared" si="5"/>
        <v>10328</v>
      </c>
    </row>
    <row r="330" spans="1:9">
      <c r="A330" s="2">
        <v>10329</v>
      </c>
      <c r="B330" s="39" t="s">
        <v>898</v>
      </c>
      <c r="C330" s="39" t="s">
        <v>134</v>
      </c>
      <c r="D330" s="65" t="s">
        <v>899</v>
      </c>
      <c r="E330" s="66">
        <v>37827</v>
      </c>
      <c r="F330" s="32">
        <v>76</v>
      </c>
      <c r="G330" s="39" t="s">
        <v>69</v>
      </c>
      <c r="H330" s="39"/>
      <c r="I330" s="12">
        <f t="shared" si="5"/>
        <v>10329</v>
      </c>
    </row>
    <row r="331" spans="1:9">
      <c r="A331" s="2">
        <v>10330</v>
      </c>
      <c r="B331" s="39" t="s">
        <v>900</v>
      </c>
      <c r="C331" s="39" t="s">
        <v>305</v>
      </c>
      <c r="D331" s="65" t="s">
        <v>901</v>
      </c>
      <c r="E331" s="66">
        <v>38171</v>
      </c>
      <c r="F331" s="32">
        <v>76</v>
      </c>
      <c r="G331" s="39" t="s">
        <v>69</v>
      </c>
      <c r="H331" s="39"/>
      <c r="I331" s="12">
        <f t="shared" si="5"/>
        <v>10330</v>
      </c>
    </row>
    <row r="332" spans="1:9">
      <c r="A332" s="2">
        <v>10331</v>
      </c>
      <c r="B332" s="39" t="s">
        <v>902</v>
      </c>
      <c r="C332" s="39" t="s">
        <v>439</v>
      </c>
      <c r="D332" s="65" t="s">
        <v>903</v>
      </c>
      <c r="E332" s="66">
        <v>36427</v>
      </c>
      <c r="F332" s="32">
        <v>76</v>
      </c>
      <c r="G332" s="39" t="s">
        <v>69</v>
      </c>
      <c r="H332" s="39"/>
      <c r="I332" s="12">
        <f t="shared" si="5"/>
        <v>10331</v>
      </c>
    </row>
    <row r="333" spans="1:9">
      <c r="A333" s="2">
        <v>10332</v>
      </c>
      <c r="B333" s="39" t="s">
        <v>904</v>
      </c>
      <c r="C333" s="39" t="s">
        <v>905</v>
      </c>
      <c r="D333" s="65" t="s">
        <v>906</v>
      </c>
      <c r="E333" s="66">
        <v>35507</v>
      </c>
      <c r="F333" s="32">
        <v>76</v>
      </c>
      <c r="G333" s="39" t="s">
        <v>69</v>
      </c>
      <c r="H333" s="39"/>
      <c r="I333" s="12">
        <f t="shared" si="5"/>
        <v>10332</v>
      </c>
    </row>
    <row r="334" spans="1:9">
      <c r="A334" s="2">
        <v>10333</v>
      </c>
      <c r="B334" s="39" t="s">
        <v>907</v>
      </c>
      <c r="C334" s="39" t="s">
        <v>86</v>
      </c>
      <c r="D334" s="65" t="s">
        <v>908</v>
      </c>
      <c r="E334" s="66">
        <v>37236</v>
      </c>
      <c r="F334" s="32">
        <v>48</v>
      </c>
      <c r="G334" s="39" t="s">
        <v>69</v>
      </c>
      <c r="H334" s="39"/>
      <c r="I334" s="12">
        <f t="shared" si="5"/>
        <v>10333</v>
      </c>
    </row>
    <row r="335" spans="1:9">
      <c r="A335" s="2">
        <v>10334</v>
      </c>
      <c r="B335" s="39" t="s">
        <v>909</v>
      </c>
      <c r="C335" s="39" t="s">
        <v>753</v>
      </c>
      <c r="D335" s="65" t="s">
        <v>910</v>
      </c>
      <c r="E335" s="66">
        <v>37684</v>
      </c>
      <c r="F335" s="32">
        <v>76</v>
      </c>
      <c r="G335" s="39" t="s">
        <v>69</v>
      </c>
      <c r="H335" s="39"/>
      <c r="I335" s="12">
        <f t="shared" si="5"/>
        <v>10334</v>
      </c>
    </row>
    <row r="336" spans="1:9">
      <c r="A336" s="2">
        <v>10335</v>
      </c>
      <c r="B336" s="39" t="s">
        <v>911</v>
      </c>
      <c r="C336" s="39" t="s">
        <v>912</v>
      </c>
      <c r="D336" s="65" t="s">
        <v>913</v>
      </c>
      <c r="E336" s="66">
        <v>36668</v>
      </c>
      <c r="F336" s="32">
        <v>48</v>
      </c>
      <c r="G336" s="39" t="s">
        <v>69</v>
      </c>
      <c r="H336" s="39"/>
      <c r="I336" s="12">
        <f t="shared" si="5"/>
        <v>10335</v>
      </c>
    </row>
    <row r="337" spans="1:9">
      <c r="A337" s="2">
        <v>10336</v>
      </c>
      <c r="B337" s="39" t="s">
        <v>914</v>
      </c>
      <c r="C337" s="39" t="s">
        <v>915</v>
      </c>
      <c r="D337" s="65" t="s">
        <v>916</v>
      </c>
      <c r="E337" s="66">
        <v>38314</v>
      </c>
      <c r="F337" s="32">
        <v>48</v>
      </c>
      <c r="G337" s="39" t="s">
        <v>69</v>
      </c>
      <c r="H337" s="39"/>
      <c r="I337" s="12">
        <f t="shared" si="5"/>
        <v>10336</v>
      </c>
    </row>
    <row r="338" spans="1:9">
      <c r="A338" s="2">
        <v>10337</v>
      </c>
      <c r="B338" s="39" t="s">
        <v>917</v>
      </c>
      <c r="C338" s="39" t="s">
        <v>170</v>
      </c>
      <c r="D338" s="65" t="s">
        <v>918</v>
      </c>
      <c r="E338" s="66">
        <v>37666</v>
      </c>
      <c r="F338" s="32">
        <v>76</v>
      </c>
      <c r="G338" s="39" t="s">
        <v>69</v>
      </c>
      <c r="H338" s="39"/>
      <c r="I338" s="12">
        <f t="shared" si="5"/>
        <v>10337</v>
      </c>
    </row>
    <row r="339" spans="1:9">
      <c r="A339" s="2">
        <v>10338</v>
      </c>
      <c r="B339" s="39" t="s">
        <v>181</v>
      </c>
      <c r="C339" s="39" t="s">
        <v>201</v>
      </c>
      <c r="D339" s="65" t="s">
        <v>919</v>
      </c>
      <c r="E339" s="66">
        <v>36592</v>
      </c>
      <c r="F339" s="32">
        <v>76</v>
      </c>
      <c r="G339" s="39" t="s">
        <v>69</v>
      </c>
      <c r="H339" s="39"/>
      <c r="I339" s="12">
        <f t="shared" si="5"/>
        <v>10338</v>
      </c>
    </row>
    <row r="340" spans="1:9">
      <c r="A340" s="2">
        <v>10339</v>
      </c>
      <c r="B340" s="39" t="s">
        <v>920</v>
      </c>
      <c r="C340" s="39" t="s">
        <v>453</v>
      </c>
      <c r="D340" s="65" t="s">
        <v>921</v>
      </c>
      <c r="E340" s="66">
        <v>37665</v>
      </c>
      <c r="F340" s="32">
        <v>48</v>
      </c>
      <c r="G340" s="39" t="s">
        <v>69</v>
      </c>
      <c r="H340" s="39"/>
      <c r="I340" s="12">
        <f t="shared" si="5"/>
        <v>10339</v>
      </c>
    </row>
    <row r="341" spans="1:9">
      <c r="A341" s="2">
        <v>10340</v>
      </c>
      <c r="B341" s="39" t="s">
        <v>922</v>
      </c>
      <c r="C341" s="39" t="s">
        <v>114</v>
      </c>
      <c r="D341" s="65" t="s">
        <v>923</v>
      </c>
      <c r="E341" s="66">
        <v>38199</v>
      </c>
      <c r="F341" s="32">
        <v>76</v>
      </c>
      <c r="G341" s="39" t="s">
        <v>69</v>
      </c>
      <c r="H341" s="39"/>
      <c r="I341" s="12">
        <f t="shared" si="5"/>
        <v>10340</v>
      </c>
    </row>
    <row r="342" spans="1:9">
      <c r="A342" s="2">
        <v>10341</v>
      </c>
      <c r="B342" s="39" t="s">
        <v>924</v>
      </c>
      <c r="C342" s="39" t="s">
        <v>170</v>
      </c>
      <c r="D342" s="65" t="s">
        <v>925</v>
      </c>
      <c r="E342" s="66">
        <v>37703</v>
      </c>
      <c r="F342" s="32">
        <v>76</v>
      </c>
      <c r="G342" s="39" t="s">
        <v>69</v>
      </c>
      <c r="H342" s="39"/>
      <c r="I342" s="12">
        <f t="shared" si="5"/>
        <v>10341</v>
      </c>
    </row>
    <row r="343" spans="1:9">
      <c r="A343" s="2">
        <v>10342</v>
      </c>
      <c r="B343" s="39" t="s">
        <v>926</v>
      </c>
      <c r="C343" s="39" t="s">
        <v>927</v>
      </c>
      <c r="D343" s="65" t="s">
        <v>928</v>
      </c>
      <c r="E343" s="66">
        <v>38057</v>
      </c>
      <c r="F343" s="32">
        <v>48</v>
      </c>
      <c r="G343" s="39" t="s">
        <v>69</v>
      </c>
      <c r="H343" s="39"/>
      <c r="I343" s="12">
        <f t="shared" si="5"/>
        <v>10342</v>
      </c>
    </row>
    <row r="344" spans="1:9">
      <c r="A344" s="2">
        <v>10343</v>
      </c>
      <c r="B344" s="39" t="s">
        <v>929</v>
      </c>
      <c r="C344" s="39" t="s">
        <v>930</v>
      </c>
      <c r="D344" s="65" t="s">
        <v>931</v>
      </c>
      <c r="E344" s="66">
        <v>37927</v>
      </c>
      <c r="F344" s="32">
        <v>48</v>
      </c>
      <c r="G344" s="39" t="s">
        <v>69</v>
      </c>
      <c r="H344" s="39"/>
      <c r="I344" s="12">
        <f t="shared" si="5"/>
        <v>10343</v>
      </c>
    </row>
    <row r="345" spans="1:9">
      <c r="A345" s="2">
        <v>10344</v>
      </c>
      <c r="B345" s="39" t="s">
        <v>932</v>
      </c>
      <c r="C345" s="39" t="s">
        <v>933</v>
      </c>
      <c r="D345" s="65" t="s">
        <v>934</v>
      </c>
      <c r="E345" s="66">
        <v>34723</v>
      </c>
      <c r="F345" s="32">
        <v>48</v>
      </c>
      <c r="G345" s="39" t="s">
        <v>69</v>
      </c>
      <c r="H345" s="39"/>
      <c r="I345" s="12">
        <f t="shared" si="5"/>
        <v>10344</v>
      </c>
    </row>
    <row r="346" spans="1:9">
      <c r="A346" s="2">
        <v>10345</v>
      </c>
      <c r="B346" s="39" t="s">
        <v>935</v>
      </c>
      <c r="C346" s="39" t="s">
        <v>936</v>
      </c>
      <c r="D346" s="65" t="s">
        <v>937</v>
      </c>
      <c r="E346" s="66">
        <v>38423</v>
      </c>
      <c r="F346" s="32">
        <v>76</v>
      </c>
      <c r="G346" s="39" t="s">
        <v>52</v>
      </c>
      <c r="H346" s="39"/>
      <c r="I346" s="12">
        <f t="shared" si="5"/>
        <v>10345</v>
      </c>
    </row>
    <row r="347" spans="1:9">
      <c r="A347" s="2">
        <v>10346</v>
      </c>
      <c r="B347" s="39" t="s">
        <v>938</v>
      </c>
      <c r="C347" s="39" t="s">
        <v>939</v>
      </c>
      <c r="D347" s="65" t="s">
        <v>940</v>
      </c>
      <c r="E347" s="66">
        <v>36269</v>
      </c>
      <c r="F347" s="32">
        <v>48</v>
      </c>
      <c r="G347" s="39" t="s">
        <v>69</v>
      </c>
      <c r="H347" s="39"/>
      <c r="I347" s="12">
        <f t="shared" si="5"/>
        <v>10346</v>
      </c>
    </row>
    <row r="348" spans="1:9">
      <c r="A348" s="2">
        <v>10347</v>
      </c>
      <c r="B348" s="39" t="s">
        <v>941</v>
      </c>
      <c r="C348" s="39" t="s">
        <v>691</v>
      </c>
      <c r="D348" s="65" t="s">
        <v>942</v>
      </c>
      <c r="E348" s="66">
        <v>37609</v>
      </c>
      <c r="F348" s="32">
        <v>76</v>
      </c>
      <c r="G348" s="39" t="s">
        <v>69</v>
      </c>
      <c r="H348" s="39"/>
      <c r="I348" s="12">
        <f t="shared" si="5"/>
        <v>10347</v>
      </c>
    </row>
    <row r="349" spans="1:9">
      <c r="A349" s="2">
        <v>10348</v>
      </c>
      <c r="B349" s="39" t="s">
        <v>943</v>
      </c>
      <c r="C349" s="39" t="s">
        <v>944</v>
      </c>
      <c r="D349" s="65" t="s">
        <v>945</v>
      </c>
      <c r="E349" s="66">
        <v>34747</v>
      </c>
      <c r="F349" s="32">
        <v>76</v>
      </c>
      <c r="G349" s="39" t="s">
        <v>69</v>
      </c>
      <c r="H349" s="39"/>
      <c r="I349" s="12">
        <f t="shared" si="5"/>
        <v>10348</v>
      </c>
    </row>
    <row r="350" spans="1:9">
      <c r="A350" s="2">
        <v>10349</v>
      </c>
      <c r="B350" s="39" t="s">
        <v>946</v>
      </c>
      <c r="C350" s="39" t="s">
        <v>947</v>
      </c>
      <c r="D350" s="65" t="s">
        <v>948</v>
      </c>
      <c r="E350" s="66">
        <v>37825</v>
      </c>
      <c r="F350" s="32">
        <v>48</v>
      </c>
      <c r="G350" s="39" t="s">
        <v>69</v>
      </c>
      <c r="H350" s="39"/>
      <c r="I350" s="12">
        <f t="shared" si="5"/>
        <v>10349</v>
      </c>
    </row>
    <row r="351" spans="1:9">
      <c r="A351" s="2">
        <v>10350</v>
      </c>
      <c r="B351" s="39" t="s">
        <v>949</v>
      </c>
      <c r="C351" s="39" t="s">
        <v>950</v>
      </c>
      <c r="D351" s="65" t="s">
        <v>951</v>
      </c>
      <c r="E351" s="66">
        <v>36475</v>
      </c>
      <c r="F351" s="32">
        <v>76</v>
      </c>
      <c r="G351" s="39" t="s">
        <v>69</v>
      </c>
      <c r="H351" s="39"/>
      <c r="I351" s="12">
        <f t="shared" si="5"/>
        <v>10350</v>
      </c>
    </row>
    <row r="352" spans="1:9">
      <c r="A352" s="2">
        <v>10351</v>
      </c>
      <c r="B352" s="39" t="s">
        <v>952</v>
      </c>
      <c r="C352" s="39" t="s">
        <v>85</v>
      </c>
      <c r="D352" s="65" t="s">
        <v>953</v>
      </c>
      <c r="E352" s="66">
        <v>40023</v>
      </c>
      <c r="F352" s="32">
        <v>76</v>
      </c>
      <c r="G352" s="39" t="s">
        <v>69</v>
      </c>
      <c r="H352" s="39"/>
      <c r="I352" s="12">
        <f t="shared" si="5"/>
        <v>10351</v>
      </c>
    </row>
    <row r="353" spans="1:9">
      <c r="A353" s="2">
        <v>10352</v>
      </c>
      <c r="B353" s="39" t="s">
        <v>954</v>
      </c>
      <c r="C353" s="39" t="s">
        <v>955</v>
      </c>
      <c r="D353" s="65" t="s">
        <v>956</v>
      </c>
      <c r="E353" s="66">
        <v>37261</v>
      </c>
      <c r="F353" s="32">
        <v>48</v>
      </c>
      <c r="G353" s="39" t="s">
        <v>69</v>
      </c>
      <c r="H353" s="39"/>
      <c r="I353" s="12">
        <f t="shared" si="5"/>
        <v>10352</v>
      </c>
    </row>
    <row r="354" spans="1:9">
      <c r="A354" s="2">
        <v>10353</v>
      </c>
      <c r="B354" s="39" t="s">
        <v>957</v>
      </c>
      <c r="C354" s="39" t="s">
        <v>958</v>
      </c>
      <c r="D354" s="65" t="s">
        <v>959</v>
      </c>
      <c r="E354" s="66">
        <v>37103</v>
      </c>
      <c r="F354" s="32">
        <v>76</v>
      </c>
      <c r="G354" s="39" t="s">
        <v>69</v>
      </c>
      <c r="H354" s="39"/>
      <c r="I354" s="12">
        <f t="shared" si="5"/>
        <v>10353</v>
      </c>
    </row>
    <row r="355" spans="1:9">
      <c r="A355" s="2">
        <v>10354</v>
      </c>
      <c r="B355" s="39" t="s">
        <v>960</v>
      </c>
      <c r="C355" s="39" t="s">
        <v>67</v>
      </c>
      <c r="D355" s="65" t="s">
        <v>961</v>
      </c>
      <c r="E355" s="66">
        <v>36670</v>
      </c>
      <c r="F355" s="32">
        <v>48</v>
      </c>
      <c r="G355" s="39" t="s">
        <v>69</v>
      </c>
      <c r="H355" s="39"/>
      <c r="I355" s="12">
        <f t="shared" si="5"/>
        <v>10354</v>
      </c>
    </row>
    <row r="356" spans="1:9">
      <c r="A356" s="2">
        <v>10355</v>
      </c>
      <c r="B356" s="39" t="s">
        <v>962</v>
      </c>
      <c r="C356" s="39" t="s">
        <v>67</v>
      </c>
      <c r="D356" s="65" t="s">
        <v>963</v>
      </c>
      <c r="E356" s="66">
        <v>36804</v>
      </c>
      <c r="F356" s="32">
        <v>48</v>
      </c>
      <c r="G356" s="39" t="s">
        <v>69</v>
      </c>
      <c r="H356" s="39"/>
      <c r="I356" s="12">
        <f t="shared" si="5"/>
        <v>10355</v>
      </c>
    </row>
    <row r="357" spans="1:9">
      <c r="A357" s="2">
        <v>10356</v>
      </c>
      <c r="B357" s="39" t="s">
        <v>964</v>
      </c>
      <c r="C357" s="39" t="s">
        <v>965</v>
      </c>
      <c r="D357" s="65" t="s">
        <v>966</v>
      </c>
      <c r="E357" s="66">
        <v>38070</v>
      </c>
      <c r="F357" s="32">
        <v>48</v>
      </c>
      <c r="G357" s="39" t="s">
        <v>69</v>
      </c>
      <c r="H357" s="39"/>
      <c r="I357" s="12">
        <f t="shared" si="5"/>
        <v>10356</v>
      </c>
    </row>
    <row r="358" spans="1:9">
      <c r="A358" s="2">
        <v>10357</v>
      </c>
      <c r="B358" s="39" t="s">
        <v>967</v>
      </c>
      <c r="C358" s="39" t="s">
        <v>334</v>
      </c>
      <c r="D358" s="65" t="s">
        <v>968</v>
      </c>
      <c r="E358" s="66">
        <v>36997</v>
      </c>
      <c r="F358" s="32">
        <v>48</v>
      </c>
      <c r="G358" s="39" t="s">
        <v>69</v>
      </c>
      <c r="H358" s="39"/>
      <c r="I358" s="12">
        <f t="shared" si="5"/>
        <v>10357</v>
      </c>
    </row>
    <row r="359" spans="1:9">
      <c r="A359" s="2">
        <v>10358</v>
      </c>
      <c r="B359" s="39" t="s">
        <v>969</v>
      </c>
      <c r="C359" s="39" t="s">
        <v>970</v>
      </c>
      <c r="D359" s="65" t="s">
        <v>971</v>
      </c>
      <c r="E359" s="66">
        <v>36554</v>
      </c>
      <c r="F359" s="32">
        <v>76</v>
      </c>
      <c r="G359" s="39" t="s">
        <v>69</v>
      </c>
      <c r="H359" s="39"/>
      <c r="I359" s="12">
        <f t="shared" si="5"/>
        <v>10358</v>
      </c>
    </row>
    <row r="360" spans="1:9">
      <c r="A360" s="2">
        <v>10359</v>
      </c>
      <c r="B360" s="39" t="s">
        <v>972</v>
      </c>
      <c r="C360" s="39" t="s">
        <v>206</v>
      </c>
      <c r="D360" s="65" t="s">
        <v>973</v>
      </c>
      <c r="E360" s="66">
        <v>35237</v>
      </c>
      <c r="F360" s="32">
        <v>76</v>
      </c>
      <c r="G360" s="39" t="s">
        <v>69</v>
      </c>
      <c r="H360" s="39"/>
      <c r="I360" s="12">
        <f t="shared" si="5"/>
        <v>10359</v>
      </c>
    </row>
    <row r="361" spans="1:9">
      <c r="A361" s="2">
        <v>10360</v>
      </c>
      <c r="B361" s="39" t="s">
        <v>974</v>
      </c>
      <c r="C361" s="39" t="s">
        <v>975</v>
      </c>
      <c r="D361" s="65" t="s">
        <v>976</v>
      </c>
      <c r="E361" s="66">
        <v>38451</v>
      </c>
      <c r="F361" s="32">
        <v>76</v>
      </c>
      <c r="G361" s="39" t="s">
        <v>69</v>
      </c>
      <c r="H361" s="39"/>
      <c r="I361" s="12">
        <f t="shared" si="5"/>
        <v>10360</v>
      </c>
    </row>
    <row r="362" spans="1:9">
      <c r="A362" s="2">
        <v>10361</v>
      </c>
      <c r="B362" s="39" t="s">
        <v>977</v>
      </c>
      <c r="C362" s="39" t="s">
        <v>978</v>
      </c>
      <c r="D362" s="65" t="s">
        <v>979</v>
      </c>
      <c r="E362" s="66">
        <v>38922</v>
      </c>
      <c r="F362" s="32">
        <v>76</v>
      </c>
      <c r="G362" s="39" t="s">
        <v>69</v>
      </c>
      <c r="H362" s="39"/>
      <c r="I362" s="12">
        <f t="shared" si="5"/>
        <v>10361</v>
      </c>
    </row>
    <row r="363" spans="1:9">
      <c r="A363" s="2">
        <v>10362</v>
      </c>
      <c r="B363" s="39" t="s">
        <v>980</v>
      </c>
      <c r="C363" s="39" t="s">
        <v>981</v>
      </c>
      <c r="D363" s="65" t="s">
        <v>982</v>
      </c>
      <c r="E363" s="66">
        <v>37185</v>
      </c>
      <c r="F363" s="32">
        <v>76</v>
      </c>
      <c r="G363" s="39" t="s">
        <v>69</v>
      </c>
      <c r="H363" s="39"/>
      <c r="I363" s="12">
        <f t="shared" si="5"/>
        <v>10362</v>
      </c>
    </row>
    <row r="364" spans="1:9">
      <c r="A364" s="2">
        <v>10363</v>
      </c>
      <c r="B364" s="39" t="s">
        <v>983</v>
      </c>
      <c r="C364" s="39" t="s">
        <v>984</v>
      </c>
      <c r="D364" s="65" t="s">
        <v>985</v>
      </c>
      <c r="E364" s="66">
        <v>36126</v>
      </c>
      <c r="F364" s="32">
        <v>48</v>
      </c>
      <c r="G364" s="39" t="s">
        <v>69</v>
      </c>
      <c r="H364" s="39"/>
      <c r="I364" s="12">
        <f t="shared" si="5"/>
        <v>10363</v>
      </c>
    </row>
    <row r="365" spans="1:9">
      <c r="A365" s="2">
        <v>10364</v>
      </c>
      <c r="B365" s="39" t="s">
        <v>986</v>
      </c>
      <c r="C365" s="39" t="s">
        <v>987</v>
      </c>
      <c r="D365" s="65" t="s">
        <v>988</v>
      </c>
      <c r="E365" s="66">
        <v>35000</v>
      </c>
      <c r="F365" s="32">
        <v>76</v>
      </c>
      <c r="G365" s="39" t="s">
        <v>69</v>
      </c>
      <c r="H365" s="39"/>
      <c r="I365" s="12">
        <f t="shared" si="5"/>
        <v>10364</v>
      </c>
    </row>
    <row r="366" spans="1:9">
      <c r="A366" s="2">
        <v>10365</v>
      </c>
      <c r="B366" s="39" t="s">
        <v>989</v>
      </c>
      <c r="C366" s="39" t="s">
        <v>50</v>
      </c>
      <c r="D366" s="65" t="s">
        <v>990</v>
      </c>
      <c r="E366" s="66">
        <v>38058</v>
      </c>
      <c r="F366" s="32">
        <v>76</v>
      </c>
      <c r="G366" s="39" t="s">
        <v>69</v>
      </c>
      <c r="H366" s="39"/>
      <c r="I366" s="12">
        <f t="shared" si="5"/>
        <v>10365</v>
      </c>
    </row>
    <row r="367" spans="1:9">
      <c r="A367" s="2">
        <v>10366</v>
      </c>
      <c r="B367" s="39" t="s">
        <v>991</v>
      </c>
      <c r="C367" s="39" t="s">
        <v>992</v>
      </c>
      <c r="D367" s="65" t="s">
        <v>993</v>
      </c>
      <c r="E367" s="66">
        <v>38603</v>
      </c>
      <c r="F367" s="32">
        <v>48</v>
      </c>
      <c r="G367" s="39" t="s">
        <v>69</v>
      </c>
      <c r="H367" s="39"/>
      <c r="I367" s="12">
        <f t="shared" si="5"/>
        <v>10366</v>
      </c>
    </row>
    <row r="368" spans="1:9">
      <c r="A368" s="2">
        <v>10367</v>
      </c>
      <c r="B368" s="67" t="s">
        <v>627</v>
      </c>
      <c r="C368" s="67" t="s">
        <v>994</v>
      </c>
      <c r="D368" s="67" t="s">
        <v>995</v>
      </c>
      <c r="E368" s="66">
        <v>38591</v>
      </c>
      <c r="F368" s="32">
        <v>48</v>
      </c>
      <c r="G368" s="39" t="s">
        <v>69</v>
      </c>
      <c r="H368" s="39"/>
      <c r="I368" s="12">
        <f t="shared" si="5"/>
        <v>10367</v>
      </c>
    </row>
    <row r="369" spans="1:9">
      <c r="A369" s="2">
        <v>10368</v>
      </c>
      <c r="B369" s="39" t="s">
        <v>391</v>
      </c>
      <c r="C369" s="39" t="s">
        <v>987</v>
      </c>
      <c r="D369" s="65" t="s">
        <v>996</v>
      </c>
      <c r="E369" s="66">
        <v>35836</v>
      </c>
      <c r="F369" s="32">
        <v>76</v>
      </c>
      <c r="G369" s="39" t="s">
        <v>69</v>
      </c>
      <c r="H369" s="39"/>
      <c r="I369" s="12">
        <f t="shared" si="5"/>
        <v>10368</v>
      </c>
    </row>
    <row r="370" spans="1:9">
      <c r="A370" s="2">
        <v>10369</v>
      </c>
      <c r="B370" s="39" t="s">
        <v>997</v>
      </c>
      <c r="C370" s="39" t="s">
        <v>548</v>
      </c>
      <c r="D370" s="65" t="s">
        <v>998</v>
      </c>
      <c r="E370" s="66">
        <v>33016</v>
      </c>
      <c r="F370" s="32">
        <v>76</v>
      </c>
      <c r="G370" s="39" t="s">
        <v>69</v>
      </c>
      <c r="H370" s="39"/>
      <c r="I370" s="12">
        <f t="shared" si="5"/>
        <v>10369</v>
      </c>
    </row>
    <row r="371" spans="1:9">
      <c r="A371" s="2">
        <v>10370</v>
      </c>
      <c r="B371" s="39" t="s">
        <v>999</v>
      </c>
      <c r="C371" s="39" t="s">
        <v>86</v>
      </c>
      <c r="D371" s="65" t="s">
        <v>1000</v>
      </c>
      <c r="E371" s="66">
        <v>35639</v>
      </c>
      <c r="F371" s="32">
        <v>76</v>
      </c>
      <c r="G371" s="39" t="s">
        <v>69</v>
      </c>
      <c r="H371" s="39"/>
      <c r="I371" s="12">
        <f t="shared" si="5"/>
        <v>10370</v>
      </c>
    </row>
    <row r="372" spans="1:9">
      <c r="A372" s="2">
        <v>10371</v>
      </c>
      <c r="B372" s="39" t="s">
        <v>1001</v>
      </c>
      <c r="C372" s="39" t="s">
        <v>1002</v>
      </c>
      <c r="D372" s="65" t="s">
        <v>1003</v>
      </c>
      <c r="E372" s="66">
        <v>36214</v>
      </c>
      <c r="F372" s="32">
        <v>48</v>
      </c>
      <c r="G372" s="39" t="s">
        <v>69</v>
      </c>
      <c r="H372" s="39"/>
      <c r="I372" s="12">
        <f t="shared" si="5"/>
        <v>10371</v>
      </c>
    </row>
    <row r="373" spans="1:9">
      <c r="A373" s="2">
        <v>10372</v>
      </c>
      <c r="B373" s="39" t="s">
        <v>1004</v>
      </c>
      <c r="C373" s="39" t="s">
        <v>106</v>
      </c>
      <c r="D373" s="65" t="s">
        <v>1005</v>
      </c>
      <c r="E373" s="66">
        <v>25190</v>
      </c>
      <c r="F373" s="32">
        <v>76</v>
      </c>
      <c r="G373" s="39" t="s">
        <v>69</v>
      </c>
      <c r="H373" s="39"/>
      <c r="I373" s="12">
        <f t="shared" si="5"/>
        <v>10372</v>
      </c>
    </row>
    <row r="374" spans="1:9">
      <c r="A374" s="2">
        <v>10373</v>
      </c>
      <c r="B374" s="39" t="s">
        <v>1006</v>
      </c>
      <c r="C374" s="39" t="s">
        <v>1007</v>
      </c>
      <c r="D374" s="65" t="s">
        <v>1008</v>
      </c>
      <c r="E374" s="66">
        <v>37583</v>
      </c>
      <c r="F374" s="32">
        <v>76</v>
      </c>
      <c r="G374" s="39" t="s">
        <v>69</v>
      </c>
      <c r="H374" s="39"/>
      <c r="I374" s="12">
        <f t="shared" si="5"/>
        <v>10373</v>
      </c>
    </row>
    <row r="375" spans="1:9">
      <c r="A375" s="2">
        <v>10374</v>
      </c>
      <c r="B375" s="39" t="s">
        <v>1009</v>
      </c>
      <c r="C375" s="39" t="s">
        <v>117</v>
      </c>
      <c r="D375" s="65" t="s">
        <v>1010</v>
      </c>
      <c r="E375" s="66">
        <v>37013</v>
      </c>
      <c r="F375" s="32">
        <v>48</v>
      </c>
      <c r="G375" s="39" t="s">
        <v>69</v>
      </c>
      <c r="H375" s="39"/>
      <c r="I375" s="12">
        <f t="shared" si="5"/>
        <v>10374</v>
      </c>
    </row>
    <row r="376" spans="1:9">
      <c r="A376" s="2">
        <v>10375</v>
      </c>
      <c r="B376" s="39" t="s">
        <v>1011</v>
      </c>
      <c r="C376" s="39" t="s">
        <v>1012</v>
      </c>
      <c r="D376" s="65" t="s">
        <v>1013</v>
      </c>
      <c r="E376" s="66">
        <v>37310</v>
      </c>
      <c r="F376" s="32">
        <v>48</v>
      </c>
      <c r="G376" s="39" t="s">
        <v>69</v>
      </c>
      <c r="H376" s="39"/>
      <c r="I376" s="12">
        <f t="shared" si="5"/>
        <v>10375</v>
      </c>
    </row>
    <row r="377" spans="1:9">
      <c r="A377" s="2">
        <v>10376</v>
      </c>
      <c r="B377" s="39" t="s">
        <v>1014</v>
      </c>
      <c r="C377" s="39" t="s">
        <v>134</v>
      </c>
      <c r="D377" s="65" t="s">
        <v>1015</v>
      </c>
      <c r="E377" s="66">
        <v>38021</v>
      </c>
      <c r="F377" s="32">
        <v>48</v>
      </c>
      <c r="G377" s="39" t="s">
        <v>69</v>
      </c>
      <c r="H377" s="39"/>
      <c r="I377" s="12">
        <f t="shared" si="5"/>
        <v>10376</v>
      </c>
    </row>
    <row r="378" spans="1:9">
      <c r="A378" s="2">
        <v>10377</v>
      </c>
      <c r="B378" s="39" t="s">
        <v>1016</v>
      </c>
      <c r="C378" s="39" t="s">
        <v>1017</v>
      </c>
      <c r="D378" s="65" t="s">
        <v>1018</v>
      </c>
      <c r="E378" s="66">
        <v>34737</v>
      </c>
      <c r="F378" s="32">
        <v>76</v>
      </c>
      <c r="G378" s="39" t="s">
        <v>69</v>
      </c>
      <c r="H378" s="39"/>
      <c r="I378" s="12">
        <f t="shared" si="5"/>
        <v>10377</v>
      </c>
    </row>
    <row r="379" spans="1:9">
      <c r="A379" s="2">
        <v>10378</v>
      </c>
      <c r="B379" s="39" t="s">
        <v>1019</v>
      </c>
      <c r="C379" s="39" t="s">
        <v>1020</v>
      </c>
      <c r="D379" s="65" t="s">
        <v>1021</v>
      </c>
      <c r="E379" s="66">
        <v>36452</v>
      </c>
      <c r="F379" s="32">
        <v>48</v>
      </c>
      <c r="G379" s="39" t="s">
        <v>69</v>
      </c>
      <c r="H379" s="39"/>
      <c r="I379" s="12">
        <f t="shared" si="5"/>
        <v>10378</v>
      </c>
    </row>
    <row r="380" spans="1:9">
      <c r="A380" s="2">
        <v>10379</v>
      </c>
      <c r="B380" s="39" t="s">
        <v>1022</v>
      </c>
      <c r="C380" s="39" t="s">
        <v>1023</v>
      </c>
      <c r="D380" s="65" t="s">
        <v>1024</v>
      </c>
      <c r="E380" s="66">
        <v>38449</v>
      </c>
      <c r="F380" s="32">
        <v>48</v>
      </c>
      <c r="G380" s="39" t="s">
        <v>69</v>
      </c>
      <c r="H380" s="39"/>
      <c r="I380" s="12">
        <f t="shared" si="5"/>
        <v>10379</v>
      </c>
    </row>
    <row r="381" spans="1:9">
      <c r="A381" s="2">
        <v>210380</v>
      </c>
      <c r="B381" s="39" t="s">
        <v>1025</v>
      </c>
      <c r="C381" s="39" t="s">
        <v>1026</v>
      </c>
      <c r="D381" s="65" t="s">
        <v>1027</v>
      </c>
      <c r="E381" s="66">
        <v>38576</v>
      </c>
      <c r="F381" s="32">
        <v>76</v>
      </c>
      <c r="G381" s="39" t="s">
        <v>69</v>
      </c>
      <c r="H381" s="39"/>
      <c r="I381" s="12">
        <f t="shared" si="5"/>
        <v>210380</v>
      </c>
    </row>
    <row r="382" spans="1:9">
      <c r="A382" s="2">
        <v>10381</v>
      </c>
      <c r="B382" s="39" t="s">
        <v>1028</v>
      </c>
      <c r="C382" s="39" t="s">
        <v>134</v>
      </c>
      <c r="D382" s="65" t="s">
        <v>1029</v>
      </c>
      <c r="E382" s="66">
        <v>38241</v>
      </c>
      <c r="F382" s="32">
        <v>48</v>
      </c>
      <c r="G382" s="39" t="s">
        <v>69</v>
      </c>
      <c r="H382" s="39"/>
      <c r="I382" s="12">
        <f t="shared" si="5"/>
        <v>10381</v>
      </c>
    </row>
    <row r="383" spans="1:9">
      <c r="A383" s="2">
        <v>10382</v>
      </c>
      <c r="B383" s="39" t="s">
        <v>1030</v>
      </c>
      <c r="C383" s="39" t="s">
        <v>1031</v>
      </c>
      <c r="D383" s="65" t="s">
        <v>1032</v>
      </c>
      <c r="E383" s="66">
        <v>37906</v>
      </c>
      <c r="F383" s="32">
        <v>76</v>
      </c>
      <c r="G383" s="39" t="s">
        <v>69</v>
      </c>
      <c r="H383" s="39"/>
      <c r="I383" s="12">
        <f t="shared" si="5"/>
        <v>10382</v>
      </c>
    </row>
    <row r="384" spans="1:9">
      <c r="A384" s="2">
        <v>210383</v>
      </c>
      <c r="B384" s="39" t="s">
        <v>1033</v>
      </c>
      <c r="C384" s="39" t="s">
        <v>313</v>
      </c>
      <c r="D384" s="65" t="s">
        <v>1034</v>
      </c>
      <c r="E384" s="66">
        <v>38255</v>
      </c>
      <c r="F384" s="32">
        <v>76</v>
      </c>
      <c r="G384" s="39" t="s">
        <v>69</v>
      </c>
      <c r="H384" s="39"/>
      <c r="I384" s="12">
        <f t="shared" si="5"/>
        <v>210383</v>
      </c>
    </row>
    <row r="385" spans="1:9">
      <c r="A385" s="2">
        <v>10384</v>
      </c>
      <c r="B385" s="39" t="s">
        <v>1035</v>
      </c>
      <c r="C385" s="39" t="s">
        <v>1036</v>
      </c>
      <c r="D385" s="65" t="s">
        <v>1037</v>
      </c>
      <c r="E385" s="66">
        <v>38335</v>
      </c>
      <c r="F385" s="32">
        <v>76</v>
      </c>
      <c r="G385" s="39" t="s">
        <v>69</v>
      </c>
      <c r="H385" s="39"/>
      <c r="I385" s="12">
        <f t="shared" si="5"/>
        <v>10384</v>
      </c>
    </row>
    <row r="386" spans="1:9">
      <c r="A386" s="2">
        <v>10385</v>
      </c>
      <c r="B386" s="39" t="s">
        <v>1038</v>
      </c>
      <c r="C386" s="39" t="s">
        <v>1039</v>
      </c>
      <c r="D386" s="65" t="s">
        <v>1040</v>
      </c>
      <c r="E386" s="66">
        <v>38591</v>
      </c>
      <c r="F386" s="32">
        <v>48</v>
      </c>
      <c r="G386" s="39" t="s">
        <v>69</v>
      </c>
      <c r="H386" s="39"/>
      <c r="I386" s="12">
        <f t="shared" ref="I386:I401" si="6">A386</f>
        <v>10385</v>
      </c>
    </row>
    <row r="387" spans="1:9">
      <c r="A387" s="2">
        <v>10386</v>
      </c>
      <c r="B387" s="39" t="s">
        <v>1041</v>
      </c>
      <c r="C387" s="39" t="s">
        <v>1042</v>
      </c>
      <c r="D387" s="65" t="s">
        <v>1043</v>
      </c>
      <c r="E387" s="66">
        <v>35963</v>
      </c>
      <c r="F387" s="32">
        <v>48</v>
      </c>
      <c r="G387" s="39" t="s">
        <v>69</v>
      </c>
      <c r="H387" s="39"/>
      <c r="I387" s="12">
        <f t="shared" si="6"/>
        <v>10386</v>
      </c>
    </row>
    <row r="388" spans="1:9">
      <c r="A388" s="2">
        <v>10387</v>
      </c>
      <c r="B388" s="39" t="s">
        <v>691</v>
      </c>
      <c r="C388" s="39" t="s">
        <v>134</v>
      </c>
      <c r="D388" s="65" t="s">
        <v>1044</v>
      </c>
      <c r="E388" s="66">
        <v>37857</v>
      </c>
      <c r="F388" s="32">
        <v>48</v>
      </c>
      <c r="G388" s="39" t="s">
        <v>69</v>
      </c>
      <c r="H388" s="39"/>
      <c r="I388" s="12">
        <f t="shared" si="6"/>
        <v>10387</v>
      </c>
    </row>
    <row r="389" spans="1:9">
      <c r="A389" s="2">
        <v>10388</v>
      </c>
      <c r="B389" s="39" t="s">
        <v>1045</v>
      </c>
      <c r="C389" s="39" t="s">
        <v>305</v>
      </c>
      <c r="D389" s="65" t="s">
        <v>1046</v>
      </c>
      <c r="E389" s="66">
        <v>37824</v>
      </c>
      <c r="F389" s="32">
        <v>76</v>
      </c>
      <c r="G389" s="39" t="s">
        <v>69</v>
      </c>
      <c r="H389" s="39"/>
      <c r="I389" s="12">
        <f t="shared" si="6"/>
        <v>10388</v>
      </c>
    </row>
    <row r="390" spans="1:9">
      <c r="A390" s="2">
        <v>10389</v>
      </c>
      <c r="B390" s="39" t="s">
        <v>1047</v>
      </c>
      <c r="C390" s="39" t="s">
        <v>548</v>
      </c>
      <c r="D390" s="65" t="s">
        <v>1048</v>
      </c>
      <c r="E390" s="66">
        <v>38379</v>
      </c>
      <c r="F390" s="32">
        <v>48</v>
      </c>
      <c r="G390" s="39" t="s">
        <v>69</v>
      </c>
      <c r="H390" s="39"/>
      <c r="I390" s="12">
        <f t="shared" si="6"/>
        <v>10389</v>
      </c>
    </row>
    <row r="391" spans="1:9">
      <c r="A391" s="2">
        <v>210390</v>
      </c>
      <c r="B391" s="39" t="s">
        <v>1049</v>
      </c>
      <c r="C391" s="39" t="s">
        <v>691</v>
      </c>
      <c r="D391" s="65" t="s">
        <v>1050</v>
      </c>
      <c r="E391" s="66">
        <v>36756</v>
      </c>
      <c r="F391" s="32">
        <v>48</v>
      </c>
      <c r="G391" s="39" t="s">
        <v>556</v>
      </c>
      <c r="H391" s="39"/>
      <c r="I391" s="12">
        <f t="shared" si="6"/>
        <v>210390</v>
      </c>
    </row>
    <row r="392" spans="1:9">
      <c r="A392" s="2">
        <v>210391</v>
      </c>
      <c r="B392" s="39" t="s">
        <v>938</v>
      </c>
      <c r="C392" s="39" t="s">
        <v>1051</v>
      </c>
      <c r="D392" s="65" t="s">
        <v>1052</v>
      </c>
      <c r="E392" s="66">
        <v>35143</v>
      </c>
      <c r="F392" s="32">
        <v>48</v>
      </c>
      <c r="G392" s="39" t="s">
        <v>69</v>
      </c>
      <c r="H392" s="39"/>
      <c r="I392" s="12">
        <f t="shared" si="6"/>
        <v>210391</v>
      </c>
    </row>
    <row r="393" spans="1:9">
      <c r="A393" s="2">
        <v>210392</v>
      </c>
      <c r="B393" s="39" t="s">
        <v>1053</v>
      </c>
      <c r="C393" s="39" t="s">
        <v>313</v>
      </c>
      <c r="D393" s="65" t="s">
        <v>1054</v>
      </c>
      <c r="E393" s="66">
        <v>38083</v>
      </c>
      <c r="F393" s="32">
        <v>76</v>
      </c>
      <c r="G393" s="39" t="s">
        <v>69</v>
      </c>
      <c r="H393" s="39"/>
      <c r="I393" s="12">
        <f t="shared" si="6"/>
        <v>210392</v>
      </c>
    </row>
    <row r="394" spans="1:9">
      <c r="A394" s="2">
        <v>10393</v>
      </c>
      <c r="B394" s="39" t="s">
        <v>1055</v>
      </c>
      <c r="C394" s="39" t="s">
        <v>206</v>
      </c>
      <c r="D394" s="65" t="s">
        <v>1056</v>
      </c>
      <c r="E394" s="66">
        <v>34197</v>
      </c>
      <c r="F394" s="32">
        <v>76</v>
      </c>
      <c r="G394" s="39" t="s">
        <v>69</v>
      </c>
      <c r="H394" s="39"/>
      <c r="I394" s="12">
        <f t="shared" si="6"/>
        <v>10393</v>
      </c>
    </row>
    <row r="395" spans="1:9">
      <c r="A395" s="2">
        <v>10394</v>
      </c>
      <c r="B395" s="39" t="s">
        <v>1057</v>
      </c>
      <c r="C395" s="39" t="s">
        <v>198</v>
      </c>
      <c r="D395" s="65" t="s">
        <v>1058</v>
      </c>
      <c r="E395" s="66">
        <v>37176</v>
      </c>
      <c r="F395" s="32">
        <v>48</v>
      </c>
      <c r="G395" s="39" t="s">
        <v>69</v>
      </c>
      <c r="H395" s="39"/>
      <c r="I395" s="12">
        <f t="shared" si="6"/>
        <v>10394</v>
      </c>
    </row>
    <row r="396" spans="1:9">
      <c r="A396" s="2">
        <v>210395</v>
      </c>
      <c r="B396" s="39" t="s">
        <v>1059</v>
      </c>
      <c r="C396" s="39" t="s">
        <v>1060</v>
      </c>
      <c r="D396" s="65" t="s">
        <v>1061</v>
      </c>
      <c r="E396" s="66">
        <v>38424</v>
      </c>
      <c r="F396" s="32">
        <v>48</v>
      </c>
      <c r="G396" s="39" t="s">
        <v>69</v>
      </c>
      <c r="H396" s="39"/>
      <c r="I396" s="12">
        <f t="shared" si="6"/>
        <v>210395</v>
      </c>
    </row>
    <row r="397" spans="1:9">
      <c r="A397" s="2">
        <v>210396</v>
      </c>
      <c r="B397" s="39" t="s">
        <v>1062</v>
      </c>
      <c r="C397" s="39" t="s">
        <v>521</v>
      </c>
      <c r="D397" s="65" t="s">
        <v>1063</v>
      </c>
      <c r="E397" s="66">
        <v>38425</v>
      </c>
      <c r="F397" s="32">
        <v>48</v>
      </c>
      <c r="G397" s="39" t="s">
        <v>69</v>
      </c>
      <c r="H397" s="39"/>
      <c r="I397" s="12">
        <f t="shared" si="6"/>
        <v>210396</v>
      </c>
    </row>
    <row r="398" spans="1:9">
      <c r="A398" s="2">
        <v>10397</v>
      </c>
      <c r="B398" s="39" t="s">
        <v>1064</v>
      </c>
      <c r="C398" s="39" t="s">
        <v>1065</v>
      </c>
      <c r="D398" s="65" t="s">
        <v>1066</v>
      </c>
      <c r="E398" s="66">
        <v>36730</v>
      </c>
      <c r="F398" s="32">
        <v>76</v>
      </c>
      <c r="G398" s="39" t="s">
        <v>69</v>
      </c>
      <c r="H398" s="39"/>
      <c r="I398" s="12">
        <f t="shared" si="6"/>
        <v>10397</v>
      </c>
    </row>
    <row r="399" spans="1:9">
      <c r="A399" s="2">
        <v>210398</v>
      </c>
      <c r="B399" s="39" t="s">
        <v>1067</v>
      </c>
      <c r="C399" s="39" t="s">
        <v>753</v>
      </c>
      <c r="D399" s="65" t="s">
        <v>1068</v>
      </c>
      <c r="E399" s="66">
        <v>37899</v>
      </c>
      <c r="F399" s="32">
        <v>48</v>
      </c>
      <c r="G399" s="39" t="s">
        <v>69</v>
      </c>
      <c r="H399" s="39"/>
      <c r="I399" s="12">
        <f t="shared" si="6"/>
        <v>210398</v>
      </c>
    </row>
    <row r="400" spans="1:9">
      <c r="A400" s="2">
        <v>210399</v>
      </c>
      <c r="B400" s="39" t="s">
        <v>1069</v>
      </c>
      <c r="C400" s="39" t="s">
        <v>117</v>
      </c>
      <c r="D400" s="65" t="s">
        <v>1070</v>
      </c>
      <c r="E400" s="66">
        <v>33071</v>
      </c>
      <c r="F400" s="32">
        <v>48</v>
      </c>
      <c r="G400" s="39" t="s">
        <v>69</v>
      </c>
      <c r="H400" s="39"/>
      <c r="I400" s="12">
        <f t="shared" si="6"/>
        <v>210399</v>
      </c>
    </row>
    <row r="401" spans="1:9">
      <c r="A401" s="2">
        <v>10400</v>
      </c>
      <c r="B401" s="39" t="s">
        <v>170</v>
      </c>
      <c r="C401" s="39" t="s">
        <v>589</v>
      </c>
      <c r="D401" s="65" t="s">
        <v>1071</v>
      </c>
      <c r="E401" s="66">
        <v>37071</v>
      </c>
      <c r="F401" s="32">
        <v>48</v>
      </c>
      <c r="G401" s="39" t="s">
        <v>69</v>
      </c>
      <c r="H401" s="39"/>
      <c r="I401" s="12">
        <f t="shared" si="6"/>
        <v>10400</v>
      </c>
    </row>
    <row r="402" spans="1:9">
      <c r="A402" s="2">
        <v>10401</v>
      </c>
      <c r="B402" s="39" t="s">
        <v>1072</v>
      </c>
      <c r="C402" s="39" t="s">
        <v>1073</v>
      </c>
      <c r="D402" s="65" t="s">
        <v>1074</v>
      </c>
      <c r="E402" s="66">
        <v>37580</v>
      </c>
      <c r="F402" s="32">
        <v>48</v>
      </c>
      <c r="G402" s="39" t="s">
        <v>69</v>
      </c>
      <c r="H402" s="39"/>
      <c r="I402" s="12">
        <f t="shared" ref="I402:I449" si="7">A402</f>
        <v>10401</v>
      </c>
    </row>
    <row r="403" spans="1:9">
      <c r="A403" s="2">
        <v>10402</v>
      </c>
      <c r="B403" s="39" t="s">
        <v>1075</v>
      </c>
      <c r="C403" s="39" t="s">
        <v>439</v>
      </c>
      <c r="D403" s="65" t="s">
        <v>1076</v>
      </c>
      <c r="E403" s="66">
        <v>35942</v>
      </c>
      <c r="F403" s="32">
        <v>48</v>
      </c>
      <c r="G403" s="39" t="s">
        <v>69</v>
      </c>
      <c r="H403" s="39"/>
      <c r="I403" s="12">
        <f t="shared" si="7"/>
        <v>10402</v>
      </c>
    </row>
    <row r="404" spans="1:9">
      <c r="A404" s="2">
        <v>10403</v>
      </c>
      <c r="B404" s="39" t="s">
        <v>1077</v>
      </c>
      <c r="C404" s="39" t="s">
        <v>71</v>
      </c>
      <c r="D404" s="65" t="s">
        <v>1078</v>
      </c>
      <c r="E404" s="66">
        <v>37030</v>
      </c>
      <c r="F404" s="32">
        <v>48</v>
      </c>
      <c r="G404" s="39" t="s">
        <v>69</v>
      </c>
      <c r="H404" s="39"/>
      <c r="I404" s="12">
        <f t="shared" si="7"/>
        <v>10403</v>
      </c>
    </row>
    <row r="405" spans="1:9">
      <c r="A405" s="2">
        <v>10404</v>
      </c>
      <c r="B405" s="67" t="s">
        <v>1079</v>
      </c>
      <c r="C405" s="67" t="s">
        <v>680</v>
      </c>
      <c r="D405" s="67" t="s">
        <v>1080</v>
      </c>
      <c r="E405" s="66">
        <v>36774</v>
      </c>
      <c r="F405" s="32">
        <v>48</v>
      </c>
      <c r="G405" s="39" t="s">
        <v>69</v>
      </c>
      <c r="H405" s="39"/>
      <c r="I405" s="12">
        <f t="shared" si="7"/>
        <v>10404</v>
      </c>
    </row>
    <row r="406" spans="1:9">
      <c r="A406" s="2">
        <v>210405</v>
      </c>
      <c r="B406" s="67" t="s">
        <v>1081</v>
      </c>
      <c r="C406" s="67" t="s">
        <v>1082</v>
      </c>
      <c r="D406" s="67" t="s">
        <v>1083</v>
      </c>
      <c r="E406" s="66">
        <v>37008</v>
      </c>
      <c r="F406" s="32">
        <v>48</v>
      </c>
      <c r="G406" s="39" t="s">
        <v>69</v>
      </c>
      <c r="H406" s="39"/>
      <c r="I406" s="12">
        <f t="shared" si="7"/>
        <v>210405</v>
      </c>
    </row>
    <row r="407" spans="1:9">
      <c r="A407" s="2">
        <v>210406</v>
      </c>
      <c r="B407" s="67" t="s">
        <v>1084</v>
      </c>
      <c r="C407" s="67" t="s">
        <v>419</v>
      </c>
      <c r="D407" s="67" t="s">
        <v>1085</v>
      </c>
      <c r="E407" s="66">
        <v>36582</v>
      </c>
      <c r="F407" s="32">
        <v>48</v>
      </c>
      <c r="G407" s="39" t="s">
        <v>69</v>
      </c>
      <c r="H407" s="39"/>
      <c r="I407" s="12">
        <f t="shared" si="7"/>
        <v>210406</v>
      </c>
    </row>
    <row r="408" spans="1:9">
      <c r="A408" s="2">
        <v>10407</v>
      </c>
      <c r="B408" s="67" t="s">
        <v>1086</v>
      </c>
      <c r="C408" s="67" t="s">
        <v>310</v>
      </c>
      <c r="D408" s="67" t="s">
        <v>1087</v>
      </c>
      <c r="E408" s="66">
        <v>35325</v>
      </c>
      <c r="F408" s="32">
        <v>76</v>
      </c>
      <c r="G408" s="39" t="s">
        <v>69</v>
      </c>
      <c r="H408" s="39"/>
      <c r="I408" s="12">
        <f t="shared" si="7"/>
        <v>10407</v>
      </c>
    </row>
    <row r="409" spans="1:9">
      <c r="A409" s="2">
        <v>10408</v>
      </c>
      <c r="B409" s="67" t="s">
        <v>1088</v>
      </c>
      <c r="C409" s="67" t="s">
        <v>1089</v>
      </c>
      <c r="D409" s="67" t="s">
        <v>1090</v>
      </c>
      <c r="E409" s="66">
        <v>36448</v>
      </c>
      <c r="F409" s="32">
        <v>76</v>
      </c>
      <c r="G409" s="39" t="s">
        <v>69</v>
      </c>
      <c r="H409" s="39"/>
      <c r="I409" s="12">
        <f t="shared" si="7"/>
        <v>10408</v>
      </c>
    </row>
    <row r="410" spans="1:9">
      <c r="A410" s="2">
        <v>210409</v>
      </c>
      <c r="B410" s="67" t="s">
        <v>1091</v>
      </c>
      <c r="C410" s="67" t="s">
        <v>1092</v>
      </c>
      <c r="D410" s="67" t="s">
        <v>1093</v>
      </c>
      <c r="E410" s="66">
        <v>37076</v>
      </c>
      <c r="F410" s="32">
        <v>76</v>
      </c>
      <c r="G410" s="39" t="s">
        <v>69</v>
      </c>
      <c r="H410" s="39"/>
      <c r="I410" s="12">
        <f t="shared" si="7"/>
        <v>210409</v>
      </c>
    </row>
    <row r="411" spans="1:9">
      <c r="A411" s="2">
        <v>10410</v>
      </c>
      <c r="B411" s="67" t="s">
        <v>881</v>
      </c>
      <c r="C411" s="67" t="s">
        <v>1094</v>
      </c>
      <c r="D411" s="67" t="s">
        <v>1095</v>
      </c>
      <c r="E411" s="66">
        <v>37623</v>
      </c>
      <c r="F411" s="32">
        <v>76</v>
      </c>
      <c r="G411" s="39" t="s">
        <v>69</v>
      </c>
      <c r="H411" s="39"/>
      <c r="I411" s="12">
        <f t="shared" si="7"/>
        <v>10410</v>
      </c>
    </row>
    <row r="412" spans="1:9">
      <c r="A412" s="2">
        <v>210411</v>
      </c>
      <c r="B412" s="67" t="s">
        <v>1096</v>
      </c>
      <c r="C412" s="67" t="s">
        <v>1097</v>
      </c>
      <c r="D412" s="67" t="s">
        <v>1098</v>
      </c>
      <c r="E412" s="66">
        <v>34178</v>
      </c>
      <c r="F412" s="32">
        <v>76</v>
      </c>
      <c r="G412" s="39" t="s">
        <v>69</v>
      </c>
      <c r="H412" s="39"/>
      <c r="I412" s="12">
        <f t="shared" si="7"/>
        <v>210411</v>
      </c>
    </row>
    <row r="413" spans="1:9">
      <c r="A413" s="2">
        <v>10412</v>
      </c>
      <c r="B413" s="67" t="s">
        <v>1099</v>
      </c>
      <c r="C413" s="67" t="s">
        <v>1100</v>
      </c>
      <c r="D413" s="67" t="s">
        <v>1101</v>
      </c>
      <c r="E413" s="66">
        <v>37369</v>
      </c>
      <c r="F413" s="32">
        <v>76</v>
      </c>
      <c r="G413" s="39" t="s">
        <v>69</v>
      </c>
      <c r="H413" s="39"/>
      <c r="I413" s="12">
        <f t="shared" si="7"/>
        <v>10412</v>
      </c>
    </row>
    <row r="414" spans="1:9">
      <c r="A414" s="2">
        <v>210413</v>
      </c>
      <c r="B414" s="67" t="s">
        <v>1102</v>
      </c>
      <c r="C414" s="67" t="s">
        <v>1103</v>
      </c>
      <c r="D414" s="67" t="s">
        <v>1104</v>
      </c>
      <c r="E414" s="66">
        <v>38237</v>
      </c>
      <c r="F414" s="32">
        <v>48</v>
      </c>
      <c r="G414" s="39" t="s">
        <v>69</v>
      </c>
      <c r="H414" s="39"/>
      <c r="I414" s="12">
        <f t="shared" si="7"/>
        <v>210413</v>
      </c>
    </row>
    <row r="415" spans="1:9">
      <c r="A415" s="2">
        <v>210414</v>
      </c>
      <c r="B415" s="67" t="s">
        <v>1105</v>
      </c>
      <c r="C415" s="67" t="s">
        <v>691</v>
      </c>
      <c r="D415" s="67" t="s">
        <v>1106</v>
      </c>
      <c r="E415" s="66">
        <v>37554</v>
      </c>
      <c r="F415" s="32">
        <v>48</v>
      </c>
      <c r="G415" s="39" t="s">
        <v>69</v>
      </c>
      <c r="H415" s="39"/>
      <c r="I415" s="12">
        <f t="shared" si="7"/>
        <v>210414</v>
      </c>
    </row>
    <row r="416" spans="1:9">
      <c r="A416" s="2">
        <v>210415</v>
      </c>
      <c r="B416" s="67" t="s">
        <v>1107</v>
      </c>
      <c r="C416" s="67" t="s">
        <v>1108</v>
      </c>
      <c r="D416" s="67" t="s">
        <v>1109</v>
      </c>
      <c r="E416" s="66">
        <v>38598</v>
      </c>
      <c r="F416" s="32">
        <v>48</v>
      </c>
      <c r="G416" s="39" t="s">
        <v>69</v>
      </c>
      <c r="H416" s="39"/>
      <c r="I416" s="12">
        <f t="shared" si="7"/>
        <v>210415</v>
      </c>
    </row>
    <row r="417" spans="1:9">
      <c r="A417" s="2">
        <v>210416</v>
      </c>
      <c r="B417" s="67" t="s">
        <v>1110</v>
      </c>
      <c r="C417" s="67" t="s">
        <v>691</v>
      </c>
      <c r="D417" s="67" t="s">
        <v>1111</v>
      </c>
      <c r="E417" s="66">
        <v>38324</v>
      </c>
      <c r="F417" s="32">
        <v>48</v>
      </c>
      <c r="G417" s="39" t="s">
        <v>69</v>
      </c>
      <c r="H417" s="39"/>
      <c r="I417" s="12">
        <f t="shared" si="7"/>
        <v>210416</v>
      </c>
    </row>
    <row r="418" spans="1:9">
      <c r="A418" s="2">
        <v>10417</v>
      </c>
      <c r="B418" s="67" t="s">
        <v>1112</v>
      </c>
      <c r="C418" s="67" t="s">
        <v>86</v>
      </c>
      <c r="D418" s="67" t="s">
        <v>1113</v>
      </c>
      <c r="E418" s="66">
        <v>37880</v>
      </c>
      <c r="F418" s="32">
        <v>48</v>
      </c>
      <c r="G418" s="39" t="s">
        <v>69</v>
      </c>
      <c r="H418" s="39"/>
      <c r="I418" s="12">
        <f t="shared" si="7"/>
        <v>10417</v>
      </c>
    </row>
    <row r="419" spans="1:9">
      <c r="A419" s="2">
        <v>10418</v>
      </c>
      <c r="B419" s="67" t="s">
        <v>1114</v>
      </c>
      <c r="C419" s="67" t="s">
        <v>117</v>
      </c>
      <c r="D419" s="67" t="s">
        <v>1115</v>
      </c>
      <c r="E419" s="66">
        <v>34861</v>
      </c>
      <c r="F419" s="32">
        <v>76</v>
      </c>
      <c r="G419" s="39" t="s">
        <v>69</v>
      </c>
      <c r="H419" s="39"/>
      <c r="I419" s="12">
        <f t="shared" si="7"/>
        <v>10418</v>
      </c>
    </row>
    <row r="420" spans="1:9">
      <c r="A420" s="2">
        <v>210419</v>
      </c>
      <c r="B420" s="67" t="s">
        <v>1116</v>
      </c>
      <c r="C420" s="67" t="s">
        <v>521</v>
      </c>
      <c r="D420" s="67" t="s">
        <v>1117</v>
      </c>
      <c r="E420" s="66">
        <v>38538</v>
      </c>
      <c r="F420" s="32">
        <v>76</v>
      </c>
      <c r="G420" s="39" t="s">
        <v>69</v>
      </c>
      <c r="H420" s="39"/>
      <c r="I420" s="12">
        <f t="shared" si="7"/>
        <v>210419</v>
      </c>
    </row>
    <row r="421" spans="1:9">
      <c r="A421" s="2">
        <v>210420</v>
      </c>
      <c r="B421" s="67" t="s">
        <v>1118</v>
      </c>
      <c r="C421" s="67" t="s">
        <v>67</v>
      </c>
      <c r="D421" s="67" t="s">
        <v>1119</v>
      </c>
      <c r="E421" s="66">
        <v>37909</v>
      </c>
      <c r="F421" s="32">
        <v>48</v>
      </c>
      <c r="G421" s="39" t="s">
        <v>69</v>
      </c>
      <c r="H421" s="39"/>
      <c r="I421" s="12">
        <f t="shared" si="7"/>
        <v>210420</v>
      </c>
    </row>
    <row r="422" spans="1:9">
      <c r="A422" s="2">
        <v>210421</v>
      </c>
      <c r="B422" s="67" t="s">
        <v>1120</v>
      </c>
      <c r="C422" s="67" t="s">
        <v>170</v>
      </c>
      <c r="D422" s="67" t="s">
        <v>1121</v>
      </c>
      <c r="E422" s="66">
        <v>36709</v>
      </c>
      <c r="F422" s="32">
        <v>48</v>
      </c>
      <c r="G422" s="39" t="s">
        <v>69</v>
      </c>
      <c r="H422" s="39"/>
      <c r="I422" s="12">
        <f t="shared" si="7"/>
        <v>210421</v>
      </c>
    </row>
    <row r="423" spans="1:9">
      <c r="A423" s="2">
        <v>10422</v>
      </c>
      <c r="B423" s="67" t="s">
        <v>200</v>
      </c>
      <c r="C423" s="67" t="s">
        <v>106</v>
      </c>
      <c r="D423" s="67" t="s">
        <v>1122</v>
      </c>
      <c r="E423" s="66">
        <v>36335</v>
      </c>
      <c r="F423" s="32">
        <v>76</v>
      </c>
      <c r="G423" s="39" t="s">
        <v>69</v>
      </c>
      <c r="H423" s="39"/>
      <c r="I423" s="12">
        <f t="shared" si="7"/>
        <v>10422</v>
      </c>
    </row>
    <row r="424" spans="1:9">
      <c r="A424" s="2">
        <v>210423</v>
      </c>
      <c r="B424" s="67" t="s">
        <v>1123</v>
      </c>
      <c r="C424" s="67" t="s">
        <v>1124</v>
      </c>
      <c r="D424" s="67" t="s">
        <v>1125</v>
      </c>
      <c r="E424" s="66">
        <v>36905</v>
      </c>
      <c r="F424" s="32">
        <v>48</v>
      </c>
      <c r="G424" s="39" t="s">
        <v>69</v>
      </c>
      <c r="H424" s="39"/>
      <c r="I424" s="12">
        <f t="shared" si="7"/>
        <v>210423</v>
      </c>
    </row>
    <row r="425" spans="1:9">
      <c r="A425" s="2">
        <v>210424</v>
      </c>
      <c r="B425" s="67" t="s">
        <v>1126</v>
      </c>
      <c r="C425" s="67" t="s">
        <v>1127</v>
      </c>
      <c r="D425" s="67" t="s">
        <v>1128</v>
      </c>
      <c r="E425" s="66">
        <v>35958</v>
      </c>
      <c r="F425" s="32">
        <v>76</v>
      </c>
      <c r="G425" s="39" t="s">
        <v>69</v>
      </c>
      <c r="H425" s="39"/>
      <c r="I425" s="12">
        <f t="shared" si="7"/>
        <v>210424</v>
      </c>
    </row>
    <row r="426" spans="1:9">
      <c r="A426" s="2">
        <v>210425</v>
      </c>
      <c r="B426" s="67" t="s">
        <v>1129</v>
      </c>
      <c r="C426" s="67" t="s">
        <v>1130</v>
      </c>
      <c r="D426" s="67" t="s">
        <v>1131</v>
      </c>
      <c r="E426" s="66">
        <v>40080</v>
      </c>
      <c r="F426" s="32">
        <v>48</v>
      </c>
      <c r="G426" s="39" t="s">
        <v>69</v>
      </c>
      <c r="H426" s="39"/>
      <c r="I426" s="12">
        <f t="shared" si="7"/>
        <v>210425</v>
      </c>
    </row>
    <row r="427" spans="1:9">
      <c r="A427" s="2">
        <v>10426</v>
      </c>
      <c r="B427" s="67" t="s">
        <v>1132</v>
      </c>
      <c r="C427" s="67" t="s">
        <v>114</v>
      </c>
      <c r="D427" s="67" t="s">
        <v>1133</v>
      </c>
      <c r="E427" s="66">
        <v>36069</v>
      </c>
      <c r="F427" s="32">
        <v>48</v>
      </c>
      <c r="G427" s="39" t="s">
        <v>69</v>
      </c>
      <c r="H427" s="39"/>
      <c r="I427" s="12">
        <f t="shared" si="7"/>
        <v>10426</v>
      </c>
    </row>
    <row r="428" spans="1:9">
      <c r="A428" s="2">
        <v>210427</v>
      </c>
      <c r="B428" s="67" t="s">
        <v>1134</v>
      </c>
      <c r="C428" s="67" t="s">
        <v>125</v>
      </c>
      <c r="D428" s="67" t="s">
        <v>1135</v>
      </c>
      <c r="E428" s="66">
        <v>38420</v>
      </c>
      <c r="F428" s="32">
        <v>76</v>
      </c>
      <c r="G428" s="39" t="s">
        <v>69</v>
      </c>
      <c r="H428" s="39"/>
      <c r="I428" s="12">
        <f t="shared" si="7"/>
        <v>210427</v>
      </c>
    </row>
    <row r="429" spans="1:9">
      <c r="A429" s="2">
        <v>210428</v>
      </c>
      <c r="B429" s="67" t="s">
        <v>1136</v>
      </c>
      <c r="C429" s="67" t="s">
        <v>1137</v>
      </c>
      <c r="D429" s="67" t="s">
        <v>1138</v>
      </c>
      <c r="E429" s="66">
        <v>35913</v>
      </c>
      <c r="F429" s="32">
        <v>76</v>
      </c>
      <c r="G429" s="39" t="s">
        <v>69</v>
      </c>
      <c r="H429" s="39"/>
      <c r="I429" s="12">
        <f t="shared" si="7"/>
        <v>210428</v>
      </c>
    </row>
    <row r="430" spans="1:9">
      <c r="A430" s="2">
        <v>210429</v>
      </c>
      <c r="B430" s="67" t="s">
        <v>705</v>
      </c>
      <c r="C430" s="67" t="s">
        <v>1139</v>
      </c>
      <c r="D430" s="67" t="s">
        <v>1140</v>
      </c>
      <c r="E430" s="66">
        <v>37158</v>
      </c>
      <c r="F430" s="32">
        <v>76</v>
      </c>
      <c r="G430" s="39" t="s">
        <v>69</v>
      </c>
      <c r="H430" s="39"/>
      <c r="I430" s="12">
        <f t="shared" si="7"/>
        <v>210429</v>
      </c>
    </row>
    <row r="431" spans="1:9">
      <c r="A431" s="2">
        <v>210430</v>
      </c>
      <c r="B431" s="67" t="s">
        <v>1141</v>
      </c>
      <c r="C431" s="67" t="s">
        <v>1142</v>
      </c>
      <c r="D431" s="67" t="s">
        <v>1143</v>
      </c>
      <c r="E431" s="66">
        <v>38688</v>
      </c>
      <c r="F431" s="32">
        <v>48</v>
      </c>
      <c r="G431" s="39" t="s">
        <v>69</v>
      </c>
      <c r="H431" s="39"/>
      <c r="I431" s="12">
        <f t="shared" si="7"/>
        <v>210430</v>
      </c>
    </row>
    <row r="432" spans="1:9">
      <c r="A432" s="2">
        <v>210431</v>
      </c>
      <c r="B432" s="67" t="s">
        <v>1144</v>
      </c>
      <c r="C432" s="67" t="s">
        <v>1042</v>
      </c>
      <c r="D432" s="67" t="s">
        <v>1145</v>
      </c>
      <c r="E432" s="66">
        <v>36829</v>
      </c>
      <c r="F432" s="32">
        <v>48</v>
      </c>
      <c r="G432" s="39" t="s">
        <v>69</v>
      </c>
      <c r="H432" s="39"/>
      <c r="I432" s="12">
        <f t="shared" si="7"/>
        <v>210431</v>
      </c>
    </row>
    <row r="433" spans="1:9">
      <c r="A433" s="2">
        <v>210432</v>
      </c>
      <c r="B433" s="67" t="s">
        <v>1146</v>
      </c>
      <c r="C433" s="67" t="s">
        <v>1147</v>
      </c>
      <c r="D433" s="67" t="s">
        <v>1148</v>
      </c>
      <c r="E433" s="66">
        <v>38106</v>
      </c>
      <c r="F433" s="32">
        <v>48</v>
      </c>
      <c r="G433" s="39" t="s">
        <v>69</v>
      </c>
      <c r="H433" s="39"/>
      <c r="I433" s="12">
        <f t="shared" si="7"/>
        <v>210432</v>
      </c>
    </row>
    <row r="434" spans="1:9">
      <c r="A434" s="2">
        <v>210433</v>
      </c>
      <c r="B434" s="67" t="s">
        <v>113</v>
      </c>
      <c r="C434" s="67" t="s">
        <v>683</v>
      </c>
      <c r="D434" s="67" t="s">
        <v>1149</v>
      </c>
      <c r="E434" s="66">
        <v>37111</v>
      </c>
      <c r="F434" s="32">
        <v>48</v>
      </c>
      <c r="G434" s="39" t="s">
        <v>69</v>
      </c>
      <c r="H434" s="39"/>
      <c r="I434" s="12">
        <f t="shared" si="7"/>
        <v>210433</v>
      </c>
    </row>
    <row r="435" spans="1:9">
      <c r="A435" s="2">
        <v>210434</v>
      </c>
      <c r="B435" s="67" t="s">
        <v>198</v>
      </c>
      <c r="C435" s="67" t="s">
        <v>1150</v>
      </c>
      <c r="D435" s="67" t="s">
        <v>1151</v>
      </c>
      <c r="E435" s="66">
        <v>36562</v>
      </c>
      <c r="F435" s="32">
        <v>48</v>
      </c>
      <c r="G435" s="39" t="s">
        <v>69</v>
      </c>
      <c r="H435" s="39"/>
      <c r="I435" s="12">
        <f t="shared" si="7"/>
        <v>210434</v>
      </c>
    </row>
    <row r="436" spans="1:9">
      <c r="A436" s="2">
        <v>210435</v>
      </c>
      <c r="B436" s="67" t="s">
        <v>1152</v>
      </c>
      <c r="C436" s="67" t="s">
        <v>548</v>
      </c>
      <c r="D436" s="67" t="s">
        <v>1153</v>
      </c>
      <c r="E436" s="66">
        <v>39034</v>
      </c>
      <c r="F436" s="32">
        <v>48</v>
      </c>
      <c r="G436" s="39" t="s">
        <v>69</v>
      </c>
      <c r="H436" s="39"/>
      <c r="I436" s="12">
        <f t="shared" si="7"/>
        <v>210435</v>
      </c>
    </row>
    <row r="437" spans="1:9">
      <c r="A437" s="2">
        <v>210436</v>
      </c>
      <c r="B437" s="67" t="s">
        <v>538</v>
      </c>
      <c r="C437" s="67" t="s">
        <v>1154</v>
      </c>
      <c r="D437" s="67" t="s">
        <v>1155</v>
      </c>
      <c r="E437" s="66">
        <v>37872</v>
      </c>
      <c r="F437" s="32">
        <v>76</v>
      </c>
      <c r="G437" s="39" t="s">
        <v>69</v>
      </c>
      <c r="H437" s="39"/>
      <c r="I437" s="12">
        <f t="shared" si="7"/>
        <v>210436</v>
      </c>
    </row>
    <row r="438" spans="1:9">
      <c r="A438" s="2">
        <v>210437</v>
      </c>
      <c r="B438" s="67" t="s">
        <v>1156</v>
      </c>
      <c r="C438" s="67" t="s">
        <v>407</v>
      </c>
      <c r="D438" s="67" t="s">
        <v>1157</v>
      </c>
      <c r="E438" s="66">
        <v>39304</v>
      </c>
      <c r="F438" s="32">
        <v>76</v>
      </c>
      <c r="G438" s="39" t="s">
        <v>69</v>
      </c>
      <c r="H438" s="39"/>
      <c r="I438" s="12">
        <f t="shared" si="7"/>
        <v>210437</v>
      </c>
    </row>
    <row r="439" spans="1:9">
      <c r="A439" s="2">
        <v>210438</v>
      </c>
      <c r="B439" s="67" t="s">
        <v>1158</v>
      </c>
      <c r="C439" s="67" t="s">
        <v>1159</v>
      </c>
      <c r="D439" s="67" t="s">
        <v>1160</v>
      </c>
      <c r="E439" s="66">
        <v>37051</v>
      </c>
      <c r="F439" s="32">
        <v>76</v>
      </c>
      <c r="G439" s="39" t="s">
        <v>69</v>
      </c>
      <c r="H439" s="39"/>
      <c r="I439" s="12">
        <f t="shared" si="7"/>
        <v>210438</v>
      </c>
    </row>
    <row r="440" spans="1:9">
      <c r="A440" s="2">
        <v>210439</v>
      </c>
      <c r="B440" s="67" t="s">
        <v>1161</v>
      </c>
      <c r="C440" s="67" t="s">
        <v>1162</v>
      </c>
      <c r="D440" s="67" t="s">
        <v>1163</v>
      </c>
      <c r="E440" s="66">
        <v>36728</v>
      </c>
      <c r="F440" s="32">
        <v>76</v>
      </c>
      <c r="G440" s="39" t="s">
        <v>69</v>
      </c>
      <c r="H440" s="39"/>
      <c r="I440" s="12">
        <f t="shared" si="7"/>
        <v>210439</v>
      </c>
    </row>
    <row r="441" spans="1:9">
      <c r="A441" s="2">
        <v>210440</v>
      </c>
      <c r="B441" s="67" t="s">
        <v>1164</v>
      </c>
      <c r="C441" s="67" t="s">
        <v>1165</v>
      </c>
      <c r="D441" s="67" t="s">
        <v>1166</v>
      </c>
      <c r="E441" s="66">
        <v>38166</v>
      </c>
      <c r="F441" s="32">
        <v>48</v>
      </c>
      <c r="G441" s="39" t="s">
        <v>69</v>
      </c>
      <c r="H441" s="39"/>
      <c r="I441" s="12">
        <f t="shared" si="7"/>
        <v>210440</v>
      </c>
    </row>
    <row r="442" spans="1:9">
      <c r="A442" s="2">
        <v>210441</v>
      </c>
      <c r="B442" s="67" t="s">
        <v>1167</v>
      </c>
      <c r="C442" s="67" t="s">
        <v>1168</v>
      </c>
      <c r="D442" s="67" t="s">
        <v>1169</v>
      </c>
      <c r="E442" s="66">
        <v>38219</v>
      </c>
      <c r="F442" s="32">
        <v>48</v>
      </c>
      <c r="G442" s="39" t="s">
        <v>69</v>
      </c>
      <c r="H442" s="39"/>
      <c r="I442" s="12">
        <f t="shared" si="7"/>
        <v>210441</v>
      </c>
    </row>
    <row r="443" spans="1:9">
      <c r="A443" s="2">
        <v>10442</v>
      </c>
      <c r="B443" s="67" t="s">
        <v>1170</v>
      </c>
      <c r="C443" s="67" t="s">
        <v>1171</v>
      </c>
      <c r="D443" s="67" t="s">
        <v>1172</v>
      </c>
      <c r="E443" s="66">
        <v>36842</v>
      </c>
      <c r="F443" s="32">
        <v>48</v>
      </c>
      <c r="G443" s="39" t="s">
        <v>69</v>
      </c>
      <c r="H443" s="39"/>
      <c r="I443" s="12">
        <f t="shared" si="7"/>
        <v>10442</v>
      </c>
    </row>
    <row r="444" spans="1:9">
      <c r="A444" s="2">
        <v>210443</v>
      </c>
      <c r="B444" s="67" t="s">
        <v>1173</v>
      </c>
      <c r="C444" s="67" t="s">
        <v>1174</v>
      </c>
      <c r="D444" s="67" t="s">
        <v>1175</v>
      </c>
      <c r="E444" s="66">
        <v>38327</v>
      </c>
      <c r="F444" s="32">
        <v>48</v>
      </c>
      <c r="G444" s="39" t="s">
        <v>69</v>
      </c>
      <c r="H444" s="39"/>
      <c r="I444" s="12">
        <f t="shared" si="7"/>
        <v>210443</v>
      </c>
    </row>
    <row r="445" spans="1:9">
      <c r="A445" s="2">
        <v>210444</v>
      </c>
      <c r="B445" s="67" t="s">
        <v>1176</v>
      </c>
      <c r="C445" s="67" t="s">
        <v>442</v>
      </c>
      <c r="D445" s="67" t="s">
        <v>1177</v>
      </c>
      <c r="E445" s="66">
        <v>36614</v>
      </c>
      <c r="F445" s="32">
        <v>76</v>
      </c>
      <c r="G445" s="39" t="s">
        <v>69</v>
      </c>
      <c r="H445" s="39"/>
      <c r="I445" s="12">
        <f t="shared" si="7"/>
        <v>210444</v>
      </c>
    </row>
    <row r="446" spans="1:9">
      <c r="A446" s="2">
        <v>210445</v>
      </c>
      <c r="B446" s="67" t="s">
        <v>1178</v>
      </c>
      <c r="C446" s="67" t="s">
        <v>137</v>
      </c>
      <c r="D446" s="67" t="s">
        <v>1179</v>
      </c>
      <c r="E446" s="66">
        <v>36717</v>
      </c>
      <c r="F446" s="32">
        <v>76</v>
      </c>
      <c r="G446" s="39" t="s">
        <v>69</v>
      </c>
      <c r="H446" s="39"/>
      <c r="I446" s="12">
        <f t="shared" si="7"/>
        <v>210445</v>
      </c>
    </row>
    <row r="447" spans="1:9">
      <c r="A447" s="2">
        <v>210446</v>
      </c>
      <c r="B447" s="67" t="s">
        <v>891</v>
      </c>
      <c r="C447" s="67" t="s">
        <v>1180</v>
      </c>
      <c r="D447" s="67" t="s">
        <v>1181</v>
      </c>
      <c r="E447" s="66">
        <v>40016</v>
      </c>
      <c r="F447" s="32">
        <v>76</v>
      </c>
      <c r="G447" s="39" t="s">
        <v>69</v>
      </c>
      <c r="H447" s="39"/>
      <c r="I447" s="12">
        <f t="shared" si="7"/>
        <v>210446</v>
      </c>
    </row>
    <row r="448" spans="1:9">
      <c r="A448" s="2">
        <v>210447</v>
      </c>
      <c r="B448" s="67" t="s">
        <v>1182</v>
      </c>
      <c r="C448" s="67" t="s">
        <v>1183</v>
      </c>
      <c r="D448" s="67" t="s">
        <v>1184</v>
      </c>
      <c r="E448" s="66">
        <v>33155</v>
      </c>
      <c r="F448" s="32">
        <v>48</v>
      </c>
      <c r="G448" s="39" t="s">
        <v>69</v>
      </c>
      <c r="H448" s="39"/>
      <c r="I448" s="12">
        <f t="shared" si="7"/>
        <v>210447</v>
      </c>
    </row>
    <row r="449" spans="1:9">
      <c r="A449" s="2">
        <v>10448</v>
      </c>
      <c r="B449" s="67" t="s">
        <v>1185</v>
      </c>
      <c r="C449" s="67" t="s">
        <v>1186</v>
      </c>
      <c r="D449" s="67" t="s">
        <v>1187</v>
      </c>
      <c r="E449" s="66">
        <v>36710</v>
      </c>
      <c r="F449" s="32">
        <v>48</v>
      </c>
      <c r="G449" s="39" t="s">
        <v>69</v>
      </c>
      <c r="H449" s="39"/>
      <c r="I449" s="12">
        <f t="shared" si="7"/>
        <v>10448</v>
      </c>
    </row>
    <row r="450" spans="1:9">
      <c r="A450" s="2">
        <v>210449</v>
      </c>
      <c r="B450" s="67" t="s">
        <v>1144</v>
      </c>
      <c r="C450" s="67" t="s">
        <v>125</v>
      </c>
      <c r="D450" s="67" t="s">
        <v>1188</v>
      </c>
      <c r="E450" s="66">
        <v>39218</v>
      </c>
      <c r="F450" s="32">
        <v>76</v>
      </c>
      <c r="G450" s="39" t="s">
        <v>69</v>
      </c>
      <c r="H450" s="39"/>
      <c r="I450" s="12">
        <f t="shared" ref="I450:I513" si="8">A450</f>
        <v>210449</v>
      </c>
    </row>
    <row r="451" spans="1:9">
      <c r="A451" s="2">
        <v>10450</v>
      </c>
      <c r="B451" s="67" t="s">
        <v>1189</v>
      </c>
      <c r="C451" s="67" t="s">
        <v>1097</v>
      </c>
      <c r="D451" s="67" t="s">
        <v>1190</v>
      </c>
      <c r="E451" s="66">
        <v>32436</v>
      </c>
      <c r="F451" s="32">
        <v>76</v>
      </c>
      <c r="G451" s="39" t="s">
        <v>69</v>
      </c>
      <c r="H451" s="39" t="s">
        <v>53</v>
      </c>
      <c r="I451" s="12">
        <f t="shared" si="8"/>
        <v>10450</v>
      </c>
    </row>
    <row r="452" spans="1:9">
      <c r="A452" s="2">
        <v>10451</v>
      </c>
      <c r="B452" s="67" t="s">
        <v>1191</v>
      </c>
      <c r="C452" s="67" t="s">
        <v>1192</v>
      </c>
      <c r="D452" s="67" t="s">
        <v>1193</v>
      </c>
      <c r="E452" s="66">
        <v>37724</v>
      </c>
      <c r="F452" s="32">
        <v>48</v>
      </c>
      <c r="G452" s="39" t="s">
        <v>69</v>
      </c>
      <c r="H452" s="39"/>
      <c r="I452" s="12">
        <f t="shared" si="8"/>
        <v>10451</v>
      </c>
    </row>
    <row r="453" spans="1:9">
      <c r="A453" s="2">
        <v>210452</v>
      </c>
      <c r="B453" s="67" t="s">
        <v>1194</v>
      </c>
      <c r="C453" s="67" t="s">
        <v>1195</v>
      </c>
      <c r="D453" s="67" t="s">
        <v>1196</v>
      </c>
      <c r="E453" s="66">
        <v>37900</v>
      </c>
      <c r="F453" s="32">
        <v>48</v>
      </c>
      <c r="G453" s="39" t="s">
        <v>69</v>
      </c>
      <c r="H453" s="39"/>
      <c r="I453" s="12">
        <f t="shared" si="8"/>
        <v>210452</v>
      </c>
    </row>
    <row r="454" spans="1:9">
      <c r="A454" s="2">
        <v>210453</v>
      </c>
      <c r="B454" s="67" t="s">
        <v>1197</v>
      </c>
      <c r="C454" s="67" t="s">
        <v>170</v>
      </c>
      <c r="D454" s="67" t="s">
        <v>1198</v>
      </c>
      <c r="E454" s="66">
        <v>37321</v>
      </c>
      <c r="F454" s="32">
        <v>48</v>
      </c>
      <c r="G454" s="39" t="s">
        <v>69</v>
      </c>
      <c r="H454" s="39"/>
      <c r="I454" s="12">
        <f t="shared" si="8"/>
        <v>210453</v>
      </c>
    </row>
    <row r="455" spans="1:9">
      <c r="A455" s="2">
        <v>210454</v>
      </c>
      <c r="B455" s="67" t="s">
        <v>1199</v>
      </c>
      <c r="C455" s="67" t="s">
        <v>1200</v>
      </c>
      <c r="D455" s="67" t="s">
        <v>1201</v>
      </c>
      <c r="E455" s="66">
        <v>39141</v>
      </c>
      <c r="F455" s="32">
        <v>76</v>
      </c>
      <c r="G455" s="39" t="s">
        <v>69</v>
      </c>
      <c r="H455" s="39"/>
      <c r="I455" s="12">
        <f t="shared" si="8"/>
        <v>210454</v>
      </c>
    </row>
    <row r="456" spans="1:9">
      <c r="A456" s="2">
        <v>210455</v>
      </c>
      <c r="B456" s="67" t="s">
        <v>1202</v>
      </c>
      <c r="C456" s="67" t="s">
        <v>1100</v>
      </c>
      <c r="D456" s="67" t="s">
        <v>1203</v>
      </c>
      <c r="E456" s="66">
        <v>37551</v>
      </c>
      <c r="F456" s="32">
        <v>48</v>
      </c>
      <c r="G456" s="39" t="s">
        <v>69</v>
      </c>
      <c r="H456" s="39"/>
      <c r="I456" s="12">
        <f t="shared" si="8"/>
        <v>210455</v>
      </c>
    </row>
    <row r="457" spans="1:9">
      <c r="A457" s="2">
        <v>210456</v>
      </c>
      <c r="B457" s="67" t="s">
        <v>1204</v>
      </c>
      <c r="C457" s="67" t="s">
        <v>1205</v>
      </c>
      <c r="D457" s="67" t="s">
        <v>1206</v>
      </c>
      <c r="E457" s="66">
        <v>35089</v>
      </c>
      <c r="F457" s="32">
        <v>48</v>
      </c>
      <c r="G457" s="39" t="s">
        <v>69</v>
      </c>
      <c r="H457" s="39"/>
      <c r="I457" s="12">
        <f t="shared" si="8"/>
        <v>210456</v>
      </c>
    </row>
    <row r="458" spans="1:9">
      <c r="A458" s="2">
        <v>210457</v>
      </c>
      <c r="B458" s="67" t="s">
        <v>1207</v>
      </c>
      <c r="C458" s="67" t="s">
        <v>1208</v>
      </c>
      <c r="D458" s="67" t="s">
        <v>1209</v>
      </c>
      <c r="E458" s="66">
        <v>37584</v>
      </c>
      <c r="F458" s="32">
        <v>48</v>
      </c>
      <c r="G458" s="39" t="s">
        <v>69</v>
      </c>
      <c r="H458" s="39"/>
      <c r="I458" s="12">
        <f t="shared" si="8"/>
        <v>210457</v>
      </c>
    </row>
    <row r="459" spans="1:9">
      <c r="A459" s="2">
        <v>210458</v>
      </c>
      <c r="B459" s="67" t="s">
        <v>1210</v>
      </c>
      <c r="C459" s="67" t="s">
        <v>1211</v>
      </c>
      <c r="D459" s="67" t="s">
        <v>1212</v>
      </c>
      <c r="E459" s="66">
        <v>38493</v>
      </c>
      <c r="F459" s="32">
        <v>76</v>
      </c>
      <c r="G459" s="39" t="s">
        <v>69</v>
      </c>
      <c r="H459" s="39"/>
      <c r="I459" s="12">
        <f t="shared" si="8"/>
        <v>210458</v>
      </c>
    </row>
    <row r="460" spans="1:9">
      <c r="A460" s="2">
        <v>10459</v>
      </c>
      <c r="B460" s="67" t="s">
        <v>1213</v>
      </c>
      <c r="C460" s="67" t="s">
        <v>407</v>
      </c>
      <c r="D460" s="67" t="s">
        <v>1214</v>
      </c>
      <c r="E460" s="78">
        <v>37988</v>
      </c>
      <c r="F460" s="32">
        <v>48</v>
      </c>
      <c r="G460" s="39" t="s">
        <v>69</v>
      </c>
      <c r="H460" s="39"/>
      <c r="I460" s="12">
        <f t="shared" si="8"/>
        <v>10459</v>
      </c>
    </row>
    <row r="461" spans="1:9">
      <c r="A461" s="2">
        <v>10460</v>
      </c>
      <c r="B461" s="67" t="s">
        <v>1215</v>
      </c>
      <c r="C461" s="67" t="s">
        <v>1216</v>
      </c>
      <c r="D461" s="67" t="s">
        <v>1217</v>
      </c>
      <c r="E461" s="78">
        <v>38468</v>
      </c>
      <c r="F461" s="32">
        <v>48</v>
      </c>
      <c r="G461" s="39" t="s">
        <v>69</v>
      </c>
      <c r="H461" s="39"/>
      <c r="I461" s="12">
        <f t="shared" si="8"/>
        <v>10460</v>
      </c>
    </row>
    <row r="462" spans="1:9">
      <c r="A462" s="2">
        <v>10461</v>
      </c>
      <c r="B462" s="67" t="s">
        <v>1218</v>
      </c>
      <c r="C462" s="67" t="s">
        <v>176</v>
      </c>
      <c r="D462" s="67" t="s">
        <v>1219</v>
      </c>
      <c r="E462" s="78">
        <v>35698</v>
      </c>
      <c r="F462" s="32">
        <v>76</v>
      </c>
      <c r="G462" s="39" t="s">
        <v>132</v>
      </c>
      <c r="H462" s="39"/>
      <c r="I462" s="12">
        <f t="shared" si="8"/>
        <v>10461</v>
      </c>
    </row>
    <row r="463" spans="1:9">
      <c r="A463" s="2">
        <v>210462</v>
      </c>
      <c r="B463" s="67" t="s">
        <v>1220</v>
      </c>
      <c r="C463" s="67" t="s">
        <v>1221</v>
      </c>
      <c r="D463" s="67" t="s">
        <v>1222</v>
      </c>
      <c r="E463" s="78">
        <v>38898</v>
      </c>
      <c r="F463" s="32">
        <v>76</v>
      </c>
      <c r="G463" s="39" t="s">
        <v>132</v>
      </c>
      <c r="H463" s="39"/>
      <c r="I463" s="12">
        <f t="shared" si="8"/>
        <v>210462</v>
      </c>
    </row>
    <row r="464" spans="1:9">
      <c r="A464" s="2">
        <v>10463</v>
      </c>
      <c r="B464" s="67" t="s">
        <v>1223</v>
      </c>
      <c r="C464" s="67" t="s">
        <v>305</v>
      </c>
      <c r="D464" s="67" t="s">
        <v>1224</v>
      </c>
      <c r="E464" s="78">
        <v>35883</v>
      </c>
      <c r="F464" s="32">
        <v>76</v>
      </c>
      <c r="G464" s="39" t="s">
        <v>132</v>
      </c>
      <c r="H464" s="39"/>
      <c r="I464" s="12">
        <f t="shared" si="8"/>
        <v>10463</v>
      </c>
    </row>
    <row r="465" spans="1:9">
      <c r="A465" s="2">
        <v>10464</v>
      </c>
      <c r="B465" s="67" t="s">
        <v>1225</v>
      </c>
      <c r="C465" s="67" t="s">
        <v>1226</v>
      </c>
      <c r="D465" s="67" t="s">
        <v>1227</v>
      </c>
      <c r="E465" s="78">
        <v>38060</v>
      </c>
      <c r="F465" s="32">
        <v>76</v>
      </c>
      <c r="G465" s="39" t="s">
        <v>132</v>
      </c>
      <c r="H465" s="39"/>
      <c r="I465" s="12">
        <f t="shared" si="8"/>
        <v>10464</v>
      </c>
    </row>
    <row r="466" spans="1:9">
      <c r="A466" s="2">
        <v>210465</v>
      </c>
      <c r="B466" s="67" t="s">
        <v>1228</v>
      </c>
      <c r="C466" s="67" t="s">
        <v>1229</v>
      </c>
      <c r="D466" s="67" t="s">
        <v>1230</v>
      </c>
      <c r="E466" s="78">
        <v>36817</v>
      </c>
      <c r="F466" s="32">
        <v>76</v>
      </c>
      <c r="G466" s="39" t="s">
        <v>132</v>
      </c>
      <c r="H466" s="39"/>
      <c r="I466" s="12">
        <f t="shared" si="8"/>
        <v>210465</v>
      </c>
    </row>
    <row r="467" spans="1:9">
      <c r="A467" s="2">
        <v>210466</v>
      </c>
      <c r="B467" s="67" t="s">
        <v>1231</v>
      </c>
      <c r="C467" s="67" t="s">
        <v>1232</v>
      </c>
      <c r="D467" s="67" t="s">
        <v>1233</v>
      </c>
      <c r="E467" s="78">
        <v>40098</v>
      </c>
      <c r="F467" s="32">
        <v>76</v>
      </c>
      <c r="G467" s="39" t="s">
        <v>132</v>
      </c>
      <c r="H467" s="39"/>
      <c r="I467" s="12">
        <f t="shared" si="8"/>
        <v>210466</v>
      </c>
    </row>
    <row r="468" spans="1:9">
      <c r="A468" s="2">
        <v>210467</v>
      </c>
      <c r="B468" s="67" t="s">
        <v>1234</v>
      </c>
      <c r="C468" s="67" t="s">
        <v>1235</v>
      </c>
      <c r="D468" s="67" t="s">
        <v>1236</v>
      </c>
      <c r="E468" s="78">
        <v>38574</v>
      </c>
      <c r="F468" s="32">
        <v>76</v>
      </c>
      <c r="G468" s="39" t="s">
        <v>132</v>
      </c>
      <c r="H468" s="39"/>
      <c r="I468" s="12">
        <f t="shared" si="8"/>
        <v>210467</v>
      </c>
    </row>
    <row r="469" spans="1:9">
      <c r="A469" s="2">
        <v>210468</v>
      </c>
      <c r="B469" s="67" t="s">
        <v>1237</v>
      </c>
      <c r="C469" s="67" t="s">
        <v>1238</v>
      </c>
      <c r="D469" s="67" t="s">
        <v>1239</v>
      </c>
      <c r="E469" s="78">
        <v>40006</v>
      </c>
      <c r="F469" s="32">
        <v>76</v>
      </c>
      <c r="G469" s="39" t="s">
        <v>132</v>
      </c>
      <c r="H469" s="39"/>
      <c r="I469" s="12">
        <f t="shared" si="8"/>
        <v>210468</v>
      </c>
    </row>
    <row r="470" spans="1:9">
      <c r="A470" s="2">
        <v>210469</v>
      </c>
      <c r="B470" s="67" t="s">
        <v>1240</v>
      </c>
      <c r="C470" s="67" t="s">
        <v>1241</v>
      </c>
      <c r="D470" s="67" t="s">
        <v>1242</v>
      </c>
      <c r="E470" s="78">
        <v>33705</v>
      </c>
      <c r="F470" s="32">
        <v>76</v>
      </c>
      <c r="G470" s="39" t="s">
        <v>132</v>
      </c>
      <c r="H470" s="39"/>
      <c r="I470" s="12">
        <f t="shared" si="8"/>
        <v>210469</v>
      </c>
    </row>
    <row r="471" spans="1:9">
      <c r="A471" s="2">
        <v>210470</v>
      </c>
      <c r="B471" s="67" t="s">
        <v>1243</v>
      </c>
      <c r="C471" s="67" t="s">
        <v>1244</v>
      </c>
      <c r="D471" s="67" t="s">
        <v>1245</v>
      </c>
      <c r="E471" s="78">
        <v>38757</v>
      </c>
      <c r="F471" s="32">
        <v>76</v>
      </c>
      <c r="G471" s="39" t="s">
        <v>132</v>
      </c>
      <c r="H471" s="39"/>
      <c r="I471" s="12">
        <f t="shared" si="8"/>
        <v>210470</v>
      </c>
    </row>
    <row r="472" spans="1:9">
      <c r="A472" s="2">
        <v>210471</v>
      </c>
      <c r="B472" s="67" t="s">
        <v>1246</v>
      </c>
      <c r="C472" s="67" t="s">
        <v>1247</v>
      </c>
      <c r="D472" s="67" t="s">
        <v>1248</v>
      </c>
      <c r="E472" s="78">
        <v>36195</v>
      </c>
      <c r="F472" s="32">
        <v>76</v>
      </c>
      <c r="G472" s="39" t="s">
        <v>132</v>
      </c>
      <c r="H472" s="39"/>
      <c r="I472" s="12">
        <f t="shared" si="8"/>
        <v>210471</v>
      </c>
    </row>
    <row r="473" spans="1:9">
      <c r="A473" s="2">
        <v>10472</v>
      </c>
      <c r="B473" s="67" t="s">
        <v>1249</v>
      </c>
      <c r="C473" s="67" t="s">
        <v>1250</v>
      </c>
      <c r="D473" s="67" t="s">
        <v>1251</v>
      </c>
      <c r="E473" s="78">
        <v>36258</v>
      </c>
      <c r="F473" s="32">
        <v>76</v>
      </c>
      <c r="G473" s="39" t="s">
        <v>132</v>
      </c>
      <c r="H473" s="39"/>
      <c r="I473" s="12">
        <f t="shared" si="8"/>
        <v>10472</v>
      </c>
    </row>
    <row r="474" spans="1:9">
      <c r="A474" s="2">
        <v>210473</v>
      </c>
      <c r="B474" s="67" t="s">
        <v>1252</v>
      </c>
      <c r="C474" s="67" t="s">
        <v>1253</v>
      </c>
      <c r="D474" s="67" t="s">
        <v>1254</v>
      </c>
      <c r="E474" s="78">
        <v>38966</v>
      </c>
      <c r="F474" s="32">
        <v>76</v>
      </c>
      <c r="G474" s="39" t="s">
        <v>132</v>
      </c>
      <c r="H474" s="39"/>
      <c r="I474" s="12">
        <f t="shared" si="8"/>
        <v>210473</v>
      </c>
    </row>
    <row r="475" spans="1:9">
      <c r="A475" s="2">
        <v>210474</v>
      </c>
      <c r="B475" s="67" t="s">
        <v>1255</v>
      </c>
      <c r="C475" s="67" t="s">
        <v>1256</v>
      </c>
      <c r="D475" s="2" t="s">
        <v>1257</v>
      </c>
      <c r="E475" s="78">
        <v>36987</v>
      </c>
      <c r="F475" s="32">
        <v>48</v>
      </c>
      <c r="G475" s="39" t="s">
        <v>132</v>
      </c>
      <c r="H475" s="39"/>
      <c r="I475" s="12">
        <f t="shared" si="8"/>
        <v>210474</v>
      </c>
    </row>
    <row r="476" spans="1:9">
      <c r="A476" s="2">
        <v>10475</v>
      </c>
      <c r="B476" s="67" t="s">
        <v>1258</v>
      </c>
      <c r="C476" s="67" t="s">
        <v>1259</v>
      </c>
      <c r="D476" s="67" t="s">
        <v>1260</v>
      </c>
      <c r="E476" s="78">
        <v>35648</v>
      </c>
      <c r="F476" s="32">
        <v>76</v>
      </c>
      <c r="G476" s="39" t="s">
        <v>132</v>
      </c>
      <c r="H476" s="39"/>
      <c r="I476" s="12">
        <f t="shared" si="8"/>
        <v>10475</v>
      </c>
    </row>
    <row r="477" spans="1:9">
      <c r="A477" s="2">
        <v>210476</v>
      </c>
      <c r="B477" s="67" t="s">
        <v>1261</v>
      </c>
      <c r="C477" s="67" t="s">
        <v>1262</v>
      </c>
      <c r="D477" s="67" t="s">
        <v>1263</v>
      </c>
      <c r="E477" s="78">
        <v>36220</v>
      </c>
      <c r="F477" s="32">
        <v>76</v>
      </c>
      <c r="G477" s="39" t="s">
        <v>132</v>
      </c>
      <c r="H477" s="39"/>
      <c r="I477" s="12">
        <f t="shared" si="8"/>
        <v>210476</v>
      </c>
    </row>
    <row r="478" spans="1:9">
      <c r="A478" s="2">
        <v>210477</v>
      </c>
      <c r="B478" s="67" t="s">
        <v>639</v>
      </c>
      <c r="C478" s="67" t="s">
        <v>1264</v>
      </c>
      <c r="D478" s="67" t="s">
        <v>1265</v>
      </c>
      <c r="E478" s="78">
        <v>37437</v>
      </c>
      <c r="F478" s="32">
        <v>76</v>
      </c>
      <c r="G478" s="39" t="s">
        <v>69</v>
      </c>
      <c r="H478" s="39"/>
      <c r="I478" s="12">
        <f t="shared" si="8"/>
        <v>210477</v>
      </c>
    </row>
    <row r="479" spans="1:9">
      <c r="A479" s="2">
        <v>210478</v>
      </c>
      <c r="B479" s="67" t="s">
        <v>1266</v>
      </c>
      <c r="C479" s="67" t="s">
        <v>114</v>
      </c>
      <c r="D479" s="67" t="s">
        <v>1267</v>
      </c>
      <c r="E479" s="78">
        <v>33851</v>
      </c>
      <c r="F479" s="32">
        <v>48</v>
      </c>
      <c r="G479" s="39" t="s">
        <v>69</v>
      </c>
      <c r="H479" s="39"/>
      <c r="I479" s="12">
        <f t="shared" si="8"/>
        <v>210478</v>
      </c>
    </row>
    <row r="480" spans="1:9">
      <c r="A480" s="2">
        <v>210479</v>
      </c>
      <c r="B480" s="67" t="s">
        <v>1268</v>
      </c>
      <c r="C480" s="67" t="s">
        <v>1269</v>
      </c>
      <c r="D480" s="67" t="s">
        <v>1270</v>
      </c>
      <c r="E480" s="78">
        <v>36682</v>
      </c>
      <c r="F480" s="32">
        <v>76</v>
      </c>
      <c r="G480" s="39" t="s">
        <v>69</v>
      </c>
      <c r="H480" s="39"/>
      <c r="I480" s="12">
        <f t="shared" si="8"/>
        <v>210479</v>
      </c>
    </row>
    <row r="481" spans="1:9">
      <c r="A481" s="2">
        <v>210480</v>
      </c>
      <c r="B481" s="67" t="s">
        <v>1271</v>
      </c>
      <c r="C481" s="67" t="s">
        <v>164</v>
      </c>
      <c r="D481" s="67" t="s">
        <v>1272</v>
      </c>
      <c r="E481" s="78">
        <v>38463</v>
      </c>
      <c r="F481" s="32">
        <v>48</v>
      </c>
      <c r="G481" s="39" t="s">
        <v>69</v>
      </c>
      <c r="H481" s="39"/>
      <c r="I481" s="12">
        <f t="shared" si="8"/>
        <v>210480</v>
      </c>
    </row>
    <row r="482" spans="1:9">
      <c r="A482" s="2">
        <v>210481</v>
      </c>
      <c r="B482" s="67" t="s">
        <v>1273</v>
      </c>
      <c r="C482" s="67" t="s">
        <v>1274</v>
      </c>
      <c r="D482" s="67" t="s">
        <v>1275</v>
      </c>
      <c r="E482" s="78">
        <v>37800</v>
      </c>
      <c r="F482" s="32">
        <v>76</v>
      </c>
      <c r="G482" s="39" t="s">
        <v>69</v>
      </c>
      <c r="H482" s="39"/>
      <c r="I482" s="12">
        <f t="shared" si="8"/>
        <v>210481</v>
      </c>
    </row>
    <row r="483" spans="1:9">
      <c r="A483" s="2">
        <v>210482</v>
      </c>
      <c r="B483" s="67" t="s">
        <v>1276</v>
      </c>
      <c r="C483" s="67" t="s">
        <v>1277</v>
      </c>
      <c r="D483" s="67" t="s">
        <v>1278</v>
      </c>
      <c r="E483" s="78">
        <v>37699</v>
      </c>
      <c r="F483" s="32">
        <v>48</v>
      </c>
      <c r="G483" s="39" t="s">
        <v>69</v>
      </c>
      <c r="H483" s="39"/>
      <c r="I483" s="12">
        <f t="shared" si="8"/>
        <v>210482</v>
      </c>
    </row>
    <row r="484" spans="1:9">
      <c r="A484" s="2">
        <v>210483</v>
      </c>
      <c r="B484" s="67" t="s">
        <v>1279</v>
      </c>
      <c r="C484" s="67" t="s">
        <v>1280</v>
      </c>
      <c r="D484" s="67" t="s">
        <v>1281</v>
      </c>
      <c r="E484" s="79">
        <v>37575</v>
      </c>
      <c r="F484" s="32">
        <v>76</v>
      </c>
      <c r="G484" s="39" t="s">
        <v>69</v>
      </c>
      <c r="H484" s="39"/>
      <c r="I484" s="12">
        <f t="shared" si="8"/>
        <v>210483</v>
      </c>
    </row>
    <row r="485" spans="1:9">
      <c r="A485" s="2">
        <v>210484</v>
      </c>
      <c r="B485" s="67" t="s">
        <v>1282</v>
      </c>
      <c r="C485" s="67" t="s">
        <v>305</v>
      </c>
      <c r="D485" s="67" t="s">
        <v>1283</v>
      </c>
      <c r="E485" s="78">
        <v>37519</v>
      </c>
      <c r="F485" s="32">
        <v>48</v>
      </c>
      <c r="G485" s="39" t="s">
        <v>69</v>
      </c>
      <c r="H485" s="39"/>
      <c r="I485" s="12">
        <f t="shared" si="8"/>
        <v>210484</v>
      </c>
    </row>
    <row r="486" spans="1:9">
      <c r="A486" s="2">
        <v>210485</v>
      </c>
      <c r="B486" s="67" t="s">
        <v>1284</v>
      </c>
      <c r="C486" s="67" t="s">
        <v>1285</v>
      </c>
      <c r="D486" s="67" t="s">
        <v>1286</v>
      </c>
      <c r="E486" s="78">
        <v>36140</v>
      </c>
      <c r="F486" s="32">
        <v>76</v>
      </c>
      <c r="G486" s="39" t="s">
        <v>69</v>
      </c>
      <c r="H486" s="39"/>
      <c r="I486" s="12">
        <f t="shared" si="8"/>
        <v>210485</v>
      </c>
    </row>
    <row r="487" spans="1:9">
      <c r="A487" s="2">
        <v>210486</v>
      </c>
      <c r="B487" s="67" t="s">
        <v>1287</v>
      </c>
      <c r="C487" s="67" t="s">
        <v>1288</v>
      </c>
      <c r="D487" s="67" t="s">
        <v>1289</v>
      </c>
      <c r="E487" s="78">
        <v>35622</v>
      </c>
      <c r="F487" s="32">
        <v>48</v>
      </c>
      <c r="G487" s="39" t="s">
        <v>69</v>
      </c>
      <c r="H487" s="39"/>
      <c r="I487" s="12">
        <f t="shared" si="8"/>
        <v>210486</v>
      </c>
    </row>
    <row r="488" spans="1:9">
      <c r="A488" s="2">
        <v>210487</v>
      </c>
      <c r="B488" s="67" t="s">
        <v>1290</v>
      </c>
      <c r="C488" s="67" t="s">
        <v>1291</v>
      </c>
      <c r="D488" s="67" t="s">
        <v>1292</v>
      </c>
      <c r="E488" s="78">
        <v>36284</v>
      </c>
      <c r="F488" s="32">
        <v>48</v>
      </c>
      <c r="G488" s="39" t="s">
        <v>69</v>
      </c>
      <c r="H488" s="39"/>
      <c r="I488" s="12">
        <f t="shared" si="8"/>
        <v>210487</v>
      </c>
    </row>
    <row r="489" spans="1:9">
      <c r="A489" s="2">
        <v>210488</v>
      </c>
      <c r="B489" s="67" t="s">
        <v>1293</v>
      </c>
      <c r="C489" s="67" t="s">
        <v>1294</v>
      </c>
      <c r="D489" s="67" t="s">
        <v>1295</v>
      </c>
      <c r="E489" s="78">
        <v>31783</v>
      </c>
      <c r="F489" s="32">
        <v>48</v>
      </c>
      <c r="G489" s="39" t="s">
        <v>69</v>
      </c>
      <c r="H489" s="39"/>
      <c r="I489" s="12">
        <f t="shared" si="8"/>
        <v>210488</v>
      </c>
    </row>
    <row r="490" spans="1:9">
      <c r="A490" s="2">
        <v>210489</v>
      </c>
      <c r="B490" s="67" t="s">
        <v>1296</v>
      </c>
      <c r="C490" s="67" t="s">
        <v>1297</v>
      </c>
      <c r="D490" s="67" t="s">
        <v>1298</v>
      </c>
      <c r="E490" s="78">
        <v>38332</v>
      </c>
      <c r="F490" s="32">
        <v>48</v>
      </c>
      <c r="G490" s="39" t="s">
        <v>69</v>
      </c>
      <c r="H490" s="39"/>
      <c r="I490" s="12">
        <f t="shared" si="8"/>
        <v>210489</v>
      </c>
    </row>
    <row r="491" spans="1:9">
      <c r="A491" s="2">
        <v>210490</v>
      </c>
      <c r="B491" s="67" t="s">
        <v>1299</v>
      </c>
      <c r="C491" s="67" t="s">
        <v>71</v>
      </c>
      <c r="D491" s="67" t="s">
        <v>1300</v>
      </c>
      <c r="E491" s="78">
        <v>38368</v>
      </c>
      <c r="F491" s="32">
        <v>48</v>
      </c>
      <c r="G491" s="39" t="s">
        <v>69</v>
      </c>
      <c r="H491" s="39"/>
      <c r="I491" s="12">
        <f t="shared" si="8"/>
        <v>210490</v>
      </c>
    </row>
    <row r="492" spans="1:9">
      <c r="A492" s="2">
        <v>10491</v>
      </c>
      <c r="B492" s="67" t="s">
        <v>1301</v>
      </c>
      <c r="C492" s="67" t="s">
        <v>1302</v>
      </c>
      <c r="D492" s="67" t="s">
        <v>1303</v>
      </c>
      <c r="E492" s="78">
        <v>31687</v>
      </c>
      <c r="F492" s="32">
        <v>76</v>
      </c>
      <c r="G492" s="39" t="s">
        <v>69</v>
      </c>
      <c r="H492" s="39"/>
      <c r="I492" s="12">
        <f t="shared" si="8"/>
        <v>10491</v>
      </c>
    </row>
    <row r="493" spans="1:9">
      <c r="A493" s="2">
        <v>210492</v>
      </c>
      <c r="B493" s="67" t="s">
        <v>1304</v>
      </c>
      <c r="C493" s="67" t="s">
        <v>1305</v>
      </c>
      <c r="D493" s="67" t="s">
        <v>1306</v>
      </c>
      <c r="E493" s="78">
        <v>37551</v>
      </c>
      <c r="F493" s="32">
        <v>48</v>
      </c>
      <c r="G493" s="39" t="s">
        <v>69</v>
      </c>
      <c r="H493" s="39"/>
      <c r="I493" s="12">
        <f t="shared" si="8"/>
        <v>210492</v>
      </c>
    </row>
    <row r="494" spans="1:9">
      <c r="A494" s="2">
        <v>210493</v>
      </c>
      <c r="B494" s="67" t="s">
        <v>1307</v>
      </c>
      <c r="C494" s="67" t="s">
        <v>1195</v>
      </c>
      <c r="D494" s="67" t="s">
        <v>1308</v>
      </c>
      <c r="E494" s="78">
        <v>38491</v>
      </c>
      <c r="F494" s="32">
        <v>48</v>
      </c>
      <c r="G494" s="39" t="s">
        <v>69</v>
      </c>
      <c r="I494" s="12">
        <f t="shared" si="8"/>
        <v>210493</v>
      </c>
    </row>
    <row r="495" spans="1:9">
      <c r="A495" s="2">
        <v>210494</v>
      </c>
      <c r="B495" s="67" t="s">
        <v>1309</v>
      </c>
      <c r="C495" s="67" t="s">
        <v>1310</v>
      </c>
      <c r="D495" s="67" t="s">
        <v>1311</v>
      </c>
      <c r="E495" s="78">
        <v>36786</v>
      </c>
      <c r="F495" s="32">
        <v>76</v>
      </c>
      <c r="G495" s="39" t="s">
        <v>69</v>
      </c>
      <c r="I495" s="12">
        <f t="shared" si="8"/>
        <v>210494</v>
      </c>
    </row>
    <row r="496" spans="1:9">
      <c r="A496" s="2">
        <v>10495</v>
      </c>
      <c r="B496" s="67" t="s">
        <v>1312</v>
      </c>
      <c r="C496" s="67" t="s">
        <v>114</v>
      </c>
      <c r="D496" s="67" t="s">
        <v>1313</v>
      </c>
      <c r="E496" s="78">
        <v>36753</v>
      </c>
      <c r="F496" s="32">
        <v>48</v>
      </c>
      <c r="G496" s="39" t="s">
        <v>69</v>
      </c>
      <c r="I496" s="12">
        <f t="shared" si="8"/>
        <v>10495</v>
      </c>
    </row>
    <row r="497" spans="1:9">
      <c r="A497" s="2">
        <v>210496</v>
      </c>
      <c r="B497" s="67" t="s">
        <v>1314</v>
      </c>
      <c r="C497" s="67" t="s">
        <v>801</v>
      </c>
      <c r="D497" s="67" t="s">
        <v>1315</v>
      </c>
      <c r="E497" s="78">
        <v>35044</v>
      </c>
      <c r="F497" s="32">
        <v>76</v>
      </c>
      <c r="G497" s="39" t="s">
        <v>132</v>
      </c>
      <c r="I497" s="12">
        <f t="shared" si="8"/>
        <v>210496</v>
      </c>
    </row>
    <row r="498" spans="1:9">
      <c r="A498" s="2">
        <v>210497</v>
      </c>
      <c r="B498" s="67" t="s">
        <v>1316</v>
      </c>
      <c r="C498" s="67" t="s">
        <v>1316</v>
      </c>
      <c r="D498" s="67" t="s">
        <v>1317</v>
      </c>
      <c r="E498" s="78">
        <v>34099</v>
      </c>
      <c r="F498" s="32">
        <v>48</v>
      </c>
      <c r="G498" s="39" t="s">
        <v>132</v>
      </c>
      <c r="I498" s="12">
        <f t="shared" si="8"/>
        <v>210497</v>
      </c>
    </row>
    <row r="499" spans="1:9">
      <c r="A499" s="2">
        <v>210498</v>
      </c>
      <c r="B499" s="67" t="s">
        <v>1318</v>
      </c>
      <c r="C499" s="67" t="s">
        <v>1319</v>
      </c>
      <c r="D499" s="67" t="s">
        <v>1320</v>
      </c>
      <c r="E499" s="78">
        <v>38427</v>
      </c>
      <c r="F499" s="32">
        <v>48</v>
      </c>
      <c r="G499" s="39" t="s">
        <v>132</v>
      </c>
      <c r="I499" s="12">
        <f t="shared" si="8"/>
        <v>210498</v>
      </c>
    </row>
    <row r="500" spans="1:9">
      <c r="A500" s="2">
        <v>210499</v>
      </c>
      <c r="B500" s="67" t="s">
        <v>1321</v>
      </c>
      <c r="C500" s="67" t="s">
        <v>188</v>
      </c>
      <c r="D500" s="67" t="s">
        <v>1322</v>
      </c>
      <c r="E500" s="1">
        <v>39019</v>
      </c>
      <c r="F500" s="32">
        <v>48</v>
      </c>
      <c r="G500" s="39" t="s">
        <v>132</v>
      </c>
      <c r="I500" s="12">
        <f t="shared" si="8"/>
        <v>210499</v>
      </c>
    </row>
    <row r="501" spans="1:9">
      <c r="A501" s="2">
        <v>210500</v>
      </c>
      <c r="B501" s="67" t="s">
        <v>1323</v>
      </c>
      <c r="C501" s="67" t="s">
        <v>1324</v>
      </c>
      <c r="D501" s="67" t="s">
        <v>1325</v>
      </c>
      <c r="E501" s="78">
        <v>34944</v>
      </c>
      <c r="F501" s="32">
        <v>48</v>
      </c>
      <c r="G501" s="39" t="s">
        <v>132</v>
      </c>
      <c r="I501" s="12">
        <f t="shared" si="8"/>
        <v>210500</v>
      </c>
    </row>
    <row r="502" spans="1:9">
      <c r="A502" s="2">
        <v>210501</v>
      </c>
      <c r="B502" s="67" t="s">
        <v>1326</v>
      </c>
      <c r="C502" s="67" t="s">
        <v>1327</v>
      </c>
      <c r="D502" s="67" t="s">
        <v>1328</v>
      </c>
      <c r="E502" s="78">
        <v>36871</v>
      </c>
      <c r="F502" s="32">
        <v>48</v>
      </c>
      <c r="G502" s="39" t="s">
        <v>132</v>
      </c>
      <c r="I502" s="12">
        <f t="shared" si="8"/>
        <v>210501</v>
      </c>
    </row>
    <row r="503" spans="1:9">
      <c r="A503" s="2">
        <v>210502</v>
      </c>
      <c r="B503" s="67" t="s">
        <v>1329</v>
      </c>
      <c r="C503" s="67" t="s">
        <v>1330</v>
      </c>
      <c r="D503" s="67" t="s">
        <v>1331</v>
      </c>
      <c r="E503" s="78">
        <v>37577</v>
      </c>
      <c r="F503" s="32">
        <v>48</v>
      </c>
      <c r="G503" s="39" t="s">
        <v>132</v>
      </c>
      <c r="I503" s="12">
        <f t="shared" si="8"/>
        <v>210502</v>
      </c>
    </row>
    <row r="504" spans="1:9">
      <c r="A504" s="2">
        <v>10503</v>
      </c>
      <c r="B504" s="67" t="s">
        <v>1332</v>
      </c>
      <c r="C504" s="67" t="s">
        <v>1073</v>
      </c>
      <c r="D504" s="67" t="s">
        <v>1333</v>
      </c>
      <c r="E504" s="78">
        <v>33763</v>
      </c>
      <c r="F504" s="32">
        <v>76</v>
      </c>
      <c r="G504" s="39" t="s">
        <v>556</v>
      </c>
      <c r="I504" s="12">
        <f t="shared" si="8"/>
        <v>10503</v>
      </c>
    </row>
    <row r="505" spans="1:9">
      <c r="A505" s="2">
        <v>210504</v>
      </c>
      <c r="B505" s="67" t="s">
        <v>1334</v>
      </c>
      <c r="C505" s="67" t="s">
        <v>1335</v>
      </c>
      <c r="D505" s="67" t="s">
        <v>1336</v>
      </c>
      <c r="E505" s="78">
        <v>29037</v>
      </c>
      <c r="F505" s="32">
        <v>48</v>
      </c>
      <c r="G505" s="39" t="s">
        <v>69</v>
      </c>
      <c r="I505" s="12">
        <f t="shared" si="8"/>
        <v>210504</v>
      </c>
    </row>
    <row r="506" spans="1:9">
      <c r="A506" s="2">
        <v>210505</v>
      </c>
      <c r="B506" s="67" t="s">
        <v>1337</v>
      </c>
      <c r="C506" s="67" t="s">
        <v>71</v>
      </c>
      <c r="D506" s="67" t="s">
        <v>1338</v>
      </c>
      <c r="E506" s="78">
        <v>36243</v>
      </c>
      <c r="F506" s="32">
        <v>48</v>
      </c>
      <c r="G506" s="39" t="s">
        <v>69</v>
      </c>
      <c r="H506" s="2"/>
      <c r="I506" s="12">
        <f t="shared" si="8"/>
        <v>210505</v>
      </c>
    </row>
    <row r="507" spans="1:9">
      <c r="A507" s="2">
        <v>210506</v>
      </c>
      <c r="B507" s="67" t="s">
        <v>929</v>
      </c>
      <c r="C507" s="67" t="s">
        <v>1339</v>
      </c>
      <c r="D507" s="67" t="s">
        <v>1340</v>
      </c>
      <c r="E507" s="78">
        <v>37805</v>
      </c>
      <c r="F507" s="32">
        <v>48</v>
      </c>
      <c r="G507" s="39" t="s">
        <v>556</v>
      </c>
      <c r="I507" s="12">
        <f t="shared" si="8"/>
        <v>210506</v>
      </c>
    </row>
    <row r="508" spans="1:9">
      <c r="A508" s="2">
        <v>210507</v>
      </c>
      <c r="B508" s="67" t="s">
        <v>1341</v>
      </c>
      <c r="C508" s="67" t="s">
        <v>1342</v>
      </c>
      <c r="D508" s="67" t="s">
        <v>1343</v>
      </c>
      <c r="E508" s="78">
        <v>38605</v>
      </c>
      <c r="F508" s="32">
        <v>48</v>
      </c>
      <c r="G508" s="39" t="s">
        <v>556</v>
      </c>
      <c r="I508" s="12">
        <f t="shared" si="8"/>
        <v>210507</v>
      </c>
    </row>
    <row r="509" spans="1:9">
      <c r="A509" s="2">
        <v>210508</v>
      </c>
      <c r="B509" s="67" t="s">
        <v>1344</v>
      </c>
      <c r="C509" s="67" t="s">
        <v>1345</v>
      </c>
      <c r="D509" s="67" t="s">
        <v>1346</v>
      </c>
      <c r="E509" s="78">
        <v>38176</v>
      </c>
      <c r="F509" s="32">
        <v>48</v>
      </c>
      <c r="G509" s="39" t="s">
        <v>556</v>
      </c>
      <c r="I509" s="12">
        <f t="shared" si="8"/>
        <v>210508</v>
      </c>
    </row>
    <row r="510" spans="1:9">
      <c r="A510" s="2">
        <v>210509</v>
      </c>
      <c r="B510" s="67" t="s">
        <v>1347</v>
      </c>
      <c r="C510" s="67" t="s">
        <v>1348</v>
      </c>
      <c r="D510" s="67" t="s">
        <v>1349</v>
      </c>
      <c r="E510" s="78">
        <v>38954</v>
      </c>
      <c r="F510" s="32">
        <v>48</v>
      </c>
      <c r="G510" s="39" t="s">
        <v>132</v>
      </c>
      <c r="I510" s="12">
        <f t="shared" si="8"/>
        <v>210509</v>
      </c>
    </row>
    <row r="511" spans="1:9">
      <c r="A511" s="2">
        <v>210510</v>
      </c>
      <c r="B511" s="67" t="s">
        <v>1350</v>
      </c>
      <c r="C511" s="67" t="s">
        <v>1351</v>
      </c>
      <c r="D511" s="67" t="s">
        <v>1352</v>
      </c>
      <c r="E511" s="78">
        <v>34530</v>
      </c>
      <c r="F511" s="32">
        <v>76</v>
      </c>
      <c r="G511" s="39" t="s">
        <v>132</v>
      </c>
      <c r="I511" s="12">
        <f t="shared" si="8"/>
        <v>210510</v>
      </c>
    </row>
    <row r="512" spans="1:9">
      <c r="A512" s="2">
        <v>210511</v>
      </c>
      <c r="B512" s="67" t="s">
        <v>1353</v>
      </c>
      <c r="C512" s="67" t="s">
        <v>1353</v>
      </c>
      <c r="D512" s="67" t="s">
        <v>1354</v>
      </c>
      <c r="E512" s="78">
        <v>33396</v>
      </c>
      <c r="F512" s="32">
        <v>48</v>
      </c>
      <c r="G512" s="39" t="s">
        <v>556</v>
      </c>
      <c r="I512" s="12">
        <f t="shared" si="8"/>
        <v>210511</v>
      </c>
    </row>
    <row r="513" spans="1:9">
      <c r="A513" s="2">
        <v>210512</v>
      </c>
      <c r="B513" s="67" t="s">
        <v>1355</v>
      </c>
      <c r="C513" s="67" t="s">
        <v>170</v>
      </c>
      <c r="D513" s="67" t="s">
        <v>1356</v>
      </c>
      <c r="E513" s="78">
        <v>40422</v>
      </c>
      <c r="F513" s="32">
        <v>48</v>
      </c>
      <c r="G513" s="39" t="s">
        <v>556</v>
      </c>
      <c r="I513" s="12">
        <f t="shared" si="8"/>
        <v>210512</v>
      </c>
    </row>
    <row r="514" spans="1:9">
      <c r="A514" s="2">
        <v>210513</v>
      </c>
      <c r="B514" s="67" t="s">
        <v>1357</v>
      </c>
      <c r="C514" s="67" t="s">
        <v>1358</v>
      </c>
      <c r="D514" s="67" t="s">
        <v>1359</v>
      </c>
      <c r="E514" s="78">
        <v>34210</v>
      </c>
      <c r="F514" s="32">
        <v>48</v>
      </c>
      <c r="G514" s="39" t="s">
        <v>556</v>
      </c>
      <c r="H514" s="2"/>
      <c r="I514" s="12">
        <f t="shared" ref="I514:I577" si="9">A514</f>
        <v>210513</v>
      </c>
    </row>
    <row r="515" spans="1:9">
      <c r="A515" s="2">
        <v>210514</v>
      </c>
      <c r="B515" s="67" t="s">
        <v>1360</v>
      </c>
      <c r="C515" s="67" t="s">
        <v>164</v>
      </c>
      <c r="D515" s="67" t="s">
        <v>1361</v>
      </c>
      <c r="E515" s="78">
        <v>36897</v>
      </c>
      <c r="F515" s="32">
        <v>48</v>
      </c>
      <c r="G515" s="39" t="s">
        <v>556</v>
      </c>
      <c r="I515" s="12">
        <f t="shared" si="9"/>
        <v>210514</v>
      </c>
    </row>
    <row r="516" spans="1:9">
      <c r="A516" s="2">
        <v>210515</v>
      </c>
      <c r="B516" s="67" t="s">
        <v>1362</v>
      </c>
      <c r="C516" s="67" t="s">
        <v>1363</v>
      </c>
      <c r="D516" s="67" t="s">
        <v>1364</v>
      </c>
      <c r="E516" s="78">
        <v>38607</v>
      </c>
      <c r="F516" s="32">
        <v>48</v>
      </c>
      <c r="G516" s="39" t="s">
        <v>556</v>
      </c>
      <c r="I516" s="12">
        <f t="shared" si="9"/>
        <v>210515</v>
      </c>
    </row>
    <row r="517" spans="1:9">
      <c r="A517" s="2">
        <v>210516</v>
      </c>
      <c r="B517" s="67" t="s">
        <v>1365</v>
      </c>
      <c r="C517" s="67" t="s">
        <v>1366</v>
      </c>
      <c r="D517" s="67" t="s">
        <v>1367</v>
      </c>
      <c r="E517" s="78">
        <v>37772</v>
      </c>
      <c r="F517" s="32">
        <v>48</v>
      </c>
      <c r="G517" s="39" t="s">
        <v>556</v>
      </c>
      <c r="I517" s="12">
        <f t="shared" si="9"/>
        <v>210516</v>
      </c>
    </row>
    <row r="518" spans="1:9">
      <c r="A518" s="2">
        <v>210517</v>
      </c>
      <c r="B518" s="67" t="s">
        <v>1368</v>
      </c>
      <c r="C518" s="67" t="s">
        <v>1369</v>
      </c>
      <c r="D518" s="67" t="s">
        <v>1370</v>
      </c>
      <c r="E518" s="78">
        <v>39130</v>
      </c>
      <c r="F518" s="32">
        <v>48</v>
      </c>
      <c r="G518" s="39" t="s">
        <v>556</v>
      </c>
      <c r="I518" s="12">
        <f t="shared" si="9"/>
        <v>210517</v>
      </c>
    </row>
    <row r="519" spans="1:9">
      <c r="A519" s="2">
        <v>210518</v>
      </c>
      <c r="B519" s="67" t="s">
        <v>1371</v>
      </c>
      <c r="C519" s="67" t="s">
        <v>170</v>
      </c>
      <c r="D519" s="67" t="s">
        <v>1372</v>
      </c>
      <c r="E519" s="78">
        <v>38536</v>
      </c>
      <c r="F519" s="32">
        <v>48</v>
      </c>
      <c r="G519" s="39" t="s">
        <v>556</v>
      </c>
      <c r="I519" s="12">
        <f t="shared" si="9"/>
        <v>210518</v>
      </c>
    </row>
    <row r="520" spans="1:9">
      <c r="A520" s="2">
        <v>10519</v>
      </c>
      <c r="B520" s="67" t="s">
        <v>1301</v>
      </c>
      <c r="C520" s="67" t="s">
        <v>1302</v>
      </c>
      <c r="D520" s="67" t="s">
        <v>1373</v>
      </c>
      <c r="E520" s="78">
        <v>31687</v>
      </c>
      <c r="F520" s="32">
        <v>76</v>
      </c>
      <c r="G520" s="39" t="s">
        <v>132</v>
      </c>
      <c r="I520" s="12">
        <f t="shared" si="9"/>
        <v>10519</v>
      </c>
    </row>
    <row r="521" spans="1:9">
      <c r="A521" s="2">
        <v>210520</v>
      </c>
      <c r="B521" s="67" t="s">
        <v>1374</v>
      </c>
      <c r="C521" s="67" t="s">
        <v>1375</v>
      </c>
      <c r="D521" s="67" t="s">
        <v>1376</v>
      </c>
      <c r="E521" s="78">
        <v>39297</v>
      </c>
      <c r="F521" s="32">
        <v>48</v>
      </c>
      <c r="G521" s="39" t="s">
        <v>556</v>
      </c>
      <c r="I521" s="12">
        <f t="shared" si="9"/>
        <v>210520</v>
      </c>
    </row>
    <row r="522" spans="1:9">
      <c r="A522" s="2">
        <v>210521</v>
      </c>
      <c r="B522" s="67" t="s">
        <v>1377</v>
      </c>
      <c r="C522" s="67" t="s">
        <v>71</v>
      </c>
      <c r="D522" s="67" t="s">
        <v>1378</v>
      </c>
      <c r="E522" s="78">
        <v>38885</v>
      </c>
      <c r="F522" s="32">
        <v>48</v>
      </c>
      <c r="G522" s="39" t="s">
        <v>556</v>
      </c>
      <c r="I522" s="12">
        <f t="shared" si="9"/>
        <v>210521</v>
      </c>
    </row>
    <row r="523" spans="1:9">
      <c r="A523" s="2">
        <v>210522</v>
      </c>
      <c r="B523" s="67" t="s">
        <v>1379</v>
      </c>
      <c r="C523" s="67" t="s">
        <v>1380</v>
      </c>
      <c r="D523" s="67" t="s">
        <v>1381</v>
      </c>
      <c r="E523" s="78">
        <v>40298</v>
      </c>
      <c r="F523" s="32">
        <v>48</v>
      </c>
      <c r="G523" s="39" t="s">
        <v>132</v>
      </c>
      <c r="I523" s="12">
        <f t="shared" si="9"/>
        <v>210522</v>
      </c>
    </row>
    <row r="524" spans="1:9">
      <c r="A524" s="2">
        <v>210523</v>
      </c>
      <c r="B524" s="67" t="s">
        <v>1382</v>
      </c>
      <c r="C524" s="67" t="s">
        <v>114</v>
      </c>
      <c r="D524" s="67" t="s">
        <v>1383</v>
      </c>
      <c r="E524" s="78">
        <v>35507</v>
      </c>
      <c r="F524" s="32">
        <v>48</v>
      </c>
      <c r="G524" s="39" t="s">
        <v>556</v>
      </c>
      <c r="I524" s="12">
        <f t="shared" si="9"/>
        <v>210523</v>
      </c>
    </row>
    <row r="525" spans="1:9">
      <c r="A525" s="2">
        <v>210524</v>
      </c>
      <c r="B525" s="67" t="s">
        <v>1384</v>
      </c>
      <c r="C525" s="67" t="s">
        <v>521</v>
      </c>
      <c r="D525" s="67" t="s">
        <v>1385</v>
      </c>
      <c r="E525" s="78">
        <v>38049</v>
      </c>
      <c r="F525" s="32">
        <v>48</v>
      </c>
      <c r="G525" s="39" t="s">
        <v>556</v>
      </c>
      <c r="I525" s="12">
        <f t="shared" si="9"/>
        <v>210524</v>
      </c>
    </row>
    <row r="526" spans="1:9">
      <c r="A526" s="2">
        <v>210525</v>
      </c>
      <c r="B526" s="67" t="s">
        <v>1386</v>
      </c>
      <c r="C526" s="67" t="s">
        <v>1375</v>
      </c>
      <c r="D526" s="67" t="s">
        <v>1387</v>
      </c>
      <c r="E526" s="78">
        <v>38289</v>
      </c>
      <c r="F526" s="32">
        <v>76</v>
      </c>
      <c r="G526" s="39" t="s">
        <v>556</v>
      </c>
      <c r="I526" s="12">
        <f t="shared" si="9"/>
        <v>210525</v>
      </c>
    </row>
    <row r="527" spans="1:9">
      <c r="A527" s="2">
        <v>210526</v>
      </c>
      <c r="B527" s="67" t="s">
        <v>1388</v>
      </c>
      <c r="C527" s="67" t="s">
        <v>439</v>
      </c>
      <c r="D527" s="67" t="s">
        <v>1389</v>
      </c>
      <c r="E527" s="78">
        <v>39023</v>
      </c>
      <c r="F527" s="32">
        <v>76</v>
      </c>
      <c r="G527" s="39" t="s">
        <v>556</v>
      </c>
      <c r="I527" s="12">
        <f t="shared" si="9"/>
        <v>210526</v>
      </c>
    </row>
    <row r="528" spans="1:9">
      <c r="A528" s="2">
        <v>210527</v>
      </c>
      <c r="B528" s="67" t="s">
        <v>1390</v>
      </c>
      <c r="C528" s="67" t="s">
        <v>1391</v>
      </c>
      <c r="D528" s="67" t="s">
        <v>34</v>
      </c>
      <c r="E528" s="78">
        <v>35581</v>
      </c>
      <c r="F528" s="32">
        <v>76</v>
      </c>
      <c r="G528" s="39" t="s">
        <v>556</v>
      </c>
      <c r="I528" s="12">
        <f t="shared" si="9"/>
        <v>210527</v>
      </c>
    </row>
    <row r="529" spans="1:9">
      <c r="A529" s="2">
        <v>210528</v>
      </c>
      <c r="B529" s="67" t="s">
        <v>63</v>
      </c>
      <c r="C529" s="67" t="s">
        <v>442</v>
      </c>
      <c r="D529" s="67" t="s">
        <v>1392</v>
      </c>
      <c r="E529" s="78">
        <v>35518</v>
      </c>
      <c r="F529" s="32">
        <v>48</v>
      </c>
      <c r="G529" s="39" t="s">
        <v>556</v>
      </c>
      <c r="I529" s="12">
        <f t="shared" si="9"/>
        <v>210528</v>
      </c>
    </row>
    <row r="530" spans="1:9">
      <c r="A530" s="2">
        <v>210529</v>
      </c>
      <c r="B530" s="67" t="s">
        <v>1393</v>
      </c>
      <c r="C530" s="67" t="s">
        <v>905</v>
      </c>
      <c r="D530" s="67" t="s">
        <v>1394</v>
      </c>
      <c r="E530" s="78">
        <v>36108</v>
      </c>
      <c r="F530" s="32">
        <v>48</v>
      </c>
      <c r="G530" s="39" t="s">
        <v>556</v>
      </c>
      <c r="I530" s="12">
        <f t="shared" si="9"/>
        <v>210529</v>
      </c>
    </row>
    <row r="531" spans="1:9">
      <c r="A531" s="2">
        <v>210530</v>
      </c>
      <c r="B531" s="67" t="s">
        <v>1395</v>
      </c>
      <c r="C531" s="67" t="s">
        <v>1396</v>
      </c>
      <c r="D531" s="67" t="s">
        <v>1397</v>
      </c>
      <c r="E531" s="78">
        <v>36801</v>
      </c>
      <c r="F531" s="32">
        <v>48</v>
      </c>
      <c r="G531" s="39" t="s">
        <v>556</v>
      </c>
      <c r="I531" s="12">
        <f t="shared" si="9"/>
        <v>210530</v>
      </c>
    </row>
    <row r="532" spans="1:9">
      <c r="A532" s="2">
        <v>210531</v>
      </c>
      <c r="B532" s="67" t="s">
        <v>1398</v>
      </c>
      <c r="C532" s="67" t="s">
        <v>1399</v>
      </c>
      <c r="D532" s="67" t="s">
        <v>1400</v>
      </c>
      <c r="E532" s="78">
        <v>37073</v>
      </c>
      <c r="F532" s="32">
        <v>48</v>
      </c>
      <c r="G532" s="39" t="s">
        <v>132</v>
      </c>
      <c r="I532" s="12">
        <f t="shared" si="9"/>
        <v>210531</v>
      </c>
    </row>
    <row r="533" spans="1:9">
      <c r="A533" s="2">
        <v>210532</v>
      </c>
      <c r="B533" s="67" t="s">
        <v>1401</v>
      </c>
      <c r="C533" s="67" t="s">
        <v>67</v>
      </c>
      <c r="D533" s="67" t="s">
        <v>1402</v>
      </c>
      <c r="E533" s="78">
        <v>37480</v>
      </c>
      <c r="F533" s="32">
        <v>48</v>
      </c>
      <c r="G533" s="39" t="s">
        <v>132</v>
      </c>
      <c r="I533" s="12">
        <f t="shared" si="9"/>
        <v>210532</v>
      </c>
    </row>
    <row r="534" spans="1:9">
      <c r="A534" s="2">
        <v>210533</v>
      </c>
      <c r="B534" s="67" t="s">
        <v>1403</v>
      </c>
      <c r="C534" s="67" t="s">
        <v>1404</v>
      </c>
      <c r="D534" s="67" t="s">
        <v>1405</v>
      </c>
      <c r="E534" s="78">
        <v>35573</v>
      </c>
      <c r="F534" s="32">
        <v>48</v>
      </c>
      <c r="G534" s="39" t="s">
        <v>556</v>
      </c>
      <c r="I534" s="12">
        <f t="shared" si="9"/>
        <v>210533</v>
      </c>
    </row>
    <row r="535" spans="1:9">
      <c r="A535" s="2">
        <v>210534</v>
      </c>
      <c r="B535" s="67" t="s">
        <v>1406</v>
      </c>
      <c r="C535" s="67" t="s">
        <v>106</v>
      </c>
      <c r="D535" s="67" t="s">
        <v>1407</v>
      </c>
      <c r="E535" s="78">
        <v>36202</v>
      </c>
      <c r="F535" s="32">
        <v>48</v>
      </c>
      <c r="G535" s="39" t="s">
        <v>556</v>
      </c>
      <c r="I535" s="12">
        <f t="shared" si="9"/>
        <v>210534</v>
      </c>
    </row>
    <row r="536" spans="1:9">
      <c r="A536" s="2">
        <v>210535</v>
      </c>
      <c r="B536" s="67" t="s">
        <v>1408</v>
      </c>
      <c r="C536" s="67" t="s">
        <v>67</v>
      </c>
      <c r="D536" s="67" t="s">
        <v>1409</v>
      </c>
      <c r="E536" s="78">
        <v>37135</v>
      </c>
      <c r="F536" s="32">
        <v>48</v>
      </c>
      <c r="G536" s="39" t="s">
        <v>556</v>
      </c>
      <c r="I536" s="12">
        <f t="shared" si="9"/>
        <v>210535</v>
      </c>
    </row>
    <row r="537" spans="1:9">
      <c r="A537" s="2">
        <v>210536</v>
      </c>
      <c r="B537" s="67" t="s">
        <v>1410</v>
      </c>
      <c r="C537" s="67" t="s">
        <v>1411</v>
      </c>
      <c r="D537" s="67" t="s">
        <v>1412</v>
      </c>
      <c r="E537" s="78">
        <v>38379</v>
      </c>
      <c r="F537" s="32">
        <v>48</v>
      </c>
      <c r="G537" s="39" t="s">
        <v>556</v>
      </c>
      <c r="I537" s="12">
        <f t="shared" si="9"/>
        <v>210536</v>
      </c>
    </row>
    <row r="538" spans="1:9">
      <c r="A538" s="2">
        <v>210537</v>
      </c>
      <c r="B538" s="67" t="s">
        <v>1413</v>
      </c>
      <c r="C538" s="67" t="s">
        <v>1414</v>
      </c>
      <c r="D538" s="67" t="s">
        <v>1415</v>
      </c>
      <c r="E538" s="78">
        <v>34578</v>
      </c>
      <c r="F538" s="32">
        <v>48</v>
      </c>
      <c r="G538" s="39" t="s">
        <v>556</v>
      </c>
      <c r="I538" s="12">
        <f t="shared" si="9"/>
        <v>210537</v>
      </c>
    </row>
    <row r="539" spans="1:9">
      <c r="A539" s="2">
        <v>210538</v>
      </c>
      <c r="B539" s="67" t="s">
        <v>752</v>
      </c>
      <c r="C539" s="67" t="s">
        <v>170</v>
      </c>
      <c r="D539" s="67" t="s">
        <v>1416</v>
      </c>
      <c r="E539" s="78">
        <v>37582</v>
      </c>
      <c r="F539" s="32">
        <v>48</v>
      </c>
      <c r="G539" s="39" t="s">
        <v>556</v>
      </c>
      <c r="I539" s="12">
        <f t="shared" si="9"/>
        <v>210538</v>
      </c>
    </row>
    <row r="540" spans="1:9">
      <c r="A540" s="2">
        <v>210539</v>
      </c>
      <c r="B540" s="67" t="s">
        <v>1417</v>
      </c>
      <c r="C540" s="67" t="s">
        <v>1418</v>
      </c>
      <c r="D540" s="67" t="s">
        <v>1419</v>
      </c>
      <c r="E540" s="78">
        <v>39517</v>
      </c>
      <c r="F540" s="32">
        <v>48</v>
      </c>
      <c r="G540" s="39" t="s">
        <v>556</v>
      </c>
      <c r="I540" s="12">
        <f t="shared" si="9"/>
        <v>210539</v>
      </c>
    </row>
    <row r="541" spans="1:9">
      <c r="A541" s="2">
        <v>210540</v>
      </c>
      <c r="B541" s="67" t="s">
        <v>1420</v>
      </c>
      <c r="C541" s="67" t="s">
        <v>987</v>
      </c>
      <c r="D541" s="67" t="s">
        <v>1421</v>
      </c>
      <c r="E541" s="78">
        <v>37647</v>
      </c>
      <c r="F541" s="32">
        <v>48</v>
      </c>
      <c r="G541" s="39" t="s">
        <v>556</v>
      </c>
      <c r="I541" s="12">
        <f t="shared" si="9"/>
        <v>210540</v>
      </c>
    </row>
    <row r="542" spans="1:9">
      <c r="A542" s="2">
        <v>210541</v>
      </c>
      <c r="B542" s="67" t="s">
        <v>1422</v>
      </c>
      <c r="C542" s="67" t="s">
        <v>1423</v>
      </c>
      <c r="D542" s="67" t="s">
        <v>1424</v>
      </c>
      <c r="E542" s="78">
        <v>38624</v>
      </c>
      <c r="F542" s="32">
        <v>48</v>
      </c>
      <c r="G542" s="39" t="s">
        <v>556</v>
      </c>
      <c r="I542" s="12">
        <f t="shared" si="9"/>
        <v>210541</v>
      </c>
    </row>
    <row r="543" spans="1:9">
      <c r="A543" s="2">
        <v>210542</v>
      </c>
      <c r="B543" s="67" t="s">
        <v>1425</v>
      </c>
      <c r="C543" s="67" t="s">
        <v>407</v>
      </c>
      <c r="D543" s="67" t="s">
        <v>1426</v>
      </c>
      <c r="E543" s="78">
        <v>39177</v>
      </c>
      <c r="F543" s="32">
        <v>48</v>
      </c>
      <c r="G543" s="39" t="s">
        <v>556</v>
      </c>
      <c r="I543" s="12">
        <f t="shared" si="9"/>
        <v>210542</v>
      </c>
    </row>
    <row r="544" spans="1:9">
      <c r="A544" s="2">
        <v>210543</v>
      </c>
      <c r="B544" s="67" t="s">
        <v>1427</v>
      </c>
      <c r="C544" s="67" t="s">
        <v>1428</v>
      </c>
      <c r="D544" s="67" t="s">
        <v>1429</v>
      </c>
      <c r="E544" s="78">
        <v>39022</v>
      </c>
      <c r="F544" s="32">
        <v>48</v>
      </c>
      <c r="G544" s="39" t="s">
        <v>556</v>
      </c>
      <c r="I544" s="12">
        <f t="shared" si="9"/>
        <v>210543</v>
      </c>
    </row>
    <row r="545" spans="1:9">
      <c r="A545" s="2">
        <v>210544</v>
      </c>
      <c r="B545" s="67" t="s">
        <v>1430</v>
      </c>
      <c r="C545" s="67" t="s">
        <v>74</v>
      </c>
      <c r="D545" s="67" t="s">
        <v>1431</v>
      </c>
      <c r="E545" s="78">
        <v>35201</v>
      </c>
      <c r="F545" s="32">
        <v>48</v>
      </c>
      <c r="G545" s="39" t="s">
        <v>556</v>
      </c>
      <c r="I545" s="12">
        <f t="shared" si="9"/>
        <v>210544</v>
      </c>
    </row>
    <row r="546" spans="1:9">
      <c r="A546" s="2">
        <v>210545</v>
      </c>
      <c r="B546" s="67" t="s">
        <v>1432</v>
      </c>
      <c r="C546" s="67" t="s">
        <v>125</v>
      </c>
      <c r="D546" s="67" t="s">
        <v>1433</v>
      </c>
      <c r="E546" s="78">
        <v>37113</v>
      </c>
      <c r="F546" s="32">
        <v>48</v>
      </c>
      <c r="G546" s="39" t="s">
        <v>556</v>
      </c>
      <c r="I546" s="12">
        <f t="shared" si="9"/>
        <v>210545</v>
      </c>
    </row>
    <row r="547" spans="1:9">
      <c r="A547" s="2">
        <v>210546</v>
      </c>
      <c r="B547" s="67" t="s">
        <v>1434</v>
      </c>
      <c r="C547" s="67" t="s">
        <v>1435</v>
      </c>
      <c r="D547" s="67" t="s">
        <v>1436</v>
      </c>
      <c r="E547" s="78">
        <v>37027</v>
      </c>
      <c r="F547" s="32">
        <v>48</v>
      </c>
      <c r="G547" s="39" t="s">
        <v>556</v>
      </c>
      <c r="I547" s="12">
        <f t="shared" si="9"/>
        <v>210546</v>
      </c>
    </row>
    <row r="548" spans="1:9">
      <c r="A548" s="2">
        <v>210547</v>
      </c>
      <c r="B548" s="67" t="s">
        <v>1437</v>
      </c>
      <c r="C548" s="67" t="s">
        <v>1438</v>
      </c>
      <c r="D548" s="67" t="s">
        <v>1439</v>
      </c>
      <c r="E548" s="78">
        <v>39453</v>
      </c>
      <c r="F548" s="32">
        <v>48</v>
      </c>
      <c r="G548" s="39" t="s">
        <v>556</v>
      </c>
      <c r="I548" s="12">
        <f t="shared" si="9"/>
        <v>210547</v>
      </c>
    </row>
    <row r="549" spans="1:9">
      <c r="A549" s="2">
        <v>210548</v>
      </c>
      <c r="B549" s="67" t="s">
        <v>1440</v>
      </c>
      <c r="C549" s="67" t="s">
        <v>1441</v>
      </c>
      <c r="D549" s="67" t="s">
        <v>1442</v>
      </c>
      <c r="E549" s="78">
        <v>38296</v>
      </c>
      <c r="F549" s="32">
        <v>48</v>
      </c>
      <c r="G549" s="39" t="s">
        <v>556</v>
      </c>
      <c r="I549" s="12">
        <f t="shared" si="9"/>
        <v>210548</v>
      </c>
    </row>
    <row r="550" spans="1:9">
      <c r="A550" s="2">
        <v>210549</v>
      </c>
      <c r="B550" s="67" t="s">
        <v>1443</v>
      </c>
      <c r="C550" s="67" t="s">
        <v>188</v>
      </c>
      <c r="D550" s="67" t="s">
        <v>1444</v>
      </c>
      <c r="E550" s="78">
        <v>40369</v>
      </c>
      <c r="F550" s="32">
        <v>48</v>
      </c>
      <c r="G550" s="39" t="s">
        <v>556</v>
      </c>
      <c r="I550" s="12">
        <f t="shared" si="9"/>
        <v>210549</v>
      </c>
    </row>
    <row r="551" spans="1:9">
      <c r="A551" s="2">
        <v>210550</v>
      </c>
      <c r="B551" s="67" t="s">
        <v>1445</v>
      </c>
      <c r="C551" s="101" t="s">
        <v>170</v>
      </c>
      <c r="D551" s="101" t="s">
        <v>1446</v>
      </c>
      <c r="E551" s="78">
        <v>39027</v>
      </c>
      <c r="F551" s="32">
        <v>48</v>
      </c>
      <c r="G551" s="39" t="s">
        <v>556</v>
      </c>
      <c r="I551" s="12">
        <f t="shared" si="9"/>
        <v>210550</v>
      </c>
    </row>
    <row r="552" spans="1:9">
      <c r="A552" s="2">
        <v>210551</v>
      </c>
      <c r="B552" s="67" t="s">
        <v>1447</v>
      </c>
      <c r="C552" s="67" t="s">
        <v>419</v>
      </c>
      <c r="D552" s="67" t="s">
        <v>1448</v>
      </c>
      <c r="E552" s="78">
        <v>36795</v>
      </c>
      <c r="F552" s="32">
        <v>48</v>
      </c>
      <c r="G552" s="39" t="s">
        <v>556</v>
      </c>
      <c r="I552" s="12">
        <f t="shared" si="9"/>
        <v>210551</v>
      </c>
    </row>
    <row r="553" spans="1:9">
      <c r="A553" s="2">
        <v>210552</v>
      </c>
      <c r="B553" s="67" t="s">
        <v>504</v>
      </c>
      <c r="C553" s="67" t="s">
        <v>114</v>
      </c>
      <c r="D553" s="67" t="s">
        <v>1449</v>
      </c>
      <c r="E553" s="78">
        <v>30177</v>
      </c>
      <c r="F553" s="32">
        <v>48</v>
      </c>
      <c r="G553" s="39" t="s">
        <v>556</v>
      </c>
      <c r="I553" s="12">
        <f t="shared" si="9"/>
        <v>210552</v>
      </c>
    </row>
    <row r="554" spans="1:9">
      <c r="A554" s="2">
        <v>210553</v>
      </c>
      <c r="B554" s="67" t="s">
        <v>1450</v>
      </c>
      <c r="C554" s="67" t="s">
        <v>1451</v>
      </c>
      <c r="D554" s="67" t="s">
        <v>1452</v>
      </c>
      <c r="E554" s="78">
        <v>36234</v>
      </c>
      <c r="F554" s="32">
        <v>48</v>
      </c>
      <c r="G554" s="39" t="s">
        <v>556</v>
      </c>
      <c r="I554" s="12">
        <f t="shared" si="9"/>
        <v>210553</v>
      </c>
    </row>
    <row r="555" spans="1:9">
      <c r="A555" s="2">
        <v>210554</v>
      </c>
      <c r="B555" s="67" t="s">
        <v>1453</v>
      </c>
      <c r="C555" s="67" t="s">
        <v>1435</v>
      </c>
      <c r="D555" s="67" t="s">
        <v>1454</v>
      </c>
      <c r="E555" s="78">
        <v>37027</v>
      </c>
      <c r="F555" s="32">
        <v>48</v>
      </c>
      <c r="G555" s="39" t="s">
        <v>556</v>
      </c>
      <c r="I555" s="12">
        <f t="shared" si="9"/>
        <v>210554</v>
      </c>
    </row>
    <row r="556" spans="1:9">
      <c r="A556" s="2">
        <v>210555</v>
      </c>
      <c r="B556" s="67" t="s">
        <v>1079</v>
      </c>
      <c r="C556" s="67" t="s">
        <v>134</v>
      </c>
      <c r="D556" s="67" t="s">
        <v>1455</v>
      </c>
      <c r="E556" s="78">
        <v>39177</v>
      </c>
      <c r="F556" s="32">
        <v>48</v>
      </c>
      <c r="G556" s="39" t="s">
        <v>556</v>
      </c>
      <c r="I556" s="12">
        <f t="shared" si="9"/>
        <v>210555</v>
      </c>
    </row>
    <row r="557" spans="1:9">
      <c r="I557" s="12">
        <f t="shared" si="9"/>
        <v>0</v>
      </c>
    </row>
    <row r="558" spans="1:9">
      <c r="I558" s="12">
        <f t="shared" si="9"/>
        <v>0</v>
      </c>
    </row>
    <row r="559" spans="1:9">
      <c r="I559" s="12">
        <f t="shared" si="9"/>
        <v>0</v>
      </c>
    </row>
    <row r="560" spans="1:9">
      <c r="I560" s="12">
        <f t="shared" si="9"/>
        <v>0</v>
      </c>
    </row>
    <row r="561" spans="9:9">
      <c r="I561" s="12">
        <f t="shared" si="9"/>
        <v>0</v>
      </c>
    </row>
    <row r="562" spans="9:9">
      <c r="I562" s="12">
        <f t="shared" si="9"/>
        <v>0</v>
      </c>
    </row>
    <row r="563" spans="9:9">
      <c r="I563" s="12">
        <f t="shared" si="9"/>
        <v>0</v>
      </c>
    </row>
    <row r="564" spans="9:9">
      <c r="I564" s="12">
        <f t="shared" si="9"/>
        <v>0</v>
      </c>
    </row>
    <row r="565" spans="9:9">
      <c r="I565" s="12">
        <f t="shared" si="9"/>
        <v>0</v>
      </c>
    </row>
    <row r="566" spans="9:9">
      <c r="I566" s="12">
        <f t="shared" si="9"/>
        <v>0</v>
      </c>
    </row>
    <row r="567" spans="9:9">
      <c r="I567" s="12">
        <f t="shared" si="9"/>
        <v>0</v>
      </c>
    </row>
    <row r="568" spans="9:9">
      <c r="I568" s="12">
        <f t="shared" si="9"/>
        <v>0</v>
      </c>
    </row>
    <row r="569" spans="9:9">
      <c r="I569" s="12">
        <f t="shared" si="9"/>
        <v>0</v>
      </c>
    </row>
    <row r="570" spans="9:9">
      <c r="I570" s="12">
        <f t="shared" si="9"/>
        <v>0</v>
      </c>
    </row>
    <row r="571" spans="9:9">
      <c r="I571" s="12">
        <f t="shared" si="9"/>
        <v>0</v>
      </c>
    </row>
    <row r="572" spans="9:9">
      <c r="I572" s="12">
        <f t="shared" si="9"/>
        <v>0</v>
      </c>
    </row>
    <row r="573" spans="9:9">
      <c r="I573" s="12">
        <f t="shared" si="9"/>
        <v>0</v>
      </c>
    </row>
    <row r="574" spans="9:9">
      <c r="I574" s="12">
        <f t="shared" si="9"/>
        <v>0</v>
      </c>
    </row>
    <row r="575" spans="9:9">
      <c r="I575" s="12">
        <f t="shared" si="9"/>
        <v>0</v>
      </c>
    </row>
    <row r="576" spans="9:9">
      <c r="I576" s="12">
        <f t="shared" si="9"/>
        <v>0</v>
      </c>
    </row>
    <row r="577" spans="9:9">
      <c r="I577" s="12">
        <f t="shared" si="9"/>
        <v>0</v>
      </c>
    </row>
    <row r="578" spans="9:9">
      <c r="I578" s="12">
        <f t="shared" ref="I578:I641" si="10">A578</f>
        <v>0</v>
      </c>
    </row>
    <row r="579" spans="9:9">
      <c r="I579" s="12">
        <f t="shared" si="10"/>
        <v>0</v>
      </c>
    </row>
    <row r="580" spans="9:9">
      <c r="I580" s="12">
        <f t="shared" si="10"/>
        <v>0</v>
      </c>
    </row>
    <row r="581" spans="9:9">
      <c r="I581" s="12">
        <f t="shared" si="10"/>
        <v>0</v>
      </c>
    </row>
    <row r="582" spans="9:9">
      <c r="I582" s="12">
        <f t="shared" si="10"/>
        <v>0</v>
      </c>
    </row>
    <row r="583" spans="9:9">
      <c r="I583" s="12">
        <f t="shared" si="10"/>
        <v>0</v>
      </c>
    </row>
    <row r="584" spans="9:9">
      <c r="I584" s="12">
        <f t="shared" si="10"/>
        <v>0</v>
      </c>
    </row>
    <row r="585" spans="9:9">
      <c r="I585" s="12">
        <f t="shared" si="10"/>
        <v>0</v>
      </c>
    </row>
    <row r="586" spans="9:9">
      <c r="I586" s="12">
        <f t="shared" si="10"/>
        <v>0</v>
      </c>
    </row>
    <row r="587" spans="9:9">
      <c r="I587" s="12">
        <f t="shared" si="10"/>
        <v>0</v>
      </c>
    </row>
    <row r="588" spans="9:9">
      <c r="I588" s="12">
        <f t="shared" si="10"/>
        <v>0</v>
      </c>
    </row>
    <row r="589" spans="9:9">
      <c r="I589" s="12">
        <f t="shared" si="10"/>
        <v>0</v>
      </c>
    </row>
    <row r="590" spans="9:9">
      <c r="I590" s="12">
        <f t="shared" si="10"/>
        <v>0</v>
      </c>
    </row>
    <row r="591" spans="9:9">
      <c r="I591" s="12">
        <f t="shared" si="10"/>
        <v>0</v>
      </c>
    </row>
    <row r="592" spans="9:9">
      <c r="I592" s="12">
        <f t="shared" si="10"/>
        <v>0</v>
      </c>
    </row>
    <row r="593" spans="9:9">
      <c r="I593" s="12">
        <f t="shared" si="10"/>
        <v>0</v>
      </c>
    </row>
    <row r="594" spans="9:9">
      <c r="I594" s="12">
        <f t="shared" si="10"/>
        <v>0</v>
      </c>
    </row>
    <row r="595" spans="9:9">
      <c r="I595" s="12">
        <f t="shared" si="10"/>
        <v>0</v>
      </c>
    </row>
    <row r="596" spans="9:9">
      <c r="I596" s="12">
        <f t="shared" si="10"/>
        <v>0</v>
      </c>
    </row>
    <row r="597" spans="9:9">
      <c r="I597" s="12">
        <f t="shared" si="10"/>
        <v>0</v>
      </c>
    </row>
    <row r="598" spans="9:9">
      <c r="I598" s="12">
        <f t="shared" si="10"/>
        <v>0</v>
      </c>
    </row>
    <row r="599" spans="9:9">
      <c r="I599" s="12">
        <f t="shared" si="10"/>
        <v>0</v>
      </c>
    </row>
    <row r="600" spans="9:9">
      <c r="I600" s="12">
        <f t="shared" si="10"/>
        <v>0</v>
      </c>
    </row>
    <row r="601" spans="9:9">
      <c r="I601" s="12">
        <f t="shared" si="10"/>
        <v>0</v>
      </c>
    </row>
    <row r="602" spans="9:9">
      <c r="I602" s="12">
        <f t="shared" si="10"/>
        <v>0</v>
      </c>
    </row>
    <row r="603" spans="9:9">
      <c r="I603" s="12">
        <f t="shared" si="10"/>
        <v>0</v>
      </c>
    </row>
    <row r="604" spans="9:9">
      <c r="I604" s="12">
        <f t="shared" si="10"/>
        <v>0</v>
      </c>
    </row>
    <row r="605" spans="9:9">
      <c r="I605" s="12">
        <f t="shared" si="10"/>
        <v>0</v>
      </c>
    </row>
    <row r="606" spans="9:9">
      <c r="I606" s="12">
        <f t="shared" si="10"/>
        <v>0</v>
      </c>
    </row>
    <row r="607" spans="9:9">
      <c r="I607" s="12">
        <f t="shared" si="10"/>
        <v>0</v>
      </c>
    </row>
    <row r="608" spans="9:9">
      <c r="I608" s="12">
        <f t="shared" si="10"/>
        <v>0</v>
      </c>
    </row>
    <row r="609" spans="9:9">
      <c r="I609" s="12">
        <f t="shared" si="10"/>
        <v>0</v>
      </c>
    </row>
    <row r="610" spans="9:9">
      <c r="I610" s="12">
        <f t="shared" si="10"/>
        <v>0</v>
      </c>
    </row>
    <row r="611" spans="9:9">
      <c r="I611" s="12">
        <f t="shared" si="10"/>
        <v>0</v>
      </c>
    </row>
    <row r="612" spans="9:9">
      <c r="I612" s="12">
        <f t="shared" si="10"/>
        <v>0</v>
      </c>
    </row>
    <row r="613" spans="9:9">
      <c r="I613" s="12">
        <f t="shared" si="10"/>
        <v>0</v>
      </c>
    </row>
    <row r="614" spans="9:9">
      <c r="I614" s="12">
        <f t="shared" si="10"/>
        <v>0</v>
      </c>
    </row>
    <row r="615" spans="9:9">
      <c r="I615" s="12">
        <f t="shared" si="10"/>
        <v>0</v>
      </c>
    </row>
    <row r="616" spans="9:9">
      <c r="I616" s="12">
        <f t="shared" si="10"/>
        <v>0</v>
      </c>
    </row>
    <row r="617" spans="9:9">
      <c r="I617" s="12">
        <f t="shared" si="10"/>
        <v>0</v>
      </c>
    </row>
    <row r="618" spans="9:9">
      <c r="I618" s="12">
        <f t="shared" si="10"/>
        <v>0</v>
      </c>
    </row>
    <row r="619" spans="9:9">
      <c r="I619" s="12">
        <f t="shared" si="10"/>
        <v>0</v>
      </c>
    </row>
    <row r="620" spans="9:9">
      <c r="I620" s="12">
        <f t="shared" si="10"/>
        <v>0</v>
      </c>
    </row>
    <row r="621" spans="9:9">
      <c r="I621" s="12">
        <f t="shared" si="10"/>
        <v>0</v>
      </c>
    </row>
    <row r="622" spans="9:9">
      <c r="I622" s="12">
        <f t="shared" si="10"/>
        <v>0</v>
      </c>
    </row>
    <row r="623" spans="9:9">
      <c r="I623" s="12">
        <f t="shared" si="10"/>
        <v>0</v>
      </c>
    </row>
    <row r="624" spans="9:9">
      <c r="I624" s="12">
        <f t="shared" si="10"/>
        <v>0</v>
      </c>
    </row>
    <row r="625" spans="9:9">
      <c r="I625" s="12">
        <f t="shared" si="10"/>
        <v>0</v>
      </c>
    </row>
    <row r="626" spans="9:9">
      <c r="I626" s="12">
        <f t="shared" si="10"/>
        <v>0</v>
      </c>
    </row>
    <row r="627" spans="9:9">
      <c r="I627" s="12">
        <f t="shared" si="10"/>
        <v>0</v>
      </c>
    </row>
    <row r="628" spans="9:9">
      <c r="I628" s="12">
        <f t="shared" si="10"/>
        <v>0</v>
      </c>
    </row>
    <row r="629" spans="9:9">
      <c r="I629" s="12">
        <f t="shared" si="10"/>
        <v>0</v>
      </c>
    </row>
    <row r="630" spans="9:9">
      <c r="I630" s="12">
        <f t="shared" si="10"/>
        <v>0</v>
      </c>
    </row>
    <row r="631" spans="9:9">
      <c r="I631" s="12">
        <f t="shared" si="10"/>
        <v>0</v>
      </c>
    </row>
    <row r="632" spans="9:9">
      <c r="I632" s="12">
        <f t="shared" si="10"/>
        <v>0</v>
      </c>
    </row>
    <row r="633" spans="9:9">
      <c r="I633" s="12">
        <f t="shared" si="10"/>
        <v>0</v>
      </c>
    </row>
    <row r="634" spans="9:9">
      <c r="I634" s="12">
        <f t="shared" si="10"/>
        <v>0</v>
      </c>
    </row>
    <row r="635" spans="9:9">
      <c r="I635" s="12">
        <f t="shared" si="10"/>
        <v>0</v>
      </c>
    </row>
    <row r="636" spans="9:9">
      <c r="I636" s="12">
        <f t="shared" si="10"/>
        <v>0</v>
      </c>
    </row>
    <row r="637" spans="9:9">
      <c r="I637" s="12">
        <f t="shared" si="10"/>
        <v>0</v>
      </c>
    </row>
    <row r="638" spans="9:9">
      <c r="I638" s="12">
        <f t="shared" si="10"/>
        <v>0</v>
      </c>
    </row>
    <row r="639" spans="9:9">
      <c r="I639" s="12">
        <f t="shared" si="10"/>
        <v>0</v>
      </c>
    </row>
    <row r="640" spans="9:9">
      <c r="I640" s="12">
        <f t="shared" si="10"/>
        <v>0</v>
      </c>
    </row>
    <row r="641" spans="9:9">
      <c r="I641" s="12">
        <f t="shared" si="10"/>
        <v>0</v>
      </c>
    </row>
    <row r="642" spans="9:9">
      <c r="I642" s="12">
        <f t="shared" ref="I642:I705" si="11">A642</f>
        <v>0</v>
      </c>
    </row>
    <row r="643" spans="9:9">
      <c r="I643" s="12">
        <f t="shared" si="11"/>
        <v>0</v>
      </c>
    </row>
    <row r="644" spans="9:9">
      <c r="I644" s="12">
        <f t="shared" si="11"/>
        <v>0</v>
      </c>
    </row>
    <row r="645" spans="9:9">
      <c r="I645" s="12">
        <f t="shared" si="11"/>
        <v>0</v>
      </c>
    </row>
    <row r="646" spans="9:9">
      <c r="I646" s="12">
        <f t="shared" si="11"/>
        <v>0</v>
      </c>
    </row>
    <row r="647" spans="9:9">
      <c r="I647" s="12">
        <f t="shared" si="11"/>
        <v>0</v>
      </c>
    </row>
    <row r="648" spans="9:9">
      <c r="I648" s="12">
        <f t="shared" si="11"/>
        <v>0</v>
      </c>
    </row>
    <row r="649" spans="9:9">
      <c r="I649" s="12">
        <f t="shared" si="11"/>
        <v>0</v>
      </c>
    </row>
    <row r="650" spans="9:9">
      <c r="I650" s="12">
        <f t="shared" si="11"/>
        <v>0</v>
      </c>
    </row>
    <row r="651" spans="9:9">
      <c r="I651" s="12">
        <f t="shared" si="11"/>
        <v>0</v>
      </c>
    </row>
    <row r="652" spans="9:9">
      <c r="I652" s="12">
        <f t="shared" si="11"/>
        <v>0</v>
      </c>
    </row>
    <row r="653" spans="9:9">
      <c r="I653" s="12">
        <f t="shared" si="11"/>
        <v>0</v>
      </c>
    </row>
    <row r="654" spans="9:9">
      <c r="I654" s="12">
        <f t="shared" si="11"/>
        <v>0</v>
      </c>
    </row>
    <row r="655" spans="9:9">
      <c r="I655" s="12">
        <f t="shared" si="11"/>
        <v>0</v>
      </c>
    </row>
    <row r="656" spans="9:9">
      <c r="I656" s="12">
        <f t="shared" si="11"/>
        <v>0</v>
      </c>
    </row>
    <row r="657" spans="9:9">
      <c r="I657" s="12">
        <f t="shared" si="11"/>
        <v>0</v>
      </c>
    </row>
    <row r="658" spans="9:9">
      <c r="I658" s="12">
        <f t="shared" si="11"/>
        <v>0</v>
      </c>
    </row>
    <row r="659" spans="9:9">
      <c r="I659" s="12">
        <f t="shared" si="11"/>
        <v>0</v>
      </c>
    </row>
    <row r="660" spans="9:9">
      <c r="I660" s="12">
        <f t="shared" si="11"/>
        <v>0</v>
      </c>
    </row>
    <row r="661" spans="9:9">
      <c r="I661" s="12">
        <f t="shared" si="11"/>
        <v>0</v>
      </c>
    </row>
    <row r="662" spans="9:9">
      <c r="I662" s="12">
        <f t="shared" si="11"/>
        <v>0</v>
      </c>
    </row>
    <row r="663" spans="9:9">
      <c r="I663" s="12">
        <f t="shared" si="11"/>
        <v>0</v>
      </c>
    </row>
    <row r="664" spans="9:9">
      <c r="I664" s="12">
        <f t="shared" si="11"/>
        <v>0</v>
      </c>
    </row>
    <row r="665" spans="9:9">
      <c r="I665" s="12">
        <f t="shared" si="11"/>
        <v>0</v>
      </c>
    </row>
    <row r="666" spans="9:9">
      <c r="I666" s="12">
        <f t="shared" si="11"/>
        <v>0</v>
      </c>
    </row>
    <row r="667" spans="9:9">
      <c r="I667" s="12">
        <f t="shared" si="11"/>
        <v>0</v>
      </c>
    </row>
    <row r="668" spans="9:9">
      <c r="I668" s="12">
        <f t="shared" si="11"/>
        <v>0</v>
      </c>
    </row>
    <row r="669" spans="9:9">
      <c r="I669" s="12">
        <f t="shared" si="11"/>
        <v>0</v>
      </c>
    </row>
    <row r="670" spans="9:9">
      <c r="I670" s="12">
        <f t="shared" si="11"/>
        <v>0</v>
      </c>
    </row>
    <row r="671" spans="9:9">
      <c r="I671" s="12">
        <f t="shared" si="11"/>
        <v>0</v>
      </c>
    </row>
    <row r="672" spans="9:9">
      <c r="I672" s="12">
        <f t="shared" si="11"/>
        <v>0</v>
      </c>
    </row>
    <row r="673" spans="9:9">
      <c r="I673" s="12">
        <f t="shared" si="11"/>
        <v>0</v>
      </c>
    </row>
    <row r="674" spans="9:9">
      <c r="I674" s="12">
        <f t="shared" si="11"/>
        <v>0</v>
      </c>
    </row>
    <row r="675" spans="9:9">
      <c r="I675" s="12">
        <f t="shared" si="11"/>
        <v>0</v>
      </c>
    </row>
    <row r="676" spans="9:9">
      <c r="I676" s="12">
        <f t="shared" si="11"/>
        <v>0</v>
      </c>
    </row>
    <row r="677" spans="9:9">
      <c r="I677" s="12">
        <f t="shared" si="11"/>
        <v>0</v>
      </c>
    </row>
    <row r="678" spans="9:9">
      <c r="I678" s="12">
        <f t="shared" si="11"/>
        <v>0</v>
      </c>
    </row>
    <row r="679" spans="9:9">
      <c r="I679" s="12">
        <f t="shared" si="11"/>
        <v>0</v>
      </c>
    </row>
    <row r="680" spans="9:9">
      <c r="I680" s="12">
        <f t="shared" si="11"/>
        <v>0</v>
      </c>
    </row>
    <row r="681" spans="9:9">
      <c r="I681" s="12">
        <f t="shared" si="11"/>
        <v>0</v>
      </c>
    </row>
    <row r="682" spans="9:9">
      <c r="I682" s="12">
        <f t="shared" si="11"/>
        <v>0</v>
      </c>
    </row>
    <row r="683" spans="9:9">
      <c r="I683" s="12">
        <f t="shared" si="11"/>
        <v>0</v>
      </c>
    </row>
    <row r="684" spans="9:9">
      <c r="I684" s="12">
        <f t="shared" si="11"/>
        <v>0</v>
      </c>
    </row>
    <row r="685" spans="9:9">
      <c r="I685" s="12">
        <f t="shared" si="11"/>
        <v>0</v>
      </c>
    </row>
    <row r="686" spans="9:9">
      <c r="I686" s="12">
        <f t="shared" si="11"/>
        <v>0</v>
      </c>
    </row>
    <row r="687" spans="9:9">
      <c r="I687" s="12">
        <f t="shared" si="11"/>
        <v>0</v>
      </c>
    </row>
    <row r="688" spans="9:9">
      <c r="I688" s="12">
        <f t="shared" si="11"/>
        <v>0</v>
      </c>
    </row>
    <row r="689" spans="9:9">
      <c r="I689" s="12">
        <f t="shared" si="11"/>
        <v>0</v>
      </c>
    </row>
    <row r="690" spans="9:9">
      <c r="I690" s="12">
        <f t="shared" si="11"/>
        <v>0</v>
      </c>
    </row>
    <row r="691" spans="9:9">
      <c r="I691" s="12">
        <f t="shared" si="11"/>
        <v>0</v>
      </c>
    </row>
    <row r="692" spans="9:9">
      <c r="I692" s="12">
        <f t="shared" si="11"/>
        <v>0</v>
      </c>
    </row>
    <row r="693" spans="9:9">
      <c r="I693" s="12">
        <f t="shared" si="11"/>
        <v>0</v>
      </c>
    </row>
    <row r="694" spans="9:9">
      <c r="I694" s="12">
        <f t="shared" si="11"/>
        <v>0</v>
      </c>
    </row>
    <row r="695" spans="9:9">
      <c r="I695" s="12">
        <f t="shared" si="11"/>
        <v>0</v>
      </c>
    </row>
    <row r="696" spans="9:9">
      <c r="I696" s="12">
        <f t="shared" si="11"/>
        <v>0</v>
      </c>
    </row>
    <row r="697" spans="9:9">
      <c r="I697" s="12">
        <f t="shared" si="11"/>
        <v>0</v>
      </c>
    </row>
    <row r="698" spans="9:9">
      <c r="I698" s="12">
        <f t="shared" si="11"/>
        <v>0</v>
      </c>
    </row>
    <row r="699" spans="9:9">
      <c r="I699" s="12">
        <f t="shared" si="11"/>
        <v>0</v>
      </c>
    </row>
    <row r="700" spans="9:9">
      <c r="I700" s="12">
        <f t="shared" si="11"/>
        <v>0</v>
      </c>
    </row>
    <row r="701" spans="9:9">
      <c r="I701" s="12">
        <f t="shared" si="11"/>
        <v>0</v>
      </c>
    </row>
    <row r="702" spans="9:9">
      <c r="I702" s="12">
        <f t="shared" si="11"/>
        <v>0</v>
      </c>
    </row>
    <row r="703" spans="9:9">
      <c r="I703" s="12">
        <f t="shared" si="11"/>
        <v>0</v>
      </c>
    </row>
    <row r="704" spans="9:9">
      <c r="I704" s="12">
        <f t="shared" si="11"/>
        <v>0</v>
      </c>
    </row>
    <row r="705" spans="9:9">
      <c r="I705" s="12">
        <f t="shared" si="11"/>
        <v>0</v>
      </c>
    </row>
    <row r="706" spans="9:9">
      <c r="I706" s="12">
        <f t="shared" ref="I706:I769" si="12">A706</f>
        <v>0</v>
      </c>
    </row>
    <row r="707" spans="9:9">
      <c r="I707" s="12">
        <f t="shared" si="12"/>
        <v>0</v>
      </c>
    </row>
    <row r="708" spans="9:9">
      <c r="I708" s="12">
        <f t="shared" si="12"/>
        <v>0</v>
      </c>
    </row>
    <row r="709" spans="9:9">
      <c r="I709" s="12">
        <f t="shared" si="12"/>
        <v>0</v>
      </c>
    </row>
    <row r="710" spans="9:9">
      <c r="I710" s="12">
        <f t="shared" si="12"/>
        <v>0</v>
      </c>
    </row>
    <row r="711" spans="9:9">
      <c r="I711" s="12">
        <f t="shared" si="12"/>
        <v>0</v>
      </c>
    </row>
    <row r="712" spans="9:9">
      <c r="I712" s="12">
        <f t="shared" si="12"/>
        <v>0</v>
      </c>
    </row>
    <row r="713" spans="9:9">
      <c r="I713" s="12">
        <f t="shared" si="12"/>
        <v>0</v>
      </c>
    </row>
    <row r="714" spans="9:9">
      <c r="I714" s="12">
        <f t="shared" si="12"/>
        <v>0</v>
      </c>
    </row>
    <row r="715" spans="9:9">
      <c r="I715" s="12">
        <f t="shared" si="12"/>
        <v>0</v>
      </c>
    </row>
    <row r="716" spans="9:9">
      <c r="I716" s="12">
        <f t="shared" si="12"/>
        <v>0</v>
      </c>
    </row>
    <row r="717" spans="9:9">
      <c r="I717" s="12">
        <f t="shared" si="12"/>
        <v>0</v>
      </c>
    </row>
    <row r="718" spans="9:9">
      <c r="I718" s="12">
        <f t="shared" si="12"/>
        <v>0</v>
      </c>
    </row>
    <row r="719" spans="9:9">
      <c r="I719" s="12">
        <f t="shared" si="12"/>
        <v>0</v>
      </c>
    </row>
    <row r="720" spans="9:9">
      <c r="I720" s="12">
        <f t="shared" si="12"/>
        <v>0</v>
      </c>
    </row>
    <row r="721" spans="9:9">
      <c r="I721" s="12">
        <f t="shared" si="12"/>
        <v>0</v>
      </c>
    </row>
    <row r="722" spans="9:9">
      <c r="I722" s="12">
        <f t="shared" si="12"/>
        <v>0</v>
      </c>
    </row>
    <row r="723" spans="9:9">
      <c r="I723" s="12">
        <f t="shared" si="12"/>
        <v>0</v>
      </c>
    </row>
    <row r="724" spans="9:9">
      <c r="I724" s="12">
        <f t="shared" si="12"/>
        <v>0</v>
      </c>
    </row>
    <row r="725" spans="9:9">
      <c r="I725" s="12">
        <f t="shared" si="12"/>
        <v>0</v>
      </c>
    </row>
    <row r="726" spans="9:9">
      <c r="I726" s="12">
        <f t="shared" si="12"/>
        <v>0</v>
      </c>
    </row>
    <row r="727" spans="9:9">
      <c r="I727" s="12">
        <f t="shared" si="12"/>
        <v>0</v>
      </c>
    </row>
    <row r="728" spans="9:9">
      <c r="I728" s="12">
        <f t="shared" si="12"/>
        <v>0</v>
      </c>
    </row>
    <row r="729" spans="9:9">
      <c r="I729" s="12">
        <f t="shared" si="12"/>
        <v>0</v>
      </c>
    </row>
    <row r="730" spans="9:9">
      <c r="I730" s="12">
        <f t="shared" si="12"/>
        <v>0</v>
      </c>
    </row>
    <row r="731" spans="9:9">
      <c r="I731" s="12">
        <f t="shared" si="12"/>
        <v>0</v>
      </c>
    </row>
    <row r="732" spans="9:9">
      <c r="I732" s="12">
        <f t="shared" si="12"/>
        <v>0</v>
      </c>
    </row>
    <row r="733" spans="9:9">
      <c r="I733" s="12">
        <f t="shared" si="12"/>
        <v>0</v>
      </c>
    </row>
    <row r="734" spans="9:9">
      <c r="I734" s="12">
        <f t="shared" si="12"/>
        <v>0</v>
      </c>
    </row>
    <row r="735" spans="9:9">
      <c r="I735" s="12">
        <f t="shared" si="12"/>
        <v>0</v>
      </c>
    </row>
    <row r="736" spans="9:9">
      <c r="I736" s="12">
        <f t="shared" si="12"/>
        <v>0</v>
      </c>
    </row>
    <row r="737" spans="9:9">
      <c r="I737" s="12">
        <f t="shared" si="12"/>
        <v>0</v>
      </c>
    </row>
    <row r="738" spans="9:9">
      <c r="I738" s="12">
        <f t="shared" si="12"/>
        <v>0</v>
      </c>
    </row>
    <row r="739" spans="9:9">
      <c r="I739" s="12">
        <f t="shared" si="12"/>
        <v>0</v>
      </c>
    </row>
    <row r="740" spans="9:9">
      <c r="I740" s="12">
        <f t="shared" si="12"/>
        <v>0</v>
      </c>
    </row>
    <row r="741" spans="9:9">
      <c r="I741" s="12">
        <f t="shared" si="12"/>
        <v>0</v>
      </c>
    </row>
    <row r="742" spans="9:9">
      <c r="I742" s="12">
        <f t="shared" si="12"/>
        <v>0</v>
      </c>
    </row>
    <row r="743" spans="9:9">
      <c r="I743" s="12">
        <f t="shared" si="12"/>
        <v>0</v>
      </c>
    </row>
    <row r="744" spans="9:9">
      <c r="I744" s="12">
        <f t="shared" si="12"/>
        <v>0</v>
      </c>
    </row>
    <row r="745" spans="9:9">
      <c r="I745" s="12">
        <f t="shared" si="12"/>
        <v>0</v>
      </c>
    </row>
    <row r="746" spans="9:9">
      <c r="I746" s="12">
        <f t="shared" si="12"/>
        <v>0</v>
      </c>
    </row>
    <row r="747" spans="9:9">
      <c r="I747" s="12">
        <f t="shared" si="12"/>
        <v>0</v>
      </c>
    </row>
    <row r="748" spans="9:9">
      <c r="I748" s="12">
        <f t="shared" si="12"/>
        <v>0</v>
      </c>
    </row>
    <row r="749" spans="9:9">
      <c r="I749" s="12">
        <f t="shared" si="12"/>
        <v>0</v>
      </c>
    </row>
    <row r="750" spans="9:9">
      <c r="I750" s="12">
        <f t="shared" si="12"/>
        <v>0</v>
      </c>
    </row>
    <row r="751" spans="9:9">
      <c r="I751" s="12">
        <f t="shared" si="12"/>
        <v>0</v>
      </c>
    </row>
    <row r="752" spans="9:9">
      <c r="I752" s="12">
        <f t="shared" si="12"/>
        <v>0</v>
      </c>
    </row>
    <row r="753" spans="9:9">
      <c r="I753" s="12">
        <f t="shared" si="12"/>
        <v>0</v>
      </c>
    </row>
    <row r="754" spans="9:9">
      <c r="I754" s="12">
        <f t="shared" si="12"/>
        <v>0</v>
      </c>
    </row>
    <row r="755" spans="9:9">
      <c r="I755" s="12">
        <f t="shared" si="12"/>
        <v>0</v>
      </c>
    </row>
    <row r="756" spans="9:9">
      <c r="I756" s="12">
        <f t="shared" si="12"/>
        <v>0</v>
      </c>
    </row>
    <row r="757" spans="9:9">
      <c r="I757" s="12">
        <f t="shared" si="12"/>
        <v>0</v>
      </c>
    </row>
    <row r="758" spans="9:9">
      <c r="I758" s="12">
        <f t="shared" si="12"/>
        <v>0</v>
      </c>
    </row>
    <row r="759" spans="9:9">
      <c r="I759" s="12">
        <f t="shared" si="12"/>
        <v>0</v>
      </c>
    </row>
    <row r="760" spans="9:9">
      <c r="I760" s="12">
        <f t="shared" si="12"/>
        <v>0</v>
      </c>
    </row>
    <row r="761" spans="9:9">
      <c r="I761" s="12">
        <f t="shared" si="12"/>
        <v>0</v>
      </c>
    </row>
    <row r="762" spans="9:9">
      <c r="I762" s="12">
        <f t="shared" si="12"/>
        <v>0</v>
      </c>
    </row>
    <row r="763" spans="9:9">
      <c r="I763" s="12">
        <f t="shared" si="12"/>
        <v>0</v>
      </c>
    </row>
    <row r="764" spans="9:9">
      <c r="I764" s="12">
        <f t="shared" si="12"/>
        <v>0</v>
      </c>
    </row>
    <row r="765" spans="9:9">
      <c r="I765" s="12">
        <f t="shared" si="12"/>
        <v>0</v>
      </c>
    </row>
    <row r="766" spans="9:9">
      <c r="I766" s="12">
        <f t="shared" si="12"/>
        <v>0</v>
      </c>
    </row>
    <row r="767" spans="9:9">
      <c r="I767" s="12">
        <f t="shared" si="12"/>
        <v>0</v>
      </c>
    </row>
    <row r="768" spans="9:9">
      <c r="I768" s="12">
        <f t="shared" si="12"/>
        <v>0</v>
      </c>
    </row>
    <row r="769" spans="9:9">
      <c r="I769" s="12">
        <f t="shared" si="12"/>
        <v>0</v>
      </c>
    </row>
    <row r="770" spans="9:9">
      <c r="I770" s="12">
        <f t="shared" ref="I770:I833" si="13">A770</f>
        <v>0</v>
      </c>
    </row>
    <row r="771" spans="9:9">
      <c r="I771" s="12">
        <f t="shared" si="13"/>
        <v>0</v>
      </c>
    </row>
    <row r="772" spans="9:9">
      <c r="I772" s="12">
        <f t="shared" si="13"/>
        <v>0</v>
      </c>
    </row>
    <row r="773" spans="9:9">
      <c r="I773" s="12">
        <f t="shared" si="13"/>
        <v>0</v>
      </c>
    </row>
    <row r="774" spans="9:9">
      <c r="I774" s="12">
        <f t="shared" si="13"/>
        <v>0</v>
      </c>
    </row>
    <row r="775" spans="9:9">
      <c r="I775" s="12">
        <f t="shared" si="13"/>
        <v>0</v>
      </c>
    </row>
    <row r="776" spans="9:9">
      <c r="I776" s="12">
        <f t="shared" si="13"/>
        <v>0</v>
      </c>
    </row>
    <row r="777" spans="9:9">
      <c r="I777" s="12">
        <f t="shared" si="13"/>
        <v>0</v>
      </c>
    </row>
    <row r="778" spans="9:9">
      <c r="I778" s="12">
        <f t="shared" si="13"/>
        <v>0</v>
      </c>
    </row>
    <row r="779" spans="9:9">
      <c r="I779" s="12">
        <f t="shared" si="13"/>
        <v>0</v>
      </c>
    </row>
    <row r="780" spans="9:9">
      <c r="I780" s="12">
        <f t="shared" si="13"/>
        <v>0</v>
      </c>
    </row>
    <row r="781" spans="9:9">
      <c r="I781" s="12">
        <f t="shared" si="13"/>
        <v>0</v>
      </c>
    </row>
    <row r="782" spans="9:9">
      <c r="I782" s="12">
        <f t="shared" si="13"/>
        <v>0</v>
      </c>
    </row>
    <row r="783" spans="9:9">
      <c r="I783" s="12">
        <f t="shared" si="13"/>
        <v>0</v>
      </c>
    </row>
    <row r="784" spans="9:9">
      <c r="I784" s="12">
        <f t="shared" si="13"/>
        <v>0</v>
      </c>
    </row>
    <row r="785" spans="9:9">
      <c r="I785" s="12">
        <f t="shared" si="13"/>
        <v>0</v>
      </c>
    </row>
    <row r="786" spans="9:9">
      <c r="I786" s="12">
        <f t="shared" si="13"/>
        <v>0</v>
      </c>
    </row>
    <row r="787" spans="9:9">
      <c r="I787" s="12">
        <f t="shared" si="13"/>
        <v>0</v>
      </c>
    </row>
    <row r="788" spans="9:9">
      <c r="I788" s="12">
        <f t="shared" si="13"/>
        <v>0</v>
      </c>
    </row>
    <row r="789" spans="9:9">
      <c r="I789" s="12">
        <f t="shared" si="13"/>
        <v>0</v>
      </c>
    </row>
    <row r="790" spans="9:9">
      <c r="I790" s="12">
        <f t="shared" si="13"/>
        <v>0</v>
      </c>
    </row>
    <row r="791" spans="9:9">
      <c r="I791" s="12">
        <f t="shared" si="13"/>
        <v>0</v>
      </c>
    </row>
    <row r="792" spans="9:9">
      <c r="I792" s="12">
        <f t="shared" si="13"/>
        <v>0</v>
      </c>
    </row>
    <row r="793" spans="9:9">
      <c r="I793" s="12">
        <f t="shared" si="13"/>
        <v>0</v>
      </c>
    </row>
    <row r="794" spans="9:9">
      <c r="I794" s="12">
        <f t="shared" si="13"/>
        <v>0</v>
      </c>
    </row>
    <row r="795" spans="9:9">
      <c r="I795" s="12">
        <f t="shared" si="13"/>
        <v>0</v>
      </c>
    </row>
    <row r="796" spans="9:9">
      <c r="I796" s="12">
        <f t="shared" si="13"/>
        <v>0</v>
      </c>
    </row>
    <row r="797" spans="9:9">
      <c r="I797" s="12">
        <f t="shared" si="13"/>
        <v>0</v>
      </c>
    </row>
    <row r="798" spans="9:9">
      <c r="I798" s="12">
        <f t="shared" si="13"/>
        <v>0</v>
      </c>
    </row>
    <row r="799" spans="9:9">
      <c r="I799" s="12">
        <f t="shared" si="13"/>
        <v>0</v>
      </c>
    </row>
    <row r="800" spans="9:9">
      <c r="I800" s="12">
        <f t="shared" si="13"/>
        <v>0</v>
      </c>
    </row>
    <row r="801" spans="9:9">
      <c r="I801" s="12">
        <f t="shared" si="13"/>
        <v>0</v>
      </c>
    </row>
    <row r="802" spans="9:9">
      <c r="I802" s="12">
        <f t="shared" si="13"/>
        <v>0</v>
      </c>
    </row>
    <row r="803" spans="9:9">
      <c r="I803" s="12">
        <f t="shared" si="13"/>
        <v>0</v>
      </c>
    </row>
    <row r="804" spans="9:9">
      <c r="I804" s="12">
        <f t="shared" si="13"/>
        <v>0</v>
      </c>
    </row>
    <row r="805" spans="9:9">
      <c r="I805" s="12">
        <f t="shared" si="13"/>
        <v>0</v>
      </c>
    </row>
    <row r="806" spans="9:9">
      <c r="I806" s="12">
        <f t="shared" si="13"/>
        <v>0</v>
      </c>
    </row>
    <row r="807" spans="9:9">
      <c r="I807" s="12">
        <f t="shared" si="13"/>
        <v>0</v>
      </c>
    </row>
    <row r="808" spans="9:9">
      <c r="I808" s="12">
        <f t="shared" si="13"/>
        <v>0</v>
      </c>
    </row>
    <row r="809" spans="9:9">
      <c r="I809" s="12">
        <f t="shared" si="13"/>
        <v>0</v>
      </c>
    </row>
    <row r="810" spans="9:9">
      <c r="I810" s="12">
        <f t="shared" si="13"/>
        <v>0</v>
      </c>
    </row>
    <row r="811" spans="9:9">
      <c r="I811" s="12">
        <f t="shared" si="13"/>
        <v>0</v>
      </c>
    </row>
    <row r="812" spans="9:9">
      <c r="I812" s="12">
        <f t="shared" si="13"/>
        <v>0</v>
      </c>
    </row>
    <row r="813" spans="9:9">
      <c r="I813" s="12">
        <f t="shared" si="13"/>
        <v>0</v>
      </c>
    </row>
    <row r="814" spans="9:9">
      <c r="I814" s="12">
        <f t="shared" si="13"/>
        <v>0</v>
      </c>
    </row>
    <row r="815" spans="9:9">
      <c r="I815" s="12">
        <f t="shared" si="13"/>
        <v>0</v>
      </c>
    </row>
    <row r="816" spans="9:9">
      <c r="I816" s="12">
        <f t="shared" si="13"/>
        <v>0</v>
      </c>
    </row>
    <row r="817" spans="9:9">
      <c r="I817" s="12">
        <f t="shared" si="13"/>
        <v>0</v>
      </c>
    </row>
    <row r="818" spans="9:9">
      <c r="I818" s="12">
        <f t="shared" si="13"/>
        <v>0</v>
      </c>
    </row>
    <row r="819" spans="9:9">
      <c r="I819" s="12">
        <f t="shared" si="13"/>
        <v>0</v>
      </c>
    </row>
    <row r="820" spans="9:9">
      <c r="I820" s="12">
        <f t="shared" si="13"/>
        <v>0</v>
      </c>
    </row>
    <row r="821" spans="9:9">
      <c r="I821" s="12">
        <f t="shared" si="13"/>
        <v>0</v>
      </c>
    </row>
    <row r="822" spans="9:9">
      <c r="I822" s="12">
        <f t="shared" si="13"/>
        <v>0</v>
      </c>
    </row>
    <row r="823" spans="9:9">
      <c r="I823" s="12">
        <f t="shared" si="13"/>
        <v>0</v>
      </c>
    </row>
    <row r="824" spans="9:9">
      <c r="I824" s="12">
        <f t="shared" si="13"/>
        <v>0</v>
      </c>
    </row>
    <row r="825" spans="9:9">
      <c r="I825" s="12">
        <f t="shared" si="13"/>
        <v>0</v>
      </c>
    </row>
    <row r="826" spans="9:9">
      <c r="I826" s="12">
        <f t="shared" si="13"/>
        <v>0</v>
      </c>
    </row>
    <row r="827" spans="9:9">
      <c r="I827" s="12">
        <f t="shared" si="13"/>
        <v>0</v>
      </c>
    </row>
    <row r="828" spans="9:9">
      <c r="I828" s="12">
        <f t="shared" si="13"/>
        <v>0</v>
      </c>
    </row>
    <row r="829" spans="9:9">
      <c r="I829" s="12">
        <f t="shared" si="13"/>
        <v>0</v>
      </c>
    </row>
    <row r="830" spans="9:9">
      <c r="I830" s="12">
        <f t="shared" si="13"/>
        <v>0</v>
      </c>
    </row>
    <row r="831" spans="9:9">
      <c r="I831" s="12">
        <f t="shared" si="13"/>
        <v>0</v>
      </c>
    </row>
    <row r="832" spans="9:9">
      <c r="I832" s="12">
        <f t="shared" si="13"/>
        <v>0</v>
      </c>
    </row>
    <row r="833" spans="9:9">
      <c r="I833" s="12">
        <f t="shared" si="13"/>
        <v>0</v>
      </c>
    </row>
    <row r="834" spans="9:9">
      <c r="I834" s="12">
        <f t="shared" ref="I834:I897" si="14">A834</f>
        <v>0</v>
      </c>
    </row>
    <row r="835" spans="9:9">
      <c r="I835" s="12">
        <f t="shared" si="14"/>
        <v>0</v>
      </c>
    </row>
    <row r="836" spans="9:9">
      <c r="I836" s="12">
        <f t="shared" si="14"/>
        <v>0</v>
      </c>
    </row>
    <row r="837" spans="9:9">
      <c r="I837" s="12">
        <f t="shared" si="14"/>
        <v>0</v>
      </c>
    </row>
    <row r="838" spans="9:9">
      <c r="I838" s="12">
        <f t="shared" si="14"/>
        <v>0</v>
      </c>
    </row>
    <row r="839" spans="9:9">
      <c r="I839" s="12">
        <f t="shared" si="14"/>
        <v>0</v>
      </c>
    </row>
    <row r="840" spans="9:9">
      <c r="I840" s="12">
        <f t="shared" si="14"/>
        <v>0</v>
      </c>
    </row>
    <row r="841" spans="9:9">
      <c r="I841" s="12">
        <f t="shared" si="14"/>
        <v>0</v>
      </c>
    </row>
    <row r="842" spans="9:9">
      <c r="I842" s="12">
        <f t="shared" si="14"/>
        <v>0</v>
      </c>
    </row>
    <row r="843" spans="9:9">
      <c r="I843" s="12">
        <f t="shared" si="14"/>
        <v>0</v>
      </c>
    </row>
    <row r="844" spans="9:9">
      <c r="I844" s="12">
        <f t="shared" si="14"/>
        <v>0</v>
      </c>
    </row>
    <row r="845" spans="9:9">
      <c r="I845" s="12">
        <f t="shared" si="14"/>
        <v>0</v>
      </c>
    </row>
    <row r="846" spans="9:9">
      <c r="I846" s="12">
        <f t="shared" si="14"/>
        <v>0</v>
      </c>
    </row>
    <row r="847" spans="9:9">
      <c r="I847" s="12">
        <f t="shared" si="14"/>
        <v>0</v>
      </c>
    </row>
    <row r="848" spans="9:9">
      <c r="I848" s="12">
        <f t="shared" si="14"/>
        <v>0</v>
      </c>
    </row>
    <row r="849" spans="9:9">
      <c r="I849" s="12">
        <f t="shared" si="14"/>
        <v>0</v>
      </c>
    </row>
    <row r="850" spans="9:9">
      <c r="I850" s="12">
        <f t="shared" si="14"/>
        <v>0</v>
      </c>
    </row>
    <row r="851" spans="9:9">
      <c r="I851" s="12">
        <f t="shared" si="14"/>
        <v>0</v>
      </c>
    </row>
    <row r="852" spans="9:9">
      <c r="I852" s="12">
        <f t="shared" si="14"/>
        <v>0</v>
      </c>
    </row>
    <row r="853" spans="9:9">
      <c r="I853" s="12">
        <f t="shared" si="14"/>
        <v>0</v>
      </c>
    </row>
    <row r="854" spans="9:9">
      <c r="I854" s="12">
        <f t="shared" si="14"/>
        <v>0</v>
      </c>
    </row>
    <row r="855" spans="9:9">
      <c r="I855" s="12">
        <f t="shared" si="14"/>
        <v>0</v>
      </c>
    </row>
    <row r="856" spans="9:9">
      <c r="I856" s="12">
        <f t="shared" si="14"/>
        <v>0</v>
      </c>
    </row>
    <row r="857" spans="9:9">
      <c r="I857" s="12">
        <f t="shared" si="14"/>
        <v>0</v>
      </c>
    </row>
    <row r="858" spans="9:9">
      <c r="I858" s="12">
        <f t="shared" si="14"/>
        <v>0</v>
      </c>
    </row>
    <row r="859" spans="9:9">
      <c r="I859" s="12">
        <f t="shared" si="14"/>
        <v>0</v>
      </c>
    </row>
    <row r="860" spans="9:9">
      <c r="I860" s="12">
        <f t="shared" si="14"/>
        <v>0</v>
      </c>
    </row>
    <row r="861" spans="9:9">
      <c r="I861" s="12">
        <f t="shared" si="14"/>
        <v>0</v>
      </c>
    </row>
    <row r="862" spans="9:9">
      <c r="I862" s="12">
        <f t="shared" si="14"/>
        <v>0</v>
      </c>
    </row>
    <row r="863" spans="9:9">
      <c r="I863" s="12">
        <f t="shared" si="14"/>
        <v>0</v>
      </c>
    </row>
    <row r="864" spans="9:9">
      <c r="I864" s="12">
        <f t="shared" si="14"/>
        <v>0</v>
      </c>
    </row>
    <row r="865" spans="9:9">
      <c r="I865" s="12">
        <f t="shared" si="14"/>
        <v>0</v>
      </c>
    </row>
    <row r="866" spans="9:9">
      <c r="I866" s="12">
        <f t="shared" si="14"/>
        <v>0</v>
      </c>
    </row>
    <row r="867" spans="9:9">
      <c r="I867" s="12">
        <f t="shared" si="14"/>
        <v>0</v>
      </c>
    </row>
    <row r="868" spans="9:9">
      <c r="I868" s="12">
        <f t="shared" si="14"/>
        <v>0</v>
      </c>
    </row>
    <row r="869" spans="9:9">
      <c r="I869" s="12">
        <f t="shared" si="14"/>
        <v>0</v>
      </c>
    </row>
    <row r="870" spans="9:9">
      <c r="I870" s="12">
        <f t="shared" si="14"/>
        <v>0</v>
      </c>
    </row>
    <row r="871" spans="9:9">
      <c r="I871" s="12">
        <f t="shared" si="14"/>
        <v>0</v>
      </c>
    </row>
    <row r="872" spans="9:9">
      <c r="I872" s="12">
        <f t="shared" si="14"/>
        <v>0</v>
      </c>
    </row>
    <row r="873" spans="9:9">
      <c r="I873" s="12">
        <f t="shared" si="14"/>
        <v>0</v>
      </c>
    </row>
    <row r="874" spans="9:9">
      <c r="I874" s="12">
        <f t="shared" si="14"/>
        <v>0</v>
      </c>
    </row>
    <row r="875" spans="9:9">
      <c r="I875" s="12">
        <f t="shared" si="14"/>
        <v>0</v>
      </c>
    </row>
    <row r="876" spans="9:9">
      <c r="I876" s="12">
        <f t="shared" si="14"/>
        <v>0</v>
      </c>
    </row>
    <row r="877" spans="9:9">
      <c r="I877" s="12">
        <f t="shared" si="14"/>
        <v>0</v>
      </c>
    </row>
    <row r="878" spans="9:9">
      <c r="I878" s="12">
        <f t="shared" si="14"/>
        <v>0</v>
      </c>
    </row>
    <row r="879" spans="9:9">
      <c r="I879" s="12">
        <f t="shared" si="14"/>
        <v>0</v>
      </c>
    </row>
    <row r="880" spans="9:9">
      <c r="I880" s="12">
        <f t="shared" si="14"/>
        <v>0</v>
      </c>
    </row>
    <row r="881" spans="9:9">
      <c r="I881" s="12">
        <f t="shared" si="14"/>
        <v>0</v>
      </c>
    </row>
    <row r="882" spans="9:9">
      <c r="I882" s="12">
        <f t="shared" si="14"/>
        <v>0</v>
      </c>
    </row>
    <row r="883" spans="9:9">
      <c r="I883" s="12">
        <f t="shared" si="14"/>
        <v>0</v>
      </c>
    </row>
    <row r="884" spans="9:9">
      <c r="I884" s="12">
        <f t="shared" si="14"/>
        <v>0</v>
      </c>
    </row>
    <row r="885" spans="9:9">
      <c r="I885" s="12">
        <f t="shared" si="14"/>
        <v>0</v>
      </c>
    </row>
    <row r="886" spans="9:9">
      <c r="I886" s="12">
        <f t="shared" si="14"/>
        <v>0</v>
      </c>
    </row>
    <row r="887" spans="9:9">
      <c r="I887" s="12">
        <f t="shared" si="14"/>
        <v>0</v>
      </c>
    </row>
    <row r="888" spans="9:9">
      <c r="I888" s="12">
        <f t="shared" si="14"/>
        <v>0</v>
      </c>
    </row>
    <row r="889" spans="9:9">
      <c r="I889" s="12">
        <f t="shared" si="14"/>
        <v>0</v>
      </c>
    </row>
    <row r="890" spans="9:9">
      <c r="I890" s="12">
        <f t="shared" si="14"/>
        <v>0</v>
      </c>
    </row>
    <row r="891" spans="9:9">
      <c r="I891" s="12">
        <f t="shared" si="14"/>
        <v>0</v>
      </c>
    </row>
    <row r="892" spans="9:9">
      <c r="I892" s="12">
        <f t="shared" si="14"/>
        <v>0</v>
      </c>
    </row>
    <row r="893" spans="9:9">
      <c r="I893" s="12">
        <f t="shared" si="14"/>
        <v>0</v>
      </c>
    </row>
    <row r="894" spans="9:9">
      <c r="I894" s="12">
        <f t="shared" si="14"/>
        <v>0</v>
      </c>
    </row>
    <row r="895" spans="9:9">
      <c r="I895" s="12">
        <f t="shared" si="14"/>
        <v>0</v>
      </c>
    </row>
    <row r="896" spans="9:9">
      <c r="I896" s="12">
        <f t="shared" si="14"/>
        <v>0</v>
      </c>
    </row>
    <row r="897" spans="9:9">
      <c r="I897" s="12">
        <f t="shared" si="14"/>
        <v>0</v>
      </c>
    </row>
    <row r="898" spans="9:9">
      <c r="I898" s="12">
        <f t="shared" ref="I898:I961" si="15">A898</f>
        <v>0</v>
      </c>
    </row>
    <row r="899" spans="9:9">
      <c r="I899" s="12">
        <f t="shared" si="15"/>
        <v>0</v>
      </c>
    </row>
    <row r="900" spans="9:9">
      <c r="I900" s="12">
        <f t="shared" si="15"/>
        <v>0</v>
      </c>
    </row>
    <row r="901" spans="9:9">
      <c r="I901" s="12">
        <f t="shared" si="15"/>
        <v>0</v>
      </c>
    </row>
    <row r="902" spans="9:9">
      <c r="I902" s="12">
        <f t="shared" si="15"/>
        <v>0</v>
      </c>
    </row>
    <row r="903" spans="9:9">
      <c r="I903" s="12">
        <f t="shared" si="15"/>
        <v>0</v>
      </c>
    </row>
    <row r="904" spans="9:9">
      <c r="I904" s="12">
        <f t="shared" si="15"/>
        <v>0</v>
      </c>
    </row>
    <row r="905" spans="9:9">
      <c r="I905" s="12">
        <f t="shared" si="15"/>
        <v>0</v>
      </c>
    </row>
    <row r="906" spans="9:9">
      <c r="I906" s="12">
        <f t="shared" si="15"/>
        <v>0</v>
      </c>
    </row>
    <row r="907" spans="9:9">
      <c r="I907" s="12">
        <f t="shared" si="15"/>
        <v>0</v>
      </c>
    </row>
    <row r="908" spans="9:9">
      <c r="I908" s="12">
        <f t="shared" si="15"/>
        <v>0</v>
      </c>
    </row>
    <row r="909" spans="9:9">
      <c r="I909" s="12">
        <f t="shared" si="15"/>
        <v>0</v>
      </c>
    </row>
    <row r="910" spans="9:9">
      <c r="I910" s="12">
        <f t="shared" si="15"/>
        <v>0</v>
      </c>
    </row>
    <row r="911" spans="9:9">
      <c r="I911" s="12">
        <f t="shared" si="15"/>
        <v>0</v>
      </c>
    </row>
    <row r="912" spans="9:9">
      <c r="I912" s="12">
        <f t="shared" si="15"/>
        <v>0</v>
      </c>
    </row>
    <row r="913" spans="9:9">
      <c r="I913" s="12">
        <f t="shared" si="15"/>
        <v>0</v>
      </c>
    </row>
    <row r="914" spans="9:9">
      <c r="I914" s="12">
        <f t="shared" si="15"/>
        <v>0</v>
      </c>
    </row>
    <row r="915" spans="9:9">
      <c r="I915" s="12">
        <f t="shared" si="15"/>
        <v>0</v>
      </c>
    </row>
    <row r="916" spans="9:9">
      <c r="I916" s="12">
        <f t="shared" si="15"/>
        <v>0</v>
      </c>
    </row>
    <row r="917" spans="9:9">
      <c r="I917" s="12">
        <f t="shared" si="15"/>
        <v>0</v>
      </c>
    </row>
    <row r="918" spans="9:9">
      <c r="I918" s="12">
        <f t="shared" si="15"/>
        <v>0</v>
      </c>
    </row>
    <row r="919" spans="9:9">
      <c r="I919" s="12">
        <f t="shared" si="15"/>
        <v>0</v>
      </c>
    </row>
    <row r="920" spans="9:9">
      <c r="I920" s="12">
        <f t="shared" si="15"/>
        <v>0</v>
      </c>
    </row>
    <row r="921" spans="9:9">
      <c r="I921" s="12">
        <f t="shared" si="15"/>
        <v>0</v>
      </c>
    </row>
    <row r="922" spans="9:9">
      <c r="I922" s="12">
        <f t="shared" si="15"/>
        <v>0</v>
      </c>
    </row>
    <row r="923" spans="9:9">
      <c r="I923" s="12">
        <f t="shared" si="15"/>
        <v>0</v>
      </c>
    </row>
    <row r="924" spans="9:9">
      <c r="I924" s="12">
        <f t="shared" si="15"/>
        <v>0</v>
      </c>
    </row>
    <row r="925" spans="9:9">
      <c r="I925" s="12">
        <f t="shared" si="15"/>
        <v>0</v>
      </c>
    </row>
    <row r="926" spans="9:9">
      <c r="I926" s="12">
        <f t="shared" si="15"/>
        <v>0</v>
      </c>
    </row>
    <row r="927" spans="9:9">
      <c r="I927" s="12">
        <f t="shared" si="15"/>
        <v>0</v>
      </c>
    </row>
    <row r="928" spans="9:9">
      <c r="I928" s="12">
        <f t="shared" si="15"/>
        <v>0</v>
      </c>
    </row>
    <row r="929" spans="9:9">
      <c r="I929" s="12">
        <f t="shared" si="15"/>
        <v>0</v>
      </c>
    </row>
    <row r="930" spans="9:9">
      <c r="I930" s="12">
        <f t="shared" si="15"/>
        <v>0</v>
      </c>
    </row>
    <row r="931" spans="9:9">
      <c r="I931" s="12">
        <f t="shared" si="15"/>
        <v>0</v>
      </c>
    </row>
    <row r="932" spans="9:9">
      <c r="I932" s="12">
        <f t="shared" si="15"/>
        <v>0</v>
      </c>
    </row>
    <row r="933" spans="9:9">
      <c r="I933" s="12">
        <f t="shared" si="15"/>
        <v>0</v>
      </c>
    </row>
    <row r="934" spans="9:9">
      <c r="I934" s="12">
        <f t="shared" si="15"/>
        <v>0</v>
      </c>
    </row>
    <row r="935" spans="9:9">
      <c r="I935" s="12">
        <f t="shared" si="15"/>
        <v>0</v>
      </c>
    </row>
    <row r="936" spans="9:9">
      <c r="I936" s="12">
        <f t="shared" si="15"/>
        <v>0</v>
      </c>
    </row>
    <row r="937" spans="9:9">
      <c r="I937" s="12">
        <f t="shared" si="15"/>
        <v>0</v>
      </c>
    </row>
    <row r="938" spans="9:9">
      <c r="I938" s="12">
        <f t="shared" si="15"/>
        <v>0</v>
      </c>
    </row>
    <row r="939" spans="9:9">
      <c r="I939" s="12">
        <f t="shared" si="15"/>
        <v>0</v>
      </c>
    </row>
    <row r="940" spans="9:9">
      <c r="I940" s="12">
        <f t="shared" si="15"/>
        <v>0</v>
      </c>
    </row>
    <row r="941" spans="9:9">
      <c r="I941" s="12">
        <f t="shared" si="15"/>
        <v>0</v>
      </c>
    </row>
    <row r="942" spans="9:9">
      <c r="I942" s="12">
        <f t="shared" si="15"/>
        <v>0</v>
      </c>
    </row>
    <row r="943" spans="9:9">
      <c r="I943" s="12">
        <f t="shared" si="15"/>
        <v>0</v>
      </c>
    </row>
    <row r="944" spans="9:9">
      <c r="I944" s="12">
        <f t="shared" si="15"/>
        <v>0</v>
      </c>
    </row>
    <row r="945" spans="9:9">
      <c r="I945" s="12">
        <f t="shared" si="15"/>
        <v>0</v>
      </c>
    </row>
    <row r="946" spans="9:9">
      <c r="I946" s="12">
        <f t="shared" si="15"/>
        <v>0</v>
      </c>
    </row>
    <row r="947" spans="9:9">
      <c r="I947" s="12">
        <f t="shared" si="15"/>
        <v>0</v>
      </c>
    </row>
    <row r="948" spans="9:9">
      <c r="I948" s="12">
        <f t="shared" si="15"/>
        <v>0</v>
      </c>
    </row>
    <row r="949" spans="9:9">
      <c r="I949" s="12">
        <f t="shared" si="15"/>
        <v>0</v>
      </c>
    </row>
    <row r="950" spans="9:9">
      <c r="I950" s="12">
        <f t="shared" si="15"/>
        <v>0</v>
      </c>
    </row>
    <row r="951" spans="9:9">
      <c r="I951" s="12">
        <f t="shared" si="15"/>
        <v>0</v>
      </c>
    </row>
    <row r="952" spans="9:9">
      <c r="I952" s="12">
        <f t="shared" si="15"/>
        <v>0</v>
      </c>
    </row>
    <row r="953" spans="9:9">
      <c r="I953" s="12">
        <f t="shared" si="15"/>
        <v>0</v>
      </c>
    </row>
    <row r="954" spans="9:9">
      <c r="I954" s="12">
        <f t="shared" si="15"/>
        <v>0</v>
      </c>
    </row>
    <row r="955" spans="9:9">
      <c r="I955" s="12">
        <f t="shared" si="15"/>
        <v>0</v>
      </c>
    </row>
    <row r="956" spans="9:9">
      <c r="I956" s="12">
        <f t="shared" si="15"/>
        <v>0</v>
      </c>
    </row>
    <row r="957" spans="9:9">
      <c r="I957" s="12">
        <f t="shared" si="15"/>
        <v>0</v>
      </c>
    </row>
    <row r="958" spans="9:9">
      <c r="I958" s="12">
        <f t="shared" si="15"/>
        <v>0</v>
      </c>
    </row>
    <row r="959" spans="9:9">
      <c r="I959" s="12">
        <f t="shared" si="15"/>
        <v>0</v>
      </c>
    </row>
    <row r="960" spans="9:9">
      <c r="I960" s="12">
        <f t="shared" si="15"/>
        <v>0</v>
      </c>
    </row>
    <row r="961" spans="9:9">
      <c r="I961" s="12">
        <f t="shared" si="15"/>
        <v>0</v>
      </c>
    </row>
    <row r="962" spans="9:9">
      <c r="I962" s="12">
        <f t="shared" ref="I962:I1025" si="16">A962</f>
        <v>0</v>
      </c>
    </row>
    <row r="963" spans="9:9">
      <c r="I963" s="12">
        <f t="shared" si="16"/>
        <v>0</v>
      </c>
    </row>
    <row r="964" spans="9:9">
      <c r="I964" s="12">
        <f t="shared" si="16"/>
        <v>0</v>
      </c>
    </row>
    <row r="965" spans="9:9">
      <c r="I965" s="12">
        <f t="shared" si="16"/>
        <v>0</v>
      </c>
    </row>
    <row r="966" spans="9:9">
      <c r="I966" s="12">
        <f t="shared" si="16"/>
        <v>0</v>
      </c>
    </row>
    <row r="967" spans="9:9">
      <c r="I967" s="12">
        <f t="shared" si="16"/>
        <v>0</v>
      </c>
    </row>
    <row r="968" spans="9:9">
      <c r="I968" s="12">
        <f t="shared" si="16"/>
        <v>0</v>
      </c>
    </row>
    <row r="969" spans="9:9">
      <c r="I969" s="12">
        <f t="shared" si="16"/>
        <v>0</v>
      </c>
    </row>
    <row r="970" spans="9:9">
      <c r="I970" s="12">
        <f t="shared" si="16"/>
        <v>0</v>
      </c>
    </row>
    <row r="971" spans="9:9">
      <c r="I971" s="12">
        <f t="shared" si="16"/>
        <v>0</v>
      </c>
    </row>
    <row r="972" spans="9:9">
      <c r="I972" s="12">
        <f t="shared" si="16"/>
        <v>0</v>
      </c>
    </row>
    <row r="973" spans="9:9">
      <c r="I973" s="12">
        <f t="shared" si="16"/>
        <v>0</v>
      </c>
    </row>
    <row r="974" spans="9:9">
      <c r="I974" s="12">
        <f t="shared" si="16"/>
        <v>0</v>
      </c>
    </row>
    <row r="975" spans="9:9">
      <c r="I975" s="12">
        <f t="shared" si="16"/>
        <v>0</v>
      </c>
    </row>
    <row r="976" spans="9:9">
      <c r="I976" s="12">
        <f t="shared" si="16"/>
        <v>0</v>
      </c>
    </row>
    <row r="977" spans="9:9">
      <c r="I977" s="12">
        <f t="shared" si="16"/>
        <v>0</v>
      </c>
    </row>
    <row r="978" spans="9:9">
      <c r="I978" s="12">
        <f t="shared" si="16"/>
        <v>0</v>
      </c>
    </row>
    <row r="979" spans="9:9">
      <c r="I979" s="12">
        <f t="shared" si="16"/>
        <v>0</v>
      </c>
    </row>
    <row r="980" spans="9:9">
      <c r="I980" s="12">
        <f t="shared" si="16"/>
        <v>0</v>
      </c>
    </row>
    <row r="981" spans="9:9">
      <c r="I981" s="12">
        <f t="shared" si="16"/>
        <v>0</v>
      </c>
    </row>
    <row r="982" spans="9:9">
      <c r="I982" s="12">
        <f t="shared" si="16"/>
        <v>0</v>
      </c>
    </row>
    <row r="983" spans="9:9">
      <c r="I983" s="12">
        <f t="shared" si="16"/>
        <v>0</v>
      </c>
    </row>
    <row r="984" spans="9:9">
      <c r="I984" s="12">
        <f t="shared" si="16"/>
        <v>0</v>
      </c>
    </row>
    <row r="985" spans="9:9">
      <c r="I985" s="12">
        <f t="shared" si="16"/>
        <v>0</v>
      </c>
    </row>
    <row r="986" spans="9:9">
      <c r="I986" s="12">
        <f t="shared" si="16"/>
        <v>0</v>
      </c>
    </row>
    <row r="987" spans="9:9">
      <c r="I987" s="12">
        <f t="shared" si="16"/>
        <v>0</v>
      </c>
    </row>
    <row r="988" spans="9:9">
      <c r="I988" s="12">
        <f t="shared" si="16"/>
        <v>0</v>
      </c>
    </row>
    <row r="989" spans="9:9">
      <c r="I989" s="12">
        <f t="shared" si="16"/>
        <v>0</v>
      </c>
    </row>
    <row r="990" spans="9:9">
      <c r="I990" s="12">
        <f t="shared" si="16"/>
        <v>0</v>
      </c>
    </row>
    <row r="991" spans="9:9">
      <c r="I991" s="12">
        <f t="shared" si="16"/>
        <v>0</v>
      </c>
    </row>
    <row r="992" spans="9:9">
      <c r="I992" s="12">
        <f t="shared" si="16"/>
        <v>0</v>
      </c>
    </row>
    <row r="993" spans="9:9">
      <c r="I993" s="12">
        <f t="shared" si="16"/>
        <v>0</v>
      </c>
    </row>
    <row r="994" spans="9:9">
      <c r="I994" s="12">
        <f t="shared" si="16"/>
        <v>0</v>
      </c>
    </row>
    <row r="995" spans="9:9">
      <c r="I995" s="12">
        <f t="shared" si="16"/>
        <v>0</v>
      </c>
    </row>
    <row r="996" spans="9:9">
      <c r="I996" s="12">
        <f t="shared" si="16"/>
        <v>0</v>
      </c>
    </row>
    <row r="997" spans="9:9">
      <c r="I997" s="12">
        <f t="shared" si="16"/>
        <v>0</v>
      </c>
    </row>
    <row r="998" spans="9:9">
      <c r="I998" s="12">
        <f t="shared" si="16"/>
        <v>0</v>
      </c>
    </row>
    <row r="999" spans="9:9">
      <c r="I999" s="12">
        <f t="shared" si="16"/>
        <v>0</v>
      </c>
    </row>
    <row r="1000" spans="9:9">
      <c r="I1000" s="12">
        <f t="shared" si="16"/>
        <v>0</v>
      </c>
    </row>
    <row r="1001" spans="9:9">
      <c r="I1001" s="12">
        <f t="shared" si="16"/>
        <v>0</v>
      </c>
    </row>
    <row r="1002" spans="9:9">
      <c r="I1002" s="12">
        <f t="shared" si="16"/>
        <v>0</v>
      </c>
    </row>
    <row r="1003" spans="9:9">
      <c r="I1003" s="12">
        <f t="shared" si="16"/>
        <v>0</v>
      </c>
    </row>
    <row r="1004" spans="9:9">
      <c r="I1004" s="12">
        <f t="shared" si="16"/>
        <v>0</v>
      </c>
    </row>
    <row r="1005" spans="9:9">
      <c r="I1005" s="12">
        <f t="shared" si="16"/>
        <v>0</v>
      </c>
    </row>
    <row r="1006" spans="9:9">
      <c r="I1006" s="12">
        <f t="shared" si="16"/>
        <v>0</v>
      </c>
    </row>
    <row r="1007" spans="9:9">
      <c r="I1007" s="12">
        <f t="shared" si="16"/>
        <v>0</v>
      </c>
    </row>
    <row r="1008" spans="9:9">
      <c r="I1008" s="12">
        <f t="shared" si="16"/>
        <v>0</v>
      </c>
    </row>
    <row r="1009" spans="9:9">
      <c r="I1009" s="12">
        <f t="shared" si="16"/>
        <v>0</v>
      </c>
    </row>
    <row r="1010" spans="9:9">
      <c r="I1010" s="12">
        <f t="shared" si="16"/>
        <v>0</v>
      </c>
    </row>
    <row r="1011" spans="9:9">
      <c r="I1011" s="12">
        <f t="shared" si="16"/>
        <v>0</v>
      </c>
    </row>
    <row r="1012" spans="9:9">
      <c r="I1012" s="12">
        <f t="shared" si="16"/>
        <v>0</v>
      </c>
    </row>
    <row r="1013" spans="9:9">
      <c r="I1013" s="12">
        <f t="shared" si="16"/>
        <v>0</v>
      </c>
    </row>
    <row r="1014" spans="9:9">
      <c r="I1014" s="12">
        <f t="shared" si="16"/>
        <v>0</v>
      </c>
    </row>
    <row r="1015" spans="9:9">
      <c r="I1015" s="12">
        <f t="shared" si="16"/>
        <v>0</v>
      </c>
    </row>
    <row r="1016" spans="9:9">
      <c r="I1016" s="12">
        <f t="shared" si="16"/>
        <v>0</v>
      </c>
    </row>
    <row r="1017" spans="9:9">
      <c r="I1017" s="12">
        <f t="shared" si="16"/>
        <v>0</v>
      </c>
    </row>
    <row r="1018" spans="9:9">
      <c r="I1018" s="12">
        <f t="shared" si="16"/>
        <v>0</v>
      </c>
    </row>
    <row r="1019" spans="9:9">
      <c r="I1019" s="12">
        <f t="shared" si="16"/>
        <v>0</v>
      </c>
    </row>
    <row r="1020" spans="9:9">
      <c r="I1020" s="12">
        <f t="shared" si="16"/>
        <v>0</v>
      </c>
    </row>
    <row r="1021" spans="9:9">
      <c r="I1021" s="12">
        <f t="shared" si="16"/>
        <v>0</v>
      </c>
    </row>
    <row r="1022" spans="9:9">
      <c r="I1022" s="12">
        <f t="shared" si="16"/>
        <v>0</v>
      </c>
    </row>
    <row r="1023" spans="9:9">
      <c r="I1023" s="12">
        <f t="shared" si="16"/>
        <v>0</v>
      </c>
    </row>
    <row r="1024" spans="9:9">
      <c r="I1024" s="12">
        <f t="shared" si="16"/>
        <v>0</v>
      </c>
    </row>
    <row r="1025" spans="9:9">
      <c r="I1025" s="12">
        <f t="shared" si="16"/>
        <v>0</v>
      </c>
    </row>
    <row r="1026" spans="9:9">
      <c r="I1026" s="12">
        <f t="shared" ref="I1026:I1089" si="17">A1026</f>
        <v>0</v>
      </c>
    </row>
    <row r="1027" spans="9:9">
      <c r="I1027" s="12">
        <f t="shared" si="17"/>
        <v>0</v>
      </c>
    </row>
    <row r="1028" spans="9:9">
      <c r="I1028" s="12">
        <f t="shared" si="17"/>
        <v>0</v>
      </c>
    </row>
    <row r="1029" spans="9:9">
      <c r="I1029" s="12">
        <f t="shared" si="17"/>
        <v>0</v>
      </c>
    </row>
    <row r="1030" spans="9:9">
      <c r="I1030" s="12">
        <f t="shared" si="17"/>
        <v>0</v>
      </c>
    </row>
    <row r="1031" spans="9:9">
      <c r="I1031" s="12">
        <f t="shared" si="17"/>
        <v>0</v>
      </c>
    </row>
    <row r="1032" spans="9:9">
      <c r="I1032" s="12">
        <f t="shared" si="17"/>
        <v>0</v>
      </c>
    </row>
    <row r="1033" spans="9:9">
      <c r="I1033" s="12">
        <f t="shared" si="17"/>
        <v>0</v>
      </c>
    </row>
    <row r="1034" spans="9:9">
      <c r="I1034" s="12">
        <f t="shared" si="17"/>
        <v>0</v>
      </c>
    </row>
    <row r="1035" spans="9:9">
      <c r="I1035" s="12">
        <f t="shared" si="17"/>
        <v>0</v>
      </c>
    </row>
    <row r="1036" spans="9:9">
      <c r="I1036" s="12">
        <f t="shared" si="17"/>
        <v>0</v>
      </c>
    </row>
    <row r="1037" spans="9:9">
      <c r="I1037" s="12">
        <f t="shared" si="17"/>
        <v>0</v>
      </c>
    </row>
    <row r="1038" spans="9:9">
      <c r="I1038" s="12">
        <f t="shared" si="17"/>
        <v>0</v>
      </c>
    </row>
    <row r="1039" spans="9:9">
      <c r="I1039" s="12">
        <f t="shared" si="17"/>
        <v>0</v>
      </c>
    </row>
    <row r="1040" spans="9:9">
      <c r="I1040" s="12">
        <f t="shared" si="17"/>
        <v>0</v>
      </c>
    </row>
    <row r="1041" spans="9:9">
      <c r="I1041" s="12">
        <f t="shared" si="17"/>
        <v>0</v>
      </c>
    </row>
    <row r="1042" spans="9:9">
      <c r="I1042" s="12">
        <f t="shared" si="17"/>
        <v>0</v>
      </c>
    </row>
    <row r="1043" spans="9:9">
      <c r="I1043" s="12">
        <f t="shared" si="17"/>
        <v>0</v>
      </c>
    </row>
    <row r="1044" spans="9:9">
      <c r="I1044" s="12">
        <f t="shared" si="17"/>
        <v>0</v>
      </c>
    </row>
    <row r="1045" spans="9:9">
      <c r="I1045" s="12">
        <f t="shared" si="17"/>
        <v>0</v>
      </c>
    </row>
    <row r="1046" spans="9:9">
      <c r="I1046" s="12">
        <f t="shared" si="17"/>
        <v>0</v>
      </c>
    </row>
    <row r="1047" spans="9:9">
      <c r="I1047" s="12">
        <f t="shared" si="17"/>
        <v>0</v>
      </c>
    </row>
    <row r="1048" spans="9:9">
      <c r="I1048" s="12">
        <f t="shared" si="17"/>
        <v>0</v>
      </c>
    </row>
    <row r="1049" spans="9:9">
      <c r="I1049" s="12">
        <f t="shared" si="17"/>
        <v>0</v>
      </c>
    </row>
    <row r="1050" spans="9:9">
      <c r="I1050" s="12">
        <f t="shared" si="17"/>
        <v>0</v>
      </c>
    </row>
    <row r="1051" spans="9:9">
      <c r="I1051" s="12">
        <f t="shared" si="17"/>
        <v>0</v>
      </c>
    </row>
    <row r="1052" spans="9:9">
      <c r="I1052" s="12">
        <f t="shared" si="17"/>
        <v>0</v>
      </c>
    </row>
    <row r="1053" spans="9:9">
      <c r="I1053" s="12">
        <f t="shared" si="17"/>
        <v>0</v>
      </c>
    </row>
    <row r="1054" spans="9:9">
      <c r="I1054" s="12">
        <f t="shared" si="17"/>
        <v>0</v>
      </c>
    </row>
    <row r="1055" spans="9:9">
      <c r="I1055" s="12">
        <f t="shared" si="17"/>
        <v>0</v>
      </c>
    </row>
    <row r="1056" spans="9:9">
      <c r="I1056" s="12">
        <f t="shared" si="17"/>
        <v>0</v>
      </c>
    </row>
    <row r="1057" spans="9:9">
      <c r="I1057" s="12">
        <f t="shared" si="17"/>
        <v>0</v>
      </c>
    </row>
    <row r="1058" spans="9:9">
      <c r="I1058" s="12">
        <f t="shared" si="17"/>
        <v>0</v>
      </c>
    </row>
    <row r="1059" spans="9:9">
      <c r="I1059" s="12">
        <f t="shared" si="17"/>
        <v>0</v>
      </c>
    </row>
    <row r="1060" spans="9:9">
      <c r="I1060" s="12">
        <f t="shared" si="17"/>
        <v>0</v>
      </c>
    </row>
    <row r="1061" spans="9:9">
      <c r="I1061" s="12">
        <f t="shared" si="17"/>
        <v>0</v>
      </c>
    </row>
    <row r="1062" spans="9:9">
      <c r="I1062" s="12">
        <f t="shared" si="17"/>
        <v>0</v>
      </c>
    </row>
    <row r="1063" spans="9:9">
      <c r="I1063" s="12">
        <f t="shared" si="17"/>
        <v>0</v>
      </c>
    </row>
    <row r="1064" spans="9:9">
      <c r="I1064" s="12">
        <f t="shared" si="17"/>
        <v>0</v>
      </c>
    </row>
    <row r="1065" spans="9:9">
      <c r="I1065" s="12">
        <f t="shared" si="17"/>
        <v>0</v>
      </c>
    </row>
    <row r="1066" spans="9:9">
      <c r="I1066" s="12">
        <f t="shared" si="17"/>
        <v>0</v>
      </c>
    </row>
    <row r="1067" spans="9:9">
      <c r="I1067" s="12">
        <f t="shared" si="17"/>
        <v>0</v>
      </c>
    </row>
    <row r="1068" spans="9:9">
      <c r="I1068" s="12">
        <f t="shared" si="17"/>
        <v>0</v>
      </c>
    </row>
    <row r="1069" spans="9:9">
      <c r="I1069" s="12">
        <f t="shared" si="17"/>
        <v>0</v>
      </c>
    </row>
    <row r="1070" spans="9:9">
      <c r="I1070" s="12">
        <f t="shared" si="17"/>
        <v>0</v>
      </c>
    </row>
    <row r="1071" spans="9:9">
      <c r="I1071" s="12">
        <f t="shared" si="17"/>
        <v>0</v>
      </c>
    </row>
    <row r="1072" spans="9:9">
      <c r="I1072" s="12">
        <f t="shared" si="17"/>
        <v>0</v>
      </c>
    </row>
    <row r="1073" spans="9:9">
      <c r="I1073" s="12">
        <f t="shared" si="17"/>
        <v>0</v>
      </c>
    </row>
    <row r="1074" spans="9:9">
      <c r="I1074" s="12">
        <f t="shared" si="17"/>
        <v>0</v>
      </c>
    </row>
    <row r="1075" spans="9:9">
      <c r="I1075" s="12">
        <f t="shared" si="17"/>
        <v>0</v>
      </c>
    </row>
    <row r="1076" spans="9:9">
      <c r="I1076" s="12">
        <f t="shared" si="17"/>
        <v>0</v>
      </c>
    </row>
    <row r="1077" spans="9:9">
      <c r="I1077" s="12">
        <f t="shared" si="17"/>
        <v>0</v>
      </c>
    </row>
    <row r="1078" spans="9:9">
      <c r="I1078" s="12">
        <f t="shared" si="17"/>
        <v>0</v>
      </c>
    </row>
    <row r="1079" spans="9:9">
      <c r="I1079" s="12">
        <f t="shared" si="17"/>
        <v>0</v>
      </c>
    </row>
    <row r="1080" spans="9:9">
      <c r="I1080" s="12">
        <f t="shared" si="17"/>
        <v>0</v>
      </c>
    </row>
    <row r="1081" spans="9:9">
      <c r="I1081" s="12">
        <f t="shared" si="17"/>
        <v>0</v>
      </c>
    </row>
    <row r="1082" spans="9:9">
      <c r="I1082" s="12">
        <f t="shared" si="17"/>
        <v>0</v>
      </c>
    </row>
    <row r="1083" spans="9:9">
      <c r="I1083" s="12">
        <f t="shared" si="17"/>
        <v>0</v>
      </c>
    </row>
    <row r="1084" spans="9:9">
      <c r="I1084" s="12">
        <f t="shared" si="17"/>
        <v>0</v>
      </c>
    </row>
    <row r="1085" spans="9:9">
      <c r="I1085" s="12">
        <f t="shared" si="17"/>
        <v>0</v>
      </c>
    </row>
    <row r="1086" spans="9:9">
      <c r="I1086" s="12">
        <f t="shared" si="17"/>
        <v>0</v>
      </c>
    </row>
    <row r="1087" spans="9:9">
      <c r="I1087" s="12">
        <f t="shared" si="17"/>
        <v>0</v>
      </c>
    </row>
    <row r="1088" spans="9:9">
      <c r="I1088" s="12">
        <f t="shared" si="17"/>
        <v>0</v>
      </c>
    </row>
    <row r="1089" spans="9:9">
      <c r="I1089" s="12">
        <f t="shared" si="17"/>
        <v>0</v>
      </c>
    </row>
    <row r="1090" spans="9:9">
      <c r="I1090" s="12">
        <f t="shared" ref="I1090:I1153" si="18">A1090</f>
        <v>0</v>
      </c>
    </row>
    <row r="1091" spans="9:9">
      <c r="I1091" s="12">
        <f t="shared" si="18"/>
        <v>0</v>
      </c>
    </row>
    <row r="1092" spans="9:9">
      <c r="I1092" s="12">
        <f t="shared" si="18"/>
        <v>0</v>
      </c>
    </row>
    <row r="1093" spans="9:9">
      <c r="I1093" s="12">
        <f t="shared" si="18"/>
        <v>0</v>
      </c>
    </row>
    <row r="1094" spans="9:9">
      <c r="I1094" s="12">
        <f t="shared" si="18"/>
        <v>0</v>
      </c>
    </row>
    <row r="1095" spans="9:9">
      <c r="I1095" s="12">
        <f t="shared" si="18"/>
        <v>0</v>
      </c>
    </row>
    <row r="1096" spans="9:9">
      <c r="I1096" s="12">
        <f t="shared" si="18"/>
        <v>0</v>
      </c>
    </row>
    <row r="1097" spans="9:9">
      <c r="I1097" s="12">
        <f t="shared" si="18"/>
        <v>0</v>
      </c>
    </row>
    <row r="1098" spans="9:9">
      <c r="I1098" s="12">
        <f t="shared" si="18"/>
        <v>0</v>
      </c>
    </row>
    <row r="1099" spans="9:9">
      <c r="I1099" s="12">
        <f t="shared" si="18"/>
        <v>0</v>
      </c>
    </row>
    <row r="1100" spans="9:9">
      <c r="I1100" s="12">
        <f t="shared" si="18"/>
        <v>0</v>
      </c>
    </row>
    <row r="1101" spans="9:9">
      <c r="I1101" s="12">
        <f t="shared" si="18"/>
        <v>0</v>
      </c>
    </row>
    <row r="1102" spans="9:9">
      <c r="I1102" s="12">
        <f t="shared" si="18"/>
        <v>0</v>
      </c>
    </row>
    <row r="1103" spans="9:9">
      <c r="I1103" s="12">
        <f t="shared" si="18"/>
        <v>0</v>
      </c>
    </row>
    <row r="1104" spans="9:9">
      <c r="I1104" s="12">
        <f t="shared" si="18"/>
        <v>0</v>
      </c>
    </row>
    <row r="1105" spans="9:9">
      <c r="I1105" s="12">
        <f t="shared" si="18"/>
        <v>0</v>
      </c>
    </row>
    <row r="1106" spans="9:9">
      <c r="I1106" s="12">
        <f t="shared" si="18"/>
        <v>0</v>
      </c>
    </row>
    <row r="1107" spans="9:9">
      <c r="I1107" s="12">
        <f t="shared" si="18"/>
        <v>0</v>
      </c>
    </row>
    <row r="1108" spans="9:9">
      <c r="I1108" s="12">
        <f t="shared" si="18"/>
        <v>0</v>
      </c>
    </row>
    <row r="1109" spans="9:9">
      <c r="I1109" s="12">
        <f t="shared" si="18"/>
        <v>0</v>
      </c>
    </row>
    <row r="1110" spans="9:9">
      <c r="I1110" s="12">
        <f t="shared" si="18"/>
        <v>0</v>
      </c>
    </row>
    <row r="1111" spans="9:9">
      <c r="I1111" s="12">
        <f t="shared" si="18"/>
        <v>0</v>
      </c>
    </row>
    <row r="1112" spans="9:9">
      <c r="I1112" s="12">
        <f t="shared" si="18"/>
        <v>0</v>
      </c>
    </row>
    <row r="1113" spans="9:9">
      <c r="I1113" s="12">
        <f t="shared" si="18"/>
        <v>0</v>
      </c>
    </row>
    <row r="1114" spans="9:9">
      <c r="I1114" s="12">
        <f t="shared" si="18"/>
        <v>0</v>
      </c>
    </row>
    <row r="1115" spans="9:9">
      <c r="I1115" s="12">
        <f t="shared" si="18"/>
        <v>0</v>
      </c>
    </row>
    <row r="1116" spans="9:9">
      <c r="I1116" s="12">
        <f t="shared" si="18"/>
        <v>0</v>
      </c>
    </row>
    <row r="1117" spans="9:9">
      <c r="I1117" s="12">
        <f t="shared" si="18"/>
        <v>0</v>
      </c>
    </row>
    <row r="1118" spans="9:9">
      <c r="I1118" s="12">
        <f t="shared" si="18"/>
        <v>0</v>
      </c>
    </row>
    <row r="1119" spans="9:9">
      <c r="I1119" s="12">
        <f t="shared" si="18"/>
        <v>0</v>
      </c>
    </row>
    <row r="1120" spans="9:9">
      <c r="I1120" s="12">
        <f t="shared" si="18"/>
        <v>0</v>
      </c>
    </row>
    <row r="1121" spans="9:9">
      <c r="I1121" s="12">
        <f t="shared" si="18"/>
        <v>0</v>
      </c>
    </row>
    <row r="1122" spans="9:9">
      <c r="I1122" s="12">
        <f t="shared" si="18"/>
        <v>0</v>
      </c>
    </row>
    <row r="1123" spans="9:9">
      <c r="I1123" s="12">
        <f t="shared" si="18"/>
        <v>0</v>
      </c>
    </row>
    <row r="1124" spans="9:9">
      <c r="I1124" s="12">
        <f t="shared" si="18"/>
        <v>0</v>
      </c>
    </row>
    <row r="1125" spans="9:9">
      <c r="I1125" s="12">
        <f t="shared" si="18"/>
        <v>0</v>
      </c>
    </row>
    <row r="1126" spans="9:9">
      <c r="I1126" s="12">
        <f t="shared" si="18"/>
        <v>0</v>
      </c>
    </row>
    <row r="1127" spans="9:9">
      <c r="I1127" s="12">
        <f t="shared" si="18"/>
        <v>0</v>
      </c>
    </row>
    <row r="1128" spans="9:9">
      <c r="I1128" s="12">
        <f t="shared" si="18"/>
        <v>0</v>
      </c>
    </row>
    <row r="1129" spans="9:9">
      <c r="I1129" s="12">
        <f t="shared" si="18"/>
        <v>0</v>
      </c>
    </row>
    <row r="1130" spans="9:9">
      <c r="I1130" s="12">
        <f t="shared" si="18"/>
        <v>0</v>
      </c>
    </row>
    <row r="1131" spans="9:9">
      <c r="I1131" s="12">
        <f t="shared" si="18"/>
        <v>0</v>
      </c>
    </row>
    <row r="1132" spans="9:9">
      <c r="I1132" s="12">
        <f t="shared" si="18"/>
        <v>0</v>
      </c>
    </row>
    <row r="1133" spans="9:9">
      <c r="I1133" s="12">
        <f t="shared" si="18"/>
        <v>0</v>
      </c>
    </row>
    <row r="1134" spans="9:9">
      <c r="I1134" s="12">
        <f t="shared" si="18"/>
        <v>0</v>
      </c>
    </row>
    <row r="1135" spans="9:9">
      <c r="I1135" s="12">
        <f t="shared" si="18"/>
        <v>0</v>
      </c>
    </row>
    <row r="1136" spans="9:9">
      <c r="I1136" s="12">
        <f t="shared" si="18"/>
        <v>0</v>
      </c>
    </row>
    <row r="1137" spans="9:9">
      <c r="I1137" s="12">
        <f t="shared" si="18"/>
        <v>0</v>
      </c>
    </row>
    <row r="1138" spans="9:9">
      <c r="I1138" s="12">
        <f t="shared" si="18"/>
        <v>0</v>
      </c>
    </row>
    <row r="1139" spans="9:9">
      <c r="I1139" s="12">
        <f t="shared" si="18"/>
        <v>0</v>
      </c>
    </row>
    <row r="1140" spans="9:9">
      <c r="I1140" s="12">
        <f t="shared" si="18"/>
        <v>0</v>
      </c>
    </row>
    <row r="1141" spans="9:9">
      <c r="I1141" s="12">
        <f t="shared" si="18"/>
        <v>0</v>
      </c>
    </row>
    <row r="1142" spans="9:9">
      <c r="I1142" s="12">
        <f t="shared" si="18"/>
        <v>0</v>
      </c>
    </row>
    <row r="1143" spans="9:9">
      <c r="I1143" s="12">
        <f t="shared" si="18"/>
        <v>0</v>
      </c>
    </row>
    <row r="1144" spans="9:9">
      <c r="I1144" s="12">
        <f t="shared" si="18"/>
        <v>0</v>
      </c>
    </row>
    <row r="1145" spans="9:9">
      <c r="I1145" s="12">
        <f t="shared" si="18"/>
        <v>0</v>
      </c>
    </row>
    <row r="1146" spans="9:9">
      <c r="I1146" s="12">
        <f t="shared" si="18"/>
        <v>0</v>
      </c>
    </row>
    <row r="1147" spans="9:9">
      <c r="I1147" s="12">
        <f t="shared" si="18"/>
        <v>0</v>
      </c>
    </row>
    <row r="1148" spans="9:9">
      <c r="I1148" s="12">
        <f t="shared" si="18"/>
        <v>0</v>
      </c>
    </row>
    <row r="1149" spans="9:9">
      <c r="I1149" s="12">
        <f t="shared" si="18"/>
        <v>0</v>
      </c>
    </row>
    <row r="1150" spans="9:9">
      <c r="I1150" s="12">
        <f t="shared" si="18"/>
        <v>0</v>
      </c>
    </row>
    <row r="1151" spans="9:9">
      <c r="I1151" s="12">
        <f t="shared" si="18"/>
        <v>0</v>
      </c>
    </row>
    <row r="1152" spans="9:9">
      <c r="I1152" s="12">
        <f t="shared" si="18"/>
        <v>0</v>
      </c>
    </row>
    <row r="1153" spans="9:9">
      <c r="I1153" s="12">
        <f t="shared" si="18"/>
        <v>0</v>
      </c>
    </row>
    <row r="1154" spans="9:9">
      <c r="I1154" s="12">
        <f t="shared" ref="I1154:I1217" si="19">A1154</f>
        <v>0</v>
      </c>
    </row>
    <row r="1155" spans="9:9">
      <c r="I1155" s="12">
        <f t="shared" si="19"/>
        <v>0</v>
      </c>
    </row>
    <row r="1156" spans="9:9">
      <c r="I1156" s="12">
        <f t="shared" si="19"/>
        <v>0</v>
      </c>
    </row>
    <row r="1157" spans="9:9">
      <c r="I1157" s="12">
        <f t="shared" si="19"/>
        <v>0</v>
      </c>
    </row>
    <row r="1158" spans="9:9">
      <c r="I1158" s="12">
        <f t="shared" si="19"/>
        <v>0</v>
      </c>
    </row>
    <row r="1159" spans="9:9">
      <c r="I1159" s="12">
        <f t="shared" si="19"/>
        <v>0</v>
      </c>
    </row>
    <row r="1160" spans="9:9">
      <c r="I1160" s="12">
        <f t="shared" si="19"/>
        <v>0</v>
      </c>
    </row>
    <row r="1161" spans="9:9">
      <c r="I1161" s="12">
        <f t="shared" si="19"/>
        <v>0</v>
      </c>
    </row>
    <row r="1162" spans="9:9">
      <c r="I1162" s="12">
        <f t="shared" si="19"/>
        <v>0</v>
      </c>
    </row>
    <row r="1163" spans="9:9">
      <c r="I1163" s="12">
        <f t="shared" si="19"/>
        <v>0</v>
      </c>
    </row>
    <row r="1164" spans="9:9">
      <c r="I1164" s="12">
        <f t="shared" si="19"/>
        <v>0</v>
      </c>
    </row>
    <row r="1165" spans="9:9">
      <c r="I1165" s="12">
        <f t="shared" si="19"/>
        <v>0</v>
      </c>
    </row>
    <row r="1166" spans="9:9">
      <c r="I1166" s="12">
        <f t="shared" si="19"/>
        <v>0</v>
      </c>
    </row>
    <row r="1167" spans="9:9">
      <c r="I1167" s="12">
        <f t="shared" si="19"/>
        <v>0</v>
      </c>
    </row>
    <row r="1168" spans="9:9">
      <c r="I1168" s="12">
        <f t="shared" si="19"/>
        <v>0</v>
      </c>
    </row>
    <row r="1169" spans="9:9">
      <c r="I1169" s="12">
        <f t="shared" si="19"/>
        <v>0</v>
      </c>
    </row>
    <row r="1170" spans="9:9">
      <c r="I1170" s="12">
        <f t="shared" si="19"/>
        <v>0</v>
      </c>
    </row>
    <row r="1171" spans="9:9">
      <c r="I1171" s="12">
        <f t="shared" si="19"/>
        <v>0</v>
      </c>
    </row>
    <row r="1172" spans="9:9">
      <c r="I1172" s="12">
        <f t="shared" si="19"/>
        <v>0</v>
      </c>
    </row>
    <row r="1173" spans="9:9">
      <c r="I1173" s="12">
        <f t="shared" si="19"/>
        <v>0</v>
      </c>
    </row>
    <row r="1174" spans="9:9">
      <c r="I1174" s="12">
        <f t="shared" si="19"/>
        <v>0</v>
      </c>
    </row>
    <row r="1175" spans="9:9">
      <c r="I1175" s="12">
        <f t="shared" si="19"/>
        <v>0</v>
      </c>
    </row>
    <row r="1176" spans="9:9">
      <c r="I1176" s="12">
        <f t="shared" si="19"/>
        <v>0</v>
      </c>
    </row>
    <row r="1177" spans="9:9">
      <c r="I1177" s="12">
        <f t="shared" si="19"/>
        <v>0</v>
      </c>
    </row>
    <row r="1178" spans="9:9">
      <c r="I1178" s="12">
        <f t="shared" si="19"/>
        <v>0</v>
      </c>
    </row>
    <row r="1179" spans="9:9">
      <c r="I1179" s="12">
        <f t="shared" si="19"/>
        <v>0</v>
      </c>
    </row>
    <row r="1180" spans="9:9">
      <c r="I1180" s="12">
        <f t="shared" si="19"/>
        <v>0</v>
      </c>
    </row>
    <row r="1181" spans="9:9">
      <c r="I1181" s="12">
        <f t="shared" si="19"/>
        <v>0</v>
      </c>
    </row>
    <row r="1182" spans="9:9">
      <c r="I1182" s="12">
        <f t="shared" si="19"/>
        <v>0</v>
      </c>
    </row>
    <row r="1183" spans="9:9">
      <c r="I1183" s="12">
        <f t="shared" si="19"/>
        <v>0</v>
      </c>
    </row>
    <row r="1184" spans="9:9">
      <c r="I1184" s="12">
        <f t="shared" si="19"/>
        <v>0</v>
      </c>
    </row>
    <row r="1185" spans="9:9">
      <c r="I1185" s="12">
        <f t="shared" si="19"/>
        <v>0</v>
      </c>
    </row>
    <row r="1186" spans="9:9">
      <c r="I1186" s="12">
        <f t="shared" si="19"/>
        <v>0</v>
      </c>
    </row>
    <row r="1187" spans="9:9">
      <c r="I1187" s="12">
        <f t="shared" si="19"/>
        <v>0</v>
      </c>
    </row>
    <row r="1188" spans="9:9">
      <c r="I1188" s="12">
        <f t="shared" si="19"/>
        <v>0</v>
      </c>
    </row>
    <row r="1189" spans="9:9">
      <c r="I1189" s="12">
        <f t="shared" si="19"/>
        <v>0</v>
      </c>
    </row>
    <row r="1190" spans="9:9">
      <c r="I1190" s="12">
        <f t="shared" si="19"/>
        <v>0</v>
      </c>
    </row>
    <row r="1191" spans="9:9">
      <c r="I1191" s="12">
        <f t="shared" si="19"/>
        <v>0</v>
      </c>
    </row>
    <row r="1192" spans="9:9">
      <c r="I1192" s="12">
        <f t="shared" si="19"/>
        <v>0</v>
      </c>
    </row>
    <row r="1193" spans="9:9">
      <c r="I1193" s="12">
        <f t="shared" si="19"/>
        <v>0</v>
      </c>
    </row>
    <row r="1194" spans="9:9">
      <c r="I1194" s="12">
        <f t="shared" si="19"/>
        <v>0</v>
      </c>
    </row>
    <row r="1195" spans="9:9">
      <c r="I1195" s="12">
        <f t="shared" si="19"/>
        <v>0</v>
      </c>
    </row>
    <row r="1196" spans="9:9">
      <c r="I1196" s="12">
        <f t="shared" si="19"/>
        <v>0</v>
      </c>
    </row>
    <row r="1197" spans="9:9">
      <c r="I1197" s="12">
        <f t="shared" si="19"/>
        <v>0</v>
      </c>
    </row>
    <row r="1198" spans="9:9">
      <c r="I1198" s="12">
        <f t="shared" si="19"/>
        <v>0</v>
      </c>
    </row>
    <row r="1199" spans="9:9">
      <c r="I1199" s="12">
        <f t="shared" si="19"/>
        <v>0</v>
      </c>
    </row>
    <row r="1200" spans="9:9">
      <c r="I1200" s="12">
        <f t="shared" si="19"/>
        <v>0</v>
      </c>
    </row>
    <row r="1201" spans="9:9">
      <c r="I1201" s="12">
        <f t="shared" si="19"/>
        <v>0</v>
      </c>
    </row>
    <row r="1202" spans="9:9">
      <c r="I1202" s="12">
        <f t="shared" si="19"/>
        <v>0</v>
      </c>
    </row>
    <row r="1203" spans="9:9">
      <c r="I1203" s="12">
        <f t="shared" si="19"/>
        <v>0</v>
      </c>
    </row>
    <row r="1204" spans="9:9">
      <c r="I1204" s="12">
        <f t="shared" si="19"/>
        <v>0</v>
      </c>
    </row>
    <row r="1205" spans="9:9">
      <c r="I1205" s="12">
        <f t="shared" si="19"/>
        <v>0</v>
      </c>
    </row>
    <row r="1206" spans="9:9">
      <c r="I1206" s="12">
        <f t="shared" si="19"/>
        <v>0</v>
      </c>
    </row>
    <row r="1207" spans="9:9">
      <c r="I1207" s="12">
        <f t="shared" si="19"/>
        <v>0</v>
      </c>
    </row>
    <row r="1208" spans="9:9">
      <c r="I1208" s="12">
        <f t="shared" si="19"/>
        <v>0</v>
      </c>
    </row>
    <row r="1209" spans="9:9">
      <c r="I1209" s="12">
        <f t="shared" si="19"/>
        <v>0</v>
      </c>
    </row>
    <row r="1210" spans="9:9">
      <c r="I1210" s="12">
        <f t="shared" si="19"/>
        <v>0</v>
      </c>
    </row>
    <row r="1211" spans="9:9">
      <c r="I1211" s="12">
        <f t="shared" si="19"/>
        <v>0</v>
      </c>
    </row>
    <row r="1212" spans="9:9">
      <c r="I1212" s="12">
        <f t="shared" si="19"/>
        <v>0</v>
      </c>
    </row>
    <row r="1213" spans="9:9">
      <c r="I1213" s="12">
        <f t="shared" si="19"/>
        <v>0</v>
      </c>
    </row>
    <row r="1214" spans="9:9">
      <c r="I1214" s="12">
        <f t="shared" si="19"/>
        <v>0</v>
      </c>
    </row>
    <row r="1215" spans="9:9">
      <c r="I1215" s="12">
        <f t="shared" si="19"/>
        <v>0</v>
      </c>
    </row>
    <row r="1216" spans="9:9">
      <c r="I1216" s="12">
        <f t="shared" si="19"/>
        <v>0</v>
      </c>
    </row>
    <row r="1217" spans="9:9">
      <c r="I1217" s="12">
        <f t="shared" si="19"/>
        <v>0</v>
      </c>
    </row>
    <row r="1218" spans="9:9">
      <c r="I1218" s="12">
        <f t="shared" ref="I1218:I1281" si="20">A1218</f>
        <v>0</v>
      </c>
    </row>
    <row r="1219" spans="9:9">
      <c r="I1219" s="12">
        <f t="shared" si="20"/>
        <v>0</v>
      </c>
    </row>
    <row r="1220" spans="9:9">
      <c r="I1220" s="12">
        <f t="shared" si="20"/>
        <v>0</v>
      </c>
    </row>
    <row r="1221" spans="9:9">
      <c r="I1221" s="12">
        <f t="shared" si="20"/>
        <v>0</v>
      </c>
    </row>
    <row r="1222" spans="9:9">
      <c r="I1222" s="12">
        <f t="shared" si="20"/>
        <v>0</v>
      </c>
    </row>
    <row r="1223" spans="9:9">
      <c r="I1223" s="12">
        <f t="shared" si="20"/>
        <v>0</v>
      </c>
    </row>
    <row r="1224" spans="9:9">
      <c r="I1224" s="12">
        <f t="shared" si="20"/>
        <v>0</v>
      </c>
    </row>
    <row r="1225" spans="9:9">
      <c r="I1225" s="12">
        <f t="shared" si="20"/>
        <v>0</v>
      </c>
    </row>
    <row r="1226" spans="9:9">
      <c r="I1226" s="12">
        <f t="shared" si="20"/>
        <v>0</v>
      </c>
    </row>
    <row r="1227" spans="9:9">
      <c r="I1227" s="12">
        <f t="shared" si="20"/>
        <v>0</v>
      </c>
    </row>
    <row r="1228" spans="9:9">
      <c r="I1228" s="12">
        <f t="shared" si="20"/>
        <v>0</v>
      </c>
    </row>
    <row r="1229" spans="9:9">
      <c r="I1229" s="12">
        <f t="shared" si="20"/>
        <v>0</v>
      </c>
    </row>
    <row r="1230" spans="9:9">
      <c r="I1230" s="12">
        <f t="shared" si="20"/>
        <v>0</v>
      </c>
    </row>
    <row r="1231" spans="9:9">
      <c r="I1231" s="12">
        <f t="shared" si="20"/>
        <v>0</v>
      </c>
    </row>
    <row r="1232" spans="9:9">
      <c r="I1232" s="12">
        <f t="shared" si="20"/>
        <v>0</v>
      </c>
    </row>
    <row r="1233" spans="9:9">
      <c r="I1233" s="12">
        <f t="shared" si="20"/>
        <v>0</v>
      </c>
    </row>
    <row r="1234" spans="9:9">
      <c r="I1234" s="12">
        <f t="shared" si="20"/>
        <v>0</v>
      </c>
    </row>
    <row r="1235" spans="9:9">
      <c r="I1235" s="12">
        <f t="shared" si="20"/>
        <v>0</v>
      </c>
    </row>
    <row r="1236" spans="9:9">
      <c r="I1236" s="12">
        <f t="shared" si="20"/>
        <v>0</v>
      </c>
    </row>
    <row r="1237" spans="9:9">
      <c r="I1237" s="12">
        <f t="shared" si="20"/>
        <v>0</v>
      </c>
    </row>
    <row r="1238" spans="9:9">
      <c r="I1238" s="12">
        <f t="shared" si="20"/>
        <v>0</v>
      </c>
    </row>
    <row r="1239" spans="9:9">
      <c r="I1239" s="12">
        <f t="shared" si="20"/>
        <v>0</v>
      </c>
    </row>
    <row r="1240" spans="9:9">
      <c r="I1240" s="12">
        <f t="shared" si="20"/>
        <v>0</v>
      </c>
    </row>
    <row r="1241" spans="9:9">
      <c r="I1241" s="12">
        <f t="shared" si="20"/>
        <v>0</v>
      </c>
    </row>
    <row r="1242" spans="9:9">
      <c r="I1242" s="12">
        <f t="shared" si="20"/>
        <v>0</v>
      </c>
    </row>
    <row r="1243" spans="9:9">
      <c r="I1243" s="12">
        <f t="shared" si="20"/>
        <v>0</v>
      </c>
    </row>
    <row r="1244" spans="9:9">
      <c r="I1244" s="12">
        <f t="shared" si="20"/>
        <v>0</v>
      </c>
    </row>
    <row r="1245" spans="9:9">
      <c r="I1245" s="12">
        <f t="shared" si="20"/>
        <v>0</v>
      </c>
    </row>
    <row r="1246" spans="9:9">
      <c r="I1246" s="12">
        <f t="shared" si="20"/>
        <v>0</v>
      </c>
    </row>
    <row r="1247" spans="9:9">
      <c r="I1247" s="12">
        <f t="shared" si="20"/>
        <v>0</v>
      </c>
    </row>
    <row r="1248" spans="9:9">
      <c r="I1248" s="12">
        <f t="shared" si="20"/>
        <v>0</v>
      </c>
    </row>
    <row r="1249" spans="9:9">
      <c r="I1249" s="12">
        <f t="shared" si="20"/>
        <v>0</v>
      </c>
    </row>
    <row r="1250" spans="9:9">
      <c r="I1250" s="12">
        <f t="shared" si="20"/>
        <v>0</v>
      </c>
    </row>
    <row r="1251" spans="9:9">
      <c r="I1251" s="12">
        <f t="shared" si="20"/>
        <v>0</v>
      </c>
    </row>
    <row r="1252" spans="9:9">
      <c r="I1252" s="12">
        <f t="shared" si="20"/>
        <v>0</v>
      </c>
    </row>
    <row r="1253" spans="9:9">
      <c r="I1253" s="12">
        <f t="shared" si="20"/>
        <v>0</v>
      </c>
    </row>
    <row r="1254" spans="9:9">
      <c r="I1254" s="12">
        <f t="shared" si="20"/>
        <v>0</v>
      </c>
    </row>
    <row r="1255" spans="9:9">
      <c r="I1255" s="12">
        <f t="shared" si="20"/>
        <v>0</v>
      </c>
    </row>
    <row r="1256" spans="9:9">
      <c r="I1256" s="12">
        <f t="shared" si="20"/>
        <v>0</v>
      </c>
    </row>
    <row r="1257" spans="9:9">
      <c r="I1257" s="12">
        <f t="shared" si="20"/>
        <v>0</v>
      </c>
    </row>
    <row r="1258" spans="9:9">
      <c r="I1258" s="12">
        <f t="shared" si="20"/>
        <v>0</v>
      </c>
    </row>
    <row r="1259" spans="9:9">
      <c r="I1259" s="12">
        <f t="shared" si="20"/>
        <v>0</v>
      </c>
    </row>
    <row r="1260" spans="9:9">
      <c r="I1260" s="12">
        <f t="shared" si="20"/>
        <v>0</v>
      </c>
    </row>
    <row r="1261" spans="9:9">
      <c r="I1261" s="12">
        <f t="shared" si="20"/>
        <v>0</v>
      </c>
    </row>
    <row r="1262" spans="9:9">
      <c r="I1262" s="12">
        <f t="shared" si="20"/>
        <v>0</v>
      </c>
    </row>
    <row r="1263" spans="9:9">
      <c r="I1263" s="12">
        <f t="shared" si="20"/>
        <v>0</v>
      </c>
    </row>
    <row r="1264" spans="9:9">
      <c r="I1264" s="12">
        <f t="shared" si="20"/>
        <v>0</v>
      </c>
    </row>
    <row r="1265" spans="9:9">
      <c r="I1265" s="12">
        <f t="shared" si="20"/>
        <v>0</v>
      </c>
    </row>
    <row r="1266" spans="9:9">
      <c r="I1266" s="12">
        <f t="shared" si="20"/>
        <v>0</v>
      </c>
    </row>
    <row r="1267" spans="9:9">
      <c r="I1267" s="12">
        <f t="shared" si="20"/>
        <v>0</v>
      </c>
    </row>
    <row r="1268" spans="9:9">
      <c r="I1268" s="12">
        <f t="shared" si="20"/>
        <v>0</v>
      </c>
    </row>
    <row r="1269" spans="9:9">
      <c r="I1269" s="12">
        <f t="shared" si="20"/>
        <v>0</v>
      </c>
    </row>
    <row r="1270" spans="9:9">
      <c r="I1270" s="12">
        <f t="shared" si="20"/>
        <v>0</v>
      </c>
    </row>
    <row r="1271" spans="9:9">
      <c r="I1271" s="12">
        <f t="shared" si="20"/>
        <v>0</v>
      </c>
    </row>
    <row r="1272" spans="9:9">
      <c r="I1272" s="12">
        <f t="shared" si="20"/>
        <v>0</v>
      </c>
    </row>
    <row r="1273" spans="9:9">
      <c r="I1273" s="12">
        <f t="shared" si="20"/>
        <v>0</v>
      </c>
    </row>
    <row r="1274" spans="9:9">
      <c r="I1274" s="12">
        <f t="shared" si="20"/>
        <v>0</v>
      </c>
    </row>
    <row r="1275" spans="9:9">
      <c r="I1275" s="12">
        <f t="shared" si="20"/>
        <v>0</v>
      </c>
    </row>
    <row r="1276" spans="9:9">
      <c r="I1276" s="12">
        <f t="shared" si="20"/>
        <v>0</v>
      </c>
    </row>
    <row r="1277" spans="9:9">
      <c r="I1277" s="12">
        <f t="shared" si="20"/>
        <v>0</v>
      </c>
    </row>
    <row r="1278" spans="9:9">
      <c r="I1278" s="12">
        <f t="shared" si="20"/>
        <v>0</v>
      </c>
    </row>
    <row r="1279" spans="9:9">
      <c r="I1279" s="12">
        <f t="shared" si="20"/>
        <v>0</v>
      </c>
    </row>
    <row r="1280" spans="9:9">
      <c r="I1280" s="12">
        <f t="shared" si="20"/>
        <v>0</v>
      </c>
    </row>
    <row r="1281" spans="9:9">
      <c r="I1281" s="12">
        <f t="shared" si="20"/>
        <v>0</v>
      </c>
    </row>
    <row r="1282" spans="9:9">
      <c r="I1282" s="12">
        <f t="shared" ref="I1282:I1345" si="21">A1282</f>
        <v>0</v>
      </c>
    </row>
    <row r="1283" spans="9:9">
      <c r="I1283" s="12">
        <f t="shared" si="21"/>
        <v>0</v>
      </c>
    </row>
    <row r="1284" spans="9:9">
      <c r="I1284" s="12">
        <f t="shared" si="21"/>
        <v>0</v>
      </c>
    </row>
    <row r="1285" spans="9:9">
      <c r="I1285" s="12">
        <f t="shared" si="21"/>
        <v>0</v>
      </c>
    </row>
    <row r="1286" spans="9:9">
      <c r="I1286" s="12">
        <f t="shared" si="21"/>
        <v>0</v>
      </c>
    </row>
    <row r="1287" spans="9:9">
      <c r="I1287" s="12">
        <f t="shared" si="21"/>
        <v>0</v>
      </c>
    </row>
    <row r="1288" spans="9:9">
      <c r="I1288" s="12">
        <f t="shared" si="21"/>
        <v>0</v>
      </c>
    </row>
    <row r="1289" spans="9:9">
      <c r="I1289" s="12">
        <f t="shared" si="21"/>
        <v>0</v>
      </c>
    </row>
    <row r="1290" spans="9:9">
      <c r="I1290" s="12">
        <f t="shared" si="21"/>
        <v>0</v>
      </c>
    </row>
    <row r="1291" spans="9:9">
      <c r="I1291" s="12">
        <f t="shared" si="21"/>
        <v>0</v>
      </c>
    </row>
    <row r="1292" spans="9:9">
      <c r="I1292" s="12">
        <f t="shared" si="21"/>
        <v>0</v>
      </c>
    </row>
    <row r="1293" spans="9:9">
      <c r="I1293" s="12">
        <f t="shared" si="21"/>
        <v>0</v>
      </c>
    </row>
    <row r="1294" spans="9:9">
      <c r="I1294" s="12">
        <f t="shared" si="21"/>
        <v>0</v>
      </c>
    </row>
    <row r="1295" spans="9:9">
      <c r="I1295" s="12">
        <f t="shared" si="21"/>
        <v>0</v>
      </c>
    </row>
    <row r="1296" spans="9:9">
      <c r="I1296" s="12">
        <f t="shared" si="21"/>
        <v>0</v>
      </c>
    </row>
    <row r="1297" spans="9:9">
      <c r="I1297" s="12">
        <f t="shared" si="21"/>
        <v>0</v>
      </c>
    </row>
    <row r="1298" spans="9:9">
      <c r="I1298" s="12">
        <f t="shared" si="21"/>
        <v>0</v>
      </c>
    </row>
    <row r="1299" spans="9:9">
      <c r="I1299" s="12">
        <f t="shared" si="21"/>
        <v>0</v>
      </c>
    </row>
    <row r="1300" spans="9:9">
      <c r="I1300" s="12">
        <f t="shared" si="21"/>
        <v>0</v>
      </c>
    </row>
    <row r="1301" spans="9:9">
      <c r="I1301" s="12">
        <f t="shared" si="21"/>
        <v>0</v>
      </c>
    </row>
    <row r="1302" spans="9:9">
      <c r="I1302" s="12">
        <f t="shared" si="21"/>
        <v>0</v>
      </c>
    </row>
    <row r="1303" spans="9:9">
      <c r="I1303" s="12">
        <f t="shared" si="21"/>
        <v>0</v>
      </c>
    </row>
    <row r="1304" spans="9:9">
      <c r="I1304" s="12">
        <f t="shared" si="21"/>
        <v>0</v>
      </c>
    </row>
    <row r="1305" spans="9:9">
      <c r="I1305" s="12">
        <f t="shared" si="21"/>
        <v>0</v>
      </c>
    </row>
    <row r="1306" spans="9:9">
      <c r="I1306" s="12">
        <f t="shared" si="21"/>
        <v>0</v>
      </c>
    </row>
    <row r="1307" spans="9:9">
      <c r="I1307" s="12">
        <f t="shared" si="21"/>
        <v>0</v>
      </c>
    </row>
    <row r="1308" spans="9:9">
      <c r="I1308" s="12">
        <f t="shared" si="21"/>
        <v>0</v>
      </c>
    </row>
    <row r="1309" spans="9:9">
      <c r="I1309" s="12">
        <f t="shared" si="21"/>
        <v>0</v>
      </c>
    </row>
    <row r="1310" spans="9:9">
      <c r="I1310" s="12">
        <f t="shared" si="21"/>
        <v>0</v>
      </c>
    </row>
    <row r="1311" spans="9:9">
      <c r="I1311" s="12">
        <f t="shared" si="21"/>
        <v>0</v>
      </c>
    </row>
    <row r="1312" spans="9:9">
      <c r="I1312" s="12">
        <f t="shared" si="21"/>
        <v>0</v>
      </c>
    </row>
    <row r="1313" spans="9:9">
      <c r="I1313" s="12">
        <f t="shared" si="21"/>
        <v>0</v>
      </c>
    </row>
    <row r="1314" spans="9:9">
      <c r="I1314" s="12">
        <f t="shared" si="21"/>
        <v>0</v>
      </c>
    </row>
    <row r="1315" spans="9:9">
      <c r="I1315" s="12">
        <f t="shared" si="21"/>
        <v>0</v>
      </c>
    </row>
    <row r="1316" spans="9:9">
      <c r="I1316" s="12">
        <f t="shared" si="21"/>
        <v>0</v>
      </c>
    </row>
    <row r="1317" spans="9:9">
      <c r="I1317" s="12">
        <f t="shared" si="21"/>
        <v>0</v>
      </c>
    </row>
    <row r="1318" spans="9:9">
      <c r="I1318" s="12">
        <f t="shared" si="21"/>
        <v>0</v>
      </c>
    </row>
    <row r="1319" spans="9:9">
      <c r="I1319" s="12">
        <f t="shared" si="21"/>
        <v>0</v>
      </c>
    </row>
    <row r="1320" spans="9:9">
      <c r="I1320" s="12">
        <f t="shared" si="21"/>
        <v>0</v>
      </c>
    </row>
    <row r="1321" spans="9:9">
      <c r="I1321" s="12">
        <f t="shared" si="21"/>
        <v>0</v>
      </c>
    </row>
    <row r="1322" spans="9:9">
      <c r="I1322" s="12">
        <f t="shared" si="21"/>
        <v>0</v>
      </c>
    </row>
    <row r="1323" spans="9:9">
      <c r="I1323" s="12">
        <f t="shared" si="21"/>
        <v>0</v>
      </c>
    </row>
    <row r="1324" spans="9:9">
      <c r="I1324" s="12">
        <f t="shared" si="21"/>
        <v>0</v>
      </c>
    </row>
    <row r="1325" spans="9:9">
      <c r="I1325" s="12">
        <f t="shared" si="21"/>
        <v>0</v>
      </c>
    </row>
    <row r="1326" spans="9:9">
      <c r="I1326" s="12">
        <f t="shared" si="21"/>
        <v>0</v>
      </c>
    </row>
    <row r="1327" spans="9:9">
      <c r="I1327" s="12">
        <f t="shared" si="21"/>
        <v>0</v>
      </c>
    </row>
    <row r="1328" spans="9:9">
      <c r="I1328" s="12">
        <f t="shared" si="21"/>
        <v>0</v>
      </c>
    </row>
    <row r="1329" spans="9:9">
      <c r="I1329" s="12">
        <f t="shared" si="21"/>
        <v>0</v>
      </c>
    </row>
    <row r="1330" spans="9:9">
      <c r="I1330" s="12">
        <f t="shared" si="21"/>
        <v>0</v>
      </c>
    </row>
    <row r="1331" spans="9:9">
      <c r="I1331" s="12">
        <f t="shared" si="21"/>
        <v>0</v>
      </c>
    </row>
    <row r="1332" spans="9:9">
      <c r="I1332" s="12">
        <f t="shared" si="21"/>
        <v>0</v>
      </c>
    </row>
    <row r="1333" spans="9:9">
      <c r="I1333" s="12">
        <f t="shared" si="21"/>
        <v>0</v>
      </c>
    </row>
    <row r="1334" spans="9:9">
      <c r="I1334" s="12">
        <f t="shared" si="21"/>
        <v>0</v>
      </c>
    </row>
    <row r="1335" spans="9:9">
      <c r="I1335" s="12">
        <f t="shared" si="21"/>
        <v>0</v>
      </c>
    </row>
    <row r="1336" spans="9:9">
      <c r="I1336" s="12">
        <f t="shared" si="21"/>
        <v>0</v>
      </c>
    </row>
    <row r="1337" spans="9:9">
      <c r="I1337" s="12">
        <f t="shared" si="21"/>
        <v>0</v>
      </c>
    </row>
    <row r="1338" spans="9:9">
      <c r="I1338" s="12">
        <f t="shared" si="21"/>
        <v>0</v>
      </c>
    </row>
    <row r="1339" spans="9:9">
      <c r="I1339" s="12">
        <f t="shared" si="21"/>
        <v>0</v>
      </c>
    </row>
    <row r="1340" spans="9:9">
      <c r="I1340" s="12">
        <f t="shared" si="21"/>
        <v>0</v>
      </c>
    </row>
    <row r="1341" spans="9:9">
      <c r="I1341" s="12">
        <f t="shared" si="21"/>
        <v>0</v>
      </c>
    </row>
    <row r="1342" spans="9:9">
      <c r="I1342" s="12">
        <f t="shared" si="21"/>
        <v>0</v>
      </c>
    </row>
    <row r="1343" spans="9:9">
      <c r="I1343" s="12">
        <f t="shared" si="21"/>
        <v>0</v>
      </c>
    </row>
    <row r="1344" spans="9:9">
      <c r="I1344" s="12">
        <f t="shared" si="21"/>
        <v>0</v>
      </c>
    </row>
    <row r="1345" spans="9:9">
      <c r="I1345" s="12">
        <f t="shared" si="21"/>
        <v>0</v>
      </c>
    </row>
    <row r="1346" spans="9:9">
      <c r="I1346" s="12">
        <f t="shared" ref="I1346:I1409" si="22">A1346</f>
        <v>0</v>
      </c>
    </row>
    <row r="1347" spans="9:9">
      <c r="I1347" s="12">
        <f t="shared" si="22"/>
        <v>0</v>
      </c>
    </row>
    <row r="1348" spans="9:9">
      <c r="I1348" s="12">
        <f t="shared" si="22"/>
        <v>0</v>
      </c>
    </row>
    <row r="1349" spans="9:9">
      <c r="I1349" s="12">
        <f t="shared" si="22"/>
        <v>0</v>
      </c>
    </row>
    <row r="1350" spans="9:9">
      <c r="I1350" s="12">
        <f t="shared" si="22"/>
        <v>0</v>
      </c>
    </row>
    <row r="1351" spans="9:9">
      <c r="I1351" s="12">
        <f t="shared" si="22"/>
        <v>0</v>
      </c>
    </row>
    <row r="1352" spans="9:9">
      <c r="I1352" s="12">
        <f t="shared" si="22"/>
        <v>0</v>
      </c>
    </row>
    <row r="1353" spans="9:9">
      <c r="I1353" s="12">
        <f t="shared" si="22"/>
        <v>0</v>
      </c>
    </row>
    <row r="1354" spans="9:9">
      <c r="I1354" s="12">
        <f t="shared" si="22"/>
        <v>0</v>
      </c>
    </row>
    <row r="1355" spans="9:9">
      <c r="I1355" s="12">
        <f t="shared" si="22"/>
        <v>0</v>
      </c>
    </row>
    <row r="1356" spans="9:9">
      <c r="I1356" s="12">
        <f t="shared" si="22"/>
        <v>0</v>
      </c>
    </row>
    <row r="1357" spans="9:9">
      <c r="I1357" s="12">
        <f t="shared" si="22"/>
        <v>0</v>
      </c>
    </row>
    <row r="1358" spans="9:9">
      <c r="I1358" s="12">
        <f t="shared" si="22"/>
        <v>0</v>
      </c>
    </row>
    <row r="1359" spans="9:9">
      <c r="I1359" s="12">
        <f t="shared" si="22"/>
        <v>0</v>
      </c>
    </row>
    <row r="1360" spans="9:9">
      <c r="I1360" s="12">
        <f t="shared" si="22"/>
        <v>0</v>
      </c>
    </row>
    <row r="1361" spans="9:9">
      <c r="I1361" s="12">
        <f t="shared" si="22"/>
        <v>0</v>
      </c>
    </row>
    <row r="1362" spans="9:9">
      <c r="I1362" s="12">
        <f t="shared" si="22"/>
        <v>0</v>
      </c>
    </row>
    <row r="1363" spans="9:9">
      <c r="I1363" s="12">
        <f t="shared" si="22"/>
        <v>0</v>
      </c>
    </row>
    <row r="1364" spans="9:9">
      <c r="I1364" s="12">
        <f t="shared" si="22"/>
        <v>0</v>
      </c>
    </row>
    <row r="1365" spans="9:9">
      <c r="I1365" s="12">
        <f t="shared" si="22"/>
        <v>0</v>
      </c>
    </row>
    <row r="1366" spans="9:9">
      <c r="I1366" s="12">
        <f t="shared" si="22"/>
        <v>0</v>
      </c>
    </row>
    <row r="1367" spans="9:9">
      <c r="I1367" s="12">
        <f t="shared" si="22"/>
        <v>0</v>
      </c>
    </row>
    <row r="1368" spans="9:9">
      <c r="I1368" s="12">
        <f t="shared" si="22"/>
        <v>0</v>
      </c>
    </row>
    <row r="1369" spans="9:9">
      <c r="I1369" s="12">
        <f t="shared" si="22"/>
        <v>0</v>
      </c>
    </row>
    <row r="1370" spans="9:9">
      <c r="I1370" s="12">
        <f t="shared" si="22"/>
        <v>0</v>
      </c>
    </row>
    <row r="1371" spans="9:9">
      <c r="I1371" s="12">
        <f t="shared" si="22"/>
        <v>0</v>
      </c>
    </row>
    <row r="1372" spans="9:9">
      <c r="I1372" s="12">
        <f t="shared" si="22"/>
        <v>0</v>
      </c>
    </row>
    <row r="1373" spans="9:9">
      <c r="I1373" s="12">
        <f t="shared" si="22"/>
        <v>0</v>
      </c>
    </row>
    <row r="1374" spans="9:9">
      <c r="I1374" s="12">
        <f t="shared" si="22"/>
        <v>0</v>
      </c>
    </row>
    <row r="1375" spans="9:9">
      <c r="I1375" s="12">
        <f t="shared" si="22"/>
        <v>0</v>
      </c>
    </row>
    <row r="1376" spans="9:9">
      <c r="I1376" s="12">
        <f t="shared" si="22"/>
        <v>0</v>
      </c>
    </row>
    <row r="1377" spans="9:9">
      <c r="I1377" s="12">
        <f t="shared" si="22"/>
        <v>0</v>
      </c>
    </row>
    <row r="1378" spans="9:9">
      <c r="I1378" s="12">
        <f t="shared" si="22"/>
        <v>0</v>
      </c>
    </row>
    <row r="1379" spans="9:9">
      <c r="I1379" s="12">
        <f t="shared" si="22"/>
        <v>0</v>
      </c>
    </row>
    <row r="1380" spans="9:9">
      <c r="I1380" s="12">
        <f t="shared" si="22"/>
        <v>0</v>
      </c>
    </row>
    <row r="1381" spans="9:9">
      <c r="I1381" s="12">
        <f t="shared" si="22"/>
        <v>0</v>
      </c>
    </row>
    <row r="1382" spans="9:9">
      <c r="I1382" s="12">
        <f t="shared" si="22"/>
        <v>0</v>
      </c>
    </row>
    <row r="1383" spans="9:9">
      <c r="I1383" s="12">
        <f t="shared" si="22"/>
        <v>0</v>
      </c>
    </row>
    <row r="1384" spans="9:9">
      <c r="I1384" s="12">
        <f t="shared" si="22"/>
        <v>0</v>
      </c>
    </row>
    <row r="1385" spans="9:9">
      <c r="I1385" s="12">
        <f t="shared" si="22"/>
        <v>0</v>
      </c>
    </row>
    <row r="1386" spans="9:9">
      <c r="I1386" s="12">
        <f t="shared" si="22"/>
        <v>0</v>
      </c>
    </row>
    <row r="1387" spans="9:9">
      <c r="I1387" s="12">
        <f t="shared" si="22"/>
        <v>0</v>
      </c>
    </row>
    <row r="1388" spans="9:9">
      <c r="I1388" s="12">
        <f t="shared" si="22"/>
        <v>0</v>
      </c>
    </row>
    <row r="1389" spans="9:9">
      <c r="I1389" s="12">
        <f t="shared" si="22"/>
        <v>0</v>
      </c>
    </row>
    <row r="1390" spans="9:9">
      <c r="I1390" s="12">
        <f t="shared" si="22"/>
        <v>0</v>
      </c>
    </row>
    <row r="1391" spans="9:9">
      <c r="I1391" s="12">
        <f t="shared" si="22"/>
        <v>0</v>
      </c>
    </row>
    <row r="1392" spans="9:9">
      <c r="I1392" s="12">
        <f t="shared" si="22"/>
        <v>0</v>
      </c>
    </row>
    <row r="1393" spans="9:9">
      <c r="I1393" s="12">
        <f t="shared" si="22"/>
        <v>0</v>
      </c>
    </row>
    <row r="1394" spans="9:9">
      <c r="I1394" s="12">
        <f t="shared" si="22"/>
        <v>0</v>
      </c>
    </row>
    <row r="1395" spans="9:9">
      <c r="I1395" s="12">
        <f t="shared" si="22"/>
        <v>0</v>
      </c>
    </row>
    <row r="1396" spans="9:9">
      <c r="I1396" s="12">
        <f t="shared" si="22"/>
        <v>0</v>
      </c>
    </row>
    <row r="1397" spans="9:9">
      <c r="I1397" s="12">
        <f t="shared" si="22"/>
        <v>0</v>
      </c>
    </row>
    <row r="1398" spans="9:9">
      <c r="I1398" s="12">
        <f t="shared" si="22"/>
        <v>0</v>
      </c>
    </row>
    <row r="1399" spans="9:9">
      <c r="I1399" s="12">
        <f t="shared" si="22"/>
        <v>0</v>
      </c>
    </row>
    <row r="1400" spans="9:9">
      <c r="I1400" s="12">
        <f t="shared" si="22"/>
        <v>0</v>
      </c>
    </row>
    <row r="1401" spans="9:9">
      <c r="I1401" s="12">
        <f t="shared" si="22"/>
        <v>0</v>
      </c>
    </row>
    <row r="1402" spans="9:9">
      <c r="I1402" s="12">
        <f t="shared" si="22"/>
        <v>0</v>
      </c>
    </row>
    <row r="1403" spans="9:9">
      <c r="I1403" s="12">
        <f t="shared" si="22"/>
        <v>0</v>
      </c>
    </row>
    <row r="1404" spans="9:9">
      <c r="I1404" s="12">
        <f t="shared" si="22"/>
        <v>0</v>
      </c>
    </row>
    <row r="1405" spans="9:9">
      <c r="I1405" s="12">
        <f t="shared" si="22"/>
        <v>0</v>
      </c>
    </row>
    <row r="1406" spans="9:9">
      <c r="I1406" s="12">
        <f t="shared" si="22"/>
        <v>0</v>
      </c>
    </row>
    <row r="1407" spans="9:9">
      <c r="I1407" s="12">
        <f t="shared" si="22"/>
        <v>0</v>
      </c>
    </row>
    <row r="1408" spans="9:9">
      <c r="I1408" s="12">
        <f t="shared" si="22"/>
        <v>0</v>
      </c>
    </row>
    <row r="1409" spans="9:9">
      <c r="I1409" s="12">
        <f t="shared" si="22"/>
        <v>0</v>
      </c>
    </row>
    <row r="1410" spans="9:9">
      <c r="I1410" s="12">
        <f t="shared" ref="I1410:I1473" si="23">A1410</f>
        <v>0</v>
      </c>
    </row>
    <row r="1411" spans="9:9">
      <c r="I1411" s="12">
        <f t="shared" si="23"/>
        <v>0</v>
      </c>
    </row>
    <row r="1412" spans="9:9">
      <c r="I1412" s="12">
        <f t="shared" si="23"/>
        <v>0</v>
      </c>
    </row>
    <row r="1413" spans="9:9">
      <c r="I1413" s="12">
        <f t="shared" si="23"/>
        <v>0</v>
      </c>
    </row>
    <row r="1414" spans="9:9">
      <c r="I1414" s="12">
        <f t="shared" si="23"/>
        <v>0</v>
      </c>
    </row>
    <row r="1415" spans="9:9">
      <c r="I1415" s="12">
        <f t="shared" si="23"/>
        <v>0</v>
      </c>
    </row>
    <row r="1416" spans="9:9">
      <c r="I1416" s="12">
        <f t="shared" si="23"/>
        <v>0</v>
      </c>
    </row>
    <row r="1417" spans="9:9">
      <c r="I1417" s="12">
        <f t="shared" si="23"/>
        <v>0</v>
      </c>
    </row>
    <row r="1418" spans="9:9">
      <c r="I1418" s="12">
        <f t="shared" si="23"/>
        <v>0</v>
      </c>
    </row>
    <row r="1419" spans="9:9">
      <c r="I1419" s="12">
        <f t="shared" si="23"/>
        <v>0</v>
      </c>
    </row>
    <row r="1420" spans="9:9">
      <c r="I1420" s="12">
        <f t="shared" si="23"/>
        <v>0</v>
      </c>
    </row>
    <row r="1421" spans="9:9">
      <c r="I1421" s="12">
        <f t="shared" si="23"/>
        <v>0</v>
      </c>
    </row>
    <row r="1422" spans="9:9">
      <c r="I1422" s="12">
        <f t="shared" si="23"/>
        <v>0</v>
      </c>
    </row>
    <row r="1423" spans="9:9">
      <c r="I1423" s="12">
        <f t="shared" si="23"/>
        <v>0</v>
      </c>
    </row>
    <row r="1424" spans="9:9">
      <c r="I1424" s="12">
        <f t="shared" si="23"/>
        <v>0</v>
      </c>
    </row>
    <row r="1425" spans="9:9">
      <c r="I1425" s="12">
        <f t="shared" si="23"/>
        <v>0</v>
      </c>
    </row>
    <row r="1426" spans="9:9">
      <c r="I1426" s="12">
        <f t="shared" si="23"/>
        <v>0</v>
      </c>
    </row>
    <row r="1427" spans="9:9">
      <c r="I1427" s="12">
        <f t="shared" si="23"/>
        <v>0</v>
      </c>
    </row>
    <row r="1428" spans="9:9">
      <c r="I1428" s="12">
        <f t="shared" si="23"/>
        <v>0</v>
      </c>
    </row>
    <row r="1429" spans="9:9">
      <c r="I1429" s="12">
        <f t="shared" si="23"/>
        <v>0</v>
      </c>
    </row>
    <row r="1430" spans="9:9">
      <c r="I1430" s="12">
        <f t="shared" si="23"/>
        <v>0</v>
      </c>
    </row>
    <row r="1431" spans="9:9">
      <c r="I1431" s="12">
        <f t="shared" si="23"/>
        <v>0</v>
      </c>
    </row>
    <row r="1432" spans="9:9">
      <c r="I1432" s="12">
        <f t="shared" si="23"/>
        <v>0</v>
      </c>
    </row>
    <row r="1433" spans="9:9">
      <c r="I1433" s="12">
        <f t="shared" si="23"/>
        <v>0</v>
      </c>
    </row>
    <row r="1434" spans="9:9">
      <c r="I1434" s="12">
        <f t="shared" si="23"/>
        <v>0</v>
      </c>
    </row>
    <row r="1435" spans="9:9">
      <c r="I1435" s="12">
        <f t="shared" si="23"/>
        <v>0</v>
      </c>
    </row>
    <row r="1436" spans="9:9">
      <c r="I1436" s="12">
        <f t="shared" si="23"/>
        <v>0</v>
      </c>
    </row>
    <row r="1437" spans="9:9">
      <c r="I1437" s="12">
        <f t="shared" si="23"/>
        <v>0</v>
      </c>
    </row>
    <row r="1438" spans="9:9">
      <c r="I1438" s="12">
        <f t="shared" si="23"/>
        <v>0</v>
      </c>
    </row>
    <row r="1439" spans="9:9">
      <c r="I1439" s="12">
        <f t="shared" si="23"/>
        <v>0</v>
      </c>
    </row>
    <row r="1440" spans="9:9">
      <c r="I1440" s="12">
        <f t="shared" si="23"/>
        <v>0</v>
      </c>
    </row>
    <row r="1441" spans="9:9">
      <c r="I1441" s="12">
        <f t="shared" si="23"/>
        <v>0</v>
      </c>
    </row>
    <row r="1442" spans="9:9">
      <c r="I1442" s="12">
        <f t="shared" si="23"/>
        <v>0</v>
      </c>
    </row>
    <row r="1443" spans="9:9">
      <c r="I1443" s="12">
        <f t="shared" si="23"/>
        <v>0</v>
      </c>
    </row>
    <row r="1444" spans="9:9">
      <c r="I1444" s="12">
        <f t="shared" si="23"/>
        <v>0</v>
      </c>
    </row>
    <row r="1445" spans="9:9">
      <c r="I1445" s="12">
        <f t="shared" si="23"/>
        <v>0</v>
      </c>
    </row>
    <row r="1446" spans="9:9">
      <c r="I1446" s="12">
        <f t="shared" si="23"/>
        <v>0</v>
      </c>
    </row>
    <row r="1447" spans="9:9">
      <c r="I1447" s="12">
        <f t="shared" si="23"/>
        <v>0</v>
      </c>
    </row>
    <row r="1448" spans="9:9">
      <c r="I1448" s="12">
        <f t="shared" si="23"/>
        <v>0</v>
      </c>
    </row>
    <row r="1449" spans="9:9">
      <c r="I1449" s="12">
        <f t="shared" si="23"/>
        <v>0</v>
      </c>
    </row>
    <row r="1450" spans="9:9">
      <c r="I1450" s="12">
        <f t="shared" si="23"/>
        <v>0</v>
      </c>
    </row>
    <row r="1451" spans="9:9">
      <c r="I1451" s="12">
        <f t="shared" si="23"/>
        <v>0</v>
      </c>
    </row>
    <row r="1452" spans="9:9">
      <c r="I1452" s="12">
        <f t="shared" si="23"/>
        <v>0</v>
      </c>
    </row>
    <row r="1453" spans="9:9">
      <c r="I1453" s="12">
        <f t="shared" si="23"/>
        <v>0</v>
      </c>
    </row>
    <row r="1454" spans="9:9">
      <c r="I1454" s="12">
        <f t="shared" si="23"/>
        <v>0</v>
      </c>
    </row>
    <row r="1455" spans="9:9">
      <c r="I1455" s="12">
        <f t="shared" si="23"/>
        <v>0</v>
      </c>
    </row>
    <row r="1456" spans="9:9">
      <c r="I1456" s="12">
        <f t="shared" si="23"/>
        <v>0</v>
      </c>
    </row>
    <row r="1457" spans="9:9">
      <c r="I1457" s="12">
        <f t="shared" si="23"/>
        <v>0</v>
      </c>
    </row>
    <row r="1458" spans="9:9">
      <c r="I1458" s="12">
        <f t="shared" si="23"/>
        <v>0</v>
      </c>
    </row>
    <row r="1459" spans="9:9">
      <c r="I1459" s="12">
        <f t="shared" si="23"/>
        <v>0</v>
      </c>
    </row>
    <row r="1460" spans="9:9">
      <c r="I1460" s="12">
        <f t="shared" si="23"/>
        <v>0</v>
      </c>
    </row>
    <row r="1461" spans="9:9">
      <c r="I1461" s="12">
        <f t="shared" si="23"/>
        <v>0</v>
      </c>
    </row>
    <row r="1462" spans="9:9">
      <c r="I1462" s="12">
        <f t="shared" si="23"/>
        <v>0</v>
      </c>
    </row>
    <row r="1463" spans="9:9">
      <c r="I1463" s="12">
        <f t="shared" si="23"/>
        <v>0</v>
      </c>
    </row>
    <row r="1464" spans="9:9">
      <c r="I1464" s="12">
        <f t="shared" si="23"/>
        <v>0</v>
      </c>
    </row>
    <row r="1465" spans="9:9">
      <c r="I1465" s="12">
        <f t="shared" si="23"/>
        <v>0</v>
      </c>
    </row>
    <row r="1466" spans="9:9">
      <c r="I1466" s="12">
        <f t="shared" si="23"/>
        <v>0</v>
      </c>
    </row>
    <row r="1467" spans="9:9">
      <c r="I1467" s="12">
        <f t="shared" si="23"/>
        <v>0</v>
      </c>
    </row>
    <row r="1468" spans="9:9">
      <c r="I1468" s="12">
        <f t="shared" si="23"/>
        <v>0</v>
      </c>
    </row>
    <row r="1469" spans="9:9">
      <c r="I1469" s="12">
        <f t="shared" si="23"/>
        <v>0</v>
      </c>
    </row>
    <row r="1470" spans="9:9">
      <c r="I1470" s="12">
        <f t="shared" si="23"/>
        <v>0</v>
      </c>
    </row>
    <row r="1471" spans="9:9">
      <c r="I1471" s="12">
        <f t="shared" si="23"/>
        <v>0</v>
      </c>
    </row>
    <row r="1472" spans="9:9">
      <c r="I1472" s="12">
        <f t="shared" si="23"/>
        <v>0</v>
      </c>
    </row>
    <row r="1473" spans="9:9">
      <c r="I1473" s="12">
        <f t="shared" si="23"/>
        <v>0</v>
      </c>
    </row>
    <row r="1474" spans="9:9">
      <c r="I1474" s="12">
        <f t="shared" ref="I1474:I1537" si="24">A1474</f>
        <v>0</v>
      </c>
    </row>
    <row r="1475" spans="9:9">
      <c r="I1475" s="12">
        <f t="shared" si="24"/>
        <v>0</v>
      </c>
    </row>
    <row r="1476" spans="9:9">
      <c r="I1476" s="12">
        <f t="shared" si="24"/>
        <v>0</v>
      </c>
    </row>
    <row r="1477" spans="9:9">
      <c r="I1477" s="12">
        <f t="shared" si="24"/>
        <v>0</v>
      </c>
    </row>
    <row r="1478" spans="9:9">
      <c r="I1478" s="12">
        <f t="shared" si="24"/>
        <v>0</v>
      </c>
    </row>
    <row r="1479" spans="9:9">
      <c r="I1479" s="12">
        <f t="shared" si="24"/>
        <v>0</v>
      </c>
    </row>
    <row r="1480" spans="9:9">
      <c r="I1480" s="12">
        <f t="shared" si="24"/>
        <v>0</v>
      </c>
    </row>
    <row r="1481" spans="9:9">
      <c r="I1481" s="12">
        <f t="shared" si="24"/>
        <v>0</v>
      </c>
    </row>
    <row r="1482" spans="9:9">
      <c r="I1482" s="12">
        <f t="shared" si="24"/>
        <v>0</v>
      </c>
    </row>
    <row r="1483" spans="9:9">
      <c r="I1483" s="12">
        <f t="shared" si="24"/>
        <v>0</v>
      </c>
    </row>
    <row r="1484" spans="9:9">
      <c r="I1484" s="12">
        <f t="shared" si="24"/>
        <v>0</v>
      </c>
    </row>
    <row r="1485" spans="9:9">
      <c r="I1485" s="12">
        <f t="shared" si="24"/>
        <v>0</v>
      </c>
    </row>
    <row r="1486" spans="9:9">
      <c r="I1486" s="12">
        <f t="shared" si="24"/>
        <v>0</v>
      </c>
    </row>
    <row r="1487" spans="9:9">
      <c r="I1487" s="12">
        <f t="shared" si="24"/>
        <v>0</v>
      </c>
    </row>
    <row r="1488" spans="9:9">
      <c r="I1488" s="12">
        <f t="shared" si="24"/>
        <v>0</v>
      </c>
    </row>
    <row r="1489" spans="9:9">
      <c r="I1489" s="12">
        <f t="shared" si="24"/>
        <v>0</v>
      </c>
    </row>
    <row r="1490" spans="9:9">
      <c r="I1490" s="12">
        <f t="shared" si="24"/>
        <v>0</v>
      </c>
    </row>
    <row r="1491" spans="9:9">
      <c r="I1491" s="12">
        <f t="shared" si="24"/>
        <v>0</v>
      </c>
    </row>
    <row r="1492" spans="9:9">
      <c r="I1492" s="12">
        <f t="shared" si="24"/>
        <v>0</v>
      </c>
    </row>
    <row r="1493" spans="9:9">
      <c r="I1493" s="12">
        <f t="shared" si="24"/>
        <v>0</v>
      </c>
    </row>
    <row r="1494" spans="9:9">
      <c r="I1494" s="12">
        <f t="shared" si="24"/>
        <v>0</v>
      </c>
    </row>
    <row r="1495" spans="9:9">
      <c r="I1495" s="12">
        <f t="shared" si="24"/>
        <v>0</v>
      </c>
    </row>
    <row r="1496" spans="9:9">
      <c r="I1496" s="12">
        <f t="shared" si="24"/>
        <v>0</v>
      </c>
    </row>
    <row r="1497" spans="9:9">
      <c r="I1497" s="12">
        <f t="shared" si="24"/>
        <v>0</v>
      </c>
    </row>
    <row r="1498" spans="9:9">
      <c r="I1498" s="12">
        <f t="shared" si="24"/>
        <v>0</v>
      </c>
    </row>
    <row r="1499" spans="9:9">
      <c r="I1499" s="12">
        <f t="shared" si="24"/>
        <v>0</v>
      </c>
    </row>
    <row r="1500" spans="9:9">
      <c r="I1500" s="12">
        <f t="shared" si="24"/>
        <v>0</v>
      </c>
    </row>
    <row r="1501" spans="9:9">
      <c r="I1501" s="12">
        <f t="shared" si="24"/>
        <v>0</v>
      </c>
    </row>
    <row r="1502" spans="9:9">
      <c r="I1502" s="12">
        <f t="shared" si="24"/>
        <v>0</v>
      </c>
    </row>
    <row r="1503" spans="9:9">
      <c r="I1503" s="12">
        <f t="shared" si="24"/>
        <v>0</v>
      </c>
    </row>
    <row r="1504" spans="9:9">
      <c r="I1504" s="12">
        <f t="shared" si="24"/>
        <v>0</v>
      </c>
    </row>
    <row r="1505" spans="9:9">
      <c r="I1505" s="12">
        <f t="shared" si="24"/>
        <v>0</v>
      </c>
    </row>
    <row r="1506" spans="9:9">
      <c r="I1506" s="12">
        <f t="shared" si="24"/>
        <v>0</v>
      </c>
    </row>
    <row r="1507" spans="9:9">
      <c r="I1507" s="12">
        <f t="shared" si="24"/>
        <v>0</v>
      </c>
    </row>
    <row r="1508" spans="9:9">
      <c r="I1508" s="12">
        <f t="shared" si="24"/>
        <v>0</v>
      </c>
    </row>
    <row r="1509" spans="9:9">
      <c r="I1509" s="12">
        <f t="shared" si="24"/>
        <v>0</v>
      </c>
    </row>
    <row r="1510" spans="9:9">
      <c r="I1510" s="12">
        <f t="shared" si="24"/>
        <v>0</v>
      </c>
    </row>
    <row r="1511" spans="9:9">
      <c r="I1511" s="12">
        <f t="shared" si="24"/>
        <v>0</v>
      </c>
    </row>
    <row r="1512" spans="9:9">
      <c r="I1512" s="12">
        <f t="shared" si="24"/>
        <v>0</v>
      </c>
    </row>
    <row r="1513" spans="9:9">
      <c r="I1513" s="12">
        <f t="shared" si="24"/>
        <v>0</v>
      </c>
    </row>
    <row r="1514" spans="9:9">
      <c r="I1514" s="12">
        <f t="shared" si="24"/>
        <v>0</v>
      </c>
    </row>
    <row r="1515" spans="9:9">
      <c r="I1515" s="12">
        <f t="shared" si="24"/>
        <v>0</v>
      </c>
    </row>
    <row r="1516" spans="9:9">
      <c r="I1516" s="12">
        <f t="shared" si="24"/>
        <v>0</v>
      </c>
    </row>
    <row r="1517" spans="9:9">
      <c r="I1517" s="12">
        <f t="shared" si="24"/>
        <v>0</v>
      </c>
    </row>
    <row r="1518" spans="9:9">
      <c r="I1518" s="12">
        <f t="shared" si="24"/>
        <v>0</v>
      </c>
    </row>
    <row r="1519" spans="9:9">
      <c r="I1519" s="12">
        <f t="shared" si="24"/>
        <v>0</v>
      </c>
    </row>
    <row r="1520" spans="9:9">
      <c r="I1520" s="12">
        <f t="shared" si="24"/>
        <v>0</v>
      </c>
    </row>
    <row r="1521" spans="9:9">
      <c r="I1521" s="12">
        <f t="shared" si="24"/>
        <v>0</v>
      </c>
    </row>
    <row r="1522" spans="9:9">
      <c r="I1522" s="12">
        <f t="shared" si="24"/>
        <v>0</v>
      </c>
    </row>
    <row r="1523" spans="9:9">
      <c r="I1523" s="12">
        <f t="shared" si="24"/>
        <v>0</v>
      </c>
    </row>
    <row r="1524" spans="9:9">
      <c r="I1524" s="12">
        <f t="shared" si="24"/>
        <v>0</v>
      </c>
    </row>
    <row r="1525" spans="9:9">
      <c r="I1525" s="12">
        <f t="shared" si="24"/>
        <v>0</v>
      </c>
    </row>
    <row r="1526" spans="9:9">
      <c r="I1526" s="12">
        <f t="shared" si="24"/>
        <v>0</v>
      </c>
    </row>
    <row r="1527" spans="9:9">
      <c r="I1527" s="12">
        <f t="shared" si="24"/>
        <v>0</v>
      </c>
    </row>
    <row r="1528" spans="9:9">
      <c r="I1528" s="12">
        <f t="shared" si="24"/>
        <v>0</v>
      </c>
    </row>
    <row r="1529" spans="9:9">
      <c r="I1529" s="12">
        <f t="shared" si="24"/>
        <v>0</v>
      </c>
    </row>
    <row r="1530" spans="9:9">
      <c r="I1530" s="12">
        <f t="shared" si="24"/>
        <v>0</v>
      </c>
    </row>
    <row r="1531" spans="9:9">
      <c r="I1531" s="12">
        <f t="shared" si="24"/>
        <v>0</v>
      </c>
    </row>
    <row r="1532" spans="9:9">
      <c r="I1532" s="12">
        <f t="shared" si="24"/>
        <v>0</v>
      </c>
    </row>
    <row r="1533" spans="9:9">
      <c r="I1533" s="12">
        <f t="shared" si="24"/>
        <v>0</v>
      </c>
    </row>
    <row r="1534" spans="9:9">
      <c r="I1534" s="12">
        <f t="shared" si="24"/>
        <v>0</v>
      </c>
    </row>
    <row r="1535" spans="9:9">
      <c r="I1535" s="12">
        <f t="shared" si="24"/>
        <v>0</v>
      </c>
    </row>
    <row r="1536" spans="9:9">
      <c r="I1536" s="12">
        <f t="shared" si="24"/>
        <v>0</v>
      </c>
    </row>
    <row r="1537" spans="9:9">
      <c r="I1537" s="12">
        <f t="shared" si="24"/>
        <v>0</v>
      </c>
    </row>
    <row r="1538" spans="9:9">
      <c r="I1538" s="12">
        <f t="shared" ref="I1538:I1601" si="25">A1538</f>
        <v>0</v>
      </c>
    </row>
    <row r="1539" spans="9:9">
      <c r="I1539" s="12">
        <f t="shared" si="25"/>
        <v>0</v>
      </c>
    </row>
    <row r="1540" spans="9:9">
      <c r="I1540" s="12">
        <f t="shared" si="25"/>
        <v>0</v>
      </c>
    </row>
    <row r="1541" spans="9:9">
      <c r="I1541" s="12">
        <f t="shared" si="25"/>
        <v>0</v>
      </c>
    </row>
    <row r="1542" spans="9:9">
      <c r="I1542" s="12">
        <f t="shared" si="25"/>
        <v>0</v>
      </c>
    </row>
    <row r="1543" spans="9:9">
      <c r="I1543" s="12">
        <f t="shared" si="25"/>
        <v>0</v>
      </c>
    </row>
    <row r="1544" spans="9:9">
      <c r="I1544" s="12">
        <f t="shared" si="25"/>
        <v>0</v>
      </c>
    </row>
    <row r="1545" spans="9:9">
      <c r="I1545" s="12">
        <f t="shared" si="25"/>
        <v>0</v>
      </c>
    </row>
    <row r="1546" spans="9:9">
      <c r="I1546" s="12">
        <f t="shared" si="25"/>
        <v>0</v>
      </c>
    </row>
    <row r="1547" spans="9:9">
      <c r="I1547" s="12">
        <f t="shared" si="25"/>
        <v>0</v>
      </c>
    </row>
    <row r="1548" spans="9:9">
      <c r="I1548" s="12">
        <f t="shared" si="25"/>
        <v>0</v>
      </c>
    </row>
    <row r="1549" spans="9:9">
      <c r="I1549" s="12">
        <f t="shared" si="25"/>
        <v>0</v>
      </c>
    </row>
    <row r="1550" spans="9:9">
      <c r="I1550" s="12">
        <f t="shared" si="25"/>
        <v>0</v>
      </c>
    </row>
    <row r="1551" spans="9:9">
      <c r="I1551" s="12">
        <f t="shared" si="25"/>
        <v>0</v>
      </c>
    </row>
    <row r="1552" spans="9:9">
      <c r="I1552" s="12">
        <f t="shared" si="25"/>
        <v>0</v>
      </c>
    </row>
    <row r="1553" spans="9:9">
      <c r="I1553" s="12">
        <f t="shared" si="25"/>
        <v>0</v>
      </c>
    </row>
    <row r="1554" spans="9:9">
      <c r="I1554" s="12">
        <f t="shared" si="25"/>
        <v>0</v>
      </c>
    </row>
    <row r="1555" spans="9:9">
      <c r="I1555" s="12">
        <f t="shared" si="25"/>
        <v>0</v>
      </c>
    </row>
    <row r="1556" spans="9:9">
      <c r="I1556" s="12">
        <f t="shared" si="25"/>
        <v>0</v>
      </c>
    </row>
    <row r="1557" spans="9:9">
      <c r="I1557" s="12">
        <f t="shared" si="25"/>
        <v>0</v>
      </c>
    </row>
    <row r="1558" spans="9:9">
      <c r="I1558" s="12">
        <f t="shared" si="25"/>
        <v>0</v>
      </c>
    </row>
    <row r="1559" spans="9:9">
      <c r="I1559" s="12">
        <f t="shared" si="25"/>
        <v>0</v>
      </c>
    </row>
    <row r="1560" spans="9:9">
      <c r="I1560" s="12">
        <f t="shared" si="25"/>
        <v>0</v>
      </c>
    </row>
    <row r="1561" spans="9:9">
      <c r="I1561" s="12">
        <f t="shared" si="25"/>
        <v>0</v>
      </c>
    </row>
    <row r="1562" spans="9:9">
      <c r="I1562" s="12">
        <f t="shared" si="25"/>
        <v>0</v>
      </c>
    </row>
    <row r="1563" spans="9:9">
      <c r="I1563" s="12">
        <f t="shared" si="25"/>
        <v>0</v>
      </c>
    </row>
    <row r="1564" spans="9:9">
      <c r="I1564" s="12">
        <f t="shared" si="25"/>
        <v>0</v>
      </c>
    </row>
    <row r="1565" spans="9:9">
      <c r="I1565" s="12">
        <f t="shared" si="25"/>
        <v>0</v>
      </c>
    </row>
    <row r="1566" spans="9:9">
      <c r="I1566" s="12">
        <f t="shared" si="25"/>
        <v>0</v>
      </c>
    </row>
    <row r="1567" spans="9:9">
      <c r="I1567" s="12">
        <f t="shared" si="25"/>
        <v>0</v>
      </c>
    </row>
    <row r="1568" spans="9:9">
      <c r="I1568" s="12">
        <f t="shared" si="25"/>
        <v>0</v>
      </c>
    </row>
    <row r="1569" spans="9:9">
      <c r="I1569" s="12">
        <f t="shared" si="25"/>
        <v>0</v>
      </c>
    </row>
    <row r="1570" spans="9:9">
      <c r="I1570" s="12">
        <f t="shared" si="25"/>
        <v>0</v>
      </c>
    </row>
    <row r="1571" spans="9:9">
      <c r="I1571" s="12">
        <f t="shared" si="25"/>
        <v>0</v>
      </c>
    </row>
    <row r="1572" spans="9:9">
      <c r="I1572" s="12">
        <f t="shared" si="25"/>
        <v>0</v>
      </c>
    </row>
    <row r="1573" spans="9:9">
      <c r="I1573" s="12">
        <f t="shared" si="25"/>
        <v>0</v>
      </c>
    </row>
    <row r="1574" spans="9:9">
      <c r="I1574" s="12">
        <f t="shared" si="25"/>
        <v>0</v>
      </c>
    </row>
    <row r="1575" spans="9:9">
      <c r="I1575" s="12">
        <f t="shared" si="25"/>
        <v>0</v>
      </c>
    </row>
    <row r="1576" spans="9:9">
      <c r="I1576" s="12">
        <f t="shared" si="25"/>
        <v>0</v>
      </c>
    </row>
    <row r="1577" spans="9:9">
      <c r="I1577" s="12">
        <f t="shared" si="25"/>
        <v>0</v>
      </c>
    </row>
    <row r="1578" spans="9:9">
      <c r="I1578" s="12">
        <f t="shared" si="25"/>
        <v>0</v>
      </c>
    </row>
    <row r="1579" spans="9:9">
      <c r="I1579" s="12">
        <f t="shared" si="25"/>
        <v>0</v>
      </c>
    </row>
    <row r="1580" spans="9:9">
      <c r="I1580" s="12">
        <f t="shared" si="25"/>
        <v>0</v>
      </c>
    </row>
    <row r="1581" spans="9:9">
      <c r="I1581" s="12">
        <f t="shared" si="25"/>
        <v>0</v>
      </c>
    </row>
    <row r="1582" spans="9:9">
      <c r="I1582" s="12">
        <f t="shared" si="25"/>
        <v>0</v>
      </c>
    </row>
    <row r="1583" spans="9:9">
      <c r="I1583" s="12">
        <f t="shared" si="25"/>
        <v>0</v>
      </c>
    </row>
    <row r="1584" spans="9:9">
      <c r="I1584" s="12">
        <f t="shared" si="25"/>
        <v>0</v>
      </c>
    </row>
    <row r="1585" spans="9:9">
      <c r="I1585" s="12">
        <f t="shared" si="25"/>
        <v>0</v>
      </c>
    </row>
    <row r="1586" spans="9:9">
      <c r="I1586" s="12">
        <f t="shared" si="25"/>
        <v>0</v>
      </c>
    </row>
    <row r="1587" spans="9:9">
      <c r="I1587" s="12">
        <f t="shared" si="25"/>
        <v>0</v>
      </c>
    </row>
    <row r="1588" spans="9:9">
      <c r="I1588" s="12">
        <f t="shared" si="25"/>
        <v>0</v>
      </c>
    </row>
    <row r="1589" spans="9:9">
      <c r="I1589" s="12">
        <f t="shared" si="25"/>
        <v>0</v>
      </c>
    </row>
    <row r="1590" spans="9:9">
      <c r="I1590" s="12">
        <f t="shared" si="25"/>
        <v>0</v>
      </c>
    </row>
    <row r="1591" spans="9:9">
      <c r="I1591" s="12">
        <f t="shared" si="25"/>
        <v>0</v>
      </c>
    </row>
    <row r="1592" spans="9:9">
      <c r="I1592" s="12">
        <f t="shared" si="25"/>
        <v>0</v>
      </c>
    </row>
    <row r="1593" spans="9:9">
      <c r="I1593" s="12">
        <f t="shared" si="25"/>
        <v>0</v>
      </c>
    </row>
    <row r="1594" spans="9:9">
      <c r="I1594" s="12">
        <f t="shared" si="25"/>
        <v>0</v>
      </c>
    </row>
    <row r="1595" spans="9:9">
      <c r="I1595" s="12">
        <f t="shared" si="25"/>
        <v>0</v>
      </c>
    </row>
    <row r="1596" spans="9:9">
      <c r="I1596" s="12">
        <f t="shared" si="25"/>
        <v>0</v>
      </c>
    </row>
    <row r="1597" spans="9:9">
      <c r="I1597" s="12">
        <f t="shared" si="25"/>
        <v>0</v>
      </c>
    </row>
    <row r="1598" spans="9:9">
      <c r="I1598" s="12">
        <f t="shared" si="25"/>
        <v>0</v>
      </c>
    </row>
    <row r="1599" spans="9:9">
      <c r="I1599" s="12">
        <f t="shared" si="25"/>
        <v>0</v>
      </c>
    </row>
    <row r="1600" spans="9:9">
      <c r="I1600" s="12">
        <f t="shared" si="25"/>
        <v>0</v>
      </c>
    </row>
    <row r="1601" spans="9:9">
      <c r="I1601" s="12">
        <f t="shared" si="25"/>
        <v>0</v>
      </c>
    </row>
    <row r="1602" spans="9:9">
      <c r="I1602" s="12">
        <f t="shared" ref="I1602:I1665" si="26">A1602</f>
        <v>0</v>
      </c>
    </row>
    <row r="1603" spans="9:9">
      <c r="I1603" s="12">
        <f t="shared" si="26"/>
        <v>0</v>
      </c>
    </row>
    <row r="1604" spans="9:9">
      <c r="I1604" s="12">
        <f t="shared" si="26"/>
        <v>0</v>
      </c>
    </row>
    <row r="1605" spans="9:9">
      <c r="I1605" s="12">
        <f t="shared" si="26"/>
        <v>0</v>
      </c>
    </row>
    <row r="1606" spans="9:9">
      <c r="I1606" s="12">
        <f t="shared" si="26"/>
        <v>0</v>
      </c>
    </row>
    <row r="1607" spans="9:9">
      <c r="I1607" s="12">
        <f t="shared" si="26"/>
        <v>0</v>
      </c>
    </row>
    <row r="1608" spans="9:9">
      <c r="I1608" s="12">
        <f t="shared" si="26"/>
        <v>0</v>
      </c>
    </row>
    <row r="1609" spans="9:9">
      <c r="I1609" s="12">
        <f t="shared" si="26"/>
        <v>0</v>
      </c>
    </row>
    <row r="1610" spans="9:9">
      <c r="I1610" s="12">
        <f t="shared" si="26"/>
        <v>0</v>
      </c>
    </row>
    <row r="1611" spans="9:9">
      <c r="I1611" s="12">
        <f t="shared" si="26"/>
        <v>0</v>
      </c>
    </row>
    <row r="1612" spans="9:9">
      <c r="I1612" s="12">
        <f t="shared" si="26"/>
        <v>0</v>
      </c>
    </row>
    <row r="1613" spans="9:9">
      <c r="I1613" s="12">
        <f t="shared" si="26"/>
        <v>0</v>
      </c>
    </row>
    <row r="1614" spans="9:9">
      <c r="I1614" s="12">
        <f t="shared" si="26"/>
        <v>0</v>
      </c>
    </row>
    <row r="1615" spans="9:9">
      <c r="I1615" s="12">
        <f t="shared" si="26"/>
        <v>0</v>
      </c>
    </row>
    <row r="1616" spans="9:9">
      <c r="I1616" s="12">
        <f t="shared" si="26"/>
        <v>0</v>
      </c>
    </row>
    <row r="1617" spans="9:9">
      <c r="I1617" s="12">
        <f t="shared" si="26"/>
        <v>0</v>
      </c>
    </row>
    <row r="1618" spans="9:9">
      <c r="I1618" s="12">
        <f t="shared" si="26"/>
        <v>0</v>
      </c>
    </row>
    <row r="1619" spans="9:9">
      <c r="I1619" s="12">
        <f t="shared" si="26"/>
        <v>0</v>
      </c>
    </row>
    <row r="1620" spans="9:9">
      <c r="I1620" s="12">
        <f t="shared" si="26"/>
        <v>0</v>
      </c>
    </row>
    <row r="1621" spans="9:9">
      <c r="I1621" s="12">
        <f t="shared" si="26"/>
        <v>0</v>
      </c>
    </row>
    <row r="1622" spans="9:9">
      <c r="I1622" s="12">
        <f t="shared" si="26"/>
        <v>0</v>
      </c>
    </row>
    <row r="1623" spans="9:9">
      <c r="I1623" s="12">
        <f t="shared" si="26"/>
        <v>0</v>
      </c>
    </row>
    <row r="1624" spans="9:9">
      <c r="I1624" s="12">
        <f t="shared" si="26"/>
        <v>0</v>
      </c>
    </row>
    <row r="1625" spans="9:9">
      <c r="I1625" s="12">
        <f t="shared" si="26"/>
        <v>0</v>
      </c>
    </row>
    <row r="1626" spans="9:9">
      <c r="I1626" s="12">
        <f t="shared" si="26"/>
        <v>0</v>
      </c>
    </row>
    <row r="1627" spans="9:9">
      <c r="I1627" s="12">
        <f t="shared" si="26"/>
        <v>0</v>
      </c>
    </row>
    <row r="1628" spans="9:9">
      <c r="I1628" s="12">
        <f t="shared" si="26"/>
        <v>0</v>
      </c>
    </row>
    <row r="1629" spans="9:9">
      <c r="I1629" s="12">
        <f t="shared" si="26"/>
        <v>0</v>
      </c>
    </row>
    <row r="1630" spans="9:9">
      <c r="I1630" s="12">
        <f t="shared" si="26"/>
        <v>0</v>
      </c>
    </row>
    <row r="1631" spans="9:9">
      <c r="I1631" s="12">
        <f t="shared" si="26"/>
        <v>0</v>
      </c>
    </row>
    <row r="1632" spans="9:9">
      <c r="I1632" s="12">
        <f t="shared" si="26"/>
        <v>0</v>
      </c>
    </row>
    <row r="1633" spans="9:9">
      <c r="I1633" s="12">
        <f t="shared" si="26"/>
        <v>0</v>
      </c>
    </row>
    <row r="1634" spans="9:9">
      <c r="I1634" s="12">
        <f t="shared" si="26"/>
        <v>0</v>
      </c>
    </row>
    <row r="1635" spans="9:9">
      <c r="I1635" s="12">
        <f t="shared" si="26"/>
        <v>0</v>
      </c>
    </row>
    <row r="1636" spans="9:9">
      <c r="I1636" s="12">
        <f t="shared" si="26"/>
        <v>0</v>
      </c>
    </row>
    <row r="1637" spans="9:9">
      <c r="I1637" s="12">
        <f t="shared" si="26"/>
        <v>0</v>
      </c>
    </row>
    <row r="1638" spans="9:9">
      <c r="I1638" s="12">
        <f t="shared" si="26"/>
        <v>0</v>
      </c>
    </row>
    <row r="1639" spans="9:9">
      <c r="I1639" s="12">
        <f t="shared" si="26"/>
        <v>0</v>
      </c>
    </row>
    <row r="1640" spans="9:9">
      <c r="I1640" s="12">
        <f t="shared" si="26"/>
        <v>0</v>
      </c>
    </row>
    <row r="1641" spans="9:9">
      <c r="I1641" s="12">
        <f t="shared" si="26"/>
        <v>0</v>
      </c>
    </row>
    <row r="1642" spans="9:9">
      <c r="I1642" s="12">
        <f t="shared" si="26"/>
        <v>0</v>
      </c>
    </row>
    <row r="1643" spans="9:9">
      <c r="I1643" s="12">
        <f t="shared" si="26"/>
        <v>0</v>
      </c>
    </row>
    <row r="1644" spans="9:9">
      <c r="I1644" s="12">
        <f t="shared" si="26"/>
        <v>0</v>
      </c>
    </row>
    <row r="1645" spans="9:9">
      <c r="I1645" s="12">
        <f t="shared" si="26"/>
        <v>0</v>
      </c>
    </row>
    <row r="1646" spans="9:9">
      <c r="I1646" s="12">
        <f t="shared" si="26"/>
        <v>0</v>
      </c>
    </row>
    <row r="1647" spans="9:9">
      <c r="I1647" s="12">
        <f t="shared" si="26"/>
        <v>0</v>
      </c>
    </row>
    <row r="1648" spans="9:9">
      <c r="I1648" s="12">
        <f t="shared" si="26"/>
        <v>0</v>
      </c>
    </row>
    <row r="1649" spans="9:9">
      <c r="I1649" s="12">
        <f t="shared" si="26"/>
        <v>0</v>
      </c>
    </row>
    <row r="1650" spans="9:9">
      <c r="I1650" s="12">
        <f t="shared" si="26"/>
        <v>0</v>
      </c>
    </row>
    <row r="1651" spans="9:9">
      <c r="I1651" s="12">
        <f t="shared" si="26"/>
        <v>0</v>
      </c>
    </row>
    <row r="1652" spans="9:9">
      <c r="I1652" s="12">
        <f t="shared" si="26"/>
        <v>0</v>
      </c>
    </row>
    <row r="1653" spans="9:9">
      <c r="I1653" s="12">
        <f t="shared" si="26"/>
        <v>0</v>
      </c>
    </row>
    <row r="1654" spans="9:9">
      <c r="I1654" s="12">
        <f t="shared" si="26"/>
        <v>0</v>
      </c>
    </row>
    <row r="1655" spans="9:9">
      <c r="I1655" s="12">
        <f t="shared" si="26"/>
        <v>0</v>
      </c>
    </row>
    <row r="1656" spans="9:9">
      <c r="I1656" s="12">
        <f t="shared" si="26"/>
        <v>0</v>
      </c>
    </row>
    <row r="1657" spans="9:9">
      <c r="I1657" s="12">
        <f t="shared" si="26"/>
        <v>0</v>
      </c>
    </row>
    <row r="1658" spans="9:9">
      <c r="I1658" s="12">
        <f t="shared" si="26"/>
        <v>0</v>
      </c>
    </row>
    <row r="1659" spans="9:9">
      <c r="I1659" s="12">
        <f t="shared" si="26"/>
        <v>0</v>
      </c>
    </row>
    <row r="1660" spans="9:9">
      <c r="I1660" s="12">
        <f t="shared" si="26"/>
        <v>0</v>
      </c>
    </row>
    <row r="1661" spans="9:9">
      <c r="I1661" s="12">
        <f t="shared" si="26"/>
        <v>0</v>
      </c>
    </row>
    <row r="1662" spans="9:9">
      <c r="I1662" s="12">
        <f t="shared" si="26"/>
        <v>0</v>
      </c>
    </row>
    <row r="1663" spans="9:9">
      <c r="I1663" s="12">
        <f t="shared" si="26"/>
        <v>0</v>
      </c>
    </row>
    <row r="1664" spans="9:9">
      <c r="I1664" s="12">
        <f t="shared" si="26"/>
        <v>0</v>
      </c>
    </row>
    <row r="1665" spans="9:9">
      <c r="I1665" s="12">
        <f t="shared" si="26"/>
        <v>0</v>
      </c>
    </row>
    <row r="1666" spans="9:9">
      <c r="I1666" s="12">
        <f t="shared" ref="I1666:I1729" si="27">A1666</f>
        <v>0</v>
      </c>
    </row>
    <row r="1667" spans="9:9">
      <c r="I1667" s="12">
        <f t="shared" si="27"/>
        <v>0</v>
      </c>
    </row>
    <row r="1668" spans="9:9">
      <c r="I1668" s="12">
        <f t="shared" si="27"/>
        <v>0</v>
      </c>
    </row>
    <row r="1669" spans="9:9">
      <c r="I1669" s="12">
        <f t="shared" si="27"/>
        <v>0</v>
      </c>
    </row>
    <row r="1670" spans="9:9">
      <c r="I1670" s="12">
        <f t="shared" si="27"/>
        <v>0</v>
      </c>
    </row>
    <row r="1671" spans="9:9">
      <c r="I1671" s="12">
        <f t="shared" si="27"/>
        <v>0</v>
      </c>
    </row>
    <row r="1672" spans="9:9">
      <c r="I1672" s="12">
        <f t="shared" si="27"/>
        <v>0</v>
      </c>
    </row>
    <row r="1673" spans="9:9">
      <c r="I1673" s="12">
        <f t="shared" si="27"/>
        <v>0</v>
      </c>
    </row>
    <row r="1674" spans="9:9">
      <c r="I1674" s="12">
        <f t="shared" si="27"/>
        <v>0</v>
      </c>
    </row>
    <row r="1675" spans="9:9">
      <c r="I1675" s="12">
        <f t="shared" si="27"/>
        <v>0</v>
      </c>
    </row>
    <row r="1676" spans="9:9">
      <c r="I1676" s="12">
        <f t="shared" si="27"/>
        <v>0</v>
      </c>
    </row>
    <row r="1677" spans="9:9">
      <c r="I1677" s="12">
        <f t="shared" si="27"/>
        <v>0</v>
      </c>
    </row>
    <row r="1678" spans="9:9">
      <c r="I1678" s="12">
        <f t="shared" si="27"/>
        <v>0</v>
      </c>
    </row>
    <row r="1679" spans="9:9">
      <c r="I1679" s="12">
        <f t="shared" si="27"/>
        <v>0</v>
      </c>
    </row>
    <row r="1680" spans="9:9">
      <c r="I1680" s="12">
        <f t="shared" si="27"/>
        <v>0</v>
      </c>
    </row>
    <row r="1681" spans="9:9">
      <c r="I1681" s="12">
        <f t="shared" si="27"/>
        <v>0</v>
      </c>
    </row>
    <row r="1682" spans="9:9">
      <c r="I1682" s="12">
        <f t="shared" si="27"/>
        <v>0</v>
      </c>
    </row>
    <row r="1683" spans="9:9">
      <c r="I1683" s="12">
        <f t="shared" si="27"/>
        <v>0</v>
      </c>
    </row>
    <row r="1684" spans="9:9">
      <c r="I1684" s="12">
        <f t="shared" si="27"/>
        <v>0</v>
      </c>
    </row>
    <row r="1685" spans="9:9">
      <c r="I1685" s="12">
        <f t="shared" si="27"/>
        <v>0</v>
      </c>
    </row>
    <row r="1686" spans="9:9">
      <c r="I1686" s="12">
        <f t="shared" si="27"/>
        <v>0</v>
      </c>
    </row>
    <row r="1687" spans="9:9">
      <c r="I1687" s="12">
        <f t="shared" si="27"/>
        <v>0</v>
      </c>
    </row>
    <row r="1688" spans="9:9">
      <c r="I1688" s="12">
        <f t="shared" si="27"/>
        <v>0</v>
      </c>
    </row>
    <row r="1689" spans="9:9">
      <c r="I1689" s="12">
        <f t="shared" si="27"/>
        <v>0</v>
      </c>
    </row>
    <row r="1690" spans="9:9">
      <c r="I1690" s="12">
        <f t="shared" si="27"/>
        <v>0</v>
      </c>
    </row>
    <row r="1691" spans="9:9">
      <c r="I1691" s="12">
        <f t="shared" si="27"/>
        <v>0</v>
      </c>
    </row>
    <row r="1692" spans="9:9">
      <c r="I1692" s="12">
        <f t="shared" si="27"/>
        <v>0</v>
      </c>
    </row>
    <row r="1693" spans="9:9">
      <c r="I1693" s="12">
        <f t="shared" si="27"/>
        <v>0</v>
      </c>
    </row>
    <row r="1694" spans="9:9">
      <c r="I1694" s="12">
        <f t="shared" si="27"/>
        <v>0</v>
      </c>
    </row>
    <row r="1695" spans="9:9">
      <c r="I1695" s="12">
        <f t="shared" si="27"/>
        <v>0</v>
      </c>
    </row>
    <row r="1696" spans="9:9">
      <c r="I1696" s="12">
        <f t="shared" si="27"/>
        <v>0</v>
      </c>
    </row>
    <row r="1697" spans="9:9">
      <c r="I1697" s="12">
        <f t="shared" si="27"/>
        <v>0</v>
      </c>
    </row>
    <row r="1698" spans="9:9">
      <c r="I1698" s="12">
        <f t="shared" si="27"/>
        <v>0</v>
      </c>
    </row>
    <row r="1699" spans="9:9">
      <c r="I1699" s="12">
        <f t="shared" si="27"/>
        <v>0</v>
      </c>
    </row>
    <row r="1700" spans="9:9">
      <c r="I1700" s="12">
        <f t="shared" si="27"/>
        <v>0</v>
      </c>
    </row>
    <row r="1701" spans="9:9">
      <c r="I1701" s="12">
        <f t="shared" si="27"/>
        <v>0</v>
      </c>
    </row>
    <row r="1702" spans="9:9">
      <c r="I1702" s="12">
        <f t="shared" si="27"/>
        <v>0</v>
      </c>
    </row>
    <row r="1703" spans="9:9">
      <c r="I1703" s="12">
        <f t="shared" si="27"/>
        <v>0</v>
      </c>
    </row>
    <row r="1704" spans="9:9">
      <c r="I1704" s="12">
        <f t="shared" si="27"/>
        <v>0</v>
      </c>
    </row>
    <row r="1705" spans="9:9">
      <c r="I1705" s="12">
        <f t="shared" si="27"/>
        <v>0</v>
      </c>
    </row>
    <row r="1706" spans="9:9">
      <c r="I1706" s="12">
        <f t="shared" si="27"/>
        <v>0</v>
      </c>
    </row>
    <row r="1707" spans="9:9">
      <c r="I1707" s="12">
        <f t="shared" si="27"/>
        <v>0</v>
      </c>
    </row>
    <row r="1708" spans="9:9">
      <c r="I1708" s="12">
        <f t="shared" si="27"/>
        <v>0</v>
      </c>
    </row>
    <row r="1709" spans="9:9">
      <c r="I1709" s="12">
        <f t="shared" si="27"/>
        <v>0</v>
      </c>
    </row>
    <row r="1710" spans="9:9">
      <c r="I1710" s="12">
        <f t="shared" si="27"/>
        <v>0</v>
      </c>
    </row>
    <row r="1711" spans="9:9">
      <c r="I1711" s="12">
        <f t="shared" si="27"/>
        <v>0</v>
      </c>
    </row>
    <row r="1712" spans="9:9">
      <c r="I1712" s="12">
        <f t="shared" si="27"/>
        <v>0</v>
      </c>
    </row>
    <row r="1713" spans="9:9">
      <c r="I1713" s="12">
        <f t="shared" si="27"/>
        <v>0</v>
      </c>
    </row>
    <row r="1714" spans="9:9">
      <c r="I1714" s="12">
        <f t="shared" si="27"/>
        <v>0</v>
      </c>
    </row>
    <row r="1715" spans="9:9">
      <c r="I1715" s="12">
        <f t="shared" si="27"/>
        <v>0</v>
      </c>
    </row>
    <row r="1716" spans="9:9">
      <c r="I1716" s="12">
        <f t="shared" si="27"/>
        <v>0</v>
      </c>
    </row>
    <row r="1717" spans="9:9">
      <c r="I1717" s="12">
        <f t="shared" si="27"/>
        <v>0</v>
      </c>
    </row>
    <row r="1718" spans="9:9">
      <c r="I1718" s="12">
        <f t="shared" si="27"/>
        <v>0</v>
      </c>
    </row>
    <row r="1719" spans="9:9">
      <c r="I1719" s="12">
        <f t="shared" si="27"/>
        <v>0</v>
      </c>
    </row>
    <row r="1720" spans="9:9">
      <c r="I1720" s="12">
        <f t="shared" si="27"/>
        <v>0</v>
      </c>
    </row>
    <row r="1721" spans="9:9">
      <c r="I1721" s="12">
        <f t="shared" si="27"/>
        <v>0</v>
      </c>
    </row>
    <row r="1722" spans="9:9">
      <c r="I1722" s="12">
        <f t="shared" si="27"/>
        <v>0</v>
      </c>
    </row>
    <row r="1723" spans="9:9">
      <c r="I1723" s="12">
        <f t="shared" si="27"/>
        <v>0</v>
      </c>
    </row>
    <row r="1724" spans="9:9">
      <c r="I1724" s="12">
        <f t="shared" si="27"/>
        <v>0</v>
      </c>
    </row>
    <row r="1725" spans="9:9">
      <c r="I1725" s="12">
        <f t="shared" si="27"/>
        <v>0</v>
      </c>
    </row>
    <row r="1726" spans="9:9">
      <c r="I1726" s="12">
        <f t="shared" si="27"/>
        <v>0</v>
      </c>
    </row>
    <row r="1727" spans="9:9">
      <c r="I1727" s="12">
        <f t="shared" si="27"/>
        <v>0</v>
      </c>
    </row>
    <row r="1728" spans="9:9">
      <c r="I1728" s="12">
        <f t="shared" si="27"/>
        <v>0</v>
      </c>
    </row>
    <row r="1729" spans="9:9">
      <c r="I1729" s="12">
        <f t="shared" si="27"/>
        <v>0</v>
      </c>
    </row>
    <row r="1730" spans="9:9">
      <c r="I1730" s="12">
        <f t="shared" ref="I1730:I1793" si="28">A1730</f>
        <v>0</v>
      </c>
    </row>
    <row r="1731" spans="9:9">
      <c r="I1731" s="12">
        <f t="shared" si="28"/>
        <v>0</v>
      </c>
    </row>
    <row r="1732" spans="9:9">
      <c r="I1732" s="12">
        <f t="shared" si="28"/>
        <v>0</v>
      </c>
    </row>
    <row r="1733" spans="9:9">
      <c r="I1733" s="12">
        <f t="shared" si="28"/>
        <v>0</v>
      </c>
    </row>
    <row r="1734" spans="9:9">
      <c r="I1734" s="12">
        <f t="shared" si="28"/>
        <v>0</v>
      </c>
    </row>
    <row r="1735" spans="9:9">
      <c r="I1735" s="12">
        <f t="shared" si="28"/>
        <v>0</v>
      </c>
    </row>
    <row r="1736" spans="9:9">
      <c r="I1736" s="12">
        <f t="shared" si="28"/>
        <v>0</v>
      </c>
    </row>
    <row r="1737" spans="9:9">
      <c r="I1737" s="12">
        <f t="shared" si="28"/>
        <v>0</v>
      </c>
    </row>
    <row r="1738" spans="9:9">
      <c r="I1738" s="12">
        <f t="shared" si="28"/>
        <v>0</v>
      </c>
    </row>
    <row r="1739" spans="9:9">
      <c r="I1739" s="12">
        <f t="shared" si="28"/>
        <v>0</v>
      </c>
    </row>
    <row r="1740" spans="9:9">
      <c r="I1740" s="12">
        <f t="shared" si="28"/>
        <v>0</v>
      </c>
    </row>
    <row r="1741" spans="9:9">
      <c r="I1741" s="12">
        <f t="shared" si="28"/>
        <v>0</v>
      </c>
    </row>
    <row r="1742" spans="9:9">
      <c r="I1742" s="12">
        <f t="shared" si="28"/>
        <v>0</v>
      </c>
    </row>
    <row r="1743" spans="9:9">
      <c r="I1743" s="12">
        <f t="shared" si="28"/>
        <v>0</v>
      </c>
    </row>
    <row r="1744" spans="9:9">
      <c r="I1744" s="12">
        <f t="shared" si="28"/>
        <v>0</v>
      </c>
    </row>
    <row r="1745" spans="9:9">
      <c r="I1745" s="12">
        <f t="shared" si="28"/>
        <v>0</v>
      </c>
    </row>
    <row r="1746" spans="9:9">
      <c r="I1746" s="12">
        <f t="shared" si="28"/>
        <v>0</v>
      </c>
    </row>
    <row r="1747" spans="9:9">
      <c r="I1747" s="12">
        <f t="shared" si="28"/>
        <v>0</v>
      </c>
    </row>
    <row r="1748" spans="9:9">
      <c r="I1748" s="12">
        <f t="shared" si="28"/>
        <v>0</v>
      </c>
    </row>
    <row r="1749" spans="9:9">
      <c r="I1749" s="12">
        <f t="shared" si="28"/>
        <v>0</v>
      </c>
    </row>
    <row r="1750" spans="9:9">
      <c r="I1750" s="12">
        <f t="shared" si="28"/>
        <v>0</v>
      </c>
    </row>
    <row r="1751" spans="9:9">
      <c r="I1751" s="12">
        <f t="shared" si="28"/>
        <v>0</v>
      </c>
    </row>
    <row r="1752" spans="9:9">
      <c r="I1752" s="12">
        <f t="shared" si="28"/>
        <v>0</v>
      </c>
    </row>
    <row r="1753" spans="9:9">
      <c r="I1753" s="12">
        <f t="shared" si="28"/>
        <v>0</v>
      </c>
    </row>
    <row r="1754" spans="9:9">
      <c r="I1754" s="12">
        <f t="shared" si="28"/>
        <v>0</v>
      </c>
    </row>
    <row r="1755" spans="9:9">
      <c r="I1755" s="12">
        <f t="shared" si="28"/>
        <v>0</v>
      </c>
    </row>
    <row r="1756" spans="9:9">
      <c r="I1756" s="12">
        <f t="shared" si="28"/>
        <v>0</v>
      </c>
    </row>
    <row r="1757" spans="9:9">
      <c r="I1757" s="12">
        <f t="shared" si="28"/>
        <v>0</v>
      </c>
    </row>
    <row r="1758" spans="9:9">
      <c r="I1758" s="12">
        <f t="shared" si="28"/>
        <v>0</v>
      </c>
    </row>
    <row r="1759" spans="9:9">
      <c r="I1759" s="12">
        <f t="shared" si="28"/>
        <v>0</v>
      </c>
    </row>
    <row r="1760" spans="9:9">
      <c r="I1760" s="12">
        <f t="shared" si="28"/>
        <v>0</v>
      </c>
    </row>
    <row r="1761" spans="9:9">
      <c r="I1761" s="12">
        <f t="shared" si="28"/>
        <v>0</v>
      </c>
    </row>
    <row r="1762" spans="9:9">
      <c r="I1762" s="12">
        <f t="shared" si="28"/>
        <v>0</v>
      </c>
    </row>
    <row r="1763" spans="9:9">
      <c r="I1763" s="12">
        <f t="shared" si="28"/>
        <v>0</v>
      </c>
    </row>
    <row r="1764" spans="9:9">
      <c r="I1764" s="12">
        <f t="shared" si="28"/>
        <v>0</v>
      </c>
    </row>
    <row r="1765" spans="9:9">
      <c r="I1765" s="12">
        <f t="shared" si="28"/>
        <v>0</v>
      </c>
    </row>
    <row r="1766" spans="9:9">
      <c r="I1766" s="12">
        <f t="shared" si="28"/>
        <v>0</v>
      </c>
    </row>
    <row r="1767" spans="9:9">
      <c r="I1767" s="12">
        <f t="shared" si="28"/>
        <v>0</v>
      </c>
    </row>
    <row r="1768" spans="9:9">
      <c r="I1768" s="12">
        <f t="shared" si="28"/>
        <v>0</v>
      </c>
    </row>
    <row r="1769" spans="9:9">
      <c r="I1769" s="12">
        <f t="shared" si="28"/>
        <v>0</v>
      </c>
    </row>
    <row r="1770" spans="9:9">
      <c r="I1770" s="12">
        <f t="shared" si="28"/>
        <v>0</v>
      </c>
    </row>
    <row r="1771" spans="9:9">
      <c r="I1771" s="12">
        <f t="shared" si="28"/>
        <v>0</v>
      </c>
    </row>
    <row r="1772" spans="9:9">
      <c r="I1772" s="12">
        <f t="shared" si="28"/>
        <v>0</v>
      </c>
    </row>
    <row r="1773" spans="9:9">
      <c r="I1773" s="12">
        <f t="shared" si="28"/>
        <v>0</v>
      </c>
    </row>
    <row r="1774" spans="9:9">
      <c r="I1774" s="12">
        <f t="shared" si="28"/>
        <v>0</v>
      </c>
    </row>
    <row r="1775" spans="9:9">
      <c r="I1775" s="12">
        <f t="shared" si="28"/>
        <v>0</v>
      </c>
    </row>
    <row r="1776" spans="9:9">
      <c r="I1776" s="12">
        <f t="shared" si="28"/>
        <v>0</v>
      </c>
    </row>
    <row r="1777" spans="9:9">
      <c r="I1777" s="12">
        <f t="shared" si="28"/>
        <v>0</v>
      </c>
    </row>
    <row r="1778" spans="9:9">
      <c r="I1778" s="12">
        <f t="shared" si="28"/>
        <v>0</v>
      </c>
    </row>
    <row r="1779" spans="9:9">
      <c r="I1779" s="12">
        <f t="shared" si="28"/>
        <v>0</v>
      </c>
    </row>
    <row r="1780" spans="9:9">
      <c r="I1780" s="12">
        <f t="shared" si="28"/>
        <v>0</v>
      </c>
    </row>
    <row r="1781" spans="9:9">
      <c r="I1781" s="12">
        <f t="shared" si="28"/>
        <v>0</v>
      </c>
    </row>
    <row r="1782" spans="9:9">
      <c r="I1782" s="12">
        <f t="shared" si="28"/>
        <v>0</v>
      </c>
    </row>
    <row r="1783" spans="9:9">
      <c r="I1783" s="12">
        <f t="shared" si="28"/>
        <v>0</v>
      </c>
    </row>
    <row r="1784" spans="9:9">
      <c r="I1784" s="12">
        <f t="shared" si="28"/>
        <v>0</v>
      </c>
    </row>
    <row r="1785" spans="9:9">
      <c r="I1785" s="12">
        <f t="shared" si="28"/>
        <v>0</v>
      </c>
    </row>
    <row r="1786" spans="9:9">
      <c r="I1786" s="12">
        <f t="shared" si="28"/>
        <v>0</v>
      </c>
    </row>
    <row r="1787" spans="9:9">
      <c r="I1787" s="12">
        <f t="shared" si="28"/>
        <v>0</v>
      </c>
    </row>
    <row r="1788" spans="9:9">
      <c r="I1788" s="12">
        <f t="shared" si="28"/>
        <v>0</v>
      </c>
    </row>
    <row r="1789" spans="9:9">
      <c r="I1789" s="12">
        <f t="shared" si="28"/>
        <v>0</v>
      </c>
    </row>
    <row r="1790" spans="9:9">
      <c r="I1790" s="12">
        <f t="shared" si="28"/>
        <v>0</v>
      </c>
    </row>
    <row r="1791" spans="9:9">
      <c r="I1791" s="12">
        <f t="shared" si="28"/>
        <v>0</v>
      </c>
    </row>
    <row r="1792" spans="9:9">
      <c r="I1792" s="12">
        <f t="shared" si="28"/>
        <v>0</v>
      </c>
    </row>
    <row r="1793" spans="9:9">
      <c r="I1793" s="12">
        <f t="shared" si="28"/>
        <v>0</v>
      </c>
    </row>
    <row r="1794" spans="9:9">
      <c r="I1794" s="12">
        <f t="shared" ref="I1794:I1857" si="29">A1794</f>
        <v>0</v>
      </c>
    </row>
    <row r="1795" spans="9:9">
      <c r="I1795" s="12">
        <f t="shared" si="29"/>
        <v>0</v>
      </c>
    </row>
    <row r="1796" spans="9:9">
      <c r="I1796" s="12">
        <f t="shared" si="29"/>
        <v>0</v>
      </c>
    </row>
    <row r="1797" spans="9:9">
      <c r="I1797" s="12">
        <f t="shared" si="29"/>
        <v>0</v>
      </c>
    </row>
    <row r="1798" spans="9:9">
      <c r="I1798" s="12">
        <f t="shared" si="29"/>
        <v>0</v>
      </c>
    </row>
    <row r="1799" spans="9:9">
      <c r="I1799" s="12">
        <f t="shared" si="29"/>
        <v>0</v>
      </c>
    </row>
    <row r="1800" spans="9:9">
      <c r="I1800" s="12">
        <f t="shared" si="29"/>
        <v>0</v>
      </c>
    </row>
    <row r="1801" spans="9:9">
      <c r="I1801" s="12">
        <f t="shared" si="29"/>
        <v>0</v>
      </c>
    </row>
    <row r="1802" spans="9:9">
      <c r="I1802" s="12">
        <f t="shared" si="29"/>
        <v>0</v>
      </c>
    </row>
    <row r="1803" spans="9:9">
      <c r="I1803" s="12">
        <f t="shared" si="29"/>
        <v>0</v>
      </c>
    </row>
    <row r="1804" spans="9:9">
      <c r="I1804" s="12">
        <f t="shared" si="29"/>
        <v>0</v>
      </c>
    </row>
    <row r="1805" spans="9:9">
      <c r="I1805" s="12">
        <f t="shared" si="29"/>
        <v>0</v>
      </c>
    </row>
    <row r="1806" spans="9:9">
      <c r="I1806" s="12">
        <f t="shared" si="29"/>
        <v>0</v>
      </c>
    </row>
    <row r="1807" spans="9:9">
      <c r="I1807" s="12">
        <f t="shared" si="29"/>
        <v>0</v>
      </c>
    </row>
    <row r="1808" spans="9:9">
      <c r="I1808" s="12">
        <f t="shared" si="29"/>
        <v>0</v>
      </c>
    </row>
    <row r="1809" spans="9:9">
      <c r="I1809" s="12">
        <f t="shared" si="29"/>
        <v>0</v>
      </c>
    </row>
    <row r="1810" spans="9:9">
      <c r="I1810" s="12">
        <f t="shared" si="29"/>
        <v>0</v>
      </c>
    </row>
    <row r="1811" spans="9:9">
      <c r="I1811" s="12">
        <f t="shared" si="29"/>
        <v>0</v>
      </c>
    </row>
    <row r="1812" spans="9:9">
      <c r="I1812" s="12">
        <f t="shared" si="29"/>
        <v>0</v>
      </c>
    </row>
    <row r="1813" spans="9:9">
      <c r="I1813" s="12">
        <f t="shared" si="29"/>
        <v>0</v>
      </c>
    </row>
    <row r="1814" spans="9:9">
      <c r="I1814" s="12">
        <f t="shared" si="29"/>
        <v>0</v>
      </c>
    </row>
    <row r="1815" spans="9:9">
      <c r="I1815" s="12">
        <f t="shared" si="29"/>
        <v>0</v>
      </c>
    </row>
    <row r="1816" spans="9:9">
      <c r="I1816" s="12">
        <f t="shared" si="29"/>
        <v>0</v>
      </c>
    </row>
    <row r="1817" spans="9:9">
      <c r="I1817" s="12">
        <f t="shared" si="29"/>
        <v>0</v>
      </c>
    </row>
    <row r="1818" spans="9:9">
      <c r="I1818" s="12">
        <f t="shared" si="29"/>
        <v>0</v>
      </c>
    </row>
    <row r="1819" spans="9:9">
      <c r="I1819" s="12">
        <f t="shared" si="29"/>
        <v>0</v>
      </c>
    </row>
    <row r="1820" spans="9:9">
      <c r="I1820" s="12">
        <f t="shared" si="29"/>
        <v>0</v>
      </c>
    </row>
    <row r="1821" spans="9:9">
      <c r="I1821" s="12">
        <f t="shared" si="29"/>
        <v>0</v>
      </c>
    </row>
    <row r="1822" spans="9:9">
      <c r="I1822" s="12">
        <f t="shared" si="29"/>
        <v>0</v>
      </c>
    </row>
    <row r="1823" spans="9:9">
      <c r="I1823" s="12">
        <f t="shared" si="29"/>
        <v>0</v>
      </c>
    </row>
    <row r="1824" spans="9:9">
      <c r="I1824" s="12">
        <f t="shared" si="29"/>
        <v>0</v>
      </c>
    </row>
    <row r="1825" spans="9:9">
      <c r="I1825" s="12">
        <f t="shared" si="29"/>
        <v>0</v>
      </c>
    </row>
    <row r="1826" spans="9:9">
      <c r="I1826" s="12">
        <f t="shared" si="29"/>
        <v>0</v>
      </c>
    </row>
    <row r="1827" spans="9:9">
      <c r="I1827" s="12">
        <f t="shared" si="29"/>
        <v>0</v>
      </c>
    </row>
    <row r="1828" spans="9:9">
      <c r="I1828" s="12">
        <f t="shared" si="29"/>
        <v>0</v>
      </c>
    </row>
    <row r="1829" spans="9:9">
      <c r="I1829" s="12">
        <f t="shared" si="29"/>
        <v>0</v>
      </c>
    </row>
    <row r="1830" spans="9:9">
      <c r="I1830" s="12">
        <f t="shared" si="29"/>
        <v>0</v>
      </c>
    </row>
    <row r="1831" spans="9:9">
      <c r="I1831" s="12">
        <f t="shared" si="29"/>
        <v>0</v>
      </c>
    </row>
    <row r="1832" spans="9:9">
      <c r="I1832" s="12">
        <f t="shared" si="29"/>
        <v>0</v>
      </c>
    </row>
    <row r="1833" spans="9:9">
      <c r="I1833" s="12">
        <f t="shared" si="29"/>
        <v>0</v>
      </c>
    </row>
    <row r="1834" spans="9:9">
      <c r="I1834" s="12">
        <f t="shared" si="29"/>
        <v>0</v>
      </c>
    </row>
    <row r="1835" spans="9:9">
      <c r="I1835" s="12">
        <f t="shared" si="29"/>
        <v>0</v>
      </c>
    </row>
    <row r="1836" spans="9:9">
      <c r="I1836" s="12">
        <f t="shared" si="29"/>
        <v>0</v>
      </c>
    </row>
    <row r="1837" spans="9:9">
      <c r="I1837" s="12">
        <f t="shared" si="29"/>
        <v>0</v>
      </c>
    </row>
    <row r="1838" spans="9:9">
      <c r="I1838" s="12">
        <f t="shared" si="29"/>
        <v>0</v>
      </c>
    </row>
    <row r="1839" spans="9:9">
      <c r="I1839" s="12">
        <f t="shared" si="29"/>
        <v>0</v>
      </c>
    </row>
    <row r="1840" spans="9:9">
      <c r="I1840" s="12">
        <f t="shared" si="29"/>
        <v>0</v>
      </c>
    </row>
    <row r="1841" spans="9:9">
      <c r="I1841" s="12">
        <f t="shared" si="29"/>
        <v>0</v>
      </c>
    </row>
    <row r="1842" spans="9:9">
      <c r="I1842" s="12">
        <f t="shared" si="29"/>
        <v>0</v>
      </c>
    </row>
    <row r="1843" spans="9:9">
      <c r="I1843" s="12">
        <f t="shared" si="29"/>
        <v>0</v>
      </c>
    </row>
    <row r="1844" spans="9:9">
      <c r="I1844" s="12">
        <f t="shared" si="29"/>
        <v>0</v>
      </c>
    </row>
    <row r="1845" spans="9:9">
      <c r="I1845" s="12">
        <f t="shared" si="29"/>
        <v>0</v>
      </c>
    </row>
    <row r="1846" spans="9:9">
      <c r="I1846" s="12">
        <f t="shared" si="29"/>
        <v>0</v>
      </c>
    </row>
    <row r="1847" spans="9:9">
      <c r="I1847" s="12">
        <f t="shared" si="29"/>
        <v>0</v>
      </c>
    </row>
    <row r="1848" spans="9:9">
      <c r="I1848" s="12">
        <f t="shared" si="29"/>
        <v>0</v>
      </c>
    </row>
    <row r="1849" spans="9:9">
      <c r="I1849" s="12">
        <f t="shared" si="29"/>
        <v>0</v>
      </c>
    </row>
    <row r="1850" spans="9:9">
      <c r="I1850" s="12">
        <f t="shared" si="29"/>
        <v>0</v>
      </c>
    </row>
    <row r="1851" spans="9:9">
      <c r="I1851" s="12">
        <f t="shared" si="29"/>
        <v>0</v>
      </c>
    </row>
    <row r="1852" spans="9:9">
      <c r="I1852" s="12">
        <f t="shared" si="29"/>
        <v>0</v>
      </c>
    </row>
    <row r="1853" spans="9:9">
      <c r="I1853" s="12">
        <f t="shared" si="29"/>
        <v>0</v>
      </c>
    </row>
    <row r="1854" spans="9:9">
      <c r="I1854" s="12">
        <f t="shared" si="29"/>
        <v>0</v>
      </c>
    </row>
    <row r="1855" spans="9:9">
      <c r="I1855" s="12">
        <f t="shared" si="29"/>
        <v>0</v>
      </c>
    </row>
    <row r="1856" spans="9:9">
      <c r="I1856" s="12">
        <f t="shared" si="29"/>
        <v>0</v>
      </c>
    </row>
    <row r="1857" spans="9:9">
      <c r="I1857" s="12">
        <f t="shared" si="29"/>
        <v>0</v>
      </c>
    </row>
    <row r="1858" spans="9:9">
      <c r="I1858" s="12">
        <f t="shared" ref="I1858:I1921" si="30">A1858</f>
        <v>0</v>
      </c>
    </row>
    <row r="1859" spans="9:9">
      <c r="I1859" s="12">
        <f t="shared" si="30"/>
        <v>0</v>
      </c>
    </row>
    <row r="1860" spans="9:9">
      <c r="I1860" s="12">
        <f t="shared" si="30"/>
        <v>0</v>
      </c>
    </row>
    <row r="1861" spans="9:9">
      <c r="I1861" s="12">
        <f t="shared" si="30"/>
        <v>0</v>
      </c>
    </row>
    <row r="1862" spans="9:9">
      <c r="I1862" s="12">
        <f t="shared" si="30"/>
        <v>0</v>
      </c>
    </row>
    <row r="1863" spans="9:9">
      <c r="I1863" s="12">
        <f t="shared" si="30"/>
        <v>0</v>
      </c>
    </row>
    <row r="1864" spans="9:9">
      <c r="I1864" s="12">
        <f t="shared" si="30"/>
        <v>0</v>
      </c>
    </row>
    <row r="1865" spans="9:9">
      <c r="I1865" s="12">
        <f t="shared" si="30"/>
        <v>0</v>
      </c>
    </row>
    <row r="1866" spans="9:9">
      <c r="I1866" s="12">
        <f t="shared" si="30"/>
        <v>0</v>
      </c>
    </row>
    <row r="1867" spans="9:9">
      <c r="I1867" s="12">
        <f t="shared" si="30"/>
        <v>0</v>
      </c>
    </row>
    <row r="1868" spans="9:9">
      <c r="I1868" s="12">
        <f t="shared" si="30"/>
        <v>0</v>
      </c>
    </row>
    <row r="1869" spans="9:9">
      <c r="I1869" s="12">
        <f t="shared" si="30"/>
        <v>0</v>
      </c>
    </row>
    <row r="1870" spans="9:9">
      <c r="I1870" s="12">
        <f t="shared" si="30"/>
        <v>0</v>
      </c>
    </row>
    <row r="1871" spans="9:9">
      <c r="I1871" s="12">
        <f t="shared" si="30"/>
        <v>0</v>
      </c>
    </row>
    <row r="1872" spans="9:9">
      <c r="I1872" s="12">
        <f t="shared" si="30"/>
        <v>0</v>
      </c>
    </row>
    <row r="1873" spans="9:9">
      <c r="I1873" s="12">
        <f t="shared" si="30"/>
        <v>0</v>
      </c>
    </row>
    <row r="1874" spans="9:9">
      <c r="I1874" s="12">
        <f t="shared" si="30"/>
        <v>0</v>
      </c>
    </row>
    <row r="1875" spans="9:9">
      <c r="I1875" s="12">
        <f t="shared" si="30"/>
        <v>0</v>
      </c>
    </row>
    <row r="1876" spans="9:9">
      <c r="I1876" s="12">
        <f t="shared" si="30"/>
        <v>0</v>
      </c>
    </row>
    <row r="1877" spans="9:9">
      <c r="I1877" s="12">
        <f t="shared" si="30"/>
        <v>0</v>
      </c>
    </row>
    <row r="1878" spans="9:9">
      <c r="I1878" s="12">
        <f t="shared" si="30"/>
        <v>0</v>
      </c>
    </row>
    <row r="1879" spans="9:9">
      <c r="I1879" s="12">
        <f t="shared" si="30"/>
        <v>0</v>
      </c>
    </row>
    <row r="1880" spans="9:9">
      <c r="I1880" s="12">
        <f t="shared" si="30"/>
        <v>0</v>
      </c>
    </row>
    <row r="1881" spans="9:9">
      <c r="I1881" s="12">
        <f t="shared" si="30"/>
        <v>0</v>
      </c>
    </row>
    <row r="1882" spans="9:9">
      <c r="I1882" s="12">
        <f t="shared" si="30"/>
        <v>0</v>
      </c>
    </row>
    <row r="1883" spans="9:9">
      <c r="I1883" s="12">
        <f t="shared" si="30"/>
        <v>0</v>
      </c>
    </row>
    <row r="1884" spans="9:9">
      <c r="I1884" s="12">
        <f t="shared" si="30"/>
        <v>0</v>
      </c>
    </row>
    <row r="1885" spans="9:9">
      <c r="I1885" s="12">
        <f t="shared" si="30"/>
        <v>0</v>
      </c>
    </row>
    <row r="1886" spans="9:9">
      <c r="I1886" s="12">
        <f t="shared" si="30"/>
        <v>0</v>
      </c>
    </row>
    <row r="1887" spans="9:9">
      <c r="I1887" s="12">
        <f t="shared" si="30"/>
        <v>0</v>
      </c>
    </row>
    <row r="1888" spans="9:9">
      <c r="I1888" s="12">
        <f t="shared" si="30"/>
        <v>0</v>
      </c>
    </row>
    <row r="1889" spans="9:9">
      <c r="I1889" s="12">
        <f t="shared" si="30"/>
        <v>0</v>
      </c>
    </row>
    <row r="1890" spans="9:9">
      <c r="I1890" s="12">
        <f t="shared" si="30"/>
        <v>0</v>
      </c>
    </row>
    <row r="1891" spans="9:9">
      <c r="I1891" s="12">
        <f t="shared" si="30"/>
        <v>0</v>
      </c>
    </row>
    <row r="1892" spans="9:9">
      <c r="I1892" s="12">
        <f t="shared" si="30"/>
        <v>0</v>
      </c>
    </row>
    <row r="1893" spans="9:9">
      <c r="I1893" s="12">
        <f t="shared" si="30"/>
        <v>0</v>
      </c>
    </row>
    <row r="1894" spans="9:9">
      <c r="I1894" s="12">
        <f t="shared" si="30"/>
        <v>0</v>
      </c>
    </row>
    <row r="1895" spans="9:9">
      <c r="I1895" s="12">
        <f t="shared" si="30"/>
        <v>0</v>
      </c>
    </row>
    <row r="1896" spans="9:9">
      <c r="I1896" s="12">
        <f t="shared" si="30"/>
        <v>0</v>
      </c>
    </row>
    <row r="1897" spans="9:9">
      <c r="I1897" s="12">
        <f t="shared" si="30"/>
        <v>0</v>
      </c>
    </row>
    <row r="1898" spans="9:9">
      <c r="I1898" s="12">
        <f t="shared" si="30"/>
        <v>0</v>
      </c>
    </row>
    <row r="1899" spans="9:9">
      <c r="I1899" s="12">
        <f t="shared" si="30"/>
        <v>0</v>
      </c>
    </row>
    <row r="1900" spans="9:9">
      <c r="I1900" s="12">
        <f t="shared" si="30"/>
        <v>0</v>
      </c>
    </row>
    <row r="1901" spans="9:9">
      <c r="I1901" s="12">
        <f t="shared" si="30"/>
        <v>0</v>
      </c>
    </row>
    <row r="1902" spans="9:9">
      <c r="I1902" s="12">
        <f t="shared" si="30"/>
        <v>0</v>
      </c>
    </row>
    <row r="1903" spans="9:9">
      <c r="I1903" s="12">
        <f t="shared" si="30"/>
        <v>0</v>
      </c>
    </row>
    <row r="1904" spans="9:9">
      <c r="I1904" s="12">
        <f t="shared" si="30"/>
        <v>0</v>
      </c>
    </row>
    <row r="1905" spans="9:9">
      <c r="I1905" s="12">
        <f t="shared" si="30"/>
        <v>0</v>
      </c>
    </row>
    <row r="1906" spans="9:9">
      <c r="I1906" s="12">
        <f t="shared" si="30"/>
        <v>0</v>
      </c>
    </row>
    <row r="1907" spans="9:9">
      <c r="I1907" s="12">
        <f t="shared" si="30"/>
        <v>0</v>
      </c>
    </row>
    <row r="1908" spans="9:9">
      <c r="I1908" s="12">
        <f t="shared" si="30"/>
        <v>0</v>
      </c>
    </row>
    <row r="1909" spans="9:9">
      <c r="I1909" s="12">
        <f t="shared" si="30"/>
        <v>0</v>
      </c>
    </row>
    <row r="1910" spans="9:9">
      <c r="I1910" s="12">
        <f t="shared" si="30"/>
        <v>0</v>
      </c>
    </row>
    <row r="1911" spans="9:9">
      <c r="I1911" s="12">
        <f t="shared" si="30"/>
        <v>0</v>
      </c>
    </row>
    <row r="1912" spans="9:9">
      <c r="I1912" s="12">
        <f t="shared" si="30"/>
        <v>0</v>
      </c>
    </row>
    <row r="1913" spans="9:9">
      <c r="I1913" s="12">
        <f t="shared" si="30"/>
        <v>0</v>
      </c>
    </row>
    <row r="1914" spans="9:9">
      <c r="I1914" s="12">
        <f t="shared" si="30"/>
        <v>0</v>
      </c>
    </row>
    <row r="1915" spans="9:9">
      <c r="I1915" s="12">
        <f t="shared" si="30"/>
        <v>0</v>
      </c>
    </row>
    <row r="1916" spans="9:9">
      <c r="I1916" s="12">
        <f t="shared" si="30"/>
        <v>0</v>
      </c>
    </row>
    <row r="1917" spans="9:9">
      <c r="I1917" s="12">
        <f t="shared" si="30"/>
        <v>0</v>
      </c>
    </row>
    <row r="1918" spans="9:9">
      <c r="I1918" s="12">
        <f t="shared" si="30"/>
        <v>0</v>
      </c>
    </row>
    <row r="1919" spans="9:9">
      <c r="I1919" s="12">
        <f t="shared" si="30"/>
        <v>0</v>
      </c>
    </row>
    <row r="1920" spans="9:9">
      <c r="I1920" s="12">
        <f t="shared" si="30"/>
        <v>0</v>
      </c>
    </row>
    <row r="1921" spans="9:9">
      <c r="I1921" s="12">
        <f t="shared" si="30"/>
        <v>0</v>
      </c>
    </row>
    <row r="1922" spans="9:9">
      <c r="I1922" s="12">
        <f t="shared" ref="I1922:I1985" si="31">A1922</f>
        <v>0</v>
      </c>
    </row>
    <row r="1923" spans="9:9">
      <c r="I1923" s="12">
        <f t="shared" si="31"/>
        <v>0</v>
      </c>
    </row>
    <row r="1924" spans="9:9">
      <c r="I1924" s="12">
        <f t="shared" si="31"/>
        <v>0</v>
      </c>
    </row>
    <row r="1925" spans="9:9">
      <c r="I1925" s="12">
        <f t="shared" si="31"/>
        <v>0</v>
      </c>
    </row>
    <row r="1926" spans="9:9">
      <c r="I1926" s="12">
        <f t="shared" si="31"/>
        <v>0</v>
      </c>
    </row>
    <row r="1927" spans="9:9">
      <c r="I1927" s="12">
        <f t="shared" si="31"/>
        <v>0</v>
      </c>
    </row>
    <row r="1928" spans="9:9">
      <c r="I1928" s="12">
        <f t="shared" si="31"/>
        <v>0</v>
      </c>
    </row>
    <row r="1929" spans="9:9">
      <c r="I1929" s="12">
        <f t="shared" si="31"/>
        <v>0</v>
      </c>
    </row>
    <row r="1930" spans="9:9">
      <c r="I1930" s="12">
        <f t="shared" si="31"/>
        <v>0</v>
      </c>
    </row>
    <row r="1931" spans="9:9">
      <c r="I1931" s="12">
        <f t="shared" si="31"/>
        <v>0</v>
      </c>
    </row>
    <row r="1932" spans="9:9">
      <c r="I1932" s="12">
        <f t="shared" si="31"/>
        <v>0</v>
      </c>
    </row>
    <row r="1933" spans="9:9">
      <c r="I1933" s="12">
        <f t="shared" si="31"/>
        <v>0</v>
      </c>
    </row>
    <row r="1934" spans="9:9">
      <c r="I1934" s="12">
        <f t="shared" si="31"/>
        <v>0</v>
      </c>
    </row>
    <row r="1935" spans="9:9">
      <c r="I1935" s="12">
        <f t="shared" si="31"/>
        <v>0</v>
      </c>
    </row>
    <row r="1936" spans="9:9">
      <c r="I1936" s="12">
        <f t="shared" si="31"/>
        <v>0</v>
      </c>
    </row>
    <row r="1937" spans="9:9">
      <c r="I1937" s="12">
        <f t="shared" si="31"/>
        <v>0</v>
      </c>
    </row>
    <row r="1938" spans="9:9">
      <c r="I1938" s="12">
        <f t="shared" si="31"/>
        <v>0</v>
      </c>
    </row>
    <row r="1939" spans="9:9">
      <c r="I1939" s="12">
        <f t="shared" si="31"/>
        <v>0</v>
      </c>
    </row>
    <row r="1940" spans="9:9">
      <c r="I1940" s="12">
        <f t="shared" si="31"/>
        <v>0</v>
      </c>
    </row>
    <row r="1941" spans="9:9">
      <c r="I1941" s="12">
        <f t="shared" si="31"/>
        <v>0</v>
      </c>
    </row>
    <row r="1942" spans="9:9">
      <c r="I1942" s="12">
        <f t="shared" si="31"/>
        <v>0</v>
      </c>
    </row>
    <row r="1943" spans="9:9">
      <c r="I1943" s="12">
        <f t="shared" si="31"/>
        <v>0</v>
      </c>
    </row>
    <row r="1944" spans="9:9">
      <c r="I1944" s="12">
        <f t="shared" si="31"/>
        <v>0</v>
      </c>
    </row>
    <row r="1945" spans="9:9">
      <c r="I1945" s="12">
        <f t="shared" si="31"/>
        <v>0</v>
      </c>
    </row>
    <row r="1946" spans="9:9">
      <c r="I1946" s="12">
        <f t="shared" si="31"/>
        <v>0</v>
      </c>
    </row>
    <row r="1947" spans="9:9">
      <c r="I1947" s="12">
        <f t="shared" si="31"/>
        <v>0</v>
      </c>
    </row>
    <row r="1948" spans="9:9">
      <c r="I1948" s="12">
        <f t="shared" si="31"/>
        <v>0</v>
      </c>
    </row>
    <row r="1949" spans="9:9">
      <c r="I1949" s="12">
        <f t="shared" si="31"/>
        <v>0</v>
      </c>
    </row>
    <row r="1950" spans="9:9">
      <c r="I1950" s="12">
        <f t="shared" si="31"/>
        <v>0</v>
      </c>
    </row>
    <row r="1951" spans="9:9">
      <c r="I1951" s="12">
        <f t="shared" si="31"/>
        <v>0</v>
      </c>
    </row>
    <row r="1952" spans="9:9">
      <c r="I1952" s="12">
        <f t="shared" si="31"/>
        <v>0</v>
      </c>
    </row>
    <row r="1953" spans="9:9">
      <c r="I1953" s="12">
        <f t="shared" si="31"/>
        <v>0</v>
      </c>
    </row>
    <row r="1954" spans="9:9">
      <c r="I1954" s="12">
        <f t="shared" si="31"/>
        <v>0</v>
      </c>
    </row>
    <row r="1955" spans="9:9">
      <c r="I1955" s="12">
        <f t="shared" si="31"/>
        <v>0</v>
      </c>
    </row>
    <row r="1956" spans="9:9">
      <c r="I1956" s="12">
        <f t="shared" si="31"/>
        <v>0</v>
      </c>
    </row>
    <row r="1957" spans="9:9">
      <c r="I1957" s="12">
        <f t="shared" si="31"/>
        <v>0</v>
      </c>
    </row>
    <row r="1958" spans="9:9">
      <c r="I1958" s="12">
        <f t="shared" si="31"/>
        <v>0</v>
      </c>
    </row>
    <row r="1959" spans="9:9">
      <c r="I1959" s="12">
        <f t="shared" si="31"/>
        <v>0</v>
      </c>
    </row>
    <row r="1960" spans="9:9">
      <c r="I1960" s="12">
        <f t="shared" si="31"/>
        <v>0</v>
      </c>
    </row>
    <row r="1961" spans="9:9">
      <c r="I1961" s="12">
        <f t="shared" si="31"/>
        <v>0</v>
      </c>
    </row>
    <row r="1962" spans="9:9">
      <c r="I1962" s="12">
        <f t="shared" si="31"/>
        <v>0</v>
      </c>
    </row>
    <row r="1963" spans="9:9">
      <c r="I1963" s="12">
        <f t="shared" si="31"/>
        <v>0</v>
      </c>
    </row>
    <row r="1964" spans="9:9">
      <c r="I1964" s="12">
        <f t="shared" si="31"/>
        <v>0</v>
      </c>
    </row>
    <row r="1965" spans="9:9">
      <c r="I1965" s="12">
        <f t="shared" si="31"/>
        <v>0</v>
      </c>
    </row>
    <row r="1966" spans="9:9">
      <c r="I1966" s="12">
        <f t="shared" si="31"/>
        <v>0</v>
      </c>
    </row>
    <row r="1967" spans="9:9">
      <c r="I1967" s="12">
        <f t="shared" si="31"/>
        <v>0</v>
      </c>
    </row>
    <row r="1968" spans="9:9">
      <c r="I1968" s="12">
        <f t="shared" si="31"/>
        <v>0</v>
      </c>
    </row>
    <row r="1969" spans="9:9">
      <c r="I1969" s="12">
        <f t="shared" si="31"/>
        <v>0</v>
      </c>
    </row>
    <row r="1970" spans="9:9">
      <c r="I1970" s="12">
        <f t="shared" si="31"/>
        <v>0</v>
      </c>
    </row>
    <row r="1971" spans="9:9">
      <c r="I1971" s="12">
        <f t="shared" si="31"/>
        <v>0</v>
      </c>
    </row>
    <row r="1972" spans="9:9">
      <c r="I1972" s="12">
        <f t="shared" si="31"/>
        <v>0</v>
      </c>
    </row>
    <row r="1973" spans="9:9">
      <c r="I1973" s="12">
        <f t="shared" si="31"/>
        <v>0</v>
      </c>
    </row>
    <row r="1974" spans="9:9">
      <c r="I1974" s="12">
        <f t="shared" si="31"/>
        <v>0</v>
      </c>
    </row>
    <row r="1975" spans="9:9">
      <c r="I1975" s="12">
        <f t="shared" si="31"/>
        <v>0</v>
      </c>
    </row>
    <row r="1976" spans="9:9">
      <c r="I1976" s="12">
        <f t="shared" si="31"/>
        <v>0</v>
      </c>
    </row>
    <row r="1977" spans="9:9">
      <c r="I1977" s="12">
        <f t="shared" si="31"/>
        <v>0</v>
      </c>
    </row>
    <row r="1978" spans="9:9">
      <c r="I1978" s="12">
        <f t="shared" si="31"/>
        <v>0</v>
      </c>
    </row>
    <row r="1979" spans="9:9">
      <c r="I1979" s="12">
        <f t="shared" si="31"/>
        <v>0</v>
      </c>
    </row>
    <row r="1980" spans="9:9">
      <c r="I1980" s="12">
        <f t="shared" si="31"/>
        <v>0</v>
      </c>
    </row>
    <row r="1981" spans="9:9">
      <c r="I1981" s="12">
        <f t="shared" si="31"/>
        <v>0</v>
      </c>
    </row>
    <row r="1982" spans="9:9">
      <c r="I1982" s="12">
        <f t="shared" si="31"/>
        <v>0</v>
      </c>
    </row>
    <row r="1983" spans="9:9">
      <c r="I1983" s="12">
        <f t="shared" si="31"/>
        <v>0</v>
      </c>
    </row>
    <row r="1984" spans="9:9">
      <c r="I1984" s="12">
        <f t="shared" si="31"/>
        <v>0</v>
      </c>
    </row>
    <row r="1985" spans="9:9">
      <c r="I1985" s="12">
        <f t="shared" si="31"/>
        <v>0</v>
      </c>
    </row>
    <row r="1986" spans="9:9">
      <c r="I1986" s="12">
        <f t="shared" ref="I1986:I2049" si="32">A1986</f>
        <v>0</v>
      </c>
    </row>
    <row r="1987" spans="9:9">
      <c r="I1987" s="12">
        <f t="shared" si="32"/>
        <v>0</v>
      </c>
    </row>
    <row r="1988" spans="9:9">
      <c r="I1988" s="12">
        <f t="shared" si="32"/>
        <v>0</v>
      </c>
    </row>
    <row r="1989" spans="9:9">
      <c r="I1989" s="12">
        <f t="shared" si="32"/>
        <v>0</v>
      </c>
    </row>
    <row r="1990" spans="9:9">
      <c r="I1990" s="12">
        <f t="shared" si="32"/>
        <v>0</v>
      </c>
    </row>
    <row r="1991" spans="9:9">
      <c r="I1991" s="12">
        <f t="shared" si="32"/>
        <v>0</v>
      </c>
    </row>
    <row r="1992" spans="9:9">
      <c r="I1992" s="12">
        <f t="shared" si="32"/>
        <v>0</v>
      </c>
    </row>
    <row r="1993" spans="9:9">
      <c r="I1993" s="12">
        <f t="shared" si="32"/>
        <v>0</v>
      </c>
    </row>
    <row r="1994" spans="9:9">
      <c r="I1994" s="12">
        <f t="shared" si="32"/>
        <v>0</v>
      </c>
    </row>
    <row r="1995" spans="9:9">
      <c r="I1995" s="12">
        <f t="shared" si="32"/>
        <v>0</v>
      </c>
    </row>
    <row r="1996" spans="9:9">
      <c r="I1996" s="12">
        <f t="shared" si="32"/>
        <v>0</v>
      </c>
    </row>
    <row r="1997" spans="9:9">
      <c r="I1997" s="12">
        <f t="shared" si="32"/>
        <v>0</v>
      </c>
    </row>
    <row r="1998" spans="9:9">
      <c r="I1998" s="12">
        <f t="shared" si="32"/>
        <v>0</v>
      </c>
    </row>
    <row r="1999" spans="9:9">
      <c r="I1999" s="12">
        <f t="shared" si="32"/>
        <v>0</v>
      </c>
    </row>
    <row r="2000" spans="9:9">
      <c r="I2000" s="12">
        <f t="shared" si="32"/>
        <v>0</v>
      </c>
    </row>
    <row r="2001" spans="9:9">
      <c r="I2001" s="12">
        <f t="shared" si="32"/>
        <v>0</v>
      </c>
    </row>
    <row r="2002" spans="9:9">
      <c r="I2002" s="12">
        <f t="shared" si="32"/>
        <v>0</v>
      </c>
    </row>
    <row r="2003" spans="9:9">
      <c r="I2003" s="12">
        <f t="shared" si="32"/>
        <v>0</v>
      </c>
    </row>
    <row r="2004" spans="9:9">
      <c r="I2004" s="12">
        <f t="shared" si="32"/>
        <v>0</v>
      </c>
    </row>
    <row r="2005" spans="9:9">
      <c r="I2005" s="12">
        <f t="shared" si="32"/>
        <v>0</v>
      </c>
    </row>
    <row r="2006" spans="9:9">
      <c r="I2006" s="12">
        <f t="shared" si="32"/>
        <v>0</v>
      </c>
    </row>
    <row r="2007" spans="9:9">
      <c r="I2007" s="12">
        <f t="shared" si="32"/>
        <v>0</v>
      </c>
    </row>
    <row r="2008" spans="9:9">
      <c r="I2008" s="12">
        <f t="shared" si="32"/>
        <v>0</v>
      </c>
    </row>
    <row r="2009" spans="9:9">
      <c r="I2009" s="12">
        <f t="shared" si="32"/>
        <v>0</v>
      </c>
    </row>
    <row r="2010" spans="9:9">
      <c r="I2010" s="12">
        <f t="shared" si="32"/>
        <v>0</v>
      </c>
    </row>
    <row r="2011" spans="9:9">
      <c r="I2011" s="12">
        <f t="shared" si="32"/>
        <v>0</v>
      </c>
    </row>
    <row r="2012" spans="9:9">
      <c r="I2012" s="12">
        <f t="shared" si="32"/>
        <v>0</v>
      </c>
    </row>
    <row r="2013" spans="9:9">
      <c r="I2013" s="12">
        <f t="shared" si="32"/>
        <v>0</v>
      </c>
    </row>
    <row r="2014" spans="9:9">
      <c r="I2014" s="12">
        <f t="shared" si="32"/>
        <v>0</v>
      </c>
    </row>
    <row r="2015" spans="9:9">
      <c r="I2015" s="12">
        <f t="shared" si="32"/>
        <v>0</v>
      </c>
    </row>
    <row r="2016" spans="9:9">
      <c r="I2016" s="12">
        <f t="shared" si="32"/>
        <v>0</v>
      </c>
    </row>
    <row r="2017" spans="9:9">
      <c r="I2017" s="12">
        <f t="shared" si="32"/>
        <v>0</v>
      </c>
    </row>
    <row r="2018" spans="9:9">
      <c r="I2018" s="12">
        <f t="shared" si="32"/>
        <v>0</v>
      </c>
    </row>
    <row r="2019" spans="9:9">
      <c r="I2019" s="12">
        <f t="shared" si="32"/>
        <v>0</v>
      </c>
    </row>
    <row r="2020" spans="9:9">
      <c r="I2020" s="12">
        <f t="shared" si="32"/>
        <v>0</v>
      </c>
    </row>
    <row r="2021" spans="9:9">
      <c r="I2021" s="12">
        <f t="shared" si="32"/>
        <v>0</v>
      </c>
    </row>
    <row r="2022" spans="9:9">
      <c r="I2022" s="12">
        <f t="shared" si="32"/>
        <v>0</v>
      </c>
    </row>
    <row r="2023" spans="9:9">
      <c r="I2023" s="12">
        <f t="shared" si="32"/>
        <v>0</v>
      </c>
    </row>
    <row r="2024" spans="9:9">
      <c r="I2024" s="12">
        <f t="shared" si="32"/>
        <v>0</v>
      </c>
    </row>
    <row r="2025" spans="9:9">
      <c r="I2025" s="12">
        <f t="shared" si="32"/>
        <v>0</v>
      </c>
    </row>
    <row r="2026" spans="9:9">
      <c r="I2026" s="12">
        <f t="shared" si="32"/>
        <v>0</v>
      </c>
    </row>
    <row r="2027" spans="9:9">
      <c r="I2027" s="12">
        <f t="shared" si="32"/>
        <v>0</v>
      </c>
    </row>
    <row r="2028" spans="9:9">
      <c r="I2028" s="12">
        <f t="shared" si="32"/>
        <v>0</v>
      </c>
    </row>
    <row r="2029" spans="9:9">
      <c r="I2029" s="12">
        <f t="shared" si="32"/>
        <v>0</v>
      </c>
    </row>
    <row r="2030" spans="9:9">
      <c r="I2030" s="12">
        <f t="shared" si="32"/>
        <v>0</v>
      </c>
    </row>
    <row r="2031" spans="9:9">
      <c r="I2031" s="12">
        <f t="shared" si="32"/>
        <v>0</v>
      </c>
    </row>
    <row r="2032" spans="9:9">
      <c r="I2032" s="12">
        <f t="shared" si="32"/>
        <v>0</v>
      </c>
    </row>
    <row r="2033" spans="9:9">
      <c r="I2033" s="12">
        <f t="shared" si="32"/>
        <v>0</v>
      </c>
    </row>
    <row r="2034" spans="9:9">
      <c r="I2034" s="12">
        <f t="shared" si="32"/>
        <v>0</v>
      </c>
    </row>
    <row r="2035" spans="9:9">
      <c r="I2035" s="12">
        <f t="shared" si="32"/>
        <v>0</v>
      </c>
    </row>
    <row r="2036" spans="9:9">
      <c r="I2036" s="12">
        <f t="shared" si="32"/>
        <v>0</v>
      </c>
    </row>
    <row r="2037" spans="9:9">
      <c r="I2037" s="12">
        <f t="shared" si="32"/>
        <v>0</v>
      </c>
    </row>
    <row r="2038" spans="9:9">
      <c r="I2038" s="12">
        <f t="shared" si="32"/>
        <v>0</v>
      </c>
    </row>
    <row r="2039" spans="9:9">
      <c r="I2039" s="12">
        <f t="shared" si="32"/>
        <v>0</v>
      </c>
    </row>
    <row r="2040" spans="9:9">
      <c r="I2040" s="12">
        <f t="shared" si="32"/>
        <v>0</v>
      </c>
    </row>
    <row r="2041" spans="9:9">
      <c r="I2041" s="12">
        <f t="shared" si="32"/>
        <v>0</v>
      </c>
    </row>
    <row r="2042" spans="9:9">
      <c r="I2042" s="12">
        <f t="shared" si="32"/>
        <v>0</v>
      </c>
    </row>
    <row r="2043" spans="9:9">
      <c r="I2043" s="12">
        <f t="shared" si="32"/>
        <v>0</v>
      </c>
    </row>
    <row r="2044" spans="9:9">
      <c r="I2044" s="12">
        <f t="shared" si="32"/>
        <v>0</v>
      </c>
    </row>
    <row r="2045" spans="9:9">
      <c r="I2045" s="12">
        <f t="shared" si="32"/>
        <v>0</v>
      </c>
    </row>
    <row r="2046" spans="9:9">
      <c r="I2046" s="12">
        <f t="shared" si="32"/>
        <v>0</v>
      </c>
    </row>
    <row r="2047" spans="9:9">
      <c r="I2047" s="12">
        <f t="shared" si="32"/>
        <v>0</v>
      </c>
    </row>
    <row r="2048" spans="9:9">
      <c r="I2048" s="12">
        <f t="shared" si="32"/>
        <v>0</v>
      </c>
    </row>
    <row r="2049" spans="9:9">
      <c r="I2049" s="12">
        <f t="shared" si="32"/>
        <v>0</v>
      </c>
    </row>
    <row r="2050" spans="9:9">
      <c r="I2050" s="12">
        <f t="shared" ref="I2050:I2113" si="33">A2050</f>
        <v>0</v>
      </c>
    </row>
    <row r="2051" spans="9:9">
      <c r="I2051" s="12">
        <f t="shared" si="33"/>
        <v>0</v>
      </c>
    </row>
    <row r="2052" spans="9:9">
      <c r="I2052" s="12">
        <f t="shared" si="33"/>
        <v>0</v>
      </c>
    </row>
    <row r="2053" spans="9:9">
      <c r="I2053" s="12">
        <f t="shared" si="33"/>
        <v>0</v>
      </c>
    </row>
    <row r="2054" spans="9:9">
      <c r="I2054" s="12">
        <f t="shared" si="33"/>
        <v>0</v>
      </c>
    </row>
    <row r="2055" spans="9:9">
      <c r="I2055" s="12">
        <f t="shared" si="33"/>
        <v>0</v>
      </c>
    </row>
    <row r="2056" spans="9:9">
      <c r="I2056" s="12">
        <f t="shared" si="33"/>
        <v>0</v>
      </c>
    </row>
    <row r="2057" spans="9:9">
      <c r="I2057" s="12">
        <f t="shared" si="33"/>
        <v>0</v>
      </c>
    </row>
    <row r="2058" spans="9:9">
      <c r="I2058" s="12">
        <f t="shared" si="33"/>
        <v>0</v>
      </c>
    </row>
    <row r="2059" spans="9:9">
      <c r="I2059" s="12">
        <f t="shared" si="33"/>
        <v>0</v>
      </c>
    </row>
    <row r="2060" spans="9:9">
      <c r="I2060" s="12">
        <f t="shared" si="33"/>
        <v>0</v>
      </c>
    </row>
    <row r="2061" spans="9:9">
      <c r="I2061" s="12">
        <f t="shared" si="33"/>
        <v>0</v>
      </c>
    </row>
    <row r="2062" spans="9:9">
      <c r="I2062" s="12">
        <f t="shared" si="33"/>
        <v>0</v>
      </c>
    </row>
    <row r="2063" spans="9:9">
      <c r="I2063" s="12">
        <f t="shared" si="33"/>
        <v>0</v>
      </c>
    </row>
    <row r="2064" spans="9:9">
      <c r="I2064" s="12">
        <f t="shared" si="33"/>
        <v>0</v>
      </c>
    </row>
    <row r="2065" spans="9:9">
      <c r="I2065" s="12">
        <f t="shared" si="33"/>
        <v>0</v>
      </c>
    </row>
    <row r="2066" spans="9:9">
      <c r="I2066" s="12">
        <f t="shared" si="33"/>
        <v>0</v>
      </c>
    </row>
    <row r="2067" spans="9:9">
      <c r="I2067" s="12">
        <f t="shared" si="33"/>
        <v>0</v>
      </c>
    </row>
    <row r="2068" spans="9:9">
      <c r="I2068" s="12">
        <f t="shared" si="33"/>
        <v>0</v>
      </c>
    </row>
    <row r="2069" spans="9:9">
      <c r="I2069" s="12">
        <f t="shared" si="33"/>
        <v>0</v>
      </c>
    </row>
    <row r="2070" spans="9:9">
      <c r="I2070" s="12">
        <f t="shared" si="33"/>
        <v>0</v>
      </c>
    </row>
    <row r="2071" spans="9:9">
      <c r="I2071" s="12">
        <f t="shared" si="33"/>
        <v>0</v>
      </c>
    </row>
    <row r="2072" spans="9:9">
      <c r="I2072" s="12">
        <f t="shared" si="33"/>
        <v>0</v>
      </c>
    </row>
    <row r="2073" spans="9:9">
      <c r="I2073" s="12">
        <f t="shared" si="33"/>
        <v>0</v>
      </c>
    </row>
    <row r="2074" spans="9:9">
      <c r="I2074" s="12">
        <f t="shared" si="33"/>
        <v>0</v>
      </c>
    </row>
    <row r="2075" spans="9:9">
      <c r="I2075" s="12">
        <f t="shared" si="33"/>
        <v>0</v>
      </c>
    </row>
    <row r="2076" spans="9:9">
      <c r="I2076" s="12">
        <f t="shared" si="33"/>
        <v>0</v>
      </c>
    </row>
    <row r="2077" spans="9:9">
      <c r="I2077" s="12">
        <f t="shared" si="33"/>
        <v>0</v>
      </c>
    </row>
    <row r="2078" spans="9:9">
      <c r="I2078" s="12">
        <f t="shared" si="33"/>
        <v>0</v>
      </c>
    </row>
    <row r="2079" spans="9:9">
      <c r="I2079" s="12">
        <f t="shared" si="33"/>
        <v>0</v>
      </c>
    </row>
    <row r="2080" spans="9:9">
      <c r="I2080" s="12">
        <f t="shared" si="33"/>
        <v>0</v>
      </c>
    </row>
    <row r="2081" spans="9:9">
      <c r="I2081" s="12">
        <f t="shared" si="33"/>
        <v>0</v>
      </c>
    </row>
    <row r="2082" spans="9:9">
      <c r="I2082" s="12">
        <f t="shared" si="33"/>
        <v>0</v>
      </c>
    </row>
    <row r="2083" spans="9:9">
      <c r="I2083" s="12">
        <f t="shared" si="33"/>
        <v>0</v>
      </c>
    </row>
    <row r="2084" spans="9:9">
      <c r="I2084" s="12">
        <f t="shared" si="33"/>
        <v>0</v>
      </c>
    </row>
    <row r="2085" spans="9:9">
      <c r="I2085" s="12">
        <f t="shared" si="33"/>
        <v>0</v>
      </c>
    </row>
    <row r="2086" spans="9:9">
      <c r="I2086" s="12">
        <f t="shared" si="33"/>
        <v>0</v>
      </c>
    </row>
    <row r="2087" spans="9:9">
      <c r="I2087" s="12">
        <f t="shared" si="33"/>
        <v>0</v>
      </c>
    </row>
    <row r="2088" spans="9:9">
      <c r="I2088" s="12">
        <f t="shared" si="33"/>
        <v>0</v>
      </c>
    </row>
    <row r="2089" spans="9:9">
      <c r="I2089" s="12">
        <f t="shared" si="33"/>
        <v>0</v>
      </c>
    </row>
    <row r="2090" spans="9:9">
      <c r="I2090" s="12">
        <f t="shared" si="33"/>
        <v>0</v>
      </c>
    </row>
    <row r="2091" spans="9:9">
      <c r="I2091" s="12">
        <f t="shared" si="33"/>
        <v>0</v>
      </c>
    </row>
    <row r="2092" spans="9:9">
      <c r="I2092" s="12">
        <f t="shared" si="33"/>
        <v>0</v>
      </c>
    </row>
    <row r="2093" spans="9:9">
      <c r="I2093" s="12">
        <f t="shared" si="33"/>
        <v>0</v>
      </c>
    </row>
    <row r="2094" spans="9:9">
      <c r="I2094" s="12">
        <f t="shared" si="33"/>
        <v>0</v>
      </c>
    </row>
    <row r="2095" spans="9:9">
      <c r="I2095" s="12">
        <f t="shared" si="33"/>
        <v>0</v>
      </c>
    </row>
    <row r="2096" spans="9:9">
      <c r="I2096" s="12">
        <f t="shared" si="33"/>
        <v>0</v>
      </c>
    </row>
    <row r="2097" spans="9:9">
      <c r="I2097" s="12">
        <f t="shared" si="33"/>
        <v>0</v>
      </c>
    </row>
    <row r="2098" spans="9:9">
      <c r="I2098" s="12">
        <f t="shared" si="33"/>
        <v>0</v>
      </c>
    </row>
    <row r="2099" spans="9:9">
      <c r="I2099" s="12">
        <f t="shared" si="33"/>
        <v>0</v>
      </c>
    </row>
    <row r="2100" spans="9:9">
      <c r="I2100" s="12">
        <f t="shared" si="33"/>
        <v>0</v>
      </c>
    </row>
    <row r="2101" spans="9:9">
      <c r="I2101" s="12">
        <f t="shared" si="33"/>
        <v>0</v>
      </c>
    </row>
    <row r="2102" spans="9:9">
      <c r="I2102" s="12">
        <f t="shared" si="33"/>
        <v>0</v>
      </c>
    </row>
    <row r="2103" spans="9:9">
      <c r="I2103" s="12">
        <f t="shared" si="33"/>
        <v>0</v>
      </c>
    </row>
    <row r="2104" spans="9:9">
      <c r="I2104" s="12">
        <f t="shared" si="33"/>
        <v>0</v>
      </c>
    </row>
    <row r="2105" spans="9:9">
      <c r="I2105" s="12">
        <f t="shared" si="33"/>
        <v>0</v>
      </c>
    </row>
    <row r="2106" spans="9:9">
      <c r="I2106" s="12">
        <f t="shared" si="33"/>
        <v>0</v>
      </c>
    </row>
    <row r="2107" spans="9:9">
      <c r="I2107" s="12">
        <f t="shared" si="33"/>
        <v>0</v>
      </c>
    </row>
    <row r="2108" spans="9:9">
      <c r="I2108" s="12">
        <f t="shared" si="33"/>
        <v>0</v>
      </c>
    </row>
    <row r="2109" spans="9:9">
      <c r="I2109" s="12">
        <f t="shared" si="33"/>
        <v>0</v>
      </c>
    </row>
    <row r="2110" spans="9:9">
      <c r="I2110" s="12">
        <f t="shared" si="33"/>
        <v>0</v>
      </c>
    </row>
    <row r="2111" spans="9:9">
      <c r="I2111" s="12">
        <f t="shared" si="33"/>
        <v>0</v>
      </c>
    </row>
    <row r="2112" spans="9:9">
      <c r="I2112" s="12">
        <f t="shared" si="33"/>
        <v>0</v>
      </c>
    </row>
    <row r="2113" spans="9:9">
      <c r="I2113" s="12">
        <f t="shared" si="33"/>
        <v>0</v>
      </c>
    </row>
    <row r="2114" spans="9:9">
      <c r="I2114" s="12">
        <f t="shared" ref="I2114:I2177" si="34">A2114</f>
        <v>0</v>
      </c>
    </row>
    <row r="2115" spans="9:9">
      <c r="I2115" s="12">
        <f t="shared" si="34"/>
        <v>0</v>
      </c>
    </row>
    <row r="2116" spans="9:9">
      <c r="I2116" s="12">
        <f t="shared" si="34"/>
        <v>0</v>
      </c>
    </row>
    <row r="2117" spans="9:9">
      <c r="I2117" s="12">
        <f t="shared" si="34"/>
        <v>0</v>
      </c>
    </row>
    <row r="2118" spans="9:9">
      <c r="I2118" s="12">
        <f t="shared" si="34"/>
        <v>0</v>
      </c>
    </row>
    <row r="2119" spans="9:9">
      <c r="I2119" s="12">
        <f t="shared" si="34"/>
        <v>0</v>
      </c>
    </row>
    <row r="2120" spans="9:9">
      <c r="I2120" s="12">
        <f t="shared" si="34"/>
        <v>0</v>
      </c>
    </row>
    <row r="2121" spans="9:9">
      <c r="I2121" s="12">
        <f t="shared" si="34"/>
        <v>0</v>
      </c>
    </row>
    <row r="2122" spans="9:9">
      <c r="I2122" s="12">
        <f t="shared" si="34"/>
        <v>0</v>
      </c>
    </row>
    <row r="2123" spans="9:9">
      <c r="I2123" s="12">
        <f t="shared" si="34"/>
        <v>0</v>
      </c>
    </row>
    <row r="2124" spans="9:9">
      <c r="I2124" s="12">
        <f t="shared" si="34"/>
        <v>0</v>
      </c>
    </row>
    <row r="2125" spans="9:9">
      <c r="I2125" s="12">
        <f t="shared" si="34"/>
        <v>0</v>
      </c>
    </row>
    <row r="2126" spans="9:9">
      <c r="I2126" s="12">
        <f t="shared" si="34"/>
        <v>0</v>
      </c>
    </row>
    <row r="2127" spans="9:9">
      <c r="I2127" s="12">
        <f t="shared" si="34"/>
        <v>0</v>
      </c>
    </row>
    <row r="2128" spans="9:9">
      <c r="I2128" s="12">
        <f t="shared" si="34"/>
        <v>0</v>
      </c>
    </row>
    <row r="2129" spans="9:9">
      <c r="I2129" s="12">
        <f t="shared" si="34"/>
        <v>0</v>
      </c>
    </row>
    <row r="2130" spans="9:9">
      <c r="I2130" s="12">
        <f t="shared" si="34"/>
        <v>0</v>
      </c>
    </row>
    <row r="2131" spans="9:9">
      <c r="I2131" s="12">
        <f t="shared" si="34"/>
        <v>0</v>
      </c>
    </row>
    <row r="2132" spans="9:9">
      <c r="I2132" s="12">
        <f t="shared" si="34"/>
        <v>0</v>
      </c>
    </row>
    <row r="2133" spans="9:9">
      <c r="I2133" s="12">
        <f t="shared" si="34"/>
        <v>0</v>
      </c>
    </row>
    <row r="2134" spans="9:9">
      <c r="I2134" s="12">
        <f t="shared" si="34"/>
        <v>0</v>
      </c>
    </row>
    <row r="2135" spans="9:9">
      <c r="I2135" s="12">
        <f t="shared" si="34"/>
        <v>0</v>
      </c>
    </row>
    <row r="2136" spans="9:9">
      <c r="I2136" s="12">
        <f t="shared" si="34"/>
        <v>0</v>
      </c>
    </row>
    <row r="2137" spans="9:9">
      <c r="I2137" s="12">
        <f t="shared" si="34"/>
        <v>0</v>
      </c>
    </row>
    <row r="2138" spans="9:9">
      <c r="I2138" s="12">
        <f t="shared" si="34"/>
        <v>0</v>
      </c>
    </row>
    <row r="2139" spans="9:9">
      <c r="I2139" s="12">
        <f t="shared" si="34"/>
        <v>0</v>
      </c>
    </row>
    <row r="2140" spans="9:9">
      <c r="I2140" s="12">
        <f t="shared" si="34"/>
        <v>0</v>
      </c>
    </row>
    <row r="2141" spans="9:9">
      <c r="I2141" s="12">
        <f t="shared" si="34"/>
        <v>0</v>
      </c>
    </row>
    <row r="2142" spans="9:9">
      <c r="I2142" s="12">
        <f t="shared" si="34"/>
        <v>0</v>
      </c>
    </row>
    <row r="2143" spans="9:9">
      <c r="I2143" s="12">
        <f t="shared" si="34"/>
        <v>0</v>
      </c>
    </row>
    <row r="2144" spans="9:9">
      <c r="I2144" s="12">
        <f t="shared" si="34"/>
        <v>0</v>
      </c>
    </row>
    <row r="2145" spans="9:9">
      <c r="I2145" s="12">
        <f t="shared" si="34"/>
        <v>0</v>
      </c>
    </row>
    <row r="2146" spans="9:9">
      <c r="I2146" s="12">
        <f t="shared" si="34"/>
        <v>0</v>
      </c>
    </row>
    <row r="2147" spans="9:9">
      <c r="I2147" s="12">
        <f t="shared" si="34"/>
        <v>0</v>
      </c>
    </row>
    <row r="2148" spans="9:9">
      <c r="I2148" s="12">
        <f t="shared" si="34"/>
        <v>0</v>
      </c>
    </row>
    <row r="2149" spans="9:9">
      <c r="I2149" s="12">
        <f t="shared" si="34"/>
        <v>0</v>
      </c>
    </row>
    <row r="2150" spans="9:9">
      <c r="I2150" s="12">
        <f t="shared" si="34"/>
        <v>0</v>
      </c>
    </row>
    <row r="2151" spans="9:9">
      <c r="I2151" s="12">
        <f t="shared" si="34"/>
        <v>0</v>
      </c>
    </row>
    <row r="2152" spans="9:9">
      <c r="I2152" s="12">
        <f t="shared" si="34"/>
        <v>0</v>
      </c>
    </row>
    <row r="2153" spans="9:9">
      <c r="I2153" s="12">
        <f t="shared" si="34"/>
        <v>0</v>
      </c>
    </row>
    <row r="2154" spans="9:9">
      <c r="I2154" s="12">
        <f t="shared" si="34"/>
        <v>0</v>
      </c>
    </row>
    <row r="2155" spans="9:9">
      <c r="I2155" s="12">
        <f t="shared" si="34"/>
        <v>0</v>
      </c>
    </row>
    <row r="2156" spans="9:9">
      <c r="I2156" s="12">
        <f t="shared" si="34"/>
        <v>0</v>
      </c>
    </row>
    <row r="2157" spans="9:9">
      <c r="I2157" s="12">
        <f t="shared" si="34"/>
        <v>0</v>
      </c>
    </row>
    <row r="2158" spans="9:9">
      <c r="I2158" s="12">
        <f t="shared" si="34"/>
        <v>0</v>
      </c>
    </row>
    <row r="2159" spans="9:9">
      <c r="I2159" s="12">
        <f t="shared" si="34"/>
        <v>0</v>
      </c>
    </row>
    <row r="2160" spans="9:9">
      <c r="I2160" s="12">
        <f t="shared" si="34"/>
        <v>0</v>
      </c>
    </row>
    <row r="2161" spans="9:9">
      <c r="I2161" s="12">
        <f t="shared" si="34"/>
        <v>0</v>
      </c>
    </row>
    <row r="2162" spans="9:9">
      <c r="I2162" s="12">
        <f t="shared" si="34"/>
        <v>0</v>
      </c>
    </row>
    <row r="2163" spans="9:9">
      <c r="I2163" s="12">
        <f t="shared" si="34"/>
        <v>0</v>
      </c>
    </row>
    <row r="2164" spans="9:9">
      <c r="I2164" s="12">
        <f t="shared" si="34"/>
        <v>0</v>
      </c>
    </row>
    <row r="2165" spans="9:9">
      <c r="I2165" s="12">
        <f t="shared" si="34"/>
        <v>0</v>
      </c>
    </row>
    <row r="2166" spans="9:9">
      <c r="I2166" s="12">
        <f t="shared" si="34"/>
        <v>0</v>
      </c>
    </row>
    <row r="2167" spans="9:9">
      <c r="I2167" s="12">
        <f t="shared" si="34"/>
        <v>0</v>
      </c>
    </row>
    <row r="2168" spans="9:9">
      <c r="I2168" s="12">
        <f t="shared" si="34"/>
        <v>0</v>
      </c>
    </row>
    <row r="2169" spans="9:9">
      <c r="I2169" s="12">
        <f t="shared" si="34"/>
        <v>0</v>
      </c>
    </row>
    <row r="2170" spans="9:9">
      <c r="I2170" s="12">
        <f t="shared" si="34"/>
        <v>0</v>
      </c>
    </row>
    <row r="2171" spans="9:9">
      <c r="I2171" s="12">
        <f t="shared" si="34"/>
        <v>0</v>
      </c>
    </row>
    <row r="2172" spans="9:9">
      <c r="I2172" s="12">
        <f t="shared" si="34"/>
        <v>0</v>
      </c>
    </row>
    <row r="2173" spans="9:9">
      <c r="I2173" s="12">
        <f t="shared" si="34"/>
        <v>0</v>
      </c>
    </row>
    <row r="2174" spans="9:9">
      <c r="I2174" s="12">
        <f t="shared" si="34"/>
        <v>0</v>
      </c>
    </row>
    <row r="2175" spans="9:9">
      <c r="I2175" s="12">
        <f t="shared" si="34"/>
        <v>0</v>
      </c>
    </row>
    <row r="2176" spans="9:9">
      <c r="I2176" s="12">
        <f t="shared" si="34"/>
        <v>0</v>
      </c>
    </row>
    <row r="2177" spans="9:9">
      <c r="I2177" s="12">
        <f t="shared" si="34"/>
        <v>0</v>
      </c>
    </row>
    <row r="2178" spans="9:9">
      <c r="I2178" s="12">
        <f t="shared" ref="I2178:I2228" si="35">A2178</f>
        <v>0</v>
      </c>
    </row>
    <row r="2179" spans="9:9">
      <c r="I2179" s="12">
        <f t="shared" si="35"/>
        <v>0</v>
      </c>
    </row>
    <row r="2180" spans="9:9">
      <c r="I2180" s="12">
        <f t="shared" si="35"/>
        <v>0</v>
      </c>
    </row>
    <row r="2181" spans="9:9">
      <c r="I2181" s="12">
        <f t="shared" si="35"/>
        <v>0</v>
      </c>
    </row>
    <row r="2182" spans="9:9">
      <c r="I2182" s="12">
        <f t="shared" si="35"/>
        <v>0</v>
      </c>
    </row>
    <row r="2183" spans="9:9">
      <c r="I2183" s="12">
        <f t="shared" si="35"/>
        <v>0</v>
      </c>
    </row>
    <row r="2184" spans="9:9">
      <c r="I2184" s="12">
        <f t="shared" si="35"/>
        <v>0</v>
      </c>
    </row>
    <row r="2185" spans="9:9">
      <c r="I2185" s="12">
        <f t="shared" si="35"/>
        <v>0</v>
      </c>
    </row>
    <row r="2186" spans="9:9">
      <c r="I2186" s="12">
        <f t="shared" si="35"/>
        <v>0</v>
      </c>
    </row>
    <row r="2187" spans="9:9">
      <c r="I2187" s="12">
        <f t="shared" si="35"/>
        <v>0</v>
      </c>
    </row>
    <row r="2188" spans="9:9">
      <c r="I2188" s="12">
        <f t="shared" si="35"/>
        <v>0</v>
      </c>
    </row>
    <row r="2189" spans="9:9">
      <c r="I2189" s="12">
        <f t="shared" si="35"/>
        <v>0</v>
      </c>
    </row>
    <row r="2190" spans="9:9">
      <c r="I2190" s="12">
        <f t="shared" si="35"/>
        <v>0</v>
      </c>
    </row>
    <row r="2191" spans="9:9">
      <c r="I2191" s="12">
        <f t="shared" si="35"/>
        <v>0</v>
      </c>
    </row>
    <row r="2192" spans="9:9">
      <c r="I2192" s="12">
        <f t="shared" si="35"/>
        <v>0</v>
      </c>
    </row>
    <row r="2193" spans="9:9">
      <c r="I2193" s="12">
        <f t="shared" si="35"/>
        <v>0</v>
      </c>
    </row>
    <row r="2194" spans="9:9">
      <c r="I2194" s="12">
        <f t="shared" si="35"/>
        <v>0</v>
      </c>
    </row>
    <row r="2195" spans="9:9">
      <c r="I2195" s="12">
        <f t="shared" si="35"/>
        <v>0</v>
      </c>
    </row>
    <row r="2196" spans="9:9">
      <c r="I2196" s="12">
        <f t="shared" si="35"/>
        <v>0</v>
      </c>
    </row>
    <row r="2197" spans="9:9">
      <c r="I2197" s="12">
        <f t="shared" si="35"/>
        <v>0</v>
      </c>
    </row>
    <row r="2198" spans="9:9">
      <c r="I2198" s="12">
        <f t="shared" si="35"/>
        <v>0</v>
      </c>
    </row>
    <row r="2199" spans="9:9">
      <c r="I2199" s="12">
        <f t="shared" si="35"/>
        <v>0</v>
      </c>
    </row>
    <row r="2200" spans="9:9">
      <c r="I2200" s="12">
        <f t="shared" si="35"/>
        <v>0</v>
      </c>
    </row>
    <row r="2201" spans="9:9">
      <c r="I2201" s="12">
        <f t="shared" si="35"/>
        <v>0</v>
      </c>
    </row>
    <row r="2202" spans="9:9">
      <c r="I2202" s="12">
        <f t="shared" si="35"/>
        <v>0</v>
      </c>
    </row>
    <row r="2203" spans="9:9">
      <c r="I2203" s="12">
        <f t="shared" si="35"/>
        <v>0</v>
      </c>
    </row>
    <row r="2204" spans="9:9">
      <c r="I2204" s="12">
        <f t="shared" si="35"/>
        <v>0</v>
      </c>
    </row>
    <row r="2205" spans="9:9">
      <c r="I2205" s="12">
        <f t="shared" si="35"/>
        <v>0</v>
      </c>
    </row>
    <row r="2206" spans="9:9">
      <c r="I2206" s="12">
        <f t="shared" si="35"/>
        <v>0</v>
      </c>
    </row>
    <row r="2207" spans="9:9">
      <c r="I2207" s="12">
        <f t="shared" si="35"/>
        <v>0</v>
      </c>
    </row>
    <row r="2208" spans="9:9">
      <c r="I2208" s="12">
        <f t="shared" si="35"/>
        <v>0</v>
      </c>
    </row>
    <row r="2209" spans="9:9">
      <c r="I2209" s="12">
        <f t="shared" si="35"/>
        <v>0</v>
      </c>
    </row>
    <row r="2210" spans="9:9">
      <c r="I2210" s="12">
        <f t="shared" si="35"/>
        <v>0</v>
      </c>
    </row>
    <row r="2211" spans="9:9">
      <c r="I2211" s="12">
        <f t="shared" si="35"/>
        <v>0</v>
      </c>
    </row>
    <row r="2212" spans="9:9">
      <c r="I2212" s="12">
        <f t="shared" si="35"/>
        <v>0</v>
      </c>
    </row>
    <row r="2213" spans="9:9">
      <c r="I2213" s="12">
        <f t="shared" si="35"/>
        <v>0</v>
      </c>
    </row>
    <row r="2214" spans="9:9">
      <c r="I2214" s="12">
        <f t="shared" si="35"/>
        <v>0</v>
      </c>
    </row>
    <row r="2215" spans="9:9">
      <c r="I2215" s="12">
        <f t="shared" si="35"/>
        <v>0</v>
      </c>
    </row>
    <row r="2216" spans="9:9">
      <c r="I2216" s="12">
        <f t="shared" si="35"/>
        <v>0</v>
      </c>
    </row>
    <row r="2217" spans="9:9">
      <c r="I2217" s="12">
        <f t="shared" si="35"/>
        <v>0</v>
      </c>
    </row>
    <row r="2218" spans="9:9">
      <c r="I2218" s="12">
        <f t="shared" si="35"/>
        <v>0</v>
      </c>
    </row>
    <row r="2219" spans="9:9">
      <c r="I2219" s="12">
        <f t="shared" si="35"/>
        <v>0</v>
      </c>
    </row>
    <row r="2220" spans="9:9">
      <c r="I2220" s="12">
        <f t="shared" si="35"/>
        <v>0</v>
      </c>
    </row>
    <row r="2221" spans="9:9">
      <c r="I2221" s="12">
        <f t="shared" si="35"/>
        <v>0</v>
      </c>
    </row>
    <row r="2222" spans="9:9">
      <c r="I2222" s="12">
        <f t="shared" si="35"/>
        <v>0</v>
      </c>
    </row>
    <row r="2223" spans="9:9">
      <c r="I2223" s="12">
        <f t="shared" si="35"/>
        <v>0</v>
      </c>
    </row>
    <row r="2224" spans="9:9">
      <c r="I2224" s="12">
        <f t="shared" si="35"/>
        <v>0</v>
      </c>
    </row>
    <row r="2225" spans="9:9">
      <c r="I2225" s="12">
        <f t="shared" si="35"/>
        <v>0</v>
      </c>
    </row>
    <row r="2226" spans="9:9">
      <c r="I2226" s="12">
        <f t="shared" si="35"/>
        <v>0</v>
      </c>
    </row>
    <row r="2227" spans="9:9">
      <c r="I2227" s="12">
        <f t="shared" si="35"/>
        <v>0</v>
      </c>
    </row>
    <row r="2228" spans="9:9">
      <c r="I2228" s="12">
        <f t="shared" si="35"/>
        <v>0</v>
      </c>
    </row>
  </sheetData>
  <sheetProtection formatCells="0" formatColumns="0" formatRows="0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395E-95F9-BF49-9E73-356D9DB38A5F}">
  <sheetPr codeName="Sheet6"/>
  <dimension ref="A1:F35"/>
  <sheetViews>
    <sheetView zoomScale="128" zoomScaleNormal="128" workbookViewId="0">
      <selection activeCell="C37" sqref="C37"/>
    </sheetView>
  </sheetViews>
  <sheetFormatPr baseColWidth="10" defaultColWidth="11.5" defaultRowHeight="13"/>
  <cols>
    <col min="1" max="1" width="15" style="9" customWidth="1"/>
  </cols>
  <sheetData>
    <row r="1" spans="1:6" ht="14">
      <c r="A1" s="82" t="s">
        <v>1</v>
      </c>
      <c r="B1" s="81" t="s">
        <v>43</v>
      </c>
      <c r="D1" t="s">
        <v>9</v>
      </c>
      <c r="E1" s="40">
        <v>0.91666666666666663</v>
      </c>
      <c r="F1" s="40">
        <v>1</v>
      </c>
    </row>
    <row r="2" spans="1:6">
      <c r="A2" s="9">
        <v>501</v>
      </c>
      <c r="B2" s="39" t="s">
        <v>1456</v>
      </c>
      <c r="D2" t="s">
        <v>10</v>
      </c>
      <c r="E2" s="40">
        <v>1</v>
      </c>
      <c r="F2" s="40">
        <v>0.25</v>
      </c>
    </row>
    <row r="3" spans="1:6">
      <c r="A3" s="8" t="s">
        <v>1457</v>
      </c>
      <c r="B3" s="39" t="s">
        <v>1456</v>
      </c>
      <c r="D3" s="2"/>
      <c r="E3" s="40"/>
      <c r="F3" s="40"/>
    </row>
    <row r="4" spans="1:6">
      <c r="A4" s="8" t="s">
        <v>1458</v>
      </c>
      <c r="B4" s="39" t="s">
        <v>1456</v>
      </c>
      <c r="D4" s="2" t="s">
        <v>1459</v>
      </c>
      <c r="E4">
        <v>5.5</v>
      </c>
    </row>
    <row r="5" spans="1:6">
      <c r="A5" s="8" t="s">
        <v>1460</v>
      </c>
      <c r="B5" s="39" t="s">
        <v>1456</v>
      </c>
      <c r="D5" s="2" t="s">
        <v>1461</v>
      </c>
      <c r="E5">
        <v>9.5</v>
      </c>
    </row>
    <row r="6" spans="1:6">
      <c r="A6" s="8" t="s">
        <v>1462</v>
      </c>
      <c r="B6" s="39" t="s">
        <v>1456</v>
      </c>
      <c r="D6" s="2"/>
    </row>
    <row r="7" spans="1:6">
      <c r="A7" s="8" t="s">
        <v>1463</v>
      </c>
      <c r="B7" s="39" t="s">
        <v>1456</v>
      </c>
      <c r="D7" s="2"/>
    </row>
    <row r="8" spans="1:6">
      <c r="A8" s="8" t="s">
        <v>1464</v>
      </c>
      <c r="B8" s="39" t="s">
        <v>1456</v>
      </c>
      <c r="D8" s="2"/>
    </row>
    <row r="9" spans="1:6">
      <c r="A9" s="8" t="s">
        <v>1465</v>
      </c>
      <c r="B9" s="39" t="s">
        <v>1456</v>
      </c>
      <c r="D9" s="2"/>
    </row>
    <row r="10" spans="1:6">
      <c r="A10" s="8" t="s">
        <v>1466</v>
      </c>
      <c r="B10" s="39" t="s">
        <v>1456</v>
      </c>
      <c r="D10" s="2"/>
    </row>
    <row r="11" spans="1:6">
      <c r="A11" s="8" t="s">
        <v>1467</v>
      </c>
      <c r="B11" s="39" t="s">
        <v>1456</v>
      </c>
      <c r="D11" s="2"/>
    </row>
    <row r="12" spans="1:6">
      <c r="A12" s="8" t="s">
        <v>1468</v>
      </c>
      <c r="B12" s="39" t="s">
        <v>1456</v>
      </c>
      <c r="D12" s="2"/>
    </row>
    <row r="13" spans="1:6">
      <c r="A13" s="8" t="s">
        <v>1469</v>
      </c>
      <c r="B13" s="39" t="s">
        <v>1470</v>
      </c>
      <c r="D13" s="2"/>
    </row>
    <row r="14" spans="1:6">
      <c r="A14" s="8" t="s">
        <v>1471</v>
      </c>
      <c r="B14" s="39" t="s">
        <v>1456</v>
      </c>
      <c r="D14" s="2"/>
    </row>
    <row r="15" spans="1:6">
      <c r="A15" s="8" t="s">
        <v>1472</v>
      </c>
      <c r="B15" s="39" t="s">
        <v>1473</v>
      </c>
      <c r="D15" s="2"/>
    </row>
    <row r="16" spans="1:6">
      <c r="A16" s="8" t="s">
        <v>1474</v>
      </c>
      <c r="B16" s="39" t="s">
        <v>1456</v>
      </c>
      <c r="D16" s="2"/>
    </row>
    <row r="17" spans="1:4">
      <c r="A17" s="8" t="s">
        <v>1475</v>
      </c>
      <c r="B17" s="39" t="s">
        <v>1456</v>
      </c>
      <c r="D17" s="2"/>
    </row>
    <row r="18" spans="1:4">
      <c r="A18" s="8" t="s">
        <v>1476</v>
      </c>
      <c r="B18" s="39" t="s">
        <v>1456</v>
      </c>
      <c r="D18" s="2"/>
    </row>
    <row r="19" spans="1:4">
      <c r="A19" s="8" t="s">
        <v>1477</v>
      </c>
      <c r="B19" s="39" t="s">
        <v>1473</v>
      </c>
      <c r="D19" s="2"/>
    </row>
    <row r="20" spans="1:4">
      <c r="A20" s="8" t="s">
        <v>1478</v>
      </c>
      <c r="B20" s="39" t="s">
        <v>1473</v>
      </c>
      <c r="D20" s="2"/>
    </row>
    <row r="21" spans="1:4">
      <c r="A21" s="8" t="s">
        <v>1479</v>
      </c>
      <c r="B21" s="39" t="s">
        <v>1456</v>
      </c>
      <c r="D21" s="2"/>
    </row>
    <row r="22" spans="1:4">
      <c r="A22" s="8" t="s">
        <v>1480</v>
      </c>
      <c r="B22" s="39" t="s">
        <v>1473</v>
      </c>
    </row>
    <row r="23" spans="1:4">
      <c r="A23" s="8" t="s">
        <v>1481</v>
      </c>
      <c r="B23" s="39" t="s">
        <v>1473</v>
      </c>
    </row>
    <row r="24" spans="1:4">
      <c r="A24" s="8" t="s">
        <v>1482</v>
      </c>
      <c r="B24" s="39" t="s">
        <v>1473</v>
      </c>
    </row>
    <row r="25" spans="1:4">
      <c r="A25" s="8" t="s">
        <v>1483</v>
      </c>
      <c r="B25" s="39" t="s">
        <v>1473</v>
      </c>
    </row>
    <row r="26" spans="1:4">
      <c r="A26" s="8" t="s">
        <v>1484</v>
      </c>
      <c r="B26" s="39"/>
    </row>
    <row r="27" spans="1:4">
      <c r="A27" s="8" t="s">
        <v>1485</v>
      </c>
      <c r="B27" s="39" t="s">
        <v>1473</v>
      </c>
    </row>
    <row r="28" spans="1:4">
      <c r="A28" s="8" t="s">
        <v>1486</v>
      </c>
      <c r="B28" s="39" t="s">
        <v>1473</v>
      </c>
    </row>
    <row r="29" spans="1:4">
      <c r="A29" s="8" t="s">
        <v>1487</v>
      </c>
      <c r="B29" s="39" t="s">
        <v>1470</v>
      </c>
    </row>
    <row r="30" spans="1:4">
      <c r="A30" s="8" t="s">
        <v>1488</v>
      </c>
      <c r="B30" s="39" t="s">
        <v>1473</v>
      </c>
    </row>
    <row r="31" spans="1:4">
      <c r="A31" s="8" t="s">
        <v>1489</v>
      </c>
      <c r="B31" s="39" t="s">
        <v>1473</v>
      </c>
    </row>
    <row r="32" spans="1:4">
      <c r="A32" s="8" t="s">
        <v>1490</v>
      </c>
      <c r="B32" s="39" t="s">
        <v>1470</v>
      </c>
    </row>
    <row r="33" spans="1:2">
      <c r="A33" s="8" t="s">
        <v>1491</v>
      </c>
      <c r="B33" s="39" t="s">
        <v>1492</v>
      </c>
    </row>
    <row r="34" spans="1:2">
      <c r="A34" s="8" t="s">
        <v>1493</v>
      </c>
      <c r="B34" s="39" t="s">
        <v>1492</v>
      </c>
    </row>
    <row r="35" spans="1:2">
      <c r="A35" s="8" t="s">
        <v>1494</v>
      </c>
      <c r="B35" s="39" t="s">
        <v>1473</v>
      </c>
    </row>
  </sheetData>
  <sheetProtection algorithmName="SHA-512" hashValue="/h8Weffb4VnPu3hPgI5HRwisvCU9YXMIRbMngG8RBril4xjsedaMrFkm1mfMPcFSZo4Zh9jhexGiU6YOGUeetg==" saltValue="31gM5cxNYXz0wM/VLOD57A==" spinCount="100000" sheet="1" scenarios="1" selectLockedCells="1" selectUnlockedCells="1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33C8-6F7C-1542-9320-8A7A5FA7A6B6}">
  <sheetPr codeName="Sheet7"/>
  <dimension ref="A1:B60"/>
  <sheetViews>
    <sheetView topLeftCell="A34" zoomScale="164" zoomScaleNormal="164" workbookViewId="0">
      <selection activeCell="E55" sqref="E55"/>
    </sheetView>
  </sheetViews>
  <sheetFormatPr baseColWidth="10" defaultColWidth="11.5" defaultRowHeight="13"/>
  <cols>
    <col min="1" max="1" width="18.1640625" bestFit="1" customWidth="1"/>
  </cols>
  <sheetData>
    <row r="1" spans="1:2">
      <c r="A1" t="s">
        <v>1495</v>
      </c>
      <c r="B1" t="s">
        <v>1496</v>
      </c>
    </row>
    <row r="2" spans="1:2">
      <c r="A2" s="1">
        <v>44562</v>
      </c>
      <c r="B2" t="s">
        <v>1497</v>
      </c>
    </row>
    <row r="3" spans="1:2">
      <c r="A3" s="1">
        <v>44927</v>
      </c>
      <c r="B3" t="s">
        <v>1497</v>
      </c>
    </row>
    <row r="4" spans="1:2">
      <c r="A4" s="1">
        <v>45292</v>
      </c>
      <c r="B4" t="s">
        <v>1497</v>
      </c>
    </row>
    <row r="5" spans="1:2">
      <c r="A5" s="1">
        <v>45658</v>
      </c>
      <c r="B5" s="2" t="s">
        <v>1497</v>
      </c>
    </row>
    <row r="6" spans="1:2">
      <c r="A6" s="1">
        <v>44564</v>
      </c>
      <c r="B6" t="s">
        <v>1498</v>
      </c>
    </row>
    <row r="7" spans="1:2">
      <c r="A7" s="1">
        <v>44928</v>
      </c>
      <c r="B7" t="s">
        <v>1498</v>
      </c>
    </row>
    <row r="8" spans="1:2">
      <c r="A8" s="1">
        <v>44587</v>
      </c>
      <c r="B8" s="2" t="s">
        <v>1499</v>
      </c>
    </row>
    <row r="9" spans="1:2">
      <c r="A9" s="1">
        <v>44952</v>
      </c>
      <c r="B9" t="s">
        <v>1499</v>
      </c>
    </row>
    <row r="10" spans="1:2">
      <c r="A10" s="1">
        <v>45317</v>
      </c>
      <c r="B10" t="s">
        <v>1499</v>
      </c>
    </row>
    <row r="11" spans="1:2">
      <c r="A11" s="1">
        <v>45684</v>
      </c>
      <c r="B11" t="s">
        <v>1499</v>
      </c>
    </row>
    <row r="12" spans="1:2">
      <c r="A12" s="1">
        <v>44666</v>
      </c>
      <c r="B12" t="s">
        <v>1500</v>
      </c>
    </row>
    <row r="13" spans="1:2">
      <c r="A13" s="1">
        <v>45023</v>
      </c>
      <c r="B13" s="2" t="s">
        <v>1500</v>
      </c>
    </row>
    <row r="14" spans="1:2">
      <c r="A14" s="1">
        <v>45380</v>
      </c>
      <c r="B14" t="s">
        <v>1500</v>
      </c>
    </row>
    <row r="15" spans="1:2">
      <c r="A15" s="1">
        <v>45765</v>
      </c>
      <c r="B15" t="s">
        <v>1500</v>
      </c>
    </row>
    <row r="16" spans="1:2">
      <c r="A16" s="1">
        <v>44667</v>
      </c>
      <c r="B16" t="s">
        <v>1501</v>
      </c>
    </row>
    <row r="17" spans="1:2">
      <c r="A17" s="1">
        <v>45024</v>
      </c>
      <c r="B17" t="s">
        <v>1501</v>
      </c>
    </row>
    <row r="18" spans="1:2">
      <c r="A18" s="1">
        <v>45381</v>
      </c>
      <c r="B18" t="s">
        <v>1501</v>
      </c>
    </row>
    <row r="19" spans="1:2">
      <c r="A19" s="1">
        <v>45766</v>
      </c>
      <c r="B19" s="2" t="s">
        <v>1501</v>
      </c>
    </row>
    <row r="20" spans="1:2">
      <c r="A20" s="1">
        <v>44668</v>
      </c>
      <c r="B20" t="s">
        <v>1502</v>
      </c>
    </row>
    <row r="21" spans="1:2">
      <c r="A21" s="1">
        <v>45025</v>
      </c>
      <c r="B21" s="2" t="s">
        <v>1503</v>
      </c>
    </row>
    <row r="22" spans="1:2">
      <c r="A22" s="1">
        <v>45382</v>
      </c>
      <c r="B22" s="2" t="s">
        <v>1503</v>
      </c>
    </row>
    <row r="23" spans="1:2">
      <c r="A23" s="1">
        <v>45767</v>
      </c>
      <c r="B23" s="2" t="s">
        <v>1503</v>
      </c>
    </row>
    <row r="24" spans="1:2">
      <c r="A24" s="1">
        <v>45026</v>
      </c>
      <c r="B24" s="2" t="s">
        <v>1502</v>
      </c>
    </row>
    <row r="25" spans="1:2">
      <c r="A25" s="1">
        <v>45768</v>
      </c>
      <c r="B25" s="2" t="s">
        <v>1502</v>
      </c>
    </row>
    <row r="26" spans="1:2">
      <c r="A26" s="1">
        <v>44676</v>
      </c>
      <c r="B26" t="s">
        <v>1504</v>
      </c>
    </row>
    <row r="27" spans="1:2">
      <c r="A27" s="1">
        <v>45041</v>
      </c>
      <c r="B27" t="s">
        <v>1504</v>
      </c>
    </row>
    <row r="28" spans="1:2">
      <c r="A28" s="1">
        <v>45407</v>
      </c>
      <c r="B28" s="2" t="s">
        <v>1504</v>
      </c>
    </row>
    <row r="29" spans="1:2">
      <c r="A29" s="1">
        <v>45772</v>
      </c>
      <c r="B29" t="s">
        <v>1504</v>
      </c>
    </row>
    <row r="30" spans="1:2">
      <c r="A30" s="1">
        <v>44725</v>
      </c>
      <c r="B30" t="s">
        <v>1505</v>
      </c>
    </row>
    <row r="31" spans="1:2">
      <c r="A31" s="1">
        <v>45089</v>
      </c>
      <c r="B31" t="s">
        <v>1505</v>
      </c>
    </row>
    <row r="32" spans="1:2">
      <c r="A32" s="1">
        <v>45453</v>
      </c>
      <c r="B32" t="s">
        <v>1505</v>
      </c>
    </row>
    <row r="33" spans="1:2">
      <c r="A33" s="1">
        <v>45817</v>
      </c>
      <c r="B33" s="2" t="s">
        <v>1506</v>
      </c>
    </row>
    <row r="34" spans="1:2">
      <c r="A34" s="1">
        <v>44837</v>
      </c>
      <c r="B34" t="s">
        <v>1507</v>
      </c>
    </row>
    <row r="35" spans="1:2">
      <c r="A35" s="1">
        <v>45201</v>
      </c>
      <c r="B35" t="s">
        <v>1507</v>
      </c>
    </row>
    <row r="36" spans="1:2">
      <c r="A36" s="1">
        <v>45572</v>
      </c>
      <c r="B36" s="2" t="s">
        <v>1507</v>
      </c>
    </row>
    <row r="37" spans="1:2">
      <c r="A37" s="1">
        <v>45936</v>
      </c>
      <c r="B37" t="s">
        <v>1507</v>
      </c>
    </row>
    <row r="38" spans="1:2">
      <c r="A38" s="1">
        <v>44920</v>
      </c>
      <c r="B38" t="s">
        <v>1508</v>
      </c>
    </row>
    <row r="39" spans="1:2">
      <c r="A39" s="1">
        <v>45285</v>
      </c>
      <c r="B39" t="s">
        <v>1508</v>
      </c>
    </row>
    <row r="40" spans="1:2">
      <c r="A40" s="1">
        <v>45651</v>
      </c>
      <c r="B40" t="s">
        <v>1508</v>
      </c>
    </row>
    <row r="41" spans="1:2">
      <c r="A41" s="1">
        <v>46016</v>
      </c>
      <c r="B41" s="2" t="s">
        <v>1508</v>
      </c>
    </row>
    <row r="42" spans="1:2">
      <c r="A42" s="1">
        <v>44922</v>
      </c>
      <c r="B42" t="s">
        <v>1498</v>
      </c>
    </row>
    <row r="43" spans="1:2">
      <c r="A43" s="1">
        <v>44921</v>
      </c>
      <c r="B43" s="2" t="s">
        <v>1509</v>
      </c>
    </row>
    <row r="44" spans="1:2">
      <c r="A44" s="1">
        <v>45286</v>
      </c>
      <c r="B44" t="s">
        <v>1509</v>
      </c>
    </row>
    <row r="45" spans="1:2">
      <c r="A45" s="1">
        <v>45652</v>
      </c>
      <c r="B45" t="s">
        <v>1509</v>
      </c>
    </row>
    <row r="46" spans="1:2">
      <c r="A46" s="1">
        <v>45652</v>
      </c>
      <c r="B46" s="2" t="s">
        <v>1509</v>
      </c>
    </row>
    <row r="47" spans="1:2">
      <c r="A47" s="1">
        <v>44826</v>
      </c>
      <c r="B47" s="2" t="s">
        <v>1510</v>
      </c>
    </row>
    <row r="48" spans="1:2">
      <c r="A48" s="1">
        <v>45383</v>
      </c>
      <c r="B48" s="2" t="s">
        <v>1502</v>
      </c>
    </row>
    <row r="49" spans="1:2">
      <c r="A49" s="1">
        <v>46023</v>
      </c>
      <c r="B49" s="2" t="s">
        <v>1497</v>
      </c>
    </row>
    <row r="50" spans="1:2">
      <c r="A50" s="1">
        <v>46017</v>
      </c>
      <c r="B50" s="2" t="s">
        <v>1509</v>
      </c>
    </row>
    <row r="51" spans="1:2">
      <c r="A51" s="1">
        <v>46048</v>
      </c>
      <c r="B51" s="2" t="s">
        <v>1499</v>
      </c>
    </row>
    <row r="52" spans="1:2">
      <c r="A52" s="1">
        <v>46115</v>
      </c>
      <c r="B52" s="2" t="s">
        <v>1500</v>
      </c>
    </row>
    <row r="53" spans="1:2">
      <c r="A53" s="1">
        <v>46116</v>
      </c>
      <c r="B53" s="2" t="s">
        <v>1501</v>
      </c>
    </row>
    <row r="54" spans="1:2">
      <c r="A54" s="1">
        <v>46117</v>
      </c>
      <c r="B54" s="2" t="s">
        <v>1503</v>
      </c>
    </row>
    <row r="55" spans="1:2">
      <c r="A55" s="1">
        <v>46118</v>
      </c>
      <c r="B55" s="2" t="s">
        <v>1502</v>
      </c>
    </row>
    <row r="56" spans="1:2">
      <c r="A56" s="1">
        <v>46137</v>
      </c>
      <c r="B56" s="2" t="s">
        <v>1504</v>
      </c>
    </row>
    <row r="57" spans="1:2">
      <c r="A57" s="1">
        <v>46181</v>
      </c>
      <c r="B57" s="2" t="s">
        <v>1506</v>
      </c>
    </row>
    <row r="58" spans="1:2">
      <c r="A58" s="1">
        <v>46300</v>
      </c>
      <c r="B58" s="2" t="s">
        <v>1507</v>
      </c>
    </row>
    <row r="59" spans="1:2">
      <c r="A59" s="1">
        <v>46381</v>
      </c>
      <c r="B59" s="2" t="s">
        <v>1508</v>
      </c>
    </row>
    <row r="60" spans="1:2">
      <c r="A60" s="1">
        <v>46384</v>
      </c>
      <c r="B60" s="2" t="s">
        <v>1509</v>
      </c>
    </row>
  </sheetData>
  <sheetProtection algorithmName="SHA-512" hashValue="k1snAJv1ictJn7Nynj8UAE9OtptnD6Iz4ikcc6xlLxRcV+2yEGbpTQgb6C+eoEyrWNKiQBAlSMEvCo0WEYi38w==" saltValue="rtl7ojqF7lqffa7t2juGuw==" spinCount="100000" sheet="1" scenarios="1" selectLockedCells="1" selectUn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Gong Cha</dc:creator>
  <cp:keywords/>
  <dc:description/>
  <cp:lastModifiedBy>Operations Gongcha</cp:lastModifiedBy>
  <cp:revision/>
  <dcterms:created xsi:type="dcterms:W3CDTF">2018-08-22T06:29:13Z</dcterms:created>
  <dcterms:modified xsi:type="dcterms:W3CDTF">2026-02-02T04:28:26Z</dcterms:modified>
  <cp:category/>
  <cp:contentStatus/>
</cp:coreProperties>
</file>