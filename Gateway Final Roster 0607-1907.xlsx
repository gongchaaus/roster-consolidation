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0607-1907/"/>
    </mc:Choice>
  </mc:AlternateContent>
  <xr:revisionPtr revIDLastSave="0" documentId="13_ncr:1_{062D2452-8EA5-7343-8F1D-629B4E839F9B}" xr6:coauthVersionLast="47" xr6:coauthVersionMax="47" xr10:uidLastSave="{00000000-0000-0000-0000-000000000000}"/>
  <bookViews>
    <workbookView xWindow="0" yWindow="740" windowWidth="28800" windowHeight="1720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99" i="2" s="1"/>
  <c r="AW99" i="12" s="1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72" i="2" s="1"/>
  <c r="AW72" i="12" s="1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63" i="2" s="1"/>
  <c r="AW63" i="12" s="1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47" i="2" s="1"/>
  <c r="AW47" i="12" s="1"/>
  <c r="AZ46" i="2"/>
  <c r="A46" i="2" s="1"/>
  <c r="AW46" i="12" s="1"/>
  <c r="AZ45" i="2"/>
  <c r="A45" i="2" s="1"/>
  <c r="AW45" i="12" s="1"/>
  <c r="AZ44" i="2"/>
  <c r="AZ43" i="2"/>
  <c r="AZ42" i="2"/>
  <c r="A42" i="2" s="1"/>
  <c r="AW42" i="12" s="1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97" i="18" s="1"/>
  <c r="AX97" i="12" s="1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91" i="18" s="1"/>
  <c r="AX91" i="12" s="1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81" i="18" s="1"/>
  <c r="AX81" i="12" s="1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E25" i="18"/>
  <c r="CF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X22" i="18"/>
  <c r="BU22" i="18"/>
  <c r="BV22" i="18" s="1"/>
  <c r="BT22" i="18"/>
  <c r="BS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E21" i="18"/>
  <c r="CF21" i="18" s="1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BZ20" i="18"/>
  <c r="CA20" i="18" s="1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H18" i="18"/>
  <c r="CE18" i="18"/>
  <c r="CF18" i="18" s="1"/>
  <c r="X18" i="18" s="1"/>
  <c r="CD18" i="18"/>
  <c r="CC18" i="18"/>
  <c r="BZ18" i="18"/>
  <c r="BY18" i="18"/>
  <c r="BX18" i="18"/>
  <c r="BU18" i="18"/>
  <c r="BT18" i="18"/>
  <c r="BS18" i="18"/>
  <c r="BP18" i="18"/>
  <c r="BQ18" i="18" s="1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X17" i="18" s="1"/>
  <c r="CE17" i="18"/>
  <c r="CD17" i="18"/>
  <c r="CC17" i="18"/>
  <c r="BZ17" i="18"/>
  <c r="CA17" i="18" s="1"/>
  <c r="BY17" i="18"/>
  <c r="BX17" i="18"/>
  <c r="BU17" i="18"/>
  <c r="BV17" i="18" s="1"/>
  <c r="R17" i="18" s="1"/>
  <c r="BT17" i="18"/>
  <c r="BS17" i="18"/>
  <c r="BP17" i="18"/>
  <c r="BO17" i="18"/>
  <c r="BK17" i="18"/>
  <c r="BL17" i="18" s="1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BZ16" i="18"/>
  <c r="CA16" i="18" s="1"/>
  <c r="U16" i="18" s="1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P14" i="18"/>
  <c r="BQ14" i="18" s="1"/>
  <c r="O14" i="18" s="1"/>
  <c r="BO14" i="18"/>
  <c r="BK14" i="18"/>
  <c r="BL14" i="18" s="1"/>
  <c r="BM14" i="18" s="1"/>
  <c r="BJ14" i="18"/>
  <c r="BI14" i="18"/>
  <c r="BF14" i="18"/>
  <c r="BG14" i="18" s="1"/>
  <c r="I14" i="18" s="1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O13" i="18" s="1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K12" i="18"/>
  <c r="BL12" i="18" s="1"/>
  <c r="BM12" i="18" s="1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3" i="18"/>
  <c r="AX93" i="12" s="1"/>
  <c r="A85" i="18"/>
  <c r="AX85" i="12" s="1"/>
  <c r="A100" i="2"/>
  <c r="AW100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68" i="2"/>
  <c r="AW68" i="12" s="1"/>
  <c r="A67" i="2"/>
  <c r="AW67" i="12" s="1"/>
  <c r="A65" i="2"/>
  <c r="AW65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4" i="2"/>
  <c r="AW44" i="12" s="1"/>
  <c r="A43" i="2"/>
  <c r="AW43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O39" i="18"/>
  <c r="I65" i="18"/>
  <c r="U68" i="18"/>
  <c r="I70" i="18"/>
  <c r="O72" i="18"/>
  <c r="I68" i="18"/>
  <c r="I61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U36" i="18"/>
  <c r="U28" i="18"/>
  <c r="U52" i="18"/>
  <c r="O63" i="18"/>
  <c r="F19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95" i="2"/>
  <c r="X68" i="2"/>
  <c r="X48" i="2"/>
  <c r="I37" i="2"/>
  <c r="U41" i="2"/>
  <c r="L46" i="2"/>
  <c r="X56" i="2"/>
  <c r="U67" i="2"/>
  <c r="F58" i="2"/>
  <c r="L60" i="2"/>
  <c r="L72" i="2"/>
  <c r="O61" i="2"/>
  <c r="X37" i="18"/>
  <c r="U44" i="18"/>
  <c r="X45" i="18"/>
  <c r="F63" i="18"/>
  <c r="F67" i="18"/>
  <c r="X69" i="18"/>
  <c r="O70" i="18"/>
  <c r="X77" i="18"/>
  <c r="R99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F24" i="18"/>
  <c r="F17" i="18"/>
  <c r="F46" i="18"/>
  <c r="I47" i="18"/>
  <c r="L56" i="18"/>
  <c r="R58" i="18"/>
  <c r="F62" i="18"/>
  <c r="F66" i="18"/>
  <c r="R70" i="18"/>
  <c r="O28" i="18"/>
  <c r="X31" i="18"/>
  <c r="I67" i="18"/>
  <c r="U71" i="18"/>
  <c r="O16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R5" i="18" l="1"/>
  <c r="R4" i="18"/>
  <c r="CG21" i="18"/>
  <c r="X21" i="18"/>
  <c r="X25" i="18"/>
  <c r="X23" i="18"/>
  <c r="CF24" i="18"/>
  <c r="CG24" i="18" s="1"/>
  <c r="CG26" i="18"/>
  <c r="CG25" i="18"/>
  <c r="X22" i="18"/>
  <c r="X26" i="18"/>
  <c r="R16" i="18"/>
  <c r="BQ22" i="18"/>
  <c r="O22" i="18" s="1"/>
  <c r="BR23" i="18"/>
  <c r="L13" i="18"/>
  <c r="L14" i="18"/>
  <c r="I17" i="2"/>
  <c r="CG18" i="18"/>
  <c r="CB20" i="18"/>
  <c r="U20" i="18"/>
  <c r="BW22" i="18"/>
  <c r="BR18" i="18"/>
  <c r="O18" i="18"/>
  <c r="O4" i="18"/>
  <c r="L12" i="18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BR24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Q17" i="18"/>
  <c r="O17" i="18" s="1"/>
  <c r="BQ24" i="18"/>
  <c r="O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CG27" i="18" l="1"/>
  <c r="AB28" i="18"/>
  <c r="X24" i="18"/>
  <c r="CK24" i="18" s="1"/>
  <c r="AP24" i="18" s="1"/>
  <c r="BR17" i="18"/>
  <c r="CB22" i="18"/>
  <c r="AB19" i="18"/>
  <c r="BR21" i="18"/>
  <c r="L9" i="2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AB15" i="2" s="1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9" i="2" l="1"/>
  <c r="AP9" i="2" s="1"/>
  <c r="AB24" i="18"/>
  <c r="AB11" i="2"/>
  <c r="CK15" i="2"/>
  <c r="AP15" i="2" s="1"/>
  <c r="AB14" i="2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R3" i="12" l="1"/>
  <c r="E3" i="12"/>
  <c r="G3" i="12" s="1"/>
  <c r="I3" i="12"/>
  <c r="C3" i="12"/>
  <c r="J3" i="12"/>
  <c r="AH3" i="12"/>
  <c r="V3" i="12" s="1"/>
  <c r="AG3" i="12"/>
  <c r="AS3" i="12"/>
  <c r="AF3" i="12"/>
  <c r="T3" i="12" s="1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 a="1"/>
  <c r="A4" i="12" l="1"/>
  <c r="B4" i="12" s="1"/>
  <c r="D4" i="12" s="1"/>
  <c r="F3" i="12"/>
  <c r="H3" i="12" s="1"/>
  <c r="U3" i="12"/>
  <c r="S3" i="12"/>
  <c r="AI3" i="12"/>
  <c r="AI2" i="12"/>
  <c r="BJ1" i="18"/>
  <c r="BN1" i="18"/>
  <c r="N1" i="18"/>
  <c r="P1" i="18"/>
  <c r="O1" i="18"/>
  <c r="BR1" i="18" s="1"/>
  <c r="K4" i="12" l="1"/>
  <c r="L4" i="12" s="1"/>
  <c r="AQ4" i="12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O11" i="12" s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T27" i="12" l="1"/>
  <c r="Q27" i="12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V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T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Q245" i="12" l="1"/>
  <c r="V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U297" i="12" l="1"/>
  <c r="V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U298" i="12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<sst xmlns="http://schemas.openxmlformats.org/spreadsheetml/2006/main" count="2742" uniqueCount="1647">
  <si>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</si>
  <si>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</si>
  <si>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</si>
  <si>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</si>
  <si>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</si>
  <si>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</si>
  <si>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</si>
  <si>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</si>
  <si>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</si>
  <si>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</si>
  <si>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</si>
  <si>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</si>
  <si>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</si>
  <si>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</si>
  <si>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</si>
  <si>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</si>
  <si>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</si>
  <si>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</si>
  <si>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</si>
  <si>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</si>
  <si>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</si>
  <si>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</si>
  <si>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</si>
  <si>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</si>
  <si>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</si>
  <si>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</si>
  <si>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</si>
  <si>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</si>
  <si>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</si>
  <si>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</si>
  <si>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</si>
  <si>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</si>
  <si>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</si>
  <si>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</si>
  <si>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</si>
  <si>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</si>
  <si>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</si>
  <si>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</si>
  <si>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</si>
  <si>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</si>
  <si>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</si>
  <si>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</si>
  <si>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</si>
  <si>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</si>
  <si>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</si>
  <si>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</si>
  <si>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</si>
  <si>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</si>
  <si>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</si>
  <si>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</si>
  <si>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</si>
  <si>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</si>
  <si>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</si>
  <si>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</si>
  <si>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</si>
  <si>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</si>
  <si>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</si>
  <si>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</si>
  <si>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</si>
  <si>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</si>
  <si>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</si>
  <si>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</si>
  <si>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</si>
  <si>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</si>
  <si>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</si>
  <si>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</si>
  <si>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</si>
  <si>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</si>
  <si>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</si>
  <si>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</si>
  <si>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</si>
  <si>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</si>
  <si>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</si>
  <si>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</si>
  <si>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</si>
  <si>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</si>
  <si>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</si>
  <si>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</si>
  <si>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</si>
  <si>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</si>
  <si>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</si>
  <si>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</si>
  <si>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</si>
  <si>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</si>
  <si>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</si>
  <si>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</si>
  <si>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</si>
  <si>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</si>
  <si>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</si>
  <si>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</si>
  <si>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</si>
  <si>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</si>
  <si>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</si>
  <si>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</si>
  <si>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</si>
  <si>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</si>
  <si>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</si>
  <si>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</si>
  <si>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</si>
  <si>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</si>
  <si>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</si>
  <si>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</si>
  <si>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</si>
  <si>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</si>
  <si>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</si>
  <si>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</si>
  <si>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</si>
  <si>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</si>
  <si>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</si>
  <si>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</si>
  <si>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</si>
  <si>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</si>
  <si>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</si>
  <si>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</si>
  <si>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</si>
  <si>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</si>
  <si>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</si>
  <si>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</si>
  <si>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</si>
  <si>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</si>
  <si>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</si>
  <si>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</si>
  <si>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</si>
  <si>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</si>
  <si>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</si>
  <si>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</si>
  <si>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</si>
  <si>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</si>
  <si>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</si>
  <si>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</si>
  <si>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</si>
  <si>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</si>
  <si>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</si>
  <si>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</si>
  <si>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</si>
  <si>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</si>
  <si>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</si>
  <si>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</si>
  <si>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</si>
  <si>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</si>
  <si>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</si>
  <si>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</si>
  <si>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</si>
  <si>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</si>
  <si>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</si>
  <si>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</si>
  <si>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</si>
  <si>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</si>
  <si>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</si>
  <si>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</si>
  <si>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</si>
  <si>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</si>
  <si>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</si>
  <si>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</si>
  <si>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</si>
  <si>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</si>
  <si>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</si>
  <si>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</si>
  <si>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</si>
  <si>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</si>
  <si>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</si>
  <si>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</si>
  <si>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</si>
  <si>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</si>
  <si>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</si>
  <si>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</si>
  <si>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</si>
  <si>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</si>
  <si>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</si>
  <si>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</si>
  <si>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</si>
  <si>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</si>
  <si>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</si>
  <si>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</si>
  <si>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</si>
  <si>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</si>
  <si>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</si>
  <si>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</si>
  <si>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</si>
  <si>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</si>
  <si>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</si>
  <si>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</si>
  <si>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</si>
  <si>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</si>
  <si>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</si>
  <si>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</si>
  <si>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</si>
  <si>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</si>
  <si>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</si>
  <si>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</si>
  <si>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</si>
  <si>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</si>
  <si>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</si>
  <si>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</si>
  <si>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</si>
  <si>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</si>
  <si>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</si>
  <si>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</si>
  <si>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</si>
  <si>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</si>
  <si>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</si>
  <si>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</si>
  <si>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</si>
  <si>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</si>
  <si>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</si>
  <si>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</si>
  <si>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</si>
  <si>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</si>
  <si>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</si>
  <si>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</si>
  <si>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</si>
  <si>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</si>
  <si>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</si>
  <si>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</si>
  <si>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</si>
  <si>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</si>
  <si>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</si>
  <si>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</si>
  <si>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</si>
  <si>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</si>
  <si>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</si>
  <si>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</si>
  <si>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</si>
  <si>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</si>
  <si>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</si>
  <si>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</si>
  <si>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</si>
  <si>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</si>
  <si>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</si>
  <si>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</si>
  <si>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</si>
  <si>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</si>
  <si>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</si>
  <si>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</si>
  <si>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</si>
  <si>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</si>
  <si>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</si>
  <si>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</si>
  <si>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</si>
  <si>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</si>
  <si>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</si>
  <si>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</si>
  <si>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</si>
  <si>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</si>
  <si>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</si>
  <si>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</si>
  <si>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</si>
  <si>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</si>
  <si>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</si>
  <si>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</si>
  <si>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</si>
  <si>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</si>
  <si>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</si>
  <si>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</si>
  <si>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</si>
  <si>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</si>
  <si>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</si>
  <si>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</si>
  <si>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</si>
  <si>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</si>
  <si>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</si>
  <si>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</si>
  <si>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</si>
  <si>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</si>
  <si>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</si>
  <si>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</si>
  <si>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</si>
  <si>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</si>
  <si>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</si>
  <si>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</si>
  <si>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</si>
  <si>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</si>
  <si>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</si>
  <si>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</si>
  <si>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</si>
  <si>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</si>
  <si>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</si>
  <si>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</si>
  <si>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</si>
  <si>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</si>
  <si>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</si>
  <si>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</si>
  <si>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</si>
  <si>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</si>
  <si>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</si>
  <si>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</si>
  <si>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</si>
  <si>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</si>
  <si>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</si>
  <si>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</si>
  <si>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</si>
  <si>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</si>
  <si>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</si>
  <si>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</si>
  <si>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</si>
  <si>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</si>
  <si>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</si>
  <si>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</si>
  <si>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</si>
  <si>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</si>
  <si>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</si>
  <si>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</si>
  <si>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</si>
  <si>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</si>
  <si>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</si>
  <si>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</si>
  <si>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</si>
  <si>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</si>
  <si>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</si>
  <si>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</si>
  <si>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</si>
  <si>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</si>
  <si>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</si>
  <si>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</si>
  <si>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</si>
  <si>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</si>
  <si>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</si>
  <si>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</si>
  <si>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</si>
  <si>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</si>
  <si>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</si>
  <si>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</si>
  <si>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</si>
  <si>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</si>
  <si>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</si>
  <si>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</si>
  <si>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</si>
  <si>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</si>
  <si>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</si>
  <si>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</si>
  <si>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</si>
  <si>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</si>
  <si>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</si>
  <si>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</si>
  <si>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</si>
  <si>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</si>
  <si>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</si>
  <si>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</si>
  <si>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</si>
  <si>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</si>
  <si>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</si>
  <si>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</si>
  <si>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</si>
  <si>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</si>
  <si>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</si>
  <si>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</si>
  <si>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</si>
  <si>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</si>
  <si>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</si>
  <si>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</si>
  <si>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</si>
  <si>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</si>
  <si>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</si>
  <si>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</si>
  <si>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</si>
  <si>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</si>
  <si>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</si>
  <si>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</si>
  <si>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</si>
  <si>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</si>
  <si>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</si>
  <si>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</si>
  <si>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</si>
  <si>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</si>
  <si>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</si>
  <si>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</si>
  <si>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</si>
  <si>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</si>
  <si>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</si>
  <si>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</si>
  <si>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</si>
  <si>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</si>
  <si>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</si>
  <si>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</si>
  <si>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</si>
  <si>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</si>
  <si>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</si>
  <si>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</si>
  <si>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</si>
  <si>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</si>
  <si>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</si>
  <si>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</si>
  <si>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</si>
  <si>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</si>
  <si>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</si>
  <si>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</si>
  <si>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</si>
  <si>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</si>
  <si>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</si>
  <si>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</si>
  <si>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</si>
  <si>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</si>
  <si>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</si>
  <si>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</si>
  <si>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</si>
  <si>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</si>
  <si>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</si>
  <si>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</si>
  <si>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</si>
  <si>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</si>
  <si>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</si>
  <si>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</si>
  <si>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</si>
  <si>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</si>
  <si>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</si>
  <si>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</si>
  <si>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</si>
  <si>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</si>
  <si>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</si>
  <si>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</si>
  <si>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</si>
  <si>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</si>
  <si>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</si>
  <si>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</si>
  <si>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</si>
  <si>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</si>
  <si>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</si>
  <si>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</si>
  <si>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</si>
  <si>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</si>
  <si>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</si>
  <si>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</si>
  <si>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</si>
  <si>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</si>
  <si>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</si>
  <si>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</si>
  <si>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</si>
  <si>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</si>
  <si>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</si>
  <si>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</si>
  <si>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</si>
  <si>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</si>
  <si>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</si>
  <si>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</si>
  <si>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</si>
  <si>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</si>
  <si>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</si>
  <si>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</si>
  <si>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</si>
  <si>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</si>
  <si>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</si>
  <si>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</si>
  <si>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</si>
  <si>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</si>
  <si>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</si>
  <si>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</si>
  <si>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</si>
  <si>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</si>
  <si>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</si>
  <si>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</si>
  <si>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</si>
  <si>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</si>
  <si>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</si>
  <si>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</si>
  <si>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</si>
  <si>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</si>
  <si>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</si>
  <si>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</si>
  <si>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</si>
  <si>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</si>
  <si>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</si>
  <si>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</si>
  <si>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</si>
  <si>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</si>
  <si>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</si>
  <si>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</si>
  <si>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</si>
  <si>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</si>
  <si>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</si>
  <si>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</si>
  <si>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</si>
  <si>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</si>
  <si>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</si>
  <si>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</si>
  <si>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</si>
  <si>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</si>
  <si>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</si>
  <si>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</si>
  <si>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</si>
  <si>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</si>
  <si>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</si>
  <si>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</si>
  <si>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</si>
  <si>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</si>
  <si>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</si>
  <si>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</si>
  <si>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</si>
  <si>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</si>
  <si>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</si>
  <si>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</si>
  <si>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</si>
  <si>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</si>
  <si>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</si>
  <si>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</si>
  <si>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</si>
  <si>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</si>
  <si>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</si>
  <si>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</si>
  <si>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</si>
  <si>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</si>
  <si>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</si>
  <si>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</si>
  <si>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</si>
  <si>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</si>
  <si>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</si>
  <si>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</si>
  <si>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</si>
  <si>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</si>
  <si>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</si>
  <si>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</si>
  <si>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</si>
  <si>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</si>
  <si>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</si>
  <si>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</si>
  <si>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</si>
  <si>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</si>
  <si>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</si>
  <si>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</si>
  <si>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</si>
  <si>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</si>
  <si>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</si>
  <si>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</si>
  <si>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</si>
  <si>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</si>
  <si>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</si>
  <si>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</si>
  <si>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</si>
  <si>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</si>
  <si>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</si>
  <si>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</si>
  <si>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</si>
  <si>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</si>
  <si>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</si>
  <si>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</si>
  <si>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</si>
  <si>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</si>
  <si>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</si>
  <si>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</si>
  <si>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</si>
  <si>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</si>
  <si>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</si>
  <si>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</si>
  <si>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</si>
  <si>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</si>
  <si>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</si>
  <si>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</si>
  <si>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</si>
  <si>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</si>
  <si>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</si>
  <si>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</si>
  <si>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</si>
  <si>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</si>
  <si>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</si>
  <si>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</si>
  <si>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</si>
  <si>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</si>
  <si>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</si>
  <si>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</si>
  <si>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</si>
  <si>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</si>
  <si>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</si>
  <si>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</si>
  <si>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</si>
  <si>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</si>
  <si>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</si>
  <si>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</si>
  <si>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</si>
  <si>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</si>
  <si>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</si>
  <si>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</si>
  <si>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</si>
  <si>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</si>
  <si>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</si>
  <si>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</si>
  <si>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</si>
  <si>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</si>
  <si>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</si>
  <si>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</si>
  <si>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</si>
  <si>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</si>
  <si>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</si>
  <si>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</si>
  <si>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</si>
  <si>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</si>
  <si>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</si>
  <si>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</si>
  <si>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</si>
  <si>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</si>
  <si>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</si>
  <si>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</si>
  <si>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</si>
  <si>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</si>
  <si>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</si>
  <si>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</si>
  <si>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</si>
  <si>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</si>
  <si>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</si>
  <si>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</si>
  <si>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</si>
  <si>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</si>
  <si>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</si>
  <si>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</si>
  <si>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</si>
  <si>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</si>
  <si>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</si>
  <si>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</si>
  <si>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</si>
  <si>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</si>
  <si>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</si>
  <si>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</si>
  <si>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</si>
  <si>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</si>
  <si>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</si>
  <si>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</si>
  <si>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</si>
  <si>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</si>
  <si>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</si>
  <si>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</si>
  <si>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</si>
  <si>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</si>
  <si>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</si>
  <si>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</si>
  <si>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</si>
  <si>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</si>
  <si>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</si>
  <si>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</si>
  <si>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</si>
  <si>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</si>
  <si>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</si>
  <si>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</si>
  <si>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</si>
  <si>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</si>
  <si>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</si>
  <si>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</si>
  <si>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</si>
  <si>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</si>
  <si>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</si>
  <si>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</si>
  <si>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</si>
  <si>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</si>
  <si>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</si>
  <si>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</si>
  <si>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</si>
  <si>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</si>
  <si>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</si>
  <si>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</si>
  <si>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</si>
  <si>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</si>
  <si>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</si>
  <si>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</si>
  <si>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</si>
  <si>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</si>
  <si>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</si>
  <si>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</si>
  <si>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</si>
  <si>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</si>
  <si>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</si>
  <si>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</si>
  <si>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</si>
  <si>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</si>
  <si>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</si>
  <si>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</si>
  <si>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</si>
  <si>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</si>
  <si>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</si>
  <si>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</si>
  <si>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</si>
  <si>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</si>
  <si>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</si>
  <si>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</si>
  <si>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</si>
  <si>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</si>
  <si>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</si>
  <si>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</si>
  <si>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</si>
  <si>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</si>
  <si>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</si>
  <si>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</si>
  <si>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</si>
  <si>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</si>
  <si>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</si>
  <si>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</si>
  <si>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</si>
  <si>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</si>
  <si>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</si>
  <si>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</si>
  <si>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</si>
  <si>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</si>
  <si>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</si>
  <si>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</si>
  <si>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</si>
  <si>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</si>
  <si>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</si>
  <si>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</si>
  <si>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</si>
  <si>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</si>
  <si>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</si>
  <si>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</si>
  <si>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</si>
  <si>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</si>
  <si>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</si>
  <si>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</si>
  <si>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</si>
  <si>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</si>
  <si>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</si>
  <si>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</si>
  <si>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</si>
  <si>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</si>
  <si>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</si>
  <si>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</si>
  <si>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</si>
  <si>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</si>
  <si>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</si>
  <si>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</si>
  <si>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</si>
  <si>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</si>
  <si>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</si>
  <si>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</si>
  <si>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</si>
  <si>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</si>
  <si>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</si>
  <si>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</si>
  <si>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</si>
  <si>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</si>
  <si>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</si>
  <si>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</si>
  <si>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</si>
  <si>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</si>
  <si>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</si>
  <si>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</si>
  <si>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</si>
  <si>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</si>
  <si>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</si>
  <si>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</si>
  <si>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</si>
  <si>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</si>
  <si>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</si>
  <si>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</si>
  <si>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</si>
  <si>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</si>
  <si>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</si>
  <si>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</si>
  <si>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</si>
  <si>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</si>
  <si>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</si>
  <si>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</si>
  <si>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</si>
  <si>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</si>
  <si>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</si>
  <si>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</si>
  <si>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</si>
  <si>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</si>
  <si>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</si>
  <si>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</si>
  <si>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</si>
  <si>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</si>
  <si>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</si>
  <si>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</si>
  <si>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</si>
  <si>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</si>
  <si>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</si>
  <si>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</si>
  <si>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</si>
  <si>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</si>
  <si>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</si>
  <si>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</si>
  <si>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</si>
  <si>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</si>
  <si>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</si>
  <si>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</si>
  <si>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</si>
  <si>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</si>
  <si>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</si>
  <si>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</si>
  <si>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</si>
  <si>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</si>
  <si>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</si>
  <si>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</si>
  <si>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</si>
  <si>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</si>
  <si>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</si>
  <si>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</si>
  <si>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</si>
  <si>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</si>
  <si>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</si>
  <si>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</si>
  <si>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</si>
  <si>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</si>
  <si>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</si>
  <si>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</si>
  <si>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</si>
  <si>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</si>
  <si>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</si>
  <si>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</si>
  <si>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</si>
  <si>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</si>
  <si>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</si>
  <si>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</si>
  <si>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</si>
  <si>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</si>
  <si>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</si>
  <si>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</si>
  <si>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</si>
  <si>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</si>
  <si>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</si>
  <si>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</si>
  <si>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</si>
  <si>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</si>
  <si>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</si>
  <si>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</si>
  <si>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</si>
  <si>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</si>
  <si>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</si>
  <si>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</si>
  <si>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</si>
  <si>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</si>
  <si>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</si>
  <si>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</si>
  <si>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</si>
  <si>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</si>
  <si>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</si>
  <si>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</si>
  <si>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</si>
  <si>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</si>
  <si>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</si>
  <si>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</si>
  <si>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</si>
  <si>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</si>
  <si>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</si>
  <si>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</si>
  <si>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</si>
  <si>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</si>
  <si>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</si>
  <si>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</si>
  <si>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</si>
  <si>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</si>
  <si>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</si>
  <si>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</si>
  <si>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</si>
  <si>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</si>
  <si>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</si>
  <si>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</si>
  <si>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</si>
  <si>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</si>
  <si>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</si>
  <si>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</si>
  <si>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</si>
  <si>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</si>
  <si>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</si>
  <si>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</si>
  <si>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</si>
  <si>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</si>
  <si>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</si>
  <si>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</si>
  <si>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</si>
  <si>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</si>
  <si>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</si>
  <si>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</si>
  <si>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</si>
  <si>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</si>
  <si>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</si>
  <si>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</si>
  <si>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</si>
  <si>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</si>
  <si>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</si>
  <si>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</si>
  <si>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</si>
  <si>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</si>
  <si>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</si>
  <si>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</si>
  <si>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</si>
  <si>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</si>
  <si>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</si>
  <si>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</si>
  <si>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</si>
  <si>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</si>
  <si>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</si>
  <si>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</si>
  <si>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</si>
  <si>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</si>
  <si>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</si>
  <si>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</si>
  <si>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</si>
  <si>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</si>
  <si>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</si>
  <si>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</si>
  <si>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</si>
  <si>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</si>
  <si>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</si>
  <si>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</si>
  <si>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</si>
  <si>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</si>
  <si>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</si>
  <si>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</si>
  <si>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</si>
  <si>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</si>
  <si>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</si>
  <si>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</si>
  <si>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</si>
  <si>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</si>
  <si>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</si>
  <si>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</si>
  <si>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</si>
  <si>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</si>
  <si>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</si>
  <si>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</si>
  <si>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</si>
  <si>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</si>
  <si>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</si>
  <si>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</si>
  <si>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</si>
  <si>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</si>
  <si>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</si>
  <si>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</si>
  <si>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</si>
  <si>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</si>
  <si>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</si>
  <si>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</si>
  <si>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</si>
  <si>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</si>
  <si>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</si>
  <si>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</si>
  <si>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</si>
  <si>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</si>
  <si>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</si>
  <si>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</si>
  <si>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</si>
  <si>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</si>
  <si>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</si>
  <si>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</si>
  <si>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</si>
  <si>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</si>
  <si>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</si>
  <si>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</si>
  <si>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</si>
  <si>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</si>
  <si>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</si>
  <si>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</si>
  <si>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</si>
  <si>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</si>
  <si>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</si>
  <si>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</si>
  <si>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</si>
  <si>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</si>
  <si>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</si>
  <si>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</si>
  <si>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</si>
  <si>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</si>
  <si>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</si>
  <si>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</si>
  <si>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</si>
  <si>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</si>
  <si>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</si>
  <si>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</si>
  <si>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</si>
  <si>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</si>
  <si>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</si>
  <si>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</si>
  <si>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</si>
  <si>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</si>
  <si>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</si>
  <si>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</si>
  <si>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</si>
  <si>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</si>
  <si>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</si>
  <si>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</si>
  <si>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</si>
  <si>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</si>
  <si>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</si>
  <si>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</si>
  <si>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</si>
  <si>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</si>
  <si>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</si>
  <si>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</si>
  <si>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</si>
  <si>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</si>
  <si>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</si>
  <si>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</si>
  <si>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</si>
  <si>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</si>
  <si>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</si>
  <si>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</si>
  <si>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</si>
  <si>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</si>
  <si>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</si>
  <si>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</si>
  <si>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</si>
  <si>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</si>
  <si>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</si>
  <si>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</si>
  <si>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</si>
  <si>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</si>
  <si>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</si>
  <si>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</si>
  <si>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</si>
  <si>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</si>
  <si>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</si>
  <si>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</si>
  <si>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</si>
  <si>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</si>
  <si>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</si>
  <si>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</si>
  <si>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</si>
  <si>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</si>
  <si>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</si>
  <si>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</si>
  <si>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</si>
  <si>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</si>
  <si>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</si>
  <si>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</si>
  <si>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</si>
  <si>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</si>
  <si>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</si>
  <si>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</si>
  <si>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</si>
  <si>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</si>
  <si>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</si>
  <si>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</si>
  <si>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</si>
  <si>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</si>
  <si>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</si>
  <si>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</si>
  <si>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</si>
  <si>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</si>
  <si>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</si>
  <si>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</si>
  <si>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</si>
  <si>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</si>
  <si>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</si>
  <si>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</si>
  <si>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</si>
  <si>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</si>
  <si>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</si>
  <si>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</si>
  <si>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</si>
  <si>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</si>
  <si>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</si>
  <si>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</si>
  <si>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</si>
  <si>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</si>
  <si>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</si>
  <si>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</si>
  <si>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</si>
  <si>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</si>
  <si>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</si>
  <si>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</si>
  <si>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</si>
  <si>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</si>
  <si>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</si>
  <si>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</si>
  <si>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</si>
  <si>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</si>
  <si>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</si>
  <si>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</si>
  <si>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</si>
  <si>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</si>
  <si>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</si>
  <si>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</si>
  <si>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</si>
  <si>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</si>
  <si>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</si>
  <si>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</si>
  <si>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</si>
  <si>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</si>
  <si>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</si>
  <si>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</si>
  <si>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</si>
  <si>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</si>
  <si>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</si>
  <si>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</si>
  <si>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</si>
  <si>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</si>
  <si>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</si>
  <si>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</si>
  <si>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</si>
  <si>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</si>
  <si>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</si>
  <si>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</si>
  <si>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</si>
  <si>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</si>
  <si>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</si>
  <si>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</si>
  <si>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</si>
  <si>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</si>
  <si>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</si>
  <si>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</si>
  <si>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</si>
  <si>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</si>
  <si>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</si>
  <si>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</si>
  <si>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</si>
  <si>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</si>
  <si>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</si>
  <si>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</si>
  <si>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</si>
  <si>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</si>
  <si>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</si>
  <si>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</si>
  <si>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</si>
  <si>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</si>
  <si>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</si>
  <si>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</si>
  <si>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</si>
  <si>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</si>
  <si>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</si>
  <si>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</si>
  <si>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</si>
  <si>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</si>
  <si>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</si>
  <si>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</si>
  <si>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</si>
  <si>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</si>
  <si>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</si>
  <si>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</si>
  <si>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</si>
  <si>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</si>
  <si>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</si>
  <si>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</si>
  <si>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</si>
  <si>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</si>
  <si>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</si>
  <si>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</si>
  <si>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</si>
  <si>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</si>
  <si>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</si>
  <si>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</si>
  <si>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</si>
  <si>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</si>
  <si>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</si>
  <si>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</si>
  <si>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</si>
  <si>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</si>
  <si>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</si>
  <si>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</si>
  <si>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</si>
  <si>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</si>
  <si>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</si>
  <si>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</si>
  <si>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</si>
  <si>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</si>
  <si>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</si>
  <si>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</si>
  <si>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</si>
  <si>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</si>
  <si>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</si>
  <si>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</si>
  <si>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</si>
  <si>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</si>
  <si>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</si>
  <si>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</si>
  <si>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</si>
  <si>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</si>
  <si>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</si>
  <si>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</si>
  <si>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</si>
  <si>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</si>
  <si>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</si>
  <si>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</si>
  <si>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</si>
  <si>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</si>
  <si>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</si>
  <si>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</si>
  <si>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</si>
  <si>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</si>
  <si>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</si>
  <si>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</si>
  <si>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</si>
  <si>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</si>
  <si>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</si>
  <si>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</si>
  <si>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</si>
  <si>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</si>
  <si>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</si>
  <si>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</si>
  <si>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</si>
  <si>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</si>
  <si>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</si>
  <si>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</si>
  <si>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</si>
  <si>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</si>
  <si>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</si>
  <si>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</si>
  <si>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</si>
  <si>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</si>
  <si>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</si>
  <si>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</si>
  <si>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</si>
  <si>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</si>
  <si>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</si>
  <si>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</si>
  <si>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</si>
  <si>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</si>
  <si>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</si>
  <si>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</si>
  <si>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</si>
  <si>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</si>
  <si>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</si>
  <si>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</si>
  <si>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</si>
  <si>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</si>
  <si>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</si>
  <si>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</si>
  <si>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</si>
  <si>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</si>
  <si>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</si>
  <si>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</si>
  <si>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</si>
  <si>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</si>
  <si>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</si>
  <si>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</si>
  <si>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</si>
  <si>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</si>
  <si>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</si>
  <si>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</si>
  <si>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</si>
  <si>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</si>
  <si>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</si>
  <si>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</si>
  <si>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</si>
  <si>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</si>
  <si>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</si>
  <si>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</si>
  <si>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</si>
  <si>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</si>
  <si>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</si>
  <si>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</si>
  <si>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</si>
  <si>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</si>
  <si>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</si>
  <si>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</si>
  <si>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</si>
  <si>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</si>
  <si>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</si>
  <si>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</si>
  <si>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</si>
  <si>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</si>
  <si>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</si>
  <si>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</si>
  <si>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</si>
  <si>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</si>
  <si>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</si>
  <si>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</si>
  <si>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</si>
  <si>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</si>
  <si>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</si>
  <si>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</si>
  <si>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</si>
  <si>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</si>
  <si>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</si>
  <si>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</si>
  <si>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</si>
  <si>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</si>
  <si>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</si>
  <si>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</si>
  <si>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</si>
  <si>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</si>
  <si>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</si>
  <si>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</si>
  <si>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</si>
  <si>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</si>
  <si>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</si>
  <si>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</si>
  <si>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</si>
  <si>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</si>
  <si>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</si>
  <si>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</si>
  <si>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</si>
  <si>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</si>
  <si>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</si>
  <si>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</si>
  <si>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</si>
  <si>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</si>
  <si>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</si>
  <si>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</si>
  <si>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</si>
  <si>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</si>
  <si>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</si>
  <si>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</si>
  <si>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</si>
  <si>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</si>
  <si>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</si>
  <si>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</si>
  <si>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</si>
  <si>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</si>
  <si>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</si>
  <si>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</si>
  <si>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</si>
  <si>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</si>
  <si>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</si>
  <si>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</si>
  <si>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</si>
  <si>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</si>
  <si>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</si>
  <si>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</si>
  <si>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</si>
  <si>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</si>
  <si>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</si>
  <si>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</si>
  <si>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</si>
  <si>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</si>
  <si>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</si>
  <si>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</si>
  <si>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</si>
  <si>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</si>
  <si>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</si>
  <si>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</si>
  <si>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</si>
  <si>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</si>
  <si>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</si>
  <si>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</si>
  <si>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</si>
  <si>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</si>
  <si>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</si>
  <si>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</si>
  <si>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</si>
  <si>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</si>
  <si>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</si>
  <si>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</si>
  <si>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</si>
  <si>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</si>
  <si>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</si>
  <si>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</si>
  <si>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</si>
  <si>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</si>
  <si>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</si>
  <si>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</si>
  <si>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</si>
  <si>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</si>
  <si>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</si>
  <si>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</si>
  <si>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</si>
  <si>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</si>
  <si>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</si>
  <si>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</si>
  <si>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</si>
  <si>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</si>
  <si>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</si>
  <si>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</si>
  <si>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</si>
  <si>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</si>
  <si>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</si>
  <si>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</si>
  <si>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</si>
  <si>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</si>
  <si>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</si>
  <si>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</si>
  <si>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</si>
  <si>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</si>
  <si>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</si>
  <si>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</si>
  <si>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</si>
  <si>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</si>
  <si>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</si>
  <si>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</si>
  <si>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</si>
  <si>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</si>
  <si>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</si>
  <si>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</si>
  <si>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</si>
  <si>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</si>
  <si>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</si>
  <si>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</si>
  <si>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</si>
  <si>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</si>
  <si>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</si>
  <si>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</si>
  <si>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</si>
  <si>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</si>
  <si>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</si>
  <si>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</si>
  <si>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</si>
  <si>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</si>
  <si>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</si>
  <si>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</si>
  <si>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</si>
  <si>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</si>
  <si>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</si>
  <si>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</si>
  <si>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</si>
  <si>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</si>
  <si>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</si>
  <si>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</si>
  <si>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</si>
  <si>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</si>
  <si>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</si>
  <si>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</si>
  <si>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</si>
  <si>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</si>
  <si>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</si>
  <si>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</si>
  <si>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</si>
  <si>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</si>
  <si>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</si>
  <si>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</si>
  <si>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</si>
  <si>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</si>
  <si>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</si>
  <si>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</si>
  <si>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</si>
  <si>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</si>
  <si>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</si>
  <si>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</si>
  <si>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</si>
  <si>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</si>
  <si>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</si>
  <si>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</si>
  <si>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</si>
  <si>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</si>
  <si>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</si>
  <si>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</si>
  <si>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</si>
  <si>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</si>
  <si>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</si>
  <si>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</si>
  <si>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</si>
  <si>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</si>
  <si>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</si>
  <si>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</si>
  <si>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</si>
  <si>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</si>
  <si>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</si>
  <si>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</si>
  <si>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</si>
  <si>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</si>
  <si>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</si>
  <si>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</si>
  <si>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</si>
  <si>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</si>
  <si>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</si>
  <si>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</si>
  <si>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</si>
  <si>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</si>
  <si>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</si>
  <si>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</si>
  <si>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</si>
  <si>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</si>
  <si>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</si>
  <si>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</si>
  <si>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</si>
  <si>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</si>
  <si>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</si>
  <si>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</si>
  <si>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</si>
  <si>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</si>
  <si>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</si>
  <si>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</si>
  <si>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</si>
  <si>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</si>
  <si>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</si>
  <si>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</si>
  <si>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</si>
  <si>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</si>
  <si>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</si>
  <si>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</si>
  <si>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</si>
  <si>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</si>
  <si>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</si>
  <si>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</si>
  <si>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</si>
  <si>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</si>
  <si>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</si>
  <si>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</si>
  <si>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</si>
  <si>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</si>
  <si>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</si>
  <si>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</si>
  <si>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</si>
  <si>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</si>
  <si>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</si>
  <si>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</si>
  <si>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</si>
  <si>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</si>
  <si>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</si>
  <si>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</si>
  <si>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</si>
  <si>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</si>
  <si>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</si>
  <si>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</si>
  <si>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</si>
  <si>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</si>
  <si>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</si>
  <si>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</si>
  <si>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</si>
  <si>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</si>
  <si>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</si>
  <si>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</si>
  <si>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</si>
  <si>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</si>
  <si>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</si>
  <si>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</si>
  <si>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</si>
  <si>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</si>
  <si>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</si>
  <si>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</si>
  <si>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</si>
  <si>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</si>
  <si>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</si>
  <si>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</si>
  <si>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</si>
  <si>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</si>
  <si>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</si>
  <si>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</si>
  <si>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</si>
  <si>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</si>
  <si>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</si>
  <si>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</si>
  <si>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</si>
  <si>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</si>
  <si>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</si>
  <si>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</si>
  <si>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</si>
  <si>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</si>
  <si>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</si>
  <si>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</si>
  <si>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</si>
  <si>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</si>
  <si>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Victor</t>
  </si>
  <si>
    <t>Victor Chen</t>
  </si>
  <si>
    <t>Zibin</t>
  </si>
  <si>
    <t>Desmond Zeng</t>
  </si>
  <si>
    <t>Zihan</t>
  </si>
  <si>
    <t>Peter Wei</t>
  </si>
  <si>
    <t>Bryce Liu</t>
  </si>
  <si>
    <t>WU-WU</t>
  </si>
  <si>
    <t>WuWu</t>
  </si>
  <si>
    <t>yukun</t>
  </si>
  <si>
    <t>zheng</t>
  </si>
  <si>
    <t>kyle zheng</t>
  </si>
  <si>
    <t>Mengmeng</t>
  </si>
  <si>
    <t>Camellia Wang</t>
  </si>
  <si>
    <t>Haymarket</t>
  </si>
  <si>
    <t>Hotstar Haymarket</t>
  </si>
  <si>
    <t>Peiqi Benita</t>
  </si>
  <si>
    <t>Benita Wang</t>
  </si>
  <si>
    <t>Yajie</t>
  </si>
  <si>
    <t>Calista Chen</t>
  </si>
  <si>
    <t>Paris</t>
  </si>
  <si>
    <t>Palacio</t>
  </si>
  <si>
    <t>Paris Palacio</t>
  </si>
  <si>
    <t>Kanami</t>
  </si>
  <si>
    <t>Sasaki</t>
  </si>
  <si>
    <t>Kanami Sasaki</t>
  </si>
  <si>
    <t>Naito</t>
  </si>
  <si>
    <t>Yuki Naito</t>
  </si>
  <si>
    <t>Moksh</t>
  </si>
  <si>
    <t>Sangwan</t>
  </si>
  <si>
    <t>Mosang</t>
  </si>
  <si>
    <t>Tran Tuan Hung</t>
  </si>
  <si>
    <t>Jay Vu</t>
  </si>
  <si>
    <t>Bao</t>
  </si>
  <si>
    <t>Lucas Hoang</t>
  </si>
  <si>
    <t>Thomsett</t>
  </si>
  <si>
    <t>Matthew Thomsett</t>
  </si>
  <si>
    <t>SOTHEAROATH</t>
  </si>
  <si>
    <t>Rae TUM</t>
  </si>
  <si>
    <t>Rudrapriya</t>
  </si>
  <si>
    <t>Rudra Sharma</t>
  </si>
  <si>
    <t>Wenhui</t>
  </si>
  <si>
    <t>Sophia Wang</t>
  </si>
  <si>
    <t>Zaki</t>
  </si>
  <si>
    <t>Slamang</t>
  </si>
  <si>
    <t>Zaki Slamang</t>
  </si>
  <si>
    <t>YUN-HSIU</t>
  </si>
  <si>
    <t>Joanna HSIEH</t>
  </si>
  <si>
    <t>Ding</t>
  </si>
  <si>
    <t>Du</t>
  </si>
  <si>
    <t>Beikeman Du</t>
  </si>
  <si>
    <t>Zhihan</t>
  </si>
  <si>
    <t>Doris Zhang</t>
  </si>
  <si>
    <t>Yu Jen</t>
  </si>
  <si>
    <t>Eileen Wei</t>
  </si>
  <si>
    <t>WENJIE</t>
  </si>
  <si>
    <t>CHENG</t>
  </si>
  <si>
    <t>WENJIE CHENG</t>
  </si>
  <si>
    <t>TUM</t>
  </si>
  <si>
    <t>Moki Liu</t>
  </si>
  <si>
    <t>Additional public holiday for Anzac Day</t>
  </si>
  <si>
    <t>ZIJUN</t>
  </si>
  <si>
    <t>ZHAO</t>
  </si>
  <si>
    <t>Jim ZHAO</t>
  </si>
  <si>
    <t>Zizi</t>
  </si>
  <si>
    <t>Qi</t>
  </si>
  <si>
    <t>Zizi Qi</t>
  </si>
  <si>
    <t>Jinsa</t>
  </si>
  <si>
    <t>Bai</t>
  </si>
  <si>
    <t>Bella Bai</t>
  </si>
  <si>
    <t>Junchen</t>
  </si>
  <si>
    <t>Jaycey Wang</t>
  </si>
  <si>
    <t>CHEN WEI</t>
  </si>
  <si>
    <t>CHAO</t>
  </si>
  <si>
    <t>Matt CHAO</t>
  </si>
  <si>
    <t>NAIWEN</t>
  </si>
  <si>
    <t>TIAN</t>
  </si>
  <si>
    <t>Vincent TIAN</t>
  </si>
  <si>
    <t>Yuhao</t>
  </si>
  <si>
    <t>Sheepy Yang</t>
  </si>
  <si>
    <t>ChuQi</t>
  </si>
  <si>
    <t>keeks Chen</t>
  </si>
  <si>
    <t>Valerie</t>
  </si>
  <si>
    <t>Franklin</t>
  </si>
  <si>
    <t>Valerie Franklin</t>
  </si>
  <si>
    <t>Liao</t>
  </si>
  <si>
    <t>Qin Liao</t>
  </si>
  <si>
    <t>Shang</t>
  </si>
  <si>
    <t>Arwen Shang</t>
  </si>
  <si>
    <t>Kai Tung</t>
  </si>
  <si>
    <t>Petrus Lau</t>
  </si>
  <si>
    <t>Keziana</t>
  </si>
  <si>
    <t>Halawa</t>
  </si>
  <si>
    <t>Kezia Halawa</t>
  </si>
  <si>
    <t>RUI</t>
  </si>
  <si>
    <t>XIONG</t>
  </si>
  <si>
    <t>Anita XIONG</t>
  </si>
  <si>
    <t>Yuhang</t>
  </si>
  <si>
    <t>Yuhang Ding</t>
  </si>
  <si>
    <t>Sao Fong</t>
  </si>
  <si>
    <t>Marco Chan</t>
  </si>
  <si>
    <t>Seohyun</t>
  </si>
  <si>
    <t>Moon</t>
  </si>
  <si>
    <t>Luna Moon</t>
  </si>
  <si>
    <t>Joanna</t>
  </si>
  <si>
    <t>Lopez</t>
  </si>
  <si>
    <t>Joanna Lopez</t>
  </si>
  <si>
    <t>Judy Marie</t>
  </si>
  <si>
    <t>Dadivas</t>
  </si>
  <si>
    <t>Judy Dadivas</t>
  </si>
  <si>
    <t>Camilo</t>
  </si>
  <si>
    <t>Salazar Diaz</t>
  </si>
  <si>
    <t>Camilo Salazar Diaz</t>
  </si>
  <si>
    <t>Ziyi</t>
  </si>
  <si>
    <t>Hao</t>
  </si>
  <si>
    <t>Eric Hao</t>
  </si>
  <si>
    <t>Ayla</t>
  </si>
  <si>
    <t>Yasrebi</t>
  </si>
  <si>
    <t>Ayla Yasrebi</t>
  </si>
  <si>
    <t>Sivly</t>
  </si>
  <si>
    <t>Seng</t>
  </si>
  <si>
    <t>Sivly Seng</t>
  </si>
  <si>
    <t>07/07 Josephine 18 mins late cause she started at Metcentre before Gateway.</t>
  </si>
  <si>
    <t>07/07 Victoria called in sick. 08/07 Victoria 34 mins OT store busy and Mumta need to go bank.</t>
  </si>
  <si>
    <t>08/07 Mumta 42 mins OT cause first time closing with ZII POS. 11/07 Mumta 12 mins OT store busy.</t>
  </si>
  <si>
    <t>09/07 Linbee finished at 17:00 cause store was busy during daytime. 11/07 Linbee called in sick</t>
  </si>
  <si>
    <t>15/07 Victoria 15 mins OT to go bank and buy milk</t>
  </si>
  <si>
    <t>18/07 Linbee 30 mins OT store busy</t>
  </si>
  <si>
    <t>18/07 Tanya 13 mins OT store busy</t>
  </si>
  <si>
    <t>Mumta on annual leave</t>
  </si>
  <si>
    <t>19/07 Darrel 30 mins OT store busy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</si>
</sst>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6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C0C0C"/>
      <name val="Helvetica Neue"/>
      <family val="2"/>
    </font>
    <font>
      <sz val="18"/>
      <color theme="1"/>
      <name val="Helvetica Neue"/>
      <family val="2"/>
    </font>
    <font>
      <sz val="20"/>
      <color rgb="FF0C0C0C"/>
      <name val="Helvetica Neue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0" fillId="0" borderId="0" xfId="0" applyFont="1" applyAlignment="1" applyProtection="1">
      <alignment horizontal="center" wrapText="1"/>
      <protection locked="0"/>
    </xf>
    <xf numFmtId="0" fontId="41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/>
      <protection locked="0"/>
    </xf>
    <xf numFmtId="165" fontId="31" fillId="0" borderId="0" xfId="0" applyNumberFormat="1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/>
      <protection locked="0"/>
    </xf>
    <xf numFmtId="0" fontId="45" fillId="0" borderId="0" xfId="0" applyFont="1"/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R9" sqref="AR9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2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46209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46210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46211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46212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46213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46214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46215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46216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10253</v>
      </c>
      <c r="B2" s="81" t="s">
        <v>531</v>
      </c>
      <c r="C2" s="104" t="s">
        <v>721</v>
      </c>
      <c r="D2" s="96">
        <v>0.41666666666666669</v>
      </c>
      <c r="E2" s="84">
        <v>0.625</v>
      </c>
      <c r="F2" s="90">
        <f>BA2-BB2</f>
        <v>5</v>
      </c>
      <c r="G2" s="84">
        <v>0.41666666666666669</v>
      </c>
      <c r="H2" s="84">
        <v>0.64444444444444449</v>
      </c>
      <c r="I2" s="90">
        <f>BF2-BG2</f>
        <v>5.4666666666666668</v>
      </c>
      <c r="J2" s="84">
        <v>0.54166666666666663</v>
      </c>
      <c r="K2" s="84">
        <v>0.86250000000000004</v>
      </c>
      <c r="L2" s="90">
        <f>BK2-BL2</f>
        <v>7.200000000000002</v>
      </c>
      <c r="M2" s="84">
        <v>0.54166666666666663</v>
      </c>
      <c r="N2" s="96">
        <v>0.85416666666666663</v>
      </c>
      <c r="O2" s="90">
        <f>BP2-BQ2</f>
        <v>7</v>
      </c>
      <c r="P2" s="96"/>
      <c r="Q2" s="84"/>
      <c r="R2" s="90">
        <f>BU2-BV2</f>
        <v>0</v>
      </c>
      <c r="S2" s="84">
        <v>0.41666666666666669</v>
      </c>
      <c r="T2" s="84">
        <v>0.6333333333333333</v>
      </c>
      <c r="U2" s="90">
        <f>BZ2-CA2</f>
        <v>5.1999999999999993</v>
      </c>
      <c r="V2" s="84"/>
      <c r="W2" s="84"/>
      <c r="X2" s="90">
        <f>CE2-CF2</f>
        <v>0</v>
      </c>
      <c r="Y2" s="90"/>
      <c r="Z2" s="90"/>
      <c r="AA2" s="90"/>
      <c r="AB2" s="90">
        <f>SUM(F2,I2,L2,O2,R2,U2,X2)</f>
        <v>29.866666666666667</v>
      </c>
      <c r="AC2" s="91"/>
      <c r="AD2" s="78">
        <v>1</v>
      </c>
      <c r="AE2" s="92">
        <f t="shared" ref="AE2:AE40" si="1">SUMIF($BC$1:$CI$1,AE$1,$BC2:$CI2)+AD2</f>
        <v>25.666666666666668</v>
      </c>
      <c r="AF2" s="77"/>
      <c r="AG2" s="92">
        <f t="shared" ref="AG2:AG40" si="2">SUMIF($BC$1:$CI$1,AG$1,$BC2:$CI2)+AF2</f>
        <v>5.1999999999999993</v>
      </c>
      <c r="AH2" s="78"/>
      <c r="AI2" s="92">
        <f t="shared" ref="AI2:AI40" si="3">SUMIF($BC$1:$CI$1,AI$1,$BC2:$CI2)+AH2</f>
        <v>0</v>
      </c>
      <c r="AJ2" s="77"/>
      <c r="AK2" s="92">
        <f t="shared" ref="AK2:AK40" si="4">SUMIF($BC$1:$CI$1,AK$1,$BC2:$CI2)+AJ2</f>
        <v>0</v>
      </c>
      <c r="AL2" s="77"/>
      <c r="AM2" s="92">
        <f t="shared" ref="AM2:AM40" si="5">SUMIF($BC$1:$CI$1,AM$1,$BC2:$CI2)+AL2</f>
        <v>0</v>
      </c>
      <c r="AN2" s="77"/>
      <c r="AO2" s="92">
        <f t="shared" ref="AO2:AO40" si="6">SUMIF($BC$1:$CI$1,AO$1,$BC2:$CI2)+AN2</f>
        <v>0</v>
      </c>
      <c r="AP2" s="93">
        <f>CK2</f>
        <v>5</v>
      </c>
      <c r="AQ2" s="77"/>
      <c r="AR2" s="77"/>
      <c r="AS2" s="77"/>
      <c r="AT2" s="44">
        <f>AE2+AG2+AI2+AK2+AM2+AO2+SUM(AQ2:AS2)</f>
        <v>30.866666666666667</v>
      </c>
      <c r="AU2" s="78" t="s">
        <v>1640</v>
      </c>
      <c r="AV2" s="5"/>
      <c r="AW2" s="5"/>
      <c r="AX2" s="5"/>
      <c r="AY2" s="5"/>
      <c r="AZ2" s="24">
        <f>VLOOKUP(C2,Employees!D:I,6,FALSE)</f>
        <v>10253</v>
      </c>
      <c r="BA2" s="5">
        <f>IF(ISBLANK(D2),0,(E2-D2)*24)</f>
        <v>5</v>
      </c>
      <c r="BB2" s="5">
        <f>IF(BA2&gt;$AY$1,1,IF(BA2&gt;=$AX$1,0.5,0))</f>
        <v>0</v>
      </c>
      <c r="BC2" s="5">
        <f>BA2-BB2-BD2-BE2</f>
        <v>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5.4666666666666668</v>
      </c>
      <c r="BG2" s="5">
        <f>IF(BF2&gt;$AY$1,1,IF(BF2&gt;=$AX$1,0.5,0))</f>
        <v>0</v>
      </c>
      <c r="BH2" s="5">
        <f>BF2-BG2-BI2-BJ2</f>
        <v>5.4666666666666668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7.700000000000002</v>
      </c>
      <c r="BL2" s="5">
        <f>IF(BK2&gt;$AY$1,1,IF(BK2&gt;=$AX$1,0.5,0))</f>
        <v>0.5</v>
      </c>
      <c r="BM2" s="5">
        <f>BK2-BL2-BN2-BO2</f>
        <v>7.200000000000002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7.5</v>
      </c>
      <c r="BQ2" s="5">
        <f>IF(BP2&gt;$AY$1,1,IF(BP2&gt;=$AX$1,0.5,0))</f>
        <v>0.5</v>
      </c>
      <c r="BR2" s="5">
        <f>BP2-BQ2-BS2-BT2</f>
        <v>7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5.1999999999999993</v>
      </c>
      <c r="CA2" s="5">
        <f>IF(BZ2&gt;$AY$1,1,IF(BZ2&gt;=$AX$1,0.5,0))</f>
        <v>0</v>
      </c>
      <c r="CB2" s="5">
        <f>BZ2-CA2-CC2-CD2</f>
        <v>5.1999999999999993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10275</v>
      </c>
      <c r="B3" s="81" t="s">
        <v>531</v>
      </c>
      <c r="C3" s="104" t="s">
        <v>777</v>
      </c>
      <c r="D3" s="96"/>
      <c r="E3" s="84"/>
      <c r="F3" s="90">
        <f t="shared" ref="F3:F69" si="15">BA3-BB3</f>
        <v>0</v>
      </c>
      <c r="G3" s="84"/>
      <c r="H3" s="84"/>
      <c r="I3" s="90">
        <f t="shared" ref="I3:I69" si="16">BF3-BG3</f>
        <v>0</v>
      </c>
      <c r="J3" s="84"/>
      <c r="K3" s="84"/>
      <c r="L3" s="90">
        <f t="shared" ref="L3:L69" si="17">BK3-BL3</f>
        <v>0</v>
      </c>
      <c r="M3" s="84">
        <v>0.41666666666666669</v>
      </c>
      <c r="N3" s="96">
        <v>0.70833333333333337</v>
      </c>
      <c r="O3" s="90">
        <f t="shared" ref="O3:O69" si="18">BP3-BQ3</f>
        <v>6.5</v>
      </c>
      <c r="P3" s="96">
        <v>0.41666666666666669</v>
      </c>
      <c r="Q3" s="84">
        <v>0.63124999999999998</v>
      </c>
      <c r="R3" s="90">
        <f t="shared" ref="R3:R69" si="19">BU3-BV3</f>
        <v>5.1499999999999986</v>
      </c>
      <c r="S3" s="84"/>
      <c r="T3" s="84"/>
      <c r="U3" s="90">
        <f t="shared" ref="U3:U69" si="20">BZ3-CA3</f>
        <v>0</v>
      </c>
      <c r="V3" s="84">
        <v>0.625</v>
      </c>
      <c r="W3" s="84">
        <v>0.86111111111111116</v>
      </c>
      <c r="X3" s="90">
        <f t="shared" ref="X3:X69" si="21">CE3-CF3</f>
        <v>5.1666666666666679</v>
      </c>
      <c r="Y3" s="90"/>
      <c r="Z3" s="90"/>
      <c r="AA3" s="90"/>
      <c r="AB3" s="90">
        <f t="shared" ref="AB3:AB69" si="22">SUM(F3,I3,L3,O3,R3,U3,X3)</f>
        <v>16.816666666666666</v>
      </c>
      <c r="AC3" s="91"/>
      <c r="AD3" s="78"/>
      <c r="AE3" s="92">
        <f t="shared" si="1"/>
        <v>11.649999999999999</v>
      </c>
      <c r="AF3" s="77"/>
      <c r="AG3" s="92">
        <f t="shared" si="2"/>
        <v>0</v>
      </c>
      <c r="AH3" s="78"/>
      <c r="AI3" s="92">
        <f t="shared" si="3"/>
        <v>5.1666666666666679</v>
      </c>
      <c r="AJ3" s="77"/>
      <c r="AK3" s="92">
        <f t="shared" si="4"/>
        <v>0</v>
      </c>
      <c r="AL3" s="77"/>
      <c r="AM3" s="92">
        <f t="shared" si="5"/>
        <v>0</v>
      </c>
      <c r="AN3" s="77"/>
      <c r="AO3" s="92">
        <f t="shared" si="6"/>
        <v>0</v>
      </c>
      <c r="AP3" s="93">
        <f t="shared" ref="AP3:AP69" si="23">CK3</f>
        <v>3</v>
      </c>
      <c r="AQ3" s="77">
        <v>5</v>
      </c>
      <c r="AR3" s="77"/>
      <c r="AS3" s="77"/>
      <c r="AT3" s="44">
        <f t="shared" ref="AT3:AT69" si="24">AE3+AG3+AI3+AK3+AM3+AO3+SUM(AQ3:AS3)</f>
        <v>21.816666666666666</v>
      </c>
      <c r="AU3" s="78" t="s">
        <v>1641</v>
      </c>
      <c r="AV3" s="5"/>
      <c r="AW3" s="5"/>
      <c r="AX3" s="5"/>
      <c r="AY3" s="5"/>
      <c r="AZ3" s="24">
        <f>VLOOKUP(C3,Employees!D:I,6,FALSE)</f>
        <v>10275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7</v>
      </c>
      <c r="BQ3" s="5">
        <f t="shared" ref="BQ3:BQ66" si="40">IF(BP3&gt;$AY$1,1,IF(BP3&gt;=$AX$1,0.5,0))</f>
        <v>0.5</v>
      </c>
      <c r="BR3" s="5">
        <f t="shared" ref="BR3:BR66" si="41">BP3-BQ3-BS3-BT3</f>
        <v>6.5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5.1499999999999986</v>
      </c>
      <c r="BV3" s="5">
        <f t="shared" ref="BV3:BV66" si="45">IF(BU3&gt;$AY$1,1,IF(BU3&gt;=$AX$1,0.5,0))</f>
        <v>0</v>
      </c>
      <c r="BW3" s="5">
        <f t="shared" ref="BW3:BW66" si="46">BU3-BV3-BX3-BY3</f>
        <v>5.1499999999999986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5.6666666666666679</v>
      </c>
      <c r="CF3" s="5">
        <f t="shared" ref="CF3:CF66" si="54">IF(CE3&gt;$AY$1,1,IF(CE3&gt;=$AX$1,0.5,0))</f>
        <v>0.5</v>
      </c>
      <c r="CG3" s="5">
        <f t="shared" ref="CG3:CG66" si="55">CE3-CF3-CH3-CI3</f>
        <v>5.1666666666666679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3</v>
      </c>
    </row>
    <row r="4" spans="1:89" ht="38" customHeight="1">
      <c r="A4" s="74">
        <f t="shared" si="0"/>
        <v>10431</v>
      </c>
      <c r="B4" s="81" t="s">
        <v>531</v>
      </c>
      <c r="C4" s="105" t="s">
        <v>1181</v>
      </c>
      <c r="D4" s="84"/>
      <c r="E4" s="84"/>
      <c r="F4" s="90">
        <f t="shared" si="15"/>
        <v>0</v>
      </c>
      <c r="G4" s="84"/>
      <c r="H4" s="84"/>
      <c r="I4" s="90">
        <f t="shared" si="16"/>
        <v>0</v>
      </c>
      <c r="J4" s="84">
        <v>0.41666666666666669</v>
      </c>
      <c r="K4" s="84">
        <v>0.64861111111111114</v>
      </c>
      <c r="L4" s="90">
        <f t="shared" si="17"/>
        <v>5.0666666666666664</v>
      </c>
      <c r="M4" s="84"/>
      <c r="N4" s="84"/>
      <c r="O4" s="90">
        <f t="shared" si="18"/>
        <v>0</v>
      </c>
      <c r="P4" s="75"/>
      <c r="Q4" s="75"/>
      <c r="R4" s="90">
        <f t="shared" si="19"/>
        <v>0</v>
      </c>
      <c r="S4" s="75">
        <v>0.54166666666666663</v>
      </c>
      <c r="T4" s="75">
        <v>0.71597222222222223</v>
      </c>
      <c r="U4" s="90">
        <f t="shared" si="20"/>
        <v>4.1833333333333345</v>
      </c>
      <c r="V4" s="84">
        <v>0.41666666666666669</v>
      </c>
      <c r="W4" s="84">
        <v>0.625</v>
      </c>
      <c r="X4" s="90">
        <f t="shared" si="21"/>
        <v>5</v>
      </c>
      <c r="Y4" s="90"/>
      <c r="Z4" s="90"/>
      <c r="AA4" s="90"/>
      <c r="AB4" s="90">
        <f t="shared" si="22"/>
        <v>14.25</v>
      </c>
      <c r="AC4" s="91"/>
      <c r="AD4" s="78">
        <v>0.5</v>
      </c>
      <c r="AE4" s="92">
        <f t="shared" si="1"/>
        <v>5.5666666666666664</v>
      </c>
      <c r="AF4" s="77"/>
      <c r="AG4" s="92">
        <f t="shared" si="2"/>
        <v>4.1833333333333345</v>
      </c>
      <c r="AH4" s="78"/>
      <c r="AI4" s="92">
        <f t="shared" si="3"/>
        <v>5</v>
      </c>
      <c r="AJ4" s="77"/>
      <c r="AK4" s="92">
        <f t="shared" si="4"/>
        <v>0</v>
      </c>
      <c r="AL4" s="77"/>
      <c r="AM4" s="92">
        <f t="shared" si="5"/>
        <v>0</v>
      </c>
      <c r="AN4" s="77"/>
      <c r="AO4" s="92">
        <f t="shared" si="6"/>
        <v>0</v>
      </c>
      <c r="AP4" s="93">
        <f t="shared" si="23"/>
        <v>3</v>
      </c>
      <c r="AQ4" s="77"/>
      <c r="AR4" s="77"/>
      <c r="AS4" s="77"/>
      <c r="AT4" s="44">
        <f t="shared" si="24"/>
        <v>14.75</v>
      </c>
      <c r="AU4" s="78" t="s">
        <v>1639</v>
      </c>
      <c r="AV4" s="5"/>
      <c r="AW4" s="5"/>
      <c r="AX4" s="5"/>
      <c r="AY4" s="5"/>
      <c r="AZ4" s="24">
        <f>VLOOKUP(C4,Employees!D:I,6,FALSE)</f>
        <v>10431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5.5666666666666664</v>
      </c>
      <c r="BL4" s="5">
        <f t="shared" si="35"/>
        <v>0.5</v>
      </c>
      <c r="BM4" s="5">
        <f t="shared" si="36"/>
        <v>5.0666666666666664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4.1833333333333345</v>
      </c>
      <c r="CA4" s="5">
        <f t="shared" si="49"/>
        <v>0</v>
      </c>
      <c r="CB4" s="5">
        <f t="shared" si="50"/>
        <v>4.1833333333333345</v>
      </c>
      <c r="CC4" s="5">
        <f t="shared" si="51"/>
        <v>0</v>
      </c>
      <c r="CD4" s="5">
        <f t="shared" si="52"/>
        <v>0</v>
      </c>
      <c r="CE4" s="5">
        <f t="shared" si="53"/>
        <v>5</v>
      </c>
      <c r="CF4" s="5">
        <f t="shared" si="54"/>
        <v>0</v>
      </c>
      <c r="CG4" s="5">
        <f t="shared" si="55"/>
        <v>5</v>
      </c>
      <c r="CH4" s="5">
        <f t="shared" si="56"/>
        <v>0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4">
        <f t="shared" si="0"/>
        <v>210415</v>
      </c>
      <c r="B5" s="81" t="s">
        <v>531</v>
      </c>
      <c r="C5" s="105" t="s">
        <v>1143</v>
      </c>
      <c r="D5" s="75"/>
      <c r="E5" s="75"/>
      <c r="F5" s="90">
        <f t="shared" si="15"/>
        <v>0</v>
      </c>
      <c r="G5" s="84"/>
      <c r="H5" s="84"/>
      <c r="I5" s="90">
        <f t="shared" si="16"/>
        <v>0</v>
      </c>
      <c r="J5" s="84"/>
      <c r="K5" s="84"/>
      <c r="L5" s="90">
        <f t="shared" si="17"/>
        <v>0</v>
      </c>
      <c r="M5" s="84"/>
      <c r="N5" s="84"/>
      <c r="O5" s="90">
        <f t="shared" si="18"/>
        <v>0</v>
      </c>
      <c r="P5" s="75"/>
      <c r="Q5" s="75"/>
      <c r="R5" s="90">
        <f t="shared" si="19"/>
        <v>0</v>
      </c>
      <c r="S5" s="75"/>
      <c r="T5" s="75"/>
      <c r="U5" s="90">
        <f t="shared" si="20"/>
        <v>0</v>
      </c>
      <c r="V5" s="84">
        <v>0.54166666666666663</v>
      </c>
      <c r="W5" s="84">
        <v>0.70833333333333337</v>
      </c>
      <c r="X5" s="90">
        <f t="shared" si="21"/>
        <v>4.0000000000000018</v>
      </c>
      <c r="Y5" s="90"/>
      <c r="Z5" s="90"/>
      <c r="AA5" s="90"/>
      <c r="AB5" s="90">
        <f t="shared" si="22"/>
        <v>4.0000000000000018</v>
      </c>
      <c r="AC5" s="91"/>
      <c r="AD5" s="78"/>
      <c r="AE5" s="92">
        <f t="shared" si="1"/>
        <v>0</v>
      </c>
      <c r="AF5" s="77"/>
      <c r="AG5" s="92">
        <f t="shared" si="2"/>
        <v>0</v>
      </c>
      <c r="AH5" s="78"/>
      <c r="AI5" s="92">
        <f t="shared" si="3"/>
        <v>4.0000000000000018</v>
      </c>
      <c r="AJ5" s="77"/>
      <c r="AK5" s="92">
        <f t="shared" si="4"/>
        <v>0</v>
      </c>
      <c r="AL5" s="77"/>
      <c r="AM5" s="92">
        <f t="shared" si="5"/>
        <v>0</v>
      </c>
      <c r="AN5" s="77"/>
      <c r="AO5" s="92">
        <f t="shared" si="6"/>
        <v>0</v>
      </c>
      <c r="AP5" s="93">
        <f t="shared" si="23"/>
        <v>1</v>
      </c>
      <c r="AQ5" s="77"/>
      <c r="AR5" s="77"/>
      <c r="AS5" s="77"/>
      <c r="AT5" s="44">
        <f t="shared" si="24"/>
        <v>4.0000000000000018</v>
      </c>
      <c r="AU5" s="78"/>
      <c r="AV5" s="5"/>
      <c r="AW5" s="5"/>
      <c r="AX5" s="5"/>
      <c r="AY5" s="5"/>
      <c r="AZ5" s="24">
        <f>VLOOKUP(C5,Employees!D:I,6,FALSE)</f>
        <v>210415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4.0000000000000018</v>
      </c>
      <c r="CF5" s="5">
        <f t="shared" si="54"/>
        <v>0</v>
      </c>
      <c r="CG5" s="5">
        <f t="shared" si="55"/>
        <v>4.0000000000000018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>
        <f t="shared" si="0"/>
        <v>210517</v>
      </c>
      <c r="B6" s="81" t="s">
        <v>531</v>
      </c>
      <c r="C6" s="105" t="s">
        <v>1420</v>
      </c>
      <c r="D6" s="84">
        <v>0.54166666666666663</v>
      </c>
      <c r="E6" s="84">
        <v>0.84652777777777777</v>
      </c>
      <c r="F6" s="90">
        <f t="shared" si="15"/>
        <v>6.8166666666666673</v>
      </c>
      <c r="G6" s="84"/>
      <c r="H6" s="84"/>
      <c r="I6" s="90">
        <f t="shared" si="16"/>
        <v>0</v>
      </c>
      <c r="J6" s="84"/>
      <c r="K6" s="84"/>
      <c r="L6" s="90">
        <f t="shared" si="17"/>
        <v>0</v>
      </c>
      <c r="M6" s="75"/>
      <c r="N6" s="75"/>
      <c r="O6" s="90">
        <f t="shared" si="18"/>
        <v>0</v>
      </c>
      <c r="P6" s="110">
        <v>0.54166666666666663</v>
      </c>
      <c r="Q6" s="110">
        <v>0.86319444444444449</v>
      </c>
      <c r="R6" s="90">
        <f t="shared" si="19"/>
        <v>7.2166666666666686</v>
      </c>
      <c r="S6" s="75">
        <v>0.625</v>
      </c>
      <c r="T6" s="75">
        <v>0.86041666666666672</v>
      </c>
      <c r="U6" s="90">
        <f t="shared" si="20"/>
        <v>5.1500000000000012</v>
      </c>
      <c r="V6" s="84"/>
      <c r="W6" s="84"/>
      <c r="X6" s="90">
        <f t="shared" si="21"/>
        <v>0</v>
      </c>
      <c r="Y6" s="90"/>
      <c r="Z6" s="90"/>
      <c r="AA6" s="90"/>
      <c r="AB6" s="90">
        <f t="shared" si="22"/>
        <v>19.183333333333337</v>
      </c>
      <c r="AC6" s="91"/>
      <c r="AD6" s="78"/>
      <c r="AE6" s="92">
        <f t="shared" si="1"/>
        <v>14.033333333333335</v>
      </c>
      <c r="AF6" s="77"/>
      <c r="AG6" s="92">
        <f t="shared" si="2"/>
        <v>5.1500000000000012</v>
      </c>
      <c r="AH6" s="78"/>
      <c r="AI6" s="92">
        <f t="shared" si="3"/>
        <v>0</v>
      </c>
      <c r="AJ6" s="77"/>
      <c r="AK6" s="92">
        <f t="shared" si="4"/>
        <v>0</v>
      </c>
      <c r="AL6" s="77"/>
      <c r="AM6" s="92">
        <f t="shared" si="5"/>
        <v>0</v>
      </c>
      <c r="AN6" s="77"/>
      <c r="AO6" s="92">
        <f t="shared" si="6"/>
        <v>0</v>
      </c>
      <c r="AP6" s="93">
        <f t="shared" si="23"/>
        <v>3</v>
      </c>
      <c r="AQ6" s="77"/>
      <c r="AR6" s="77"/>
      <c r="AS6" s="77"/>
      <c r="AT6" s="44">
        <f t="shared" si="24"/>
        <v>19.183333333333337</v>
      </c>
      <c r="AU6" s="78"/>
      <c r="AV6" s="5"/>
      <c r="AW6" s="5"/>
      <c r="AX6" s="5"/>
      <c r="AY6" s="5"/>
      <c r="AZ6" s="24">
        <f>VLOOKUP(C6,Employees!D:I,6,FALSE)</f>
        <v>210517</v>
      </c>
      <c r="BA6" s="5">
        <f t="shared" si="25"/>
        <v>7.3166666666666673</v>
      </c>
      <c r="BB6" s="5">
        <f t="shared" si="26"/>
        <v>0.5</v>
      </c>
      <c r="BC6" s="5">
        <f t="shared" si="27"/>
        <v>6.8166666666666673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7.7166666666666686</v>
      </c>
      <c r="BV6" s="5">
        <f t="shared" si="45"/>
        <v>0.5</v>
      </c>
      <c r="BW6" s="5">
        <f t="shared" si="46"/>
        <v>7.2166666666666686</v>
      </c>
      <c r="BX6" s="5">
        <f t="shared" si="47"/>
        <v>0</v>
      </c>
      <c r="BY6" s="5">
        <f t="shared" si="11"/>
        <v>0</v>
      </c>
      <c r="BZ6" s="5">
        <f t="shared" si="48"/>
        <v>5.6500000000000012</v>
      </c>
      <c r="CA6" s="5">
        <f t="shared" si="49"/>
        <v>0.5</v>
      </c>
      <c r="CB6" s="5">
        <f t="shared" si="50"/>
        <v>5.1500000000000012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210506</v>
      </c>
      <c r="B7" s="81" t="s">
        <v>531</v>
      </c>
      <c r="C7" s="106" t="s">
        <v>1383</v>
      </c>
      <c r="D7" s="75"/>
      <c r="E7" s="75"/>
      <c r="F7" s="90">
        <f t="shared" si="15"/>
        <v>0</v>
      </c>
      <c r="G7" s="75">
        <v>0.5541666666666667</v>
      </c>
      <c r="H7" s="75">
        <v>0.85416666666666663</v>
      </c>
      <c r="I7" s="90">
        <f t="shared" si="16"/>
        <v>6.6999999999999984</v>
      </c>
      <c r="J7" s="84"/>
      <c r="K7" s="84"/>
      <c r="L7" s="90">
        <f t="shared" si="17"/>
        <v>0</v>
      </c>
      <c r="M7" s="84"/>
      <c r="N7" s="84"/>
      <c r="O7" s="90">
        <f t="shared" si="18"/>
        <v>0</v>
      </c>
      <c r="P7" s="75"/>
      <c r="Q7" s="75"/>
      <c r="R7" s="90">
        <f t="shared" si="19"/>
        <v>0</v>
      </c>
      <c r="S7" s="84"/>
      <c r="T7" s="84"/>
      <c r="U7" s="90">
        <f t="shared" si="20"/>
        <v>0</v>
      </c>
      <c r="V7" s="84"/>
      <c r="W7" s="84"/>
      <c r="X7" s="90">
        <f t="shared" si="21"/>
        <v>0</v>
      </c>
      <c r="Y7" s="90"/>
      <c r="Z7" s="90"/>
      <c r="AA7" s="90"/>
      <c r="AB7" s="90">
        <f t="shared" si="22"/>
        <v>6.6999999999999984</v>
      </c>
      <c r="AC7" s="91"/>
      <c r="AD7" s="78"/>
      <c r="AE7" s="92">
        <f t="shared" si="1"/>
        <v>6.6999999999999984</v>
      </c>
      <c r="AF7" s="77"/>
      <c r="AG7" s="92">
        <f t="shared" si="2"/>
        <v>0</v>
      </c>
      <c r="AH7" s="77"/>
      <c r="AI7" s="92">
        <f t="shared" si="3"/>
        <v>0</v>
      </c>
      <c r="AJ7" s="77"/>
      <c r="AK7" s="92">
        <f t="shared" si="4"/>
        <v>0</v>
      </c>
      <c r="AL7" s="77"/>
      <c r="AM7" s="92">
        <f t="shared" si="5"/>
        <v>0</v>
      </c>
      <c r="AN7" s="77"/>
      <c r="AO7" s="92">
        <f t="shared" si="6"/>
        <v>0</v>
      </c>
      <c r="AP7" s="93">
        <f t="shared" si="23"/>
        <v>1</v>
      </c>
      <c r="AQ7" s="77"/>
      <c r="AR7" s="77"/>
      <c r="AS7" s="77"/>
      <c r="AT7" s="44">
        <f t="shared" si="24"/>
        <v>6.6999999999999984</v>
      </c>
      <c r="AU7" s="78" t="s">
        <v>1638</v>
      </c>
      <c r="AV7" s="5"/>
      <c r="AW7" s="5"/>
      <c r="AX7" s="5"/>
      <c r="AY7" s="5"/>
      <c r="AZ7" s="24">
        <f>VLOOKUP(C7,Employees!D:I,6,FALSE)</f>
        <v>210506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7.1999999999999984</v>
      </c>
      <c r="BG7" s="5">
        <f t="shared" si="30"/>
        <v>0.5</v>
      </c>
      <c r="BH7" s="5">
        <f t="shared" si="31"/>
        <v>6.6999999999999984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 t="str">
        <f t="shared" si="0"/>
        <v/>
      </c>
      <c r="B8" s="81"/>
      <c r="C8" s="107"/>
      <c r="D8" s="75"/>
      <c r="E8" s="75"/>
      <c r="F8" s="90">
        <f t="shared" si="15"/>
        <v>0</v>
      </c>
      <c r="G8" s="75"/>
      <c r="H8" s="75"/>
      <c r="I8" s="90">
        <f t="shared" si="16"/>
        <v>0</v>
      </c>
      <c r="J8" s="76"/>
      <c r="K8" s="75"/>
      <c r="L8" s="90">
        <f t="shared" si="17"/>
        <v>0</v>
      </c>
      <c r="M8" s="84"/>
      <c r="N8" s="84"/>
      <c r="O8" s="90">
        <f t="shared" si="18"/>
        <v>0</v>
      </c>
      <c r="P8" s="84"/>
      <c r="Q8" s="84"/>
      <c r="R8" s="90">
        <f t="shared" si="19"/>
        <v>0</v>
      </c>
      <c r="S8" s="75"/>
      <c r="T8" s="75"/>
      <c r="U8" s="90">
        <f t="shared" si="20"/>
        <v>0</v>
      </c>
      <c r="V8" s="84"/>
      <c r="W8" s="84"/>
      <c r="X8" s="90">
        <f t="shared" si="21"/>
        <v>0</v>
      </c>
      <c r="Y8" s="90"/>
      <c r="Z8" s="90"/>
      <c r="AA8" s="90"/>
      <c r="AB8" s="90">
        <f t="shared" si="22"/>
        <v>0</v>
      </c>
      <c r="AC8" s="91"/>
      <c r="AD8" s="78"/>
      <c r="AE8" s="92">
        <f t="shared" si="1"/>
        <v>0</v>
      </c>
      <c r="AF8" s="77"/>
      <c r="AG8" s="92">
        <f t="shared" si="2"/>
        <v>0</v>
      </c>
      <c r="AH8" s="77"/>
      <c r="AI8" s="92">
        <f t="shared" si="3"/>
        <v>0</v>
      </c>
      <c r="AJ8" s="77"/>
      <c r="AK8" s="92">
        <f t="shared" si="4"/>
        <v>0</v>
      </c>
      <c r="AL8" s="77"/>
      <c r="AM8" s="92">
        <f t="shared" si="5"/>
        <v>0</v>
      </c>
      <c r="AN8" s="77"/>
      <c r="AO8" s="92">
        <f t="shared" si="6"/>
        <v>0</v>
      </c>
      <c r="AP8" s="93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81"/>
      <c r="C9" s="105"/>
      <c r="D9" s="84"/>
      <c r="E9" s="84"/>
      <c r="F9" s="90">
        <f t="shared" si="15"/>
        <v>0</v>
      </c>
      <c r="G9" s="75"/>
      <c r="H9" s="75"/>
      <c r="I9" s="90">
        <f t="shared" si="16"/>
        <v>0</v>
      </c>
      <c r="J9" s="75"/>
      <c r="K9" s="75"/>
      <c r="L9" s="90">
        <f t="shared" si="17"/>
        <v>0</v>
      </c>
      <c r="M9" s="75"/>
      <c r="N9" s="75"/>
      <c r="O9" s="90">
        <f t="shared" si="18"/>
        <v>0</v>
      </c>
      <c r="P9" s="75"/>
      <c r="Q9" s="75"/>
      <c r="R9" s="90">
        <f t="shared" si="19"/>
        <v>0</v>
      </c>
      <c r="S9" s="84"/>
      <c r="T9" s="84"/>
      <c r="U9" s="90">
        <f t="shared" si="20"/>
        <v>0</v>
      </c>
      <c r="V9" s="75"/>
      <c r="W9" s="75"/>
      <c r="X9" s="90">
        <f t="shared" si="21"/>
        <v>0</v>
      </c>
      <c r="Y9" s="90"/>
      <c r="Z9" s="90"/>
      <c r="AA9" s="90"/>
      <c r="AB9" s="90">
        <f t="shared" si="22"/>
        <v>0</v>
      </c>
      <c r="AC9" s="91"/>
      <c r="AD9" s="78"/>
      <c r="AE9" s="92">
        <f t="shared" si="1"/>
        <v>0</v>
      </c>
      <c r="AF9" s="77"/>
      <c r="AG9" s="92">
        <f t="shared" si="2"/>
        <v>0</v>
      </c>
      <c r="AH9" s="77"/>
      <c r="AI9" s="92">
        <f t="shared" si="3"/>
        <v>0</v>
      </c>
      <c r="AJ9" s="77"/>
      <c r="AK9" s="92">
        <f t="shared" si="4"/>
        <v>0</v>
      </c>
      <c r="AL9" s="77"/>
      <c r="AM9" s="92">
        <f t="shared" si="5"/>
        <v>0</v>
      </c>
      <c r="AN9" s="77"/>
      <c r="AO9" s="92">
        <f t="shared" si="6"/>
        <v>0</v>
      </c>
      <c r="AP9" s="93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108"/>
      <c r="D10" s="75"/>
      <c r="E10" s="75"/>
      <c r="F10" s="90">
        <f t="shared" si="15"/>
        <v>0</v>
      </c>
      <c r="G10" s="84"/>
      <c r="H10" s="84"/>
      <c r="I10" s="90">
        <f t="shared" si="16"/>
        <v>0</v>
      </c>
      <c r="J10" s="76"/>
      <c r="K10" s="75"/>
      <c r="L10" s="90">
        <f t="shared" si="17"/>
        <v>0</v>
      </c>
      <c r="M10" s="84"/>
      <c r="N10" s="84"/>
      <c r="O10" s="90">
        <f t="shared" si="18"/>
        <v>0</v>
      </c>
      <c r="P10" s="75"/>
      <c r="Q10" s="75"/>
      <c r="R10" s="90">
        <f t="shared" si="19"/>
        <v>0</v>
      </c>
      <c r="S10" s="84"/>
      <c r="T10" s="84"/>
      <c r="U10" s="90">
        <f t="shared" si="20"/>
        <v>0</v>
      </c>
      <c r="V10" s="84"/>
      <c r="W10" s="84"/>
      <c r="X10" s="90">
        <f t="shared" si="21"/>
        <v>0</v>
      </c>
      <c r="Y10" s="90"/>
      <c r="Z10" s="90"/>
      <c r="AA10" s="90"/>
      <c r="AB10" s="90">
        <f t="shared" si="22"/>
        <v>0</v>
      </c>
      <c r="AC10" s="91"/>
      <c r="AD10" s="78"/>
      <c r="AE10" s="92">
        <f t="shared" si="1"/>
        <v>0</v>
      </c>
      <c r="AF10" s="77"/>
      <c r="AG10" s="92">
        <f t="shared" si="2"/>
        <v>0</v>
      </c>
      <c r="AH10" s="77"/>
      <c r="AI10" s="92">
        <f t="shared" si="3"/>
        <v>0</v>
      </c>
      <c r="AJ10" s="77"/>
      <c r="AK10" s="92">
        <f t="shared" si="4"/>
        <v>0</v>
      </c>
      <c r="AL10" s="77"/>
      <c r="AM10" s="92">
        <f t="shared" si="5"/>
        <v>0</v>
      </c>
      <c r="AN10" s="77"/>
      <c r="AO10" s="92">
        <f t="shared" si="6"/>
        <v>0</v>
      </c>
      <c r="AP10" s="93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108"/>
      <c r="D11" s="75"/>
      <c r="E11" s="75"/>
      <c r="F11" s="90">
        <f t="shared" si="15"/>
        <v>0</v>
      </c>
      <c r="G11" s="75"/>
      <c r="H11" s="75"/>
      <c r="I11" s="90">
        <f t="shared" si="16"/>
        <v>0</v>
      </c>
      <c r="J11" s="76"/>
      <c r="K11" s="75"/>
      <c r="L11" s="90">
        <f t="shared" si="17"/>
        <v>0</v>
      </c>
      <c r="M11" s="75"/>
      <c r="N11" s="75"/>
      <c r="O11" s="90">
        <f t="shared" si="18"/>
        <v>0</v>
      </c>
      <c r="P11" s="75"/>
      <c r="Q11" s="75"/>
      <c r="R11" s="90">
        <f t="shared" si="19"/>
        <v>0</v>
      </c>
      <c r="S11" s="75"/>
      <c r="T11" s="75"/>
      <c r="U11" s="90">
        <f t="shared" si="20"/>
        <v>0</v>
      </c>
      <c r="V11" s="75"/>
      <c r="W11" s="75"/>
      <c r="X11" s="90">
        <f t="shared" si="21"/>
        <v>0</v>
      </c>
      <c r="Y11" s="90"/>
      <c r="Z11" s="90"/>
      <c r="AA11" s="90"/>
      <c r="AB11" s="90">
        <f t="shared" si="22"/>
        <v>0</v>
      </c>
      <c r="AC11" s="91"/>
      <c r="AD11" s="78"/>
      <c r="AE11" s="92">
        <f t="shared" si="1"/>
        <v>0</v>
      </c>
      <c r="AF11" s="77"/>
      <c r="AG11" s="92">
        <f t="shared" si="2"/>
        <v>0</v>
      </c>
      <c r="AH11" s="77"/>
      <c r="AI11" s="92">
        <f t="shared" si="3"/>
        <v>0</v>
      </c>
      <c r="AJ11" s="77"/>
      <c r="AK11" s="92">
        <f t="shared" si="4"/>
        <v>0</v>
      </c>
      <c r="AL11" s="77"/>
      <c r="AM11" s="92">
        <f t="shared" si="5"/>
        <v>0</v>
      </c>
      <c r="AN11" s="77"/>
      <c r="AO11" s="92">
        <f t="shared" si="6"/>
        <v>0</v>
      </c>
      <c r="AP11" s="93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109"/>
      <c r="D12" s="75"/>
      <c r="E12" s="75"/>
      <c r="F12" s="90">
        <f t="shared" si="15"/>
        <v>0</v>
      </c>
      <c r="G12" s="75"/>
      <c r="H12" s="75"/>
      <c r="I12" s="90">
        <f t="shared" si="16"/>
        <v>0</v>
      </c>
      <c r="J12" s="76"/>
      <c r="K12" s="75"/>
      <c r="L12" s="90">
        <f t="shared" si="17"/>
        <v>0</v>
      </c>
      <c r="M12" s="75"/>
      <c r="N12" s="75"/>
      <c r="O12" s="90">
        <f t="shared" si="18"/>
        <v>0</v>
      </c>
      <c r="P12" s="75"/>
      <c r="Q12" s="75"/>
      <c r="R12" s="90">
        <f t="shared" si="19"/>
        <v>0</v>
      </c>
      <c r="S12" s="75"/>
      <c r="T12" s="75"/>
      <c r="U12" s="90">
        <f t="shared" si="20"/>
        <v>0</v>
      </c>
      <c r="V12" s="75"/>
      <c r="W12" s="75"/>
      <c r="X12" s="90">
        <f t="shared" si="21"/>
        <v>0</v>
      </c>
      <c r="Y12" s="90"/>
      <c r="Z12" s="90"/>
      <c r="AA12" s="90"/>
      <c r="AB12" s="90">
        <f t="shared" si="22"/>
        <v>0</v>
      </c>
      <c r="AC12" s="91"/>
      <c r="AD12" s="78"/>
      <c r="AE12" s="92">
        <f t="shared" si="1"/>
        <v>0</v>
      </c>
      <c r="AF12" s="77"/>
      <c r="AG12" s="92">
        <f t="shared" si="2"/>
        <v>0</v>
      </c>
      <c r="AH12" s="77"/>
      <c r="AI12" s="92">
        <f t="shared" si="3"/>
        <v>0</v>
      </c>
      <c r="AJ12" s="77"/>
      <c r="AK12" s="92">
        <f t="shared" si="4"/>
        <v>0</v>
      </c>
      <c r="AL12" s="77"/>
      <c r="AM12" s="92">
        <f t="shared" si="5"/>
        <v>0</v>
      </c>
      <c r="AN12" s="77"/>
      <c r="AO12" s="92">
        <f t="shared" si="6"/>
        <v>0</v>
      </c>
      <c r="AP12" s="93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101"/>
      <c r="D13" s="75"/>
      <c r="E13" s="75"/>
      <c r="F13" s="90">
        <f t="shared" si="15"/>
        <v>0</v>
      </c>
      <c r="G13" s="75"/>
      <c r="H13" s="75"/>
      <c r="I13" s="90">
        <f t="shared" si="16"/>
        <v>0</v>
      </c>
      <c r="J13" s="84"/>
      <c r="K13" s="84"/>
      <c r="L13" s="90">
        <f t="shared" si="17"/>
        <v>0</v>
      </c>
      <c r="M13" s="84"/>
      <c r="N13" s="84"/>
      <c r="O13" s="90">
        <f t="shared" si="18"/>
        <v>0</v>
      </c>
      <c r="P13" s="84"/>
      <c r="Q13" s="84"/>
      <c r="R13" s="90">
        <f t="shared" si="19"/>
        <v>0</v>
      </c>
      <c r="S13" s="84"/>
      <c r="T13" s="84"/>
      <c r="U13" s="90">
        <f t="shared" si="20"/>
        <v>0</v>
      </c>
      <c r="V13" s="75"/>
      <c r="W13" s="75"/>
      <c r="X13" s="90">
        <f t="shared" si="21"/>
        <v>0</v>
      </c>
      <c r="Y13" s="90"/>
      <c r="Z13" s="90"/>
      <c r="AA13" s="90"/>
      <c r="AB13" s="90">
        <f t="shared" si="22"/>
        <v>0</v>
      </c>
      <c r="AC13" s="91"/>
      <c r="AD13" s="78"/>
      <c r="AE13" s="92">
        <f t="shared" si="1"/>
        <v>0</v>
      </c>
      <c r="AF13" s="77"/>
      <c r="AG13" s="92">
        <f t="shared" si="2"/>
        <v>0</v>
      </c>
      <c r="AH13" s="77"/>
      <c r="AI13" s="92">
        <f t="shared" si="3"/>
        <v>0</v>
      </c>
      <c r="AJ13" s="77"/>
      <c r="AK13" s="92">
        <f t="shared" si="4"/>
        <v>0</v>
      </c>
      <c r="AL13" s="77"/>
      <c r="AM13" s="92">
        <f t="shared" si="5"/>
        <v>0</v>
      </c>
      <c r="AN13" s="77"/>
      <c r="AO13" s="92">
        <f t="shared" si="6"/>
        <v>0</v>
      </c>
      <c r="AP13" s="93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101"/>
      <c r="D14" s="75"/>
      <c r="E14" s="75"/>
      <c r="F14" s="90">
        <f t="shared" si="15"/>
        <v>0</v>
      </c>
      <c r="G14" s="103"/>
      <c r="H14" s="75"/>
      <c r="I14" s="90">
        <f t="shared" si="16"/>
        <v>0</v>
      </c>
      <c r="J14" s="75"/>
      <c r="K14" s="75"/>
      <c r="L14" s="90">
        <f t="shared" si="17"/>
        <v>0</v>
      </c>
      <c r="M14" s="75"/>
      <c r="N14" s="75"/>
      <c r="O14" s="90">
        <f t="shared" si="18"/>
        <v>0</v>
      </c>
      <c r="P14" s="75"/>
      <c r="Q14" s="75"/>
      <c r="R14" s="90">
        <f t="shared" si="19"/>
        <v>0</v>
      </c>
      <c r="S14" s="75"/>
      <c r="T14" s="75"/>
      <c r="U14" s="90">
        <f t="shared" si="20"/>
        <v>0</v>
      </c>
      <c r="V14" s="75"/>
      <c r="W14" s="75"/>
      <c r="X14" s="90">
        <f t="shared" si="21"/>
        <v>0</v>
      </c>
      <c r="Y14" s="90"/>
      <c r="Z14" s="90"/>
      <c r="AA14" s="90"/>
      <c r="AB14" s="90">
        <f t="shared" si="22"/>
        <v>0</v>
      </c>
      <c r="AC14" s="91"/>
      <c r="AD14" s="78"/>
      <c r="AE14" s="92">
        <f t="shared" si="1"/>
        <v>0</v>
      </c>
      <c r="AF14" s="77"/>
      <c r="AG14" s="92">
        <f t="shared" si="2"/>
        <v>0</v>
      </c>
      <c r="AH14" s="77"/>
      <c r="AI14" s="92">
        <f t="shared" si="3"/>
        <v>0</v>
      </c>
      <c r="AJ14" s="77"/>
      <c r="AK14" s="92">
        <f t="shared" si="4"/>
        <v>0</v>
      </c>
      <c r="AL14" s="77"/>
      <c r="AM14" s="92">
        <f t="shared" si="5"/>
        <v>0</v>
      </c>
      <c r="AN14" s="77"/>
      <c r="AO14" s="92">
        <f t="shared" si="6"/>
        <v>0</v>
      </c>
      <c r="AP14" s="93">
        <f t="shared" si="23"/>
        <v>0</v>
      </c>
      <c r="AQ14" s="77"/>
      <c r="AR14" s="77"/>
      <c r="AS14" s="77"/>
      <c r="AT14" s="44">
        <f t="shared" si="24"/>
        <v>0</v>
      </c>
      <c r="AU14" s="78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5"/>
      <c r="D15" s="75"/>
      <c r="E15" s="75"/>
      <c r="F15" s="90">
        <f t="shared" si="15"/>
        <v>0</v>
      </c>
      <c r="G15" s="75"/>
      <c r="H15" s="75"/>
      <c r="I15" s="90">
        <f t="shared" si="16"/>
        <v>0</v>
      </c>
      <c r="J15" s="75"/>
      <c r="K15" s="75"/>
      <c r="L15" s="90">
        <f t="shared" si="17"/>
        <v>0</v>
      </c>
      <c r="M15" s="75"/>
      <c r="N15" s="75"/>
      <c r="O15" s="90">
        <f t="shared" si="18"/>
        <v>0</v>
      </c>
      <c r="P15" s="75"/>
      <c r="Q15" s="75"/>
      <c r="R15" s="90">
        <f t="shared" si="19"/>
        <v>0</v>
      </c>
      <c r="S15" s="75"/>
      <c r="T15" s="75"/>
      <c r="U15" s="90">
        <f t="shared" si="20"/>
        <v>0</v>
      </c>
      <c r="V15" s="75"/>
      <c r="W15" s="75"/>
      <c r="X15" s="90">
        <f t="shared" si="21"/>
        <v>0</v>
      </c>
      <c r="Y15" s="90"/>
      <c r="Z15" s="90"/>
      <c r="AA15" s="90"/>
      <c r="AB15" s="90">
        <f t="shared" si="22"/>
        <v>0</v>
      </c>
      <c r="AC15" s="91"/>
      <c r="AD15" s="77"/>
      <c r="AE15" s="92">
        <f t="shared" si="1"/>
        <v>0</v>
      </c>
      <c r="AF15" s="77"/>
      <c r="AG15" s="92">
        <f t="shared" si="2"/>
        <v>0</v>
      </c>
      <c r="AH15" s="77"/>
      <c r="AI15" s="92">
        <f t="shared" si="3"/>
        <v>0</v>
      </c>
      <c r="AJ15" s="77"/>
      <c r="AK15" s="92">
        <f t="shared" si="4"/>
        <v>0</v>
      </c>
      <c r="AL15" s="77"/>
      <c r="AM15" s="92">
        <f t="shared" si="5"/>
        <v>0</v>
      </c>
      <c r="AN15" s="77"/>
      <c r="AO15" s="92">
        <f t="shared" si="6"/>
        <v>0</v>
      </c>
      <c r="AP15" s="93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5"/>
      <c r="D16" s="75"/>
      <c r="E16" s="75"/>
      <c r="F16" s="90">
        <f t="shared" si="15"/>
        <v>0</v>
      </c>
      <c r="G16" s="84"/>
      <c r="H16" s="84"/>
      <c r="I16" s="90">
        <f t="shared" si="16"/>
        <v>0</v>
      </c>
      <c r="J16" s="84"/>
      <c r="K16" s="84"/>
      <c r="L16" s="90">
        <f t="shared" si="17"/>
        <v>0</v>
      </c>
      <c r="M16" s="84"/>
      <c r="N16" s="84"/>
      <c r="O16" s="90">
        <f t="shared" si="18"/>
        <v>0</v>
      </c>
      <c r="P16" s="75"/>
      <c r="Q16" s="75"/>
      <c r="R16" s="90">
        <f t="shared" si="19"/>
        <v>0</v>
      </c>
      <c r="S16" s="75"/>
      <c r="T16" s="75"/>
      <c r="U16" s="90">
        <f t="shared" si="20"/>
        <v>0</v>
      </c>
      <c r="V16" s="84"/>
      <c r="W16" s="84"/>
      <c r="X16" s="90">
        <f t="shared" si="21"/>
        <v>0</v>
      </c>
      <c r="Y16" s="90"/>
      <c r="Z16" s="90"/>
      <c r="AA16" s="90"/>
      <c r="AB16" s="90">
        <f t="shared" si="22"/>
        <v>0</v>
      </c>
      <c r="AC16" s="91"/>
      <c r="AD16" s="77"/>
      <c r="AE16" s="92">
        <f t="shared" si="1"/>
        <v>0</v>
      </c>
      <c r="AF16" s="77"/>
      <c r="AG16" s="92">
        <f t="shared" si="2"/>
        <v>0</v>
      </c>
      <c r="AH16" s="77"/>
      <c r="AI16" s="92">
        <f t="shared" si="3"/>
        <v>0</v>
      </c>
      <c r="AJ16" s="77"/>
      <c r="AK16" s="92">
        <f t="shared" si="4"/>
        <v>0</v>
      </c>
      <c r="AL16" s="77"/>
      <c r="AM16" s="92">
        <f t="shared" si="5"/>
        <v>0</v>
      </c>
      <c r="AN16" s="77"/>
      <c r="AO16" s="92">
        <f t="shared" si="6"/>
        <v>0</v>
      </c>
      <c r="AP16" s="93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5"/>
      <c r="D17" s="75"/>
      <c r="E17" s="75"/>
      <c r="F17" s="90">
        <f t="shared" si="15"/>
        <v>0</v>
      </c>
      <c r="G17" s="75"/>
      <c r="H17" s="75"/>
      <c r="I17" s="90">
        <f t="shared" si="16"/>
        <v>0</v>
      </c>
      <c r="J17" s="75"/>
      <c r="K17" s="75"/>
      <c r="L17" s="90">
        <f t="shared" si="17"/>
        <v>0</v>
      </c>
      <c r="M17" s="75"/>
      <c r="N17" s="75"/>
      <c r="O17" s="90">
        <f t="shared" si="18"/>
        <v>0</v>
      </c>
      <c r="P17" s="75"/>
      <c r="Q17" s="75"/>
      <c r="R17" s="90">
        <f t="shared" si="19"/>
        <v>0</v>
      </c>
      <c r="S17" s="84"/>
      <c r="T17" s="84"/>
      <c r="U17" s="90">
        <f t="shared" si="20"/>
        <v>0</v>
      </c>
      <c r="V17" s="75"/>
      <c r="W17" s="75"/>
      <c r="X17" s="90">
        <f t="shared" si="21"/>
        <v>0</v>
      </c>
      <c r="Y17" s="90"/>
      <c r="Z17" s="90"/>
      <c r="AA17" s="90"/>
      <c r="AB17" s="90">
        <f t="shared" si="22"/>
        <v>0</v>
      </c>
      <c r="AC17" s="91"/>
      <c r="AD17" s="77"/>
      <c r="AE17" s="92">
        <f t="shared" si="1"/>
        <v>0</v>
      </c>
      <c r="AF17" s="77"/>
      <c r="AG17" s="92">
        <f t="shared" si="2"/>
        <v>0</v>
      </c>
      <c r="AH17" s="77"/>
      <c r="AI17" s="92">
        <f t="shared" si="3"/>
        <v>0</v>
      </c>
      <c r="AJ17" s="77"/>
      <c r="AK17" s="92">
        <f t="shared" si="4"/>
        <v>0</v>
      </c>
      <c r="AL17" s="77"/>
      <c r="AM17" s="92">
        <f t="shared" si="5"/>
        <v>0</v>
      </c>
      <c r="AN17" s="77"/>
      <c r="AO17" s="92">
        <f t="shared" si="6"/>
        <v>0</v>
      </c>
      <c r="AP17" s="93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0">
        <f t="shared" si="15"/>
        <v>0</v>
      </c>
      <c r="G18" s="75"/>
      <c r="H18" s="75"/>
      <c r="I18" s="90">
        <f t="shared" si="16"/>
        <v>0</v>
      </c>
      <c r="J18" s="75"/>
      <c r="K18" s="75"/>
      <c r="L18" s="90">
        <f t="shared" si="17"/>
        <v>0</v>
      </c>
      <c r="M18" s="75"/>
      <c r="N18" s="75"/>
      <c r="O18" s="90">
        <f t="shared" si="18"/>
        <v>0</v>
      </c>
      <c r="P18" s="75"/>
      <c r="Q18" s="75"/>
      <c r="R18" s="90">
        <f t="shared" si="19"/>
        <v>0</v>
      </c>
      <c r="S18" s="75"/>
      <c r="T18" s="75"/>
      <c r="U18" s="90">
        <f t="shared" si="20"/>
        <v>0</v>
      </c>
      <c r="V18" s="75"/>
      <c r="W18" s="75"/>
      <c r="X18" s="90">
        <f t="shared" si="21"/>
        <v>0</v>
      </c>
      <c r="Y18" s="90"/>
      <c r="Z18" s="90"/>
      <c r="AA18" s="90"/>
      <c r="AB18" s="90">
        <f t="shared" si="22"/>
        <v>0</v>
      </c>
      <c r="AC18" s="91"/>
      <c r="AD18" s="77"/>
      <c r="AE18" s="92">
        <f t="shared" si="1"/>
        <v>0</v>
      </c>
      <c r="AF18" s="77"/>
      <c r="AG18" s="92">
        <f t="shared" si="2"/>
        <v>0</v>
      </c>
      <c r="AH18" s="77"/>
      <c r="AI18" s="92">
        <f t="shared" si="3"/>
        <v>0</v>
      </c>
      <c r="AJ18" s="77"/>
      <c r="AK18" s="92">
        <f t="shared" si="4"/>
        <v>0</v>
      </c>
      <c r="AL18" s="77"/>
      <c r="AM18" s="92">
        <f t="shared" si="5"/>
        <v>0</v>
      </c>
      <c r="AN18" s="77"/>
      <c r="AO18" s="92">
        <f t="shared" si="6"/>
        <v>0</v>
      </c>
      <c r="AP18" s="93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0">
        <f t="shared" si="15"/>
        <v>0</v>
      </c>
      <c r="G19" s="75"/>
      <c r="H19" s="75"/>
      <c r="I19" s="90">
        <f t="shared" si="16"/>
        <v>0</v>
      </c>
      <c r="J19" s="75"/>
      <c r="K19" s="75"/>
      <c r="L19" s="90">
        <f t="shared" si="17"/>
        <v>0</v>
      </c>
      <c r="M19" s="75"/>
      <c r="N19" s="75"/>
      <c r="O19" s="90">
        <f t="shared" si="18"/>
        <v>0</v>
      </c>
      <c r="P19" s="75"/>
      <c r="Q19" s="75"/>
      <c r="R19" s="90">
        <f t="shared" si="19"/>
        <v>0</v>
      </c>
      <c r="S19" s="75"/>
      <c r="T19" s="75"/>
      <c r="U19" s="90">
        <f t="shared" si="20"/>
        <v>0</v>
      </c>
      <c r="V19" s="75"/>
      <c r="W19" s="75"/>
      <c r="X19" s="90">
        <f t="shared" si="21"/>
        <v>0</v>
      </c>
      <c r="Y19" s="90"/>
      <c r="Z19" s="90"/>
      <c r="AA19" s="90"/>
      <c r="AB19" s="90">
        <f t="shared" si="22"/>
        <v>0</v>
      </c>
      <c r="AC19" s="91"/>
      <c r="AD19" s="77"/>
      <c r="AE19" s="92">
        <f t="shared" si="1"/>
        <v>0</v>
      </c>
      <c r="AF19" s="77"/>
      <c r="AG19" s="92">
        <f t="shared" si="2"/>
        <v>0</v>
      </c>
      <c r="AH19" s="77"/>
      <c r="AI19" s="92">
        <f t="shared" si="3"/>
        <v>0</v>
      </c>
      <c r="AJ19" s="77"/>
      <c r="AK19" s="92">
        <f t="shared" si="4"/>
        <v>0</v>
      </c>
      <c r="AL19" s="77"/>
      <c r="AM19" s="92">
        <f t="shared" si="5"/>
        <v>0</v>
      </c>
      <c r="AN19" s="77"/>
      <c r="AO19" s="92">
        <f t="shared" si="6"/>
        <v>0</v>
      </c>
      <c r="AP19" s="93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0">
        <f t="shared" si="15"/>
        <v>0</v>
      </c>
      <c r="G20" s="75"/>
      <c r="H20" s="75"/>
      <c r="I20" s="90">
        <f t="shared" si="16"/>
        <v>0</v>
      </c>
      <c r="J20" s="75"/>
      <c r="K20" s="75"/>
      <c r="L20" s="90">
        <f t="shared" si="17"/>
        <v>0</v>
      </c>
      <c r="M20" s="75"/>
      <c r="N20" s="75"/>
      <c r="O20" s="90">
        <f t="shared" si="18"/>
        <v>0</v>
      </c>
      <c r="P20" s="75"/>
      <c r="Q20" s="75"/>
      <c r="R20" s="90">
        <f t="shared" si="19"/>
        <v>0</v>
      </c>
      <c r="S20" s="75"/>
      <c r="T20" s="75"/>
      <c r="U20" s="90">
        <f t="shared" si="20"/>
        <v>0</v>
      </c>
      <c r="V20" s="75"/>
      <c r="W20" s="75"/>
      <c r="X20" s="90">
        <f t="shared" si="21"/>
        <v>0</v>
      </c>
      <c r="Y20" s="90"/>
      <c r="Z20" s="90"/>
      <c r="AA20" s="90"/>
      <c r="AB20" s="90">
        <f t="shared" si="22"/>
        <v>0</v>
      </c>
      <c r="AC20" s="91"/>
      <c r="AD20" s="77"/>
      <c r="AE20" s="92">
        <f t="shared" si="1"/>
        <v>0</v>
      </c>
      <c r="AF20" s="77"/>
      <c r="AG20" s="92">
        <f t="shared" si="2"/>
        <v>0</v>
      </c>
      <c r="AH20" s="77"/>
      <c r="AI20" s="92">
        <f t="shared" si="3"/>
        <v>0</v>
      </c>
      <c r="AJ20" s="77"/>
      <c r="AK20" s="92">
        <f t="shared" si="4"/>
        <v>0</v>
      </c>
      <c r="AL20" s="77"/>
      <c r="AM20" s="92">
        <f t="shared" si="5"/>
        <v>0</v>
      </c>
      <c r="AN20" s="77"/>
      <c r="AO20" s="92">
        <f t="shared" si="6"/>
        <v>0</v>
      </c>
      <c r="AP20" s="93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0">
        <f t="shared" ref="F21:F29" si="59">BA21-BB21</f>
        <v>0</v>
      </c>
      <c r="G21" s="75"/>
      <c r="H21" s="75"/>
      <c r="I21" s="90">
        <f t="shared" ref="I21:I29" si="60">BF21-BG21</f>
        <v>0</v>
      </c>
      <c r="J21" s="75"/>
      <c r="K21" s="75"/>
      <c r="L21" s="90">
        <f t="shared" ref="L21:L29" si="61">BK21-BL21</f>
        <v>0</v>
      </c>
      <c r="M21" s="75"/>
      <c r="N21" s="75"/>
      <c r="O21" s="90">
        <f t="shared" ref="O21:O29" si="62">BP21-BQ21</f>
        <v>0</v>
      </c>
      <c r="P21" s="75"/>
      <c r="Q21" s="75"/>
      <c r="R21" s="90">
        <f t="shared" ref="R21:R29" si="63">BU21-BV21</f>
        <v>0</v>
      </c>
      <c r="S21" s="75"/>
      <c r="T21" s="75"/>
      <c r="U21" s="90">
        <f t="shared" ref="U21:U29" si="64">BZ21-CA21</f>
        <v>0</v>
      </c>
      <c r="V21" s="75"/>
      <c r="W21" s="75"/>
      <c r="X21" s="90">
        <f t="shared" ref="X21:X29" si="65">CE21-CF21</f>
        <v>0</v>
      </c>
      <c r="Y21" s="90"/>
      <c r="Z21" s="90"/>
      <c r="AA21" s="90"/>
      <c r="AB21" s="90">
        <f t="shared" ref="AB21:AB29" si="66">SUM(F21,I21,L21,O21,R21,U21,X21)</f>
        <v>0</v>
      </c>
      <c r="AC21" s="91"/>
      <c r="AD21" s="77"/>
      <c r="AE21" s="92">
        <f t="shared" ref="AE21:AE29" si="67">SUMIF($BC$1:$CI$1,AE$1,$BC21:$CI21)+AD21</f>
        <v>0</v>
      </c>
      <c r="AF21" s="77"/>
      <c r="AG21" s="92">
        <f t="shared" ref="AG21:AG29" si="68">SUMIF($BC$1:$CI$1,AG$1,$BC21:$CI21)+AF21</f>
        <v>0</v>
      </c>
      <c r="AH21" s="77"/>
      <c r="AI21" s="92">
        <f t="shared" ref="AI21:AI29" si="69">SUMIF($BC$1:$CI$1,AI$1,$BC21:$CI21)+AH21</f>
        <v>0</v>
      </c>
      <c r="AJ21" s="77"/>
      <c r="AK21" s="92">
        <f t="shared" ref="AK21:AK29" si="70">SUMIF($BC$1:$CI$1,AK$1,$BC21:$CI21)+AJ21</f>
        <v>0</v>
      </c>
      <c r="AL21" s="77"/>
      <c r="AM21" s="92">
        <f t="shared" ref="AM21:AM29" si="71">SUMIF($BC$1:$CI$1,AM$1,$BC21:$CI21)+AL21</f>
        <v>0</v>
      </c>
      <c r="AN21" s="77"/>
      <c r="AO21" s="92">
        <f t="shared" ref="AO21:AO29" si="72">SUMIF($BC$1:$CI$1,AO$1,$BC21:$CI21)+AN21</f>
        <v>0</v>
      </c>
      <c r="AP21" s="93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0">
        <f t="shared" si="59"/>
        <v>0</v>
      </c>
      <c r="G22" s="75"/>
      <c r="H22" s="75"/>
      <c r="I22" s="90">
        <f t="shared" si="60"/>
        <v>0</v>
      </c>
      <c r="J22" s="75"/>
      <c r="K22" s="75"/>
      <c r="L22" s="90">
        <f t="shared" si="61"/>
        <v>0</v>
      </c>
      <c r="M22" s="75"/>
      <c r="N22" s="75"/>
      <c r="O22" s="90">
        <f t="shared" si="62"/>
        <v>0</v>
      </c>
      <c r="P22" s="75"/>
      <c r="Q22" s="75"/>
      <c r="R22" s="90">
        <f t="shared" si="63"/>
        <v>0</v>
      </c>
      <c r="S22" s="75"/>
      <c r="T22" s="75"/>
      <c r="U22" s="90">
        <f t="shared" si="64"/>
        <v>0</v>
      </c>
      <c r="V22" s="75"/>
      <c r="W22" s="75"/>
      <c r="X22" s="90">
        <f t="shared" si="65"/>
        <v>0</v>
      </c>
      <c r="Y22" s="90"/>
      <c r="Z22" s="90"/>
      <c r="AA22" s="90"/>
      <c r="AB22" s="90">
        <f t="shared" si="66"/>
        <v>0</v>
      </c>
      <c r="AC22" s="91"/>
      <c r="AD22" s="77"/>
      <c r="AE22" s="92">
        <f t="shared" si="67"/>
        <v>0</v>
      </c>
      <c r="AF22" s="77"/>
      <c r="AG22" s="92">
        <f t="shared" si="68"/>
        <v>0</v>
      </c>
      <c r="AH22" s="77"/>
      <c r="AI22" s="92">
        <f t="shared" si="69"/>
        <v>0</v>
      </c>
      <c r="AJ22" s="77"/>
      <c r="AK22" s="92">
        <f t="shared" si="70"/>
        <v>0</v>
      </c>
      <c r="AL22" s="77"/>
      <c r="AM22" s="92">
        <f t="shared" si="71"/>
        <v>0</v>
      </c>
      <c r="AN22" s="77"/>
      <c r="AO22" s="92">
        <f t="shared" si="72"/>
        <v>0</v>
      </c>
      <c r="AP22" s="93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0">
        <f t="shared" si="59"/>
        <v>0</v>
      </c>
      <c r="G23" s="75"/>
      <c r="H23" s="75"/>
      <c r="I23" s="90">
        <f t="shared" si="60"/>
        <v>0</v>
      </c>
      <c r="J23" s="76"/>
      <c r="K23" s="75"/>
      <c r="L23" s="90">
        <f t="shared" si="61"/>
        <v>0</v>
      </c>
      <c r="M23" s="75"/>
      <c r="N23" s="75"/>
      <c r="O23" s="90">
        <f t="shared" si="62"/>
        <v>0</v>
      </c>
      <c r="P23" s="75"/>
      <c r="Q23" s="75"/>
      <c r="R23" s="90">
        <f t="shared" si="63"/>
        <v>0</v>
      </c>
      <c r="S23" s="75"/>
      <c r="T23" s="75"/>
      <c r="U23" s="90">
        <f t="shared" si="64"/>
        <v>0</v>
      </c>
      <c r="V23" s="75"/>
      <c r="W23" s="75"/>
      <c r="X23" s="90">
        <f t="shared" si="65"/>
        <v>0</v>
      </c>
      <c r="Y23" s="90"/>
      <c r="Z23" s="90"/>
      <c r="AA23" s="90"/>
      <c r="AB23" s="90">
        <f t="shared" si="66"/>
        <v>0</v>
      </c>
      <c r="AC23" s="91"/>
      <c r="AD23" s="77"/>
      <c r="AE23" s="92">
        <f t="shared" si="67"/>
        <v>0</v>
      </c>
      <c r="AF23" s="77"/>
      <c r="AG23" s="92">
        <f t="shared" si="68"/>
        <v>0</v>
      </c>
      <c r="AH23" s="77"/>
      <c r="AI23" s="92">
        <f t="shared" si="69"/>
        <v>0</v>
      </c>
      <c r="AJ23" s="77"/>
      <c r="AK23" s="92">
        <f t="shared" si="70"/>
        <v>0</v>
      </c>
      <c r="AL23" s="77"/>
      <c r="AM23" s="92">
        <f t="shared" si="71"/>
        <v>0</v>
      </c>
      <c r="AN23" s="77"/>
      <c r="AO23" s="92">
        <f t="shared" si="72"/>
        <v>0</v>
      </c>
      <c r="AP23" s="93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0">
        <f t="shared" si="59"/>
        <v>0</v>
      </c>
      <c r="G24" s="75"/>
      <c r="H24" s="75"/>
      <c r="I24" s="90">
        <f t="shared" si="60"/>
        <v>0</v>
      </c>
      <c r="J24" s="76"/>
      <c r="K24" s="75"/>
      <c r="L24" s="90">
        <f t="shared" si="61"/>
        <v>0</v>
      </c>
      <c r="M24" s="75"/>
      <c r="N24" s="75"/>
      <c r="O24" s="90">
        <f t="shared" si="62"/>
        <v>0</v>
      </c>
      <c r="P24" s="75"/>
      <c r="Q24" s="75"/>
      <c r="R24" s="90">
        <f t="shared" si="63"/>
        <v>0</v>
      </c>
      <c r="S24" s="75"/>
      <c r="T24" s="75"/>
      <c r="U24" s="90">
        <f t="shared" si="64"/>
        <v>0</v>
      </c>
      <c r="V24" s="75"/>
      <c r="W24" s="75"/>
      <c r="X24" s="90">
        <f t="shared" si="65"/>
        <v>0</v>
      </c>
      <c r="Y24" s="90"/>
      <c r="Z24" s="90"/>
      <c r="AA24" s="90"/>
      <c r="AB24" s="90">
        <f t="shared" si="66"/>
        <v>0</v>
      </c>
      <c r="AC24" s="91"/>
      <c r="AD24" s="77"/>
      <c r="AE24" s="92">
        <f t="shared" si="67"/>
        <v>0</v>
      </c>
      <c r="AF24" s="77"/>
      <c r="AG24" s="92">
        <f t="shared" si="68"/>
        <v>0</v>
      </c>
      <c r="AH24" s="77"/>
      <c r="AI24" s="92">
        <f t="shared" si="69"/>
        <v>0</v>
      </c>
      <c r="AJ24" s="77"/>
      <c r="AK24" s="92">
        <f t="shared" si="70"/>
        <v>0</v>
      </c>
      <c r="AL24" s="77"/>
      <c r="AM24" s="92">
        <f t="shared" si="71"/>
        <v>0</v>
      </c>
      <c r="AN24" s="77"/>
      <c r="AO24" s="92">
        <f t="shared" si="72"/>
        <v>0</v>
      </c>
      <c r="AP24" s="93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0">
        <f t="shared" si="59"/>
        <v>0</v>
      </c>
      <c r="G25" s="75"/>
      <c r="H25" s="75"/>
      <c r="I25" s="90">
        <f t="shared" si="60"/>
        <v>0</v>
      </c>
      <c r="J25" s="76"/>
      <c r="K25" s="75"/>
      <c r="L25" s="90">
        <f t="shared" si="61"/>
        <v>0</v>
      </c>
      <c r="M25" s="75"/>
      <c r="N25" s="75"/>
      <c r="O25" s="90">
        <f t="shared" si="62"/>
        <v>0</v>
      </c>
      <c r="P25" s="75"/>
      <c r="Q25" s="75"/>
      <c r="R25" s="90">
        <f t="shared" si="63"/>
        <v>0</v>
      </c>
      <c r="S25" s="75"/>
      <c r="T25" s="75"/>
      <c r="U25" s="90">
        <f t="shared" si="64"/>
        <v>0</v>
      </c>
      <c r="V25" s="75"/>
      <c r="W25" s="75"/>
      <c r="X25" s="90">
        <f t="shared" si="65"/>
        <v>0</v>
      </c>
      <c r="Y25" s="90"/>
      <c r="Z25" s="90"/>
      <c r="AA25" s="90"/>
      <c r="AB25" s="90">
        <f t="shared" si="66"/>
        <v>0</v>
      </c>
      <c r="AC25" s="91"/>
      <c r="AD25" s="77"/>
      <c r="AE25" s="92">
        <f t="shared" si="67"/>
        <v>0</v>
      </c>
      <c r="AF25" s="77"/>
      <c r="AG25" s="92">
        <f t="shared" si="68"/>
        <v>0</v>
      </c>
      <c r="AH25" s="77"/>
      <c r="AI25" s="92">
        <f t="shared" si="69"/>
        <v>0</v>
      </c>
      <c r="AJ25" s="77"/>
      <c r="AK25" s="92">
        <f t="shared" si="70"/>
        <v>0</v>
      </c>
      <c r="AL25" s="77"/>
      <c r="AM25" s="92">
        <f t="shared" si="71"/>
        <v>0</v>
      </c>
      <c r="AN25" s="77"/>
      <c r="AO25" s="92">
        <f t="shared" si="72"/>
        <v>0</v>
      </c>
      <c r="AP25" s="93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0">
        <f t="shared" si="59"/>
        <v>0</v>
      </c>
      <c r="G26" s="75"/>
      <c r="H26" s="75"/>
      <c r="I26" s="90">
        <f t="shared" si="60"/>
        <v>0</v>
      </c>
      <c r="J26" s="76"/>
      <c r="K26" s="75"/>
      <c r="L26" s="90">
        <f t="shared" si="61"/>
        <v>0</v>
      </c>
      <c r="M26" s="75"/>
      <c r="N26" s="75"/>
      <c r="O26" s="90">
        <f t="shared" si="62"/>
        <v>0</v>
      </c>
      <c r="P26" s="75"/>
      <c r="Q26" s="75"/>
      <c r="R26" s="90">
        <f t="shared" si="63"/>
        <v>0</v>
      </c>
      <c r="S26" s="75"/>
      <c r="T26" s="75"/>
      <c r="U26" s="90">
        <f t="shared" si="64"/>
        <v>0</v>
      </c>
      <c r="V26" s="75"/>
      <c r="W26" s="75"/>
      <c r="X26" s="90">
        <f t="shared" si="65"/>
        <v>0</v>
      </c>
      <c r="Y26" s="90"/>
      <c r="Z26" s="90"/>
      <c r="AA26" s="90"/>
      <c r="AB26" s="90">
        <f t="shared" si="66"/>
        <v>0</v>
      </c>
      <c r="AC26" s="91"/>
      <c r="AD26" s="77"/>
      <c r="AE26" s="92">
        <f t="shared" si="67"/>
        <v>0</v>
      </c>
      <c r="AF26" s="77"/>
      <c r="AG26" s="92">
        <f t="shared" si="68"/>
        <v>0</v>
      </c>
      <c r="AH26" s="77"/>
      <c r="AI26" s="92">
        <f t="shared" si="69"/>
        <v>0</v>
      </c>
      <c r="AJ26" s="77"/>
      <c r="AK26" s="92">
        <f t="shared" si="70"/>
        <v>0</v>
      </c>
      <c r="AL26" s="77"/>
      <c r="AM26" s="92">
        <f t="shared" si="71"/>
        <v>0</v>
      </c>
      <c r="AN26" s="77"/>
      <c r="AO26" s="92">
        <f t="shared" si="72"/>
        <v>0</v>
      </c>
      <c r="AP26" s="93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0">
        <f t="shared" si="59"/>
        <v>0</v>
      </c>
      <c r="G27" s="75"/>
      <c r="H27" s="75"/>
      <c r="I27" s="90">
        <f t="shared" si="60"/>
        <v>0</v>
      </c>
      <c r="J27" s="76"/>
      <c r="K27" s="75"/>
      <c r="L27" s="90">
        <f t="shared" si="61"/>
        <v>0</v>
      </c>
      <c r="M27" s="75"/>
      <c r="N27" s="75"/>
      <c r="O27" s="90">
        <f t="shared" si="62"/>
        <v>0</v>
      </c>
      <c r="P27" s="75"/>
      <c r="Q27" s="75"/>
      <c r="R27" s="90">
        <f t="shared" si="63"/>
        <v>0</v>
      </c>
      <c r="S27" s="75"/>
      <c r="T27" s="75"/>
      <c r="U27" s="90">
        <f t="shared" si="64"/>
        <v>0</v>
      </c>
      <c r="V27" s="75"/>
      <c r="W27" s="75"/>
      <c r="X27" s="90">
        <f t="shared" si="65"/>
        <v>0</v>
      </c>
      <c r="Y27" s="90"/>
      <c r="Z27" s="90"/>
      <c r="AA27" s="90"/>
      <c r="AB27" s="90">
        <f t="shared" si="66"/>
        <v>0</v>
      </c>
      <c r="AC27" s="91"/>
      <c r="AD27" s="77"/>
      <c r="AE27" s="92">
        <f t="shared" si="67"/>
        <v>0</v>
      </c>
      <c r="AF27" s="77"/>
      <c r="AG27" s="92">
        <f t="shared" si="68"/>
        <v>0</v>
      </c>
      <c r="AH27" s="77"/>
      <c r="AI27" s="92">
        <f t="shared" si="69"/>
        <v>0</v>
      </c>
      <c r="AJ27" s="77"/>
      <c r="AK27" s="92">
        <f t="shared" si="70"/>
        <v>0</v>
      </c>
      <c r="AL27" s="77"/>
      <c r="AM27" s="92">
        <f t="shared" si="71"/>
        <v>0</v>
      </c>
      <c r="AN27" s="77"/>
      <c r="AO27" s="92">
        <f t="shared" si="72"/>
        <v>0</v>
      </c>
      <c r="AP27" s="93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0">
        <f t="shared" si="59"/>
        <v>0</v>
      </c>
      <c r="G28" s="75"/>
      <c r="H28" s="75"/>
      <c r="I28" s="90">
        <f t="shared" si="60"/>
        <v>0</v>
      </c>
      <c r="J28" s="76"/>
      <c r="K28" s="75"/>
      <c r="L28" s="90">
        <f t="shared" si="61"/>
        <v>0</v>
      </c>
      <c r="M28" s="75"/>
      <c r="N28" s="75"/>
      <c r="O28" s="90">
        <f t="shared" si="62"/>
        <v>0</v>
      </c>
      <c r="P28" s="75"/>
      <c r="Q28" s="75"/>
      <c r="R28" s="90">
        <f t="shared" si="63"/>
        <v>0</v>
      </c>
      <c r="S28" s="75"/>
      <c r="T28" s="75"/>
      <c r="U28" s="90">
        <f t="shared" si="64"/>
        <v>0</v>
      </c>
      <c r="V28" s="75"/>
      <c r="W28" s="75"/>
      <c r="X28" s="90">
        <f t="shared" si="65"/>
        <v>0</v>
      </c>
      <c r="Y28" s="90"/>
      <c r="Z28" s="90"/>
      <c r="AA28" s="90"/>
      <c r="AB28" s="90">
        <f t="shared" si="66"/>
        <v>0</v>
      </c>
      <c r="AC28" s="91"/>
      <c r="AD28" s="77"/>
      <c r="AE28" s="92">
        <f t="shared" si="67"/>
        <v>0</v>
      </c>
      <c r="AF28" s="77"/>
      <c r="AG28" s="92">
        <f t="shared" si="68"/>
        <v>0</v>
      </c>
      <c r="AH28" s="77"/>
      <c r="AI28" s="92">
        <f t="shared" si="69"/>
        <v>0</v>
      </c>
      <c r="AJ28" s="77"/>
      <c r="AK28" s="92">
        <f t="shared" si="70"/>
        <v>0</v>
      </c>
      <c r="AL28" s="77"/>
      <c r="AM28" s="92">
        <f t="shared" si="71"/>
        <v>0</v>
      </c>
      <c r="AN28" s="77"/>
      <c r="AO28" s="92">
        <f t="shared" si="72"/>
        <v>0</v>
      </c>
      <c r="AP28" s="93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0">
        <f t="shared" si="59"/>
        <v>0</v>
      </c>
      <c r="G29" s="75"/>
      <c r="H29" s="75"/>
      <c r="I29" s="90">
        <f t="shared" si="60"/>
        <v>0</v>
      </c>
      <c r="J29" s="76"/>
      <c r="K29" s="75"/>
      <c r="L29" s="90">
        <f t="shared" si="61"/>
        <v>0</v>
      </c>
      <c r="M29" s="75"/>
      <c r="N29" s="75"/>
      <c r="O29" s="90">
        <f t="shared" si="62"/>
        <v>0</v>
      </c>
      <c r="P29" s="75"/>
      <c r="Q29" s="75"/>
      <c r="R29" s="90">
        <f t="shared" si="63"/>
        <v>0</v>
      </c>
      <c r="S29" s="75"/>
      <c r="T29" s="75"/>
      <c r="U29" s="90">
        <f t="shared" si="64"/>
        <v>0</v>
      </c>
      <c r="V29" s="75"/>
      <c r="W29" s="75"/>
      <c r="X29" s="90">
        <f t="shared" si="65"/>
        <v>0</v>
      </c>
      <c r="Y29" s="90"/>
      <c r="Z29" s="90"/>
      <c r="AA29" s="90"/>
      <c r="AB29" s="90">
        <f t="shared" si="66"/>
        <v>0</v>
      </c>
      <c r="AC29" s="91"/>
      <c r="AD29" s="77"/>
      <c r="AE29" s="92">
        <f t="shared" si="67"/>
        <v>0</v>
      </c>
      <c r="AF29" s="77"/>
      <c r="AG29" s="92">
        <f t="shared" si="68"/>
        <v>0</v>
      </c>
      <c r="AH29" s="77"/>
      <c r="AI29" s="92">
        <f t="shared" si="69"/>
        <v>0</v>
      </c>
      <c r="AJ29" s="77"/>
      <c r="AK29" s="92">
        <f t="shared" si="70"/>
        <v>0</v>
      </c>
      <c r="AL29" s="77"/>
      <c r="AM29" s="92">
        <f t="shared" si="71"/>
        <v>0</v>
      </c>
      <c r="AN29" s="77"/>
      <c r="AO29" s="92">
        <f t="shared" si="72"/>
        <v>0</v>
      </c>
      <c r="AP29" s="93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0">
        <f t="shared" si="15"/>
        <v>0</v>
      </c>
      <c r="G30" s="75"/>
      <c r="H30" s="75"/>
      <c r="I30" s="90">
        <f t="shared" si="16"/>
        <v>0</v>
      </c>
      <c r="J30" s="76"/>
      <c r="K30" s="75"/>
      <c r="L30" s="90">
        <f t="shared" si="17"/>
        <v>0</v>
      </c>
      <c r="M30" s="75"/>
      <c r="N30" s="75"/>
      <c r="O30" s="90">
        <f t="shared" si="18"/>
        <v>0</v>
      </c>
      <c r="P30" s="75"/>
      <c r="Q30" s="75"/>
      <c r="R30" s="90">
        <f t="shared" si="19"/>
        <v>0</v>
      </c>
      <c r="S30" s="75"/>
      <c r="T30" s="75"/>
      <c r="U30" s="90">
        <f t="shared" si="20"/>
        <v>0</v>
      </c>
      <c r="V30" s="75"/>
      <c r="W30" s="75"/>
      <c r="X30" s="90">
        <f t="shared" si="21"/>
        <v>0</v>
      </c>
      <c r="Y30" s="90"/>
      <c r="Z30" s="90"/>
      <c r="AA30" s="90"/>
      <c r="AB30" s="90">
        <f t="shared" si="22"/>
        <v>0</v>
      </c>
      <c r="AC30" s="91"/>
      <c r="AD30" s="77"/>
      <c r="AE30" s="92">
        <f t="shared" si="1"/>
        <v>0</v>
      </c>
      <c r="AF30" s="77"/>
      <c r="AG30" s="92">
        <f t="shared" si="2"/>
        <v>0</v>
      </c>
      <c r="AH30" s="77"/>
      <c r="AI30" s="92">
        <f t="shared" si="3"/>
        <v>0</v>
      </c>
      <c r="AJ30" s="77"/>
      <c r="AK30" s="92">
        <f t="shared" si="4"/>
        <v>0</v>
      </c>
      <c r="AL30" s="77"/>
      <c r="AM30" s="92">
        <f t="shared" si="5"/>
        <v>0</v>
      </c>
      <c r="AN30" s="77"/>
      <c r="AO30" s="92">
        <f t="shared" si="6"/>
        <v>0</v>
      </c>
      <c r="AP30" s="93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0">
        <f t="shared" si="15"/>
        <v>0</v>
      </c>
      <c r="G31" s="75"/>
      <c r="H31" s="75"/>
      <c r="I31" s="90">
        <f t="shared" si="16"/>
        <v>0</v>
      </c>
      <c r="J31" s="76"/>
      <c r="K31" s="75"/>
      <c r="L31" s="90">
        <f t="shared" si="17"/>
        <v>0</v>
      </c>
      <c r="M31" s="75"/>
      <c r="N31" s="75"/>
      <c r="O31" s="90">
        <f t="shared" si="18"/>
        <v>0</v>
      </c>
      <c r="P31" s="75"/>
      <c r="Q31" s="75"/>
      <c r="R31" s="90">
        <f t="shared" si="19"/>
        <v>0</v>
      </c>
      <c r="S31" s="75"/>
      <c r="T31" s="75"/>
      <c r="U31" s="90">
        <f t="shared" si="20"/>
        <v>0</v>
      </c>
      <c r="V31" s="75"/>
      <c r="W31" s="75"/>
      <c r="X31" s="90">
        <f t="shared" si="21"/>
        <v>0</v>
      </c>
      <c r="Y31" s="90"/>
      <c r="Z31" s="90"/>
      <c r="AA31" s="90"/>
      <c r="AB31" s="90">
        <f t="shared" si="22"/>
        <v>0</v>
      </c>
      <c r="AC31" s="91"/>
      <c r="AD31" s="77"/>
      <c r="AE31" s="92">
        <f t="shared" si="1"/>
        <v>0</v>
      </c>
      <c r="AF31" s="77"/>
      <c r="AG31" s="92">
        <f t="shared" si="2"/>
        <v>0</v>
      </c>
      <c r="AH31" s="77"/>
      <c r="AI31" s="92">
        <f t="shared" si="3"/>
        <v>0</v>
      </c>
      <c r="AJ31" s="77"/>
      <c r="AK31" s="92">
        <f t="shared" si="4"/>
        <v>0</v>
      </c>
      <c r="AL31" s="77"/>
      <c r="AM31" s="92">
        <f t="shared" si="5"/>
        <v>0</v>
      </c>
      <c r="AN31" s="77"/>
      <c r="AO31" s="92">
        <f t="shared" si="6"/>
        <v>0</v>
      </c>
      <c r="AP31" s="93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0">
        <f t="shared" si="15"/>
        <v>0</v>
      </c>
      <c r="G32" s="75"/>
      <c r="H32" s="75"/>
      <c r="I32" s="90">
        <f t="shared" si="16"/>
        <v>0</v>
      </c>
      <c r="J32" s="76"/>
      <c r="K32" s="75"/>
      <c r="L32" s="90">
        <f t="shared" si="17"/>
        <v>0</v>
      </c>
      <c r="M32" s="75"/>
      <c r="N32" s="75"/>
      <c r="O32" s="90">
        <f t="shared" si="18"/>
        <v>0</v>
      </c>
      <c r="P32" s="75"/>
      <c r="Q32" s="75"/>
      <c r="R32" s="90">
        <f t="shared" si="19"/>
        <v>0</v>
      </c>
      <c r="S32" s="75"/>
      <c r="T32" s="75"/>
      <c r="U32" s="90">
        <f t="shared" si="20"/>
        <v>0</v>
      </c>
      <c r="V32" s="75"/>
      <c r="W32" s="75"/>
      <c r="X32" s="90">
        <f t="shared" si="21"/>
        <v>0</v>
      </c>
      <c r="Y32" s="90"/>
      <c r="Z32" s="90"/>
      <c r="AA32" s="90"/>
      <c r="AB32" s="90">
        <f t="shared" si="22"/>
        <v>0</v>
      </c>
      <c r="AC32" s="91"/>
      <c r="AD32" s="77"/>
      <c r="AE32" s="92">
        <f t="shared" si="1"/>
        <v>0</v>
      </c>
      <c r="AF32" s="77"/>
      <c r="AG32" s="92">
        <f t="shared" si="2"/>
        <v>0</v>
      </c>
      <c r="AH32" s="77"/>
      <c r="AI32" s="92">
        <f t="shared" si="3"/>
        <v>0</v>
      </c>
      <c r="AJ32" s="77"/>
      <c r="AK32" s="92">
        <f t="shared" si="4"/>
        <v>0</v>
      </c>
      <c r="AL32" s="77"/>
      <c r="AM32" s="92">
        <f t="shared" si="5"/>
        <v>0</v>
      </c>
      <c r="AN32" s="77"/>
      <c r="AO32" s="92">
        <f t="shared" si="6"/>
        <v>0</v>
      </c>
      <c r="AP32" s="93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0">
        <f t="shared" si="15"/>
        <v>0</v>
      </c>
      <c r="G33" s="75"/>
      <c r="H33" s="75"/>
      <c r="I33" s="90">
        <f t="shared" si="16"/>
        <v>0</v>
      </c>
      <c r="J33" s="76"/>
      <c r="K33" s="75"/>
      <c r="L33" s="90">
        <f t="shared" si="17"/>
        <v>0</v>
      </c>
      <c r="M33" s="75"/>
      <c r="N33" s="75"/>
      <c r="O33" s="90">
        <f t="shared" si="18"/>
        <v>0</v>
      </c>
      <c r="P33" s="75"/>
      <c r="Q33" s="75"/>
      <c r="R33" s="90">
        <f t="shared" si="19"/>
        <v>0</v>
      </c>
      <c r="S33" s="75"/>
      <c r="T33" s="75"/>
      <c r="U33" s="90">
        <f t="shared" si="20"/>
        <v>0</v>
      </c>
      <c r="V33" s="75"/>
      <c r="W33" s="75"/>
      <c r="X33" s="90">
        <f t="shared" si="21"/>
        <v>0</v>
      </c>
      <c r="Y33" s="90"/>
      <c r="Z33" s="90"/>
      <c r="AA33" s="90"/>
      <c r="AB33" s="90">
        <f t="shared" si="22"/>
        <v>0</v>
      </c>
      <c r="AC33" s="91"/>
      <c r="AD33" s="77"/>
      <c r="AE33" s="92">
        <f t="shared" si="1"/>
        <v>0</v>
      </c>
      <c r="AF33" s="77"/>
      <c r="AG33" s="92">
        <f t="shared" si="2"/>
        <v>0</v>
      </c>
      <c r="AH33" s="77"/>
      <c r="AI33" s="92">
        <f t="shared" si="3"/>
        <v>0</v>
      </c>
      <c r="AJ33" s="77"/>
      <c r="AK33" s="92">
        <f t="shared" si="4"/>
        <v>0</v>
      </c>
      <c r="AL33" s="77"/>
      <c r="AM33" s="92">
        <f t="shared" si="5"/>
        <v>0</v>
      </c>
      <c r="AN33" s="77"/>
      <c r="AO33" s="92">
        <f t="shared" si="6"/>
        <v>0</v>
      </c>
      <c r="AP33" s="93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0">
        <f t="shared" si="15"/>
        <v>0</v>
      </c>
      <c r="G34" s="75"/>
      <c r="H34" s="75"/>
      <c r="I34" s="90">
        <f t="shared" si="16"/>
        <v>0</v>
      </c>
      <c r="J34" s="76"/>
      <c r="K34" s="75"/>
      <c r="L34" s="90">
        <f t="shared" si="17"/>
        <v>0</v>
      </c>
      <c r="M34" s="75"/>
      <c r="N34" s="75"/>
      <c r="O34" s="90">
        <f t="shared" si="18"/>
        <v>0</v>
      </c>
      <c r="P34" s="75"/>
      <c r="Q34" s="75"/>
      <c r="R34" s="90">
        <f t="shared" si="19"/>
        <v>0</v>
      </c>
      <c r="S34" s="75"/>
      <c r="T34" s="75"/>
      <c r="U34" s="90">
        <f t="shared" si="20"/>
        <v>0</v>
      </c>
      <c r="V34" s="75"/>
      <c r="W34" s="75"/>
      <c r="X34" s="90">
        <f t="shared" si="21"/>
        <v>0</v>
      </c>
      <c r="Y34" s="90"/>
      <c r="Z34" s="90"/>
      <c r="AA34" s="90"/>
      <c r="AB34" s="90">
        <f t="shared" si="22"/>
        <v>0</v>
      </c>
      <c r="AC34" s="91"/>
      <c r="AD34" s="77"/>
      <c r="AE34" s="92">
        <f t="shared" si="1"/>
        <v>0</v>
      </c>
      <c r="AF34" s="77"/>
      <c r="AG34" s="92">
        <f t="shared" si="2"/>
        <v>0</v>
      </c>
      <c r="AH34" s="77"/>
      <c r="AI34" s="92">
        <f t="shared" si="3"/>
        <v>0</v>
      </c>
      <c r="AJ34" s="77"/>
      <c r="AK34" s="92">
        <f t="shared" si="4"/>
        <v>0</v>
      </c>
      <c r="AL34" s="77"/>
      <c r="AM34" s="92">
        <f t="shared" si="5"/>
        <v>0</v>
      </c>
      <c r="AN34" s="77"/>
      <c r="AO34" s="92">
        <f t="shared" si="6"/>
        <v>0</v>
      </c>
      <c r="AP34" s="93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0">
        <f t="shared" si="15"/>
        <v>0</v>
      </c>
      <c r="G35" s="75"/>
      <c r="H35" s="75"/>
      <c r="I35" s="90">
        <f t="shared" si="16"/>
        <v>0</v>
      </c>
      <c r="J35" s="76"/>
      <c r="K35" s="75"/>
      <c r="L35" s="90">
        <f t="shared" si="17"/>
        <v>0</v>
      </c>
      <c r="M35" s="75"/>
      <c r="N35" s="75"/>
      <c r="O35" s="90">
        <f t="shared" si="18"/>
        <v>0</v>
      </c>
      <c r="P35" s="75"/>
      <c r="Q35" s="75"/>
      <c r="R35" s="90">
        <f t="shared" si="19"/>
        <v>0</v>
      </c>
      <c r="S35" s="75"/>
      <c r="T35" s="75"/>
      <c r="U35" s="90">
        <f t="shared" si="20"/>
        <v>0</v>
      </c>
      <c r="V35" s="75"/>
      <c r="W35" s="75"/>
      <c r="X35" s="90">
        <f t="shared" si="21"/>
        <v>0</v>
      </c>
      <c r="Y35" s="90"/>
      <c r="Z35" s="90"/>
      <c r="AA35" s="90"/>
      <c r="AB35" s="90">
        <f t="shared" si="22"/>
        <v>0</v>
      </c>
      <c r="AC35" s="91"/>
      <c r="AD35" s="77"/>
      <c r="AE35" s="92">
        <f t="shared" si="1"/>
        <v>0</v>
      </c>
      <c r="AF35" s="77"/>
      <c r="AG35" s="92">
        <f t="shared" si="2"/>
        <v>0</v>
      </c>
      <c r="AH35" s="77"/>
      <c r="AI35" s="92">
        <f t="shared" si="3"/>
        <v>0</v>
      </c>
      <c r="AJ35" s="77"/>
      <c r="AK35" s="92">
        <f t="shared" si="4"/>
        <v>0</v>
      </c>
      <c r="AL35" s="77"/>
      <c r="AM35" s="92">
        <f t="shared" si="5"/>
        <v>0</v>
      </c>
      <c r="AN35" s="77"/>
      <c r="AO35" s="92">
        <f t="shared" si="6"/>
        <v>0</v>
      </c>
      <c r="AP35" s="93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0">
        <f t="shared" si="15"/>
        <v>0</v>
      </c>
      <c r="G36" s="75"/>
      <c r="H36" s="75"/>
      <c r="I36" s="90">
        <f t="shared" si="16"/>
        <v>0</v>
      </c>
      <c r="J36" s="76"/>
      <c r="K36" s="75"/>
      <c r="L36" s="90">
        <f t="shared" si="17"/>
        <v>0</v>
      </c>
      <c r="M36" s="75"/>
      <c r="N36" s="75"/>
      <c r="O36" s="90">
        <f t="shared" si="18"/>
        <v>0</v>
      </c>
      <c r="P36" s="75"/>
      <c r="Q36" s="75"/>
      <c r="R36" s="90">
        <f t="shared" si="19"/>
        <v>0</v>
      </c>
      <c r="S36" s="75"/>
      <c r="T36" s="75"/>
      <c r="U36" s="90">
        <f t="shared" si="20"/>
        <v>0</v>
      </c>
      <c r="V36" s="75"/>
      <c r="W36" s="75"/>
      <c r="X36" s="90">
        <f t="shared" si="21"/>
        <v>0</v>
      </c>
      <c r="Y36" s="90"/>
      <c r="Z36" s="90"/>
      <c r="AA36" s="90"/>
      <c r="AB36" s="90">
        <f t="shared" si="22"/>
        <v>0</v>
      </c>
      <c r="AC36" s="91"/>
      <c r="AD36" s="77"/>
      <c r="AE36" s="92">
        <f t="shared" si="1"/>
        <v>0</v>
      </c>
      <c r="AF36" s="77"/>
      <c r="AG36" s="92">
        <f t="shared" si="2"/>
        <v>0</v>
      </c>
      <c r="AH36" s="77"/>
      <c r="AI36" s="92">
        <f t="shared" si="3"/>
        <v>0</v>
      </c>
      <c r="AJ36" s="77"/>
      <c r="AK36" s="92">
        <f t="shared" si="4"/>
        <v>0</v>
      </c>
      <c r="AL36" s="77"/>
      <c r="AM36" s="92">
        <f t="shared" si="5"/>
        <v>0</v>
      </c>
      <c r="AN36" s="77"/>
      <c r="AO36" s="92">
        <f t="shared" si="6"/>
        <v>0</v>
      </c>
      <c r="AP36" s="93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6"/>
      <c r="D37" s="87"/>
      <c r="E37" s="87"/>
      <c r="F37" s="44">
        <f t="shared" si="15"/>
        <v>0</v>
      </c>
      <c r="G37" s="87"/>
      <c r="H37" s="87"/>
      <c r="I37" s="44">
        <f t="shared" si="16"/>
        <v>0</v>
      </c>
      <c r="J37" s="88"/>
      <c r="K37" s="89"/>
      <c r="L37" s="44">
        <f t="shared" si="17"/>
        <v>0</v>
      </c>
      <c r="M37" s="89"/>
      <c r="N37" s="89"/>
      <c r="O37" s="44">
        <f t="shared" si="18"/>
        <v>0</v>
      </c>
      <c r="P37" s="89"/>
      <c r="Q37" s="89"/>
      <c r="R37" s="44">
        <f t="shared" si="19"/>
        <v>0</v>
      </c>
      <c r="S37" s="89"/>
      <c r="T37" s="89"/>
      <c r="U37" s="44">
        <f t="shared" si="20"/>
        <v>0</v>
      </c>
      <c r="V37" s="89"/>
      <c r="W37" s="89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6"/>
      <c r="D38" s="87"/>
      <c r="E38" s="87"/>
      <c r="F38" s="44">
        <f t="shared" si="15"/>
        <v>0</v>
      </c>
      <c r="G38" s="87"/>
      <c r="H38" s="87"/>
      <c r="I38" s="44">
        <f t="shared" si="16"/>
        <v>0</v>
      </c>
      <c r="J38" s="88"/>
      <c r="K38" s="89"/>
      <c r="L38" s="44">
        <f t="shared" si="17"/>
        <v>0</v>
      </c>
      <c r="M38" s="88"/>
      <c r="N38" s="89"/>
      <c r="O38" s="44">
        <f t="shared" si="18"/>
        <v>0</v>
      </c>
      <c r="P38" s="89"/>
      <c r="Q38" s="89"/>
      <c r="R38" s="44">
        <f t="shared" si="19"/>
        <v>0</v>
      </c>
      <c r="S38" s="89"/>
      <c r="T38" s="89"/>
      <c r="U38" s="44">
        <f t="shared" si="20"/>
        <v>0</v>
      </c>
      <c r="V38" s="89"/>
      <c r="W38" s="89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6"/>
      <c r="D39" s="87"/>
      <c r="E39" s="87"/>
      <c r="F39" s="44">
        <f t="shared" si="15"/>
        <v>0</v>
      </c>
      <c r="G39" s="87"/>
      <c r="H39" s="87"/>
      <c r="I39" s="44">
        <f t="shared" si="16"/>
        <v>0</v>
      </c>
      <c r="J39" s="88"/>
      <c r="K39" s="89"/>
      <c r="L39" s="44">
        <f t="shared" si="17"/>
        <v>0</v>
      </c>
      <c r="M39" s="89"/>
      <c r="N39" s="89"/>
      <c r="O39" s="44">
        <f t="shared" si="18"/>
        <v>0</v>
      </c>
      <c r="P39" s="89"/>
      <c r="Q39" s="89"/>
      <c r="R39" s="44">
        <f t="shared" si="19"/>
        <v>0</v>
      </c>
      <c r="S39" s="89"/>
      <c r="T39" s="89"/>
      <c r="U39" s="44">
        <f t="shared" si="20"/>
        <v>0</v>
      </c>
      <c r="V39" s="89"/>
      <c r="W39" s="89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6"/>
      <c r="D40" s="87"/>
      <c r="E40" s="87"/>
      <c r="F40" s="44">
        <f t="shared" si="15"/>
        <v>0</v>
      </c>
      <c r="G40" s="87"/>
      <c r="H40" s="87"/>
      <c r="I40" s="44">
        <f t="shared" si="16"/>
        <v>0</v>
      </c>
      <c r="J40" s="88"/>
      <c r="K40" s="89"/>
      <c r="L40" s="44">
        <f t="shared" si="17"/>
        <v>0</v>
      </c>
      <c r="M40" s="89"/>
      <c r="N40" s="89"/>
      <c r="O40" s="44">
        <f t="shared" si="18"/>
        <v>0</v>
      </c>
      <c r="P40" s="89"/>
      <c r="Q40" s="89"/>
      <c r="R40" s="44">
        <f t="shared" si="19"/>
        <v>0</v>
      </c>
      <c r="S40" s="89"/>
      <c r="T40" s="89"/>
      <c r="U40" s="44">
        <f t="shared" si="20"/>
        <v>0</v>
      </c>
      <c r="V40" s="89"/>
      <c r="W40" s="89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6"/>
      <c r="D41" s="87"/>
      <c r="E41" s="87"/>
      <c r="F41" s="44">
        <f t="shared" ref="F41:F60" si="77">BA41-BB41</f>
        <v>0</v>
      </c>
      <c r="G41" s="87"/>
      <c r="H41" s="87"/>
      <c r="I41" s="44">
        <f t="shared" ref="I41:I60" si="78">BF41-BG41</f>
        <v>0</v>
      </c>
      <c r="J41" s="88"/>
      <c r="K41" s="89"/>
      <c r="L41" s="44">
        <f t="shared" ref="L41:L60" si="79">BK41-BL41</f>
        <v>0</v>
      </c>
      <c r="M41" s="89"/>
      <c r="N41" s="89"/>
      <c r="O41" s="44">
        <f t="shared" ref="O41:O60" si="80">BP41-BQ41</f>
        <v>0</v>
      </c>
      <c r="P41" s="89"/>
      <c r="Q41" s="89"/>
      <c r="R41" s="44">
        <f t="shared" ref="R41:R60" si="81">BU41-BV41</f>
        <v>0</v>
      </c>
      <c r="S41" s="89"/>
      <c r="T41" s="89"/>
      <c r="U41" s="44">
        <f t="shared" ref="U41:U60" si="82">BZ41-CA41</f>
        <v>0</v>
      </c>
      <c r="V41" s="89"/>
      <c r="W41" s="89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6"/>
      <c r="D42" s="87"/>
      <c r="E42" s="87"/>
      <c r="F42" s="44">
        <f t="shared" si="77"/>
        <v>0</v>
      </c>
      <c r="G42" s="87"/>
      <c r="H42" s="87"/>
      <c r="I42" s="44">
        <f t="shared" si="78"/>
        <v>0</v>
      </c>
      <c r="J42" s="88"/>
      <c r="K42" s="89"/>
      <c r="L42" s="44">
        <f t="shared" si="79"/>
        <v>0</v>
      </c>
      <c r="M42" s="89"/>
      <c r="N42" s="89"/>
      <c r="O42" s="44">
        <f t="shared" si="80"/>
        <v>0</v>
      </c>
      <c r="P42" s="89"/>
      <c r="Q42" s="89"/>
      <c r="R42" s="44">
        <f t="shared" si="81"/>
        <v>0</v>
      </c>
      <c r="S42" s="89"/>
      <c r="T42" s="89"/>
      <c r="U42" s="44">
        <f t="shared" si="82"/>
        <v>0</v>
      </c>
      <c r="V42" s="89"/>
      <c r="W42" s="89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6"/>
      <c r="D43" s="87"/>
      <c r="E43" s="87"/>
      <c r="F43" s="44">
        <f t="shared" si="77"/>
        <v>0</v>
      </c>
      <c r="G43" s="87"/>
      <c r="H43" s="87"/>
      <c r="I43" s="44">
        <f t="shared" si="78"/>
        <v>0</v>
      </c>
      <c r="J43" s="88"/>
      <c r="K43" s="89"/>
      <c r="L43" s="44">
        <f t="shared" si="79"/>
        <v>0</v>
      </c>
      <c r="M43" s="89"/>
      <c r="N43" s="89"/>
      <c r="O43" s="44">
        <f t="shared" si="80"/>
        <v>0</v>
      </c>
      <c r="P43" s="89"/>
      <c r="Q43" s="89"/>
      <c r="R43" s="44">
        <f t="shared" si="81"/>
        <v>0</v>
      </c>
      <c r="S43" s="89"/>
      <c r="T43" s="89"/>
      <c r="U43" s="44">
        <f t="shared" si="82"/>
        <v>0</v>
      </c>
      <c r="V43" s="89"/>
      <c r="W43" s="89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6"/>
      <c r="D44" s="87"/>
      <c r="E44" s="87"/>
      <c r="F44" s="44">
        <f t="shared" si="77"/>
        <v>0</v>
      </c>
      <c r="G44" s="87"/>
      <c r="H44" s="87"/>
      <c r="I44" s="44">
        <f t="shared" si="78"/>
        <v>0</v>
      </c>
      <c r="J44" s="88"/>
      <c r="K44" s="89"/>
      <c r="L44" s="44">
        <f t="shared" si="79"/>
        <v>0</v>
      </c>
      <c r="M44" s="89"/>
      <c r="N44" s="89"/>
      <c r="O44" s="44">
        <f t="shared" si="80"/>
        <v>0</v>
      </c>
      <c r="P44" s="89"/>
      <c r="Q44" s="89"/>
      <c r="R44" s="44">
        <f t="shared" si="81"/>
        <v>0</v>
      </c>
      <c r="S44" s="89"/>
      <c r="T44" s="89"/>
      <c r="U44" s="44">
        <f t="shared" si="82"/>
        <v>0</v>
      </c>
      <c r="V44" s="89"/>
      <c r="W44" s="89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6"/>
      <c r="D45" s="87"/>
      <c r="E45" s="87"/>
      <c r="F45" s="44">
        <f t="shared" si="77"/>
        <v>0</v>
      </c>
      <c r="G45" s="87"/>
      <c r="H45" s="87"/>
      <c r="I45" s="44">
        <f t="shared" si="78"/>
        <v>0</v>
      </c>
      <c r="J45" s="88"/>
      <c r="K45" s="89"/>
      <c r="L45" s="44">
        <f t="shared" si="79"/>
        <v>0</v>
      </c>
      <c r="M45" s="89"/>
      <c r="N45" s="89"/>
      <c r="O45" s="44">
        <f t="shared" si="80"/>
        <v>0</v>
      </c>
      <c r="P45" s="89"/>
      <c r="Q45" s="89"/>
      <c r="R45" s="44">
        <f t="shared" si="81"/>
        <v>0</v>
      </c>
      <c r="S45" s="89"/>
      <c r="T45" s="89"/>
      <c r="U45" s="44">
        <f t="shared" si="82"/>
        <v>0</v>
      </c>
      <c r="V45" s="89"/>
      <c r="W45" s="89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6"/>
      <c r="D46" s="87"/>
      <c r="E46" s="87"/>
      <c r="F46" s="44">
        <f t="shared" si="77"/>
        <v>0</v>
      </c>
      <c r="G46" s="87"/>
      <c r="H46" s="87"/>
      <c r="I46" s="44">
        <f t="shared" si="78"/>
        <v>0</v>
      </c>
      <c r="J46" s="88"/>
      <c r="K46" s="89"/>
      <c r="L46" s="44">
        <f t="shared" si="79"/>
        <v>0</v>
      </c>
      <c r="M46" s="89"/>
      <c r="N46" s="89"/>
      <c r="O46" s="44">
        <f t="shared" si="80"/>
        <v>0</v>
      </c>
      <c r="P46" s="89"/>
      <c r="Q46" s="89"/>
      <c r="R46" s="44">
        <f t="shared" si="81"/>
        <v>0</v>
      </c>
      <c r="S46" s="89"/>
      <c r="T46" s="89"/>
      <c r="U46" s="44">
        <f t="shared" si="82"/>
        <v>0</v>
      </c>
      <c r="V46" s="89"/>
      <c r="W46" s="89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6"/>
      <c r="D47" s="87"/>
      <c r="E47" s="87"/>
      <c r="F47" s="44">
        <f t="shared" si="77"/>
        <v>0</v>
      </c>
      <c r="G47" s="87"/>
      <c r="H47" s="87"/>
      <c r="I47" s="44">
        <f t="shared" si="78"/>
        <v>0</v>
      </c>
      <c r="J47" s="88"/>
      <c r="K47" s="89"/>
      <c r="L47" s="44">
        <f t="shared" si="79"/>
        <v>0</v>
      </c>
      <c r="M47" s="89"/>
      <c r="N47" s="89"/>
      <c r="O47" s="44">
        <f t="shared" si="80"/>
        <v>0</v>
      </c>
      <c r="P47" s="89"/>
      <c r="Q47" s="89"/>
      <c r="R47" s="44">
        <f t="shared" si="81"/>
        <v>0</v>
      </c>
      <c r="S47" s="89"/>
      <c r="T47" s="89"/>
      <c r="U47" s="44">
        <f t="shared" si="82"/>
        <v>0</v>
      </c>
      <c r="V47" s="89"/>
      <c r="W47" s="89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6"/>
      <c r="D48" s="87"/>
      <c r="E48" s="87"/>
      <c r="F48" s="44">
        <f t="shared" ref="F48:F59" si="93">BA48-BB48</f>
        <v>0</v>
      </c>
      <c r="G48" s="87"/>
      <c r="H48" s="87"/>
      <c r="I48" s="44">
        <f t="shared" ref="I48:I59" si="94">BF48-BG48</f>
        <v>0</v>
      </c>
      <c r="J48" s="88"/>
      <c r="K48" s="89"/>
      <c r="L48" s="44">
        <f t="shared" ref="L48:L59" si="95">BK48-BL48</f>
        <v>0</v>
      </c>
      <c r="M48" s="89"/>
      <c r="N48" s="89"/>
      <c r="O48" s="44">
        <f t="shared" ref="O48:O59" si="96">BP48-BQ48</f>
        <v>0</v>
      </c>
      <c r="P48" s="89"/>
      <c r="Q48" s="89"/>
      <c r="R48" s="44">
        <f t="shared" ref="R48:R59" si="97">BU48-BV48</f>
        <v>0</v>
      </c>
      <c r="S48" s="89"/>
      <c r="T48" s="89"/>
      <c r="U48" s="44">
        <f t="shared" ref="U48:U59" si="98">BZ48-CA48</f>
        <v>0</v>
      </c>
      <c r="V48" s="89"/>
      <c r="W48" s="89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6"/>
      <c r="D49" s="87"/>
      <c r="E49" s="87"/>
      <c r="F49" s="44">
        <f t="shared" si="93"/>
        <v>0</v>
      </c>
      <c r="G49" s="87"/>
      <c r="H49" s="87"/>
      <c r="I49" s="44">
        <f t="shared" si="94"/>
        <v>0</v>
      </c>
      <c r="J49" s="88"/>
      <c r="K49" s="89"/>
      <c r="L49" s="44">
        <f t="shared" si="95"/>
        <v>0</v>
      </c>
      <c r="M49" s="89"/>
      <c r="N49" s="89"/>
      <c r="O49" s="44">
        <f t="shared" si="96"/>
        <v>0</v>
      </c>
      <c r="P49" s="89"/>
      <c r="Q49" s="89"/>
      <c r="R49" s="44">
        <f t="shared" si="97"/>
        <v>0</v>
      </c>
      <c r="S49" s="89"/>
      <c r="T49" s="89"/>
      <c r="U49" s="44">
        <f t="shared" si="98"/>
        <v>0</v>
      </c>
      <c r="V49" s="89"/>
      <c r="W49" s="89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6"/>
      <c r="D50" s="87"/>
      <c r="E50" s="87"/>
      <c r="F50" s="44">
        <f t="shared" si="93"/>
        <v>0</v>
      </c>
      <c r="G50" s="87"/>
      <c r="H50" s="87"/>
      <c r="I50" s="44">
        <f t="shared" si="94"/>
        <v>0</v>
      </c>
      <c r="J50" s="88"/>
      <c r="K50" s="89"/>
      <c r="L50" s="44">
        <f t="shared" si="95"/>
        <v>0</v>
      </c>
      <c r="M50" s="89"/>
      <c r="N50" s="89"/>
      <c r="O50" s="44">
        <f t="shared" si="96"/>
        <v>0</v>
      </c>
      <c r="P50" s="89"/>
      <c r="Q50" s="89"/>
      <c r="R50" s="44">
        <f t="shared" si="97"/>
        <v>0</v>
      </c>
      <c r="S50" s="89"/>
      <c r="T50" s="89"/>
      <c r="U50" s="44">
        <f t="shared" si="98"/>
        <v>0</v>
      </c>
      <c r="V50" s="89"/>
      <c r="W50" s="89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6"/>
      <c r="D51" s="87"/>
      <c r="E51" s="87"/>
      <c r="F51" s="44">
        <f t="shared" si="93"/>
        <v>0</v>
      </c>
      <c r="G51" s="87"/>
      <c r="H51" s="87"/>
      <c r="I51" s="44">
        <f t="shared" si="94"/>
        <v>0</v>
      </c>
      <c r="J51" s="88"/>
      <c r="K51" s="89"/>
      <c r="L51" s="44">
        <f t="shared" si="95"/>
        <v>0</v>
      </c>
      <c r="M51" s="89"/>
      <c r="N51" s="89"/>
      <c r="O51" s="44">
        <f t="shared" si="96"/>
        <v>0</v>
      </c>
      <c r="P51" s="89"/>
      <c r="Q51" s="89"/>
      <c r="R51" s="44">
        <f t="shared" si="97"/>
        <v>0</v>
      </c>
      <c r="S51" s="89"/>
      <c r="T51" s="89"/>
      <c r="U51" s="44">
        <f t="shared" si="98"/>
        <v>0</v>
      </c>
      <c r="V51" s="89"/>
      <c r="W51" s="89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6"/>
      <c r="D52" s="87"/>
      <c r="E52" s="87"/>
      <c r="F52" s="44">
        <f t="shared" si="93"/>
        <v>0</v>
      </c>
      <c r="G52" s="87"/>
      <c r="H52" s="87"/>
      <c r="I52" s="44">
        <f t="shared" si="94"/>
        <v>0</v>
      </c>
      <c r="J52" s="88"/>
      <c r="K52" s="89"/>
      <c r="L52" s="44">
        <f t="shared" si="95"/>
        <v>0</v>
      </c>
      <c r="M52" s="89"/>
      <c r="N52" s="89"/>
      <c r="O52" s="44">
        <f t="shared" si="96"/>
        <v>0</v>
      </c>
      <c r="P52" s="89"/>
      <c r="Q52" s="89"/>
      <c r="R52" s="44">
        <f t="shared" si="97"/>
        <v>0</v>
      </c>
      <c r="S52" s="89"/>
      <c r="T52" s="89"/>
      <c r="U52" s="44">
        <f t="shared" si="98"/>
        <v>0</v>
      </c>
      <c r="V52" s="89"/>
      <c r="W52" s="89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6"/>
      <c r="D53" s="87"/>
      <c r="E53" s="87"/>
      <c r="F53" s="44">
        <f t="shared" si="93"/>
        <v>0</v>
      </c>
      <c r="G53" s="87"/>
      <c r="H53" s="87"/>
      <c r="I53" s="44">
        <f t="shared" si="94"/>
        <v>0</v>
      </c>
      <c r="J53" s="88"/>
      <c r="K53" s="89"/>
      <c r="L53" s="44">
        <f t="shared" si="95"/>
        <v>0</v>
      </c>
      <c r="M53" s="89"/>
      <c r="N53" s="89"/>
      <c r="O53" s="44">
        <f t="shared" si="96"/>
        <v>0</v>
      </c>
      <c r="P53" s="89"/>
      <c r="Q53" s="89"/>
      <c r="R53" s="44">
        <f t="shared" si="97"/>
        <v>0</v>
      </c>
      <c r="S53" s="89"/>
      <c r="T53" s="89"/>
      <c r="U53" s="44">
        <f t="shared" si="98"/>
        <v>0</v>
      </c>
      <c r="V53" s="89"/>
      <c r="W53" s="89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6"/>
      <c r="D54" s="87"/>
      <c r="E54" s="87"/>
      <c r="F54" s="44">
        <f t="shared" si="93"/>
        <v>0</v>
      </c>
      <c r="G54" s="87"/>
      <c r="H54" s="87"/>
      <c r="I54" s="44">
        <f t="shared" si="94"/>
        <v>0</v>
      </c>
      <c r="J54" s="88"/>
      <c r="K54" s="89"/>
      <c r="L54" s="44">
        <f t="shared" si="95"/>
        <v>0</v>
      </c>
      <c r="M54" s="89"/>
      <c r="N54" s="89"/>
      <c r="O54" s="44">
        <f t="shared" si="96"/>
        <v>0</v>
      </c>
      <c r="P54" s="89"/>
      <c r="Q54" s="89"/>
      <c r="R54" s="44">
        <f t="shared" si="97"/>
        <v>0</v>
      </c>
      <c r="S54" s="89"/>
      <c r="T54" s="89"/>
      <c r="U54" s="44">
        <f t="shared" si="98"/>
        <v>0</v>
      </c>
      <c r="V54" s="89"/>
      <c r="W54" s="89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6"/>
      <c r="D55" s="87"/>
      <c r="E55" s="87"/>
      <c r="F55" s="44">
        <f t="shared" si="93"/>
        <v>0</v>
      </c>
      <c r="G55" s="87"/>
      <c r="H55" s="87"/>
      <c r="I55" s="44">
        <f t="shared" si="94"/>
        <v>0</v>
      </c>
      <c r="J55" s="88"/>
      <c r="K55" s="89"/>
      <c r="L55" s="44">
        <f t="shared" si="95"/>
        <v>0</v>
      </c>
      <c r="M55" s="89"/>
      <c r="N55" s="89"/>
      <c r="O55" s="44">
        <f t="shared" si="96"/>
        <v>0</v>
      </c>
      <c r="P55" s="89"/>
      <c r="Q55" s="89"/>
      <c r="R55" s="44">
        <f t="shared" si="97"/>
        <v>0</v>
      </c>
      <c r="S55" s="89"/>
      <c r="T55" s="89"/>
      <c r="U55" s="44">
        <f t="shared" si="98"/>
        <v>0</v>
      </c>
      <c r="V55" s="89"/>
      <c r="W55" s="89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6"/>
      <c r="D56" s="87"/>
      <c r="E56" s="87"/>
      <c r="F56" s="44">
        <f t="shared" si="93"/>
        <v>0</v>
      </c>
      <c r="G56" s="87"/>
      <c r="H56" s="87"/>
      <c r="I56" s="44">
        <f t="shared" si="94"/>
        <v>0</v>
      </c>
      <c r="J56" s="88"/>
      <c r="K56" s="89"/>
      <c r="L56" s="44">
        <f t="shared" si="95"/>
        <v>0</v>
      </c>
      <c r="M56" s="89"/>
      <c r="N56" s="89"/>
      <c r="O56" s="44">
        <f t="shared" si="96"/>
        <v>0</v>
      </c>
      <c r="P56" s="89"/>
      <c r="Q56" s="89"/>
      <c r="R56" s="44">
        <f t="shared" si="97"/>
        <v>0</v>
      </c>
      <c r="S56" s="89"/>
      <c r="T56" s="89"/>
      <c r="U56" s="44">
        <f t="shared" si="98"/>
        <v>0</v>
      </c>
      <c r="V56" s="89"/>
      <c r="W56" s="89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6"/>
      <c r="D57" s="87"/>
      <c r="E57" s="87"/>
      <c r="F57" s="44">
        <f t="shared" si="93"/>
        <v>0</v>
      </c>
      <c r="G57" s="87"/>
      <c r="H57" s="87"/>
      <c r="I57" s="44">
        <f t="shared" si="94"/>
        <v>0</v>
      </c>
      <c r="J57" s="88"/>
      <c r="K57" s="89"/>
      <c r="L57" s="44">
        <f t="shared" si="95"/>
        <v>0</v>
      </c>
      <c r="M57" s="89"/>
      <c r="N57" s="89"/>
      <c r="O57" s="44">
        <f t="shared" si="96"/>
        <v>0</v>
      </c>
      <c r="P57" s="89"/>
      <c r="Q57" s="89"/>
      <c r="R57" s="44">
        <f t="shared" si="97"/>
        <v>0</v>
      </c>
      <c r="S57" s="89"/>
      <c r="T57" s="89"/>
      <c r="U57" s="44">
        <f t="shared" si="98"/>
        <v>0</v>
      </c>
      <c r="V57" s="89"/>
      <c r="W57" s="89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6"/>
      <c r="D58" s="87"/>
      <c r="E58" s="87"/>
      <c r="F58" s="44">
        <f t="shared" si="93"/>
        <v>0</v>
      </c>
      <c r="G58" s="87"/>
      <c r="H58" s="87"/>
      <c r="I58" s="44">
        <f t="shared" si="94"/>
        <v>0</v>
      </c>
      <c r="J58" s="88"/>
      <c r="K58" s="89"/>
      <c r="L58" s="44">
        <f t="shared" si="95"/>
        <v>0</v>
      </c>
      <c r="M58" s="89"/>
      <c r="N58" s="89"/>
      <c r="O58" s="44">
        <f t="shared" si="96"/>
        <v>0</v>
      </c>
      <c r="P58" s="89"/>
      <c r="Q58" s="89"/>
      <c r="R58" s="44">
        <f t="shared" si="97"/>
        <v>0</v>
      </c>
      <c r="S58" s="89"/>
      <c r="T58" s="89"/>
      <c r="U58" s="44">
        <f t="shared" si="98"/>
        <v>0</v>
      </c>
      <c r="V58" s="89"/>
      <c r="W58" s="89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6"/>
      <c r="D59" s="87"/>
      <c r="E59" s="87"/>
      <c r="F59" s="44">
        <f t="shared" si="93"/>
        <v>0</v>
      </c>
      <c r="G59" s="87"/>
      <c r="H59" s="87"/>
      <c r="I59" s="44">
        <f t="shared" si="94"/>
        <v>0</v>
      </c>
      <c r="J59" s="88"/>
      <c r="K59" s="89"/>
      <c r="L59" s="44">
        <f t="shared" si="95"/>
        <v>0</v>
      </c>
      <c r="M59" s="89"/>
      <c r="N59" s="89"/>
      <c r="O59" s="44">
        <f t="shared" si="96"/>
        <v>0</v>
      </c>
      <c r="P59" s="89"/>
      <c r="Q59" s="89"/>
      <c r="R59" s="44">
        <f t="shared" si="97"/>
        <v>0</v>
      </c>
      <c r="S59" s="89"/>
      <c r="T59" s="89"/>
      <c r="U59" s="44">
        <f t="shared" si="98"/>
        <v>0</v>
      </c>
      <c r="V59" s="89"/>
      <c r="W59" s="89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6"/>
      <c r="D60" s="87"/>
      <c r="E60" s="87"/>
      <c r="F60" s="44">
        <f t="shared" si="77"/>
        <v>0</v>
      </c>
      <c r="G60" s="87"/>
      <c r="H60" s="87"/>
      <c r="I60" s="44">
        <f t="shared" si="78"/>
        <v>0</v>
      </c>
      <c r="J60" s="88"/>
      <c r="K60" s="89"/>
      <c r="L60" s="44">
        <f t="shared" si="79"/>
        <v>0</v>
      </c>
      <c r="M60" s="89"/>
      <c r="N60" s="89"/>
      <c r="O60" s="44">
        <f t="shared" si="80"/>
        <v>0</v>
      </c>
      <c r="P60" s="89"/>
      <c r="Q60" s="89"/>
      <c r="R60" s="44">
        <f t="shared" si="81"/>
        <v>0</v>
      </c>
      <c r="S60" s="89"/>
      <c r="T60" s="89"/>
      <c r="U60" s="44">
        <f t="shared" si="82"/>
        <v>0</v>
      </c>
      <c r="V60" s="89"/>
      <c r="W60" s="89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6"/>
      <c r="D61" s="87"/>
      <c r="E61" s="87"/>
      <c r="F61" s="44">
        <f t="shared" si="15"/>
        <v>0</v>
      </c>
      <c r="G61" s="87"/>
      <c r="H61" s="87"/>
      <c r="I61" s="44">
        <f t="shared" si="16"/>
        <v>0</v>
      </c>
      <c r="J61" s="88"/>
      <c r="K61" s="89"/>
      <c r="L61" s="44">
        <f t="shared" si="17"/>
        <v>0</v>
      </c>
      <c r="M61" s="89"/>
      <c r="N61" s="89"/>
      <c r="O61" s="44">
        <f t="shared" si="18"/>
        <v>0</v>
      </c>
      <c r="P61" s="89"/>
      <c r="Q61" s="89"/>
      <c r="R61" s="44">
        <f t="shared" si="19"/>
        <v>0</v>
      </c>
      <c r="S61" s="89"/>
      <c r="T61" s="89"/>
      <c r="U61" s="44">
        <f t="shared" si="20"/>
        <v>0</v>
      </c>
      <c r="V61" s="89"/>
      <c r="W61" s="89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6"/>
      <c r="D62" s="87"/>
      <c r="E62" s="87"/>
      <c r="F62" s="44">
        <f t="shared" si="15"/>
        <v>0</v>
      </c>
      <c r="G62" s="87"/>
      <c r="H62" s="87"/>
      <c r="I62" s="44">
        <f t="shared" si="16"/>
        <v>0</v>
      </c>
      <c r="J62" s="88"/>
      <c r="K62" s="89"/>
      <c r="L62" s="44">
        <f t="shared" si="17"/>
        <v>0</v>
      </c>
      <c r="M62" s="89"/>
      <c r="N62" s="89"/>
      <c r="O62" s="44">
        <f t="shared" si="18"/>
        <v>0</v>
      </c>
      <c r="P62" s="89"/>
      <c r="Q62" s="89"/>
      <c r="R62" s="44">
        <f t="shared" si="19"/>
        <v>0</v>
      </c>
      <c r="S62" s="89"/>
      <c r="T62" s="89"/>
      <c r="U62" s="44">
        <f t="shared" si="20"/>
        <v>0</v>
      </c>
      <c r="V62" s="89"/>
      <c r="W62" s="89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6"/>
      <c r="D63" s="87"/>
      <c r="E63" s="87"/>
      <c r="F63" s="44">
        <f t="shared" si="15"/>
        <v>0</v>
      </c>
      <c r="G63" s="87"/>
      <c r="H63" s="87"/>
      <c r="I63" s="44">
        <f t="shared" si="16"/>
        <v>0</v>
      </c>
      <c r="J63" s="88"/>
      <c r="K63" s="89"/>
      <c r="L63" s="44">
        <f t="shared" si="17"/>
        <v>0</v>
      </c>
      <c r="M63" s="89"/>
      <c r="N63" s="89"/>
      <c r="O63" s="44">
        <f t="shared" si="18"/>
        <v>0</v>
      </c>
      <c r="P63" s="89"/>
      <c r="Q63" s="89"/>
      <c r="R63" s="44">
        <f t="shared" si="19"/>
        <v>0</v>
      </c>
      <c r="S63" s="89"/>
      <c r="T63" s="89"/>
      <c r="U63" s="44">
        <f t="shared" si="20"/>
        <v>0</v>
      </c>
      <c r="V63" s="89"/>
      <c r="W63" s="89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6"/>
      <c r="D64" s="87"/>
      <c r="E64" s="87"/>
      <c r="F64" s="44">
        <f t="shared" si="15"/>
        <v>0</v>
      </c>
      <c r="G64" s="87"/>
      <c r="H64" s="87"/>
      <c r="I64" s="44">
        <f t="shared" si="16"/>
        <v>0</v>
      </c>
      <c r="J64" s="88"/>
      <c r="K64" s="89"/>
      <c r="L64" s="44">
        <f t="shared" si="17"/>
        <v>0</v>
      </c>
      <c r="M64" s="89"/>
      <c r="N64" s="89"/>
      <c r="O64" s="44">
        <f t="shared" si="18"/>
        <v>0</v>
      </c>
      <c r="P64" s="89"/>
      <c r="Q64" s="89"/>
      <c r="R64" s="44">
        <f t="shared" si="19"/>
        <v>0</v>
      </c>
      <c r="S64" s="89"/>
      <c r="T64" s="89"/>
      <c r="U64" s="44">
        <f t="shared" si="20"/>
        <v>0</v>
      </c>
      <c r="V64" s="89"/>
      <c r="W64" s="89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6"/>
      <c r="D65" s="87"/>
      <c r="E65" s="87"/>
      <c r="F65" s="44">
        <f t="shared" si="15"/>
        <v>0</v>
      </c>
      <c r="G65" s="87"/>
      <c r="H65" s="87"/>
      <c r="I65" s="44">
        <f t="shared" si="16"/>
        <v>0</v>
      </c>
      <c r="J65" s="88"/>
      <c r="K65" s="89"/>
      <c r="L65" s="44">
        <f t="shared" si="17"/>
        <v>0</v>
      </c>
      <c r="M65" s="89"/>
      <c r="N65" s="89"/>
      <c r="O65" s="44">
        <f t="shared" si="18"/>
        <v>0</v>
      </c>
      <c r="P65" s="89"/>
      <c r="Q65" s="89"/>
      <c r="R65" s="44">
        <f t="shared" si="19"/>
        <v>0</v>
      </c>
      <c r="S65" s="89"/>
      <c r="T65" s="89"/>
      <c r="U65" s="44">
        <f t="shared" si="20"/>
        <v>0</v>
      </c>
      <c r="V65" s="89"/>
      <c r="W65" s="89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6"/>
      <c r="D66" s="87"/>
      <c r="E66" s="87"/>
      <c r="F66" s="44">
        <f t="shared" si="15"/>
        <v>0</v>
      </c>
      <c r="G66" s="87"/>
      <c r="H66" s="87"/>
      <c r="I66" s="44">
        <f t="shared" si="16"/>
        <v>0</v>
      </c>
      <c r="J66" s="88"/>
      <c r="K66" s="89"/>
      <c r="L66" s="44">
        <f t="shared" si="17"/>
        <v>0</v>
      </c>
      <c r="M66" s="89"/>
      <c r="N66" s="89"/>
      <c r="O66" s="44">
        <f t="shared" si="18"/>
        <v>0</v>
      </c>
      <c r="P66" s="89"/>
      <c r="Q66" s="89"/>
      <c r="R66" s="44">
        <f t="shared" si="19"/>
        <v>0</v>
      </c>
      <c r="S66" s="89"/>
      <c r="T66" s="89"/>
      <c r="U66" s="44">
        <f t="shared" si="20"/>
        <v>0</v>
      </c>
      <c r="V66" s="89"/>
      <c r="W66" s="89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6"/>
      <c r="D67" s="87"/>
      <c r="E67" s="87"/>
      <c r="F67" s="44">
        <f t="shared" si="15"/>
        <v>0</v>
      </c>
      <c r="G67" s="87"/>
      <c r="H67" s="89"/>
      <c r="I67" s="44">
        <f t="shared" si="16"/>
        <v>0</v>
      </c>
      <c r="J67" s="88"/>
      <c r="K67" s="89"/>
      <c r="L67" s="44">
        <f t="shared" si="17"/>
        <v>0</v>
      </c>
      <c r="M67" s="89"/>
      <c r="N67" s="89"/>
      <c r="O67" s="44">
        <f t="shared" si="18"/>
        <v>0</v>
      </c>
      <c r="P67" s="89"/>
      <c r="Q67" s="89"/>
      <c r="R67" s="44">
        <f t="shared" si="19"/>
        <v>0</v>
      </c>
      <c r="S67" s="89"/>
      <c r="T67" s="89"/>
      <c r="U67" s="44">
        <f t="shared" si="20"/>
        <v>0</v>
      </c>
      <c r="V67" s="89"/>
      <c r="W67" s="89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6"/>
      <c r="D68" s="87"/>
      <c r="E68" s="87"/>
      <c r="F68" s="44">
        <f t="shared" si="15"/>
        <v>0</v>
      </c>
      <c r="G68" s="87"/>
      <c r="H68" s="87"/>
      <c r="I68" s="44">
        <f t="shared" si="16"/>
        <v>0</v>
      </c>
      <c r="J68" s="88"/>
      <c r="K68" s="89"/>
      <c r="L68" s="44">
        <f t="shared" si="17"/>
        <v>0</v>
      </c>
      <c r="M68" s="89"/>
      <c r="N68" s="89"/>
      <c r="O68" s="44">
        <f t="shared" si="18"/>
        <v>0</v>
      </c>
      <c r="P68" s="89"/>
      <c r="Q68" s="89"/>
      <c r="R68" s="44">
        <f t="shared" si="19"/>
        <v>0</v>
      </c>
      <c r="S68" s="89"/>
      <c r="T68" s="89"/>
      <c r="U68" s="44">
        <f t="shared" si="20"/>
        <v>0</v>
      </c>
      <c r="V68" s="89"/>
      <c r="W68" s="89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6"/>
      <c r="D69" s="87"/>
      <c r="E69" s="87"/>
      <c r="F69" s="44">
        <f t="shared" si="15"/>
        <v>0</v>
      </c>
      <c r="G69" s="87"/>
      <c r="H69" s="87"/>
      <c r="I69" s="44">
        <f t="shared" si="16"/>
        <v>0</v>
      </c>
      <c r="J69" s="88"/>
      <c r="K69" s="89"/>
      <c r="L69" s="44">
        <f t="shared" si="17"/>
        <v>0</v>
      </c>
      <c r="M69" s="89"/>
      <c r="N69" s="89"/>
      <c r="O69" s="44">
        <f t="shared" si="18"/>
        <v>0</v>
      </c>
      <c r="P69" s="89"/>
      <c r="Q69" s="89"/>
      <c r="R69" s="44">
        <f t="shared" si="19"/>
        <v>0</v>
      </c>
      <c r="S69" s="89"/>
      <c r="T69" s="89"/>
      <c r="U69" s="44">
        <f t="shared" si="20"/>
        <v>0</v>
      </c>
      <c r="V69" s="89"/>
      <c r="W69" s="89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6"/>
      <c r="D70" s="87"/>
      <c r="E70" s="87"/>
      <c r="F70" s="44">
        <f t="shared" ref="F70:F100" si="152">BA70-BB70</f>
        <v>0</v>
      </c>
      <c r="G70" s="87"/>
      <c r="H70" s="87"/>
      <c r="I70" s="44">
        <f t="shared" ref="I70:I100" si="153">BF70-BG70</f>
        <v>0</v>
      </c>
      <c r="J70" s="88"/>
      <c r="K70" s="89"/>
      <c r="L70" s="44">
        <f t="shared" ref="L70:L100" si="154">BK70-BL70</f>
        <v>0</v>
      </c>
      <c r="M70" s="89"/>
      <c r="N70" s="89"/>
      <c r="O70" s="44">
        <f t="shared" ref="O70:O100" si="155">BP70-BQ70</f>
        <v>0</v>
      </c>
      <c r="P70" s="89"/>
      <c r="Q70" s="89"/>
      <c r="R70" s="44">
        <f t="shared" ref="R70:R100" si="156">BU70-BV70</f>
        <v>0</v>
      </c>
      <c r="S70" s="89"/>
      <c r="T70" s="89"/>
      <c r="U70" s="44">
        <f t="shared" ref="U70:U100" si="157">BZ70-CA70</f>
        <v>0</v>
      </c>
      <c r="V70" s="89"/>
      <c r="W70" s="89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6"/>
      <c r="D71" s="87"/>
      <c r="E71" s="87"/>
      <c r="F71" s="44">
        <f t="shared" si="152"/>
        <v>0</v>
      </c>
      <c r="G71" s="87"/>
      <c r="H71" s="87"/>
      <c r="I71" s="44">
        <f t="shared" si="153"/>
        <v>0</v>
      </c>
      <c r="J71" s="88"/>
      <c r="K71" s="89"/>
      <c r="L71" s="44">
        <f t="shared" si="154"/>
        <v>0</v>
      </c>
      <c r="M71" s="89"/>
      <c r="N71" s="89"/>
      <c r="O71" s="44">
        <f t="shared" si="155"/>
        <v>0</v>
      </c>
      <c r="P71" s="89"/>
      <c r="Q71" s="89"/>
      <c r="R71" s="44">
        <f t="shared" si="156"/>
        <v>0</v>
      </c>
      <c r="S71" s="89"/>
      <c r="T71" s="89"/>
      <c r="U71" s="44">
        <f t="shared" si="157"/>
        <v>0</v>
      </c>
      <c r="V71" s="89"/>
      <c r="W71" s="89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6"/>
      <c r="D72" s="87"/>
      <c r="E72" s="87"/>
      <c r="F72" s="44">
        <f t="shared" si="152"/>
        <v>0</v>
      </c>
      <c r="G72" s="87"/>
      <c r="H72" s="87"/>
      <c r="I72" s="44">
        <f t="shared" si="153"/>
        <v>0</v>
      </c>
      <c r="J72" s="88"/>
      <c r="K72" s="89"/>
      <c r="L72" s="44">
        <f t="shared" si="154"/>
        <v>0</v>
      </c>
      <c r="M72" s="89"/>
      <c r="N72" s="89"/>
      <c r="O72" s="44">
        <f t="shared" si="155"/>
        <v>0</v>
      </c>
      <c r="P72" s="89"/>
      <c r="Q72" s="89"/>
      <c r="R72" s="44">
        <f t="shared" si="156"/>
        <v>0</v>
      </c>
      <c r="S72" s="89"/>
      <c r="T72" s="89"/>
      <c r="U72" s="44">
        <f t="shared" si="157"/>
        <v>0</v>
      </c>
      <c r="V72" s="89"/>
      <c r="W72" s="89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6"/>
      <c r="D73" s="87"/>
      <c r="E73" s="87"/>
      <c r="F73" s="44">
        <f t="shared" si="152"/>
        <v>0</v>
      </c>
      <c r="G73" s="87"/>
      <c r="H73" s="87"/>
      <c r="I73" s="44">
        <f t="shared" si="153"/>
        <v>0</v>
      </c>
      <c r="J73" s="88"/>
      <c r="K73" s="89"/>
      <c r="L73" s="44">
        <f t="shared" si="154"/>
        <v>0</v>
      </c>
      <c r="M73" s="89"/>
      <c r="N73" s="89"/>
      <c r="O73" s="44">
        <f t="shared" si="155"/>
        <v>0</v>
      </c>
      <c r="P73" s="89"/>
      <c r="Q73" s="89"/>
      <c r="R73" s="44">
        <f t="shared" si="156"/>
        <v>0</v>
      </c>
      <c r="S73" s="89"/>
      <c r="T73" s="89"/>
      <c r="U73" s="44">
        <f t="shared" si="157"/>
        <v>0</v>
      </c>
      <c r="V73" s="89"/>
      <c r="W73" s="89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6"/>
      <c r="D74" s="87"/>
      <c r="E74" s="87"/>
      <c r="F74" s="44">
        <f t="shared" si="152"/>
        <v>0</v>
      </c>
      <c r="G74" s="87"/>
      <c r="H74" s="87"/>
      <c r="I74" s="44">
        <f t="shared" si="153"/>
        <v>0</v>
      </c>
      <c r="J74" s="88"/>
      <c r="K74" s="89"/>
      <c r="L74" s="44">
        <f t="shared" si="154"/>
        <v>0</v>
      </c>
      <c r="M74" s="89"/>
      <c r="N74" s="89"/>
      <c r="O74" s="44">
        <f t="shared" si="155"/>
        <v>0</v>
      </c>
      <c r="P74" s="89"/>
      <c r="Q74" s="89"/>
      <c r="R74" s="44">
        <f t="shared" si="156"/>
        <v>0</v>
      </c>
      <c r="S74" s="89"/>
      <c r="T74" s="89"/>
      <c r="U74" s="44">
        <f t="shared" si="157"/>
        <v>0</v>
      </c>
      <c r="V74" s="89"/>
      <c r="W74" s="89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6"/>
      <c r="D75" s="87"/>
      <c r="E75" s="87"/>
      <c r="F75" s="44">
        <f t="shared" si="152"/>
        <v>0</v>
      </c>
      <c r="G75" s="87"/>
      <c r="H75" s="87"/>
      <c r="I75" s="44">
        <f t="shared" si="153"/>
        <v>0</v>
      </c>
      <c r="J75" s="88"/>
      <c r="K75" s="89"/>
      <c r="L75" s="44">
        <f t="shared" si="154"/>
        <v>0</v>
      </c>
      <c r="M75" s="89"/>
      <c r="N75" s="89"/>
      <c r="O75" s="44">
        <f t="shared" si="155"/>
        <v>0</v>
      </c>
      <c r="P75" s="89"/>
      <c r="Q75" s="89"/>
      <c r="R75" s="44">
        <f t="shared" si="156"/>
        <v>0</v>
      </c>
      <c r="S75" s="89"/>
      <c r="T75" s="89"/>
      <c r="U75" s="44">
        <f t="shared" si="157"/>
        <v>0</v>
      </c>
      <c r="V75" s="89"/>
      <c r="W75" s="89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6"/>
      <c r="D76" s="87"/>
      <c r="E76" s="87"/>
      <c r="F76" s="44">
        <f t="shared" si="152"/>
        <v>0</v>
      </c>
      <c r="G76" s="87"/>
      <c r="H76" s="87"/>
      <c r="I76" s="44">
        <f t="shared" si="153"/>
        <v>0</v>
      </c>
      <c r="J76" s="88"/>
      <c r="K76" s="89"/>
      <c r="L76" s="44">
        <f t="shared" si="154"/>
        <v>0</v>
      </c>
      <c r="M76" s="89"/>
      <c r="N76" s="89"/>
      <c r="O76" s="44">
        <f t="shared" si="155"/>
        <v>0</v>
      </c>
      <c r="P76" s="89"/>
      <c r="Q76" s="89"/>
      <c r="R76" s="44">
        <f t="shared" si="156"/>
        <v>0</v>
      </c>
      <c r="S76" s="89"/>
      <c r="T76" s="89"/>
      <c r="U76" s="44">
        <f t="shared" si="157"/>
        <v>0</v>
      </c>
      <c r="V76" s="89"/>
      <c r="W76" s="89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6"/>
      <c r="D77" s="87"/>
      <c r="E77" s="87"/>
      <c r="F77" s="44">
        <f t="shared" si="152"/>
        <v>0</v>
      </c>
      <c r="G77" s="87"/>
      <c r="H77" s="87"/>
      <c r="I77" s="44">
        <f t="shared" si="153"/>
        <v>0</v>
      </c>
      <c r="J77" s="88"/>
      <c r="K77" s="89"/>
      <c r="L77" s="44">
        <f t="shared" si="154"/>
        <v>0</v>
      </c>
      <c r="M77" s="89"/>
      <c r="N77" s="89"/>
      <c r="O77" s="44">
        <f t="shared" si="155"/>
        <v>0</v>
      </c>
      <c r="P77" s="89"/>
      <c r="Q77" s="89"/>
      <c r="R77" s="44">
        <f t="shared" si="156"/>
        <v>0</v>
      </c>
      <c r="S77" s="89"/>
      <c r="T77" s="89"/>
      <c r="U77" s="44">
        <f t="shared" si="157"/>
        <v>0</v>
      </c>
      <c r="V77" s="89"/>
      <c r="W77" s="89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6"/>
      <c r="D78" s="87"/>
      <c r="E78" s="87"/>
      <c r="F78" s="44">
        <f t="shared" si="152"/>
        <v>0</v>
      </c>
      <c r="G78" s="87"/>
      <c r="H78" s="87"/>
      <c r="I78" s="44">
        <f t="shared" si="153"/>
        <v>0</v>
      </c>
      <c r="J78" s="88"/>
      <c r="K78" s="89"/>
      <c r="L78" s="44">
        <f t="shared" si="154"/>
        <v>0</v>
      </c>
      <c r="M78" s="89"/>
      <c r="N78" s="89"/>
      <c r="O78" s="44">
        <f t="shared" si="155"/>
        <v>0</v>
      </c>
      <c r="P78" s="89"/>
      <c r="Q78" s="89"/>
      <c r="R78" s="44">
        <f t="shared" si="156"/>
        <v>0</v>
      </c>
      <c r="S78" s="89"/>
      <c r="T78" s="89"/>
      <c r="U78" s="44">
        <f t="shared" si="157"/>
        <v>0</v>
      </c>
      <c r="V78" s="89"/>
      <c r="W78" s="89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6"/>
      <c r="D79" s="87"/>
      <c r="E79" s="87"/>
      <c r="F79" s="44">
        <f t="shared" si="152"/>
        <v>0</v>
      </c>
      <c r="G79" s="87"/>
      <c r="H79" s="87"/>
      <c r="I79" s="44">
        <f t="shared" si="153"/>
        <v>0</v>
      </c>
      <c r="J79" s="88"/>
      <c r="K79" s="89"/>
      <c r="L79" s="44">
        <f t="shared" si="154"/>
        <v>0</v>
      </c>
      <c r="M79" s="89"/>
      <c r="N79" s="89"/>
      <c r="O79" s="44">
        <f t="shared" si="155"/>
        <v>0</v>
      </c>
      <c r="P79" s="89"/>
      <c r="Q79" s="89"/>
      <c r="R79" s="44">
        <f t="shared" si="156"/>
        <v>0</v>
      </c>
      <c r="S79" s="89"/>
      <c r="T79" s="89"/>
      <c r="U79" s="44">
        <f t="shared" si="157"/>
        <v>0</v>
      </c>
      <c r="V79" s="89"/>
      <c r="W79" s="89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6"/>
      <c r="D80" s="87"/>
      <c r="E80" s="87"/>
      <c r="F80" s="44">
        <f t="shared" si="152"/>
        <v>0</v>
      </c>
      <c r="G80" s="87"/>
      <c r="H80" s="87"/>
      <c r="I80" s="44">
        <f t="shared" si="153"/>
        <v>0</v>
      </c>
      <c r="J80" s="88"/>
      <c r="K80" s="89"/>
      <c r="L80" s="44">
        <f t="shared" si="154"/>
        <v>0</v>
      </c>
      <c r="M80" s="89"/>
      <c r="N80" s="89"/>
      <c r="O80" s="44">
        <f t="shared" si="155"/>
        <v>0</v>
      </c>
      <c r="P80" s="89"/>
      <c r="Q80" s="89"/>
      <c r="R80" s="44">
        <f t="shared" si="156"/>
        <v>0</v>
      </c>
      <c r="S80" s="89"/>
      <c r="T80" s="89"/>
      <c r="U80" s="44">
        <f t="shared" si="157"/>
        <v>0</v>
      </c>
      <c r="V80" s="89"/>
      <c r="W80" s="89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6"/>
      <c r="D81" s="87"/>
      <c r="E81" s="87"/>
      <c r="F81" s="44">
        <f t="shared" si="152"/>
        <v>0</v>
      </c>
      <c r="G81" s="87"/>
      <c r="H81" s="87"/>
      <c r="I81" s="44">
        <f t="shared" si="153"/>
        <v>0</v>
      </c>
      <c r="J81" s="88"/>
      <c r="K81" s="89"/>
      <c r="L81" s="44">
        <f t="shared" si="154"/>
        <v>0</v>
      </c>
      <c r="M81" s="89"/>
      <c r="N81" s="89"/>
      <c r="O81" s="44">
        <f t="shared" si="155"/>
        <v>0</v>
      </c>
      <c r="P81" s="89"/>
      <c r="Q81" s="89"/>
      <c r="R81" s="44">
        <f t="shared" si="156"/>
        <v>0</v>
      </c>
      <c r="S81" s="89"/>
      <c r="T81" s="89"/>
      <c r="U81" s="44">
        <f t="shared" si="157"/>
        <v>0</v>
      </c>
      <c r="V81" s="89"/>
      <c r="W81" s="89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6"/>
      <c r="D82" s="87"/>
      <c r="E82" s="87"/>
      <c r="F82" s="44">
        <f t="shared" si="152"/>
        <v>0</v>
      </c>
      <c r="G82" s="87"/>
      <c r="H82" s="87"/>
      <c r="I82" s="44">
        <f t="shared" si="153"/>
        <v>0</v>
      </c>
      <c r="J82" s="88"/>
      <c r="K82" s="89"/>
      <c r="L82" s="44">
        <f t="shared" si="154"/>
        <v>0</v>
      </c>
      <c r="M82" s="89"/>
      <c r="N82" s="89"/>
      <c r="O82" s="44">
        <f t="shared" si="155"/>
        <v>0</v>
      </c>
      <c r="P82" s="89"/>
      <c r="Q82" s="89"/>
      <c r="R82" s="44">
        <f t="shared" si="156"/>
        <v>0</v>
      </c>
      <c r="S82" s="89"/>
      <c r="T82" s="89"/>
      <c r="U82" s="44">
        <f t="shared" si="157"/>
        <v>0</v>
      </c>
      <c r="V82" s="89"/>
      <c r="W82" s="89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6"/>
      <c r="D83" s="87"/>
      <c r="E83" s="87"/>
      <c r="F83" s="44">
        <f t="shared" si="152"/>
        <v>0</v>
      </c>
      <c r="G83" s="87"/>
      <c r="H83" s="87"/>
      <c r="I83" s="44">
        <f t="shared" si="153"/>
        <v>0</v>
      </c>
      <c r="J83" s="88"/>
      <c r="K83" s="89"/>
      <c r="L83" s="44">
        <f t="shared" si="154"/>
        <v>0</v>
      </c>
      <c r="M83" s="89"/>
      <c r="N83" s="89"/>
      <c r="O83" s="44">
        <f t="shared" si="155"/>
        <v>0</v>
      </c>
      <c r="P83" s="89"/>
      <c r="Q83" s="89"/>
      <c r="R83" s="44">
        <f t="shared" si="156"/>
        <v>0</v>
      </c>
      <c r="S83" s="89"/>
      <c r="T83" s="89"/>
      <c r="U83" s="44">
        <f t="shared" si="157"/>
        <v>0</v>
      </c>
      <c r="V83" s="89"/>
      <c r="W83" s="89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6"/>
      <c r="D84" s="87"/>
      <c r="E84" s="87"/>
      <c r="F84" s="44">
        <f t="shared" si="152"/>
        <v>0</v>
      </c>
      <c r="G84" s="87"/>
      <c r="H84" s="87"/>
      <c r="I84" s="44">
        <f t="shared" si="153"/>
        <v>0</v>
      </c>
      <c r="J84" s="88"/>
      <c r="K84" s="89"/>
      <c r="L84" s="44">
        <f t="shared" si="154"/>
        <v>0</v>
      </c>
      <c r="M84" s="89"/>
      <c r="N84" s="89"/>
      <c r="O84" s="44">
        <f t="shared" si="155"/>
        <v>0</v>
      </c>
      <c r="P84" s="89"/>
      <c r="Q84" s="89"/>
      <c r="R84" s="44">
        <f t="shared" si="156"/>
        <v>0</v>
      </c>
      <c r="S84" s="89"/>
      <c r="T84" s="89"/>
      <c r="U84" s="44">
        <f t="shared" si="157"/>
        <v>0</v>
      </c>
      <c r="V84" s="89"/>
      <c r="W84" s="89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6"/>
      <c r="D85" s="87"/>
      <c r="E85" s="87"/>
      <c r="F85" s="44">
        <f t="shared" si="152"/>
        <v>0</v>
      </c>
      <c r="G85" s="87"/>
      <c r="H85" s="87"/>
      <c r="I85" s="44">
        <f t="shared" si="153"/>
        <v>0</v>
      </c>
      <c r="J85" s="88"/>
      <c r="K85" s="89"/>
      <c r="L85" s="44">
        <f t="shared" si="154"/>
        <v>0</v>
      </c>
      <c r="M85" s="89"/>
      <c r="N85" s="89"/>
      <c r="O85" s="44">
        <f t="shared" si="155"/>
        <v>0</v>
      </c>
      <c r="P85" s="89"/>
      <c r="Q85" s="89"/>
      <c r="R85" s="44">
        <f t="shared" si="156"/>
        <v>0</v>
      </c>
      <c r="S85" s="89"/>
      <c r="T85" s="89"/>
      <c r="U85" s="44">
        <f t="shared" si="157"/>
        <v>0</v>
      </c>
      <c r="V85" s="89"/>
      <c r="W85" s="89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6"/>
      <c r="D86" s="87"/>
      <c r="E86" s="87"/>
      <c r="F86" s="44">
        <f t="shared" si="152"/>
        <v>0</v>
      </c>
      <c r="G86" s="87"/>
      <c r="H86" s="87"/>
      <c r="I86" s="44">
        <f t="shared" si="153"/>
        <v>0</v>
      </c>
      <c r="J86" s="88"/>
      <c r="K86" s="89"/>
      <c r="L86" s="44">
        <f t="shared" si="154"/>
        <v>0</v>
      </c>
      <c r="M86" s="89"/>
      <c r="N86" s="89"/>
      <c r="O86" s="44">
        <f t="shared" si="155"/>
        <v>0</v>
      </c>
      <c r="P86" s="89"/>
      <c r="Q86" s="89"/>
      <c r="R86" s="44">
        <f t="shared" si="156"/>
        <v>0</v>
      </c>
      <c r="S86" s="89"/>
      <c r="T86" s="89"/>
      <c r="U86" s="44">
        <f t="shared" si="157"/>
        <v>0</v>
      </c>
      <c r="V86" s="89"/>
      <c r="W86" s="89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6"/>
      <c r="D87" s="87"/>
      <c r="E87" s="87"/>
      <c r="F87" s="44">
        <f t="shared" si="152"/>
        <v>0</v>
      </c>
      <c r="G87" s="87"/>
      <c r="H87" s="87"/>
      <c r="I87" s="44">
        <f t="shared" si="153"/>
        <v>0</v>
      </c>
      <c r="J87" s="88"/>
      <c r="K87" s="89"/>
      <c r="L87" s="44">
        <f t="shared" si="154"/>
        <v>0</v>
      </c>
      <c r="M87" s="89"/>
      <c r="N87" s="89"/>
      <c r="O87" s="44">
        <f t="shared" si="155"/>
        <v>0</v>
      </c>
      <c r="P87" s="89"/>
      <c r="Q87" s="89"/>
      <c r="R87" s="44">
        <f t="shared" si="156"/>
        <v>0</v>
      </c>
      <c r="S87" s="89"/>
      <c r="T87" s="89"/>
      <c r="U87" s="44">
        <f t="shared" si="157"/>
        <v>0</v>
      </c>
      <c r="V87" s="89"/>
      <c r="W87" s="89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6"/>
      <c r="D88" s="87"/>
      <c r="E88" s="87"/>
      <c r="F88" s="44">
        <f t="shared" si="152"/>
        <v>0</v>
      </c>
      <c r="G88" s="87"/>
      <c r="H88" s="87"/>
      <c r="I88" s="44">
        <f t="shared" si="153"/>
        <v>0</v>
      </c>
      <c r="J88" s="88"/>
      <c r="K88" s="89"/>
      <c r="L88" s="44">
        <f t="shared" si="154"/>
        <v>0</v>
      </c>
      <c r="M88" s="89"/>
      <c r="N88" s="89"/>
      <c r="O88" s="44">
        <f t="shared" si="155"/>
        <v>0</v>
      </c>
      <c r="P88" s="89"/>
      <c r="Q88" s="89"/>
      <c r="R88" s="44">
        <f t="shared" si="156"/>
        <v>0</v>
      </c>
      <c r="S88" s="89"/>
      <c r="T88" s="89"/>
      <c r="U88" s="44">
        <f t="shared" si="157"/>
        <v>0</v>
      </c>
      <c r="V88" s="89"/>
      <c r="W88" s="89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6"/>
      <c r="D89" s="87"/>
      <c r="E89" s="87"/>
      <c r="F89" s="44">
        <f t="shared" si="152"/>
        <v>0</v>
      </c>
      <c r="G89" s="87"/>
      <c r="H89" s="87"/>
      <c r="I89" s="44">
        <f t="shared" si="153"/>
        <v>0</v>
      </c>
      <c r="J89" s="88"/>
      <c r="K89" s="89"/>
      <c r="L89" s="44">
        <f t="shared" si="154"/>
        <v>0</v>
      </c>
      <c r="M89" s="89"/>
      <c r="N89" s="89"/>
      <c r="O89" s="44">
        <f t="shared" si="155"/>
        <v>0</v>
      </c>
      <c r="P89" s="89"/>
      <c r="Q89" s="89"/>
      <c r="R89" s="44">
        <f t="shared" si="156"/>
        <v>0</v>
      </c>
      <c r="S89" s="89"/>
      <c r="T89" s="89"/>
      <c r="U89" s="44">
        <f t="shared" si="157"/>
        <v>0</v>
      </c>
      <c r="V89" s="89"/>
      <c r="W89" s="89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6"/>
      <c r="D90" s="87"/>
      <c r="E90" s="87"/>
      <c r="F90" s="44">
        <f t="shared" si="152"/>
        <v>0</v>
      </c>
      <c r="G90" s="87"/>
      <c r="H90" s="87"/>
      <c r="I90" s="44">
        <f t="shared" si="153"/>
        <v>0</v>
      </c>
      <c r="J90" s="88"/>
      <c r="K90" s="89"/>
      <c r="L90" s="44">
        <f t="shared" si="154"/>
        <v>0</v>
      </c>
      <c r="M90" s="89"/>
      <c r="N90" s="89"/>
      <c r="O90" s="44">
        <f t="shared" si="155"/>
        <v>0</v>
      </c>
      <c r="P90" s="89"/>
      <c r="Q90" s="89"/>
      <c r="R90" s="44">
        <f t="shared" si="156"/>
        <v>0</v>
      </c>
      <c r="S90" s="89"/>
      <c r="T90" s="89"/>
      <c r="U90" s="44">
        <f t="shared" si="157"/>
        <v>0</v>
      </c>
      <c r="V90" s="89"/>
      <c r="W90" s="89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6"/>
      <c r="D91" s="87"/>
      <c r="E91" s="87"/>
      <c r="F91" s="44">
        <f t="shared" si="152"/>
        <v>0</v>
      </c>
      <c r="G91" s="87"/>
      <c r="H91" s="87"/>
      <c r="I91" s="44">
        <f t="shared" si="153"/>
        <v>0</v>
      </c>
      <c r="J91" s="88"/>
      <c r="K91" s="89"/>
      <c r="L91" s="44">
        <f t="shared" si="154"/>
        <v>0</v>
      </c>
      <c r="M91" s="89"/>
      <c r="N91" s="89"/>
      <c r="O91" s="44">
        <f t="shared" si="155"/>
        <v>0</v>
      </c>
      <c r="P91" s="89"/>
      <c r="Q91" s="89"/>
      <c r="R91" s="44">
        <f t="shared" si="156"/>
        <v>0</v>
      </c>
      <c r="S91" s="89"/>
      <c r="T91" s="89"/>
      <c r="U91" s="44">
        <f t="shared" si="157"/>
        <v>0</v>
      </c>
      <c r="V91" s="89"/>
      <c r="W91" s="89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6"/>
      <c r="D92" s="87"/>
      <c r="E92" s="87"/>
      <c r="F92" s="44">
        <f t="shared" si="152"/>
        <v>0</v>
      </c>
      <c r="G92" s="87"/>
      <c r="H92" s="87"/>
      <c r="I92" s="44">
        <f t="shared" si="153"/>
        <v>0</v>
      </c>
      <c r="J92" s="88"/>
      <c r="K92" s="89"/>
      <c r="L92" s="44">
        <f t="shared" si="154"/>
        <v>0</v>
      </c>
      <c r="M92" s="89"/>
      <c r="N92" s="89"/>
      <c r="O92" s="44">
        <f t="shared" si="155"/>
        <v>0</v>
      </c>
      <c r="P92" s="89"/>
      <c r="Q92" s="89"/>
      <c r="R92" s="44">
        <f t="shared" si="156"/>
        <v>0</v>
      </c>
      <c r="S92" s="89"/>
      <c r="T92" s="89"/>
      <c r="U92" s="44">
        <f t="shared" si="157"/>
        <v>0</v>
      </c>
      <c r="V92" s="89"/>
      <c r="W92" s="89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6"/>
      <c r="D93" s="87"/>
      <c r="E93" s="87"/>
      <c r="F93" s="44">
        <f t="shared" si="152"/>
        <v>0</v>
      </c>
      <c r="G93" s="87"/>
      <c r="H93" s="87"/>
      <c r="I93" s="44">
        <f t="shared" si="153"/>
        <v>0</v>
      </c>
      <c r="J93" s="88"/>
      <c r="K93" s="89"/>
      <c r="L93" s="44">
        <f t="shared" si="154"/>
        <v>0</v>
      </c>
      <c r="M93" s="89"/>
      <c r="N93" s="89"/>
      <c r="O93" s="44">
        <f t="shared" si="155"/>
        <v>0</v>
      </c>
      <c r="P93" s="89"/>
      <c r="Q93" s="89"/>
      <c r="R93" s="44">
        <f t="shared" si="156"/>
        <v>0</v>
      </c>
      <c r="S93" s="89"/>
      <c r="T93" s="89"/>
      <c r="U93" s="44">
        <f t="shared" si="157"/>
        <v>0</v>
      </c>
      <c r="V93" s="89"/>
      <c r="W93" s="89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6"/>
      <c r="D94" s="87"/>
      <c r="E94" s="87"/>
      <c r="F94" s="44">
        <f t="shared" si="152"/>
        <v>0</v>
      </c>
      <c r="G94" s="87"/>
      <c r="H94" s="87"/>
      <c r="I94" s="44">
        <f t="shared" si="153"/>
        <v>0</v>
      </c>
      <c r="J94" s="88"/>
      <c r="K94" s="89"/>
      <c r="L94" s="44">
        <f t="shared" si="154"/>
        <v>0</v>
      </c>
      <c r="M94" s="89"/>
      <c r="N94" s="89"/>
      <c r="O94" s="44">
        <f t="shared" si="155"/>
        <v>0</v>
      </c>
      <c r="P94" s="89"/>
      <c r="Q94" s="89"/>
      <c r="R94" s="44">
        <f t="shared" si="156"/>
        <v>0</v>
      </c>
      <c r="S94" s="89"/>
      <c r="T94" s="89"/>
      <c r="U94" s="44">
        <f t="shared" si="157"/>
        <v>0</v>
      </c>
      <c r="V94" s="89"/>
      <c r="W94" s="89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6"/>
      <c r="D95" s="87"/>
      <c r="E95" s="87"/>
      <c r="F95" s="44">
        <f t="shared" si="152"/>
        <v>0</v>
      </c>
      <c r="G95" s="87"/>
      <c r="H95" s="87"/>
      <c r="I95" s="44">
        <f t="shared" si="153"/>
        <v>0</v>
      </c>
      <c r="J95" s="88"/>
      <c r="K95" s="89"/>
      <c r="L95" s="44">
        <f t="shared" si="154"/>
        <v>0</v>
      </c>
      <c r="M95" s="89"/>
      <c r="N95" s="89"/>
      <c r="O95" s="44">
        <f t="shared" si="155"/>
        <v>0</v>
      </c>
      <c r="P95" s="89"/>
      <c r="Q95" s="89"/>
      <c r="R95" s="44">
        <f t="shared" si="156"/>
        <v>0</v>
      </c>
      <c r="S95" s="89"/>
      <c r="T95" s="89"/>
      <c r="U95" s="44">
        <f t="shared" si="157"/>
        <v>0</v>
      </c>
      <c r="V95" s="89"/>
      <c r="W95" s="89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6"/>
      <c r="D96" s="87"/>
      <c r="E96" s="87"/>
      <c r="F96" s="44">
        <f t="shared" si="152"/>
        <v>0</v>
      </c>
      <c r="G96" s="87"/>
      <c r="H96" s="87"/>
      <c r="I96" s="44">
        <f t="shared" si="153"/>
        <v>0</v>
      </c>
      <c r="J96" s="88"/>
      <c r="K96" s="89"/>
      <c r="L96" s="44">
        <f t="shared" si="154"/>
        <v>0</v>
      </c>
      <c r="M96" s="89"/>
      <c r="N96" s="89"/>
      <c r="O96" s="44">
        <f t="shared" si="155"/>
        <v>0</v>
      </c>
      <c r="P96" s="89"/>
      <c r="Q96" s="89"/>
      <c r="R96" s="44">
        <f t="shared" si="156"/>
        <v>0</v>
      </c>
      <c r="S96" s="89"/>
      <c r="T96" s="89"/>
      <c r="U96" s="44">
        <f t="shared" si="157"/>
        <v>0</v>
      </c>
      <c r="V96" s="89"/>
      <c r="W96" s="89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6"/>
      <c r="D97" s="87"/>
      <c r="E97" s="87"/>
      <c r="F97" s="44">
        <f t="shared" si="152"/>
        <v>0</v>
      </c>
      <c r="G97" s="87"/>
      <c r="H97" s="87"/>
      <c r="I97" s="44">
        <f t="shared" si="153"/>
        <v>0</v>
      </c>
      <c r="J97" s="88"/>
      <c r="K97" s="89"/>
      <c r="L97" s="44">
        <f t="shared" si="154"/>
        <v>0</v>
      </c>
      <c r="M97" s="89"/>
      <c r="N97" s="89"/>
      <c r="O97" s="44">
        <f t="shared" si="155"/>
        <v>0</v>
      </c>
      <c r="P97" s="89"/>
      <c r="Q97" s="89"/>
      <c r="R97" s="44">
        <f t="shared" si="156"/>
        <v>0</v>
      </c>
      <c r="S97" s="89"/>
      <c r="T97" s="89"/>
      <c r="U97" s="44">
        <f t="shared" si="157"/>
        <v>0</v>
      </c>
      <c r="V97" s="89"/>
      <c r="W97" s="89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6"/>
      <c r="D98" s="87"/>
      <c r="E98" s="87"/>
      <c r="F98" s="44">
        <f t="shared" si="152"/>
        <v>0</v>
      </c>
      <c r="G98" s="87"/>
      <c r="H98" s="87"/>
      <c r="I98" s="44">
        <f t="shared" si="153"/>
        <v>0</v>
      </c>
      <c r="J98" s="88"/>
      <c r="K98" s="89"/>
      <c r="L98" s="44">
        <f t="shared" si="154"/>
        <v>0</v>
      </c>
      <c r="M98" s="89"/>
      <c r="N98" s="89"/>
      <c r="O98" s="44">
        <f t="shared" si="155"/>
        <v>0</v>
      </c>
      <c r="P98" s="89"/>
      <c r="Q98" s="89"/>
      <c r="R98" s="44">
        <f t="shared" si="156"/>
        <v>0</v>
      </c>
      <c r="S98" s="89"/>
      <c r="T98" s="89"/>
      <c r="U98" s="44">
        <f t="shared" si="157"/>
        <v>0</v>
      </c>
      <c r="V98" s="89"/>
      <c r="W98" s="89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6"/>
      <c r="D99" s="87"/>
      <c r="E99" s="87"/>
      <c r="F99" s="44">
        <f t="shared" si="152"/>
        <v>0</v>
      </c>
      <c r="G99" s="87"/>
      <c r="H99" s="87"/>
      <c r="I99" s="44">
        <f t="shared" si="153"/>
        <v>0</v>
      </c>
      <c r="J99" s="88"/>
      <c r="K99" s="89"/>
      <c r="L99" s="44">
        <f t="shared" si="154"/>
        <v>0</v>
      </c>
      <c r="M99" s="89"/>
      <c r="N99" s="89"/>
      <c r="O99" s="44">
        <f t="shared" si="155"/>
        <v>0</v>
      </c>
      <c r="P99" s="89"/>
      <c r="Q99" s="89"/>
      <c r="R99" s="44">
        <f t="shared" si="156"/>
        <v>0</v>
      </c>
      <c r="S99" s="89"/>
      <c r="T99" s="89"/>
      <c r="U99" s="44">
        <f t="shared" si="157"/>
        <v>0</v>
      </c>
      <c r="V99" s="89"/>
      <c r="W99" s="89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6"/>
      <c r="D100" s="87"/>
      <c r="E100" s="87"/>
      <c r="F100" s="44">
        <f t="shared" si="152"/>
        <v>0</v>
      </c>
      <c r="G100" s="87"/>
      <c r="H100" s="87"/>
      <c r="I100" s="44">
        <f t="shared" si="153"/>
        <v>0</v>
      </c>
      <c r="J100" s="88"/>
      <c r="K100" s="89"/>
      <c r="L100" s="44">
        <f t="shared" si="154"/>
        <v>0</v>
      </c>
      <c r="M100" s="89"/>
      <c r="N100" s="89"/>
      <c r="O100" s="44">
        <f t="shared" si="155"/>
        <v>0</v>
      </c>
      <c r="P100" s="89"/>
      <c r="Q100" s="89"/>
      <c r="R100" s="44">
        <f t="shared" si="156"/>
        <v>0</v>
      </c>
      <c r="S100" s="89"/>
      <c r="T100" s="89"/>
      <c r="U100" s="44">
        <f t="shared" si="157"/>
        <v>0</v>
      </c>
      <c r="V100" s="89"/>
      <c r="W100" s="89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8" operator="equal">
      <formula>"Pub"</formula>
    </cfRule>
  </conditionalFormatting>
  <conditionalFormatting sqref="F2:F100 I2:I100 L2:L100 O2:O100 R2:R100 U2:U100 X2:AB100 AT2:AT100">
    <cfRule type="cellIs" dxfId="18" priority="700" operator="lessThan">
      <formula>0</formula>
    </cfRule>
    <cfRule type="cellIs" dxfId="17" priority="701" operator="between">
      <formula>3</formula>
      <formula>0.01</formula>
    </cfRule>
    <cfRule type="cellIs" dxfId="16" priority="773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4">
      <formula>LEN(TRIM(AF2))&gt;0</formula>
    </cfRule>
  </conditionalFormatting>
  <conditionalFormatting sqref="AH2:AH100">
    <cfRule type="notContainsBlanks" dxfId="13" priority="4">
      <formula>LEN(TRIM(AH2))&gt;0</formula>
    </cfRule>
  </conditionalFormatting>
  <conditionalFormatting sqref="AT1">
    <cfRule type="cellIs" dxfId="12" priority="693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tabSelected="1" zoomScale="60" zoomScaleNormal="60" workbookViewId="0">
      <pane xSplit="3" ySplit="1" topLeftCell="AC2" activePane="bottomRight" state="frozen"/>
      <selection pane="topRight" activeCell="D1" sqref="D1"/>
      <selection pane="bottomLeft" activeCell="A2" sqref="A2"/>
      <selection pane="bottomRight" activeCell="AR5" sqref="AR5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46216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46217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46218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46219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46220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46221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46222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46223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10253</v>
      </c>
      <c r="B2" s="81" t="s">
        <v>531</v>
      </c>
      <c r="C2" s="104" t="s">
        <v>721</v>
      </c>
      <c r="D2" s="75"/>
      <c r="E2" s="75"/>
      <c r="F2" s="90">
        <f>BA2-BB2</f>
        <v>0</v>
      </c>
      <c r="G2" s="75"/>
      <c r="H2" s="97"/>
      <c r="I2" s="90">
        <f>BF2-BG2</f>
        <v>0</v>
      </c>
      <c r="J2" s="75"/>
      <c r="K2" s="76"/>
      <c r="L2" s="90">
        <f>BK2-BL2</f>
        <v>0</v>
      </c>
      <c r="M2" s="103"/>
      <c r="N2" s="76"/>
      <c r="O2" s="90">
        <f>BP2-BQ2</f>
        <v>0</v>
      </c>
      <c r="P2" s="75"/>
      <c r="Q2" s="76"/>
      <c r="R2" s="90">
        <f>BU2-BV2</f>
        <v>0</v>
      </c>
      <c r="S2" s="75"/>
      <c r="T2" s="75"/>
      <c r="U2" s="90">
        <f>BZ2-CA2</f>
        <v>0</v>
      </c>
      <c r="V2" s="75"/>
      <c r="W2" s="97"/>
      <c r="X2" s="90">
        <f>CE2-CF2</f>
        <v>0</v>
      </c>
      <c r="Y2" s="90"/>
      <c r="Z2" s="90"/>
      <c r="AA2" s="90"/>
      <c r="AB2" s="94">
        <f>SUM(F2,I2,L2,O2,R2,U2,X2)</f>
        <v>0</v>
      </c>
      <c r="AC2" s="91"/>
      <c r="AD2" s="78">
        <v>1</v>
      </c>
      <c r="AE2" s="92">
        <f>SUMIF($BC$1:$CI$1,AE$1,$BC2:$CI2)+AD2</f>
        <v>1</v>
      </c>
      <c r="AF2" s="78"/>
      <c r="AG2" s="92">
        <f>SUMIF($BC$1:$CI$1,AG$1,$BC2:$CI2)+AF2</f>
        <v>0</v>
      </c>
      <c r="AH2" s="78"/>
      <c r="AI2" s="92">
        <f>SUMIF($BC$1:$CI$1,AI$1,$BC2:$CI2)+AH2</f>
        <v>0</v>
      </c>
      <c r="AJ2" s="77"/>
      <c r="AK2" s="92">
        <f>SUMIF($BC$1:$CI$1,AK$1,$BC2:$CI2)+AJ2</f>
        <v>0</v>
      </c>
      <c r="AL2" s="78"/>
      <c r="AM2" s="92">
        <f>SUMIF($BC$1:$CI$1,AM$1,$BC2:$CI2)+AL2</f>
        <v>0</v>
      </c>
      <c r="AN2" s="77"/>
      <c r="AO2" s="92">
        <f>SUMIF($BC$1:$CI$1,AO$1,$BC2:$CI2)+AN2</f>
        <v>0</v>
      </c>
      <c r="AP2" s="93">
        <f>CK2</f>
        <v>0</v>
      </c>
      <c r="AQ2" s="77"/>
      <c r="AR2" s="77">
        <v>38</v>
      </c>
      <c r="AS2" s="77"/>
      <c r="AT2" s="63">
        <f>AE2+AG2+AI2+AK2+AM2+AO2+SUM(AQ2:AS2)</f>
        <v>39</v>
      </c>
      <c r="AU2" s="78" t="s">
        <v>1645</v>
      </c>
      <c r="AV2" s="5"/>
      <c r="AW2" s="5"/>
      <c r="AX2" s="5"/>
      <c r="AY2" s="5"/>
      <c r="AZ2" s="24">
        <f>VLOOKUP(C2,Employees!D:I,6,FALSE)</f>
        <v>10253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>
        <f t="shared" si="0"/>
        <v>10275</v>
      </c>
      <c r="B3" s="81" t="s">
        <v>531</v>
      </c>
      <c r="C3" s="104" t="s">
        <v>777</v>
      </c>
      <c r="D3" s="75"/>
      <c r="E3" s="75"/>
      <c r="F3" s="90">
        <f t="shared" ref="F3:F74" si="9">BA3-BB3</f>
        <v>0</v>
      </c>
      <c r="G3" s="75">
        <v>0.41666666666666669</v>
      </c>
      <c r="H3" s="75">
        <v>0.66666666666666663</v>
      </c>
      <c r="I3" s="90">
        <f t="shared" ref="I3:I74" si="10">BF3-BG3</f>
        <v>5.4999999999999982</v>
      </c>
      <c r="J3" s="75"/>
      <c r="K3" s="75"/>
      <c r="L3" s="90">
        <f t="shared" ref="L3:L74" si="11">BK3-BL3</f>
        <v>0</v>
      </c>
      <c r="M3" s="75">
        <v>0.54166666666666663</v>
      </c>
      <c r="N3" s="75">
        <v>0.8520833333333333</v>
      </c>
      <c r="O3" s="90">
        <f t="shared" ref="O3:O74" si="12">BP3-BQ3</f>
        <v>6.95</v>
      </c>
      <c r="P3" s="84">
        <v>0.41666666666666669</v>
      </c>
      <c r="Q3" s="84">
        <v>0.66666666666666663</v>
      </c>
      <c r="R3" s="90">
        <f t="shared" ref="R3:R74" si="13">BU3-BV3</f>
        <v>5.4999999999999982</v>
      </c>
      <c r="S3" s="84">
        <v>0.58333333333333337</v>
      </c>
      <c r="T3" s="84">
        <v>0.875</v>
      </c>
      <c r="U3" s="90">
        <f t="shared" ref="U3:U74" si="14">BZ3-CA3</f>
        <v>6.4999999999999991</v>
      </c>
      <c r="V3" s="75">
        <v>0.62986111111111109</v>
      </c>
      <c r="W3" s="75">
        <v>0.85763888888888884</v>
      </c>
      <c r="X3" s="90">
        <f t="shared" ref="X3:X74" si="15">CE3-CF3</f>
        <v>5.4666666666666659</v>
      </c>
      <c r="Y3" s="90"/>
      <c r="Z3" s="90"/>
      <c r="AA3" s="90"/>
      <c r="AB3" s="94">
        <f t="shared" ref="AB3:AB74" si="16">SUM(F3,I3,L3,O3,R3,U3,X3)</f>
        <v>29.916666666666661</v>
      </c>
      <c r="AC3" s="91"/>
      <c r="AD3" s="78"/>
      <c r="AE3" s="92">
        <f t="shared" ref="AE3:AE74" si="17">SUMIF($BC$1:$CI$1,AE$1,$BC3:$CI3)+AD3</f>
        <v>17.949999999999996</v>
      </c>
      <c r="AF3" s="78"/>
      <c r="AG3" s="92">
        <f t="shared" ref="AG3:AG74" si="18">SUMIF($BC$1:$CI$1,AG$1,$BC3:$CI3)+AF3</f>
        <v>6.4999999999999991</v>
      </c>
      <c r="AH3" s="78"/>
      <c r="AI3" s="92">
        <f t="shared" ref="AI3:AI74" si="19">SUMIF($BC$1:$CI$1,AI$1,$BC3:$CI3)+AH3</f>
        <v>5.4666666666666659</v>
      </c>
      <c r="AJ3" s="77"/>
      <c r="AK3" s="92">
        <f t="shared" ref="AK3:AK74" si="20">SUMIF($BC$1:$CI$1,AK$1,$BC3:$CI3)+AJ3</f>
        <v>0</v>
      </c>
      <c r="AL3" s="78"/>
      <c r="AM3" s="92">
        <f t="shared" ref="AM3:AM74" si="21">SUMIF($BC$1:$CI$1,AM$1,$BC3:$CI3)+AL3</f>
        <v>0</v>
      </c>
      <c r="AN3" s="77"/>
      <c r="AO3" s="92">
        <f t="shared" ref="AO3:AO74" si="22">SUMIF($BC$1:$CI$1,AO$1,$BC3:$CI3)+AN3</f>
        <v>0</v>
      </c>
      <c r="AP3" s="93">
        <f t="shared" ref="AP3:AP74" si="23">CK3</f>
        <v>5</v>
      </c>
      <c r="AQ3" s="77"/>
      <c r="AR3" s="77"/>
      <c r="AS3" s="77"/>
      <c r="AT3" s="63">
        <f t="shared" ref="AT3:AT74" si="24">AE3+AG3+AI3+AK3+AM3+AO3+SUM(AQ3:AS3)</f>
        <v>29.916666666666661</v>
      </c>
      <c r="AU3" s="78" t="s">
        <v>1643</v>
      </c>
      <c r="AV3" s="5"/>
      <c r="AW3" s="5"/>
      <c r="AX3" s="5"/>
      <c r="AY3" s="5"/>
      <c r="AZ3" s="24">
        <f>VLOOKUP(C3,Employees!D:I,6,FALSE)</f>
        <v>10275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5.9999999999999982</v>
      </c>
      <c r="BG3" s="5">
        <f t="shared" ref="BG3:BG66" si="31">IF(BF3&gt;$AY$1,1,IF(BF3&gt;=$AX$1,0.5,0))</f>
        <v>0.5</v>
      </c>
      <c r="BH3" s="5">
        <f t="shared" ref="BH3:BH66" si="32">BF3-BG3-BI3-BJ3</f>
        <v>5.4999999999999982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7.45</v>
      </c>
      <c r="BQ3" s="5">
        <f t="shared" ref="BQ3:BQ66" si="41">IF(BP3&gt;$AY$1,1,IF(BP3&gt;=$AX$1,0.5,0))</f>
        <v>0.5</v>
      </c>
      <c r="BR3" s="5">
        <f t="shared" ref="BR3:BR66" si="42">BP3-BQ3-BS3-BT3</f>
        <v>6.95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5.9999999999999982</v>
      </c>
      <c r="BV3" s="5">
        <f t="shared" ref="BV3:BV66" si="46">IF(BU3&gt;$AY$1,1,IF(BU3&gt;=$AX$1,0.5,0))</f>
        <v>0.5</v>
      </c>
      <c r="BW3" s="5">
        <f t="shared" ref="BW3:BW66" si="47">BU3-BV3-BX3-BY3</f>
        <v>5.4999999999999982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6.9999999999999991</v>
      </c>
      <c r="CA3" s="5">
        <f t="shared" ref="CA3:CA66" si="51">IF(BZ3&gt;$AY$1,1,IF(BZ3&gt;=$AX$1,0.5,0))</f>
        <v>0.5</v>
      </c>
      <c r="CB3" s="5">
        <f t="shared" ref="CB3:CB66" si="52">BZ3-CA3-CC3-CD3</f>
        <v>6.4999999999999991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5.4666666666666659</v>
      </c>
      <c r="CF3" s="5">
        <f t="shared" ref="CF3:CF66" si="56">IF(CE3&gt;$AY$1,1,IF(CE3&gt;=$AX$1,0.5,0))</f>
        <v>0</v>
      </c>
      <c r="CG3" s="5">
        <f t="shared" ref="CG3:CG66" si="57">CE3-CF3-CH3-CI3</f>
        <v>5.4666666666666659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5</v>
      </c>
    </row>
    <row r="4" spans="1:89" ht="47" customHeight="1">
      <c r="A4" s="74">
        <f t="shared" si="0"/>
        <v>10431</v>
      </c>
      <c r="B4" s="81" t="s">
        <v>531</v>
      </c>
      <c r="C4" s="105" t="s">
        <v>1181</v>
      </c>
      <c r="D4" s="75">
        <v>0.41666666666666669</v>
      </c>
      <c r="E4" s="75">
        <v>0.66666666666666663</v>
      </c>
      <c r="F4" s="90">
        <f t="shared" si="9"/>
        <v>5.4999999999999982</v>
      </c>
      <c r="G4" s="75">
        <v>0.5625</v>
      </c>
      <c r="H4" s="75">
        <v>0.85416666666666663</v>
      </c>
      <c r="I4" s="90">
        <f t="shared" si="10"/>
        <v>6.4999999999999991</v>
      </c>
      <c r="J4" s="75">
        <v>0.41666666666666669</v>
      </c>
      <c r="K4" s="75">
        <v>0.67708333333333337</v>
      </c>
      <c r="L4" s="90">
        <f t="shared" si="11"/>
        <v>5.75</v>
      </c>
      <c r="M4" s="75">
        <v>0.41666666666666669</v>
      </c>
      <c r="N4" s="75">
        <v>0.66666666666666663</v>
      </c>
      <c r="O4" s="90">
        <f t="shared" si="12"/>
        <v>5.4999999999999982</v>
      </c>
      <c r="P4" s="75"/>
      <c r="Q4" s="75"/>
      <c r="R4" s="90">
        <f t="shared" si="13"/>
        <v>0</v>
      </c>
      <c r="S4" s="75">
        <v>0.41666666666666669</v>
      </c>
      <c r="T4" s="75">
        <v>0.625</v>
      </c>
      <c r="U4" s="90">
        <f t="shared" si="14"/>
        <v>5</v>
      </c>
      <c r="V4" s="75"/>
      <c r="W4" s="75"/>
      <c r="X4" s="90">
        <f t="shared" si="15"/>
        <v>0</v>
      </c>
      <c r="Y4" s="90"/>
      <c r="Z4" s="90"/>
      <c r="AA4" s="90"/>
      <c r="AB4" s="94">
        <f t="shared" si="16"/>
        <v>28.249999999999993</v>
      </c>
      <c r="AC4" s="91"/>
      <c r="AD4" s="78"/>
      <c r="AE4" s="92">
        <f t="shared" si="17"/>
        <v>23.249999999999993</v>
      </c>
      <c r="AF4" s="78"/>
      <c r="AG4" s="92">
        <f t="shared" si="18"/>
        <v>5</v>
      </c>
      <c r="AH4" s="78"/>
      <c r="AI4" s="92">
        <f t="shared" si="19"/>
        <v>0</v>
      </c>
      <c r="AJ4" s="77"/>
      <c r="AK4" s="92">
        <f t="shared" si="20"/>
        <v>0</v>
      </c>
      <c r="AL4" s="78"/>
      <c r="AM4" s="92">
        <f t="shared" si="21"/>
        <v>0</v>
      </c>
      <c r="AN4" s="77"/>
      <c r="AO4" s="92">
        <f t="shared" si="22"/>
        <v>0</v>
      </c>
      <c r="AP4" s="93">
        <f t="shared" si="23"/>
        <v>5</v>
      </c>
      <c r="AQ4" s="77"/>
      <c r="AR4" s="77"/>
      <c r="AS4" s="77"/>
      <c r="AT4" s="63">
        <f t="shared" si="24"/>
        <v>28.249999999999993</v>
      </c>
      <c r="AU4" s="78" t="s">
        <v>1642</v>
      </c>
      <c r="AV4" s="5"/>
      <c r="AW4" s="5"/>
      <c r="AX4" s="5"/>
      <c r="AY4" s="5"/>
      <c r="AZ4" s="24">
        <f>VLOOKUP(C4,Employees!D:I,6,FALSE)</f>
        <v>10431</v>
      </c>
      <c r="BA4" s="5">
        <f t="shared" si="25"/>
        <v>5.9999999999999982</v>
      </c>
      <c r="BB4" s="5">
        <f t="shared" si="26"/>
        <v>0.5</v>
      </c>
      <c r="BC4" s="5">
        <f t="shared" si="27"/>
        <v>5.4999999999999982</v>
      </c>
      <c r="BD4" s="5">
        <f t="shared" si="28"/>
        <v>0</v>
      </c>
      <c r="BE4" s="5">
        <f t="shared" si="29"/>
        <v>0</v>
      </c>
      <c r="BF4" s="5">
        <f t="shared" si="30"/>
        <v>6.9999999999999991</v>
      </c>
      <c r="BG4" s="5">
        <f t="shared" si="31"/>
        <v>0.5</v>
      </c>
      <c r="BH4" s="5">
        <f t="shared" si="32"/>
        <v>6.4999999999999991</v>
      </c>
      <c r="BI4" s="5">
        <f t="shared" si="33"/>
        <v>0</v>
      </c>
      <c r="BJ4" s="5">
        <f t="shared" si="34"/>
        <v>0</v>
      </c>
      <c r="BK4" s="5">
        <f t="shared" si="35"/>
        <v>6.25</v>
      </c>
      <c r="BL4" s="5">
        <f t="shared" si="36"/>
        <v>0.5</v>
      </c>
      <c r="BM4" s="5">
        <f t="shared" si="37"/>
        <v>5.75</v>
      </c>
      <c r="BN4" s="5">
        <f t="shared" si="38"/>
        <v>0</v>
      </c>
      <c r="BO4" s="5">
        <f t="shared" si="39"/>
        <v>0</v>
      </c>
      <c r="BP4" s="5">
        <f t="shared" si="40"/>
        <v>5.9999999999999982</v>
      </c>
      <c r="BQ4" s="5">
        <f t="shared" si="41"/>
        <v>0.5</v>
      </c>
      <c r="BR4" s="5">
        <f t="shared" si="42"/>
        <v>5.4999999999999982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5</v>
      </c>
      <c r="CA4" s="5">
        <f t="shared" si="51"/>
        <v>0</v>
      </c>
      <c r="CB4" s="5">
        <f t="shared" si="52"/>
        <v>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5</v>
      </c>
    </row>
    <row r="5" spans="1:89" ht="47" customHeight="1">
      <c r="A5" s="74">
        <f t="shared" si="0"/>
        <v>210415</v>
      </c>
      <c r="B5" s="81" t="s">
        <v>531</v>
      </c>
      <c r="C5" s="105" t="s">
        <v>1143</v>
      </c>
      <c r="D5" s="76"/>
      <c r="E5" s="75"/>
      <c r="F5" s="90">
        <f t="shared" si="9"/>
        <v>0</v>
      </c>
      <c r="G5" s="75"/>
      <c r="H5" s="76"/>
      <c r="I5" s="90">
        <f t="shared" si="10"/>
        <v>0</v>
      </c>
      <c r="J5" s="76"/>
      <c r="K5" s="76"/>
      <c r="L5" s="90">
        <f t="shared" si="11"/>
        <v>0</v>
      </c>
      <c r="M5" s="75"/>
      <c r="N5" s="75"/>
      <c r="O5" s="90">
        <f t="shared" si="12"/>
        <v>0</v>
      </c>
      <c r="P5" s="75">
        <v>0.54374999999999996</v>
      </c>
      <c r="Q5" s="75">
        <v>0.85416666666666663</v>
      </c>
      <c r="R5" s="90">
        <f t="shared" si="13"/>
        <v>6.95</v>
      </c>
      <c r="S5" s="103"/>
      <c r="T5" s="75"/>
      <c r="U5" s="90">
        <f t="shared" si="14"/>
        <v>0</v>
      </c>
      <c r="V5" s="75">
        <v>0.54513888888888884</v>
      </c>
      <c r="W5" s="76">
        <v>0.77083333333333337</v>
      </c>
      <c r="X5" s="90">
        <f t="shared" si="15"/>
        <v>5.4166666666666687</v>
      </c>
      <c r="Y5" s="90"/>
      <c r="Z5" s="90"/>
      <c r="AA5" s="90"/>
      <c r="AB5" s="94">
        <f t="shared" si="16"/>
        <v>12.366666666666669</v>
      </c>
      <c r="AC5" s="91"/>
      <c r="AD5" s="78"/>
      <c r="AE5" s="92">
        <f t="shared" si="17"/>
        <v>6.95</v>
      </c>
      <c r="AF5" s="78"/>
      <c r="AG5" s="92">
        <f t="shared" si="18"/>
        <v>0</v>
      </c>
      <c r="AH5" s="78"/>
      <c r="AI5" s="92">
        <f t="shared" si="19"/>
        <v>5.4166666666666687</v>
      </c>
      <c r="AJ5" s="77"/>
      <c r="AK5" s="92">
        <f t="shared" si="20"/>
        <v>0</v>
      </c>
      <c r="AL5" s="78"/>
      <c r="AM5" s="92">
        <f t="shared" si="21"/>
        <v>0</v>
      </c>
      <c r="AN5" s="77"/>
      <c r="AO5" s="92">
        <f t="shared" si="22"/>
        <v>0</v>
      </c>
      <c r="AP5" s="93">
        <f t="shared" si="23"/>
        <v>2</v>
      </c>
      <c r="AQ5" s="77"/>
      <c r="AR5" s="77"/>
      <c r="AS5" s="77"/>
      <c r="AT5" s="63">
        <f t="shared" si="24"/>
        <v>12.366666666666669</v>
      </c>
      <c r="AU5" s="78" t="s">
        <v>1646</v>
      </c>
      <c r="AV5" s="5"/>
      <c r="AW5" s="5"/>
      <c r="AX5" s="5"/>
      <c r="AY5" s="5"/>
      <c r="AZ5" s="24">
        <f>VLOOKUP(C5,Employees!D:I,6,FALSE)</f>
        <v>210415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7.45</v>
      </c>
      <c r="BV5" s="5">
        <f t="shared" si="46"/>
        <v>0.5</v>
      </c>
      <c r="BW5" s="5">
        <f t="shared" si="47"/>
        <v>6.95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5.4166666666666687</v>
      </c>
      <c r="CF5" s="5">
        <f t="shared" si="56"/>
        <v>0</v>
      </c>
      <c r="CG5" s="5">
        <f t="shared" si="57"/>
        <v>5.4166666666666687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210517</v>
      </c>
      <c r="B6" s="81" t="s">
        <v>531</v>
      </c>
      <c r="C6" s="105" t="s">
        <v>1420</v>
      </c>
      <c r="D6" s="76">
        <v>0.54166666666666663</v>
      </c>
      <c r="E6" s="75">
        <v>0.84861111111111109</v>
      </c>
      <c r="F6" s="90">
        <f t="shared" si="9"/>
        <v>6.8666666666666671</v>
      </c>
      <c r="G6" s="75"/>
      <c r="H6" s="76"/>
      <c r="I6" s="90">
        <f t="shared" si="10"/>
        <v>0</v>
      </c>
      <c r="J6" s="76">
        <v>0.54374999999999996</v>
      </c>
      <c r="K6" s="76">
        <v>0.85416666666666663</v>
      </c>
      <c r="L6" s="90">
        <f t="shared" si="11"/>
        <v>6.95</v>
      </c>
      <c r="M6" s="76"/>
      <c r="N6" s="76"/>
      <c r="O6" s="90">
        <f t="shared" si="12"/>
        <v>0</v>
      </c>
      <c r="P6" s="76"/>
      <c r="Q6" s="75"/>
      <c r="R6" s="90">
        <f t="shared" si="13"/>
        <v>0</v>
      </c>
      <c r="S6" s="75">
        <v>0.54166666666666663</v>
      </c>
      <c r="T6" s="75">
        <v>0.75902777777777775</v>
      </c>
      <c r="U6" s="90">
        <f t="shared" si="14"/>
        <v>5.2166666666666668</v>
      </c>
      <c r="V6" s="75">
        <v>0.41666666666666669</v>
      </c>
      <c r="W6" s="76">
        <v>0.625</v>
      </c>
      <c r="X6" s="90">
        <f t="shared" si="15"/>
        <v>5</v>
      </c>
      <c r="Y6" s="90"/>
      <c r="Z6" s="90"/>
      <c r="AA6" s="90"/>
      <c r="AB6" s="94">
        <f t="shared" si="16"/>
        <v>24.033333333333331</v>
      </c>
      <c r="AC6" s="91"/>
      <c r="AD6" s="78"/>
      <c r="AE6" s="92">
        <f t="shared" si="17"/>
        <v>13.816666666666666</v>
      </c>
      <c r="AF6" s="78"/>
      <c r="AG6" s="92">
        <f t="shared" si="18"/>
        <v>5.2166666666666668</v>
      </c>
      <c r="AH6" s="78"/>
      <c r="AI6" s="92">
        <f t="shared" si="19"/>
        <v>5</v>
      </c>
      <c r="AJ6" s="77"/>
      <c r="AK6" s="92">
        <f t="shared" si="20"/>
        <v>0</v>
      </c>
      <c r="AL6" s="78"/>
      <c r="AM6" s="92">
        <f t="shared" si="21"/>
        <v>0</v>
      </c>
      <c r="AN6" s="77"/>
      <c r="AO6" s="92">
        <f t="shared" si="22"/>
        <v>0</v>
      </c>
      <c r="AP6" s="93">
        <f t="shared" si="23"/>
        <v>4</v>
      </c>
      <c r="AQ6" s="77"/>
      <c r="AR6" s="77"/>
      <c r="AS6" s="77"/>
      <c r="AT6" s="63">
        <f t="shared" si="24"/>
        <v>24.033333333333331</v>
      </c>
      <c r="AU6" s="78" t="s">
        <v>1644</v>
      </c>
      <c r="AV6" s="5"/>
      <c r="AW6" s="5"/>
      <c r="AX6" s="5"/>
      <c r="AY6" s="5"/>
      <c r="AZ6" s="24">
        <f>VLOOKUP(C6,Employees!D:I,6,FALSE)</f>
        <v>210517</v>
      </c>
      <c r="BA6" s="5">
        <f t="shared" si="25"/>
        <v>7.3666666666666671</v>
      </c>
      <c r="BB6" s="5">
        <f t="shared" si="26"/>
        <v>0.5</v>
      </c>
      <c r="BC6" s="5">
        <f t="shared" si="27"/>
        <v>6.8666666666666671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7.45</v>
      </c>
      <c r="BL6" s="5">
        <f t="shared" si="36"/>
        <v>0.5</v>
      </c>
      <c r="BM6" s="5">
        <f t="shared" si="37"/>
        <v>6.95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5.2166666666666668</v>
      </c>
      <c r="CA6" s="5">
        <f t="shared" si="51"/>
        <v>0</v>
      </c>
      <c r="CB6" s="5">
        <f t="shared" si="52"/>
        <v>5.2166666666666668</v>
      </c>
      <c r="CC6" s="5">
        <f t="shared" si="53"/>
        <v>0</v>
      </c>
      <c r="CD6" s="5">
        <f t="shared" si="54"/>
        <v>0</v>
      </c>
      <c r="CE6" s="5">
        <f t="shared" si="55"/>
        <v>5</v>
      </c>
      <c r="CF6" s="5">
        <f t="shared" si="56"/>
        <v>0</v>
      </c>
      <c r="CG6" s="5">
        <f t="shared" si="57"/>
        <v>5</v>
      </c>
      <c r="CH6" s="5">
        <f t="shared" si="58"/>
        <v>0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4" t="str">
        <f t="shared" si="0"/>
        <v/>
      </c>
      <c r="B7" s="81"/>
      <c r="C7" s="101"/>
      <c r="D7" s="76"/>
      <c r="E7" s="76"/>
      <c r="F7" s="90">
        <f t="shared" si="9"/>
        <v>0</v>
      </c>
      <c r="G7" s="76"/>
      <c r="H7" s="76"/>
      <c r="I7" s="90">
        <f t="shared" si="10"/>
        <v>0</v>
      </c>
      <c r="J7" s="76"/>
      <c r="K7" s="76"/>
      <c r="L7" s="90">
        <f t="shared" si="11"/>
        <v>0</v>
      </c>
      <c r="M7" s="75"/>
      <c r="N7" s="75"/>
      <c r="O7" s="90">
        <f t="shared" si="12"/>
        <v>0</v>
      </c>
      <c r="P7" s="76"/>
      <c r="Q7" s="75"/>
      <c r="R7" s="90">
        <f t="shared" si="13"/>
        <v>0</v>
      </c>
      <c r="S7" s="75"/>
      <c r="T7" s="75"/>
      <c r="U7" s="90">
        <f t="shared" si="14"/>
        <v>0</v>
      </c>
      <c r="V7" s="75"/>
      <c r="W7" s="76"/>
      <c r="X7" s="90">
        <f t="shared" si="15"/>
        <v>0</v>
      </c>
      <c r="Y7" s="90"/>
      <c r="Z7" s="90"/>
      <c r="AA7" s="90"/>
      <c r="AB7" s="94">
        <f t="shared" si="16"/>
        <v>0</v>
      </c>
      <c r="AC7" s="91"/>
      <c r="AD7" s="78"/>
      <c r="AE7" s="92">
        <f t="shared" si="17"/>
        <v>0</v>
      </c>
      <c r="AF7" s="77"/>
      <c r="AG7" s="92">
        <f t="shared" si="18"/>
        <v>0</v>
      </c>
      <c r="AH7" s="78"/>
      <c r="AI7" s="92">
        <f t="shared" si="19"/>
        <v>0</v>
      </c>
      <c r="AJ7" s="77"/>
      <c r="AK7" s="92">
        <f t="shared" si="20"/>
        <v>0</v>
      </c>
      <c r="AL7" s="78"/>
      <c r="AM7" s="92">
        <f t="shared" si="21"/>
        <v>0</v>
      </c>
      <c r="AN7" s="77"/>
      <c r="AO7" s="92">
        <f t="shared" si="22"/>
        <v>0</v>
      </c>
      <c r="AP7" s="93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101"/>
      <c r="D8" s="76"/>
      <c r="E8" s="76"/>
      <c r="F8" s="90">
        <f t="shared" si="9"/>
        <v>0</v>
      </c>
      <c r="G8" s="76"/>
      <c r="H8" s="75"/>
      <c r="I8" s="90">
        <f t="shared" si="10"/>
        <v>0</v>
      </c>
      <c r="J8" s="76"/>
      <c r="K8" s="75"/>
      <c r="L8" s="90">
        <f t="shared" si="11"/>
        <v>0</v>
      </c>
      <c r="M8" s="76"/>
      <c r="N8" s="75"/>
      <c r="O8" s="90">
        <f t="shared" si="12"/>
        <v>0</v>
      </c>
      <c r="P8" s="76"/>
      <c r="Q8" s="76"/>
      <c r="R8" s="90">
        <f t="shared" si="13"/>
        <v>0</v>
      </c>
      <c r="S8" s="76"/>
      <c r="T8" s="76"/>
      <c r="U8" s="90">
        <f t="shared" si="14"/>
        <v>0</v>
      </c>
      <c r="V8" s="76"/>
      <c r="W8" s="76"/>
      <c r="X8" s="90">
        <f t="shared" si="15"/>
        <v>0</v>
      </c>
      <c r="Y8" s="90"/>
      <c r="Z8" s="90"/>
      <c r="AA8" s="90"/>
      <c r="AB8" s="94">
        <f t="shared" si="16"/>
        <v>0</v>
      </c>
      <c r="AC8" s="91"/>
      <c r="AD8" s="78"/>
      <c r="AE8" s="92">
        <f t="shared" si="17"/>
        <v>0</v>
      </c>
      <c r="AF8" s="77"/>
      <c r="AG8" s="92">
        <f t="shared" si="18"/>
        <v>0</v>
      </c>
      <c r="AH8" s="78"/>
      <c r="AI8" s="92">
        <f t="shared" si="19"/>
        <v>0</v>
      </c>
      <c r="AJ8" s="77"/>
      <c r="AK8" s="92">
        <f t="shared" si="20"/>
        <v>0</v>
      </c>
      <c r="AL8" s="78"/>
      <c r="AM8" s="92">
        <f t="shared" si="21"/>
        <v>0</v>
      </c>
      <c r="AN8" s="77"/>
      <c r="AO8" s="92">
        <f t="shared" si="22"/>
        <v>0</v>
      </c>
      <c r="AP8" s="93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101"/>
      <c r="D9" s="76"/>
      <c r="E9" s="75"/>
      <c r="F9" s="90">
        <f t="shared" si="9"/>
        <v>0</v>
      </c>
      <c r="G9" s="75"/>
      <c r="H9" s="76"/>
      <c r="I9" s="90">
        <f t="shared" si="10"/>
        <v>0</v>
      </c>
      <c r="J9" s="76"/>
      <c r="K9" s="76"/>
      <c r="L9" s="90">
        <f t="shared" si="11"/>
        <v>0</v>
      </c>
      <c r="M9" s="75"/>
      <c r="N9" s="75"/>
      <c r="O9" s="90">
        <f t="shared" si="12"/>
        <v>0</v>
      </c>
      <c r="P9" s="76"/>
      <c r="Q9" s="75"/>
      <c r="R9" s="90">
        <f t="shared" si="13"/>
        <v>0</v>
      </c>
      <c r="S9" s="76"/>
      <c r="T9" s="75"/>
      <c r="U9" s="90">
        <f t="shared" si="14"/>
        <v>0</v>
      </c>
      <c r="V9" s="75"/>
      <c r="W9" s="76"/>
      <c r="X9" s="90">
        <f t="shared" si="15"/>
        <v>0</v>
      </c>
      <c r="Y9" s="90"/>
      <c r="Z9" s="90"/>
      <c r="AA9" s="90"/>
      <c r="AB9" s="94">
        <f t="shared" si="16"/>
        <v>0</v>
      </c>
      <c r="AC9" s="91"/>
      <c r="AD9" s="78"/>
      <c r="AE9" s="92">
        <f t="shared" si="17"/>
        <v>0</v>
      </c>
      <c r="AF9" s="77"/>
      <c r="AG9" s="92">
        <f t="shared" si="18"/>
        <v>0</v>
      </c>
      <c r="AH9" s="78"/>
      <c r="AI9" s="92">
        <f t="shared" si="19"/>
        <v>0</v>
      </c>
      <c r="AJ9" s="77"/>
      <c r="AK9" s="92">
        <f t="shared" si="20"/>
        <v>0</v>
      </c>
      <c r="AL9" s="78"/>
      <c r="AM9" s="92">
        <f t="shared" si="21"/>
        <v>0</v>
      </c>
      <c r="AN9" s="77"/>
      <c r="AO9" s="92">
        <f t="shared" si="22"/>
        <v>0</v>
      </c>
      <c r="AP9" s="93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101"/>
      <c r="D10" s="76"/>
      <c r="E10" s="75"/>
      <c r="F10" s="90">
        <f t="shared" si="9"/>
        <v>0</v>
      </c>
      <c r="G10" s="75"/>
      <c r="H10" s="76"/>
      <c r="I10" s="90">
        <f t="shared" si="10"/>
        <v>0</v>
      </c>
      <c r="J10" s="75"/>
      <c r="K10" s="75"/>
      <c r="L10" s="90">
        <f t="shared" si="11"/>
        <v>0</v>
      </c>
      <c r="M10" s="75"/>
      <c r="N10" s="75"/>
      <c r="O10" s="90">
        <f t="shared" si="12"/>
        <v>0</v>
      </c>
      <c r="P10" s="76"/>
      <c r="Q10" s="75"/>
      <c r="R10" s="90">
        <f t="shared" si="13"/>
        <v>0</v>
      </c>
      <c r="S10" s="75"/>
      <c r="T10" s="75"/>
      <c r="U10" s="90">
        <f t="shared" si="14"/>
        <v>0</v>
      </c>
      <c r="V10" s="75"/>
      <c r="W10" s="75"/>
      <c r="X10" s="90">
        <f t="shared" si="15"/>
        <v>0</v>
      </c>
      <c r="Y10" s="90"/>
      <c r="Z10" s="90"/>
      <c r="AA10" s="90"/>
      <c r="AB10" s="94">
        <f t="shared" si="16"/>
        <v>0</v>
      </c>
      <c r="AC10" s="91"/>
      <c r="AD10" s="78"/>
      <c r="AE10" s="92">
        <f t="shared" si="17"/>
        <v>0</v>
      </c>
      <c r="AF10" s="77"/>
      <c r="AG10" s="92">
        <f t="shared" si="18"/>
        <v>0</v>
      </c>
      <c r="AH10" s="78"/>
      <c r="AI10" s="92">
        <f t="shared" si="19"/>
        <v>0</v>
      </c>
      <c r="AJ10" s="77"/>
      <c r="AK10" s="92">
        <f t="shared" si="20"/>
        <v>0</v>
      </c>
      <c r="AL10" s="78"/>
      <c r="AM10" s="92">
        <f t="shared" si="21"/>
        <v>0</v>
      </c>
      <c r="AN10" s="77"/>
      <c r="AO10" s="92">
        <f t="shared" si="22"/>
        <v>0</v>
      </c>
      <c r="AP10" s="93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101"/>
      <c r="D11" s="76"/>
      <c r="E11" s="75"/>
      <c r="F11" s="90">
        <f t="shared" si="9"/>
        <v>0</v>
      </c>
      <c r="G11" s="75"/>
      <c r="H11" s="76"/>
      <c r="I11" s="90">
        <f t="shared" si="10"/>
        <v>0</v>
      </c>
      <c r="J11" s="76"/>
      <c r="K11" s="76"/>
      <c r="L11" s="90">
        <f t="shared" si="11"/>
        <v>0</v>
      </c>
      <c r="M11" s="75"/>
      <c r="N11" s="75"/>
      <c r="O11" s="90">
        <f t="shared" si="12"/>
        <v>0</v>
      </c>
      <c r="P11" s="76"/>
      <c r="Q11" s="75"/>
      <c r="R11" s="90">
        <f t="shared" si="13"/>
        <v>0</v>
      </c>
      <c r="S11" s="76"/>
      <c r="T11" s="75"/>
      <c r="U11" s="90">
        <f t="shared" si="14"/>
        <v>0</v>
      </c>
      <c r="V11" s="75"/>
      <c r="W11" s="76"/>
      <c r="X11" s="90">
        <f t="shared" si="15"/>
        <v>0</v>
      </c>
      <c r="Y11" s="90"/>
      <c r="Z11" s="90"/>
      <c r="AA11" s="90"/>
      <c r="AB11" s="94">
        <f t="shared" si="16"/>
        <v>0</v>
      </c>
      <c r="AC11" s="91"/>
      <c r="AD11" s="78"/>
      <c r="AE11" s="92">
        <f t="shared" si="17"/>
        <v>0</v>
      </c>
      <c r="AF11" s="77"/>
      <c r="AG11" s="92">
        <f t="shared" si="18"/>
        <v>0</v>
      </c>
      <c r="AH11" s="78"/>
      <c r="AI11" s="92">
        <f t="shared" si="19"/>
        <v>0</v>
      </c>
      <c r="AJ11" s="77"/>
      <c r="AK11" s="92">
        <f t="shared" si="20"/>
        <v>0</v>
      </c>
      <c r="AL11" s="78"/>
      <c r="AM11" s="92">
        <f t="shared" si="21"/>
        <v>0</v>
      </c>
      <c r="AN11" s="77"/>
      <c r="AO11" s="92">
        <f t="shared" si="22"/>
        <v>0</v>
      </c>
      <c r="AP11" s="93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105"/>
      <c r="D12" s="76"/>
      <c r="E12" s="75"/>
      <c r="F12" s="90">
        <f t="shared" si="9"/>
        <v>0</v>
      </c>
      <c r="G12" s="75"/>
      <c r="H12" s="76"/>
      <c r="I12" s="90">
        <f t="shared" si="10"/>
        <v>0</v>
      </c>
      <c r="J12" s="76"/>
      <c r="K12" s="76"/>
      <c r="L12" s="90">
        <f t="shared" si="11"/>
        <v>0</v>
      </c>
      <c r="M12" s="75"/>
      <c r="N12" s="75"/>
      <c r="O12" s="90">
        <f t="shared" si="12"/>
        <v>0</v>
      </c>
      <c r="P12" s="76"/>
      <c r="Q12" s="75"/>
      <c r="R12" s="90">
        <f t="shared" si="13"/>
        <v>0</v>
      </c>
      <c r="S12" s="76"/>
      <c r="T12" s="75"/>
      <c r="U12" s="90">
        <f t="shared" si="14"/>
        <v>0</v>
      </c>
      <c r="V12" s="75"/>
      <c r="W12" s="76"/>
      <c r="X12" s="90">
        <f t="shared" si="15"/>
        <v>0</v>
      </c>
      <c r="Y12" s="90"/>
      <c r="Z12" s="90"/>
      <c r="AA12" s="90"/>
      <c r="AB12" s="94">
        <f t="shared" si="16"/>
        <v>0</v>
      </c>
      <c r="AC12" s="91"/>
      <c r="AD12" s="78"/>
      <c r="AE12" s="92">
        <f t="shared" si="17"/>
        <v>0</v>
      </c>
      <c r="AF12" s="77"/>
      <c r="AG12" s="92">
        <f t="shared" si="18"/>
        <v>0</v>
      </c>
      <c r="AH12" s="77"/>
      <c r="AI12" s="92">
        <f t="shared" si="19"/>
        <v>0</v>
      </c>
      <c r="AJ12" s="77"/>
      <c r="AK12" s="92">
        <f t="shared" si="20"/>
        <v>0</v>
      </c>
      <c r="AL12" s="78"/>
      <c r="AM12" s="92">
        <f t="shared" si="21"/>
        <v>0</v>
      </c>
      <c r="AN12" s="77"/>
      <c r="AO12" s="92">
        <f t="shared" si="22"/>
        <v>0</v>
      </c>
      <c r="AP12" s="93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101"/>
      <c r="D13" s="76"/>
      <c r="E13" s="75"/>
      <c r="F13" s="90">
        <f t="shared" si="9"/>
        <v>0</v>
      </c>
      <c r="G13" s="75"/>
      <c r="H13" s="76"/>
      <c r="I13" s="90">
        <f t="shared" si="10"/>
        <v>0</v>
      </c>
      <c r="J13" s="76"/>
      <c r="K13" s="76"/>
      <c r="L13" s="90">
        <f t="shared" si="11"/>
        <v>0</v>
      </c>
      <c r="M13" s="75"/>
      <c r="N13" s="75"/>
      <c r="O13" s="90">
        <f t="shared" si="12"/>
        <v>0</v>
      </c>
      <c r="P13" s="76"/>
      <c r="Q13" s="75"/>
      <c r="R13" s="90">
        <f t="shared" si="13"/>
        <v>0</v>
      </c>
      <c r="S13" s="75"/>
      <c r="T13" s="75"/>
      <c r="U13" s="90">
        <f t="shared" si="14"/>
        <v>0</v>
      </c>
      <c r="V13" s="75"/>
      <c r="W13" s="76"/>
      <c r="X13" s="90">
        <f t="shared" si="15"/>
        <v>0</v>
      </c>
      <c r="Y13" s="90"/>
      <c r="Z13" s="90"/>
      <c r="AA13" s="90"/>
      <c r="AB13" s="94">
        <f t="shared" si="16"/>
        <v>0</v>
      </c>
      <c r="AC13" s="91"/>
      <c r="AD13" s="77"/>
      <c r="AE13" s="92">
        <f t="shared" si="17"/>
        <v>0</v>
      </c>
      <c r="AF13" s="77"/>
      <c r="AG13" s="92">
        <f t="shared" si="18"/>
        <v>0</v>
      </c>
      <c r="AH13" s="77"/>
      <c r="AI13" s="92">
        <f t="shared" si="19"/>
        <v>0</v>
      </c>
      <c r="AJ13" s="77"/>
      <c r="AK13" s="92">
        <f t="shared" si="20"/>
        <v>0</v>
      </c>
      <c r="AL13" s="78"/>
      <c r="AM13" s="92">
        <f t="shared" si="21"/>
        <v>0</v>
      </c>
      <c r="AN13" s="77"/>
      <c r="AO13" s="92">
        <f t="shared" si="22"/>
        <v>0</v>
      </c>
      <c r="AP13" s="93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101"/>
      <c r="D14" s="76"/>
      <c r="E14" s="75"/>
      <c r="F14" s="90">
        <f t="shared" si="9"/>
        <v>0</v>
      </c>
      <c r="G14" s="75"/>
      <c r="H14" s="76"/>
      <c r="I14" s="90">
        <f t="shared" si="10"/>
        <v>0</v>
      </c>
      <c r="J14" s="76"/>
      <c r="K14" s="76"/>
      <c r="L14" s="90">
        <f t="shared" si="11"/>
        <v>0</v>
      </c>
      <c r="M14" s="75"/>
      <c r="N14" s="75"/>
      <c r="O14" s="90">
        <f t="shared" si="12"/>
        <v>0</v>
      </c>
      <c r="P14" s="76"/>
      <c r="Q14" s="75"/>
      <c r="R14" s="90">
        <f t="shared" si="13"/>
        <v>0</v>
      </c>
      <c r="S14" s="76"/>
      <c r="T14" s="75"/>
      <c r="U14" s="90">
        <f t="shared" si="14"/>
        <v>0</v>
      </c>
      <c r="V14" s="75"/>
      <c r="W14" s="76"/>
      <c r="X14" s="90">
        <f t="shared" si="15"/>
        <v>0</v>
      </c>
      <c r="Y14" s="90"/>
      <c r="Z14" s="90"/>
      <c r="AA14" s="90"/>
      <c r="AB14" s="94">
        <f t="shared" si="16"/>
        <v>0</v>
      </c>
      <c r="AC14" s="91"/>
      <c r="AD14" s="77"/>
      <c r="AE14" s="92">
        <f t="shared" si="17"/>
        <v>0</v>
      </c>
      <c r="AF14" s="77"/>
      <c r="AG14" s="92">
        <f t="shared" si="18"/>
        <v>0</v>
      </c>
      <c r="AH14" s="77"/>
      <c r="AI14" s="92">
        <f t="shared" si="19"/>
        <v>0</v>
      </c>
      <c r="AJ14" s="77"/>
      <c r="AK14" s="92">
        <f t="shared" si="20"/>
        <v>0</v>
      </c>
      <c r="AL14" s="78"/>
      <c r="AM14" s="92">
        <f t="shared" si="21"/>
        <v>0</v>
      </c>
      <c r="AN14" s="77"/>
      <c r="AO14" s="92">
        <f t="shared" si="22"/>
        <v>0</v>
      </c>
      <c r="AP14" s="93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5"/>
      <c r="D15" s="76"/>
      <c r="E15" s="75"/>
      <c r="F15" s="90">
        <f t="shared" si="9"/>
        <v>0</v>
      </c>
      <c r="G15" s="75"/>
      <c r="H15" s="76"/>
      <c r="I15" s="90">
        <f t="shared" si="10"/>
        <v>0</v>
      </c>
      <c r="J15" s="76"/>
      <c r="K15" s="76"/>
      <c r="L15" s="90">
        <f t="shared" si="11"/>
        <v>0</v>
      </c>
      <c r="M15" s="75"/>
      <c r="N15" s="75"/>
      <c r="O15" s="90">
        <f t="shared" si="12"/>
        <v>0</v>
      </c>
      <c r="P15" s="76"/>
      <c r="Q15" s="75"/>
      <c r="R15" s="90">
        <f t="shared" si="13"/>
        <v>0</v>
      </c>
      <c r="S15" s="76"/>
      <c r="T15" s="75"/>
      <c r="U15" s="90">
        <f t="shared" si="14"/>
        <v>0</v>
      </c>
      <c r="V15" s="75"/>
      <c r="W15" s="76"/>
      <c r="X15" s="90">
        <f t="shared" si="15"/>
        <v>0</v>
      </c>
      <c r="Y15" s="90"/>
      <c r="Z15" s="90"/>
      <c r="AA15" s="90"/>
      <c r="AB15" s="94">
        <f t="shared" si="16"/>
        <v>0</v>
      </c>
      <c r="AC15" s="91"/>
      <c r="AD15" s="77"/>
      <c r="AE15" s="92">
        <f t="shared" si="17"/>
        <v>0</v>
      </c>
      <c r="AF15" s="77"/>
      <c r="AG15" s="92">
        <f t="shared" si="18"/>
        <v>0</v>
      </c>
      <c r="AH15" s="77"/>
      <c r="AI15" s="92">
        <f t="shared" si="19"/>
        <v>0</v>
      </c>
      <c r="AJ15" s="77"/>
      <c r="AK15" s="92">
        <f t="shared" si="20"/>
        <v>0</v>
      </c>
      <c r="AL15" s="78"/>
      <c r="AM15" s="92">
        <f t="shared" si="21"/>
        <v>0</v>
      </c>
      <c r="AN15" s="77"/>
      <c r="AO15" s="92">
        <f t="shared" si="22"/>
        <v>0</v>
      </c>
      <c r="AP15" s="93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5"/>
      <c r="D16" s="76"/>
      <c r="E16" s="75"/>
      <c r="F16" s="90">
        <f t="shared" si="9"/>
        <v>0</v>
      </c>
      <c r="G16" s="75"/>
      <c r="H16" s="76"/>
      <c r="I16" s="90">
        <f>BF16-BG16</f>
        <v>0</v>
      </c>
      <c r="J16" s="76"/>
      <c r="K16" s="76"/>
      <c r="L16" s="90">
        <f t="shared" si="11"/>
        <v>0</v>
      </c>
      <c r="M16" s="75"/>
      <c r="N16" s="75"/>
      <c r="O16" s="90">
        <f t="shared" si="12"/>
        <v>0</v>
      </c>
      <c r="P16" s="76"/>
      <c r="Q16" s="75"/>
      <c r="R16" s="90">
        <f t="shared" si="13"/>
        <v>0</v>
      </c>
      <c r="S16" s="76"/>
      <c r="T16" s="75"/>
      <c r="U16" s="90">
        <f t="shared" si="14"/>
        <v>0</v>
      </c>
      <c r="V16" s="75"/>
      <c r="W16" s="76"/>
      <c r="X16" s="90">
        <f t="shared" si="15"/>
        <v>0</v>
      </c>
      <c r="Y16" s="90"/>
      <c r="Z16" s="90"/>
      <c r="AA16" s="90"/>
      <c r="AB16" s="94">
        <f t="shared" si="16"/>
        <v>0</v>
      </c>
      <c r="AC16" s="91"/>
      <c r="AD16" s="77"/>
      <c r="AE16" s="92">
        <f t="shared" si="17"/>
        <v>0</v>
      </c>
      <c r="AF16" s="77"/>
      <c r="AG16" s="92">
        <f t="shared" si="18"/>
        <v>0</v>
      </c>
      <c r="AH16" s="77"/>
      <c r="AI16" s="92">
        <f t="shared" si="19"/>
        <v>0</v>
      </c>
      <c r="AJ16" s="77"/>
      <c r="AK16" s="92">
        <f t="shared" si="20"/>
        <v>0</v>
      </c>
      <c r="AL16" s="78"/>
      <c r="AM16" s="92">
        <f t="shared" si="21"/>
        <v>0</v>
      </c>
      <c r="AN16" s="77"/>
      <c r="AO16" s="92">
        <f t="shared" si="22"/>
        <v>0</v>
      </c>
      <c r="AP16" s="93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99"/>
      <c r="D17" s="76"/>
      <c r="E17" s="75"/>
      <c r="F17" s="90">
        <f t="shared" si="9"/>
        <v>0</v>
      </c>
      <c r="G17" s="75"/>
      <c r="H17" s="76"/>
      <c r="I17" s="90">
        <f t="shared" si="10"/>
        <v>0</v>
      </c>
      <c r="J17" s="75"/>
      <c r="K17" s="76"/>
      <c r="L17" s="90">
        <f t="shared" si="11"/>
        <v>0</v>
      </c>
      <c r="M17" s="75"/>
      <c r="N17" s="76"/>
      <c r="O17" s="90">
        <f t="shared" si="12"/>
        <v>0</v>
      </c>
      <c r="P17" s="75"/>
      <c r="Q17" s="76"/>
      <c r="R17" s="90">
        <f t="shared" si="13"/>
        <v>0</v>
      </c>
      <c r="S17" s="75"/>
      <c r="T17" s="75"/>
      <c r="U17" s="90">
        <f t="shared" si="14"/>
        <v>0</v>
      </c>
      <c r="V17" s="75"/>
      <c r="W17" s="97"/>
      <c r="X17" s="90">
        <f t="shared" si="15"/>
        <v>0</v>
      </c>
      <c r="Y17" s="90"/>
      <c r="Z17" s="90"/>
      <c r="AA17" s="90"/>
      <c r="AB17" s="94">
        <f t="shared" si="16"/>
        <v>0</v>
      </c>
      <c r="AC17" s="91"/>
      <c r="AD17" s="77"/>
      <c r="AE17" s="92">
        <f t="shared" si="17"/>
        <v>0</v>
      </c>
      <c r="AF17" s="77"/>
      <c r="AG17" s="92">
        <f t="shared" si="18"/>
        <v>0</v>
      </c>
      <c r="AH17" s="77"/>
      <c r="AI17" s="92">
        <f t="shared" si="19"/>
        <v>0</v>
      </c>
      <c r="AJ17" s="77"/>
      <c r="AK17" s="92">
        <f t="shared" si="20"/>
        <v>0</v>
      </c>
      <c r="AL17" s="78"/>
      <c r="AM17" s="92">
        <f t="shared" si="21"/>
        <v>0</v>
      </c>
      <c r="AN17" s="77"/>
      <c r="AO17" s="92">
        <f t="shared" si="22"/>
        <v>0</v>
      </c>
      <c r="AP17" s="93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99"/>
      <c r="D18" s="76"/>
      <c r="E18" s="75"/>
      <c r="F18" s="90">
        <f t="shared" si="9"/>
        <v>0</v>
      </c>
      <c r="G18" s="75"/>
      <c r="H18" s="76"/>
      <c r="I18" s="90">
        <f t="shared" si="10"/>
        <v>0</v>
      </c>
      <c r="J18" s="76"/>
      <c r="K18" s="76"/>
      <c r="L18" s="90">
        <f t="shared" si="11"/>
        <v>0</v>
      </c>
      <c r="M18" s="75"/>
      <c r="N18" s="75"/>
      <c r="O18" s="90">
        <f t="shared" si="12"/>
        <v>0</v>
      </c>
      <c r="P18" s="84"/>
      <c r="Q18" s="84"/>
      <c r="R18" s="90">
        <f t="shared" si="13"/>
        <v>0</v>
      </c>
      <c r="S18" s="75"/>
      <c r="T18" s="75"/>
      <c r="U18" s="90">
        <f t="shared" si="14"/>
        <v>0</v>
      </c>
      <c r="V18" s="75"/>
      <c r="W18" s="75"/>
      <c r="X18" s="90">
        <f t="shared" si="15"/>
        <v>0</v>
      </c>
      <c r="Y18" s="90"/>
      <c r="Z18" s="90"/>
      <c r="AA18" s="90"/>
      <c r="AB18" s="94">
        <f t="shared" si="16"/>
        <v>0</v>
      </c>
      <c r="AC18" s="91"/>
      <c r="AD18" s="77"/>
      <c r="AE18" s="92">
        <f t="shared" si="17"/>
        <v>0</v>
      </c>
      <c r="AF18" s="77"/>
      <c r="AG18" s="92">
        <f t="shared" si="18"/>
        <v>0</v>
      </c>
      <c r="AH18" s="77"/>
      <c r="AI18" s="92">
        <f t="shared" si="19"/>
        <v>0</v>
      </c>
      <c r="AJ18" s="77"/>
      <c r="AK18" s="92">
        <f t="shared" si="20"/>
        <v>0</v>
      </c>
      <c r="AL18" s="78"/>
      <c r="AM18" s="92">
        <f t="shared" si="21"/>
        <v>0</v>
      </c>
      <c r="AN18" s="77"/>
      <c r="AO18" s="92">
        <f t="shared" si="22"/>
        <v>0</v>
      </c>
      <c r="AP18" s="93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100"/>
      <c r="D19" s="76"/>
      <c r="E19" s="75"/>
      <c r="F19" s="90">
        <f t="shared" si="9"/>
        <v>0</v>
      </c>
      <c r="G19" s="75"/>
      <c r="H19" s="76"/>
      <c r="I19" s="90">
        <f t="shared" si="10"/>
        <v>0</v>
      </c>
      <c r="J19" s="76"/>
      <c r="K19" s="76"/>
      <c r="L19" s="90">
        <f t="shared" si="11"/>
        <v>0</v>
      </c>
      <c r="M19" s="75"/>
      <c r="N19" s="75"/>
      <c r="O19" s="90">
        <f t="shared" si="12"/>
        <v>0</v>
      </c>
      <c r="P19" s="75"/>
      <c r="Q19" s="75"/>
      <c r="R19" s="90">
        <f t="shared" si="13"/>
        <v>0</v>
      </c>
      <c r="S19" s="75"/>
      <c r="T19" s="75"/>
      <c r="U19" s="90">
        <f t="shared" si="14"/>
        <v>0</v>
      </c>
      <c r="V19" s="75"/>
      <c r="W19" s="75"/>
      <c r="X19" s="90">
        <f t="shared" si="15"/>
        <v>0</v>
      </c>
      <c r="Y19" s="90"/>
      <c r="Z19" s="90"/>
      <c r="AA19" s="90"/>
      <c r="AB19" s="94">
        <f t="shared" si="16"/>
        <v>0</v>
      </c>
      <c r="AC19" s="91"/>
      <c r="AD19" s="77"/>
      <c r="AE19" s="92">
        <f t="shared" si="17"/>
        <v>0</v>
      </c>
      <c r="AF19" s="77"/>
      <c r="AG19" s="92">
        <f t="shared" si="18"/>
        <v>0</v>
      </c>
      <c r="AH19" s="77"/>
      <c r="AI19" s="92">
        <f t="shared" si="19"/>
        <v>0</v>
      </c>
      <c r="AJ19" s="77"/>
      <c r="AK19" s="92">
        <f t="shared" si="20"/>
        <v>0</v>
      </c>
      <c r="AL19" s="78"/>
      <c r="AM19" s="92">
        <f t="shared" si="21"/>
        <v>0</v>
      </c>
      <c r="AN19" s="77"/>
      <c r="AO19" s="92">
        <f t="shared" si="22"/>
        <v>0</v>
      </c>
      <c r="AP19" s="93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102"/>
      <c r="D20" s="76"/>
      <c r="E20" s="75"/>
      <c r="F20" s="90">
        <f t="shared" si="9"/>
        <v>0</v>
      </c>
      <c r="G20" s="75"/>
      <c r="H20" s="76"/>
      <c r="I20" s="90">
        <f t="shared" si="10"/>
        <v>0</v>
      </c>
      <c r="J20" s="76"/>
      <c r="K20" s="76"/>
      <c r="L20" s="90">
        <f t="shared" si="11"/>
        <v>0</v>
      </c>
      <c r="M20" s="75"/>
      <c r="N20" s="75"/>
      <c r="O20" s="90">
        <f t="shared" si="12"/>
        <v>0</v>
      </c>
      <c r="P20" s="75"/>
      <c r="Q20" s="75"/>
      <c r="R20" s="90">
        <f t="shared" si="13"/>
        <v>0</v>
      </c>
      <c r="S20" s="103"/>
      <c r="T20" s="75"/>
      <c r="U20" s="90">
        <f t="shared" si="14"/>
        <v>0</v>
      </c>
      <c r="V20" s="75"/>
      <c r="W20" s="76"/>
      <c r="X20" s="90">
        <f t="shared" si="15"/>
        <v>0</v>
      </c>
      <c r="Y20" s="90"/>
      <c r="Z20" s="90"/>
      <c r="AA20" s="90"/>
      <c r="AB20" s="94">
        <f t="shared" si="16"/>
        <v>0</v>
      </c>
      <c r="AC20" s="91"/>
      <c r="AD20" s="77"/>
      <c r="AE20" s="92">
        <f t="shared" si="17"/>
        <v>0</v>
      </c>
      <c r="AF20" s="77"/>
      <c r="AG20" s="92">
        <f t="shared" si="18"/>
        <v>0</v>
      </c>
      <c r="AH20" s="77"/>
      <c r="AI20" s="92">
        <f t="shared" si="19"/>
        <v>0</v>
      </c>
      <c r="AJ20" s="77"/>
      <c r="AK20" s="92">
        <f t="shared" si="20"/>
        <v>0</v>
      </c>
      <c r="AL20" s="78"/>
      <c r="AM20" s="92">
        <f t="shared" si="21"/>
        <v>0</v>
      </c>
      <c r="AN20" s="77"/>
      <c r="AO20" s="92">
        <f t="shared" si="22"/>
        <v>0</v>
      </c>
      <c r="AP20" s="93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101"/>
      <c r="D21" s="76"/>
      <c r="E21" s="75"/>
      <c r="F21" s="90">
        <f t="shared" ref="F21:F29" si="60">BA21-BB21</f>
        <v>0</v>
      </c>
      <c r="G21" s="75"/>
      <c r="H21" s="76"/>
      <c r="I21" s="90">
        <f t="shared" ref="I21:I29" si="61">BF21-BG21</f>
        <v>0</v>
      </c>
      <c r="J21" s="76"/>
      <c r="K21" s="76"/>
      <c r="L21" s="90">
        <f t="shared" ref="L21:L29" si="62">BK21-BL21</f>
        <v>0</v>
      </c>
      <c r="M21" s="76"/>
      <c r="N21" s="76"/>
      <c r="O21" s="90">
        <f t="shared" ref="O21:O29" si="63">BP21-BQ21</f>
        <v>0</v>
      </c>
      <c r="P21" s="76"/>
      <c r="Q21" s="75"/>
      <c r="R21" s="90">
        <f t="shared" ref="R21:R29" si="64">BU21-BV21</f>
        <v>0</v>
      </c>
      <c r="S21" s="75"/>
      <c r="T21" s="75"/>
      <c r="U21" s="90">
        <f t="shared" ref="U21:U29" si="65">BZ21-CA21</f>
        <v>0</v>
      </c>
      <c r="V21" s="75"/>
      <c r="W21" s="76"/>
      <c r="X21" s="90">
        <f t="shared" ref="X21:X29" si="66">CE21-CF21</f>
        <v>0</v>
      </c>
      <c r="Y21" s="90"/>
      <c r="Z21" s="90"/>
      <c r="AA21" s="90"/>
      <c r="AB21" s="94">
        <f t="shared" ref="AB21:AB29" si="67">SUM(F21,I21,L21,O21,R21,U21,X21)</f>
        <v>0</v>
      </c>
      <c r="AC21" s="91"/>
      <c r="AD21" s="77"/>
      <c r="AE21" s="92">
        <f t="shared" ref="AE21:AE29" si="68">SUMIF($BC$1:$CI$1,AE$1,$BC21:$CI21)+AD21</f>
        <v>0</v>
      </c>
      <c r="AF21" s="77"/>
      <c r="AG21" s="92">
        <f t="shared" ref="AG21:AG29" si="69">SUMIF($BC$1:$CI$1,AG$1,$BC21:$CI21)+AF21</f>
        <v>0</v>
      </c>
      <c r="AH21" s="77"/>
      <c r="AI21" s="92">
        <f t="shared" ref="AI21:AI29" si="70">SUMIF($BC$1:$CI$1,AI$1,$BC21:$CI21)+AH21</f>
        <v>0</v>
      </c>
      <c r="AJ21" s="77"/>
      <c r="AK21" s="92">
        <f t="shared" ref="AK21:AK29" si="71">SUMIF($BC$1:$CI$1,AK$1,$BC21:$CI21)+AJ21</f>
        <v>0</v>
      </c>
      <c r="AL21" s="78"/>
      <c r="AM21" s="92">
        <f t="shared" ref="AM21:AM29" si="72">SUMIF($BC$1:$CI$1,AM$1,$BC21:$CI21)+AL21</f>
        <v>0</v>
      </c>
      <c r="AN21" s="77"/>
      <c r="AO21" s="92">
        <f t="shared" ref="AO21:AO29" si="73">SUMIF($BC$1:$CI$1,AO$1,$BC21:$CI21)+AN21</f>
        <v>0</v>
      </c>
      <c r="AP21" s="93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101"/>
      <c r="D22" s="76"/>
      <c r="E22" s="75"/>
      <c r="F22" s="90">
        <f t="shared" si="60"/>
        <v>0</v>
      </c>
      <c r="G22" s="75"/>
      <c r="H22" s="76"/>
      <c r="I22" s="90">
        <f t="shared" si="61"/>
        <v>0</v>
      </c>
      <c r="J22" s="76"/>
      <c r="K22" s="76"/>
      <c r="L22" s="90">
        <f t="shared" si="62"/>
        <v>0</v>
      </c>
      <c r="M22" s="75"/>
      <c r="N22" s="75"/>
      <c r="O22" s="90">
        <f t="shared" si="63"/>
        <v>0</v>
      </c>
      <c r="P22" s="75"/>
      <c r="Q22" s="75"/>
      <c r="R22" s="90">
        <f t="shared" si="64"/>
        <v>0</v>
      </c>
      <c r="S22" s="75"/>
      <c r="T22" s="75"/>
      <c r="U22" s="90">
        <f t="shared" si="65"/>
        <v>0</v>
      </c>
      <c r="V22" s="75"/>
      <c r="W22" s="76"/>
      <c r="X22" s="90">
        <f t="shared" si="66"/>
        <v>0</v>
      </c>
      <c r="Y22" s="90"/>
      <c r="Z22" s="90"/>
      <c r="AA22" s="90"/>
      <c r="AB22" s="94">
        <f t="shared" si="67"/>
        <v>0</v>
      </c>
      <c r="AC22" s="91"/>
      <c r="AD22" s="77"/>
      <c r="AE22" s="92">
        <f t="shared" si="68"/>
        <v>0</v>
      </c>
      <c r="AF22" s="77"/>
      <c r="AG22" s="92">
        <f t="shared" si="69"/>
        <v>0</v>
      </c>
      <c r="AH22" s="77"/>
      <c r="AI22" s="92">
        <f t="shared" si="70"/>
        <v>0</v>
      </c>
      <c r="AJ22" s="77"/>
      <c r="AK22" s="92">
        <f t="shared" si="71"/>
        <v>0</v>
      </c>
      <c r="AL22" s="78"/>
      <c r="AM22" s="92">
        <f t="shared" si="72"/>
        <v>0</v>
      </c>
      <c r="AN22" s="77"/>
      <c r="AO22" s="92">
        <f t="shared" si="73"/>
        <v>0</v>
      </c>
      <c r="AP22" s="93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101"/>
      <c r="D23" s="76"/>
      <c r="E23" s="75"/>
      <c r="F23" s="90">
        <f t="shared" si="60"/>
        <v>0</v>
      </c>
      <c r="G23" s="75"/>
      <c r="H23" s="76"/>
      <c r="I23" s="90">
        <f t="shared" si="61"/>
        <v>0</v>
      </c>
      <c r="J23" s="76"/>
      <c r="K23" s="76"/>
      <c r="L23" s="90">
        <f t="shared" si="62"/>
        <v>0</v>
      </c>
      <c r="M23" s="75"/>
      <c r="N23" s="75"/>
      <c r="O23" s="90">
        <f t="shared" si="63"/>
        <v>0</v>
      </c>
      <c r="P23" s="76"/>
      <c r="Q23" s="76"/>
      <c r="R23" s="90">
        <f t="shared" si="64"/>
        <v>0</v>
      </c>
      <c r="S23" s="76"/>
      <c r="T23" s="76"/>
      <c r="U23" s="90">
        <f t="shared" si="65"/>
        <v>0</v>
      </c>
      <c r="V23" s="76"/>
      <c r="W23" s="76"/>
      <c r="X23" s="90">
        <f t="shared" si="66"/>
        <v>0</v>
      </c>
      <c r="Y23" s="90"/>
      <c r="Z23" s="90"/>
      <c r="AA23" s="90"/>
      <c r="AB23" s="94">
        <f t="shared" si="67"/>
        <v>0</v>
      </c>
      <c r="AC23" s="91"/>
      <c r="AD23" s="77"/>
      <c r="AE23" s="92">
        <f t="shared" si="68"/>
        <v>0</v>
      </c>
      <c r="AF23" s="77"/>
      <c r="AG23" s="92">
        <f t="shared" si="69"/>
        <v>0</v>
      </c>
      <c r="AH23" s="77"/>
      <c r="AI23" s="92">
        <f t="shared" si="70"/>
        <v>0</v>
      </c>
      <c r="AJ23" s="77"/>
      <c r="AK23" s="92">
        <f t="shared" si="71"/>
        <v>0</v>
      </c>
      <c r="AL23" s="78"/>
      <c r="AM23" s="92">
        <f t="shared" si="72"/>
        <v>0</v>
      </c>
      <c r="AN23" s="77"/>
      <c r="AO23" s="92">
        <f t="shared" si="73"/>
        <v>0</v>
      </c>
      <c r="AP23" s="93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0">
        <f t="shared" si="60"/>
        <v>0</v>
      </c>
      <c r="G24" s="75"/>
      <c r="H24" s="76"/>
      <c r="I24" s="90">
        <f t="shared" si="61"/>
        <v>0</v>
      </c>
      <c r="J24" s="76"/>
      <c r="K24" s="76"/>
      <c r="L24" s="90">
        <f t="shared" si="62"/>
        <v>0</v>
      </c>
      <c r="M24" s="75"/>
      <c r="N24" s="75"/>
      <c r="O24" s="90">
        <f t="shared" si="63"/>
        <v>0</v>
      </c>
      <c r="P24" s="76"/>
      <c r="Q24" s="76"/>
      <c r="R24" s="90">
        <f t="shared" si="64"/>
        <v>0</v>
      </c>
      <c r="S24" s="76"/>
      <c r="T24" s="76"/>
      <c r="U24" s="90">
        <f t="shared" si="65"/>
        <v>0</v>
      </c>
      <c r="V24" s="75"/>
      <c r="W24" s="76"/>
      <c r="X24" s="90">
        <f t="shared" si="66"/>
        <v>0</v>
      </c>
      <c r="Y24" s="90"/>
      <c r="Z24" s="90"/>
      <c r="AA24" s="90"/>
      <c r="AB24" s="94">
        <f t="shared" si="67"/>
        <v>0</v>
      </c>
      <c r="AC24" s="91"/>
      <c r="AD24" s="77"/>
      <c r="AE24" s="92">
        <f t="shared" si="68"/>
        <v>0</v>
      </c>
      <c r="AF24" s="77"/>
      <c r="AG24" s="92">
        <f t="shared" si="69"/>
        <v>0</v>
      </c>
      <c r="AH24" s="77"/>
      <c r="AI24" s="92">
        <f t="shared" si="70"/>
        <v>0</v>
      </c>
      <c r="AJ24" s="77"/>
      <c r="AK24" s="92">
        <f t="shared" si="71"/>
        <v>0</v>
      </c>
      <c r="AL24" s="78"/>
      <c r="AM24" s="92">
        <f t="shared" si="72"/>
        <v>0</v>
      </c>
      <c r="AN24" s="77"/>
      <c r="AO24" s="92">
        <f t="shared" si="73"/>
        <v>0</v>
      </c>
      <c r="AP24" s="93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0">
        <f t="shared" si="60"/>
        <v>0</v>
      </c>
      <c r="G25" s="75"/>
      <c r="H25" s="76"/>
      <c r="I25" s="90">
        <f t="shared" si="61"/>
        <v>0</v>
      </c>
      <c r="J25" s="76"/>
      <c r="K25" s="76"/>
      <c r="L25" s="90">
        <f t="shared" si="62"/>
        <v>0</v>
      </c>
      <c r="M25" s="75"/>
      <c r="N25" s="75"/>
      <c r="O25" s="90">
        <f t="shared" si="63"/>
        <v>0</v>
      </c>
      <c r="P25" s="76"/>
      <c r="Q25" s="76"/>
      <c r="R25" s="90">
        <f t="shared" si="64"/>
        <v>0</v>
      </c>
      <c r="S25" s="76"/>
      <c r="T25" s="76"/>
      <c r="U25" s="90">
        <f t="shared" si="65"/>
        <v>0</v>
      </c>
      <c r="V25" s="75"/>
      <c r="W25" s="76"/>
      <c r="X25" s="90">
        <f t="shared" si="66"/>
        <v>0</v>
      </c>
      <c r="Y25" s="90"/>
      <c r="Z25" s="90"/>
      <c r="AA25" s="90"/>
      <c r="AB25" s="94">
        <f t="shared" si="67"/>
        <v>0</v>
      </c>
      <c r="AC25" s="91"/>
      <c r="AD25" s="77"/>
      <c r="AE25" s="92">
        <f t="shared" si="68"/>
        <v>0</v>
      </c>
      <c r="AF25" s="77"/>
      <c r="AG25" s="92">
        <f t="shared" si="69"/>
        <v>0</v>
      </c>
      <c r="AH25" s="77"/>
      <c r="AI25" s="92">
        <f t="shared" si="70"/>
        <v>0</v>
      </c>
      <c r="AJ25" s="77"/>
      <c r="AK25" s="92">
        <f t="shared" si="71"/>
        <v>0</v>
      </c>
      <c r="AL25" s="78"/>
      <c r="AM25" s="92">
        <f t="shared" si="72"/>
        <v>0</v>
      </c>
      <c r="AN25" s="77"/>
      <c r="AO25" s="92">
        <f t="shared" si="73"/>
        <v>0</v>
      </c>
      <c r="AP25" s="93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0">
        <f t="shared" si="60"/>
        <v>0</v>
      </c>
      <c r="G26" s="75"/>
      <c r="H26" s="76"/>
      <c r="I26" s="90">
        <f t="shared" si="61"/>
        <v>0</v>
      </c>
      <c r="J26" s="76"/>
      <c r="K26" s="76"/>
      <c r="L26" s="90">
        <f t="shared" si="62"/>
        <v>0</v>
      </c>
      <c r="M26" s="75"/>
      <c r="N26" s="75"/>
      <c r="O26" s="90">
        <f t="shared" si="63"/>
        <v>0</v>
      </c>
      <c r="P26" s="76"/>
      <c r="Q26" s="76"/>
      <c r="R26" s="90">
        <f t="shared" si="64"/>
        <v>0</v>
      </c>
      <c r="S26" s="76"/>
      <c r="T26" s="76"/>
      <c r="U26" s="90">
        <f t="shared" si="65"/>
        <v>0</v>
      </c>
      <c r="V26" s="75"/>
      <c r="W26" s="76"/>
      <c r="X26" s="90">
        <f t="shared" si="66"/>
        <v>0</v>
      </c>
      <c r="Y26" s="90"/>
      <c r="Z26" s="90"/>
      <c r="AA26" s="90"/>
      <c r="AB26" s="94">
        <f t="shared" si="67"/>
        <v>0</v>
      </c>
      <c r="AC26" s="91"/>
      <c r="AD26" s="77"/>
      <c r="AE26" s="92">
        <f t="shared" si="68"/>
        <v>0</v>
      </c>
      <c r="AF26" s="77"/>
      <c r="AG26" s="92">
        <f t="shared" si="69"/>
        <v>0</v>
      </c>
      <c r="AH26" s="77"/>
      <c r="AI26" s="92">
        <f t="shared" si="70"/>
        <v>0</v>
      </c>
      <c r="AJ26" s="77"/>
      <c r="AK26" s="92">
        <f t="shared" si="71"/>
        <v>0</v>
      </c>
      <c r="AL26" s="78"/>
      <c r="AM26" s="92">
        <f t="shared" si="72"/>
        <v>0</v>
      </c>
      <c r="AN26" s="77"/>
      <c r="AO26" s="92">
        <f t="shared" si="73"/>
        <v>0</v>
      </c>
      <c r="AP26" s="93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0">
        <f t="shared" si="60"/>
        <v>0</v>
      </c>
      <c r="G27" s="75"/>
      <c r="H27" s="76"/>
      <c r="I27" s="90">
        <f t="shared" si="61"/>
        <v>0</v>
      </c>
      <c r="J27" s="76"/>
      <c r="K27" s="76"/>
      <c r="L27" s="90">
        <f t="shared" si="62"/>
        <v>0</v>
      </c>
      <c r="M27" s="75"/>
      <c r="N27" s="75"/>
      <c r="O27" s="90">
        <f t="shared" si="63"/>
        <v>0</v>
      </c>
      <c r="P27" s="76"/>
      <c r="Q27" s="76"/>
      <c r="R27" s="90">
        <f t="shared" si="64"/>
        <v>0</v>
      </c>
      <c r="S27" s="76"/>
      <c r="T27" s="76"/>
      <c r="U27" s="90">
        <f t="shared" si="65"/>
        <v>0</v>
      </c>
      <c r="V27" s="75"/>
      <c r="W27" s="76"/>
      <c r="X27" s="90">
        <f t="shared" si="66"/>
        <v>0</v>
      </c>
      <c r="Y27" s="90"/>
      <c r="Z27" s="90"/>
      <c r="AA27" s="90"/>
      <c r="AB27" s="94">
        <f t="shared" si="67"/>
        <v>0</v>
      </c>
      <c r="AC27" s="91"/>
      <c r="AD27" s="77"/>
      <c r="AE27" s="92">
        <f t="shared" si="68"/>
        <v>0</v>
      </c>
      <c r="AF27" s="77"/>
      <c r="AG27" s="92">
        <f t="shared" si="69"/>
        <v>0</v>
      </c>
      <c r="AH27" s="77"/>
      <c r="AI27" s="92">
        <f t="shared" si="70"/>
        <v>0</v>
      </c>
      <c r="AJ27" s="77"/>
      <c r="AK27" s="92">
        <f t="shared" si="71"/>
        <v>0</v>
      </c>
      <c r="AL27" s="78"/>
      <c r="AM27" s="92">
        <f t="shared" si="72"/>
        <v>0</v>
      </c>
      <c r="AN27" s="77"/>
      <c r="AO27" s="92">
        <f t="shared" si="73"/>
        <v>0</v>
      </c>
      <c r="AP27" s="93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0">
        <f t="shared" si="60"/>
        <v>0</v>
      </c>
      <c r="G28" s="75"/>
      <c r="H28" s="76"/>
      <c r="I28" s="90">
        <f t="shared" si="61"/>
        <v>0</v>
      </c>
      <c r="J28" s="76"/>
      <c r="K28" s="76"/>
      <c r="L28" s="90">
        <f t="shared" si="62"/>
        <v>0</v>
      </c>
      <c r="M28" s="75"/>
      <c r="N28" s="75"/>
      <c r="O28" s="90">
        <f t="shared" si="63"/>
        <v>0</v>
      </c>
      <c r="P28" s="76"/>
      <c r="Q28" s="76"/>
      <c r="R28" s="90">
        <f t="shared" si="64"/>
        <v>0</v>
      </c>
      <c r="S28" s="76"/>
      <c r="T28" s="76"/>
      <c r="U28" s="90">
        <f t="shared" si="65"/>
        <v>0</v>
      </c>
      <c r="V28" s="75"/>
      <c r="W28" s="76"/>
      <c r="X28" s="90">
        <f t="shared" si="66"/>
        <v>0</v>
      </c>
      <c r="Y28" s="90"/>
      <c r="Z28" s="90"/>
      <c r="AA28" s="90"/>
      <c r="AB28" s="94">
        <f t="shared" si="67"/>
        <v>0</v>
      </c>
      <c r="AC28" s="91"/>
      <c r="AD28" s="77"/>
      <c r="AE28" s="92">
        <f t="shared" si="68"/>
        <v>0</v>
      </c>
      <c r="AF28" s="77"/>
      <c r="AG28" s="92">
        <f t="shared" si="69"/>
        <v>0</v>
      </c>
      <c r="AH28" s="77"/>
      <c r="AI28" s="92">
        <f t="shared" si="70"/>
        <v>0</v>
      </c>
      <c r="AJ28" s="77"/>
      <c r="AK28" s="92">
        <f t="shared" si="71"/>
        <v>0</v>
      </c>
      <c r="AL28" s="78"/>
      <c r="AM28" s="92">
        <f t="shared" si="72"/>
        <v>0</v>
      </c>
      <c r="AN28" s="77"/>
      <c r="AO28" s="92">
        <f t="shared" si="73"/>
        <v>0</v>
      </c>
      <c r="AP28" s="93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0">
        <f t="shared" si="60"/>
        <v>0</v>
      </c>
      <c r="G29" s="75"/>
      <c r="H29" s="76"/>
      <c r="I29" s="90">
        <f t="shared" si="61"/>
        <v>0</v>
      </c>
      <c r="J29" s="76"/>
      <c r="K29" s="76"/>
      <c r="L29" s="90">
        <f t="shared" si="62"/>
        <v>0</v>
      </c>
      <c r="M29" s="75"/>
      <c r="N29" s="75"/>
      <c r="O29" s="90">
        <f t="shared" si="63"/>
        <v>0</v>
      </c>
      <c r="P29" s="76"/>
      <c r="Q29" s="76"/>
      <c r="R29" s="90">
        <f t="shared" si="64"/>
        <v>0</v>
      </c>
      <c r="S29" s="76"/>
      <c r="T29" s="76"/>
      <c r="U29" s="90">
        <f t="shared" si="65"/>
        <v>0</v>
      </c>
      <c r="V29" s="75"/>
      <c r="W29" s="76"/>
      <c r="X29" s="90">
        <f t="shared" si="66"/>
        <v>0</v>
      </c>
      <c r="Y29" s="90"/>
      <c r="Z29" s="90"/>
      <c r="AA29" s="90"/>
      <c r="AB29" s="94">
        <f t="shared" si="67"/>
        <v>0</v>
      </c>
      <c r="AC29" s="91"/>
      <c r="AD29" s="77"/>
      <c r="AE29" s="92">
        <f t="shared" si="68"/>
        <v>0</v>
      </c>
      <c r="AF29" s="77"/>
      <c r="AG29" s="92">
        <f t="shared" si="69"/>
        <v>0</v>
      </c>
      <c r="AH29" s="77"/>
      <c r="AI29" s="92">
        <f t="shared" si="70"/>
        <v>0</v>
      </c>
      <c r="AJ29" s="77"/>
      <c r="AK29" s="92">
        <f t="shared" si="71"/>
        <v>0</v>
      </c>
      <c r="AL29" s="78"/>
      <c r="AM29" s="92">
        <f t="shared" si="72"/>
        <v>0</v>
      </c>
      <c r="AN29" s="77"/>
      <c r="AO29" s="92">
        <f t="shared" si="73"/>
        <v>0</v>
      </c>
      <c r="AP29" s="93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0">
        <f t="shared" si="9"/>
        <v>0</v>
      </c>
      <c r="G30" s="75"/>
      <c r="H30" s="76"/>
      <c r="I30" s="90">
        <f t="shared" si="10"/>
        <v>0</v>
      </c>
      <c r="J30" s="76"/>
      <c r="K30" s="76"/>
      <c r="L30" s="90">
        <f t="shared" si="11"/>
        <v>0</v>
      </c>
      <c r="M30" s="75"/>
      <c r="N30" s="75"/>
      <c r="O30" s="90">
        <f t="shared" si="12"/>
        <v>0</v>
      </c>
      <c r="P30" s="76"/>
      <c r="Q30" s="76"/>
      <c r="R30" s="90">
        <f t="shared" si="13"/>
        <v>0</v>
      </c>
      <c r="S30" s="76"/>
      <c r="T30" s="76"/>
      <c r="U30" s="90">
        <f t="shared" si="14"/>
        <v>0</v>
      </c>
      <c r="V30" s="75"/>
      <c r="W30" s="76"/>
      <c r="X30" s="90">
        <f t="shared" si="15"/>
        <v>0</v>
      </c>
      <c r="Y30" s="90"/>
      <c r="Z30" s="90"/>
      <c r="AA30" s="90"/>
      <c r="AB30" s="94">
        <f t="shared" si="16"/>
        <v>0</v>
      </c>
      <c r="AC30" s="91"/>
      <c r="AD30" s="77"/>
      <c r="AE30" s="92">
        <f t="shared" si="17"/>
        <v>0</v>
      </c>
      <c r="AF30" s="77"/>
      <c r="AG30" s="92">
        <f t="shared" si="18"/>
        <v>0</v>
      </c>
      <c r="AH30" s="77"/>
      <c r="AI30" s="92">
        <f t="shared" si="19"/>
        <v>0</v>
      </c>
      <c r="AJ30" s="77"/>
      <c r="AK30" s="92">
        <f t="shared" si="20"/>
        <v>0</v>
      </c>
      <c r="AL30" s="78"/>
      <c r="AM30" s="92">
        <f t="shared" si="21"/>
        <v>0</v>
      </c>
      <c r="AN30" s="77"/>
      <c r="AO30" s="92">
        <f t="shared" si="22"/>
        <v>0</v>
      </c>
      <c r="AP30" s="93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0">
        <f t="shared" si="9"/>
        <v>0</v>
      </c>
      <c r="G31" s="75"/>
      <c r="H31" s="76"/>
      <c r="I31" s="90">
        <f t="shared" si="10"/>
        <v>0</v>
      </c>
      <c r="J31" s="76"/>
      <c r="K31" s="76"/>
      <c r="L31" s="90">
        <f t="shared" si="11"/>
        <v>0</v>
      </c>
      <c r="M31" s="75"/>
      <c r="N31" s="75"/>
      <c r="O31" s="90">
        <f t="shared" si="12"/>
        <v>0</v>
      </c>
      <c r="P31" s="76"/>
      <c r="Q31" s="76"/>
      <c r="R31" s="90">
        <f t="shared" si="13"/>
        <v>0</v>
      </c>
      <c r="S31" s="76"/>
      <c r="T31" s="76"/>
      <c r="U31" s="90">
        <f t="shared" si="14"/>
        <v>0</v>
      </c>
      <c r="V31" s="75"/>
      <c r="W31" s="76"/>
      <c r="X31" s="90">
        <f t="shared" si="15"/>
        <v>0</v>
      </c>
      <c r="Y31" s="90"/>
      <c r="Z31" s="90"/>
      <c r="AA31" s="90"/>
      <c r="AB31" s="94">
        <f t="shared" si="16"/>
        <v>0</v>
      </c>
      <c r="AC31" s="91"/>
      <c r="AD31" s="77"/>
      <c r="AE31" s="92">
        <f t="shared" si="17"/>
        <v>0</v>
      </c>
      <c r="AF31" s="77"/>
      <c r="AG31" s="92">
        <f t="shared" si="18"/>
        <v>0</v>
      </c>
      <c r="AH31" s="77"/>
      <c r="AI31" s="92">
        <f t="shared" si="19"/>
        <v>0</v>
      </c>
      <c r="AJ31" s="77"/>
      <c r="AK31" s="92">
        <f t="shared" si="20"/>
        <v>0</v>
      </c>
      <c r="AL31" s="78"/>
      <c r="AM31" s="92">
        <f t="shared" si="21"/>
        <v>0</v>
      </c>
      <c r="AN31" s="77"/>
      <c r="AO31" s="92">
        <f t="shared" si="22"/>
        <v>0</v>
      </c>
      <c r="AP31" s="93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0">
        <f t="shared" ref="F32" si="76">BA32-BB32</f>
        <v>0</v>
      </c>
      <c r="G32" s="75"/>
      <c r="H32" s="76"/>
      <c r="I32" s="90">
        <f t="shared" ref="I32" si="77">BF32-BG32</f>
        <v>0</v>
      </c>
      <c r="J32" s="76"/>
      <c r="K32" s="76"/>
      <c r="L32" s="90">
        <f t="shared" ref="L32" si="78">BK32-BL32</f>
        <v>0</v>
      </c>
      <c r="M32" s="75"/>
      <c r="N32" s="75"/>
      <c r="O32" s="90">
        <f t="shared" ref="O32" si="79">BP32-BQ32</f>
        <v>0</v>
      </c>
      <c r="P32" s="76"/>
      <c r="Q32" s="76"/>
      <c r="R32" s="90">
        <f t="shared" ref="R32" si="80">BU32-BV32</f>
        <v>0</v>
      </c>
      <c r="S32" s="76"/>
      <c r="T32" s="76"/>
      <c r="U32" s="90">
        <f t="shared" ref="U32" si="81">BZ32-CA32</f>
        <v>0</v>
      </c>
      <c r="V32" s="75"/>
      <c r="W32" s="76"/>
      <c r="X32" s="90">
        <f t="shared" ref="X32" si="82">CE32-CF32</f>
        <v>0</v>
      </c>
      <c r="Y32" s="90"/>
      <c r="Z32" s="90"/>
      <c r="AA32" s="90"/>
      <c r="AB32" s="94">
        <f t="shared" ref="AB32" si="83">SUM(F32,I32,L32,O32,R32,U32,X32)</f>
        <v>0</v>
      </c>
      <c r="AC32" s="91"/>
      <c r="AD32" s="77"/>
      <c r="AE32" s="92">
        <f t="shared" ref="AE32" si="84">SUMIF($BC$1:$CI$1,AE$1,$BC32:$CI32)+AD32</f>
        <v>0</v>
      </c>
      <c r="AF32" s="77"/>
      <c r="AG32" s="92">
        <f t="shared" ref="AG32" si="85">SUMIF($BC$1:$CI$1,AG$1,$BC32:$CI32)+AF32</f>
        <v>0</v>
      </c>
      <c r="AH32" s="77"/>
      <c r="AI32" s="92">
        <f t="shared" ref="AI32" si="86">SUMIF($BC$1:$CI$1,AI$1,$BC32:$CI32)+AH32</f>
        <v>0</v>
      </c>
      <c r="AJ32" s="77"/>
      <c r="AK32" s="92">
        <f t="shared" ref="AK32" si="87">SUMIF($BC$1:$CI$1,AK$1,$BC32:$CI32)+AJ32</f>
        <v>0</v>
      </c>
      <c r="AL32" s="78"/>
      <c r="AM32" s="92">
        <f t="shared" ref="AM32" si="88">SUMIF($BC$1:$CI$1,AM$1,$BC32:$CI32)+AL32</f>
        <v>0</v>
      </c>
      <c r="AN32" s="77"/>
      <c r="AO32" s="92">
        <f t="shared" ref="AO32" si="89">SUMIF($BC$1:$CI$1,AO$1,$BC32:$CI32)+AN32</f>
        <v>0</v>
      </c>
      <c r="AP32" s="93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0">
        <f t="shared" si="9"/>
        <v>0</v>
      </c>
      <c r="G33" s="75"/>
      <c r="H33" s="76"/>
      <c r="I33" s="90">
        <f t="shared" si="10"/>
        <v>0</v>
      </c>
      <c r="J33" s="76"/>
      <c r="K33" s="75"/>
      <c r="L33" s="90">
        <f t="shared" si="11"/>
        <v>0</v>
      </c>
      <c r="M33" s="76"/>
      <c r="N33" s="75"/>
      <c r="O33" s="90">
        <f t="shared" si="12"/>
        <v>0</v>
      </c>
      <c r="P33" s="76"/>
      <c r="Q33" s="75"/>
      <c r="R33" s="90">
        <f t="shared" si="13"/>
        <v>0</v>
      </c>
      <c r="S33" s="76"/>
      <c r="T33" s="76"/>
      <c r="U33" s="90">
        <f t="shared" si="14"/>
        <v>0</v>
      </c>
      <c r="V33" s="75"/>
      <c r="W33" s="76"/>
      <c r="X33" s="90">
        <f t="shared" si="15"/>
        <v>0</v>
      </c>
      <c r="Y33" s="90"/>
      <c r="Z33" s="90"/>
      <c r="AA33" s="90"/>
      <c r="AB33" s="94">
        <f t="shared" si="16"/>
        <v>0</v>
      </c>
      <c r="AC33" s="91"/>
      <c r="AD33" s="77"/>
      <c r="AE33" s="92">
        <f t="shared" si="17"/>
        <v>0</v>
      </c>
      <c r="AF33" s="77"/>
      <c r="AG33" s="92">
        <f t="shared" si="18"/>
        <v>0</v>
      </c>
      <c r="AH33" s="77"/>
      <c r="AI33" s="92">
        <f t="shared" si="19"/>
        <v>0</v>
      </c>
      <c r="AJ33" s="77"/>
      <c r="AK33" s="92">
        <f t="shared" si="20"/>
        <v>0</v>
      </c>
      <c r="AL33" s="78"/>
      <c r="AM33" s="92">
        <f t="shared" si="21"/>
        <v>0</v>
      </c>
      <c r="AN33" s="77"/>
      <c r="AO33" s="92">
        <f t="shared" si="22"/>
        <v>0</v>
      </c>
      <c r="AP33" s="93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0">
        <f t="shared" si="9"/>
        <v>0</v>
      </c>
      <c r="G34" s="75"/>
      <c r="H34" s="76"/>
      <c r="I34" s="90">
        <f t="shared" si="10"/>
        <v>0</v>
      </c>
      <c r="J34" s="76"/>
      <c r="K34" s="76"/>
      <c r="L34" s="90">
        <f t="shared" si="11"/>
        <v>0</v>
      </c>
      <c r="M34" s="75"/>
      <c r="N34" s="75"/>
      <c r="O34" s="90">
        <f t="shared" si="12"/>
        <v>0</v>
      </c>
      <c r="P34" s="76"/>
      <c r="Q34" s="76"/>
      <c r="R34" s="90">
        <f t="shared" si="13"/>
        <v>0</v>
      </c>
      <c r="S34" s="76"/>
      <c r="T34" s="76"/>
      <c r="U34" s="90">
        <f t="shared" si="14"/>
        <v>0</v>
      </c>
      <c r="V34" s="75"/>
      <c r="W34" s="76"/>
      <c r="X34" s="90">
        <f t="shared" si="15"/>
        <v>0</v>
      </c>
      <c r="Y34" s="90"/>
      <c r="Z34" s="90"/>
      <c r="AA34" s="90"/>
      <c r="AB34" s="94">
        <f t="shared" si="16"/>
        <v>0</v>
      </c>
      <c r="AC34" s="91"/>
      <c r="AD34" s="77"/>
      <c r="AE34" s="92">
        <f t="shared" si="17"/>
        <v>0</v>
      </c>
      <c r="AF34" s="77"/>
      <c r="AG34" s="92">
        <f t="shared" si="18"/>
        <v>0</v>
      </c>
      <c r="AH34" s="77"/>
      <c r="AI34" s="92">
        <f t="shared" si="19"/>
        <v>0</v>
      </c>
      <c r="AJ34" s="77"/>
      <c r="AK34" s="92">
        <f t="shared" si="20"/>
        <v>0</v>
      </c>
      <c r="AL34" s="78"/>
      <c r="AM34" s="92">
        <f t="shared" si="21"/>
        <v>0</v>
      </c>
      <c r="AN34" s="77"/>
      <c r="AO34" s="92">
        <f t="shared" si="22"/>
        <v>0</v>
      </c>
      <c r="AP34" s="93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0">
        <f t="shared" si="9"/>
        <v>0</v>
      </c>
      <c r="G35" s="75"/>
      <c r="H35" s="76"/>
      <c r="I35" s="90">
        <f t="shared" si="10"/>
        <v>0</v>
      </c>
      <c r="J35" s="76"/>
      <c r="K35" s="76"/>
      <c r="L35" s="90">
        <f t="shared" si="11"/>
        <v>0</v>
      </c>
      <c r="M35" s="75"/>
      <c r="N35" s="75"/>
      <c r="O35" s="90">
        <f t="shared" si="12"/>
        <v>0</v>
      </c>
      <c r="P35" s="76"/>
      <c r="Q35" s="76"/>
      <c r="R35" s="90">
        <f t="shared" si="13"/>
        <v>0</v>
      </c>
      <c r="S35" s="76"/>
      <c r="T35" s="76"/>
      <c r="U35" s="90">
        <f t="shared" si="14"/>
        <v>0</v>
      </c>
      <c r="V35" s="75"/>
      <c r="W35" s="76"/>
      <c r="X35" s="90">
        <f t="shared" si="15"/>
        <v>0</v>
      </c>
      <c r="Y35" s="90"/>
      <c r="Z35" s="90"/>
      <c r="AA35" s="90"/>
      <c r="AB35" s="94">
        <f t="shared" si="16"/>
        <v>0</v>
      </c>
      <c r="AC35" s="91"/>
      <c r="AD35" s="77"/>
      <c r="AE35" s="92">
        <f t="shared" si="17"/>
        <v>0</v>
      </c>
      <c r="AF35" s="77"/>
      <c r="AG35" s="92">
        <f t="shared" si="18"/>
        <v>0</v>
      </c>
      <c r="AH35" s="77"/>
      <c r="AI35" s="92">
        <f t="shared" si="19"/>
        <v>0</v>
      </c>
      <c r="AJ35" s="77"/>
      <c r="AK35" s="92">
        <f t="shared" si="20"/>
        <v>0</v>
      </c>
      <c r="AL35" s="78"/>
      <c r="AM35" s="92">
        <f t="shared" si="21"/>
        <v>0</v>
      </c>
      <c r="AN35" s="77"/>
      <c r="AO35" s="92">
        <f t="shared" si="22"/>
        <v>0</v>
      </c>
      <c r="AP35" s="93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5" operator="equal">
      <formula>"Pub"</formula>
    </cfRule>
  </conditionalFormatting>
  <conditionalFormatting sqref="F2:F100 I2:I100 L2:L100 O2:O100 R2:R100 U2:U100 X2:AB100 AT2:AT100">
    <cfRule type="cellIs" dxfId="10" priority="736" operator="lessThan">
      <formula>0</formula>
    </cfRule>
    <cfRule type="cellIs" dxfId="9" priority="737" operator="between">
      <formula>3</formula>
      <formula>0.01</formula>
    </cfRule>
    <cfRule type="cellIs" dxfId="8" priority="738" operator="lessThan">
      <formula>SUMIF($C:$C,$C2,F:F)</formula>
    </cfRule>
  </conditionalFormatting>
  <conditionalFormatting sqref="AD2:AD100">
    <cfRule type="notContainsBlanks" dxfId="7" priority="2">
      <formula>LEN(TRIM(AD2))&gt;0</formula>
    </cfRule>
  </conditionalFormatting>
  <conditionalFormatting sqref="AF2:AF100">
    <cfRule type="notContainsBlanks" dxfId="6" priority="5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3">
      <formula>LEN(TRIM(AL2))&gt;0</formula>
    </cfRule>
  </conditionalFormatting>
  <conditionalFormatting sqref="AL21:AL29 AL61:AL63 AL75:AL100 AJ2:AJ100 AN2:AN100 AQ2:AS100">
    <cfRule type="notContainsBlanks" dxfId="3" priority="739">
      <formula>LEN(TRIM(AJ2))&gt;0</formula>
    </cfRule>
  </conditionalFormatting>
  <conditionalFormatting sqref="AT1">
    <cfRule type="cellIs" dxfId="2" priority="731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E3" sqref="E3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05/07/26</v>
      </c>
      <c r="G1" s="13" t="str">
        <f>_xlfn.CONCAT("Age on ",TEXT( 'Week 1 Roster'!$D$1+14,"dd/mm/yy"))</f>
        <v>Age on 20/07/26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10253</v>
      </c>
      <c r="B2" s="28">
        <f ca="1">IF(A2=0,"",_xlfn.NUMBERVALUE(A2))</f>
        <v>10253</v>
      </c>
      <c r="C2" s="28" t="str">
        <f ca="1">IF($A2=0,"",VLOOKUP($B2,Employees!$A:$G,2,FALSE))</f>
        <v>Mumtajit</v>
      </c>
      <c r="D2" s="28" t="str">
        <f ca="1">IF($A2=0,"",VLOOKUP($B2,Employees!$A:$G,3,FALSE))</f>
        <v>Kaur</v>
      </c>
      <c r="E2" s="26">
        <f ca="1">IF($A2=0,"",VLOOKUP($B2,Employees!$A:$G,5,FALSE))</f>
        <v>36991</v>
      </c>
      <c r="F2" s="13">
        <f ca="1">IF($E2="","",ROUNDDOWN(YEARFRAC($E2, 'Week 1 Roster'!$D$1-1, 1), 0))</f>
        <v>25</v>
      </c>
      <c r="G2" s="13">
        <f ca="1">IF($E2="","",ROUNDDOWN(YEARFRAC($E2, 'Week 1 Roster'!$D$1+14, 1), 0))</f>
        <v>25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Gateway</v>
      </c>
      <c r="L2" s="13" t="str">
        <f ca="1">IF($A2=0,"",VLOOKUP(K2,Stores!A:B,2,0))</f>
        <v>Superb</v>
      </c>
      <c r="M2" s="14">
        <f t="shared" ref="M2" ca="1" si="0">Y2+AK2</f>
        <v>26.666666666666668</v>
      </c>
      <c r="N2" s="14">
        <f t="shared" ref="N2" ca="1" si="1">Z2+AL2</f>
        <v>5.1999999999999993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5</v>
      </c>
      <c r="T2" s="14">
        <f t="shared" ref="T2" ca="1" si="6">AF2+AR2</f>
        <v>0</v>
      </c>
      <c r="U2" s="14">
        <f t="shared" ref="U2" ca="1" si="7">AG2+AS2</f>
        <v>38</v>
      </c>
      <c r="V2" s="14">
        <f t="shared" ref="V2" ca="1" si="8">AH2+AT2</f>
        <v>0</v>
      </c>
      <c r="W2" s="14">
        <f ca="1">SUM(M2:R2,T2:V2)</f>
        <v>69.866666666666674</v>
      </c>
      <c r="Y2" s="17">
        <f ca="1">IF($A2=0,0,SUMIF('Week 1 Roster'!$AZ:$AZ,$B2,'Week 1 Roster'!$AE:$AE))</f>
        <v>25.666666666666668</v>
      </c>
      <c r="Z2" s="17">
        <f ca="1">IF($A2=0,0,SUMIF('Week 1 Roster'!$AZ:$AZ,$B2,'Week 1 Roster'!$AG:$AG))</f>
        <v>5.1999999999999993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30.866666666666667</v>
      </c>
      <c r="AK2" s="17">
        <f ca="1">IF($A2=0,0,SUMIF('Week 2 Roster'!$AZ:$AZ,$B2,'Week 2 Roster'!$AE:$AE))</f>
        <v>1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38</v>
      </c>
      <c r="AT2" s="17">
        <f ca="1">IF($A2=0,0,SUMIF('Week 2 Roster'!$AZ:$AZ,$B2,'Week 2 Roster'!$AS:$AS))</f>
        <v>0</v>
      </c>
      <c r="AU2" s="17">
        <f ca="1">SUM(AK2:AP2,AR2:AT2)</f>
        <v>39</v>
      </c>
      <c r="AV2" s="17"/>
      <c r="AW2" s="25">
        <f>'Week 1 Roster'!A2</f>
        <v>10253</v>
      </c>
      <c r="AX2" s="25">
        <f>'Week 2 Roster'!A2</f>
        <v>10253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10275</v>
      </c>
      <c r="B3" s="28">
        <f t="shared" ref="B3:B66" ca="1" si="9">IF(A3=0,"",_xlfn.NUMBERVALUE(A3))</f>
        <v>10275</v>
      </c>
      <c r="C3" s="28" t="str">
        <f ca="1">IF($A3=0,"",VLOOKUP($B3,Employees!$A:$G,2,FALSE))</f>
        <v>To Yen</v>
      </c>
      <c r="D3" s="28" t="str">
        <f ca="1">IF($A3=0,"",VLOOKUP($B3,Employees!$A:$G,3,FALSE))</f>
        <v>Ong</v>
      </c>
      <c r="E3" s="26">
        <f ca="1">IF($A3=0,"",VLOOKUP($B3,Employees!$A:$G,5,FALSE))</f>
        <v>37628</v>
      </c>
      <c r="F3" s="13">
        <f ca="1">IF($E3="","",ROUNDDOWN(YEARFRAC($E3, 'Week 1 Roster'!$D$1-1, 1), 0))</f>
        <v>23</v>
      </c>
      <c r="G3" s="13">
        <f ca="1">IF($E3="","",ROUNDDOWN(YEARFRAC($E3, 'Week 1 Roster'!$D$1+14, 1), 0))</f>
        <v>23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Gateway</v>
      </c>
      <c r="L3" s="13" t="str">
        <f ca="1">IF($A3=0,"",VLOOKUP(K3,Stores!A:B,2,0))</f>
        <v>Superb</v>
      </c>
      <c r="M3" s="14">
        <f t="shared" ref="M3:M66" ca="1" si="11">Y3+AK3</f>
        <v>29.599999999999994</v>
      </c>
      <c r="N3" s="14">
        <f t="shared" ref="N3:N66" ca="1" si="12">Z3+AL3</f>
        <v>6.4999999999999991</v>
      </c>
      <c r="O3" s="14">
        <f t="shared" ref="O3:O66" ca="1" si="13">AA3+AM3</f>
        <v>10.633333333333333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8</v>
      </c>
      <c r="T3" s="14">
        <f t="shared" ref="T3:T66" ca="1" si="18">AF3+AR3</f>
        <v>5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51.733333333333327</v>
      </c>
      <c r="Y3" s="17">
        <f ca="1">IF($A3=0,0,SUMIF('Week 1 Roster'!$AZ:$AZ,$B3,'Week 1 Roster'!$AE:$AE))</f>
        <v>11.649999999999999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5.1666666666666679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3</v>
      </c>
      <c r="AF3" s="17">
        <f ca="1">IF($A3=0,0,SUMIF('Week 1 Roster'!$AZ:$AZ,$B3,'Week 1 Roster'!$AQ:$AQ))</f>
        <v>5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21.816666666666666</v>
      </c>
      <c r="AK3" s="17">
        <f ca="1">IF($A3=0,0,SUMIF('Week 2 Roster'!$AZ:$AZ,$B3,'Week 2 Roster'!$AE:$AE))</f>
        <v>17.949999999999996</v>
      </c>
      <c r="AL3" s="17">
        <f ca="1">IF($A3=0,0,SUMIF('Week 2 Roster'!$AZ:$AZ,$B3,'Week 2 Roster'!$AG:$AG))</f>
        <v>6.4999999999999991</v>
      </c>
      <c r="AM3" s="17">
        <f ca="1">IF($A3=0,0,SUMIF('Week 2 Roster'!$AZ:$AZ,$B3,'Week 2 Roster'!$AI:$AI))</f>
        <v>5.4666666666666659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5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29.916666666666661</v>
      </c>
      <c r="AV3" s="17"/>
      <c r="AW3" s="25">
        <f>'Week 1 Roster'!A3</f>
        <v>10275</v>
      </c>
      <c r="AX3" s="25">
        <f>'Week 2 Roster'!A3</f>
        <v>10275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10431</v>
      </c>
      <c r="B4" s="28">
        <f t="shared" ca="1" si="9"/>
        <v>10431</v>
      </c>
      <c r="C4" s="28" t="str">
        <f ca="1">IF($A4=0,"",VLOOKUP($B4,Employees!$A:$G,2,FALSE))</f>
        <v>Victoria</v>
      </c>
      <c r="D4" s="28" t="str">
        <f ca="1">IF($A4=0,"",VLOOKUP($B4,Employees!$A:$G,3,FALSE))</f>
        <v>Handoko</v>
      </c>
      <c r="E4" s="26">
        <f ca="1">IF($A4=0,"",VLOOKUP($B4,Employees!$A:$G,5,FALSE))</f>
        <v>36829</v>
      </c>
      <c r="F4" s="13">
        <f ca="1">IF($E4="","",ROUNDDOWN(YEARFRAC($E4, 'Week 1 Roster'!$D$1-1, 1), 0))</f>
        <v>25</v>
      </c>
      <c r="G4" s="13">
        <f ca="1">IF($E4="","",ROUNDDOWN(YEARFRAC($E4, 'Week 1 Roster'!$D$1+14, 1), 0))</f>
        <v>25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Win</v>
      </c>
      <c r="K4" s="13" t="str">
        <f ca="1">IF($A4=0,"",IF(ISNA(VLOOKUP(A4,'Week 1 Roster'!A:C,2,0)),VLOOKUP(A4,'Week 2 Roster'!A:C,2,0),VLOOKUP(A4,'Week 1 Roster'!A:C,2,0)))</f>
        <v>Gateway</v>
      </c>
      <c r="L4" s="13" t="str">
        <f ca="1">IF($A4=0,"",VLOOKUP(K4,Stores!A:B,2,0))</f>
        <v>Superb</v>
      </c>
      <c r="M4" s="14">
        <f t="shared" ca="1" si="11"/>
        <v>28.816666666666659</v>
      </c>
      <c r="N4" s="14">
        <f t="shared" ca="1" si="12"/>
        <v>9.1833333333333336</v>
      </c>
      <c r="O4" s="14">
        <f t="shared" ca="1" si="13"/>
        <v>5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8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42.999999999999993</v>
      </c>
      <c r="Y4" s="17">
        <f ca="1">IF($A4=0,0,SUMIF('Week 1 Roster'!$AZ:$AZ,$B4,'Week 1 Roster'!$AE:$AE))</f>
        <v>5.5666666666666664</v>
      </c>
      <c r="Z4" s="17">
        <f ca="1">IF($A4=0,0,SUMIF('Week 1 Roster'!$AZ:$AZ,$B4,'Week 1 Roster'!$AG:$AG))</f>
        <v>4.1833333333333345</v>
      </c>
      <c r="AA4" s="17">
        <f ca="1">IF($A4=0,0,SUMIF('Week 1 Roster'!$AZ:$AZ,$B4,'Week 1 Roster'!$AI:$AI))</f>
        <v>5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14.75</v>
      </c>
      <c r="AK4" s="17">
        <f ca="1">IF($A4=0,0,SUMIF('Week 2 Roster'!$AZ:$AZ,$B4,'Week 2 Roster'!$AE:$AE))</f>
        <v>23.249999999999993</v>
      </c>
      <c r="AL4" s="17">
        <f ca="1">IF($A4=0,0,SUMIF('Week 2 Roster'!$AZ:$AZ,$B4,'Week 2 Roster'!$AG:$AG))</f>
        <v>5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5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28.249999999999993</v>
      </c>
      <c r="AV4" s="17"/>
      <c r="AW4" s="25">
        <f>'Week 1 Roster'!A4</f>
        <v>10431</v>
      </c>
      <c r="AX4" s="25">
        <f>'Week 2 Roster'!A4</f>
        <v>10431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210415</v>
      </c>
      <c r="B5" s="28">
        <f t="shared" ca="1" si="9"/>
        <v>210415</v>
      </c>
      <c r="C5" s="28" t="str">
        <f ca="1">IF($A5=0,"",VLOOKUP($B5,Employees!$A:$G,2,FALSE))</f>
        <v>Duc Phuc</v>
      </c>
      <c r="D5" s="28" t="str">
        <f ca="1">IF($A5=0,"",VLOOKUP($B5,Employees!$A:$G,3,FALSE))</f>
        <v>Phung</v>
      </c>
      <c r="E5" s="26">
        <f ca="1">IF($A5=0,"",VLOOKUP($B5,Employees!$A:$G,5,FALSE))</f>
        <v>38598</v>
      </c>
      <c r="F5" s="13">
        <f ca="1">IF($E5="","",ROUNDDOWN(YEARFRAC($E5, 'Week 1 Roster'!$D$1-1, 1), 0))</f>
        <v>20</v>
      </c>
      <c r="G5" s="13">
        <f ca="1">IF($E5="","",ROUNDDOWN(YEARFRAC($E5, 'Week 1 Roster'!$D$1+14, 1), 0))</f>
        <v>20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Gateway</v>
      </c>
      <c r="L5" s="13" t="str">
        <f ca="1">IF($A5=0,"",VLOOKUP(K5,Stores!A:B,2,0))</f>
        <v>Superb</v>
      </c>
      <c r="M5" s="14">
        <f t="shared" ca="1" si="11"/>
        <v>6.95</v>
      </c>
      <c r="N5" s="14">
        <f t="shared" ca="1" si="12"/>
        <v>0</v>
      </c>
      <c r="O5" s="14">
        <f t="shared" ca="1" si="13"/>
        <v>9.4166666666666714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3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16.366666666666671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4.0000000000000018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4.0000000000000018</v>
      </c>
      <c r="AK5" s="17">
        <f ca="1">IF($A5=0,0,SUMIF('Week 2 Roster'!$AZ:$AZ,$B5,'Week 2 Roster'!$AE:$AE))</f>
        <v>6.95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5.4166666666666687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12.366666666666669</v>
      </c>
      <c r="AV5" s="17"/>
      <c r="AW5" s="25">
        <f>'Week 1 Roster'!A5</f>
        <v>210415</v>
      </c>
      <c r="AX5" s="25">
        <f>'Week 2 Roster'!A5</f>
        <v>210415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210517</v>
      </c>
      <c r="B6" s="28">
        <f t="shared" ca="1" si="9"/>
        <v>210517</v>
      </c>
      <c r="C6" s="28" t="str">
        <f ca="1">IF($A6=0,"",VLOOKUP($B6,Employees!$A:$G,2,FALSE))</f>
        <v>Tanya</v>
      </c>
      <c r="D6" s="28" t="str">
        <f ca="1">IF($A6=0,"",VLOOKUP($B6,Employees!$A:$G,3,FALSE))</f>
        <v>Pityo</v>
      </c>
      <c r="E6" s="26">
        <f ca="1">IF($A6=0,"",VLOOKUP($B6,Employees!$A:$G,5,FALSE))</f>
        <v>39130</v>
      </c>
      <c r="F6" s="13">
        <f ca="1">IF($E6="","",ROUNDDOWN(YEARFRAC($E6, 'Week 1 Roster'!$D$1-1, 1), 0))</f>
        <v>19</v>
      </c>
      <c r="G6" s="13">
        <f ca="1">IF($E6="","",ROUNDDOWN(YEARFRAC($E6, 'Week 1 Roster'!$D$1+14, 1), 0))</f>
        <v>19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Gateway</v>
      </c>
      <c r="L6" s="13" t="str">
        <f ca="1">IF($A6=0,"",VLOOKUP(K6,Stores!A:B,2,0))</f>
        <v>Superb</v>
      </c>
      <c r="M6" s="14">
        <f t="shared" ca="1" si="11"/>
        <v>27.85</v>
      </c>
      <c r="N6" s="14">
        <f t="shared" ca="1" si="12"/>
        <v>10.366666666666667</v>
      </c>
      <c r="O6" s="14">
        <f t="shared" ca="1" si="13"/>
        <v>5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7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43.216666666666669</v>
      </c>
      <c r="Y6" s="17">
        <f ca="1">IF($A6=0,0,SUMIF('Week 1 Roster'!$AZ:$AZ,$B6,'Week 1 Roster'!$AE:$AE))</f>
        <v>14.033333333333335</v>
      </c>
      <c r="Z6" s="17">
        <f ca="1">IF($A6=0,0,SUMIF('Week 1 Roster'!$AZ:$AZ,$B6,'Week 1 Roster'!$AG:$AG))</f>
        <v>5.1500000000000012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19.183333333333337</v>
      </c>
      <c r="AK6" s="17">
        <f ca="1">IF($A6=0,0,SUMIF('Week 2 Roster'!$AZ:$AZ,$B6,'Week 2 Roster'!$AE:$AE))</f>
        <v>13.816666666666666</v>
      </c>
      <c r="AL6" s="17">
        <f ca="1">IF($A6=0,0,SUMIF('Week 2 Roster'!$AZ:$AZ,$B6,'Week 2 Roster'!$AG:$AG))</f>
        <v>5.2166666666666668</v>
      </c>
      <c r="AM6" s="17">
        <f ca="1">IF($A6=0,0,SUMIF('Week 2 Roster'!$AZ:$AZ,$B6,'Week 2 Roster'!$AI:$AI))</f>
        <v>5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24.033333333333331</v>
      </c>
      <c r="AV6" s="17"/>
      <c r="AW6" s="25">
        <f>'Week 1 Roster'!A6</f>
        <v>210517</v>
      </c>
      <c r="AX6" s="25">
        <f>'Week 2 Roster'!A6</f>
        <v>210517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210506</v>
      </c>
      <c r="B7" s="28">
        <f t="shared" ca="1" si="9"/>
        <v>210506</v>
      </c>
      <c r="C7" s="28" t="str">
        <f ca="1">IF($A7=0,"",VLOOKUP($B7,Employees!$A:$G,2,FALSE))</f>
        <v>Theresa</v>
      </c>
      <c r="D7" s="28" t="str">
        <f ca="1">IF($A7=0,"",VLOOKUP($B7,Employees!$A:$G,3,FALSE))</f>
        <v>Josephine</v>
      </c>
      <c r="E7" s="26">
        <f ca="1">IF($A7=0,"",VLOOKUP($B7,Employees!$A:$G,5,FALSE))</f>
        <v>37805</v>
      </c>
      <c r="F7" s="13">
        <f ca="1">IF($E7="","",ROUNDDOWN(YEARFRAC($E7, 'Week 1 Roster'!$D$1-1, 1), 0))</f>
        <v>23</v>
      </c>
      <c r="G7" s="13">
        <f ca="1">IF($E7="","",ROUNDDOWN(YEARFRAC($E7, 'Week 1 Roster'!$D$1+14, 1), 0))</f>
        <v>23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Gateway</v>
      </c>
      <c r="L7" s="13" t="str">
        <f ca="1">IF($A7=0,"",VLOOKUP(K7,Stores!A:B,2,0))</f>
        <v>Superb</v>
      </c>
      <c r="M7" s="14">
        <f t="shared" ca="1" si="11"/>
        <v>6.6999999999999984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1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6.6999999999999984</v>
      </c>
      <c r="Y7" s="17">
        <f ca="1">IF($A7=0,0,SUMIF('Week 1 Roster'!$AZ:$AZ,$B7,'Week 1 Roster'!$AE:$AE))</f>
        <v>6.6999999999999984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6.6999999999999984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210506</v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93" zoomScale="186" zoomScaleNormal="186" workbookViewId="0">
      <selection activeCell="D614" sqref="D614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 t="s">
        <v>1348</v>
      </c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 t="s">
        <v>1348</v>
      </c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76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 t="s">
        <v>1348</v>
      </c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200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871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 t="s">
        <v>1348</v>
      </c>
      <c r="I339" s="12">
        <f t="shared" si="5"/>
        <v>10338</v>
      </c>
    </row>
    <row r="340" spans="1:9">
      <c r="A340" s="2">
        <v>210339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1376</v>
      </c>
      <c r="H340" s="39"/>
      <c r="I340" s="12">
        <f t="shared" si="5"/>
        <v>210339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210356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210356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76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76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76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76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76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210459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1376</v>
      </c>
      <c r="H460" s="39"/>
      <c r="I460" s="12">
        <f t="shared" si="8"/>
        <v>210459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76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76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76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76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98" t="s">
        <v>123</v>
      </c>
      <c r="D551" s="98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76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A560" s="2">
        <v>210559</v>
      </c>
      <c r="B560" s="67" t="s">
        <v>1516</v>
      </c>
      <c r="C560" s="67" t="s">
        <v>183</v>
      </c>
      <c r="D560" s="67" t="s">
        <v>1517</v>
      </c>
      <c r="E560" s="79">
        <v>39111</v>
      </c>
      <c r="F560" s="32">
        <v>48</v>
      </c>
      <c r="G560" s="39" t="s">
        <v>1376</v>
      </c>
      <c r="I560" s="12">
        <f t="shared" si="9"/>
        <v>210559</v>
      </c>
    </row>
    <row r="561" spans="1:9">
      <c r="A561" s="2">
        <v>210560</v>
      </c>
      <c r="B561" s="67" t="s">
        <v>1518</v>
      </c>
      <c r="C561" s="67" t="s">
        <v>1307</v>
      </c>
      <c r="D561" s="67" t="s">
        <v>1519</v>
      </c>
      <c r="E561" s="79">
        <v>36488</v>
      </c>
      <c r="F561" s="32">
        <v>48</v>
      </c>
      <c r="G561" s="39" t="s">
        <v>1376</v>
      </c>
      <c r="I561" s="12">
        <f t="shared" si="9"/>
        <v>210560</v>
      </c>
    </row>
    <row r="562" spans="1:9">
      <c r="A562" s="2">
        <v>210561</v>
      </c>
      <c r="B562" s="67" t="s">
        <v>1520</v>
      </c>
      <c r="C562" s="67" t="s">
        <v>171</v>
      </c>
      <c r="D562" s="67" t="s">
        <v>1521</v>
      </c>
      <c r="E562" s="79">
        <v>37238</v>
      </c>
      <c r="F562" s="32">
        <v>48</v>
      </c>
      <c r="G562" s="39" t="s">
        <v>1376</v>
      </c>
      <c r="I562" s="12">
        <f t="shared" si="9"/>
        <v>210561</v>
      </c>
    </row>
    <row r="563" spans="1:9">
      <c r="A563" s="2">
        <v>210562</v>
      </c>
      <c r="B563" s="67" t="s">
        <v>418</v>
      </c>
      <c r="C563" s="67" t="s">
        <v>348</v>
      </c>
      <c r="D563" s="67" t="s">
        <v>1522</v>
      </c>
      <c r="E563" s="79">
        <v>37160</v>
      </c>
      <c r="F563" s="32">
        <v>48</v>
      </c>
      <c r="G563" s="39" t="s">
        <v>1376</v>
      </c>
      <c r="I563" s="12">
        <f t="shared" si="9"/>
        <v>210562</v>
      </c>
    </row>
    <row r="564" spans="1:9">
      <c r="A564" s="2">
        <v>210563</v>
      </c>
      <c r="B564" s="67" t="s">
        <v>1523</v>
      </c>
      <c r="C564" s="67" t="s">
        <v>924</v>
      </c>
      <c r="D564" s="67" t="s">
        <v>1524</v>
      </c>
      <c r="E564" s="79">
        <v>34824</v>
      </c>
      <c r="F564" s="32">
        <v>76</v>
      </c>
      <c r="G564" s="39" t="s">
        <v>1376</v>
      </c>
      <c r="I564" s="12">
        <f t="shared" si="9"/>
        <v>210563</v>
      </c>
    </row>
    <row r="565" spans="1:9">
      <c r="A565" s="2">
        <v>210564</v>
      </c>
      <c r="B565" s="67" t="s">
        <v>1525</v>
      </c>
      <c r="C565" s="67" t="s">
        <v>1526</v>
      </c>
      <c r="D565" s="67" t="s">
        <v>1527</v>
      </c>
      <c r="E565" s="79">
        <v>33765</v>
      </c>
      <c r="F565" s="32">
        <v>76</v>
      </c>
      <c r="G565" s="39" t="s">
        <v>1376</v>
      </c>
      <c r="I565" s="12">
        <f t="shared" si="9"/>
        <v>210564</v>
      </c>
    </row>
    <row r="566" spans="1:9">
      <c r="A566" s="2">
        <v>210565</v>
      </c>
      <c r="B566" s="67" t="s">
        <v>1528</v>
      </c>
      <c r="C566" s="67" t="s">
        <v>178</v>
      </c>
      <c r="D566" s="67" t="s">
        <v>1529</v>
      </c>
      <c r="E566" s="79">
        <v>37680</v>
      </c>
      <c r="F566" s="32">
        <v>48</v>
      </c>
      <c r="G566" s="39" t="s">
        <v>1376</v>
      </c>
      <c r="I566" s="12">
        <f t="shared" si="9"/>
        <v>210565</v>
      </c>
    </row>
    <row r="567" spans="1:9">
      <c r="A567" s="2">
        <v>210566</v>
      </c>
      <c r="B567" s="67" t="s">
        <v>1532</v>
      </c>
      <c r="C567" s="67" t="s">
        <v>178</v>
      </c>
      <c r="D567" s="67" t="s">
        <v>1533</v>
      </c>
      <c r="E567" s="79">
        <v>39285</v>
      </c>
      <c r="F567" s="32">
        <v>48</v>
      </c>
      <c r="G567" s="39" t="s">
        <v>1376</v>
      </c>
      <c r="I567" s="12">
        <f t="shared" si="9"/>
        <v>210566</v>
      </c>
    </row>
    <row r="568" spans="1:9">
      <c r="A568" s="2">
        <v>210567</v>
      </c>
      <c r="B568" s="67" t="s">
        <v>1534</v>
      </c>
      <c r="C568" s="67" t="s">
        <v>183</v>
      </c>
      <c r="D568" s="67" t="s">
        <v>1535</v>
      </c>
      <c r="E568" s="79">
        <v>37803</v>
      </c>
      <c r="F568" s="32">
        <v>48</v>
      </c>
      <c r="G568" s="39" t="s">
        <v>1376</v>
      </c>
      <c r="I568" s="12">
        <f t="shared" si="9"/>
        <v>210567</v>
      </c>
    </row>
    <row r="569" spans="1:9">
      <c r="A569" s="2">
        <v>210568</v>
      </c>
      <c r="B569" s="67" t="s">
        <v>1536</v>
      </c>
      <c r="C569" s="67" t="s">
        <v>1537</v>
      </c>
      <c r="D569" s="67" t="s">
        <v>1538</v>
      </c>
      <c r="E569" s="79">
        <v>38885</v>
      </c>
      <c r="F569" s="32">
        <v>48</v>
      </c>
      <c r="G569" s="39" t="s">
        <v>1376</v>
      </c>
      <c r="I569" s="12">
        <f t="shared" si="9"/>
        <v>210568</v>
      </c>
    </row>
    <row r="570" spans="1:9">
      <c r="A570" s="2">
        <v>210569</v>
      </c>
      <c r="B570" s="67" t="s">
        <v>1539</v>
      </c>
      <c r="C570" s="67" t="s">
        <v>1540</v>
      </c>
      <c r="D570" s="67" t="s">
        <v>1541</v>
      </c>
      <c r="E570" s="79">
        <v>37166</v>
      </c>
      <c r="F570" s="32">
        <v>48</v>
      </c>
      <c r="G570" s="39" t="s">
        <v>1376</v>
      </c>
      <c r="I570" s="12">
        <f t="shared" si="9"/>
        <v>210569</v>
      </c>
    </row>
    <row r="571" spans="1:9">
      <c r="A571" s="2">
        <v>210570</v>
      </c>
      <c r="B571" s="67" t="s">
        <v>1197</v>
      </c>
      <c r="C571" s="67" t="s">
        <v>1542</v>
      </c>
      <c r="D571" s="67" t="s">
        <v>1543</v>
      </c>
      <c r="E571" s="79">
        <v>34376</v>
      </c>
      <c r="F571" s="32">
        <v>48</v>
      </c>
      <c r="G571" s="39" t="s">
        <v>1376</v>
      </c>
      <c r="I571" s="12">
        <f t="shared" si="9"/>
        <v>210570</v>
      </c>
    </row>
    <row r="572" spans="1:9">
      <c r="A572" s="2">
        <v>210571</v>
      </c>
      <c r="B572" s="67" t="s">
        <v>1544</v>
      </c>
      <c r="C572" s="67" t="s">
        <v>1545</v>
      </c>
      <c r="D572" s="67" t="s">
        <v>1546</v>
      </c>
      <c r="E572" s="79">
        <v>35876</v>
      </c>
      <c r="F572" s="32">
        <v>76</v>
      </c>
      <c r="G572" s="39" t="s">
        <v>1376</v>
      </c>
      <c r="I572" s="12">
        <f t="shared" si="9"/>
        <v>210571</v>
      </c>
    </row>
    <row r="573" spans="1:9">
      <c r="A573" s="2">
        <v>210572</v>
      </c>
      <c r="B573" s="67" t="s">
        <v>1547</v>
      </c>
      <c r="C573" s="67" t="s">
        <v>230</v>
      </c>
      <c r="D573" s="67" t="s">
        <v>1548</v>
      </c>
      <c r="E573" s="79">
        <v>38403</v>
      </c>
      <c r="F573" s="32">
        <v>48</v>
      </c>
      <c r="G573" s="39" t="s">
        <v>1376</v>
      </c>
      <c r="I573" s="12">
        <f t="shared" si="9"/>
        <v>210572</v>
      </c>
    </row>
    <row r="574" spans="1:9">
      <c r="A574" s="2">
        <v>210573</v>
      </c>
      <c r="B574" s="67" t="s">
        <v>1549</v>
      </c>
      <c r="C574" s="67" t="s">
        <v>757</v>
      </c>
      <c r="D574" s="67" t="s">
        <v>1550</v>
      </c>
      <c r="E574" s="79">
        <v>38694</v>
      </c>
      <c r="F574" s="32">
        <v>48</v>
      </c>
      <c r="G574" s="39" t="s">
        <v>1376</v>
      </c>
      <c r="I574" s="12">
        <f t="shared" si="9"/>
        <v>210573</v>
      </c>
    </row>
    <row r="575" spans="1:9">
      <c r="A575" s="2">
        <v>210574</v>
      </c>
      <c r="B575" s="67" t="s">
        <v>558</v>
      </c>
      <c r="C575" s="67" t="s">
        <v>1551</v>
      </c>
      <c r="D575" s="67" t="s">
        <v>1552</v>
      </c>
      <c r="E575" s="79">
        <v>39041</v>
      </c>
      <c r="F575" s="32">
        <v>48</v>
      </c>
      <c r="G575" s="39" t="s">
        <v>1376</v>
      </c>
      <c r="I575" s="12">
        <f t="shared" si="9"/>
        <v>210574</v>
      </c>
    </row>
    <row r="576" spans="1:9">
      <c r="A576" s="2">
        <v>210575</v>
      </c>
      <c r="B576" s="67" t="s">
        <v>1553</v>
      </c>
      <c r="C576" s="67" t="s">
        <v>1574</v>
      </c>
      <c r="D576" s="67" t="s">
        <v>1554</v>
      </c>
      <c r="E576" s="79">
        <v>39029</v>
      </c>
      <c r="F576" s="32">
        <v>48</v>
      </c>
      <c r="G576" s="39" t="s">
        <v>1376</v>
      </c>
      <c r="I576" s="12">
        <f t="shared" si="9"/>
        <v>210575</v>
      </c>
    </row>
    <row r="577" spans="1:9">
      <c r="A577" s="2">
        <v>210576</v>
      </c>
      <c r="B577" s="67" t="s">
        <v>1555</v>
      </c>
      <c r="C577" s="67" t="s">
        <v>90</v>
      </c>
      <c r="D577" s="67" t="s">
        <v>1556</v>
      </c>
      <c r="E577" s="79">
        <v>39340</v>
      </c>
      <c r="F577" s="32">
        <v>48</v>
      </c>
      <c r="G577" s="39" t="s">
        <v>1376</v>
      </c>
      <c r="I577" s="12">
        <f t="shared" si="9"/>
        <v>210576</v>
      </c>
    </row>
    <row r="578" spans="1:9">
      <c r="A578" s="2">
        <v>210577</v>
      </c>
      <c r="B578" s="67" t="s">
        <v>1557</v>
      </c>
      <c r="C578" s="67" t="s">
        <v>178</v>
      </c>
      <c r="D578" s="67" t="s">
        <v>1558</v>
      </c>
      <c r="E578" s="79">
        <v>37396</v>
      </c>
      <c r="F578" s="32">
        <v>48</v>
      </c>
      <c r="G578" s="39" t="s">
        <v>1376</v>
      </c>
      <c r="I578" s="12">
        <f t="shared" ref="I578:I641" si="10">A578</f>
        <v>210577</v>
      </c>
    </row>
    <row r="579" spans="1:9">
      <c r="A579" s="2">
        <v>210578</v>
      </c>
      <c r="B579" s="67" t="s">
        <v>1559</v>
      </c>
      <c r="C579" s="67" t="s">
        <v>1560</v>
      </c>
      <c r="D579" s="67" t="s">
        <v>1561</v>
      </c>
      <c r="E579" s="79">
        <v>38826</v>
      </c>
      <c r="F579" s="32">
        <v>48</v>
      </c>
      <c r="G579" s="39" t="s">
        <v>1376</v>
      </c>
      <c r="I579" s="12">
        <f t="shared" si="10"/>
        <v>210578</v>
      </c>
    </row>
    <row r="580" spans="1:9">
      <c r="A580" s="2">
        <v>210579</v>
      </c>
      <c r="B580" s="67" t="s">
        <v>1562</v>
      </c>
      <c r="C580" s="67" t="s">
        <v>1341</v>
      </c>
      <c r="D580" s="67" t="s">
        <v>1563</v>
      </c>
      <c r="E580" s="79">
        <v>37159</v>
      </c>
      <c r="F580" s="32">
        <v>76</v>
      </c>
      <c r="G580" s="39" t="s">
        <v>1376</v>
      </c>
      <c r="I580" s="12">
        <f t="shared" si="10"/>
        <v>210579</v>
      </c>
    </row>
    <row r="581" spans="1:9">
      <c r="A581" s="2">
        <v>210580</v>
      </c>
      <c r="B581" s="67" t="s">
        <v>1564</v>
      </c>
      <c r="C581" s="67" t="s">
        <v>1565</v>
      </c>
      <c r="D581" s="67" t="s">
        <v>1566</v>
      </c>
      <c r="E581" s="79">
        <v>36635</v>
      </c>
      <c r="F581" s="32">
        <v>48</v>
      </c>
      <c r="G581" s="39" t="s">
        <v>871</v>
      </c>
      <c r="I581" s="12">
        <f t="shared" si="10"/>
        <v>210580</v>
      </c>
    </row>
    <row r="582" spans="1:9">
      <c r="A582" s="2">
        <v>210581</v>
      </c>
      <c r="B582" s="67" t="s">
        <v>1567</v>
      </c>
      <c r="C582" s="67" t="s">
        <v>319</v>
      </c>
      <c r="D582" s="67" t="s">
        <v>1568</v>
      </c>
      <c r="E582" s="79">
        <v>36019</v>
      </c>
      <c r="F582" s="32">
        <v>48</v>
      </c>
      <c r="G582" s="39" t="s">
        <v>1376</v>
      </c>
      <c r="I582" s="12">
        <f t="shared" si="10"/>
        <v>210581</v>
      </c>
    </row>
    <row r="583" spans="1:9">
      <c r="A583" s="2">
        <v>210582</v>
      </c>
      <c r="B583" s="67" t="s">
        <v>1569</v>
      </c>
      <c r="C583" s="67" t="s">
        <v>171</v>
      </c>
      <c r="D583" s="67" t="s">
        <v>1570</v>
      </c>
      <c r="E583" s="79">
        <v>37472</v>
      </c>
      <c r="F583" s="32">
        <v>76</v>
      </c>
      <c r="G583" s="39" t="s">
        <v>1376</v>
      </c>
      <c r="I583" s="12">
        <f t="shared" si="10"/>
        <v>210582</v>
      </c>
    </row>
    <row r="584" spans="1:9">
      <c r="A584" s="2">
        <v>210583</v>
      </c>
      <c r="B584" s="98" t="s">
        <v>1571</v>
      </c>
      <c r="C584" s="98" t="s">
        <v>1572</v>
      </c>
      <c r="D584" s="98" t="s">
        <v>1573</v>
      </c>
      <c r="E584" s="80">
        <v>36688</v>
      </c>
      <c r="F584" s="32">
        <v>48</v>
      </c>
      <c r="G584" s="39" t="s">
        <v>1376</v>
      </c>
      <c r="I584" s="12">
        <f t="shared" si="10"/>
        <v>210583</v>
      </c>
    </row>
    <row r="585" spans="1:9">
      <c r="A585" s="2">
        <v>10584</v>
      </c>
      <c r="B585" s="39" t="s">
        <v>1040</v>
      </c>
      <c r="C585" s="39" t="s">
        <v>1041</v>
      </c>
      <c r="D585" s="65" t="s">
        <v>1040</v>
      </c>
      <c r="E585" s="66">
        <v>36452</v>
      </c>
      <c r="F585" s="32">
        <v>76</v>
      </c>
      <c r="G585" s="39" t="s">
        <v>1376</v>
      </c>
      <c r="I585" s="12">
        <f t="shared" si="10"/>
        <v>10584</v>
      </c>
    </row>
    <row r="586" spans="1:9">
      <c r="A586" s="2">
        <v>210585</v>
      </c>
      <c r="B586" s="111" t="s">
        <v>328</v>
      </c>
      <c r="C586" s="98" t="s">
        <v>348</v>
      </c>
      <c r="D586" s="98" t="s">
        <v>1575</v>
      </c>
      <c r="E586" s="80">
        <v>37312</v>
      </c>
      <c r="F586" s="32">
        <v>76</v>
      </c>
      <c r="G586" s="39" t="s">
        <v>1376</v>
      </c>
      <c r="I586" s="12">
        <f t="shared" si="10"/>
        <v>210585</v>
      </c>
    </row>
    <row r="587" spans="1:9">
      <c r="A587" s="2">
        <v>210586</v>
      </c>
      <c r="B587" s="111" t="s">
        <v>1577</v>
      </c>
      <c r="C587" s="98" t="s">
        <v>1578</v>
      </c>
      <c r="D587" s="98" t="s">
        <v>1579</v>
      </c>
      <c r="E587" s="80">
        <v>37571</v>
      </c>
      <c r="F587" s="32">
        <v>48</v>
      </c>
      <c r="G587" s="39" t="s">
        <v>1376</v>
      </c>
      <c r="I587" s="12">
        <f t="shared" si="10"/>
        <v>210586</v>
      </c>
    </row>
    <row r="588" spans="1:9">
      <c r="A588" s="2">
        <v>210587</v>
      </c>
      <c r="B588" s="111" t="s">
        <v>1580</v>
      </c>
      <c r="C588" s="98" t="s">
        <v>1581</v>
      </c>
      <c r="D588" s="98" t="s">
        <v>1582</v>
      </c>
      <c r="E588" s="80">
        <v>37402</v>
      </c>
      <c r="F588" s="32">
        <v>48</v>
      </c>
      <c r="G588" s="39" t="s">
        <v>1376</v>
      </c>
      <c r="I588" s="12">
        <f t="shared" si="10"/>
        <v>210587</v>
      </c>
    </row>
    <row r="589" spans="1:9">
      <c r="A589" s="2">
        <v>210588</v>
      </c>
      <c r="B589" s="111" t="s">
        <v>1583</v>
      </c>
      <c r="C589" s="98" t="s">
        <v>1584</v>
      </c>
      <c r="D589" s="98" t="s">
        <v>1585</v>
      </c>
      <c r="E589" s="80">
        <v>37682</v>
      </c>
      <c r="F589" s="32">
        <v>48</v>
      </c>
      <c r="G589" s="39" t="s">
        <v>1376</v>
      </c>
      <c r="I589" s="12">
        <f t="shared" si="10"/>
        <v>210588</v>
      </c>
    </row>
    <row r="590" spans="1:9">
      <c r="A590" s="2">
        <v>210589</v>
      </c>
      <c r="B590" s="67" t="s">
        <v>1586</v>
      </c>
      <c r="C590" s="67" t="s">
        <v>178</v>
      </c>
      <c r="D590" s="67" t="s">
        <v>1587</v>
      </c>
      <c r="E590" s="79">
        <v>37349</v>
      </c>
      <c r="F590" s="32">
        <v>48</v>
      </c>
      <c r="G590" s="39" t="s">
        <v>1376</v>
      </c>
      <c r="I590" s="12">
        <f t="shared" si="10"/>
        <v>210589</v>
      </c>
    </row>
    <row r="591" spans="1:9">
      <c r="A591" s="2">
        <v>210590</v>
      </c>
      <c r="B591" s="67" t="s">
        <v>1588</v>
      </c>
      <c r="C591" s="67" t="s">
        <v>1589</v>
      </c>
      <c r="D591" s="67" t="s">
        <v>1590</v>
      </c>
      <c r="E591" s="79">
        <v>37443</v>
      </c>
      <c r="F591" s="32">
        <v>48</v>
      </c>
      <c r="G591" s="39" t="s">
        <v>1376</v>
      </c>
      <c r="I591" s="12">
        <f t="shared" si="10"/>
        <v>210590</v>
      </c>
    </row>
    <row r="592" spans="1:9">
      <c r="A592" s="2">
        <v>210591</v>
      </c>
      <c r="B592" s="111" t="s">
        <v>1591</v>
      </c>
      <c r="C592" s="98" t="s">
        <v>1592</v>
      </c>
      <c r="D592" s="98" t="s">
        <v>1593</v>
      </c>
      <c r="E592" s="80">
        <v>38365</v>
      </c>
      <c r="F592" s="32">
        <v>48</v>
      </c>
      <c r="G592" s="39" t="s">
        <v>1376</v>
      </c>
      <c r="I592" s="12">
        <f t="shared" si="10"/>
        <v>210591</v>
      </c>
    </row>
    <row r="593" spans="1:9">
      <c r="A593" s="2">
        <v>210592</v>
      </c>
      <c r="B593" s="111" t="s">
        <v>1594</v>
      </c>
      <c r="C593" s="98" t="s">
        <v>255</v>
      </c>
      <c r="D593" s="98" t="s">
        <v>1595</v>
      </c>
      <c r="E593" s="80">
        <v>37354</v>
      </c>
      <c r="F593" s="32">
        <v>48</v>
      </c>
      <c r="G593" s="39" t="s">
        <v>1376</v>
      </c>
      <c r="I593" s="12">
        <f t="shared" si="10"/>
        <v>210592</v>
      </c>
    </row>
    <row r="594" spans="1:9">
      <c r="A594" s="2">
        <v>210593</v>
      </c>
      <c r="B594" s="67" t="s">
        <v>1596</v>
      </c>
      <c r="C594" s="67" t="s">
        <v>183</v>
      </c>
      <c r="D594" s="67" t="s">
        <v>1597</v>
      </c>
      <c r="E594" s="79">
        <v>37726</v>
      </c>
      <c r="F594" s="32">
        <v>48</v>
      </c>
      <c r="G594" s="39" t="s">
        <v>1376</v>
      </c>
      <c r="I594" s="12">
        <f t="shared" si="10"/>
        <v>210593</v>
      </c>
    </row>
    <row r="595" spans="1:9">
      <c r="A595" s="2">
        <v>210594</v>
      </c>
      <c r="B595" s="67" t="s">
        <v>1598</v>
      </c>
      <c r="C595" s="98" t="s">
        <v>1599</v>
      </c>
      <c r="D595" s="98" t="s">
        <v>1600</v>
      </c>
      <c r="E595" s="80">
        <v>36839</v>
      </c>
      <c r="F595" s="32">
        <v>48</v>
      </c>
      <c r="G595" s="39" t="s">
        <v>1376</v>
      </c>
      <c r="I595" s="12">
        <f t="shared" si="10"/>
        <v>210594</v>
      </c>
    </row>
    <row r="596" spans="1:9">
      <c r="A596" s="2">
        <v>210595</v>
      </c>
      <c r="B596" s="67" t="s">
        <v>1315</v>
      </c>
      <c r="C596" s="67" t="s">
        <v>1601</v>
      </c>
      <c r="D596" s="67" t="s">
        <v>1602</v>
      </c>
      <c r="E596" s="79">
        <v>37195</v>
      </c>
      <c r="F596" s="32">
        <v>48</v>
      </c>
      <c r="G596" s="39" t="s">
        <v>1376</v>
      </c>
      <c r="I596" s="12">
        <f t="shared" si="10"/>
        <v>210595</v>
      </c>
    </row>
    <row r="597" spans="1:9">
      <c r="A597" s="2">
        <v>210596</v>
      </c>
      <c r="B597" s="98" t="s">
        <v>716</v>
      </c>
      <c r="C597" s="98" t="s">
        <v>1603</v>
      </c>
      <c r="D597" s="98" t="s">
        <v>1604</v>
      </c>
      <c r="E597" s="80">
        <v>37654</v>
      </c>
      <c r="F597" s="32">
        <v>48</v>
      </c>
      <c r="G597" s="39" t="s">
        <v>1376</v>
      </c>
      <c r="I597" s="12">
        <f t="shared" si="10"/>
        <v>210596</v>
      </c>
    </row>
    <row r="598" spans="1:9">
      <c r="A598" s="2">
        <v>210597</v>
      </c>
      <c r="B598" s="67" t="s">
        <v>1605</v>
      </c>
      <c r="C598" s="67" t="s">
        <v>1062</v>
      </c>
      <c r="D598" s="67" t="s">
        <v>1606</v>
      </c>
      <c r="E598" s="79">
        <v>37229</v>
      </c>
      <c r="F598" s="32">
        <v>48</v>
      </c>
      <c r="G598" s="39" t="s">
        <v>1376</v>
      </c>
      <c r="I598" s="12">
        <f t="shared" si="10"/>
        <v>210597</v>
      </c>
    </row>
    <row r="599" spans="1:9">
      <c r="A599" s="2">
        <v>210598</v>
      </c>
      <c r="B599" s="67" t="s">
        <v>1607</v>
      </c>
      <c r="C599" s="98" t="s">
        <v>1608</v>
      </c>
      <c r="D599" s="98" t="s">
        <v>1609</v>
      </c>
      <c r="E599" s="79">
        <v>36045</v>
      </c>
      <c r="F599" s="32">
        <v>48</v>
      </c>
      <c r="G599" s="39" t="s">
        <v>871</v>
      </c>
      <c r="I599" s="12">
        <f t="shared" si="10"/>
        <v>210598</v>
      </c>
    </row>
    <row r="600" spans="1:9">
      <c r="A600" s="2">
        <v>210599</v>
      </c>
      <c r="B600" s="67" t="s">
        <v>1610</v>
      </c>
      <c r="C600" s="67" t="s">
        <v>1611</v>
      </c>
      <c r="D600" s="67" t="s">
        <v>1612</v>
      </c>
      <c r="E600" s="79">
        <v>35909</v>
      </c>
      <c r="F600" s="32">
        <v>76</v>
      </c>
      <c r="G600" s="39" t="s">
        <v>1376</v>
      </c>
      <c r="I600" s="12">
        <f t="shared" si="10"/>
        <v>210599</v>
      </c>
    </row>
    <row r="601" spans="1:9">
      <c r="A601" s="2">
        <v>210600</v>
      </c>
      <c r="B601" s="67" t="s">
        <v>1613</v>
      </c>
      <c r="C601" s="98" t="s">
        <v>1564</v>
      </c>
      <c r="D601" s="98" t="s">
        <v>1614</v>
      </c>
      <c r="E601" s="79">
        <v>37947</v>
      </c>
      <c r="F601" s="32">
        <v>48</v>
      </c>
      <c r="G601" s="39" t="s">
        <v>1376</v>
      </c>
      <c r="I601" s="12">
        <f t="shared" si="10"/>
        <v>210600</v>
      </c>
    </row>
    <row r="602" spans="1:9">
      <c r="A602" s="2">
        <v>210601</v>
      </c>
      <c r="B602" s="67" t="s">
        <v>1615</v>
      </c>
      <c r="C602" s="67" t="s">
        <v>338</v>
      </c>
      <c r="D602" s="67" t="s">
        <v>1616</v>
      </c>
      <c r="E602" s="79">
        <v>38929</v>
      </c>
      <c r="F602" s="32">
        <v>48</v>
      </c>
      <c r="G602" s="39" t="s">
        <v>1376</v>
      </c>
      <c r="I602" s="12">
        <f t="shared" si="10"/>
        <v>210601</v>
      </c>
    </row>
    <row r="603" spans="1:9">
      <c r="A603" s="2">
        <v>210602</v>
      </c>
      <c r="B603" s="67" t="s">
        <v>1617</v>
      </c>
      <c r="C603" s="67" t="s">
        <v>1618</v>
      </c>
      <c r="D603" s="67" t="s">
        <v>1619</v>
      </c>
      <c r="E603" s="79">
        <v>38257</v>
      </c>
      <c r="F603" s="32">
        <v>76</v>
      </c>
      <c r="G603" s="39" t="s">
        <v>1376</v>
      </c>
      <c r="I603" s="12">
        <f t="shared" si="10"/>
        <v>210602</v>
      </c>
    </row>
    <row r="604" spans="1:9">
      <c r="A604" s="2">
        <v>210603</v>
      </c>
      <c r="B604" s="98" t="s">
        <v>1620</v>
      </c>
      <c r="C604" s="98" t="s">
        <v>1621</v>
      </c>
      <c r="D604" s="98" t="s">
        <v>1622</v>
      </c>
      <c r="E604" s="80">
        <v>39590</v>
      </c>
      <c r="F604" s="32">
        <v>48</v>
      </c>
      <c r="G604" s="39" t="s">
        <v>1376</v>
      </c>
      <c r="I604" s="12">
        <f t="shared" si="10"/>
        <v>210603</v>
      </c>
    </row>
    <row r="605" spans="1:9">
      <c r="A605" s="2">
        <v>210604</v>
      </c>
      <c r="B605" s="98" t="s">
        <v>1623</v>
      </c>
      <c r="C605" s="98" t="s">
        <v>1624</v>
      </c>
      <c r="D605" s="98" t="s">
        <v>1625</v>
      </c>
      <c r="E605" s="80">
        <v>36338</v>
      </c>
      <c r="F605" s="32">
        <v>48</v>
      </c>
      <c r="G605" s="39" t="s">
        <v>1376</v>
      </c>
      <c r="I605" s="12">
        <f t="shared" si="10"/>
        <v>210604</v>
      </c>
    </row>
    <row r="606" spans="1:9">
      <c r="A606" s="2">
        <v>210605</v>
      </c>
      <c r="B606" s="98" t="s">
        <v>1626</v>
      </c>
      <c r="C606" s="98" t="s">
        <v>1627</v>
      </c>
      <c r="D606" s="98" t="s">
        <v>1628</v>
      </c>
      <c r="E606" s="80">
        <v>38803</v>
      </c>
      <c r="F606" s="32">
        <v>48</v>
      </c>
      <c r="G606" s="39" t="s">
        <v>1376</v>
      </c>
      <c r="I606" s="12">
        <f t="shared" si="10"/>
        <v>210605</v>
      </c>
    </row>
    <row r="607" spans="1:9">
      <c r="A607" s="2">
        <v>210606</v>
      </c>
      <c r="B607" s="98" t="s">
        <v>1629</v>
      </c>
      <c r="C607" s="98" t="s">
        <v>1630</v>
      </c>
      <c r="D607" s="98" t="s">
        <v>1631</v>
      </c>
      <c r="E607" s="80">
        <v>38033</v>
      </c>
      <c r="F607" s="32">
        <v>48</v>
      </c>
      <c r="G607" s="39" t="s">
        <v>1376</v>
      </c>
      <c r="I607" s="12">
        <f t="shared" si="10"/>
        <v>210606</v>
      </c>
    </row>
    <row r="608" spans="1:9">
      <c r="A608" s="2">
        <v>210607</v>
      </c>
      <c r="B608" s="67" t="s">
        <v>1632</v>
      </c>
      <c r="C608" s="67" t="s">
        <v>1633</v>
      </c>
      <c r="D608" s="67" t="s">
        <v>1634</v>
      </c>
      <c r="E608" s="79">
        <v>39282</v>
      </c>
      <c r="F608" s="32">
        <v>48</v>
      </c>
      <c r="G608" s="39" t="s">
        <v>1376</v>
      </c>
      <c r="I608" s="12">
        <f t="shared" si="10"/>
        <v>210607</v>
      </c>
    </row>
    <row r="609" spans="1:9">
      <c r="A609" s="2">
        <v>210608</v>
      </c>
      <c r="B609" s="98" t="s">
        <v>1635</v>
      </c>
      <c r="C609" s="98" t="s">
        <v>1636</v>
      </c>
      <c r="D609" s="98" t="s">
        <v>1637</v>
      </c>
      <c r="E609" s="80">
        <v>36248</v>
      </c>
      <c r="F609" s="32">
        <v>48</v>
      </c>
      <c r="G609" s="39" t="s">
        <v>1376</v>
      </c>
      <c r="I609" s="12">
        <f t="shared" si="10"/>
        <v>210608</v>
      </c>
    </row>
    <row r="610" spans="1:9">
      <c r="I610" s="12">
        <f t="shared" si="10"/>
        <v>0</v>
      </c>
    </row>
    <row r="611" spans="1:9">
      <c r="I611" s="12">
        <f t="shared" si="10"/>
        <v>0</v>
      </c>
    </row>
    <row r="612" spans="1:9">
      <c r="I612" s="12">
        <f t="shared" si="10"/>
        <v>0</v>
      </c>
    </row>
    <row r="613" spans="1:9">
      <c r="I613" s="12">
        <f t="shared" si="10"/>
        <v>0</v>
      </c>
    </row>
    <row r="614" spans="1:9">
      <c r="I614" s="12">
        <f t="shared" si="10"/>
        <v>0</v>
      </c>
    </row>
    <row r="615" spans="1:9">
      <c r="I615" s="12">
        <f t="shared" si="10"/>
        <v>0</v>
      </c>
    </row>
    <row r="616" spans="1:9">
      <c r="I616" s="12">
        <f t="shared" si="10"/>
        <v>0</v>
      </c>
    </row>
    <row r="617" spans="1:9">
      <c r="I617" s="12">
        <f t="shared" si="10"/>
        <v>0</v>
      </c>
    </row>
    <row r="618" spans="1:9">
      <c r="I618" s="12">
        <f t="shared" si="10"/>
        <v>0</v>
      </c>
    </row>
    <row r="619" spans="1:9">
      <c r="I619" s="12">
        <f t="shared" si="10"/>
        <v>0</v>
      </c>
    </row>
    <row r="620" spans="1:9">
      <c r="I620" s="12">
        <f t="shared" si="10"/>
        <v>0</v>
      </c>
    </row>
    <row r="621" spans="1:9">
      <c r="I621" s="12">
        <f t="shared" si="10"/>
        <v>0</v>
      </c>
    </row>
    <row r="622" spans="1:9">
      <c r="I622" s="12">
        <f t="shared" si="10"/>
        <v>0</v>
      </c>
    </row>
    <row r="623" spans="1:9">
      <c r="I623" s="12">
        <f t="shared" si="10"/>
        <v>0</v>
      </c>
    </row>
    <row r="624" spans="1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O333ZugVxZGJfEz2wUAN14dF55kYiaoXBSJAkRnSbZWRQPZ/zaX8D4556kJxsv4eORGsjRHgi6DbSZMmAQzuZA==" saltValue="XYt/I919ENURds3NvTVLDQ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7"/>
  <sheetViews>
    <sheetView topLeftCell="A8" zoomScale="128" zoomScaleNormal="128" workbookViewId="0">
      <selection activeCell="B39" sqref="B39"/>
    </sheetView>
  </sheetViews>
  <sheetFormatPr baseColWidth="10" defaultRowHeight="13"/>
  <cols>
    <col min="1" max="1" width="15.33203125" style="9" bestFit="1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  <row r="36" spans="1:2">
      <c r="A36" s="8" t="s">
        <v>1530</v>
      </c>
      <c r="B36" s="39" t="s">
        <v>1398</v>
      </c>
    </row>
    <row r="37" spans="1:2">
      <c r="A37" s="8" t="s">
        <v>1531</v>
      </c>
      <c r="B37" s="39" t="s">
        <v>1398</v>
      </c>
    </row>
  </sheetData>
  <sheetProtection algorithmName="SHA-512" hashValue="BcLTaE/W35H6B1RYmQRKhSvwvBHi2B49DEOrkLnkwJKTRC7SwTmxu6PdUklUPz3UjQqEUzPCHP+SdDfNE+B7VA==" saltValue="R3ONxjPciW2bHGf5ChMSH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1"/>
  <sheetViews>
    <sheetView topLeftCell="A38" zoomScale="164" zoomScaleNormal="164" workbookViewId="0">
      <selection activeCell="E58" sqref="E58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  <row r="61" spans="1:2">
      <c r="A61" s="1">
        <v>46139</v>
      </c>
      <c r="B61" s="2" t="s">
        <v>1576</v>
      </c>
    </row>
  </sheetData>
  <sheetProtection algorithmName="SHA-512" hashValue="htjw8gQzaCCKvm0MHCiIpaiRHyRxvOq5Otxc5OOd4bEeaUdNk6+lE+m0cHwOL88juMGzo1xFXqUeexc3oLGFIw==" saltValue="qy7V6tqXCu7fUcko3pa+9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2026-07-20T00:09:26Z</dcterms:modified>
</cp:coreProperties>
</file>