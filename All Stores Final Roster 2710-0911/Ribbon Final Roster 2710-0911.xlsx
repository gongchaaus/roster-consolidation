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D4833086-9574-7648-8EE5-E91BFC356430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2" i="2"/>
  <c r="AW12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A3" i="12" a="1"/>
  <c r="W1" i="2" l="1"/>
  <c r="X1" i="2"/>
  <c r="CG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Z3" i="12" l="1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O13" i="12" l="1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O14" i="12" s="1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U14" i="12" l="1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N19" i="12" s="1"/>
  <c r="AR19" i="12"/>
  <c r="AH19" i="12"/>
  <c r="E19" i="12"/>
  <c r="G19" i="12" s="1"/>
  <c r="AA19" i="12"/>
  <c r="I19" i="12"/>
  <c r="Y19" i="12"/>
  <c r="D19" i="12"/>
  <c r="A20" i="12"/>
  <c r="O19" i="12" l="1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Q47" i="12" l="1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P65" i="12" s="1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R101" i="12" s="1"/>
  <c r="AA101" i="12"/>
  <c r="Z101" i="12"/>
  <c r="J101" i="12"/>
  <c r="AN101" i="12"/>
  <c r="A102" i="12" a="1"/>
  <c r="T101" i="12" l="1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U151" i="12" l="1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R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S158" i="12" l="1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P162" i="12" l="1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O168" i="12" l="1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AG177" i="12"/>
  <c r="AH177" i="12"/>
  <c r="A178" i="12" a="1"/>
  <c r="Q177" i="12" l="1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S192" i="12" s="1"/>
  <c r="I192" i="12"/>
  <c r="AQ192" i="12"/>
  <c r="AA192" i="12"/>
  <c r="AT192" i="12"/>
  <c r="E192" i="12"/>
  <c r="A193" i="12" a="1"/>
  <c r="Q192" i="12" l="1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O229" i="12" l="1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Q234" i="12" s="1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R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T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Q241" i="12" s="1"/>
  <c r="A242" i="12" a="1"/>
  <c r="R241" i="12" l="1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U270" i="12" l="1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R282" i="12" s="1"/>
  <c r="A283" i="12" a="1"/>
  <c r="P282" i="12" l="1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B284" i="12"/>
  <c r="AK284" i="12"/>
  <c r="AT284" i="12"/>
  <c r="AC284" i="12"/>
  <c r="I284" i="12"/>
  <c r="A285" i="12" a="1"/>
  <c r="R284" i="12" l="1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V300" i="12" l="1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<sst xmlns="http://schemas.openxmlformats.org/spreadsheetml/2006/main" count="2399" uniqueCount="1442">
  <si>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</si>
  <si>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</si>
  <si>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</si>
  <si>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</si>
  <si>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</si>
  <si>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</si>
  <si>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</si>
  <si>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</si>
  <si>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</si>
  <si>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</si>
  <si>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</si>
  <si>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</si>
  <si>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</si>
  <si>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</si>
  <si>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</si>
  <si>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</si>
  <si>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</si>
  <si>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</si>
  <si>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</si>
  <si>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</si>
  <si>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</si>
  <si>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</si>
  <si>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</si>
  <si>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</si>
  <si>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</si>
  <si>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</si>
  <si>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</si>
  <si>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</si>
  <si>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</si>
  <si>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</si>
  <si>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</si>
  <si>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</si>
  <si>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</si>
  <si>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</si>
  <si>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</si>
  <si>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</si>
  <si>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</si>
  <si>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</si>
  <si>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</si>
  <si>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</si>
  <si>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</si>
  <si>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</si>
  <si>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</si>
  <si>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</si>
  <si>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</si>
  <si>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</si>
  <si>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</si>
  <si>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</si>
  <si>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</si>
  <si>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</si>
  <si>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</si>
  <si>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</si>
  <si>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</si>
  <si>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</si>
  <si>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</si>
  <si>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</si>
  <si>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</si>
  <si>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</si>
  <si>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</si>
  <si>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</si>
  <si>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</si>
  <si>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</si>
  <si>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</si>
  <si>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</si>
  <si>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</si>
  <si>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</si>
  <si>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</si>
  <si>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</si>
  <si>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</si>
  <si>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</si>
  <si>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</si>
  <si>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</si>
  <si>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</si>
  <si>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</si>
  <si>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</si>
  <si>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</si>
  <si>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</si>
  <si>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</si>
  <si>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</si>
  <si>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</si>
  <si>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</si>
  <si>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</si>
  <si>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</si>
  <si>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</si>
  <si>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</si>
  <si>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</si>
  <si>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</si>
  <si>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</si>
  <si>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</si>
  <si>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</si>
  <si>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</si>
  <si>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</si>
  <si>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</si>
  <si>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</si>
  <si>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</si>
  <si>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</si>
  <si>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</si>
  <si>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</si>
  <si>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</si>
  <si>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</si>
  <si>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</si>
  <si>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</si>
  <si>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</si>
  <si>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</si>
  <si>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</si>
  <si>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</si>
  <si>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</si>
  <si>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</si>
  <si>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</si>
  <si>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</si>
  <si>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</si>
  <si>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</si>
  <si>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</si>
  <si>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</si>
  <si>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</si>
  <si>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</si>
  <si>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</si>
  <si>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</si>
  <si>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</si>
  <si>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</si>
  <si>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</si>
  <si>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</si>
  <si>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</si>
  <si>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</si>
  <si>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</si>
  <si>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</si>
  <si>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</si>
  <si>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</si>
  <si>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</si>
  <si>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</si>
  <si>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</si>
  <si>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</si>
  <si>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</si>
  <si>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</si>
  <si>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</si>
  <si>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</si>
  <si>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</si>
  <si>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</si>
  <si>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</si>
  <si>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</si>
  <si>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</si>
  <si>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</si>
  <si>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</si>
  <si>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</si>
  <si>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</si>
  <si>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</si>
  <si>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</si>
  <si>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</si>
  <si>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</si>
  <si>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</si>
  <si>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</si>
  <si>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</si>
  <si>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</si>
  <si>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</si>
  <si>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</si>
  <si>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</si>
  <si>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</si>
  <si>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</si>
  <si>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</si>
  <si>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</si>
  <si>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</si>
  <si>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</si>
  <si>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</si>
  <si>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</si>
  <si>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</si>
  <si>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</si>
  <si>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</si>
  <si>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</si>
  <si>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</si>
  <si>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</si>
  <si>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</si>
  <si>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</si>
  <si>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</si>
  <si>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</si>
  <si>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</si>
  <si>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</si>
  <si>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</si>
  <si>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</si>
  <si>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</si>
  <si>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</si>
  <si>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</si>
  <si>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</si>
  <si>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</si>
  <si>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</si>
  <si>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</si>
  <si>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</si>
  <si>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</si>
  <si>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</si>
  <si>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</si>
  <si>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</si>
  <si>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</si>
  <si>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</si>
  <si>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</si>
  <si>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</si>
  <si>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</si>
  <si>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</si>
  <si>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</si>
  <si>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</si>
  <si>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</si>
  <si>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</si>
  <si>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</si>
  <si>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</si>
  <si>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</si>
  <si>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</si>
  <si>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</si>
  <si>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</si>
  <si>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</si>
  <si>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</si>
  <si>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</si>
  <si>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</si>
  <si>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</si>
  <si>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</si>
  <si>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</si>
  <si>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</si>
  <si>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</si>
  <si>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</si>
  <si>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</si>
  <si>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</si>
  <si>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</si>
  <si>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</si>
  <si>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</si>
  <si>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</si>
  <si>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</si>
  <si>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</si>
  <si>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</si>
  <si>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</si>
  <si>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</si>
  <si>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</si>
  <si>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</si>
  <si>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</si>
  <si>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</si>
  <si>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</si>
  <si>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</si>
  <si>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</si>
  <si>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</si>
  <si>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</si>
  <si>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</si>
  <si>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</si>
  <si>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</si>
  <si>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</si>
  <si>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</si>
  <si>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</si>
  <si>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</si>
  <si>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</si>
  <si>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</si>
  <si>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</si>
  <si>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</si>
  <si>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</si>
  <si>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</si>
  <si>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</si>
  <si>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</si>
  <si>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</si>
  <si>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</si>
  <si>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</si>
  <si>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</si>
  <si>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</si>
  <si>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</si>
  <si>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</si>
  <si>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</si>
  <si>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</si>
  <si>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</si>
  <si>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</si>
  <si>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</si>
  <si>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</si>
  <si>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</si>
  <si>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</si>
  <si>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</si>
  <si>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</si>
  <si>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</si>
  <si>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</si>
  <si>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</si>
  <si>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</si>
  <si>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</si>
  <si>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</si>
  <si>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</si>
  <si>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</si>
  <si>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</si>
  <si>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</si>
  <si>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</si>
  <si>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</si>
  <si>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</si>
  <si>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</si>
  <si>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</si>
  <si>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</si>
  <si>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</si>
  <si>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</si>
  <si>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</si>
  <si>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</si>
  <si>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</si>
  <si>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</si>
  <si>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</si>
  <si>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</si>
  <si>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</si>
  <si>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</si>
  <si>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</si>
  <si>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</si>
  <si>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</si>
  <si>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</si>
  <si>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</si>
  <si>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</si>
  <si>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</si>
  <si>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</si>
  <si>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</si>
  <si>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</si>
  <si>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</si>
  <si>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</si>
  <si>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</si>
  <si>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</si>
  <si>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</si>
  <si>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</si>
  <si>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</si>
  <si>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</si>
  <si>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</si>
  <si>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</si>
  <si>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</si>
  <si>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</si>
  <si>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</si>
  <si>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</si>
  <si>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</si>
  <si>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</si>
  <si>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</si>
  <si>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</si>
  <si>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</si>
  <si>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</si>
  <si>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</si>
  <si>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</si>
  <si>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</si>
  <si>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</si>
  <si>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</si>
  <si>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</si>
  <si>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</si>
  <si>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</si>
  <si>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</si>
  <si>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</si>
  <si>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</si>
  <si>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</si>
  <si>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</si>
  <si>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</si>
  <si>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</si>
  <si>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</si>
  <si>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</si>
  <si>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</si>
  <si>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</si>
  <si>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</si>
  <si>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</si>
  <si>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</si>
  <si>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</si>
  <si>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</si>
  <si>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</si>
  <si>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</si>
  <si>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</si>
  <si>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</si>
  <si>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</si>
  <si>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</si>
  <si>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</si>
  <si>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</si>
  <si>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</si>
  <si>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</si>
  <si>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</si>
  <si>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</si>
  <si>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</si>
  <si>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</si>
  <si>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</si>
  <si>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</si>
  <si>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</si>
  <si>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</si>
  <si>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</si>
  <si>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</si>
  <si>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</si>
  <si>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</si>
  <si>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</si>
  <si>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</si>
  <si>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</si>
  <si>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</si>
  <si>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</si>
  <si>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</si>
  <si>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</si>
  <si>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</si>
  <si>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</si>
  <si>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</si>
  <si>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</si>
  <si>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</si>
  <si>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</si>
  <si>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</si>
  <si>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</si>
  <si>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</si>
  <si>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</si>
  <si>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</si>
  <si>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</si>
  <si>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</si>
  <si>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</si>
  <si>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</si>
  <si>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</si>
  <si>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</si>
  <si>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</si>
  <si>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</si>
  <si>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</si>
  <si>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</si>
  <si>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</si>
  <si>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</si>
  <si>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</si>
  <si>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</si>
  <si>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</si>
  <si>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</si>
  <si>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</si>
  <si>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</si>
  <si>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</si>
  <si>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</si>
  <si>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</si>
  <si>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</si>
  <si>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</si>
  <si>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</si>
  <si>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</si>
  <si>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</si>
  <si>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</si>
  <si>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</si>
  <si>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</si>
  <si>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</si>
  <si>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</si>
  <si>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</si>
  <si>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</si>
  <si>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</si>
  <si>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</si>
  <si>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</si>
  <si>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</si>
  <si>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</si>
  <si>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</si>
  <si>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</si>
  <si>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</si>
  <si>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</si>
  <si>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</si>
  <si>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</si>
  <si>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</si>
  <si>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</si>
  <si>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</si>
  <si>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</si>
  <si>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</si>
  <si>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</si>
  <si>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</si>
  <si>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</si>
  <si>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</si>
  <si>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</si>
  <si>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</si>
  <si>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</si>
  <si>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</si>
  <si>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</si>
  <si>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</si>
  <si>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</si>
  <si>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</si>
  <si>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</si>
  <si>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</si>
  <si>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</si>
  <si>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</si>
  <si>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</si>
  <si>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</si>
  <si>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</si>
  <si>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</si>
  <si>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</si>
  <si>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</si>
  <si>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</si>
  <si>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</si>
  <si>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</si>
  <si>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</si>
  <si>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</si>
  <si>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</si>
  <si>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</si>
  <si>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</si>
  <si>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</si>
  <si>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</si>
  <si>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</si>
  <si>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</si>
  <si>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</si>
  <si>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</si>
  <si>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</si>
  <si>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</si>
  <si>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</si>
  <si>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</si>
  <si>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</si>
  <si>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</si>
  <si>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</si>
  <si>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</si>
  <si>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</si>
  <si>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</si>
  <si>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</si>
  <si>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</si>
  <si>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</si>
  <si>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</si>
  <si>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</si>
  <si>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</si>
  <si>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</si>
  <si>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</si>
  <si>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</si>
  <si>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</si>
  <si>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</si>
  <si>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</si>
  <si>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</si>
  <si>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</si>
  <si>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</si>
  <si>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</si>
  <si>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</si>
  <si>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</si>
  <si>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</si>
  <si>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</si>
  <si>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</si>
  <si>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</si>
  <si>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</si>
  <si>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</si>
  <si>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</si>
  <si>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</si>
  <si>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</si>
  <si>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</si>
  <si>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</si>
  <si>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</si>
  <si>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</si>
  <si>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</si>
  <si>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</si>
  <si>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</si>
  <si>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</si>
  <si>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</si>
  <si>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</si>
  <si>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</si>
  <si>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</si>
  <si>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</si>
  <si>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</si>
  <si>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</si>
  <si>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</si>
  <si>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</si>
  <si>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</si>
  <si>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</si>
  <si>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</si>
  <si>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</si>
  <si>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</si>
  <si>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</si>
  <si>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</si>
  <si>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</si>
  <si>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</si>
  <si>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</si>
  <si>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</si>
  <si>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</si>
  <si>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</si>
  <si>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</si>
  <si>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</si>
  <si>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</si>
  <si>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</si>
  <si>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</si>
  <si>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</si>
  <si>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</si>
  <si>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</si>
  <si>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</si>
  <si>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</si>
  <si>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</si>
  <si>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</si>
  <si>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</si>
  <si>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</si>
  <si>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</si>
  <si>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</si>
  <si>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</si>
  <si>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</si>
  <si>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</si>
  <si>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</si>
  <si>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</si>
  <si>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</si>
  <si>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</si>
  <si>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</si>
  <si>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</si>
  <si>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</si>
  <si>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</si>
  <si>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</si>
  <si>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</si>
  <si>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</si>
  <si>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</si>
  <si>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</si>
  <si>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</si>
  <si>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</si>
  <si>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</si>
  <si>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</si>
  <si>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</si>
  <si>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</si>
  <si>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</si>
  <si>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</si>
  <si>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</si>
  <si>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</si>
  <si>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</si>
  <si>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</si>
  <si>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</si>
  <si>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</si>
  <si>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</si>
  <si>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</si>
  <si>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</si>
  <si>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</si>
  <si>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</si>
  <si>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</si>
  <si>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</si>
  <si>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</si>
  <si>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</si>
  <si>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</si>
  <si>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</si>
  <si>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</si>
  <si>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</si>
  <si>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</si>
  <si>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</si>
  <si>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</si>
  <si>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</si>
  <si>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</si>
  <si>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</si>
  <si>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</si>
  <si>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</si>
  <si>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</si>
  <si>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</si>
  <si>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</si>
  <si>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</si>
  <si>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</si>
  <si>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</si>
  <si>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</si>
  <si>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</si>
  <si>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</si>
  <si>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</si>
  <si>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</si>
  <si>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</si>
  <si>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</si>
  <si>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</si>
  <si>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</si>
  <si>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</si>
  <si>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</si>
  <si>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</si>
  <si>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</si>
  <si>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</si>
  <si>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</si>
  <si>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</si>
  <si>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</si>
  <si>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</si>
  <si>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</si>
  <si>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</si>
  <si>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</si>
  <si>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</si>
  <si>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</si>
  <si>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</si>
  <si>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</si>
  <si>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</si>
  <si>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</si>
  <si>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</si>
  <si>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</si>
  <si>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</si>
  <si>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</si>
  <si>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</si>
  <si>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</si>
  <si>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</si>
  <si>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</si>
  <si>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</si>
  <si>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</si>
  <si>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</si>
  <si>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</si>
  <si>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</si>
  <si>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</si>
  <si>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</si>
  <si>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</si>
  <si>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</si>
  <si>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</si>
  <si>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</si>
  <si>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</si>
  <si>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</si>
  <si>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</si>
  <si>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</si>
  <si>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</si>
  <si>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</si>
  <si>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</si>
  <si>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</si>
  <si>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</si>
  <si>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</si>
  <si>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</si>
  <si>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</si>
  <si>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</si>
  <si>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</si>
  <si>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</si>
  <si>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</si>
  <si>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</si>
  <si>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</si>
  <si>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</si>
  <si>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</si>
  <si>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</si>
  <si>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</si>
  <si>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</si>
  <si>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</si>
  <si>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</si>
  <si>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</si>
  <si>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</si>
  <si>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</si>
  <si>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</si>
  <si>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</si>
  <si>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</si>
  <si>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</si>
  <si>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</si>
  <si>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</si>
  <si>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</si>
  <si>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</si>
  <si>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</si>
  <si>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</si>
  <si>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</si>
  <si>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</si>
  <si>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</si>
  <si>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</si>
  <si>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</si>
  <si>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</si>
  <si>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</si>
  <si>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</si>
  <si>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</si>
  <si>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</si>
  <si>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</si>
  <si>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</si>
  <si>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</si>
  <si>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</si>
  <si>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</si>
  <si>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</si>
  <si>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</si>
  <si>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</si>
  <si>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</si>
  <si>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</si>
  <si>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</si>
  <si>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</si>
  <si>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</si>
  <si>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</si>
  <si>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</si>
  <si>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</si>
  <si>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</si>
  <si>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</si>
  <si>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</si>
  <si>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</si>
  <si>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</si>
  <si>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</si>
  <si>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</si>
  <si>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</si>
  <si>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</si>
  <si>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</si>
  <si>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</si>
  <si>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</si>
  <si>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</si>
  <si>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</si>
  <si>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</si>
  <si>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</si>
  <si>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</si>
  <si>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</si>
  <si>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</si>
  <si>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</si>
  <si>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</si>
  <si>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</si>
  <si>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</si>
  <si>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</si>
  <si>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</si>
  <si>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</si>
  <si>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</si>
  <si>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</si>
  <si>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</si>
  <si>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</si>
  <si>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</si>
  <si>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</si>
  <si>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</si>
  <si>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</si>
  <si>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</si>
  <si>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</si>
  <si>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</si>
  <si>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</si>
  <si>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</si>
  <si>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</si>
  <si>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</si>
  <si>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</si>
  <si>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</si>
  <si>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</si>
  <si>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</si>
  <si>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</si>
  <si>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</si>
  <si>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</si>
  <si>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</si>
  <si>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</si>
  <si>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</si>
  <si>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</si>
  <si>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</si>
  <si>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</si>
  <si>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</si>
  <si>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</si>
  <si>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</si>
  <si>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</si>
  <si>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</si>
  <si>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</si>
  <si>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</si>
  <si>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</si>
  <si>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</si>
  <si>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</si>
  <si>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</si>
  <si>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</si>
  <si>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</si>
  <si>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</si>
  <si>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</si>
  <si>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</si>
  <si>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</si>
  <si>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</si>
  <si>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</si>
  <si>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</si>
  <si>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</si>
  <si>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</si>
  <si>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</si>
  <si>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</si>
  <si>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</si>
  <si>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</si>
  <si>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</si>
  <si>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</si>
  <si>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</si>
  <si>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</si>
  <si>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</si>
  <si>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</si>
  <si>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</si>
  <si>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</si>
  <si>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</si>
  <si>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</si>
  <si>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</si>
  <si>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</si>
  <si>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</si>
  <si>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</si>
  <si>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</si>
  <si>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</si>
  <si>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</si>
  <si>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</si>
  <si>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</si>
  <si>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</si>
  <si>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</si>
  <si>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</si>
  <si>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</si>
  <si>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</si>
  <si>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</si>
  <si>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</si>
  <si>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</si>
  <si>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</si>
  <si>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</si>
  <si>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</si>
  <si>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</si>
  <si>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</si>
  <si>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</si>
  <si>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</si>
  <si>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</si>
  <si>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</si>
  <si>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</si>
  <si>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</si>
  <si>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</si>
  <si>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</si>
  <si>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</si>
  <si>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</si>
  <si>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</si>
  <si>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</si>
  <si>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</si>
  <si>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</si>
  <si>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</si>
  <si>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</si>
  <si>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</si>
  <si>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</si>
  <si>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</si>
  <si>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</si>
  <si>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</si>
  <si>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</si>
  <si>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</si>
  <si>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</si>
  <si>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</si>
  <si>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</si>
  <si>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</si>
  <si>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</si>
  <si>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</si>
  <si>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</si>
  <si>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</si>
  <si>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</si>
  <si>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</si>
  <si>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</si>
  <si>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</si>
  <si>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</si>
  <si>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</si>
  <si>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</si>
  <si>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</si>
  <si>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</si>
  <si>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</si>
  <si>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</si>
  <si>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</si>
  <si>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</si>
  <si>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</si>
  <si>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</si>
  <si>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</si>
  <si>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</si>
  <si>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</si>
  <si>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</si>
  <si>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</si>
  <si>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</si>
  <si>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</si>
  <si>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</si>
  <si>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</si>
  <si>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</si>
  <si>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</si>
  <si>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</si>
  <si>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</si>
  <si>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</si>
  <si>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</si>
  <si>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</si>
  <si>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</si>
  <si>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</si>
  <si>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</si>
  <si>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</si>
  <si>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</si>
  <si>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</si>
  <si>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</si>
  <si>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</si>
  <si>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</si>
  <si>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</si>
  <si>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</si>
  <si>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</si>
  <si>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</si>
  <si>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</si>
  <si>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</si>
  <si>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</si>
  <si>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</si>
  <si>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</si>
  <si>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</si>
  <si>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</si>
  <si>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</si>
  <si>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</si>
  <si>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</si>
  <si>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</si>
  <si>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</si>
  <si>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</si>
  <si>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</si>
  <si>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</si>
  <si>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</si>
  <si>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</si>
  <si>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</si>
  <si>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</si>
  <si>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</si>
  <si>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</si>
  <si>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</si>
  <si>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</si>
  <si>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</si>
  <si>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</si>
  <si>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</si>
  <si>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</si>
  <si>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</si>
  <si>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</si>
  <si>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</si>
  <si>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</si>
  <si>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</si>
  <si>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</si>
  <si>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</si>
  <si>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</si>
  <si>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</si>
  <si>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</si>
  <si>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</si>
  <si>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</si>
  <si>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</si>
  <si>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</si>
  <si>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</si>
  <si>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</si>
  <si>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</si>
  <si>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</si>
  <si>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</si>
  <si>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</si>
  <si>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</si>
  <si>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</si>
  <si>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</si>
  <si>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</si>
  <si>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</si>
  <si>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</si>
  <si>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</si>
  <si>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</si>
  <si>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</si>
  <si>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</si>
  <si>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</si>
  <si>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</si>
  <si>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</si>
  <si>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</si>
  <si>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</si>
  <si>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</si>
  <si>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</si>
  <si>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</si>
  <si>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</si>
  <si>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</si>
  <si>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</si>
  <si>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</si>
  <si>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</si>
  <si>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</si>
  <si>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</si>
  <si>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</si>
  <si>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</si>
  <si>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</si>
  <si>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</si>
  <si>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</si>
  <si>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</si>
  <si>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</si>
  <si>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</si>
  <si>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</si>
  <si>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</si>
  <si>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</si>
  <si>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</si>
  <si>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</si>
  <si>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</si>
  <si>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</si>
  <si>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</si>
  <si>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</si>
  <si>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</si>
  <si>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</si>
  <si>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</si>
  <si>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</si>
  <si>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</si>
  <si>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</si>
  <si>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</si>
  <si>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</si>
  <si>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</si>
  <si>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</si>
  <si>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</si>
  <si>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</si>
  <si>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</si>
  <si>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</si>
  <si>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</si>
  <si>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</si>
  <si>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</si>
  <si>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</si>
  <si>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</si>
  <si>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</si>
  <si>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</si>
  <si>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</si>
  <si>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</si>
  <si>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</si>
  <si>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</si>
  <si>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</si>
  <si>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</si>
  <si>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</si>
  <si>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</si>
  <si>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</si>
  <si>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</si>
  <si>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</si>
  <si>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</si>
  <si>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</si>
  <si>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</si>
  <si>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</si>
  <si>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</si>
  <si>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</si>
  <si>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</si>
  <si>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</si>
  <si>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</si>
  <si>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</si>
  <si>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</si>
  <si>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</si>
  <si>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</si>
  <si>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</si>
  <si>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</si>
  <si>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</si>
  <si>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</si>
  <si>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</si>
  <si>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</si>
  <si>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</si>
  <si>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</si>
  <si>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</si>
  <si>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</si>
  <si>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</si>
  <si>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</si>
  <si>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</si>
  <si>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</si>
  <si>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</si>
  <si>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</si>
  <si>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</si>
  <si>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</si>
  <si>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</si>
  <si>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</si>
  <si>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</si>
  <si>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</si>
  <si>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</si>
  <si>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</si>
  <si>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</si>
  <si>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</si>
  <si>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</si>
  <si>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</si>
  <si>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</si>
  <si>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</si>
  <si>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</si>
  <si>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</si>
  <si>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</si>
  <si>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</si>
  <si>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</si>
  <si>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</si>
  <si>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</si>
  <si>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</si>
  <si>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</si>
  <si>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</si>
  <si>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</si>
  <si>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</si>
  <si>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</si>
  <si>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</si>
  <si>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</si>
  <si>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</si>
  <si>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</si>
  <si>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</si>
  <si>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</si>
  <si>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</si>
  <si>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</si>
  <si>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</si>
  <si>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</si>
  <si>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</si>
  <si>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</si>
  <si>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</si>
  <si>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</si>
  <si>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</si>
  <si>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</si>
  <si>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</si>
  <si>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</si>
  <si>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</si>
  <si>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</si>
  <si>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</si>
  <si>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</si>
  <si>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</si>
  <si>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</si>
  <si>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</si>
  <si>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</si>
  <si>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</si>
  <si>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</si>
  <si>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</si>
  <si>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</si>
  <si>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</si>
  <si>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</si>
  <si>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</si>
  <si>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</si>
  <si>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</si>
  <si>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</si>
  <si>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</si>
  <si>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</si>
  <si>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</si>
  <si>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</si>
  <si>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</si>
  <si>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</si>
  <si>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</si>
  <si>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</si>
  <si>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</si>
  <si>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</si>
  <si>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</si>
  <si>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</si>
  <si>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</si>
  <si>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</si>
  <si>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</si>
  <si>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</si>
  <si>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</si>
  <si>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</si>
  <si>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</si>
  <si>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</si>
  <si>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</si>
  <si>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</si>
  <si>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</si>
  <si>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</si>
  <si>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</si>
  <si>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</si>
  <si>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</si>
  <si>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</si>
  <si>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</si>
  <si>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</si>
  <si>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</si>
  <si>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</si>
  <si>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</si>
  <si>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</si>
  <si>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</si>
  <si>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</si>
  <si>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</si>
  <si>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</si>
  <si>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</si>
  <si>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</si>
  <si>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</si>
  <si>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</si>
  <si>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</si>
  <si>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</si>
  <si>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</si>
  <si>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</si>
  <si>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</si>
  <si>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</si>
  <si>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</si>
  <si>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</si>
  <si>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</si>
  <si>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</si>
  <si>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</si>
  <si>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</si>
  <si>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</si>
  <si>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</si>
  <si>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</si>
  <si>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</si>
  <si>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</si>
  <si>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</si>
  <si>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</si>
  <si>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</si>
  <si>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</si>
  <si>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</si>
  <si>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</si>
  <si>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</si>
  <si>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</si>
  <si>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</si>
  <si>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</si>
  <si>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</si>
  <si>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</si>
  <si>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</si>
  <si>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</si>
  <si>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</si>
  <si>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</si>
  <si>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</si>
  <si>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</si>
  <si>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</si>
  <si>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</si>
  <si>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</si>
  <si>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</si>
  <si>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</si>
  <si>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</si>
  <si>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</si>
  <si>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</si>
  <si>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</si>
  <si>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</si>
  <si>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</si>
  <si>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</si>
  <si>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</si>
  <si>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</si>
  <si>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</si>
  <si>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</si>
  <si>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</si>
  <si>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</si>
  <si>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</si>
  <si>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</si>
  <si>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</si>
  <si>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</si>
  <si>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</si>
  <si>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</si>
  <si>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</si>
  <si>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</si>
  <si>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</si>
  <si>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</si>
  <si>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</si>
  <si>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</si>
  <si>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</si>
  <si>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</si>
  <si>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</si>
  <si>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</si>
  <si>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</si>
  <si>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</si>
  <si>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</si>
  <si>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</si>
  <si>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</si>
  <si>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</si>
  <si>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</si>
  <si>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</si>
  <si>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</si>
  <si>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</si>
  <si>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</si>
  <si>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</si>
  <si>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</si>
  <si>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</si>
  <si>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</si>
  <si>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</si>
  <si>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</si>
  <si>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</si>
  <si>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</si>
  <si>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</si>
  <si>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</si>
  <si>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</si>
  <si>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</si>
  <si>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</si>
  <si>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</si>
  <si>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</si>
  <si>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</si>
  <si>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</si>
  <si>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</si>
  <si>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</si>
  <si>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</si>
  <si>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</si>
  <si>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</si>
  <si>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</si>
  <si>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</si>
  <si>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</si>
  <si>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</si>
  <si>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</si>
  <si>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</si>
  <si>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</si>
  <si>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</si>
  <si>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</si>
  <si>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</si>
  <si>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</si>
  <si>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</si>
  <si>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</si>
  <si>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</si>
  <si>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</si>
  <si>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</si>
  <si>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</si>
  <si>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</si>
  <si>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</si>
  <si>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</si>
  <si>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</si>
  <si>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</si>
  <si>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</si>
  <si>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</si>
  <si>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</si>
  <si>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</si>
  <si>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</si>
  <si>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</si>
  <si>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</si>
  <si>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</si>
  <si>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</si>
  <si>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</si>
  <si>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</si>
  <si>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</si>
  <si>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</si>
  <si>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</si>
  <si>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</si>
  <si>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</si>
  <si>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</si>
  <si>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</si>
  <si>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</si>
  <si>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</si>
  <si>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</si>
  <si>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</si>
  <si>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</si>
  <si>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</si>
  <si>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</si>
  <si>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</si>
  <si>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</si>
  <si>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</si>
  <si>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</si>
  <si>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</si>
  <si>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</si>
  <si>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</si>
  <si>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</si>
  <si>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</si>
  <si>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</si>
  <si>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</si>
  <si>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</si>
  <si>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</si>
  <si>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</si>
  <si>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</si>
  <si>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</si>
  <si>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</si>
  <si>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</si>
  <si>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</si>
  <si>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</si>
  <si>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</si>
  <si>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</si>
  <si>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</si>
  <si>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</si>
  <si>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</si>
  <si>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</si>
  <si>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</si>
  <si>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</si>
  <si>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</si>
  <si>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</si>
  <si>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</si>
  <si>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</si>
  <si>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</si>
  <si>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</si>
  <si>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</si>
  <si>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</si>
  <si>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</si>
  <si>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</si>
  <si>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</si>
  <si>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</si>
  <si>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</si>
  <si>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</si>
  <si>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</si>
  <si>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</si>
  <si>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</si>
  <si>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</si>
  <si>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</si>
  <si>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</si>
  <si>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</si>
  <si>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</si>
  <si>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</si>
  <si>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</si>
  <si>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</si>
  <si>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</si>
  <si>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</si>
  <si>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</si>
  <si>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</si>
  <si>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</si>
  <si>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</si>
  <si>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</si>
  <si>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</si>
  <si>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</si>
  <si>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</si>
  <si>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</si>
  <si>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</si>
  <si>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</si>
  <si>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</si>
  <si>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</si>
  <si>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</si>
  <si>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</si>
  <si>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</si>
  <si>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</si>
  <si>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</si>
  <si>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</si>
  <si>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</si>
  <si>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</si>
  <si>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</si>
  <si>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</si>
  <si>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</si>
  <si>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</si>
  <si>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</si>
  <si>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</si>
  <si>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</si>
  <si>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</si>
  <si>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</si>
  <si>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</si>
  <si>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</si>
  <si>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</si>
  <si>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</si>
  <si>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</si>
  <si>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</si>
  <si>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</si>
  <si>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</si>
  <si>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</si>
  <si>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</si>
  <si>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</si>
  <si>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</si>
  <si>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</si>
  <si>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</si>
  <si>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</si>
  <si>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</si>
  <si>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</si>
  <si>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</si>
  <si>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</si>
  <si>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</si>
  <si>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</si>
  <si>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</si>
  <si>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</si>
  <si>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</si>
  <si>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</si>
  <si>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</si>
  <si>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</si>
  <si>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</si>
  <si>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</si>
  <si>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</si>
  <si>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</si>
  <si>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</si>
  <si>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</si>
  <si>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</si>
  <si>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</si>
  <si>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</si>
  <si>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</si>
  <si>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Ami nguyen</t>
  </si>
  <si>
    <t>shaw xiao</t>
  </si>
  <si>
    <t>Lina do</t>
  </si>
  <si>
    <t>排班</t>
  </si>
  <si>
    <t>26/10 excel 搞错了， 多付了5 个小时，现在减回来</t>
  </si>
  <si>
    <t>Sun: 9-11:30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</si>
</sst>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20"/>
      <color theme="1"/>
      <name val="Arial"/>
      <family val="2"/>
    </font>
    <font>
      <sz val="18"/>
      <color theme="1"/>
      <name val="Helvetica Neue"/>
      <family val="2"/>
    </font>
    <font>
      <sz val="2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center" wrapText="1"/>
      <protection locked="0"/>
    </xf>
    <xf numFmtId="0" fontId="42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60" zoomScaleNormal="60" workbookViewId="0">
      <pane xSplit="3" ySplit="1" topLeftCell="S2" activePane="bottomRight" state="frozen"/>
      <selection pane="topRight" activeCell="D1" sqref="D1"/>
      <selection pane="bottomLeft" activeCell="A2" sqref="A2"/>
      <selection pane="bottomRight" activeCell="AD3" sqref="AD3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10015</v>
      </c>
      <c r="B2" s="81" t="s">
        <v>959</v>
      </c>
      <c r="C2" s="99" t="s">
        <v>353</v>
      </c>
      <c r="D2" s="104">
        <v>0.41666666666666669</v>
      </c>
      <c r="E2" s="84">
        <v>0.70833333333333337</v>
      </c>
      <c r="F2" s="91">
        <f>BA2-BB2</f>
        <v>6.5</v>
      </c>
      <c r="G2" s="104">
        <v>0.41666666666666669</v>
      </c>
      <c r="H2" s="84">
        <v>0.70833333333333337</v>
      </c>
      <c r="I2" s="91">
        <f>BF2-BG2</f>
        <v>6.5</v>
      </c>
      <c r="J2" s="84"/>
      <c r="K2" s="84"/>
      <c r="L2" s="91">
        <f>BK2-BL2</f>
        <v>0</v>
      </c>
      <c r="M2" s="84">
        <v>0.41666666666666669</v>
      </c>
      <c r="N2" s="84">
        <v>0.70833333333333337</v>
      </c>
      <c r="O2" s="91">
        <f>BP2-BQ2</f>
        <v>6.5</v>
      </c>
      <c r="P2" s="104">
        <v>0.41666666666666669</v>
      </c>
      <c r="Q2" s="84">
        <v>0.70833333333333337</v>
      </c>
      <c r="R2" s="91">
        <f>BU2-BV2</f>
        <v>6.5</v>
      </c>
      <c r="S2" s="84"/>
      <c r="T2" s="84"/>
      <c r="U2" s="91">
        <f>BZ2-CA2</f>
        <v>0</v>
      </c>
      <c r="V2" s="84"/>
      <c r="W2" s="84"/>
      <c r="X2" s="91">
        <f>CE2-CF2</f>
        <v>0</v>
      </c>
      <c r="Y2" s="91"/>
      <c r="Z2" s="91"/>
      <c r="AA2" s="91"/>
      <c r="AB2" s="91">
        <f>SUM(F2,I2,L2,O2,R2,U2,X2)</f>
        <v>26</v>
      </c>
      <c r="AC2" s="92"/>
      <c r="AD2" s="78">
        <v>2.5</v>
      </c>
      <c r="AE2" s="93">
        <f t="shared" ref="AE2:AE40" si="1">SUMIF($BC$1:$CI$1,AE$1,$BC2:$CI2)+AD2</f>
        <v>28.5</v>
      </c>
      <c r="AF2" s="77"/>
      <c r="AG2" s="93">
        <f t="shared" ref="AG2:AG40" si="2">SUMIF($BC$1:$CI$1,AG$1,$BC2:$CI2)+AF2</f>
        <v>0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</v>
      </c>
      <c r="AN2" s="77"/>
      <c r="AO2" s="93">
        <f t="shared" ref="AO2:AO40" si="6">SUMIF($BC$1:$CI$1,AO$1,$BC2:$CI2)+AN2</f>
        <v>0</v>
      </c>
      <c r="AP2" s="94">
        <f>CK2</f>
        <v>4</v>
      </c>
      <c r="AQ2" s="77"/>
      <c r="AR2" s="77"/>
      <c r="AS2" s="77"/>
      <c r="AT2" s="44">
        <f>AE2+AG2+AI2+AK2+AM2+AO2+SUM(AQ2:AS2)</f>
        <v>28.5</v>
      </c>
      <c r="AU2" s="78" t="s">
        <v>1439</v>
      </c>
      <c r="AV2" s="5"/>
      <c r="AW2" s="5"/>
      <c r="AX2" s="5"/>
      <c r="AY2" s="5"/>
      <c r="AZ2" s="24">
        <f>VLOOKUP(C2,Employees!D:I,6,FALSE)</f>
        <v>10015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</v>
      </c>
      <c r="BG2" s="5">
        <f>IF(BF2&gt;$AY$1,1,IF(BF2&gt;=$AX$1,0.5,0))</f>
        <v>0.5</v>
      </c>
      <c r="BH2" s="5">
        <f>BF2-BG2-BI2-BJ2</f>
        <v>6.5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7</v>
      </c>
      <c r="BV2" s="5">
        <f>IF(BU2&gt;$AY$1,1,IF(BU2&gt;=$AX$1,0.5,0))</f>
        <v>0.5</v>
      </c>
      <c r="BW2" s="5">
        <f>BU2-BV2-BX2-BY2</f>
        <v>6.5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10381</v>
      </c>
      <c r="B3" s="81" t="s">
        <v>959</v>
      </c>
      <c r="C3" s="100" t="s">
        <v>1052</v>
      </c>
      <c r="D3" s="104"/>
      <c r="E3" s="84"/>
      <c r="F3" s="91">
        <f t="shared" ref="F3:F69" si="15">BA3-BB3</f>
        <v>0</v>
      </c>
      <c r="G3" s="84"/>
      <c r="H3" s="84"/>
      <c r="I3" s="91">
        <f t="shared" ref="I3:I69" si="16">BF3-BG3</f>
        <v>0</v>
      </c>
      <c r="J3" s="84">
        <v>0.70833333333333337</v>
      </c>
      <c r="K3" s="84">
        <v>0.97430555555555554</v>
      </c>
      <c r="L3" s="91">
        <f t="shared" ref="L3:L69" si="17">BK3-BL3</f>
        <v>5.883333333333332</v>
      </c>
      <c r="M3" s="84">
        <v>0.70833333333333337</v>
      </c>
      <c r="N3" s="84">
        <v>0.97083333333333333</v>
      </c>
      <c r="O3" s="91">
        <f t="shared" ref="O3:O69" si="18">BP3-BQ3</f>
        <v>5.7999999999999989</v>
      </c>
      <c r="P3" s="104"/>
      <c r="Q3" s="84"/>
      <c r="R3" s="91">
        <f t="shared" ref="R3:R69" si="19">BU3-BV3</f>
        <v>0</v>
      </c>
      <c r="S3" s="84">
        <v>0.5</v>
      </c>
      <c r="T3" s="84">
        <v>0.91666666666666663</v>
      </c>
      <c r="U3" s="91">
        <f t="shared" ref="U3:U69" si="20">BZ3-CA3</f>
        <v>9</v>
      </c>
      <c r="V3" s="84"/>
      <c r="W3" s="84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20.68333333333333</v>
      </c>
      <c r="AC3" s="92"/>
      <c r="AD3" s="78">
        <v>82.88</v>
      </c>
      <c r="AE3" s="93">
        <f t="shared" si="1"/>
        <v>91.88</v>
      </c>
      <c r="AF3" s="77"/>
      <c r="AG3" s="93">
        <f t="shared" si="2"/>
        <v>9</v>
      </c>
      <c r="AH3" s="78">
        <v>2.5</v>
      </c>
      <c r="AI3" s="93">
        <f t="shared" si="3"/>
        <v>2.5</v>
      </c>
      <c r="AJ3" s="77"/>
      <c r="AK3" s="93">
        <f t="shared" si="4"/>
        <v>0</v>
      </c>
      <c r="AL3" s="77"/>
      <c r="AM3" s="93">
        <f t="shared" si="5"/>
        <v>2.6833333333333345</v>
      </c>
      <c r="AN3" s="77"/>
      <c r="AO3" s="93">
        <f t="shared" si="6"/>
        <v>0</v>
      </c>
      <c r="AP3" s="94">
        <f t="shared" ref="AP3:AP69" si="23">CK3</f>
        <v>3</v>
      </c>
      <c r="AQ3" s="77"/>
      <c r="AR3" s="77"/>
      <c r="AS3" s="77"/>
      <c r="AT3" s="44">
        <f t="shared" ref="AT3:AT69" si="24">AE3+AG3+AI3+AK3+AM3+AO3+SUM(AQ3:AS3)</f>
        <v>106.06333333333333</v>
      </c>
      <c r="AU3" s="78" t="s">
        <v>1441</v>
      </c>
      <c r="AV3" s="5"/>
      <c r="AW3" s="5"/>
      <c r="AX3" s="5"/>
      <c r="AY3" s="5"/>
      <c r="AZ3" s="24">
        <f>VLOOKUP(C3,Employees!D:I,6,FALSE)</f>
        <v>10381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6.383333333333332</v>
      </c>
      <c r="BL3" s="5">
        <f t="shared" ref="BL3:BL66" si="35">IF(BK3&gt;$AY$1,1,IF(BK3&gt;=$AX$1,0.5,0))</f>
        <v>0.5</v>
      </c>
      <c r="BM3" s="5">
        <f t="shared" ref="BM3:BM66" si="36">BK3-BL3-BN3-BO3</f>
        <v>4.4999999999999982</v>
      </c>
      <c r="BN3" s="5">
        <f t="shared" ref="BN3:BN66" si="37">IF(AND(K3&gt;$AV$1, J3&lt;$AW$1),(MIN(K3,$AW$1)-MAX(J3,$AV$1))*24,0)</f>
        <v>1.3833333333333337</v>
      </c>
      <c r="BO3" s="5">
        <f t="shared" ref="BO3:BO66" si="38">IF(K3&gt;$AW$1,(K3-MAX(J3,$AW$1))*24,0)</f>
        <v>0</v>
      </c>
      <c r="BP3" s="5">
        <f t="shared" ref="BP3:BP66" si="39">IF(ISBLANK(M3),0,(N3-M3)*24)</f>
        <v>6.2999999999999989</v>
      </c>
      <c r="BQ3" s="5">
        <f t="shared" ref="BQ3:BQ66" si="40">IF(BP3&gt;$AY$1,1,IF(BP3&gt;=$AX$1,0.5,0))</f>
        <v>0.5</v>
      </c>
      <c r="BR3" s="5">
        <f t="shared" ref="BR3:BR66" si="41">BP3-BQ3-BS3-BT3</f>
        <v>4.4999999999999982</v>
      </c>
      <c r="BS3" s="5">
        <f t="shared" ref="BS3:BS66" si="42">IF(AND(N3&gt;$AV$1, M3&lt;$AW$1),(MIN(N3,$AW$1)-MAX(M3,$AV$1))*24,0)</f>
        <v>1.3000000000000007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10</v>
      </c>
      <c r="CA3" s="5">
        <f t="shared" ref="CA3:CA66" si="49">IF(BZ3&gt;$AY$1,1,IF(BZ3&gt;=$AX$1,0.5,0))</f>
        <v>1</v>
      </c>
      <c r="CB3" s="5">
        <f t="shared" ref="CB3:CB66" si="50">BZ3-CA3-CC3-CD3</f>
        <v>9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3</v>
      </c>
    </row>
    <row r="4" spans="1:89" ht="38" customHeight="1">
      <c r="A4" s="74">
        <f t="shared" si="0"/>
        <v>10010</v>
      </c>
      <c r="B4" s="81" t="s">
        <v>959</v>
      </c>
      <c r="C4" s="99" t="s">
        <v>343</v>
      </c>
      <c r="D4" s="84"/>
      <c r="E4" s="84"/>
      <c r="F4" s="91">
        <f t="shared" si="15"/>
        <v>0</v>
      </c>
      <c r="G4" s="84"/>
      <c r="H4" s="84"/>
      <c r="I4" s="91">
        <f t="shared" si="16"/>
        <v>0</v>
      </c>
      <c r="J4" s="84"/>
      <c r="K4" s="84"/>
      <c r="L4" s="91">
        <f t="shared" si="17"/>
        <v>0</v>
      </c>
      <c r="M4" s="76"/>
      <c r="N4" s="75"/>
      <c r="O4" s="91">
        <f t="shared" si="18"/>
        <v>0</v>
      </c>
      <c r="P4" s="84"/>
      <c r="Q4" s="84"/>
      <c r="R4" s="91">
        <f t="shared" si="19"/>
        <v>0</v>
      </c>
      <c r="S4" s="84">
        <v>0.58333333333333337</v>
      </c>
      <c r="T4" s="84">
        <v>0.9375</v>
      </c>
      <c r="U4" s="91">
        <f t="shared" si="20"/>
        <v>8</v>
      </c>
      <c r="V4" s="84"/>
      <c r="W4" s="84"/>
      <c r="X4" s="91">
        <f t="shared" si="21"/>
        <v>0</v>
      </c>
      <c r="Y4" s="91"/>
      <c r="Z4" s="91"/>
      <c r="AA4" s="91"/>
      <c r="AB4" s="91">
        <f t="shared" si="22"/>
        <v>8</v>
      </c>
      <c r="AC4" s="92"/>
      <c r="AD4" s="78"/>
      <c r="AE4" s="93">
        <f t="shared" si="1"/>
        <v>0</v>
      </c>
      <c r="AF4" s="77"/>
      <c r="AG4" s="93">
        <f t="shared" si="2"/>
        <v>8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1</v>
      </c>
      <c r="AQ4" s="77"/>
      <c r="AR4" s="77"/>
      <c r="AS4" s="77"/>
      <c r="AT4" s="44">
        <f t="shared" si="24"/>
        <v>8</v>
      </c>
      <c r="AU4" s="78"/>
      <c r="AV4" s="5"/>
      <c r="AW4" s="5"/>
      <c r="AX4" s="5"/>
      <c r="AY4" s="5"/>
      <c r="AZ4" s="24">
        <f>VLOOKUP(C4,Employees!D:I,6,FALSE)</f>
        <v>10010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8.5</v>
      </c>
      <c r="CA4" s="5">
        <f t="shared" si="49"/>
        <v>0.5</v>
      </c>
      <c r="CB4" s="5">
        <f t="shared" si="50"/>
        <v>7.4999999999999991</v>
      </c>
      <c r="CC4" s="5">
        <f t="shared" si="51"/>
        <v>0.50000000000000089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10337</v>
      </c>
      <c r="B5" s="81" t="s">
        <v>959</v>
      </c>
      <c r="C5" s="100" t="s">
        <v>1436</v>
      </c>
      <c r="D5" s="84">
        <v>0.65625</v>
      </c>
      <c r="E5" s="84">
        <v>0.96319444444444446</v>
      </c>
      <c r="F5" s="91">
        <f t="shared" si="15"/>
        <v>6.8666666666666671</v>
      </c>
      <c r="G5" s="84"/>
      <c r="H5" s="84"/>
      <c r="I5" s="91">
        <f t="shared" si="16"/>
        <v>0</v>
      </c>
      <c r="J5" s="84">
        <v>0.41666666666666669</v>
      </c>
      <c r="K5" s="84">
        <v>0.70833333333333337</v>
      </c>
      <c r="L5" s="91">
        <f t="shared" si="17"/>
        <v>6.5</v>
      </c>
      <c r="M5" s="75"/>
      <c r="N5" s="75"/>
      <c r="O5" s="91">
        <f t="shared" si="18"/>
        <v>0</v>
      </c>
      <c r="P5" s="84"/>
      <c r="Q5" s="84"/>
      <c r="R5" s="91">
        <f t="shared" si="19"/>
        <v>0</v>
      </c>
      <c r="S5" s="84"/>
      <c r="T5" s="84"/>
      <c r="U5" s="91">
        <f t="shared" si="20"/>
        <v>0</v>
      </c>
      <c r="V5" s="84"/>
      <c r="W5" s="84"/>
      <c r="X5" s="91">
        <f t="shared" si="21"/>
        <v>0</v>
      </c>
      <c r="Y5" s="91"/>
      <c r="Z5" s="91"/>
      <c r="AA5" s="91"/>
      <c r="AB5" s="91">
        <f t="shared" si="22"/>
        <v>13.366666666666667</v>
      </c>
      <c r="AC5" s="92"/>
      <c r="AD5" s="78">
        <v>1</v>
      </c>
      <c r="AE5" s="93">
        <f t="shared" si="1"/>
        <v>13.25</v>
      </c>
      <c r="AF5" s="77"/>
      <c r="AG5" s="93">
        <f t="shared" si="2"/>
        <v>0</v>
      </c>
      <c r="AH5" s="78"/>
      <c r="AI5" s="93">
        <f t="shared" si="3"/>
        <v>0</v>
      </c>
      <c r="AJ5" s="77"/>
      <c r="AK5" s="93">
        <f t="shared" si="4"/>
        <v>0</v>
      </c>
      <c r="AL5" s="77"/>
      <c r="AM5" s="93">
        <f t="shared" si="5"/>
        <v>1.116666666666668</v>
      </c>
      <c r="AN5" s="77"/>
      <c r="AO5" s="93">
        <f t="shared" si="6"/>
        <v>0</v>
      </c>
      <c r="AP5" s="94">
        <f t="shared" si="23"/>
        <v>2</v>
      </c>
      <c r="AQ5" s="77"/>
      <c r="AR5" s="77"/>
      <c r="AS5" s="77"/>
      <c r="AT5" s="44">
        <f t="shared" si="24"/>
        <v>14.366666666666667</v>
      </c>
      <c r="AU5" s="78"/>
      <c r="AV5" s="5"/>
      <c r="AW5" s="5"/>
      <c r="AX5" s="5"/>
      <c r="AY5" s="5"/>
      <c r="AZ5" s="24">
        <f>VLOOKUP(C5,Employees!D:I,6,FALSE)</f>
        <v>10337</v>
      </c>
      <c r="BA5" s="5">
        <f t="shared" si="25"/>
        <v>7.3666666666666671</v>
      </c>
      <c r="BB5" s="5">
        <f t="shared" si="26"/>
        <v>0.5</v>
      </c>
      <c r="BC5" s="5">
        <f t="shared" si="27"/>
        <v>5.7499999999999991</v>
      </c>
      <c r="BD5" s="5">
        <f t="shared" si="58"/>
        <v>1.116666666666668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7</v>
      </c>
      <c r="BL5" s="5">
        <f t="shared" si="35"/>
        <v>0.5</v>
      </c>
      <c r="BM5" s="5">
        <f t="shared" si="36"/>
        <v>6.5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10338</v>
      </c>
      <c r="B6" s="81" t="s">
        <v>959</v>
      </c>
      <c r="C6" s="101" t="s">
        <v>1437</v>
      </c>
      <c r="D6" s="84"/>
      <c r="E6" s="84"/>
      <c r="F6" s="91">
        <f t="shared" si="15"/>
        <v>0</v>
      </c>
      <c r="G6" s="84">
        <v>0.70833333333333337</v>
      </c>
      <c r="H6" s="84">
        <v>0.97916666666666663</v>
      </c>
      <c r="I6" s="91">
        <f t="shared" si="16"/>
        <v>5.9999999999999982</v>
      </c>
      <c r="J6" s="84"/>
      <c r="K6" s="84"/>
      <c r="L6" s="91">
        <f t="shared" si="17"/>
        <v>0</v>
      </c>
      <c r="M6" s="75"/>
      <c r="N6" s="75"/>
      <c r="O6" s="91">
        <f t="shared" si="18"/>
        <v>0</v>
      </c>
      <c r="P6" s="84">
        <v>0.70833333333333337</v>
      </c>
      <c r="Q6" s="84">
        <v>0.96875</v>
      </c>
      <c r="R6" s="91">
        <f t="shared" si="19"/>
        <v>5.7499999999999991</v>
      </c>
      <c r="S6" s="84"/>
      <c r="T6" s="84"/>
      <c r="U6" s="91">
        <f t="shared" si="20"/>
        <v>0</v>
      </c>
      <c r="V6" s="84">
        <v>0.45833333333333331</v>
      </c>
      <c r="W6" s="84">
        <v>0.91666666666666663</v>
      </c>
      <c r="X6" s="91">
        <f t="shared" si="21"/>
        <v>10</v>
      </c>
      <c r="Y6" s="91"/>
      <c r="Z6" s="91"/>
      <c r="AA6" s="91"/>
      <c r="AB6" s="91">
        <f t="shared" si="22"/>
        <v>21.749999999999996</v>
      </c>
      <c r="AC6" s="92"/>
      <c r="AD6" s="78">
        <v>0.5</v>
      </c>
      <c r="AE6" s="93">
        <f t="shared" si="1"/>
        <v>9.4999999999999964</v>
      </c>
      <c r="AF6" s="77"/>
      <c r="AG6" s="93">
        <f t="shared" si="2"/>
        <v>0</v>
      </c>
      <c r="AH6" s="78"/>
      <c r="AI6" s="93">
        <f t="shared" si="3"/>
        <v>10</v>
      </c>
      <c r="AJ6" s="77"/>
      <c r="AK6" s="93">
        <f t="shared" si="4"/>
        <v>0</v>
      </c>
      <c r="AL6" s="77"/>
      <c r="AM6" s="93">
        <f t="shared" si="5"/>
        <v>2.7500000000000009</v>
      </c>
      <c r="AN6" s="77"/>
      <c r="AO6" s="93">
        <f t="shared" si="6"/>
        <v>0</v>
      </c>
      <c r="AP6" s="94">
        <f t="shared" si="23"/>
        <v>3</v>
      </c>
      <c r="AQ6" s="77"/>
      <c r="AR6" s="77"/>
      <c r="AS6" s="77"/>
      <c r="AT6" s="44">
        <f t="shared" si="24"/>
        <v>22.249999999999996</v>
      </c>
      <c r="AU6" s="78"/>
      <c r="AV6" s="5"/>
      <c r="AW6" s="5"/>
      <c r="AX6" s="5"/>
      <c r="AY6" s="5"/>
      <c r="AZ6" s="24">
        <f>VLOOKUP(C6,Employees!D:I,6,FALSE)</f>
        <v>10338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6.4999999999999982</v>
      </c>
      <c r="BG6" s="5">
        <f t="shared" si="30"/>
        <v>0.5</v>
      </c>
      <c r="BH6" s="5">
        <f t="shared" si="31"/>
        <v>4.4999999999999982</v>
      </c>
      <c r="BI6" s="5">
        <f t="shared" si="32"/>
        <v>1.5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6.2499999999999991</v>
      </c>
      <c r="BV6" s="5">
        <f t="shared" si="45"/>
        <v>0.5</v>
      </c>
      <c r="BW6" s="5">
        <f t="shared" si="46"/>
        <v>4.4999999999999982</v>
      </c>
      <c r="BX6" s="5">
        <f t="shared" si="47"/>
        <v>1.2500000000000009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11</v>
      </c>
      <c r="CF6" s="5">
        <f t="shared" si="54"/>
        <v>1</v>
      </c>
      <c r="CG6" s="5">
        <f t="shared" si="55"/>
        <v>10</v>
      </c>
      <c r="CH6" s="5">
        <f t="shared" si="56"/>
        <v>0</v>
      </c>
      <c r="CI6" s="5">
        <f t="shared" si="57"/>
        <v>0</v>
      </c>
      <c r="CJ6" s="5"/>
      <c r="CK6" s="4">
        <f t="shared" si="14"/>
        <v>3</v>
      </c>
    </row>
    <row r="7" spans="1:89" ht="38" customHeight="1">
      <c r="A7" s="74">
        <f t="shared" si="0"/>
        <v>10375</v>
      </c>
      <c r="B7" s="81" t="s">
        <v>959</v>
      </c>
      <c r="C7" s="100" t="s">
        <v>1438</v>
      </c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84"/>
      <c r="L7" s="91">
        <f t="shared" si="17"/>
        <v>0</v>
      </c>
      <c r="M7" s="84"/>
      <c r="N7" s="84"/>
      <c r="O7" s="91">
        <f t="shared" si="18"/>
        <v>0</v>
      </c>
      <c r="P7" s="104"/>
      <c r="Q7" s="84"/>
      <c r="R7" s="91">
        <f t="shared" si="19"/>
        <v>0</v>
      </c>
      <c r="S7" s="75">
        <v>0.70833333333333337</v>
      </c>
      <c r="T7" s="75">
        <v>0.96666666666666667</v>
      </c>
      <c r="U7" s="91">
        <f t="shared" si="20"/>
        <v>5.6999999999999993</v>
      </c>
      <c r="V7" s="84">
        <v>0.54166666666666663</v>
      </c>
      <c r="W7" s="84">
        <v>0.97361111111111109</v>
      </c>
      <c r="X7" s="91">
        <f t="shared" si="21"/>
        <v>9.3666666666666671</v>
      </c>
      <c r="Y7" s="91"/>
      <c r="Z7" s="91"/>
      <c r="AA7" s="91"/>
      <c r="AB7" s="91">
        <f t="shared" si="22"/>
        <v>15.066666666666666</v>
      </c>
      <c r="AC7" s="92"/>
      <c r="AD7" s="78">
        <v>32.4</v>
      </c>
      <c r="AE7" s="93">
        <f t="shared" si="1"/>
        <v>32.4</v>
      </c>
      <c r="AF7" s="77"/>
      <c r="AG7" s="93">
        <f t="shared" si="2"/>
        <v>5.6999999999999993</v>
      </c>
      <c r="AH7" s="78">
        <v>-5</v>
      </c>
      <c r="AI7" s="93">
        <f t="shared" si="3"/>
        <v>4.3666666666666671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2</v>
      </c>
      <c r="AQ7" s="77"/>
      <c r="AR7" s="77"/>
      <c r="AS7" s="77"/>
      <c r="AT7" s="44">
        <f t="shared" si="24"/>
        <v>42.466666666666661</v>
      </c>
      <c r="AU7" s="78" t="s">
        <v>1440</v>
      </c>
      <c r="AV7" s="5"/>
      <c r="AW7" s="5"/>
      <c r="AX7" s="5"/>
      <c r="AY7" s="5"/>
      <c r="AZ7" s="24">
        <f>VLOOKUP(C7,Employees!D:I,6,FALSE)</f>
        <v>10375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6.1999999999999993</v>
      </c>
      <c r="CA7" s="5">
        <f t="shared" si="49"/>
        <v>0.5</v>
      </c>
      <c r="CB7" s="5">
        <f t="shared" si="50"/>
        <v>4.4999999999999982</v>
      </c>
      <c r="CC7" s="5">
        <f t="shared" si="51"/>
        <v>1.2000000000000011</v>
      </c>
      <c r="CD7" s="5">
        <f t="shared" si="52"/>
        <v>0</v>
      </c>
      <c r="CE7" s="5">
        <f t="shared" si="53"/>
        <v>10.366666666666667</v>
      </c>
      <c r="CF7" s="5">
        <f t="shared" si="54"/>
        <v>1</v>
      </c>
      <c r="CG7" s="5">
        <f t="shared" si="55"/>
        <v>8</v>
      </c>
      <c r="CH7" s="5">
        <f t="shared" si="56"/>
        <v>1.3666666666666671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>
        <f t="shared" si="0"/>
        <v>10388</v>
      </c>
      <c r="B8" s="81" t="s">
        <v>959</v>
      </c>
      <c r="C8" s="101" t="s">
        <v>1068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6"/>
      <c r="K8" s="75"/>
      <c r="L8" s="91">
        <f t="shared" si="17"/>
        <v>0</v>
      </c>
      <c r="M8" s="75"/>
      <c r="N8" s="75"/>
      <c r="O8" s="91">
        <f t="shared" si="18"/>
        <v>0</v>
      </c>
      <c r="P8" s="104">
        <v>0.58333333333333337</v>
      </c>
      <c r="Q8" s="84">
        <v>0.8881944444444444</v>
      </c>
      <c r="R8" s="91">
        <f t="shared" si="19"/>
        <v>6.8166666666666647</v>
      </c>
      <c r="S8" s="104">
        <v>0.375</v>
      </c>
      <c r="T8" s="84">
        <v>0.70833333333333337</v>
      </c>
      <c r="U8" s="91">
        <f t="shared" si="20"/>
        <v>7.5</v>
      </c>
      <c r="V8" s="84"/>
      <c r="W8" s="84"/>
      <c r="X8" s="91">
        <f t="shared" si="21"/>
        <v>0</v>
      </c>
      <c r="Y8" s="91"/>
      <c r="Z8" s="91"/>
      <c r="AA8" s="91"/>
      <c r="AB8" s="91">
        <f t="shared" si="22"/>
        <v>14.316666666666665</v>
      </c>
      <c r="AC8" s="92"/>
      <c r="AD8" s="78"/>
      <c r="AE8" s="93">
        <f t="shared" si="1"/>
        <v>6.8166666666666647</v>
      </c>
      <c r="AF8" s="77"/>
      <c r="AG8" s="93">
        <f t="shared" si="2"/>
        <v>7.5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2</v>
      </c>
      <c r="AQ8" s="77"/>
      <c r="AR8" s="77"/>
      <c r="AS8" s="77"/>
      <c r="AT8" s="44">
        <f t="shared" si="24"/>
        <v>14.316666666666665</v>
      </c>
      <c r="AU8" s="78"/>
      <c r="AV8" s="5"/>
      <c r="AW8" s="5"/>
      <c r="AX8" s="5"/>
      <c r="AY8" s="5"/>
      <c r="AZ8" s="24">
        <f>VLOOKUP(C8,Employees!D:I,6,FALSE)</f>
        <v>10388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7.3166666666666647</v>
      </c>
      <c r="BV8" s="5">
        <f t="shared" si="45"/>
        <v>0.5</v>
      </c>
      <c r="BW8" s="5">
        <f t="shared" si="46"/>
        <v>6.8166666666666647</v>
      </c>
      <c r="BX8" s="5">
        <f t="shared" si="47"/>
        <v>0</v>
      </c>
      <c r="BY8" s="5">
        <f t="shared" si="11"/>
        <v>0</v>
      </c>
      <c r="BZ8" s="5">
        <f t="shared" si="48"/>
        <v>8</v>
      </c>
      <c r="CA8" s="5">
        <f t="shared" si="49"/>
        <v>0.5</v>
      </c>
      <c r="CB8" s="5">
        <f t="shared" si="50"/>
        <v>7.5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10025</v>
      </c>
      <c r="B9" s="81" t="s">
        <v>959</v>
      </c>
      <c r="C9" s="101" t="s">
        <v>375</v>
      </c>
      <c r="D9" s="84"/>
      <c r="E9" s="84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/>
      <c r="N9" s="84"/>
      <c r="O9" s="91">
        <f t="shared" si="18"/>
        <v>0</v>
      </c>
      <c r="P9" s="84">
        <v>0.70833333333333337</v>
      </c>
      <c r="Q9" s="84">
        <v>0.96805555555555556</v>
      </c>
      <c r="R9" s="91">
        <f t="shared" si="19"/>
        <v>5.7333333333333325</v>
      </c>
      <c r="S9" s="104"/>
      <c r="T9" s="84"/>
      <c r="U9" s="91">
        <f t="shared" si="20"/>
        <v>0</v>
      </c>
      <c r="V9" s="84"/>
      <c r="W9" s="84"/>
      <c r="X9" s="91">
        <f t="shared" si="21"/>
        <v>0</v>
      </c>
      <c r="Y9" s="91"/>
      <c r="Z9" s="91"/>
      <c r="AA9" s="91"/>
      <c r="AB9" s="91">
        <f t="shared" si="22"/>
        <v>5.7333333333333325</v>
      </c>
      <c r="AC9" s="92"/>
      <c r="AD9" s="78"/>
      <c r="AE9" s="93">
        <f t="shared" si="1"/>
        <v>4.4999999999999982</v>
      </c>
      <c r="AF9" s="77"/>
      <c r="AG9" s="93">
        <f t="shared" si="2"/>
        <v>0</v>
      </c>
      <c r="AH9" s="77"/>
      <c r="AI9" s="93">
        <f t="shared" si="3"/>
        <v>0</v>
      </c>
      <c r="AJ9" s="77"/>
      <c r="AK9" s="93">
        <f t="shared" si="4"/>
        <v>0</v>
      </c>
      <c r="AL9" s="77"/>
      <c r="AM9" s="93">
        <f t="shared" si="5"/>
        <v>1.2333333333333343</v>
      </c>
      <c r="AN9" s="77"/>
      <c r="AO9" s="93">
        <f t="shared" si="6"/>
        <v>0</v>
      </c>
      <c r="AP9" s="94">
        <f t="shared" si="23"/>
        <v>1</v>
      </c>
      <c r="AQ9" s="77"/>
      <c r="AR9" s="77"/>
      <c r="AS9" s="77"/>
      <c r="AT9" s="44">
        <f t="shared" si="24"/>
        <v>5.7333333333333325</v>
      </c>
      <c r="AU9" s="78"/>
      <c r="AV9" s="5"/>
      <c r="AW9" s="5"/>
      <c r="AX9" s="5"/>
      <c r="AY9" s="5"/>
      <c r="AZ9" s="24">
        <f>VLOOKUP(C9,Employees!D:I,6,FALSE)</f>
        <v>10025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6.2333333333333325</v>
      </c>
      <c r="BV9" s="5">
        <f t="shared" si="45"/>
        <v>0.5</v>
      </c>
      <c r="BW9" s="5">
        <f t="shared" si="46"/>
        <v>4.4999999999999982</v>
      </c>
      <c r="BX9" s="5">
        <f t="shared" si="47"/>
        <v>1.2333333333333343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10382</v>
      </c>
      <c r="B10" s="81" t="s">
        <v>959</v>
      </c>
      <c r="C10" s="102" t="s">
        <v>1054</v>
      </c>
      <c r="D10" s="75"/>
      <c r="E10" s="75"/>
      <c r="F10" s="91">
        <f t="shared" si="15"/>
        <v>0</v>
      </c>
      <c r="G10" s="75"/>
      <c r="H10" s="75"/>
      <c r="I10" s="91">
        <f t="shared" si="16"/>
        <v>0</v>
      </c>
      <c r="J10" s="76"/>
      <c r="K10" s="75"/>
      <c r="L10" s="91">
        <f t="shared" si="17"/>
        <v>0</v>
      </c>
      <c r="M10" s="75"/>
      <c r="N10" s="75"/>
      <c r="O10" s="91">
        <f t="shared" si="18"/>
        <v>0</v>
      </c>
      <c r="P10" s="75"/>
      <c r="Q10" s="75"/>
      <c r="R10" s="91">
        <f t="shared" si="19"/>
        <v>0</v>
      </c>
      <c r="S10" s="104">
        <v>0.625</v>
      </c>
      <c r="T10" s="84">
        <v>0.96666666666666667</v>
      </c>
      <c r="U10" s="91">
        <f t="shared" si="20"/>
        <v>7.6999999999999993</v>
      </c>
      <c r="V10" s="84"/>
      <c r="W10" s="84"/>
      <c r="X10" s="91">
        <f t="shared" si="21"/>
        <v>0</v>
      </c>
      <c r="Y10" s="91"/>
      <c r="Z10" s="91"/>
      <c r="AA10" s="91"/>
      <c r="AB10" s="91">
        <f t="shared" si="22"/>
        <v>7.6999999999999993</v>
      </c>
      <c r="AC10" s="92"/>
      <c r="AD10" s="78"/>
      <c r="AE10" s="93">
        <f t="shared" si="1"/>
        <v>0</v>
      </c>
      <c r="AF10" s="77"/>
      <c r="AG10" s="93">
        <f t="shared" si="2"/>
        <v>7.6999999999999993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1</v>
      </c>
      <c r="AQ10" s="77"/>
      <c r="AR10" s="77"/>
      <c r="AS10" s="77"/>
      <c r="AT10" s="44">
        <f t="shared" si="24"/>
        <v>7.6999999999999993</v>
      </c>
      <c r="AU10" s="78"/>
      <c r="AV10" s="5"/>
      <c r="AW10" s="5"/>
      <c r="AX10" s="5"/>
      <c r="AY10" s="5"/>
      <c r="AZ10" s="24">
        <f>VLOOKUP(C10,Employees!D:I,6,FALSE)</f>
        <v>10382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8.1999999999999993</v>
      </c>
      <c r="CA10" s="5">
        <f t="shared" si="49"/>
        <v>0.5</v>
      </c>
      <c r="CB10" s="5">
        <f t="shared" si="50"/>
        <v>6.4999999999999982</v>
      </c>
      <c r="CC10" s="5">
        <f t="shared" si="51"/>
        <v>1.2000000000000011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1</v>
      </c>
    </row>
    <row r="11" spans="1:89" ht="38" customHeight="1">
      <c r="A11" s="74">
        <f t="shared" si="0"/>
        <v>210420</v>
      </c>
      <c r="B11" s="81" t="s">
        <v>959</v>
      </c>
      <c r="C11" s="103" t="s">
        <v>1154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/>
      <c r="N11" s="75"/>
      <c r="O11" s="91">
        <f t="shared" si="18"/>
        <v>0</v>
      </c>
      <c r="P11" s="75"/>
      <c r="Q11" s="75"/>
      <c r="R11" s="91">
        <f t="shared" si="19"/>
        <v>0</v>
      </c>
      <c r="S11" s="75">
        <v>0.70833333333333337</v>
      </c>
      <c r="T11" s="75">
        <v>0.95833333333333337</v>
      </c>
      <c r="U11" s="91">
        <f t="shared" si="20"/>
        <v>5.5</v>
      </c>
      <c r="V11" s="104"/>
      <c r="W11" s="84"/>
      <c r="X11" s="91">
        <f t="shared" si="21"/>
        <v>0</v>
      </c>
      <c r="Y11" s="91"/>
      <c r="Z11" s="91"/>
      <c r="AA11" s="91"/>
      <c r="AB11" s="91">
        <f t="shared" si="22"/>
        <v>5.5</v>
      </c>
      <c r="AC11" s="92"/>
      <c r="AD11" s="78"/>
      <c r="AE11" s="93">
        <f t="shared" si="1"/>
        <v>0</v>
      </c>
      <c r="AF11" s="77"/>
      <c r="AG11" s="93">
        <f t="shared" si="2"/>
        <v>5.5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1</v>
      </c>
      <c r="AQ11" s="77"/>
      <c r="AR11" s="77"/>
      <c r="AS11" s="77"/>
      <c r="AT11" s="44">
        <f t="shared" si="24"/>
        <v>5.5</v>
      </c>
      <c r="AU11" s="78"/>
      <c r="AV11" s="5"/>
      <c r="AW11" s="5"/>
      <c r="AX11" s="5"/>
      <c r="AY11" s="5"/>
      <c r="AZ11" s="24">
        <f>VLOOKUP(C11,Employees!D:I,6,FALSE)</f>
        <v>210420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6</v>
      </c>
      <c r="CA11" s="5">
        <f t="shared" si="49"/>
        <v>0.5</v>
      </c>
      <c r="CB11" s="5">
        <f t="shared" si="50"/>
        <v>4.4999999999999982</v>
      </c>
      <c r="CC11" s="5">
        <f t="shared" si="51"/>
        <v>1.0000000000000018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1</v>
      </c>
    </row>
    <row r="12" spans="1:89" ht="38" customHeight="1">
      <c r="A12" s="74">
        <f t="shared" si="0"/>
        <v>210413</v>
      </c>
      <c r="B12" s="81" t="s">
        <v>959</v>
      </c>
      <c r="C12" s="98" t="s">
        <v>1138</v>
      </c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75"/>
      <c r="T12" s="75"/>
      <c r="U12" s="91">
        <f t="shared" si="20"/>
        <v>0</v>
      </c>
      <c r="V12" s="75">
        <v>0.47916666666666669</v>
      </c>
      <c r="W12" s="75">
        <v>0.60416666666666663</v>
      </c>
      <c r="X12" s="91">
        <f t="shared" si="21"/>
        <v>2.9999999999999987</v>
      </c>
      <c r="Y12" s="91"/>
      <c r="Z12" s="91"/>
      <c r="AA12" s="91"/>
      <c r="AB12" s="91">
        <f t="shared" si="22"/>
        <v>2.9999999999999987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2.9999999999999987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1</v>
      </c>
      <c r="AQ12" s="77"/>
      <c r="AR12" s="77"/>
      <c r="AS12" s="77"/>
      <c r="AT12" s="44">
        <f t="shared" si="24"/>
        <v>2.9999999999999987</v>
      </c>
      <c r="AU12" s="78"/>
      <c r="AV12" s="5"/>
      <c r="AW12" s="5"/>
      <c r="AX12" s="5"/>
      <c r="AY12" s="5"/>
      <c r="AZ12" s="24">
        <f>VLOOKUP(C12,Employees!D:I,6,FALSE)</f>
        <v>210413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2.9999999999999987</v>
      </c>
      <c r="CF12" s="5">
        <f t="shared" si="54"/>
        <v>0</v>
      </c>
      <c r="CG12" s="5">
        <f t="shared" si="55"/>
        <v>2.9999999999999987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1</v>
      </c>
    </row>
    <row r="13" spans="1:89" ht="38" customHeight="1">
      <c r="A13" s="74" t="str">
        <f t="shared" si="0"/>
        <v/>
      </c>
      <c r="B13" s="73"/>
      <c r="C13" s="98"/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/>
      <c r="T13" s="75"/>
      <c r="U13" s="91">
        <f t="shared" si="20"/>
        <v>0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0</v>
      </c>
      <c r="AC13" s="92"/>
      <c r="AD13" s="78"/>
      <c r="AE13" s="93">
        <f t="shared" si="1"/>
        <v>0</v>
      </c>
      <c r="AF13" s="77"/>
      <c r="AG13" s="93">
        <f t="shared" si="2"/>
        <v>0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7"/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/>
      <c r="Q14" s="75"/>
      <c r="R14" s="91">
        <f t="shared" si="19"/>
        <v>0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0</v>
      </c>
      <c r="AC14" s="92"/>
      <c r="AD14" s="77"/>
      <c r="AE14" s="93">
        <f t="shared" si="1"/>
        <v>0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8" operator="equal">
      <formula>"Pub"</formula>
    </cfRule>
  </conditionalFormatting>
  <conditionalFormatting sqref="F2:F100 I2:I100 L2:L100 O2:O100 R2:R100 U2:U100 X2:AB100 AT2:AT100">
    <cfRule type="cellIs" dxfId="18" priority="700" operator="lessThan">
      <formula>0</formula>
    </cfRule>
    <cfRule type="cellIs" dxfId="17" priority="701" operator="between">
      <formula>3</formula>
      <formula>0.01</formula>
    </cfRule>
    <cfRule type="cellIs" dxfId="16" priority="773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4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3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AB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10015</v>
      </c>
      <c r="B2" s="81" t="s">
        <v>959</v>
      </c>
      <c r="C2" s="99" t="s">
        <v>353</v>
      </c>
      <c r="D2" s="75">
        <v>0.41666666666666669</v>
      </c>
      <c r="E2" s="75">
        <v>0.70833333333333337</v>
      </c>
      <c r="F2" s="91">
        <f>BA2-BB2</f>
        <v>6.5</v>
      </c>
      <c r="G2" s="75"/>
      <c r="H2" s="76"/>
      <c r="I2" s="91">
        <f>BF2-BG2</f>
        <v>0</v>
      </c>
      <c r="J2" s="75"/>
      <c r="K2" s="76"/>
      <c r="L2" s="91">
        <f>BK2-BL2</f>
        <v>0</v>
      </c>
      <c r="M2" s="75">
        <v>0.41666666666666669</v>
      </c>
      <c r="N2" s="76">
        <v>0.70833333333333337</v>
      </c>
      <c r="O2" s="91">
        <f>BP2-BQ2</f>
        <v>6.5</v>
      </c>
      <c r="P2" s="75"/>
      <c r="Q2" s="76"/>
      <c r="R2" s="91">
        <f>BU2-BV2</f>
        <v>0</v>
      </c>
      <c r="S2" s="75">
        <v>0.41666666666666669</v>
      </c>
      <c r="T2" s="75">
        <v>0.90625</v>
      </c>
      <c r="U2" s="91">
        <f>BZ2-CA2</f>
        <v>10.75</v>
      </c>
      <c r="V2" s="75"/>
      <c r="W2" s="76"/>
      <c r="X2" s="91">
        <f>CE2-CF2</f>
        <v>0</v>
      </c>
      <c r="Y2" s="91"/>
      <c r="Z2" s="91"/>
      <c r="AA2" s="91"/>
      <c r="AB2" s="95">
        <f>SUM(F2,I2,L2,O2,R2,U2,X2)</f>
        <v>23.75</v>
      </c>
      <c r="AC2" s="92"/>
      <c r="AD2" s="78">
        <v>2</v>
      </c>
      <c r="AE2" s="93">
        <f>SUMIF($BC$1:$CI$1,AE$1,$BC2:$CI2)+AD2</f>
        <v>15</v>
      </c>
      <c r="AF2" s="78"/>
      <c r="AG2" s="93">
        <f>SUMIF($BC$1:$CI$1,AG$1,$BC2:$CI2)+AF2</f>
        <v>10.75</v>
      </c>
      <c r="AH2" s="78"/>
      <c r="AI2" s="93">
        <f>SUMIF($BC$1:$CI$1,AI$1,$BC2:$CI2)+AH2</f>
        <v>0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3</v>
      </c>
      <c r="AQ2" s="77"/>
      <c r="AR2" s="77"/>
      <c r="AS2" s="77"/>
      <c r="AT2" s="63">
        <f>AE2+AG2+AI2+AK2+AM2+AO2+SUM(AQ2:AS2)</f>
        <v>25.75</v>
      </c>
      <c r="AU2" s="78" t="s">
        <v>1439</v>
      </c>
      <c r="AV2" s="5"/>
      <c r="AW2" s="5"/>
      <c r="AX2" s="5"/>
      <c r="AY2" s="5"/>
      <c r="AZ2" s="24">
        <f>VLOOKUP(C2,Employees!D:I,6,FALSE)</f>
        <v>10015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7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11.75</v>
      </c>
      <c r="CA2" s="5">
        <f>IF(BZ2&gt;$AY$1,1,IF(BZ2&gt;=$AX$1,0.5,0))</f>
        <v>1</v>
      </c>
      <c r="CB2" s="5">
        <f>BZ2-CA2-CC2-CD2</f>
        <v>10.75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10381</v>
      </c>
      <c r="B3" s="81" t="s">
        <v>959</v>
      </c>
      <c r="C3" s="100" t="s">
        <v>1052</v>
      </c>
      <c r="D3" s="75"/>
      <c r="E3" s="75"/>
      <c r="F3" s="91">
        <f t="shared" ref="F3:F74" si="9">BA3-BB3</f>
        <v>0</v>
      </c>
      <c r="G3" s="76">
        <v>0.41666666666666669</v>
      </c>
      <c r="H3" s="76">
        <v>0.70833333333333337</v>
      </c>
      <c r="I3" s="91">
        <f t="shared" ref="I3:I74" si="10">BF3-BG3</f>
        <v>6.5</v>
      </c>
      <c r="J3" s="75"/>
      <c r="K3" s="75"/>
      <c r="L3" s="91">
        <f t="shared" ref="L3:L74" si="11">BK3-BL3</f>
        <v>0</v>
      </c>
      <c r="M3" s="75"/>
      <c r="N3" s="75"/>
      <c r="O3" s="91">
        <f t="shared" ref="O3:O74" si="12">BP3-BQ3</f>
        <v>0</v>
      </c>
      <c r="P3" s="84"/>
      <c r="Q3" s="75"/>
      <c r="R3" s="91">
        <f t="shared" ref="R3:R74" si="13">BU3-BV3</f>
        <v>0</v>
      </c>
      <c r="S3" s="75"/>
      <c r="T3" s="75"/>
      <c r="U3" s="91">
        <f t="shared" ref="U3:U74" si="14">BZ3-CA3</f>
        <v>0</v>
      </c>
      <c r="V3" s="75">
        <v>0.58333333333333337</v>
      </c>
      <c r="W3" s="76">
        <v>0.97916666666666663</v>
      </c>
      <c r="X3" s="91">
        <f t="shared" ref="X3:X74" si="15">CE3-CF3</f>
        <v>8.4999999999999982</v>
      </c>
      <c r="Y3" s="91"/>
      <c r="Z3" s="91"/>
      <c r="AA3" s="91"/>
      <c r="AB3" s="95">
        <f t="shared" ref="AB3:AB74" si="16">SUM(F3,I3,L3,O3,R3,U3,X3)</f>
        <v>14.999999999999998</v>
      </c>
      <c r="AC3" s="92"/>
      <c r="AD3" s="78">
        <v>0.5</v>
      </c>
      <c r="AE3" s="93">
        <f t="shared" ref="AE3:AE74" si="17">SUMIF($BC$1:$CI$1,AE$1,$BC3:$CI3)+AD3</f>
        <v>7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8.4999999999999982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2</v>
      </c>
      <c r="AQ3" s="77"/>
      <c r="AR3" s="77"/>
      <c r="AS3" s="77"/>
      <c r="AT3" s="63">
        <f t="shared" ref="AT3:AT74" si="24">AE3+AG3+AI3+AK3+AM3+AO3+SUM(AQ3:AS3)</f>
        <v>15.499999999999998</v>
      </c>
      <c r="AU3" s="78"/>
      <c r="AV3" s="5"/>
      <c r="AW3" s="5"/>
      <c r="AX3" s="5"/>
      <c r="AY3" s="5"/>
      <c r="AZ3" s="24">
        <f>VLOOKUP(C3,Employees!D:I,6,FALSE)</f>
        <v>10381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7</v>
      </c>
      <c r="BG3" s="5">
        <f t="shared" ref="BG3:BG66" si="31">IF(BF3&gt;$AY$1,1,IF(BF3&gt;=$AX$1,0.5,0))</f>
        <v>0.5</v>
      </c>
      <c r="BH3" s="5">
        <f t="shared" ref="BH3:BH66" si="32">BF3-BG3-BI3-BJ3</f>
        <v>6.5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9.4999999999999982</v>
      </c>
      <c r="CF3" s="5">
        <f t="shared" ref="CF3:CF66" si="56">IF(CE3&gt;$AY$1,1,IF(CE3&gt;=$AX$1,0.5,0))</f>
        <v>1</v>
      </c>
      <c r="CG3" s="5">
        <f t="shared" ref="CG3:CG66" si="57">CE3-CF3-CH3-CI3</f>
        <v>6.9999999999999982</v>
      </c>
      <c r="CH3" s="5">
        <f t="shared" ref="CH3:CH66" si="58">IF(AND(W3&gt;$AV$1, V3&lt;$AW$1),(MIN(W3,$AW$1)-MAX(V3,$AV$1))*24,0)</f>
        <v>1.5</v>
      </c>
      <c r="CI3" s="5">
        <f t="shared" ref="CI3:CI66" si="59">IF(W3&gt;$AW$1,(W3-MAX(V3,$AW$1))*24,0)</f>
        <v>0</v>
      </c>
      <c r="CJ3" s="5"/>
      <c r="CK3" s="4">
        <f t="shared" si="8"/>
        <v>2</v>
      </c>
    </row>
    <row r="4" spans="1:89" ht="47" customHeight="1">
      <c r="A4" s="74">
        <f t="shared" si="0"/>
        <v>10010</v>
      </c>
      <c r="B4" s="81" t="s">
        <v>959</v>
      </c>
      <c r="C4" s="99" t="s">
        <v>343</v>
      </c>
      <c r="D4" s="75"/>
      <c r="E4" s="75"/>
      <c r="F4" s="91">
        <f t="shared" si="9"/>
        <v>0</v>
      </c>
      <c r="G4" s="75"/>
      <c r="H4" s="75"/>
      <c r="I4" s="91">
        <f t="shared" si="10"/>
        <v>0</v>
      </c>
      <c r="J4" s="75"/>
      <c r="K4" s="75"/>
      <c r="L4" s="91">
        <f t="shared" si="11"/>
        <v>0</v>
      </c>
      <c r="M4" s="75"/>
      <c r="N4" s="75"/>
      <c r="O4" s="91">
        <f t="shared" si="12"/>
        <v>0</v>
      </c>
      <c r="P4" s="75"/>
      <c r="Q4" s="75"/>
      <c r="R4" s="91">
        <f t="shared" si="13"/>
        <v>0</v>
      </c>
      <c r="S4" s="75">
        <v>0.58333333333333337</v>
      </c>
      <c r="T4" s="75">
        <v>0.9375</v>
      </c>
      <c r="U4" s="91">
        <f t="shared" si="14"/>
        <v>8</v>
      </c>
      <c r="V4" s="75"/>
      <c r="W4" s="75"/>
      <c r="X4" s="91">
        <f t="shared" si="15"/>
        <v>0</v>
      </c>
      <c r="Y4" s="91"/>
      <c r="Z4" s="91"/>
      <c r="AA4" s="91"/>
      <c r="AB4" s="95">
        <f t="shared" si="16"/>
        <v>8</v>
      </c>
      <c r="AC4" s="92"/>
      <c r="AD4" s="78"/>
      <c r="AE4" s="93">
        <f t="shared" si="17"/>
        <v>0</v>
      </c>
      <c r="AF4" s="78"/>
      <c r="AG4" s="93">
        <f t="shared" si="18"/>
        <v>8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1</v>
      </c>
      <c r="AQ4" s="77"/>
      <c r="AR4" s="77"/>
      <c r="AS4" s="77"/>
      <c r="AT4" s="63">
        <f t="shared" si="24"/>
        <v>8</v>
      </c>
      <c r="AU4" s="78"/>
      <c r="AV4" s="5"/>
      <c r="AW4" s="5"/>
      <c r="AX4" s="5"/>
      <c r="AY4" s="5"/>
      <c r="AZ4" s="24">
        <f>VLOOKUP(C4,Employees!D:I,6,FALSE)</f>
        <v>10010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8.5</v>
      </c>
      <c r="CA4" s="5">
        <f t="shared" si="51"/>
        <v>0.5</v>
      </c>
      <c r="CB4" s="5">
        <f t="shared" si="52"/>
        <v>7.4999999999999991</v>
      </c>
      <c r="CC4" s="5">
        <f t="shared" si="53"/>
        <v>0.50000000000000089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1</v>
      </c>
    </row>
    <row r="5" spans="1:89" ht="47" customHeight="1">
      <c r="A5" s="74">
        <f t="shared" si="0"/>
        <v>10337</v>
      </c>
      <c r="B5" s="81" t="s">
        <v>959</v>
      </c>
      <c r="C5" s="100" t="s">
        <v>1436</v>
      </c>
      <c r="D5" s="76">
        <v>0.65625</v>
      </c>
      <c r="E5" s="75">
        <v>0.96875</v>
      </c>
      <c r="F5" s="91">
        <f t="shared" si="9"/>
        <v>7</v>
      </c>
      <c r="G5" s="75"/>
      <c r="H5" s="76"/>
      <c r="I5" s="91">
        <f t="shared" si="10"/>
        <v>0</v>
      </c>
      <c r="J5" s="76">
        <v>0.41666666666666669</v>
      </c>
      <c r="K5" s="76">
        <v>0.70833333333333337</v>
      </c>
      <c r="L5" s="91">
        <f t="shared" si="11"/>
        <v>6.5</v>
      </c>
      <c r="M5" s="75"/>
      <c r="N5" s="75"/>
      <c r="O5" s="91">
        <f t="shared" si="12"/>
        <v>0</v>
      </c>
      <c r="P5" s="75">
        <v>0.625</v>
      </c>
      <c r="Q5" s="75">
        <v>0.97430555555555554</v>
      </c>
      <c r="R5" s="91">
        <f t="shared" si="13"/>
        <v>7.8833333333333329</v>
      </c>
      <c r="S5" s="76"/>
      <c r="T5" s="75"/>
      <c r="U5" s="91">
        <f t="shared" si="14"/>
        <v>0</v>
      </c>
      <c r="V5" s="75">
        <v>0.5</v>
      </c>
      <c r="W5" s="76">
        <v>0.91666666666666663</v>
      </c>
      <c r="X5" s="91">
        <f t="shared" si="15"/>
        <v>9</v>
      </c>
      <c r="Y5" s="91"/>
      <c r="Z5" s="91"/>
      <c r="AA5" s="91"/>
      <c r="AB5" s="95">
        <f t="shared" si="16"/>
        <v>30.383333333333333</v>
      </c>
      <c r="AC5" s="92"/>
      <c r="AD5" s="78">
        <v>1</v>
      </c>
      <c r="AE5" s="93">
        <f t="shared" si="17"/>
        <v>19.75</v>
      </c>
      <c r="AF5" s="78"/>
      <c r="AG5" s="93">
        <f t="shared" si="18"/>
        <v>0</v>
      </c>
      <c r="AH5" s="78"/>
      <c r="AI5" s="93">
        <f t="shared" si="19"/>
        <v>9</v>
      </c>
      <c r="AJ5" s="77"/>
      <c r="AK5" s="93">
        <f t="shared" si="20"/>
        <v>0</v>
      </c>
      <c r="AL5" s="78"/>
      <c r="AM5" s="93">
        <f t="shared" si="21"/>
        <v>2.6333333333333346</v>
      </c>
      <c r="AN5" s="77"/>
      <c r="AO5" s="93">
        <f t="shared" si="22"/>
        <v>0</v>
      </c>
      <c r="AP5" s="94">
        <f t="shared" si="23"/>
        <v>4</v>
      </c>
      <c r="AQ5" s="77"/>
      <c r="AR5" s="77"/>
      <c r="AS5" s="77"/>
      <c r="AT5" s="63">
        <f t="shared" si="24"/>
        <v>31.383333333333333</v>
      </c>
      <c r="AU5" s="78"/>
      <c r="AV5" s="5"/>
      <c r="AW5" s="5"/>
      <c r="AX5" s="5"/>
      <c r="AY5" s="5"/>
      <c r="AZ5" s="24">
        <f>VLOOKUP(C5,Employees!D:I,6,FALSE)</f>
        <v>10337</v>
      </c>
      <c r="BA5" s="5">
        <f t="shared" si="25"/>
        <v>7.5</v>
      </c>
      <c r="BB5" s="5">
        <f t="shared" si="26"/>
        <v>0.5</v>
      </c>
      <c r="BC5" s="5">
        <f t="shared" si="27"/>
        <v>5.7499999999999991</v>
      </c>
      <c r="BD5" s="5">
        <f t="shared" si="28"/>
        <v>1.2500000000000009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7</v>
      </c>
      <c r="BL5" s="5">
        <f t="shared" si="36"/>
        <v>0.5</v>
      </c>
      <c r="BM5" s="5">
        <f t="shared" si="37"/>
        <v>6.5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8.3833333333333329</v>
      </c>
      <c r="BV5" s="5">
        <f t="shared" si="46"/>
        <v>0.5</v>
      </c>
      <c r="BW5" s="5">
        <f t="shared" si="47"/>
        <v>6.4999999999999991</v>
      </c>
      <c r="BX5" s="5">
        <f t="shared" si="48"/>
        <v>1.3833333333333337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10</v>
      </c>
      <c r="CF5" s="5">
        <f t="shared" si="56"/>
        <v>1</v>
      </c>
      <c r="CG5" s="5">
        <f t="shared" si="57"/>
        <v>9</v>
      </c>
      <c r="CH5" s="5">
        <f t="shared" si="58"/>
        <v>0</v>
      </c>
      <c r="CI5" s="5">
        <f t="shared" si="59"/>
        <v>0</v>
      </c>
      <c r="CJ5" s="5"/>
      <c r="CK5" s="4">
        <f t="shared" si="8"/>
        <v>4</v>
      </c>
    </row>
    <row r="6" spans="1:89" ht="47" customHeight="1">
      <c r="A6" s="74">
        <f t="shared" si="0"/>
        <v>10338</v>
      </c>
      <c r="B6" s="81" t="s">
        <v>959</v>
      </c>
      <c r="C6" s="101" t="s">
        <v>1437</v>
      </c>
      <c r="D6" s="76"/>
      <c r="E6" s="75"/>
      <c r="F6" s="91">
        <f t="shared" si="9"/>
        <v>0</v>
      </c>
      <c r="G6" s="75">
        <v>0.70833333333333337</v>
      </c>
      <c r="H6" s="76">
        <v>0.99027777777777781</v>
      </c>
      <c r="I6" s="91">
        <f t="shared" si="10"/>
        <v>6.2666666666666666</v>
      </c>
      <c r="J6" s="76"/>
      <c r="K6" s="76"/>
      <c r="L6" s="91">
        <f t="shared" si="11"/>
        <v>0</v>
      </c>
      <c r="M6" s="76">
        <v>0.70833333333333337</v>
      </c>
      <c r="N6" s="76">
        <v>0.97916666666666663</v>
      </c>
      <c r="O6" s="91">
        <f t="shared" si="12"/>
        <v>5.9999999999999982</v>
      </c>
      <c r="P6" s="76">
        <v>0.70833333333333337</v>
      </c>
      <c r="Q6" s="75">
        <v>0.97430555555555554</v>
      </c>
      <c r="R6" s="91">
        <f t="shared" si="13"/>
        <v>5.883333333333332</v>
      </c>
      <c r="S6" s="76">
        <v>0.70833333333333337</v>
      </c>
      <c r="T6" s="75">
        <v>0.98819444444444449</v>
      </c>
      <c r="U6" s="91">
        <f t="shared" si="14"/>
        <v>6.2166666666666668</v>
      </c>
      <c r="V6" s="75"/>
      <c r="W6" s="76"/>
      <c r="X6" s="91">
        <f t="shared" si="15"/>
        <v>0</v>
      </c>
      <c r="Y6" s="91"/>
      <c r="Z6" s="91"/>
      <c r="AA6" s="91"/>
      <c r="AB6" s="95">
        <f t="shared" si="16"/>
        <v>24.366666666666667</v>
      </c>
      <c r="AC6" s="92"/>
      <c r="AD6" s="78">
        <v>1</v>
      </c>
      <c r="AE6" s="93">
        <f t="shared" si="17"/>
        <v>14.499999999999995</v>
      </c>
      <c r="AF6" s="78"/>
      <c r="AG6" s="93">
        <f t="shared" si="18"/>
        <v>6.2166666666666668</v>
      </c>
      <c r="AH6" s="78"/>
      <c r="AI6" s="93">
        <f t="shared" si="19"/>
        <v>0</v>
      </c>
      <c r="AJ6" s="77"/>
      <c r="AK6" s="93">
        <f t="shared" si="20"/>
        <v>0</v>
      </c>
      <c r="AL6" s="78"/>
      <c r="AM6" s="93">
        <f t="shared" si="21"/>
        <v>4.6500000000000021</v>
      </c>
      <c r="AN6" s="77"/>
      <c r="AO6" s="93">
        <f t="shared" si="22"/>
        <v>0</v>
      </c>
      <c r="AP6" s="94">
        <f t="shared" si="23"/>
        <v>4</v>
      </c>
      <c r="AQ6" s="77"/>
      <c r="AR6" s="77"/>
      <c r="AS6" s="77"/>
      <c r="AT6" s="63">
        <f t="shared" si="24"/>
        <v>25.366666666666664</v>
      </c>
      <c r="AU6" s="78"/>
      <c r="AV6" s="5"/>
      <c r="AW6" s="5"/>
      <c r="AX6" s="5"/>
      <c r="AY6" s="5"/>
      <c r="AZ6" s="24">
        <f>VLOOKUP(C6,Employees!D:I,6,FALSE)</f>
        <v>10338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6.7666666666666666</v>
      </c>
      <c r="BG6" s="5">
        <f t="shared" si="31"/>
        <v>0.5</v>
      </c>
      <c r="BH6" s="5">
        <f t="shared" si="32"/>
        <v>4.4999999999999982</v>
      </c>
      <c r="BI6" s="5">
        <f t="shared" si="33"/>
        <v>1.7666666666666684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6.4999999999999982</v>
      </c>
      <c r="BQ6" s="5">
        <f t="shared" si="41"/>
        <v>0.5</v>
      </c>
      <c r="BR6" s="5">
        <f t="shared" si="42"/>
        <v>4.4999999999999982</v>
      </c>
      <c r="BS6" s="5">
        <f t="shared" si="43"/>
        <v>1.5</v>
      </c>
      <c r="BT6" s="5">
        <f t="shared" si="44"/>
        <v>0</v>
      </c>
      <c r="BU6" s="5">
        <f t="shared" si="45"/>
        <v>6.383333333333332</v>
      </c>
      <c r="BV6" s="5">
        <f t="shared" si="46"/>
        <v>0.5</v>
      </c>
      <c r="BW6" s="5">
        <f t="shared" si="47"/>
        <v>4.4999999999999982</v>
      </c>
      <c r="BX6" s="5">
        <f t="shared" si="48"/>
        <v>1.3833333333333337</v>
      </c>
      <c r="BY6" s="5">
        <f t="shared" si="49"/>
        <v>0</v>
      </c>
      <c r="BZ6" s="5">
        <f t="shared" si="50"/>
        <v>6.7166666666666668</v>
      </c>
      <c r="CA6" s="5">
        <f t="shared" si="51"/>
        <v>0.5</v>
      </c>
      <c r="CB6" s="5">
        <f t="shared" si="52"/>
        <v>4.4999999999999982</v>
      </c>
      <c r="CC6" s="5">
        <f t="shared" si="53"/>
        <v>1.7166666666666686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4</v>
      </c>
    </row>
    <row r="7" spans="1:89" ht="47" customHeight="1">
      <c r="A7" s="74">
        <f t="shared" si="0"/>
        <v>10375</v>
      </c>
      <c r="B7" s="81" t="s">
        <v>959</v>
      </c>
      <c r="C7" s="100" t="s">
        <v>1438</v>
      </c>
      <c r="D7" s="76"/>
      <c r="E7" s="76"/>
      <c r="F7" s="91">
        <f t="shared" si="9"/>
        <v>0</v>
      </c>
      <c r="G7" s="76"/>
      <c r="H7" s="76"/>
      <c r="I7" s="91">
        <f t="shared" si="10"/>
        <v>0</v>
      </c>
      <c r="J7" s="76"/>
      <c r="K7" s="76"/>
      <c r="L7" s="91">
        <f t="shared" si="11"/>
        <v>0</v>
      </c>
      <c r="M7" s="76"/>
      <c r="N7" s="76"/>
      <c r="O7" s="91">
        <f t="shared" si="12"/>
        <v>0</v>
      </c>
      <c r="P7" s="76"/>
      <c r="Q7" s="75"/>
      <c r="R7" s="91">
        <f t="shared" si="13"/>
        <v>0</v>
      </c>
      <c r="S7" s="76"/>
      <c r="T7" s="75"/>
      <c r="U7" s="91">
        <f t="shared" si="14"/>
        <v>0</v>
      </c>
      <c r="V7" s="75">
        <v>0.375</v>
      </c>
      <c r="W7" s="75">
        <v>0.70833333333333337</v>
      </c>
      <c r="X7" s="91">
        <f t="shared" si="15"/>
        <v>7.5</v>
      </c>
      <c r="Y7" s="91"/>
      <c r="Z7" s="91"/>
      <c r="AA7" s="91"/>
      <c r="AB7" s="95">
        <f t="shared" si="16"/>
        <v>7.5</v>
      </c>
      <c r="AC7" s="92"/>
      <c r="AD7" s="78"/>
      <c r="AE7" s="93">
        <f t="shared" si="17"/>
        <v>0</v>
      </c>
      <c r="AF7" s="77"/>
      <c r="AG7" s="93">
        <f t="shared" si="18"/>
        <v>0</v>
      </c>
      <c r="AH7" s="78"/>
      <c r="AI7" s="93">
        <f t="shared" si="19"/>
        <v>7.5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1</v>
      </c>
      <c r="AQ7" s="77"/>
      <c r="AR7" s="77"/>
      <c r="AS7" s="77"/>
      <c r="AT7" s="63">
        <f t="shared" si="24"/>
        <v>7.5</v>
      </c>
      <c r="AU7" s="78"/>
      <c r="AV7" s="5"/>
      <c r="AW7" s="5"/>
      <c r="AX7" s="5"/>
      <c r="AY7" s="5"/>
      <c r="AZ7" s="24">
        <f>VLOOKUP(C7,Employees!D:I,6,FALSE)</f>
        <v>10375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8</v>
      </c>
      <c r="CF7" s="5">
        <f t="shared" si="56"/>
        <v>0.5</v>
      </c>
      <c r="CG7" s="5">
        <f t="shared" si="57"/>
        <v>7.5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>
        <f t="shared" si="0"/>
        <v>10388</v>
      </c>
      <c r="B8" s="81" t="s">
        <v>959</v>
      </c>
      <c r="C8" s="101" t="s">
        <v>1068</v>
      </c>
      <c r="D8" s="76"/>
      <c r="E8" s="76"/>
      <c r="F8" s="91">
        <f t="shared" si="9"/>
        <v>0</v>
      </c>
      <c r="G8" s="76"/>
      <c r="H8" s="75"/>
      <c r="I8" s="91">
        <f t="shared" si="10"/>
        <v>0</v>
      </c>
      <c r="J8" s="76"/>
      <c r="K8" s="75"/>
      <c r="L8" s="91">
        <f t="shared" si="11"/>
        <v>0</v>
      </c>
      <c r="M8" s="76"/>
      <c r="N8" s="75"/>
      <c r="O8" s="91">
        <f t="shared" si="12"/>
        <v>0</v>
      </c>
      <c r="P8" s="76">
        <v>0.41666666666666669</v>
      </c>
      <c r="Q8" s="76">
        <v>0.70833333333333337</v>
      </c>
      <c r="R8" s="91">
        <f t="shared" si="13"/>
        <v>6.5</v>
      </c>
      <c r="S8" s="76">
        <v>0.625</v>
      </c>
      <c r="T8" s="76">
        <v>0.98819444444444449</v>
      </c>
      <c r="U8" s="91">
        <f t="shared" si="14"/>
        <v>8.2166666666666686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14.716666666666669</v>
      </c>
      <c r="AC8" s="92"/>
      <c r="AD8" s="78"/>
      <c r="AE8" s="93">
        <f t="shared" si="17"/>
        <v>6.5</v>
      </c>
      <c r="AF8" s="77"/>
      <c r="AG8" s="93">
        <f t="shared" si="18"/>
        <v>8.2166666666666686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2</v>
      </c>
      <c r="AQ8" s="77"/>
      <c r="AR8" s="77"/>
      <c r="AS8" s="77"/>
      <c r="AT8" s="63">
        <f t="shared" si="24"/>
        <v>14.716666666666669</v>
      </c>
      <c r="AU8" s="78"/>
      <c r="AV8" s="5"/>
      <c r="AW8" s="5"/>
      <c r="AX8" s="5"/>
      <c r="AY8" s="5"/>
      <c r="AZ8" s="24">
        <f>VLOOKUP(C8,Employees!D:I,6,FALSE)</f>
        <v>10388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7</v>
      </c>
      <c r="BV8" s="5">
        <f t="shared" si="46"/>
        <v>0.5</v>
      </c>
      <c r="BW8" s="5">
        <f t="shared" si="47"/>
        <v>6.5</v>
      </c>
      <c r="BX8" s="5">
        <f t="shared" si="48"/>
        <v>0</v>
      </c>
      <c r="BY8" s="5">
        <f t="shared" si="49"/>
        <v>0</v>
      </c>
      <c r="BZ8" s="5">
        <f t="shared" si="50"/>
        <v>8.7166666666666686</v>
      </c>
      <c r="CA8" s="5">
        <f t="shared" si="51"/>
        <v>0.5</v>
      </c>
      <c r="CB8" s="5">
        <f t="shared" si="52"/>
        <v>6.5</v>
      </c>
      <c r="CC8" s="5">
        <f t="shared" si="53"/>
        <v>1.7166666666666686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2</v>
      </c>
    </row>
    <row r="9" spans="1:89" ht="47" customHeight="1">
      <c r="A9" s="74">
        <f t="shared" si="0"/>
        <v>10025</v>
      </c>
      <c r="B9" s="81" t="s">
        <v>959</v>
      </c>
      <c r="C9" s="101" t="s">
        <v>375</v>
      </c>
      <c r="D9" s="76"/>
      <c r="E9" s="75"/>
      <c r="F9" s="91">
        <f t="shared" si="9"/>
        <v>0</v>
      </c>
      <c r="G9" s="75"/>
      <c r="H9" s="76"/>
      <c r="I9" s="91">
        <f t="shared" si="10"/>
        <v>0</v>
      </c>
      <c r="J9" s="76">
        <v>0.70833333333333337</v>
      </c>
      <c r="K9" s="76">
        <v>0.97222222222222221</v>
      </c>
      <c r="L9" s="91">
        <f t="shared" si="11"/>
        <v>5.8333333333333321</v>
      </c>
      <c r="M9" s="75"/>
      <c r="N9" s="75"/>
      <c r="O9" s="91">
        <f t="shared" si="12"/>
        <v>0</v>
      </c>
      <c r="P9" s="76"/>
      <c r="Q9" s="75"/>
      <c r="R9" s="91">
        <f t="shared" si="13"/>
        <v>0</v>
      </c>
      <c r="S9" s="76"/>
      <c r="T9" s="75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5.8333333333333321</v>
      </c>
      <c r="AC9" s="92"/>
      <c r="AD9" s="78">
        <v>0.5</v>
      </c>
      <c r="AE9" s="93">
        <f t="shared" si="17"/>
        <v>4.9999999999999982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1.3333333333333339</v>
      </c>
      <c r="AN9" s="77"/>
      <c r="AO9" s="93">
        <f t="shared" si="22"/>
        <v>0</v>
      </c>
      <c r="AP9" s="94">
        <f t="shared" si="23"/>
        <v>1</v>
      </c>
      <c r="AQ9" s="77"/>
      <c r="AR9" s="77"/>
      <c r="AS9" s="77"/>
      <c r="AT9" s="63">
        <f t="shared" si="24"/>
        <v>6.3333333333333321</v>
      </c>
      <c r="AU9" s="78"/>
      <c r="AV9" s="5"/>
      <c r="AW9" s="5"/>
      <c r="AX9" s="5"/>
      <c r="AY9" s="5"/>
      <c r="AZ9" s="24">
        <f>VLOOKUP(C9,Employees!D:I,6,FALSE)</f>
        <v>10025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6.3333333333333321</v>
      </c>
      <c r="BL9" s="5">
        <f t="shared" si="36"/>
        <v>0.5</v>
      </c>
      <c r="BM9" s="5">
        <f t="shared" si="37"/>
        <v>4.4999999999999982</v>
      </c>
      <c r="BN9" s="5">
        <f t="shared" si="38"/>
        <v>1.3333333333333339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1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1">
        <f t="shared" si="9"/>
        <v>0</v>
      </c>
      <c r="G10" s="75"/>
      <c r="H10" s="76"/>
      <c r="I10" s="91">
        <f t="shared" si="10"/>
        <v>0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6"/>
      <c r="Q10" s="75"/>
      <c r="R10" s="91">
        <f t="shared" si="13"/>
        <v>0</v>
      </c>
      <c r="S10" s="75"/>
      <c r="T10" s="75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0</v>
      </c>
      <c r="AC10" s="92"/>
      <c r="AD10" s="78"/>
      <c r="AE10" s="93">
        <f t="shared" si="17"/>
        <v>0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5"/>
      <c r="N11" s="75"/>
      <c r="O11" s="91">
        <f t="shared" si="12"/>
        <v>0</v>
      </c>
      <c r="P11" s="76"/>
      <c r="Q11" s="75"/>
      <c r="R11" s="91">
        <f t="shared" si="13"/>
        <v>0</v>
      </c>
      <c r="S11" s="76"/>
      <c r="T11" s="75"/>
      <c r="U11" s="91">
        <f t="shared" si="14"/>
        <v>0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0</v>
      </c>
      <c r="AC11" s="92"/>
      <c r="AD11" s="78"/>
      <c r="AE11" s="93">
        <f t="shared" si="17"/>
        <v>0</v>
      </c>
      <c r="AF11" s="77"/>
      <c r="AG11" s="93">
        <f t="shared" si="18"/>
        <v>0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5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6"/>
      <c r="Q13" s="75"/>
      <c r="R13" s="91">
        <f t="shared" si="13"/>
        <v>0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0</v>
      </c>
      <c r="AC13" s="92"/>
      <c r="AD13" s="77"/>
      <c r="AE13" s="93">
        <f t="shared" si="17"/>
        <v>0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AI1" zoomScale="120" zoomScaleNormal="120" workbookViewId="0">
      <selection activeCell="AU1" sqref="AU1:AU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10015</v>
      </c>
      <c r="B2" s="28">
        <f ca="1">IF(A2=0,"",_xlfn.NUMBERVALUE(A2))</f>
        <v>10015</v>
      </c>
      <c r="C2" s="28" t="str">
        <f ca="1">IF($A2=0,"",VLOOKUP($B2,Employees!$A:$G,2,FALSE))</f>
        <v>Haoxi</v>
      </c>
      <c r="D2" s="28" t="str">
        <f ca="1">IF($A2=0,"",VLOOKUP($B2,Employees!$A:$G,3,FALSE))</f>
        <v>Lu</v>
      </c>
      <c r="E2" s="26">
        <f ca="1">IF($A2=0,"",VLOOKUP($B2,Employees!$A:$G,5,FALSE))</f>
        <v>37913</v>
      </c>
      <c r="F2" s="13">
        <f ca="1">IF($E2="","",ROUNDDOWN(YEARFRAC($E2, 'Week 1 Roster'!$D$1-1, 1), 0))</f>
        <v>22</v>
      </c>
      <c r="G2" s="13">
        <f ca="1">IF($E2="","",ROUNDDOWN(YEARFRAC($E2, 'Week 1 Roster'!$D$1+14, 1), 0))</f>
        <v>22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Ribbon</v>
      </c>
      <c r="L2" s="13" t="str">
        <f ca="1">IF($A2=0,"",VLOOKUP(K2,Stores!A:B,2,0))</f>
        <v>Winlada</v>
      </c>
      <c r="M2" s="14">
        <f t="shared" ref="M2" ca="1" si="0">Y2+AK2</f>
        <v>43.5</v>
      </c>
      <c r="N2" s="14">
        <f t="shared" ref="N2" ca="1" si="1">Z2+AL2</f>
        <v>10.75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7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54.25</v>
      </c>
      <c r="Y2" s="17">
        <f ca="1">IF($A2=0,0,SUMIF('Week 1 Roster'!$AZ:$AZ,$B2,'Week 1 Roster'!$AE:$AE))</f>
        <v>28.5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28.5</v>
      </c>
      <c r="AK2" s="17">
        <f ca="1">IF($A2=0,0,SUMIF('Week 2 Roster'!$AZ:$AZ,$B2,'Week 2 Roster'!$AE:$AE))</f>
        <v>15</v>
      </c>
      <c r="AL2" s="17">
        <f ca="1">IF($A2=0,0,SUMIF('Week 2 Roster'!$AZ:$AZ,$B2,'Week 2 Roster'!$AG:$AG))</f>
        <v>10.75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25.75</v>
      </c>
      <c r="AV2" s="17"/>
      <c r="AW2" s="25">
        <f>'Week 1 Roster'!A2</f>
        <v>10015</v>
      </c>
      <c r="AX2" s="25">
        <f>'Week 2 Roster'!A2</f>
        <v>10015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10381</v>
      </c>
      <c r="B3" s="28">
        <f t="shared" ref="B3:B66" ca="1" si="9">IF(A3=0,"",_xlfn.NUMBERVALUE(A3))</f>
        <v>10381</v>
      </c>
      <c r="C3" s="28" t="str">
        <f ca="1">IF($A3=0,"",VLOOKUP($B3,Employees!$A:$G,2,FALSE))</f>
        <v>Hoai My Ngoc</v>
      </c>
      <c r="D3" s="28" t="str">
        <f ca="1">IF($A3=0,"",VLOOKUP($B3,Employees!$A:$G,3,FALSE))</f>
        <v>Le</v>
      </c>
      <c r="E3" s="26">
        <f ca="1">IF($A3=0,"",VLOOKUP($B3,Employees!$A:$G,5,FALSE))</f>
        <v>38241</v>
      </c>
      <c r="F3" s="13">
        <f ca="1">IF($E3="","",ROUNDDOWN(YEARFRAC($E3, 'Week 1 Roster'!$D$1-1, 1), 0))</f>
        <v>21</v>
      </c>
      <c r="G3" s="13">
        <f ca="1">IF($E3="","",ROUNDDOWN(YEARFRAC($E3, 'Week 1 Roster'!$D$1+14, 1), 0))</f>
        <v>21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Ribbon</v>
      </c>
      <c r="L3" s="13" t="str">
        <f ca="1">IF($A3=0,"",VLOOKUP(K3,Stores!A:B,2,0))</f>
        <v>Winlada</v>
      </c>
      <c r="M3" s="14">
        <f t="shared" ref="M3:M66" ca="1" si="11">Y3+AK3</f>
        <v>98.88</v>
      </c>
      <c r="N3" s="14">
        <f t="shared" ref="N3:N66" ca="1" si="12">Z3+AL3</f>
        <v>9</v>
      </c>
      <c r="O3" s="14">
        <f t="shared" ref="O3:O66" ca="1" si="13">AA3+AM3</f>
        <v>10.999999999999998</v>
      </c>
      <c r="P3" s="14">
        <f t="shared" ref="P3:P66" ca="1" si="14">AB3+AN3</f>
        <v>0</v>
      </c>
      <c r="Q3" s="14">
        <f t="shared" ref="Q3:Q66" ca="1" si="15">AC3+AO3</f>
        <v>2.6833333333333345</v>
      </c>
      <c r="R3" s="14">
        <f t="shared" ref="R3:R66" ca="1" si="16">AD3+AP3</f>
        <v>0</v>
      </c>
      <c r="S3" s="28">
        <f t="shared" ref="S3:S66" ca="1" si="17">AE3+AQ3</f>
        <v>5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121.56333333333333</v>
      </c>
      <c r="Y3" s="17">
        <f ca="1">IF($A3=0,0,SUMIF('Week 1 Roster'!$AZ:$AZ,$B3,'Week 1 Roster'!$AE:$AE))</f>
        <v>91.88</v>
      </c>
      <c r="Z3" s="17">
        <f ca="1">IF($A3=0,0,SUMIF('Week 1 Roster'!$AZ:$AZ,$B3,'Week 1 Roster'!$AG:$AG))</f>
        <v>9</v>
      </c>
      <c r="AA3" s="17">
        <f ca="1">IF($A3=0,0,SUMIF('Week 1 Roster'!$AZ:$AZ,$B3,'Week 1 Roster'!$AI:$AI))</f>
        <v>2.5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2.6833333333333345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3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106.06333333333333</v>
      </c>
      <c r="AK3" s="17">
        <f ca="1">IF($A3=0,0,SUMIF('Week 2 Roster'!$AZ:$AZ,$B3,'Week 2 Roster'!$AE:$AE))</f>
        <v>7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8.4999999999999982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2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15.499999999999998</v>
      </c>
      <c r="AV3" s="17"/>
      <c r="AW3" s="25">
        <f>'Week 1 Roster'!A3</f>
        <v>10381</v>
      </c>
      <c r="AX3" s="25">
        <f>'Week 2 Roster'!A3</f>
        <v>10381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10010</v>
      </c>
      <c r="B4" s="28">
        <f t="shared" ca="1" si="9"/>
        <v>10010</v>
      </c>
      <c r="C4" s="28" t="str">
        <f ca="1">IF($A4=0,"",VLOOKUP($B4,Employees!$A:$G,2,FALSE))</f>
        <v>Erica Fong-de</v>
      </c>
      <c r="D4" s="28" t="str">
        <f ca="1">IF($A4=0,"",VLOOKUP($B4,Employees!$A:$G,3,FALSE))</f>
        <v>Jong</v>
      </c>
      <c r="E4" s="26">
        <f ca="1">IF($A4=0,"",VLOOKUP($B4,Employees!$A:$G,5,FALSE))</f>
        <v>36628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Ribbon</v>
      </c>
      <c r="L4" s="13" t="str">
        <f ca="1">IF($A4=0,"",VLOOKUP(K4,Stores!A:B,2,0))</f>
        <v>Winlada</v>
      </c>
      <c r="M4" s="14">
        <f t="shared" ca="1" si="11"/>
        <v>0</v>
      </c>
      <c r="N4" s="14">
        <f t="shared" ca="1" si="12"/>
        <v>16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16</v>
      </c>
      <c r="Y4" s="17">
        <f ca="1">IF($A4=0,0,SUMIF('Week 1 Roster'!$AZ:$AZ,$B4,'Week 1 Roster'!$AE:$AE))</f>
        <v>0</v>
      </c>
      <c r="Z4" s="17">
        <f ca="1">IF($A4=0,0,SUMIF('Week 1 Roster'!$AZ:$AZ,$B4,'Week 1 Roster'!$AG:$AG))</f>
        <v>8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8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8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8</v>
      </c>
      <c r="AV4" s="17"/>
      <c r="AW4" s="25">
        <f>'Week 1 Roster'!A4</f>
        <v>10010</v>
      </c>
      <c r="AX4" s="25">
        <f>'Week 2 Roster'!A4</f>
        <v>10010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10337</v>
      </c>
      <c r="B5" s="28">
        <f t="shared" ca="1" si="9"/>
        <v>10337</v>
      </c>
      <c r="C5" s="28" t="str">
        <f ca="1">IF($A5=0,"",VLOOKUP($B5,Employees!$A:$G,2,FALSE))</f>
        <v>Ngoc My</v>
      </c>
      <c r="D5" s="28" t="str">
        <f ca="1">IF($A5=0,"",VLOOKUP($B5,Employees!$A:$G,3,FALSE))</f>
        <v>Nguyen</v>
      </c>
      <c r="E5" s="26">
        <f ca="1">IF($A5=0,"",VLOOKUP($B5,Employees!$A:$G,5,FALSE))</f>
        <v>37666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Ribbon</v>
      </c>
      <c r="L5" s="13" t="str">
        <f ca="1">IF($A5=0,"",VLOOKUP(K5,Stores!A:B,2,0))</f>
        <v>Winlada</v>
      </c>
      <c r="M5" s="14">
        <f t="shared" ca="1" si="11"/>
        <v>33</v>
      </c>
      <c r="N5" s="14">
        <f t="shared" ca="1" si="12"/>
        <v>0</v>
      </c>
      <c r="O5" s="14">
        <f t="shared" ca="1" si="13"/>
        <v>9</v>
      </c>
      <c r="P5" s="14">
        <f t="shared" ca="1" si="14"/>
        <v>0</v>
      </c>
      <c r="Q5" s="14">
        <f t="shared" ca="1" si="15"/>
        <v>3.7500000000000027</v>
      </c>
      <c r="R5" s="14">
        <f t="shared" ca="1" si="16"/>
        <v>0</v>
      </c>
      <c r="S5" s="28">
        <f t="shared" ca="1" si="17"/>
        <v>6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45.75</v>
      </c>
      <c r="Y5" s="17">
        <f ca="1">IF($A5=0,0,SUMIF('Week 1 Roster'!$AZ:$AZ,$B5,'Week 1 Roster'!$AE:$AE))</f>
        <v>13.25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1.116666666666668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14.366666666666667</v>
      </c>
      <c r="AK5" s="17">
        <f ca="1">IF($A5=0,0,SUMIF('Week 2 Roster'!$AZ:$AZ,$B5,'Week 2 Roster'!$AE:$AE))</f>
        <v>19.75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9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2.6333333333333346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4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31.383333333333333</v>
      </c>
      <c r="AV5" s="17"/>
      <c r="AW5" s="25">
        <f>'Week 1 Roster'!A5</f>
        <v>10337</v>
      </c>
      <c r="AX5" s="25">
        <f>'Week 2 Roster'!A5</f>
        <v>10337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10338</v>
      </c>
      <c r="B6" s="28">
        <f t="shared" ca="1" si="9"/>
        <v>10338</v>
      </c>
      <c r="C6" s="28" t="str">
        <f ca="1">IF($A6=0,"",VLOOKUP($B6,Employees!$A:$G,2,FALSE))</f>
        <v>Xin</v>
      </c>
      <c r="D6" s="28" t="str">
        <f ca="1">IF($A6=0,"",VLOOKUP($B6,Employees!$A:$G,3,FALSE))</f>
        <v>Xiao</v>
      </c>
      <c r="E6" s="26">
        <f ca="1">IF($A6=0,"",VLOOKUP($B6,Employees!$A:$G,5,FALSE))</f>
        <v>36592</v>
      </c>
      <c r="F6" s="13">
        <f ca="1">IF($E6="","",ROUNDDOWN(YEARFRAC($E6, 'Week 1 Roster'!$D$1-1, 1), 0))</f>
        <v>25</v>
      </c>
      <c r="G6" s="13">
        <f ca="1">IF($E6="","",ROUNDDOWN(YEARFRAC($E6, 'Week 1 Roster'!$D$1+14, 1), 0))</f>
        <v>25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Ribbon</v>
      </c>
      <c r="L6" s="13" t="str">
        <f ca="1">IF($A6=0,"",VLOOKUP(K6,Stores!A:B,2,0))</f>
        <v>Winlada</v>
      </c>
      <c r="M6" s="14">
        <f t="shared" ca="1" si="11"/>
        <v>23.999999999999993</v>
      </c>
      <c r="N6" s="14">
        <f t="shared" ca="1" si="12"/>
        <v>6.2166666666666668</v>
      </c>
      <c r="O6" s="14">
        <f t="shared" ca="1" si="13"/>
        <v>10</v>
      </c>
      <c r="P6" s="14">
        <f t="shared" ca="1" si="14"/>
        <v>0</v>
      </c>
      <c r="Q6" s="14">
        <f t="shared" ca="1" si="15"/>
        <v>7.400000000000003</v>
      </c>
      <c r="R6" s="14">
        <f t="shared" ca="1" si="16"/>
        <v>0</v>
      </c>
      <c r="S6" s="28">
        <f t="shared" ca="1" si="17"/>
        <v>7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47.616666666666667</v>
      </c>
      <c r="Y6" s="17">
        <f ca="1">IF($A6=0,0,SUMIF('Week 1 Roster'!$AZ:$AZ,$B6,'Week 1 Roster'!$AE:$AE))</f>
        <v>9.4999999999999964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10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2.7500000000000009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3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22.249999999999996</v>
      </c>
      <c r="AK6" s="17">
        <f ca="1">IF($A6=0,0,SUMIF('Week 2 Roster'!$AZ:$AZ,$B6,'Week 2 Roster'!$AE:$AE))</f>
        <v>14.499999999999995</v>
      </c>
      <c r="AL6" s="17">
        <f ca="1">IF($A6=0,0,SUMIF('Week 2 Roster'!$AZ:$AZ,$B6,'Week 2 Roster'!$AG:$AG))</f>
        <v>6.2166666666666668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4.6500000000000021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25.366666666666664</v>
      </c>
      <c r="AV6" s="17"/>
      <c r="AW6" s="25">
        <f>'Week 1 Roster'!A6</f>
        <v>10338</v>
      </c>
      <c r="AX6" s="25">
        <f>'Week 2 Roster'!A6</f>
        <v>10338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10375</v>
      </c>
      <c r="B7" s="28">
        <f t="shared" ca="1" si="9"/>
        <v>10375</v>
      </c>
      <c r="C7" s="28" t="str">
        <f ca="1">IF($A7=0,"",VLOOKUP($B7,Employees!$A:$G,2,FALSE))</f>
        <v>Linh Nga</v>
      </c>
      <c r="D7" s="28" t="str">
        <f ca="1">IF($A7=0,"",VLOOKUP($B7,Employees!$A:$G,3,FALSE))</f>
        <v>Do</v>
      </c>
      <c r="E7" s="26">
        <f ca="1">IF($A7=0,"",VLOOKUP($B7,Employees!$A:$G,5,FALSE))</f>
        <v>37310</v>
      </c>
      <c r="F7" s="13">
        <f ca="1">IF($E7="","",ROUNDDOWN(YEARFRAC($E7, 'Week 1 Roster'!$D$1-1, 1), 0))</f>
        <v>23</v>
      </c>
      <c r="G7" s="13">
        <f ca="1">IF($E7="","",ROUNDDOWN(YEARFRAC($E7, 'Week 1 Roster'!$D$1+14, 1), 0))</f>
        <v>23</v>
      </c>
      <c r="H7" s="13" t="b">
        <f t="shared" ca="1" si="10"/>
        <v>0</v>
      </c>
      <c r="I7" s="13">
        <f ca="1">IF($A7=0,"",VLOOKUP($B7,Employees!$A:$G,6,FALSE))</f>
        <v>48</v>
      </c>
      <c r="J7" s="13" t="str">
        <f ca="1">IF($A7=0,"",VLOOKUP($B7,Employees!$A:$G,7,FALSE))</f>
        <v>SS</v>
      </c>
      <c r="K7" s="13" t="str">
        <f ca="1">IF($A7=0,"",IF(ISNA(VLOOKUP(A7,'Week 1 Roster'!A:C,2,0)),VLOOKUP(A7,'Week 2 Roster'!A:C,2,0),VLOOKUP(A7,'Week 1 Roster'!A:C,2,0)))</f>
        <v>Ribbon</v>
      </c>
      <c r="L7" s="13" t="str">
        <f ca="1">IF($A7=0,"",VLOOKUP(K7,Stores!A:B,2,0))</f>
        <v>Winlada</v>
      </c>
      <c r="M7" s="14">
        <f t="shared" ca="1" si="11"/>
        <v>32.4</v>
      </c>
      <c r="N7" s="14">
        <f t="shared" ca="1" si="12"/>
        <v>5.6999999999999993</v>
      </c>
      <c r="O7" s="14">
        <f t="shared" ca="1" si="13"/>
        <v>11.866666666666667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3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49.966666666666661</v>
      </c>
      <c r="Y7" s="17">
        <f ca="1">IF($A7=0,0,SUMIF('Week 1 Roster'!$AZ:$AZ,$B7,'Week 1 Roster'!$AE:$AE))</f>
        <v>32.4</v>
      </c>
      <c r="Z7" s="17">
        <f ca="1">IF($A7=0,0,SUMIF('Week 1 Roster'!$AZ:$AZ,$B7,'Week 1 Roster'!$AG:$AG))</f>
        <v>5.6999999999999993</v>
      </c>
      <c r="AA7" s="17">
        <f ca="1">IF($A7=0,0,SUMIF('Week 1 Roster'!$AZ:$AZ,$B7,'Week 1 Roster'!$AI:$AI))</f>
        <v>4.3666666666666671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42.466666666666661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7.5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1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7.5</v>
      </c>
      <c r="AV7" s="17"/>
      <c r="AW7" s="25">
        <f>'Week 1 Roster'!A7</f>
        <v>10375</v>
      </c>
      <c r="AX7" s="25">
        <f>'Week 2 Roster'!A7</f>
        <v>10375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10388</v>
      </c>
      <c r="B8" s="28">
        <f t="shared" ca="1" si="9"/>
        <v>10388</v>
      </c>
      <c r="C8" s="28" t="str">
        <f ca="1">IF($A8=0,"",VLOOKUP($B8,Employees!$A:$G,2,FALSE))</f>
        <v>Jordan</v>
      </c>
      <c r="D8" s="28" t="str">
        <f ca="1">IF($A8=0,"",VLOOKUP($B8,Employees!$A:$G,3,FALSE))</f>
        <v>Tan</v>
      </c>
      <c r="E8" s="26">
        <f ca="1">IF($A8=0,"",VLOOKUP($B8,Employees!$A:$G,5,FALSE))</f>
        <v>37824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SS</v>
      </c>
      <c r="K8" s="13" t="str">
        <f ca="1">IF($A8=0,"",IF(ISNA(VLOOKUP(A8,'Week 1 Roster'!A:C,2,0)),VLOOKUP(A8,'Week 2 Roster'!A:C,2,0),VLOOKUP(A8,'Week 1 Roster'!A:C,2,0)))</f>
        <v>Ribbon</v>
      </c>
      <c r="L8" s="13" t="str">
        <f ca="1">IF($A8=0,"",VLOOKUP(K8,Stores!A:B,2,0))</f>
        <v>Winlada</v>
      </c>
      <c r="M8" s="14">
        <f t="shared" ca="1" si="11"/>
        <v>13.316666666666665</v>
      </c>
      <c r="N8" s="14">
        <f t="shared" ca="1" si="12"/>
        <v>15.716666666666669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4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29.033333333333331</v>
      </c>
      <c r="Y8" s="17">
        <f ca="1">IF($A8=0,0,SUMIF('Week 1 Roster'!$AZ:$AZ,$B8,'Week 1 Roster'!$AE:$AE))</f>
        <v>6.8166666666666647</v>
      </c>
      <c r="Z8" s="17">
        <f ca="1">IF($A8=0,0,SUMIF('Week 1 Roster'!$AZ:$AZ,$B8,'Week 1 Roster'!$AG:$AG))</f>
        <v>7.5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14.316666666666665</v>
      </c>
      <c r="AK8" s="17">
        <f ca="1">IF($A8=0,0,SUMIF('Week 2 Roster'!$AZ:$AZ,$B8,'Week 2 Roster'!$AE:$AE))</f>
        <v>6.5</v>
      </c>
      <c r="AL8" s="17">
        <f ca="1">IF($A8=0,0,SUMIF('Week 2 Roster'!$AZ:$AZ,$B8,'Week 2 Roster'!$AG:$AG))</f>
        <v>8.2166666666666686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2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14.716666666666669</v>
      </c>
      <c r="AV8" s="17"/>
      <c r="AW8" s="25">
        <f>'Week 1 Roster'!A8</f>
        <v>10388</v>
      </c>
      <c r="AX8" s="25">
        <f>'Week 2 Roster'!A8</f>
        <v>10388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10025</v>
      </c>
      <c r="B9" s="28">
        <f t="shared" ca="1" si="9"/>
        <v>10025</v>
      </c>
      <c r="C9" s="28" t="str">
        <f ca="1">IF($A9=0,"",VLOOKUP($B9,Employees!$A:$G,2,FALSE))</f>
        <v>LINGYI</v>
      </c>
      <c r="D9" s="28" t="str">
        <f ca="1">IF($A9=0,"",VLOOKUP($B9,Employees!$A:$G,3,FALSE))</f>
        <v>LIU</v>
      </c>
      <c r="E9" s="26">
        <f ca="1">IF($A9=0,"",VLOOKUP($B9,Employees!$A:$G,5,FALSE))</f>
        <v>37388</v>
      </c>
      <c r="F9" s="13">
        <f ca="1">IF($E9="","",ROUNDDOWN(YEARFRAC($E9, 'Week 1 Roster'!$D$1-1, 1), 0))</f>
        <v>23</v>
      </c>
      <c r="G9" s="13">
        <f ca="1">IF($E9="","",ROUNDDOWN(YEARFRAC($E9, 'Week 1 Roster'!$D$1+14, 1), 0))</f>
        <v>23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GCM</v>
      </c>
      <c r="K9" s="13" t="str">
        <f ca="1">IF($A9=0,"",IF(ISNA(VLOOKUP(A9,'Week 1 Roster'!A:C,2,0)),VLOOKUP(A9,'Week 2 Roster'!A:C,2,0),VLOOKUP(A9,'Week 1 Roster'!A:C,2,0)))</f>
        <v>Ribbon</v>
      </c>
      <c r="L9" s="13" t="str">
        <f ca="1">IF($A9=0,"",VLOOKUP(K9,Stores!A:B,2,0))</f>
        <v>Winlada</v>
      </c>
      <c r="M9" s="14">
        <f t="shared" ca="1" si="11"/>
        <v>9.4999999999999964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2.5666666666666682</v>
      </c>
      <c r="R9" s="14">
        <f t="shared" ca="1" si="16"/>
        <v>0</v>
      </c>
      <c r="S9" s="28">
        <f t="shared" ca="1" si="17"/>
        <v>2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12.066666666666665</v>
      </c>
      <c r="Y9" s="17">
        <f ca="1">IF($A9=0,0,SUMIF('Week 1 Roster'!$AZ:$AZ,$B9,'Week 1 Roster'!$AE:$AE))</f>
        <v>4.4999999999999982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1.2333333333333343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1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5.7333333333333325</v>
      </c>
      <c r="AK9" s="17">
        <f ca="1">IF($A9=0,0,SUMIF('Week 2 Roster'!$AZ:$AZ,$B9,'Week 2 Roster'!$AE:$AE))</f>
        <v>4.9999999999999982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1.3333333333333339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1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6.3333333333333321</v>
      </c>
      <c r="AV9" s="17"/>
      <c r="AW9" s="25">
        <f>'Week 1 Roster'!A9</f>
        <v>10025</v>
      </c>
      <c r="AX9" s="25">
        <f>'Week 2 Roster'!A9</f>
        <v>10025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10382</v>
      </c>
      <c r="B10" s="28">
        <f t="shared" ca="1" si="9"/>
        <v>10382</v>
      </c>
      <c r="C10" s="28" t="str">
        <f ca="1">IF($A10=0,"",VLOOKUP($B10,Employees!$A:$G,2,FALSE))</f>
        <v>Vi Viet Hoang</v>
      </c>
      <c r="D10" s="28" t="str">
        <f ca="1">IF($A10=0,"",VLOOKUP($B10,Employees!$A:$G,3,FALSE))</f>
        <v>Ngo</v>
      </c>
      <c r="E10" s="26">
        <f ca="1">IF($A10=0,"",VLOOKUP($B10,Employees!$A:$G,5,FALSE))</f>
        <v>37906</v>
      </c>
      <c r="F10" s="13">
        <f ca="1">IF($E10="","",ROUNDDOWN(YEARFRAC($E10, 'Week 1 Roster'!$D$1-1, 1), 0))</f>
        <v>22</v>
      </c>
      <c r="G10" s="13">
        <f ca="1">IF($E10="","",ROUNDDOWN(YEARFRAC($E10, 'Week 1 Roster'!$D$1+14, 1), 0))</f>
        <v>22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Ribbon</v>
      </c>
      <c r="L10" s="13" t="str">
        <f ca="1">IF($A10=0,"",VLOOKUP(K10,Stores!A:B,2,0))</f>
        <v>Winlada</v>
      </c>
      <c r="M10" s="14">
        <f t="shared" ca="1" si="11"/>
        <v>0</v>
      </c>
      <c r="N10" s="14">
        <f t="shared" ca="1" si="12"/>
        <v>7.6999999999999993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1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7.6999999999999993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7.6999999999999993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1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7.6999999999999993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>
        <f>'Week 1 Roster'!A10</f>
        <v>10382</v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210420</v>
      </c>
      <c r="B11" s="28">
        <f t="shared" ca="1" si="9"/>
        <v>210420</v>
      </c>
      <c r="C11" s="28" t="str">
        <f ca="1">IF($A11=0,"",VLOOKUP($B11,Employees!$A:$G,2,FALSE))</f>
        <v>Yuxuan</v>
      </c>
      <c r="D11" s="28" t="str">
        <f ca="1">IF($A11=0,"",VLOOKUP($B11,Employees!$A:$G,3,FALSE))</f>
        <v>Wang</v>
      </c>
      <c r="E11" s="26">
        <f ca="1">IF($A11=0,"",VLOOKUP($B11,Employees!$A:$G,5,FALSE))</f>
        <v>37909</v>
      </c>
      <c r="F11" s="13">
        <f ca="1">IF($E11="","",ROUNDDOWN(YEARFRAC($E11, 'Week 1 Roster'!$D$1-1, 1), 0))</f>
        <v>22</v>
      </c>
      <c r="G11" s="13">
        <f ca="1">IF($E11="","",ROUNDDOWN(YEARFRAC($E11, 'Week 1 Roster'!$D$1+14, 1), 0))</f>
        <v>22</v>
      </c>
      <c r="H11" s="13" t="b">
        <f t="shared" ca="1" si="10"/>
        <v>0</v>
      </c>
      <c r="I11" s="13">
        <f ca="1">IF($A11=0,"",VLOOKUP($B11,Employees!$A:$G,6,FALSE))</f>
        <v>48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Ribbon</v>
      </c>
      <c r="L11" s="13" t="str">
        <f ca="1">IF($A11=0,"",VLOOKUP(K11,Stores!A:B,2,0))</f>
        <v>Winlada</v>
      </c>
      <c r="M11" s="14">
        <f t="shared" ca="1" si="11"/>
        <v>0</v>
      </c>
      <c r="N11" s="14">
        <f t="shared" ca="1" si="12"/>
        <v>5.5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1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5.5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5.5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1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5.5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210420</v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210413</v>
      </c>
      <c r="B12" s="28">
        <f t="shared" ca="1" si="9"/>
        <v>210413</v>
      </c>
      <c r="C12" s="28" t="str">
        <f ca="1">IF($A12=0,"",VLOOKUP($B12,Employees!$A:$G,2,FALSE))</f>
        <v>Minh Huy</v>
      </c>
      <c r="D12" s="28" t="str">
        <f ca="1">IF($A12=0,"",VLOOKUP($B12,Employees!$A:$G,3,FALSE))</f>
        <v>Loi</v>
      </c>
      <c r="E12" s="26">
        <f ca="1">IF($A12=0,"",VLOOKUP($B12,Employees!$A:$G,5,FALSE))</f>
        <v>38237</v>
      </c>
      <c r="F12" s="13">
        <f ca="1">IF($E12="","",ROUNDDOWN(YEARFRAC($E12, 'Week 1 Roster'!$D$1-1, 1), 0))</f>
        <v>21</v>
      </c>
      <c r="G12" s="13">
        <f ca="1">IF($E12="","",ROUNDDOWN(YEARFRAC($E12, 'Week 1 Roster'!$D$1+14, 1), 0))</f>
        <v>21</v>
      </c>
      <c r="H12" s="13" t="b">
        <f t="shared" ca="1" si="10"/>
        <v>0</v>
      </c>
      <c r="I12" s="13">
        <f ca="1">IF($A12=0,"",VLOOKUP($B12,Employees!$A:$G,6,FALSE))</f>
        <v>48</v>
      </c>
      <c r="J12" s="13" t="str">
        <f ca="1">IF($A12=0,"",VLOOKUP($B12,Employees!$A:$G,7,FALSE))</f>
        <v>SS</v>
      </c>
      <c r="K12" s="13" t="str">
        <f ca="1">IF($A12=0,"",IF(ISNA(VLOOKUP(A12,'Week 1 Roster'!A:C,2,0)),VLOOKUP(A12,'Week 2 Roster'!A:C,2,0),VLOOKUP(A12,'Week 1 Roster'!A:C,2,0)))</f>
        <v>Ribbon</v>
      </c>
      <c r="L12" s="13" t="str">
        <f ca="1">IF($A12=0,"",VLOOKUP(K12,Stores!A:B,2,0))</f>
        <v>Winlada</v>
      </c>
      <c r="M12" s="14">
        <f t="shared" ca="1" si="11"/>
        <v>0</v>
      </c>
      <c r="N12" s="14">
        <f t="shared" ca="1" si="12"/>
        <v>0</v>
      </c>
      <c r="O12" s="14">
        <f t="shared" ca="1" si="13"/>
        <v>2.9999999999999987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2.9999999999999987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2.9999999999999987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2.9999999999999987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210413</v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506" zoomScale="186" zoomScaleNormal="186" workbookViewId="0">
      <selection activeCell="D528" sqref="D528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2025-11-10T05:00:40Z</dcterms:modified>
</cp:coreProperties>
</file>