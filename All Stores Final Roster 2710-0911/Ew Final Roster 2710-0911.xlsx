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0B17F5F7-38E5-524A-8255-3BFAE6D232C9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CG10" i="18" l="1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O6" i="2" l="1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X1" i="2"/>
  <c r="CG1" i="2" s="1"/>
  <c r="A3" i="12" a="1"/>
  <c r="A3" i="12" l="1"/>
  <c r="T2" i="12"/>
  <c r="U2" i="12"/>
  <c r="S2" i="12"/>
  <c r="BY1" i="2"/>
  <c r="V2" i="12"/>
  <c r="G2" i="12"/>
  <c r="H2" i="12" s="1"/>
  <c r="K3" i="12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A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C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D3" i="12"/>
  <c r="AE3" i="12"/>
  <c r="J3" i="12"/>
  <c r="Z3" i="12"/>
  <c r="AG3" i="12"/>
  <c r="AH3" i="12"/>
  <c r="AS3" i="12"/>
  <c r="A4" i="12" a="1"/>
  <c r="AA2" i="12" l="1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I3" i="12"/>
  <c r="A4" i="12"/>
  <c r="K4" i="12" l="1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S8" i="12" l="1"/>
  <c r="Q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O10" i="12"/>
  <c r="AE10" i="12"/>
  <c r="AA10" i="12"/>
  <c r="AH10" i="12"/>
  <c r="Z10" i="12"/>
  <c r="E10" i="12"/>
  <c r="AN10" i="12"/>
  <c r="AC10" i="12"/>
  <c r="AS10" i="12"/>
  <c r="AQ10" i="12"/>
  <c r="AR10" i="12"/>
  <c r="AF10" i="12"/>
  <c r="AD10" i="12"/>
  <c r="AG10" i="12"/>
  <c r="D10" i="12"/>
  <c r="AL10" i="12"/>
  <c r="C10" i="12"/>
  <c r="AT10" i="12"/>
  <c r="J10" i="12"/>
  <c r="Y10" i="12"/>
  <c r="I10" i="12"/>
  <c r="AB10" i="12"/>
  <c r="AM10" i="12"/>
  <c r="AK10" i="12" l="1"/>
  <c r="M10" i="12" s="1"/>
  <c r="R10" i="12"/>
  <c r="Q10" i="12"/>
  <c r="T10" i="12"/>
  <c r="V10" i="12"/>
  <c r="S10" i="12"/>
  <c r="O10" i="12"/>
  <c r="AI10" i="12"/>
  <c r="U10" i="12"/>
  <c r="P10" i="12"/>
  <c r="N10" i="12"/>
  <c r="F10" i="12"/>
  <c r="G10" i="12"/>
  <c r="AU10" i="12" l="1"/>
  <c r="W10" i="12"/>
  <c r="H10" i="12"/>
  <c r="A11" i="12" a="1"/>
  <c r="A11" i="12" l="1"/>
  <c r="K11" i="12" l="1"/>
  <c r="B11" i="12"/>
  <c r="AR11" i="12" s="1"/>
  <c r="AK11" i="12"/>
  <c r="L11" i="12"/>
  <c r="AD11" i="12"/>
  <c r="C11" i="12"/>
  <c r="AP11" i="12"/>
  <c r="AB11" i="12"/>
  <c r="AT11" i="12"/>
  <c r="E11" i="12" l="1"/>
  <c r="G11" i="12" s="1"/>
  <c r="H11" i="12" s="1"/>
  <c r="AC11" i="12"/>
  <c r="Z11" i="12"/>
  <c r="AG11" i="12"/>
  <c r="Y11" i="12"/>
  <c r="AN11" i="12"/>
  <c r="P11" i="12" s="1"/>
  <c r="AL11" i="12"/>
  <c r="AA11" i="12"/>
  <c r="AO11" i="12"/>
  <c r="AQ11" i="12"/>
  <c r="J11" i="12"/>
  <c r="AF11" i="12"/>
  <c r="T11" i="12" s="1"/>
  <c r="I11" i="12"/>
  <c r="AH11" i="12"/>
  <c r="V11" i="12" s="1"/>
  <c r="AS11" i="12"/>
  <c r="D11" i="12"/>
  <c r="AM11" i="12"/>
  <c r="AE11" i="12"/>
  <c r="R11" i="12"/>
  <c r="A12" i="12" a="1"/>
  <c r="F11" i="12" l="1"/>
  <c r="Q11" i="12"/>
  <c r="S11" i="12"/>
  <c r="O11" i="12"/>
  <c r="AU11" i="12"/>
  <c r="AI11" i="12"/>
  <c r="U11" i="12"/>
  <c r="N11" i="12"/>
  <c r="M11" i="12"/>
  <c r="A12" i="12"/>
  <c r="W11" i="12" l="1"/>
  <c r="L12" i="12"/>
  <c r="C12" i="12"/>
  <c r="I12" i="12"/>
  <c r="AL12" i="12"/>
  <c r="E12" i="12"/>
  <c r="AF12" i="12"/>
  <c r="B12" i="12"/>
  <c r="AE12" i="12"/>
  <c r="AA12" i="12"/>
  <c r="AQ12" i="12"/>
  <c r="D12" i="12"/>
  <c r="J12" i="12"/>
  <c r="AK12" i="12"/>
  <c r="AS12" i="12"/>
  <c r="AT12" i="12"/>
  <c r="AO12" i="12"/>
  <c r="AN12" i="12"/>
  <c r="AH12" i="12"/>
  <c r="AB12" i="12"/>
  <c r="K12" i="12"/>
  <c r="AR12" i="12"/>
  <c r="AC12" i="12"/>
  <c r="Y12" i="12"/>
  <c r="Z12" i="12"/>
  <c r="AM12" i="12"/>
  <c r="AG12" i="12"/>
  <c r="AP12" i="12"/>
  <c r="AD12" i="12"/>
  <c r="T12" i="12" l="1"/>
  <c r="N12" i="12"/>
  <c r="R12" i="12"/>
  <c r="P12" i="12"/>
  <c r="S12" i="12"/>
  <c r="M12" i="12"/>
  <c r="AI12" i="12"/>
  <c r="AU12" i="12"/>
  <c r="H12" i="12"/>
  <c r="F12" i="12"/>
  <c r="G12" i="12"/>
  <c r="U12" i="12"/>
  <c r="Q12" i="12"/>
  <c r="V12" i="12"/>
  <c r="O12" i="12"/>
  <c r="A13" i="12" a="1"/>
  <c r="A13" i="12" l="1"/>
  <c r="W12" i="12"/>
  <c r="AN13" i="12" l="1"/>
  <c r="L13" i="12"/>
  <c r="K13" i="12"/>
  <c r="C13" i="12"/>
  <c r="AH13" i="12"/>
  <c r="AT13" i="12"/>
  <c r="AO13" i="12"/>
  <c r="AL13" i="12"/>
  <c r="I13" i="12"/>
  <c r="B13" i="12"/>
  <c r="AM13" i="12"/>
  <c r="AB13" i="12"/>
  <c r="D13" i="12"/>
  <c r="AD13" i="12"/>
  <c r="AF13" i="12"/>
  <c r="AP13" i="12"/>
  <c r="AR13" i="12"/>
  <c r="Y13" i="12"/>
  <c r="AA13" i="12"/>
  <c r="AE13" i="12"/>
  <c r="S13" i="12" s="1"/>
  <c r="E13" i="12"/>
  <c r="AG13" i="12"/>
  <c r="J13" i="12"/>
  <c r="Z13" i="12"/>
  <c r="AQ13" i="12"/>
  <c r="AS13" i="12"/>
  <c r="AK13" i="12"/>
  <c r="AC13" i="12"/>
  <c r="P13" i="12" l="1"/>
  <c r="T13" i="12"/>
  <c r="N13" i="12"/>
  <c r="U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K14" i="12"/>
  <c r="D14" i="12"/>
  <c r="AL14" i="12"/>
  <c r="AD14" i="12"/>
  <c r="AH14" i="12"/>
  <c r="AS14" i="12"/>
  <c r="AM14" i="12"/>
  <c r="J14" i="12"/>
  <c r="AN14" i="12"/>
  <c r="AA14" i="12"/>
  <c r="AP14" i="12"/>
  <c r="S14" i="12" l="1"/>
  <c r="N14" i="12"/>
  <c r="V14" i="12"/>
  <c r="P14" i="12"/>
  <c r="R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V15" i="12" s="1"/>
  <c r="AE15" i="12"/>
  <c r="AG15" i="12"/>
  <c r="Y15" i="12"/>
  <c r="L15" i="12"/>
  <c r="AM15" i="12"/>
  <c r="AB15" i="12"/>
  <c r="AO15" i="12"/>
  <c r="D15" i="12"/>
  <c r="K15" i="12"/>
  <c r="AS15" i="12"/>
  <c r="Z15" i="12"/>
  <c r="N15" i="12" s="1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O15" i="12" l="1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AM16" i="12"/>
  <c r="AD16" i="12"/>
  <c r="AK16" i="12"/>
  <c r="I16" i="12"/>
  <c r="AN16" i="12"/>
  <c r="E16" i="12"/>
  <c r="AH16" i="12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AS16" i="12"/>
  <c r="AB16" i="12"/>
  <c r="A17" i="12" a="1"/>
  <c r="P16" i="12" l="1"/>
  <c r="T16" i="12"/>
  <c r="R16" i="12"/>
  <c r="V16" i="12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AE17" i="12"/>
  <c r="L17" i="12"/>
  <c r="AG17" i="12"/>
  <c r="AM17" i="12"/>
  <c r="AR17" i="12"/>
  <c r="C17" i="12"/>
  <c r="AD17" i="12"/>
  <c r="AF17" i="12"/>
  <c r="AS17" i="12"/>
  <c r="AA17" i="12"/>
  <c r="Z17" i="12"/>
  <c r="D17" i="12"/>
  <c r="AC17" i="12"/>
  <c r="I17" i="12"/>
  <c r="AO17" i="12"/>
  <c r="E17" i="12"/>
  <c r="AP17" i="12"/>
  <c r="A18" i="12" a="1"/>
  <c r="N17" i="12" l="1"/>
  <c r="T17" i="12"/>
  <c r="S17" i="12"/>
  <c r="V17" i="12"/>
  <c r="A18" i="12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AQ18" i="12"/>
  <c r="K18" i="12"/>
  <c r="E18" i="12"/>
  <c r="AE18" i="12"/>
  <c r="AR18" i="12"/>
  <c r="AN18" i="12"/>
  <c r="AK18" i="12"/>
  <c r="AS18" i="12"/>
  <c r="D18" i="12"/>
  <c r="AD18" i="12"/>
  <c r="AA18" i="12"/>
  <c r="J18" i="12"/>
  <c r="AB18" i="12"/>
  <c r="AM18" i="12"/>
  <c r="AT18" i="12"/>
  <c r="AH18" i="12"/>
  <c r="L18" i="12"/>
  <c r="A19" i="12" a="1"/>
  <c r="V18" i="12" l="1"/>
  <c r="T18" i="12"/>
  <c r="R18" i="12"/>
  <c r="N18" i="12"/>
  <c r="S18" i="12"/>
  <c r="Q18" i="12"/>
  <c r="A19" i="12"/>
  <c r="G18" i="12"/>
  <c r="H18" i="12"/>
  <c r="F18" i="12"/>
  <c r="AI18" i="12"/>
  <c r="M18" i="12"/>
  <c r="AU18" i="12"/>
  <c r="U18" i="12"/>
  <c r="O18" i="12"/>
  <c r="P18" i="12"/>
  <c r="W18" i="12" l="1"/>
  <c r="AP19" i="12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R19" i="12" s="1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A20" i="12" a="1"/>
  <c r="T19" i="12" l="1"/>
  <c r="S19" i="12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R20" i="12" s="1"/>
  <c r="A21" i="12" a="1"/>
  <c r="P20" i="12" l="1"/>
  <c r="T20" i="12"/>
  <c r="A21" i="12"/>
  <c r="O20" i="12"/>
  <c r="AU20" i="12"/>
  <c r="Q20" i="12"/>
  <c r="S20" i="12"/>
  <c r="M20" i="12"/>
  <c r="AI20" i="12"/>
  <c r="G20" i="12"/>
  <c r="F20" i="12"/>
  <c r="H20" i="12"/>
  <c r="V20" i="12"/>
  <c r="N20" i="12"/>
  <c r="U20" i="12"/>
  <c r="W20" i="12" l="1"/>
  <c r="AA21" i="12"/>
  <c r="AN21" i="12"/>
  <c r="B21" i="12"/>
  <c r="L21" i="12"/>
  <c r="AB21" i="12"/>
  <c r="P21" i="12" s="1"/>
  <c r="AQ21" i="12"/>
  <c r="AO21" i="12"/>
  <c r="AG21" i="12"/>
  <c r="AR21" i="12"/>
  <c r="Z21" i="12"/>
  <c r="AL21" i="12"/>
  <c r="AM21" i="12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D21" i="12"/>
  <c r="AK21" i="12"/>
  <c r="Y21" i="12"/>
  <c r="AC21" i="12"/>
  <c r="A22" i="12" a="1"/>
  <c r="O21" i="12" l="1"/>
  <c r="T21" i="12"/>
  <c r="N21" i="12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S23" i="12" s="1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O26" i="12" l="1"/>
  <c r="U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AA27" i="12"/>
  <c r="AQ27" i="12"/>
  <c r="AT27" i="12"/>
  <c r="Y27" i="12"/>
  <c r="AC27" i="12"/>
  <c r="AP27" i="12"/>
  <c r="R27" i="12" s="1"/>
  <c r="AG27" i="12"/>
  <c r="AS27" i="12"/>
  <c r="AH27" i="12"/>
  <c r="E27" i="12"/>
  <c r="AB27" i="12"/>
  <c r="AO27" i="12"/>
  <c r="A28" i="12" a="1"/>
  <c r="T27" i="12" l="1"/>
  <c r="U27" i="12"/>
  <c r="Q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P29" i="12"/>
  <c r="Q29" i="12"/>
  <c r="R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N30" i="12" l="1"/>
  <c r="O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Q31" i="12" s="1"/>
  <c r="J31" i="12"/>
  <c r="AT31" i="12"/>
  <c r="AQ31" i="12"/>
  <c r="A32" i="12" a="1"/>
  <c r="S31" i="12" l="1"/>
  <c r="U31" i="12"/>
  <c r="O31" i="12"/>
  <c r="V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N32" i="12" l="1"/>
  <c r="T32" i="12"/>
  <c r="U32" i="12"/>
  <c r="P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P33" i="12" l="1"/>
  <c r="R33" i="12"/>
  <c r="N33" i="12"/>
  <c r="V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Q34" i="12" s="1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O34" i="12" l="1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N35" i="12" l="1"/>
  <c r="P35" i="12"/>
  <c r="O35" i="12"/>
  <c r="V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R36" i="12" l="1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T37" i="12" l="1"/>
  <c r="S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P38" i="12"/>
  <c r="S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N40" i="12" l="1"/>
  <c r="Q40" i="12"/>
  <c r="P40" i="12"/>
  <c r="V40" i="12"/>
  <c r="U40" i="12"/>
  <c r="O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T41" i="12" l="1"/>
  <c r="N41" i="12"/>
  <c r="V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Q42" i="12" l="1"/>
  <c r="U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S43" i="12" s="1"/>
  <c r="A44" i="12" a="1"/>
  <c r="T43" i="12" l="1"/>
  <c r="U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P45" i="12" s="1"/>
  <c r="J45" i="12"/>
  <c r="AK45" i="12"/>
  <c r="Z45" i="12"/>
  <c r="AR45" i="12"/>
  <c r="AM45" i="12"/>
  <c r="AP45" i="12"/>
  <c r="AG45" i="12"/>
  <c r="U45" i="12" s="1"/>
  <c r="A46" i="12" a="1"/>
  <c r="T45" i="12" l="1"/>
  <c r="V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U46" i="12" s="1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T46" i="12" s="1"/>
  <c r="K46" i="12"/>
  <c r="AA46" i="12"/>
  <c r="AQ46" i="12"/>
  <c r="AD46" i="12"/>
  <c r="AL46" i="12"/>
  <c r="AH46" i="12"/>
  <c r="A47" i="12" a="1"/>
  <c r="P46" i="12" l="1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U47" i="12" l="1"/>
  <c r="Q47" i="12"/>
  <c r="N47" i="12"/>
  <c r="T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Q48" i="12"/>
  <c r="U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N49" i="12" l="1"/>
  <c r="V49" i="12"/>
  <c r="U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N52" i="12" s="1"/>
  <c r="E52" i="12"/>
  <c r="Y52" i="12"/>
  <c r="AA52" i="12"/>
  <c r="AH52" i="12"/>
  <c r="AG52" i="12"/>
  <c r="AQ52" i="12"/>
  <c r="AL52" i="12"/>
  <c r="D52" i="12"/>
  <c r="AE52" i="12"/>
  <c r="S52" i="12" s="1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T52" i="12" l="1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O53" i="12" s="1"/>
  <c r="J53" i="12"/>
  <c r="D53" i="12"/>
  <c r="A54" i="12" a="1"/>
  <c r="Q53" i="12" l="1"/>
  <c r="V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P54" i="12" l="1"/>
  <c r="V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Q57" i="12" s="1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R57" i="12" l="1"/>
  <c r="O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V58" i="12" l="1"/>
  <c r="U58" i="12"/>
  <c r="P58" i="12"/>
  <c r="Q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P61" i="12" s="1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U61" i="12" l="1"/>
  <c r="T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P62" i="12" l="1"/>
  <c r="U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N63" i="12" s="1"/>
  <c r="AD63" i="12"/>
  <c r="E63" i="12"/>
  <c r="AP63" i="12"/>
  <c r="AF63" i="12"/>
  <c r="C63" i="12"/>
  <c r="J63" i="12"/>
  <c r="AG63" i="12"/>
  <c r="AA63" i="12"/>
  <c r="O63" i="12" s="1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U63" i="12" l="1"/>
  <c r="V63" i="12"/>
  <c r="S63" i="12"/>
  <c r="Q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Q64" i="12" l="1"/>
  <c r="AU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R65" i="12" l="1"/>
  <c r="P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S67" i="12" l="1"/>
  <c r="U67" i="12"/>
  <c r="V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P69" i="12" l="1"/>
  <c r="O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V73" i="12" l="1"/>
  <c r="O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R74" i="12" l="1"/>
  <c r="P74" i="12"/>
  <c r="S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V75" i="12" s="1"/>
  <c r="AQ75" i="12"/>
  <c r="Y75" i="12"/>
  <c r="I75" i="12"/>
  <c r="L75" i="12"/>
  <c r="AA75" i="12"/>
  <c r="W74" i="12"/>
  <c r="A76" i="12" a="1"/>
  <c r="Q75" i="12" l="1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V76" i="12" l="1"/>
  <c r="T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P80" i="12" l="1"/>
  <c r="O80" i="12"/>
  <c r="N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T82" i="12" s="1"/>
  <c r="AM82" i="12"/>
  <c r="A83" i="12" a="1"/>
  <c r="O82" i="12" l="1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P84" i="12" l="1"/>
  <c r="T84" i="12"/>
  <c r="Q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P86" i="12" s="1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Q87" i="12" l="1"/>
  <c r="N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N88" i="12" s="1"/>
  <c r="AA88" i="12"/>
  <c r="AE88" i="12"/>
  <c r="AR88" i="12"/>
  <c r="A89" i="12" a="1"/>
  <c r="O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R89" i="12" l="1"/>
  <c r="S89" i="12"/>
  <c r="P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U90" i="12" s="1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Q91" i="12" s="1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T91" i="12" l="1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V94" i="12" s="1"/>
  <c r="AD94" i="12"/>
  <c r="A95" i="12" a="1"/>
  <c r="U94" i="12" l="1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O95" i="12" s="1"/>
  <c r="AP95" i="12"/>
  <c r="A96" i="12" a="1"/>
  <c r="P95" i="12" l="1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U97" i="12" l="1"/>
  <c r="V97" i="12"/>
  <c r="N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T101" i="12"/>
  <c r="R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N102" i="12" l="1"/>
  <c r="U102" i="12"/>
  <c r="R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P104" i="12" s="1"/>
  <c r="I104" i="12"/>
  <c r="A105" i="12" a="1"/>
  <c r="N104" i="12" l="1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Q105" i="12" l="1"/>
  <c r="U105" i="12"/>
  <c r="P105" i="12"/>
  <c r="S105" i="12"/>
  <c r="N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S107" i="12" s="1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N107" i="12" l="1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O108" i="12" s="1"/>
  <c r="A109" i="12" a="1"/>
  <c r="Q108" i="12" l="1"/>
  <c r="U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N110" i="12" l="1"/>
  <c r="O110" i="12"/>
  <c r="P110" i="12"/>
  <c r="R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U111" i="12" s="1"/>
  <c r="E111" i="12"/>
  <c r="L111" i="12"/>
  <c r="AT111" i="12"/>
  <c r="C111" i="12"/>
  <c r="AE111" i="12"/>
  <c r="A112" i="12" a="1"/>
  <c r="S111" i="12" l="1"/>
  <c r="V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O114" i="12" s="1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P114" i="12" l="1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R115" i="12" l="1"/>
  <c r="Q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N117" i="12" s="1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V117" i="12" l="1"/>
  <c r="Q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S118" i="12" s="1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R118" i="12" l="1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U120" i="12" l="1"/>
  <c r="V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Q121" i="12" l="1"/>
  <c r="N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Q122" i="12" l="1"/>
  <c r="O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V123" i="12" s="1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P123" i="12" l="1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N126" i="12" s="1"/>
  <c r="D126" i="12"/>
  <c r="A127" i="12" a="1"/>
  <c r="T126" i="12" l="1"/>
  <c r="R126" i="12"/>
  <c r="U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R127" i="12" l="1"/>
  <c r="U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S129" i="12" s="1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U131" i="12" s="1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P131" i="12" l="1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V133" i="12" l="1"/>
  <c r="R133" i="12"/>
  <c r="N133" i="12"/>
  <c r="P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S134" i="12" s="1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V134" i="12" l="1"/>
  <c r="P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S135" i="12" s="1"/>
  <c r="C135" i="12"/>
  <c r="AC135" i="12"/>
  <c r="Y135" i="12"/>
  <c r="AF135" i="12"/>
  <c r="Z135" i="12"/>
  <c r="L135" i="12"/>
  <c r="AM135" i="12"/>
  <c r="E135" i="12"/>
  <c r="AG135" i="12"/>
  <c r="U135" i="12" s="1"/>
  <c r="A136" i="12" a="1"/>
  <c r="P135" i="12" l="1"/>
  <c r="O135" i="12"/>
  <c r="T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P136" i="12" s="1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O137" i="12" s="1"/>
  <c r="I137" i="12"/>
  <c r="C137" i="12"/>
  <c r="AT137" i="12"/>
  <c r="A138" i="12" a="1"/>
  <c r="R137" i="12" l="1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S138" i="12" l="1"/>
  <c r="O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O139" i="12" s="1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Q139" i="12" s="1"/>
  <c r="K139" i="12"/>
  <c r="AD139" i="12"/>
  <c r="Y139" i="12"/>
  <c r="AB139" i="12"/>
  <c r="I139" i="12"/>
  <c r="A140" i="12" a="1"/>
  <c r="U139" i="12" l="1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V140" i="12" s="1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Q141" i="12" s="1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P145" i="12" s="1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O145" i="12"/>
  <c r="T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R146" i="12" s="1"/>
  <c r="AH146" i="12"/>
  <c r="AT146" i="12"/>
  <c r="AQ146" i="12"/>
  <c r="AR146" i="12"/>
  <c r="B146" i="12"/>
  <c r="A147" i="12" a="1"/>
  <c r="N146" i="12" l="1"/>
  <c r="Q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R148" i="12" s="1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T148" i="12" l="1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U151" i="12"/>
  <c r="P151" i="12"/>
  <c r="N151" i="12"/>
  <c r="AU151" i="12"/>
  <c r="T151" i="12"/>
  <c r="O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Q152" i="12" l="1"/>
  <c r="S152" i="12"/>
  <c r="U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T153" i="12" s="1"/>
  <c r="AE153" i="12"/>
  <c r="K153" i="12"/>
  <c r="B153" i="12"/>
  <c r="AR153" i="12"/>
  <c r="AT153" i="12"/>
  <c r="AN153" i="12"/>
  <c r="AA153" i="12"/>
  <c r="Z153" i="12"/>
  <c r="N153" i="12" s="1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P153" i="12" l="1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P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R155" i="12" s="1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U157" i="12" s="1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V157" i="12" l="1"/>
  <c r="P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S158" i="12" l="1"/>
  <c r="R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U159" i="12" s="1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O159" i="12" l="1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P161" i="12" l="1"/>
  <c r="R161" i="12"/>
  <c r="U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T162" i="12" s="1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Q162" i="12" l="1"/>
  <c r="S162" i="12"/>
  <c r="P162" i="12"/>
  <c r="U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P163" i="12"/>
  <c r="V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O164" i="12" s="1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U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O166" i="12" s="1"/>
  <c r="AB166" i="12"/>
  <c r="P166" i="12" s="1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R166" i="12" l="1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N167" i="12" s="1"/>
  <c r="AA167" i="12"/>
  <c r="AP167" i="12"/>
  <c r="E167" i="12"/>
  <c r="C167" i="12"/>
  <c r="AD167" i="12"/>
  <c r="AB167" i="12"/>
  <c r="A168" i="12" a="1"/>
  <c r="R167" i="12" l="1"/>
  <c r="P167" i="12"/>
  <c r="S167" i="12"/>
  <c r="O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O168" i="12" l="1"/>
  <c r="P168" i="12"/>
  <c r="U168" i="12"/>
  <c r="T168" i="12"/>
  <c r="Q168" i="12"/>
  <c r="V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N170" i="12" s="1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R173" i="12" l="1"/>
  <c r="T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Q174" i="12" s="1"/>
  <c r="A175" i="12" a="1"/>
  <c r="S174" i="12" l="1"/>
  <c r="P174" i="12"/>
  <c r="O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T175" i="12"/>
  <c r="S175" i="12"/>
  <c r="Q175" i="12"/>
  <c r="U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V177" i="12" l="1"/>
  <c r="O177" i="12"/>
  <c r="N177" i="12"/>
  <c r="Q177" i="12"/>
  <c r="R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Q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V179" i="12" l="1"/>
  <c r="P179" i="12"/>
  <c r="N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Q180" i="12" s="1"/>
  <c r="C180" i="12"/>
  <c r="L180" i="12"/>
  <c r="A181" i="12" a="1"/>
  <c r="S180" i="12" l="1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P183" i="12"/>
  <c r="AU183" i="12"/>
  <c r="N183" i="12"/>
  <c r="T183" i="12"/>
  <c r="Q183" i="12"/>
  <c r="V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O185" i="12" s="1"/>
  <c r="AE185" i="12"/>
  <c r="E185" i="12"/>
  <c r="AS185" i="12"/>
  <c r="A186" i="12" a="1"/>
  <c r="V185" i="12" l="1"/>
  <c r="R185" i="12"/>
  <c r="Q185" i="12"/>
  <c r="N185" i="12"/>
  <c r="P185" i="12"/>
  <c r="AU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R189" i="12" s="1"/>
  <c r="AS189" i="12"/>
  <c r="C189" i="12"/>
  <c r="D189" i="12"/>
  <c r="AE189" i="12"/>
  <c r="S189" i="12" s="1"/>
  <c r="AA189" i="12"/>
  <c r="AR189" i="12"/>
  <c r="AC189" i="12"/>
  <c r="AK189" i="12"/>
  <c r="AB189" i="12"/>
  <c r="B189" i="12"/>
  <c r="A190" i="12" a="1"/>
  <c r="P189" i="12" l="1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N190" i="12" l="1"/>
  <c r="S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R191" i="12" l="1"/>
  <c r="P191" i="12"/>
  <c r="Q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Q192" i="12" s="1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P192" i="12" l="1"/>
  <c r="R192" i="12"/>
  <c r="S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U195" i="12" s="1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S195" i="12" l="1"/>
  <c r="T195" i="12"/>
  <c r="P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V196" i="12" l="1"/>
  <c r="R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U197" i="12" s="1"/>
  <c r="D197" i="12"/>
  <c r="AB197" i="12"/>
  <c r="AE197" i="12"/>
  <c r="B197" i="12"/>
  <c r="Z197" i="12"/>
  <c r="A198" i="12" a="1"/>
  <c r="N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V198" i="12" s="1"/>
  <c r="AM198" i="12"/>
  <c r="AR198" i="12"/>
  <c r="AF198" i="12"/>
  <c r="I198" i="12"/>
  <c r="L198" i="12"/>
  <c r="A199" i="12" a="1"/>
  <c r="U198" i="12" l="1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O199" i="12" s="1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R199" i="12" l="1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N200" i="12" s="1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N201" i="12" l="1"/>
  <c r="S201" i="12"/>
  <c r="V201" i="12"/>
  <c r="T201" i="12"/>
  <c r="O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R203" i="12" s="1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R204" i="12" l="1"/>
  <c r="N204" i="12"/>
  <c r="P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N205" i="12" s="1"/>
  <c r="AM205" i="12"/>
  <c r="AD205" i="12"/>
  <c r="R205" i="12" s="1"/>
  <c r="A206" i="12" a="1"/>
  <c r="O205" i="12" l="1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T206" i="12" l="1"/>
  <c r="U206" i="12"/>
  <c r="N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S207" i="12" s="1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Q207" i="12" l="1"/>
  <c r="N207" i="12"/>
  <c r="R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O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Q211" i="12" s="1"/>
  <c r="Y211" i="12"/>
  <c r="AP211" i="12"/>
  <c r="E211" i="12"/>
  <c r="I211" i="12"/>
  <c r="AH211" i="12"/>
  <c r="V211" i="12" s="1"/>
  <c r="A212" i="12" a="1"/>
  <c r="O211" i="12" l="1"/>
  <c r="R211" i="12"/>
  <c r="P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N212" i="12" s="1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V213" i="12" s="1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O213" i="12" l="1"/>
  <c r="Q213" i="12"/>
  <c r="N213" i="12"/>
  <c r="R213" i="12"/>
  <c r="P213" i="12"/>
  <c r="U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T214" i="12" s="1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P214" i="12" l="1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O215" i="12" s="1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N216" i="12" s="1"/>
  <c r="I216" i="12"/>
  <c r="AN216" i="12"/>
  <c r="A217" i="12" a="1"/>
  <c r="O216" i="12" l="1"/>
  <c r="V216" i="12"/>
  <c r="R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T217" i="12"/>
  <c r="P217" i="12"/>
  <c r="Q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T218" i="12" s="1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N220" i="12" l="1"/>
  <c r="Q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N222" i="12" l="1"/>
  <c r="U222" i="12"/>
  <c r="P222" i="12"/>
  <c r="S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U223" i="12" s="1"/>
  <c r="Y223" i="12"/>
  <c r="A224" i="12" a="1"/>
  <c r="V223" i="12" l="1"/>
  <c r="T223" i="12"/>
  <c r="O223" i="12"/>
  <c r="S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O224" i="12" s="1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P224" i="12" l="1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P227" i="12" s="1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P228" i="12"/>
  <c r="O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V229" i="12" s="1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P229" i="12" l="1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U230" i="12" s="1"/>
  <c r="C230" i="12"/>
  <c r="A231" i="12" a="1"/>
  <c r="Q230" i="12" l="1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R231" i="12" l="1"/>
  <c r="V231" i="12"/>
  <c r="T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Q232" i="12" l="1"/>
  <c r="P232" i="12"/>
  <c r="N232" i="12"/>
  <c r="S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R234" i="12" s="1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Q234" i="12" s="1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V234" i="12" l="1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N235" i="12" l="1"/>
  <c r="V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S236" i="12" l="1"/>
  <c r="U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P237" i="12" l="1"/>
  <c r="R237" i="12"/>
  <c r="T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U238" i="12" l="1"/>
  <c r="T238" i="12"/>
  <c r="R238" i="12"/>
  <c r="N238" i="12"/>
  <c r="V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U239" i="12" l="1"/>
  <c r="V239" i="12"/>
  <c r="S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V240" i="12" s="1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Q240" i="12" s="1"/>
  <c r="AS240" i="12"/>
  <c r="AB240" i="12"/>
  <c r="AM240" i="12"/>
  <c r="Y240" i="12"/>
  <c r="AN240" i="12"/>
  <c r="A241" i="12" a="1"/>
  <c r="O240" i="12" l="1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Q241" i="12" s="1"/>
  <c r="A242" i="12" a="1"/>
  <c r="O241" i="12" l="1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S242" i="12" l="1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S243" i="12" l="1"/>
  <c r="N243" i="12"/>
  <c r="O243" i="12"/>
  <c r="R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V245" i="12" l="1"/>
  <c r="Q245" i="12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N246" i="12" s="1"/>
  <c r="AO246" i="12"/>
  <c r="J246" i="12"/>
  <c r="AB246" i="12"/>
  <c r="P246" i="12" s="1"/>
  <c r="AC246" i="12"/>
  <c r="AS246" i="12"/>
  <c r="AA246" i="12"/>
  <c r="A247" i="12" a="1"/>
  <c r="U246" i="12" l="1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P247" i="12" l="1"/>
  <c r="V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T249" i="12" s="1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P249" i="12"/>
  <c r="R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U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V251" i="12" s="1"/>
  <c r="AR251" i="12"/>
  <c r="B251" i="12"/>
  <c r="I251" i="12"/>
  <c r="AE251" i="12"/>
  <c r="AM251" i="12"/>
  <c r="AB251" i="12"/>
  <c r="AS251" i="12"/>
  <c r="E251" i="12"/>
  <c r="A252" i="12" a="1"/>
  <c r="AU251" i="12" l="1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O253" i="12" s="1"/>
  <c r="A254" i="12" a="1"/>
  <c r="U253" i="12" l="1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U254" i="12" s="1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V254" i="12" s="1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P255" i="12" s="1"/>
  <c r="L255" i="12"/>
  <c r="AC255" i="12"/>
  <c r="A256" i="12" a="1"/>
  <c r="Q255" i="12" l="1"/>
  <c r="O255" i="12"/>
  <c r="U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S256" i="12" s="1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O256" i="12" l="1"/>
  <c r="N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S257" i="12" s="1"/>
  <c r="J257" i="12"/>
  <c r="AP257" i="12"/>
  <c r="AD257" i="12"/>
  <c r="C257" i="12"/>
  <c r="E257" i="12"/>
  <c r="A258" i="12" a="1"/>
  <c r="P257" i="12" l="1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S259" i="12" s="1"/>
  <c r="A260" i="12" a="1"/>
  <c r="R259" i="12" l="1"/>
  <c r="Q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P260" i="12" s="1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O261" i="12" l="1"/>
  <c r="U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R262" i="12" l="1"/>
  <c r="Q262" i="12"/>
  <c r="P262" i="12"/>
  <c r="O262" i="12"/>
  <c r="S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P263" i="12" s="1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N263" i="12"/>
  <c r="U263" i="12"/>
  <c r="R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V264" i="12" l="1"/>
  <c r="S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S265" i="12" l="1"/>
  <c r="U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R266" i="12" l="1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N268" i="12" s="1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U269" i="12" l="1"/>
  <c r="V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S270" i="12" s="1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N270" i="12" l="1"/>
  <c r="U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T271" i="12" s="1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V271" i="12" l="1"/>
  <c r="U271" i="12"/>
  <c r="P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V272" i="12" l="1"/>
  <c r="U272" i="12"/>
  <c r="Q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O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Q274" i="12"/>
  <c r="P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Q276" i="12" s="1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N277" i="12" l="1"/>
  <c r="V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V278" i="12" s="1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U278" i="12" s="1"/>
  <c r="D278" i="12"/>
  <c r="AB278" i="12"/>
  <c r="A279" i="12" a="1"/>
  <c r="R278" i="12" l="1"/>
  <c r="O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S279" i="12" l="1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R280" i="12" l="1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P282" i="12" l="1"/>
  <c r="R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S283" i="12" s="1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N283" i="12" l="1"/>
  <c r="P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R284" i="12" l="1"/>
  <c r="V284" i="12"/>
  <c r="N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Q286" i="12"/>
  <c r="AU286" i="12"/>
  <c r="O286" i="12"/>
  <c r="S286" i="12"/>
  <c r="V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P287" i="12" l="1"/>
  <c r="V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T288" i="12" s="1"/>
  <c r="Z288" i="12"/>
  <c r="AS288" i="12"/>
  <c r="AE288" i="12"/>
  <c r="AB288" i="12"/>
  <c r="AG288" i="12"/>
  <c r="A289" i="12" a="1"/>
  <c r="U288" i="12" l="1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R289" i="12" s="1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P289" i="12" l="1"/>
  <c r="S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N290" i="12" s="1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T290" i="12" l="1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U292" i="12" l="1"/>
  <c r="R292" i="12"/>
  <c r="N292" i="12"/>
  <c r="Q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O293" i="12" l="1"/>
  <c r="Q293" i="12"/>
  <c r="U293" i="12"/>
  <c r="T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S295" i="12" l="1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V297" i="12" s="1"/>
  <c r="A298" i="12" a="1"/>
  <c r="T297" i="12" l="1"/>
  <c r="U297" i="12"/>
  <c r="R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S298" i="12" s="1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N298" i="12"/>
  <c r="T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N299" i="12" l="1"/>
  <c r="T299" i="12"/>
  <c r="V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Q300" i="12" s="1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O300" i="12" l="1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<sst xmlns="http://schemas.openxmlformats.org/spreadsheetml/2006/main" count="2349" uniqueCount="1419">
  <si>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</si>
  <si>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</si>
  <si>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</si>
  <si>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</si>
  <si>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</si>
  <si>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</si>
  <si>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</si>
  <si>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</si>
  <si>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</si>
  <si>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</si>
  <si>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</si>
  <si>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</si>
  <si>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</si>
  <si>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</si>
  <si>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</si>
  <si>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</si>
  <si>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</si>
  <si>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</si>
  <si>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</si>
  <si>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</si>
  <si>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</si>
  <si>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</si>
  <si>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</si>
  <si>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</si>
  <si>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</si>
  <si>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</si>
  <si>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</si>
  <si>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</si>
  <si>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</si>
  <si>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</si>
  <si>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</si>
  <si>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</si>
  <si>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</si>
  <si>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</si>
  <si>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</si>
  <si>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</si>
  <si>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</si>
  <si>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</si>
  <si>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</si>
  <si>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</si>
  <si>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</si>
  <si>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</si>
  <si>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</si>
  <si>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</si>
  <si>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</si>
  <si>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</si>
  <si>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</si>
  <si>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</si>
  <si>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</si>
  <si>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</si>
  <si>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</si>
  <si>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</si>
  <si>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</si>
  <si>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</si>
  <si>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</si>
  <si>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</si>
  <si>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</si>
  <si>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</si>
  <si>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</si>
  <si>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</si>
  <si>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</si>
  <si>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</si>
  <si>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</si>
  <si>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</si>
  <si>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</si>
  <si>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</si>
  <si>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</si>
  <si>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</si>
  <si>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</si>
  <si>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</si>
  <si>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</si>
  <si>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</si>
  <si>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</si>
  <si>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</si>
  <si>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</si>
  <si>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</si>
  <si>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</si>
  <si>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</si>
  <si>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</si>
  <si>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</si>
  <si>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</si>
  <si>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</si>
  <si>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</si>
  <si>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</si>
  <si>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</si>
  <si>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</si>
  <si>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</si>
  <si>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</si>
  <si>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</si>
  <si>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</si>
  <si>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</si>
  <si>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</si>
  <si>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</si>
  <si>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</si>
  <si>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</si>
  <si>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</si>
  <si>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</si>
  <si>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</si>
  <si>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</si>
  <si>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</si>
  <si>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</si>
  <si>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</si>
  <si>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</si>
  <si>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</si>
  <si>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</si>
  <si>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</si>
  <si>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</si>
  <si>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</si>
  <si>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</si>
  <si>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</si>
  <si>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</si>
  <si>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</si>
  <si>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</si>
  <si>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</si>
  <si>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</si>
  <si>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</si>
  <si>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</si>
  <si>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</si>
  <si>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</si>
  <si>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</si>
  <si>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</si>
  <si>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</si>
  <si>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</si>
  <si>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</si>
  <si>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</si>
  <si>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</si>
  <si>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</si>
  <si>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</si>
  <si>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</si>
  <si>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</si>
  <si>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</si>
  <si>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</si>
  <si>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</si>
  <si>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</si>
  <si>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</si>
  <si>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</si>
  <si>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</si>
  <si>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</si>
  <si>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</si>
  <si>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</si>
  <si>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</si>
  <si>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</si>
  <si>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</si>
  <si>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</si>
  <si>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</si>
  <si>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</si>
  <si>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</si>
  <si>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</si>
  <si>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</si>
  <si>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</si>
  <si>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</si>
  <si>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</si>
  <si>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</si>
  <si>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</si>
  <si>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</si>
  <si>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</si>
  <si>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</si>
  <si>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</si>
  <si>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</si>
  <si>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</si>
  <si>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</si>
  <si>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</si>
  <si>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</si>
  <si>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</si>
  <si>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</si>
  <si>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</si>
  <si>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</si>
  <si>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</si>
  <si>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</si>
  <si>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</si>
  <si>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</si>
  <si>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</si>
  <si>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</si>
  <si>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</si>
  <si>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</si>
  <si>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</si>
  <si>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</si>
  <si>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</si>
  <si>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</si>
  <si>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</si>
  <si>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</si>
  <si>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</si>
  <si>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</si>
  <si>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</si>
  <si>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</si>
  <si>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</si>
  <si>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</si>
  <si>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</si>
  <si>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</si>
  <si>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</si>
  <si>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</si>
  <si>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</si>
  <si>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</si>
  <si>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</si>
  <si>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</si>
  <si>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</si>
  <si>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</si>
  <si>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</si>
  <si>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</si>
  <si>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</si>
  <si>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</si>
  <si>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</si>
  <si>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</si>
  <si>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</si>
  <si>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</si>
  <si>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</si>
  <si>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</si>
  <si>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</si>
  <si>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</si>
  <si>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</si>
  <si>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</si>
  <si>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</si>
  <si>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</si>
  <si>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</si>
  <si>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</si>
  <si>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</si>
  <si>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</si>
  <si>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</si>
  <si>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</si>
  <si>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</si>
  <si>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</si>
  <si>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</si>
  <si>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</si>
  <si>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</si>
  <si>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</si>
  <si>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</si>
  <si>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</si>
  <si>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</si>
  <si>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</si>
  <si>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</si>
  <si>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</si>
  <si>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</si>
  <si>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</si>
  <si>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</si>
  <si>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</si>
  <si>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</si>
  <si>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</si>
  <si>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</si>
  <si>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</si>
  <si>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</si>
  <si>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</si>
  <si>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</si>
  <si>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</si>
  <si>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</si>
  <si>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</si>
  <si>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</si>
  <si>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</si>
  <si>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</si>
  <si>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</si>
  <si>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</si>
  <si>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</si>
  <si>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</si>
  <si>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</si>
  <si>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</si>
  <si>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</si>
  <si>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</si>
  <si>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</si>
  <si>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</si>
  <si>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</si>
  <si>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</si>
  <si>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</si>
  <si>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</si>
  <si>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</si>
  <si>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</si>
  <si>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</si>
  <si>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</si>
  <si>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</si>
  <si>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</si>
  <si>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</si>
  <si>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</si>
  <si>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</si>
  <si>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</si>
  <si>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</si>
  <si>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</si>
  <si>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</si>
  <si>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</si>
  <si>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</si>
  <si>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</si>
  <si>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</si>
  <si>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</si>
  <si>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</si>
  <si>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</si>
  <si>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</si>
  <si>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</si>
  <si>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</si>
  <si>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</si>
  <si>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</si>
  <si>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</si>
  <si>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</si>
  <si>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</si>
  <si>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</si>
  <si>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</si>
  <si>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</si>
  <si>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</si>
  <si>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</si>
  <si>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</si>
  <si>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</si>
  <si>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</si>
  <si>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</si>
  <si>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</si>
  <si>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</si>
  <si>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</si>
  <si>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</si>
  <si>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</si>
  <si>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</si>
  <si>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</si>
  <si>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</si>
  <si>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</si>
  <si>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</si>
  <si>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</si>
  <si>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</si>
  <si>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</si>
  <si>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</si>
  <si>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</si>
  <si>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</si>
  <si>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</si>
  <si>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</si>
  <si>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</si>
  <si>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</si>
  <si>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</si>
  <si>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</si>
  <si>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</si>
  <si>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</si>
  <si>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</si>
  <si>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</si>
  <si>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</si>
  <si>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</si>
  <si>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</si>
  <si>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</si>
  <si>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</si>
  <si>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</si>
  <si>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</si>
  <si>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</si>
  <si>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</si>
  <si>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</si>
  <si>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</si>
  <si>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</si>
  <si>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</si>
  <si>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</si>
  <si>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</si>
  <si>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</si>
  <si>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</si>
  <si>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</si>
  <si>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</si>
  <si>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</si>
  <si>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</si>
  <si>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</si>
  <si>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</si>
  <si>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</si>
  <si>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</si>
  <si>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</si>
  <si>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</si>
  <si>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</si>
  <si>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</si>
  <si>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</si>
  <si>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</si>
  <si>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</si>
  <si>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</si>
  <si>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</si>
  <si>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</si>
  <si>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</si>
  <si>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</si>
  <si>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</si>
  <si>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</si>
  <si>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</si>
  <si>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</si>
  <si>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</si>
  <si>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</si>
  <si>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</si>
  <si>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</si>
  <si>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</si>
  <si>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</si>
  <si>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</si>
  <si>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</si>
  <si>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</si>
  <si>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</si>
  <si>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</si>
  <si>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</si>
  <si>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</si>
  <si>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</si>
  <si>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</si>
  <si>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</si>
  <si>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</si>
  <si>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</si>
  <si>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</si>
  <si>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</si>
  <si>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</si>
  <si>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</si>
  <si>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</si>
  <si>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</si>
  <si>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</si>
  <si>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</si>
  <si>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</si>
  <si>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</si>
  <si>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</si>
  <si>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</si>
  <si>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</si>
  <si>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</si>
  <si>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</si>
  <si>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</si>
  <si>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</si>
  <si>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</si>
  <si>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</si>
  <si>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</si>
  <si>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</si>
  <si>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</si>
  <si>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</si>
  <si>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</si>
  <si>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</si>
  <si>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</si>
  <si>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</si>
  <si>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</si>
  <si>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</si>
  <si>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</si>
  <si>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</si>
  <si>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</si>
  <si>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</si>
  <si>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</si>
  <si>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</si>
  <si>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</si>
  <si>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</si>
  <si>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</si>
  <si>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</si>
  <si>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</si>
  <si>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</si>
  <si>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</si>
  <si>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</si>
  <si>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</si>
  <si>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</si>
  <si>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</si>
  <si>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</si>
  <si>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</si>
  <si>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</si>
  <si>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</si>
  <si>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</si>
  <si>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</si>
  <si>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</si>
  <si>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</si>
  <si>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</si>
  <si>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</si>
  <si>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</si>
  <si>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</si>
  <si>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</si>
  <si>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</si>
  <si>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</si>
  <si>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</si>
  <si>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</si>
  <si>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</si>
  <si>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</si>
  <si>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</si>
  <si>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</si>
  <si>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</si>
  <si>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</si>
  <si>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</si>
  <si>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</si>
  <si>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</si>
  <si>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</si>
  <si>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</si>
  <si>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</si>
  <si>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</si>
  <si>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</si>
  <si>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</si>
  <si>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</si>
  <si>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</si>
  <si>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</si>
  <si>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</si>
  <si>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</si>
  <si>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</si>
  <si>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</si>
  <si>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</si>
  <si>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</si>
  <si>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</si>
  <si>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</si>
  <si>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</si>
  <si>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</si>
  <si>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</si>
  <si>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</si>
  <si>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</si>
  <si>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</si>
  <si>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</si>
  <si>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</si>
  <si>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</si>
  <si>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</si>
  <si>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</si>
  <si>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</si>
  <si>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</si>
  <si>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</si>
  <si>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</si>
  <si>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</si>
  <si>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</si>
  <si>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</si>
  <si>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</si>
  <si>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</si>
  <si>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</si>
  <si>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</si>
  <si>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</si>
  <si>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</si>
  <si>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</si>
  <si>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</si>
  <si>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</si>
  <si>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</si>
  <si>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</si>
  <si>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</si>
  <si>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</si>
  <si>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</si>
  <si>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</si>
  <si>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</si>
  <si>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</si>
  <si>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</si>
  <si>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</si>
  <si>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</si>
  <si>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</si>
  <si>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</si>
  <si>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</si>
  <si>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</si>
  <si>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</si>
  <si>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</si>
  <si>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</si>
  <si>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</si>
  <si>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</si>
  <si>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</si>
  <si>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</si>
  <si>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</si>
  <si>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</si>
  <si>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</si>
  <si>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</si>
  <si>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</si>
  <si>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</si>
  <si>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</si>
  <si>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</si>
  <si>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</si>
  <si>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</si>
  <si>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</si>
  <si>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</si>
  <si>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</si>
  <si>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</si>
  <si>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</si>
  <si>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</si>
  <si>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</si>
  <si>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</si>
  <si>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</si>
  <si>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</si>
  <si>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</si>
  <si>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</si>
  <si>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</si>
  <si>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</si>
  <si>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</si>
  <si>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</si>
  <si>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</si>
  <si>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</si>
  <si>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</si>
  <si>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</si>
  <si>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</si>
  <si>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</si>
  <si>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</si>
  <si>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</si>
  <si>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</si>
  <si>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</si>
  <si>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</si>
  <si>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</si>
  <si>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</si>
  <si>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</si>
  <si>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</si>
  <si>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</si>
  <si>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</si>
  <si>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</si>
  <si>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</si>
  <si>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</si>
  <si>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</si>
  <si>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</si>
  <si>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</si>
  <si>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</si>
  <si>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</si>
  <si>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</si>
  <si>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</si>
  <si>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</si>
  <si>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</si>
  <si>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</si>
  <si>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</si>
  <si>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</si>
  <si>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</si>
  <si>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</si>
  <si>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</si>
  <si>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</si>
  <si>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</si>
  <si>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</si>
  <si>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</si>
  <si>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</si>
  <si>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</si>
  <si>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</si>
  <si>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</si>
  <si>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</si>
  <si>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</si>
  <si>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</si>
  <si>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</si>
  <si>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</si>
  <si>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</si>
  <si>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</si>
  <si>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</si>
  <si>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</si>
  <si>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</si>
  <si>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</si>
  <si>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</si>
  <si>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</si>
  <si>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</si>
  <si>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</si>
  <si>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</si>
  <si>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</si>
  <si>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</si>
  <si>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</si>
  <si>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</si>
  <si>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</si>
  <si>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</si>
  <si>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</si>
  <si>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</si>
  <si>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</si>
  <si>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</si>
  <si>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</si>
  <si>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</si>
  <si>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</si>
  <si>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</si>
  <si>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</si>
  <si>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</si>
  <si>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</si>
  <si>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</si>
  <si>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</si>
  <si>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</si>
  <si>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</si>
  <si>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</si>
  <si>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</si>
  <si>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</si>
  <si>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</si>
  <si>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</si>
  <si>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</si>
  <si>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</si>
  <si>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</si>
  <si>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</si>
  <si>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</si>
  <si>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</si>
  <si>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</si>
  <si>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</si>
  <si>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</si>
  <si>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</si>
  <si>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</si>
  <si>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</si>
  <si>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</si>
  <si>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</si>
  <si>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</si>
  <si>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</si>
  <si>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</si>
  <si>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</si>
  <si>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</si>
  <si>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</si>
  <si>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</si>
  <si>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</si>
  <si>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</si>
  <si>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</si>
  <si>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</si>
  <si>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</si>
  <si>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</si>
  <si>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</si>
  <si>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</si>
  <si>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</si>
  <si>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</si>
  <si>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</si>
  <si>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</si>
  <si>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</si>
  <si>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</si>
  <si>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</si>
  <si>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</si>
  <si>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</si>
  <si>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</si>
  <si>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</si>
  <si>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</si>
  <si>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</si>
  <si>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</si>
  <si>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</si>
  <si>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</si>
  <si>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</si>
  <si>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</si>
  <si>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</si>
  <si>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</si>
  <si>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</si>
  <si>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</si>
  <si>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</si>
  <si>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</si>
  <si>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</si>
  <si>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</si>
  <si>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</si>
  <si>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</si>
  <si>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</si>
  <si>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</si>
  <si>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</si>
  <si>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</si>
  <si>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</si>
  <si>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</si>
  <si>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</si>
  <si>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</si>
  <si>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</si>
  <si>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</si>
  <si>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</si>
  <si>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</si>
  <si>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</si>
  <si>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</si>
  <si>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</si>
  <si>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</si>
  <si>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</si>
  <si>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</si>
  <si>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</si>
  <si>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</si>
  <si>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</si>
  <si>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</si>
  <si>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</si>
  <si>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</si>
  <si>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</si>
  <si>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</si>
  <si>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</si>
  <si>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</si>
  <si>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</si>
  <si>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</si>
  <si>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</si>
  <si>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</si>
  <si>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</si>
  <si>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</si>
  <si>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</si>
  <si>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</si>
  <si>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</si>
  <si>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</si>
  <si>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</si>
  <si>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</si>
  <si>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</si>
  <si>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</si>
  <si>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</si>
  <si>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</si>
  <si>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</si>
  <si>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</si>
  <si>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</si>
  <si>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</si>
  <si>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</si>
  <si>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</si>
  <si>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</si>
  <si>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</si>
  <si>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</si>
  <si>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</si>
  <si>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</si>
  <si>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</si>
  <si>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</si>
  <si>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</si>
  <si>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</si>
  <si>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</si>
  <si>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</si>
  <si>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</si>
  <si>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</si>
  <si>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</si>
  <si>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</si>
  <si>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</si>
  <si>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</si>
  <si>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</si>
  <si>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</si>
  <si>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</si>
  <si>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</si>
  <si>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</si>
  <si>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</si>
  <si>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</si>
  <si>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</si>
  <si>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</si>
  <si>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</si>
  <si>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</si>
  <si>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</si>
  <si>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</si>
  <si>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</si>
  <si>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</si>
  <si>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</si>
  <si>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</si>
  <si>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</si>
  <si>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</si>
  <si>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</si>
  <si>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</si>
  <si>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</si>
  <si>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</si>
  <si>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</si>
  <si>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</si>
  <si>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</si>
  <si>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</si>
  <si>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</si>
  <si>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</si>
  <si>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</si>
  <si>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</si>
  <si>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</si>
  <si>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</si>
  <si>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</si>
  <si>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</si>
  <si>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</si>
  <si>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</si>
  <si>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</si>
  <si>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</si>
  <si>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</si>
  <si>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</si>
  <si>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</si>
  <si>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</si>
  <si>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</si>
  <si>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</si>
  <si>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</si>
  <si>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</si>
  <si>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</si>
  <si>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</si>
  <si>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</si>
  <si>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</si>
  <si>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</si>
  <si>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</si>
  <si>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</si>
  <si>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</si>
  <si>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</si>
  <si>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</si>
  <si>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</si>
  <si>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</si>
  <si>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</si>
  <si>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</si>
  <si>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</si>
  <si>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</si>
  <si>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</si>
  <si>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</si>
  <si>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</si>
  <si>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</si>
  <si>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</si>
  <si>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</si>
  <si>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</si>
  <si>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</si>
  <si>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</si>
  <si>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</si>
  <si>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</si>
  <si>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</si>
  <si>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</si>
  <si>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</si>
  <si>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</si>
  <si>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</si>
  <si>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</si>
  <si>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</si>
  <si>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</si>
  <si>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</si>
  <si>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</si>
  <si>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</si>
  <si>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</si>
  <si>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</si>
  <si>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</si>
  <si>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</si>
  <si>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</si>
  <si>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</si>
  <si>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</si>
  <si>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</si>
  <si>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</si>
  <si>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</si>
  <si>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</si>
  <si>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</si>
  <si>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</si>
  <si>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</si>
  <si>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</si>
  <si>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</si>
  <si>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</si>
  <si>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</si>
  <si>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</si>
  <si>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</si>
  <si>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</si>
  <si>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</si>
  <si>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</si>
  <si>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</si>
  <si>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</si>
  <si>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</si>
  <si>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</si>
  <si>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</si>
  <si>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</si>
  <si>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</si>
  <si>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</si>
  <si>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</si>
  <si>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</si>
  <si>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</si>
  <si>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</si>
  <si>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</si>
  <si>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</si>
  <si>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</si>
  <si>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</si>
  <si>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</si>
  <si>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</si>
  <si>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</si>
  <si>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</si>
  <si>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</si>
  <si>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</si>
  <si>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</si>
  <si>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</si>
  <si>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</si>
  <si>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</si>
  <si>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</si>
  <si>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</si>
  <si>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</si>
  <si>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</si>
  <si>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</si>
  <si>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</si>
  <si>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</si>
  <si>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</si>
  <si>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</si>
  <si>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</si>
  <si>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</si>
  <si>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</si>
  <si>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</si>
  <si>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</si>
  <si>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</si>
  <si>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</si>
  <si>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</si>
  <si>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</si>
  <si>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</si>
  <si>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</si>
  <si>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</si>
  <si>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</si>
  <si>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</si>
  <si>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</si>
  <si>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</si>
  <si>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</si>
  <si>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</si>
  <si>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</si>
  <si>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</si>
  <si>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</si>
  <si>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</si>
  <si>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</si>
  <si>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</si>
  <si>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</si>
  <si>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</si>
  <si>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</si>
  <si>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</si>
  <si>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</si>
  <si>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</si>
  <si>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</si>
  <si>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</si>
  <si>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</si>
  <si>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</si>
  <si>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</si>
  <si>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</si>
  <si>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</si>
  <si>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</si>
  <si>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</si>
  <si>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</si>
  <si>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</si>
  <si>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</si>
  <si>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</si>
  <si>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</si>
  <si>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</si>
  <si>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</si>
  <si>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</si>
  <si>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</si>
  <si>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</si>
  <si>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</si>
  <si>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</si>
  <si>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</si>
  <si>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</si>
  <si>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</si>
  <si>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</si>
  <si>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</si>
  <si>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</si>
  <si>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</si>
  <si>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</si>
  <si>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</si>
  <si>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</si>
  <si>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</si>
  <si>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</si>
  <si>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</si>
  <si>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</si>
  <si>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</si>
  <si>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</si>
  <si>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</si>
  <si>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</si>
  <si>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</si>
  <si>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</si>
  <si>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</si>
  <si>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</si>
  <si>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</si>
  <si>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</si>
  <si>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</si>
  <si>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</si>
  <si>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</si>
  <si>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</si>
  <si>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</si>
  <si>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</si>
  <si>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</si>
  <si>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</si>
  <si>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</si>
  <si>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</si>
  <si>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</si>
  <si>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</si>
  <si>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</si>
  <si>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</si>
  <si>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</si>
  <si>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</si>
  <si>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</si>
  <si>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</si>
  <si>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</si>
  <si>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</si>
  <si>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</si>
  <si>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</si>
  <si>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</si>
  <si>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</si>
  <si>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</si>
  <si>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</si>
  <si>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</si>
  <si>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</si>
  <si>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</si>
  <si>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</si>
  <si>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</si>
  <si>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</si>
  <si>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</si>
  <si>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</si>
  <si>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</si>
  <si>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</si>
  <si>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</si>
  <si>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</si>
  <si>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</si>
  <si>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</si>
  <si>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</si>
  <si>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</si>
  <si>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</si>
  <si>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</si>
  <si>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</si>
  <si>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</si>
  <si>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</si>
  <si>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</si>
  <si>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</si>
  <si>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</si>
  <si>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</si>
  <si>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</si>
  <si>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</si>
  <si>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</si>
  <si>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</si>
  <si>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</si>
  <si>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</si>
  <si>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</si>
  <si>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</si>
  <si>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</si>
  <si>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</si>
  <si>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</si>
  <si>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</si>
  <si>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</si>
  <si>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</si>
  <si>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</si>
  <si>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</si>
  <si>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</si>
  <si>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</si>
  <si>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</si>
  <si>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</si>
  <si>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</si>
  <si>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</si>
  <si>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</si>
  <si>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</si>
  <si>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</si>
  <si>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</si>
  <si>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</si>
  <si>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</si>
  <si>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</si>
  <si>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</si>
  <si>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</si>
  <si>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</si>
  <si>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</si>
  <si>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</si>
  <si>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</si>
  <si>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</si>
  <si>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</si>
  <si>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</si>
  <si>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</si>
  <si>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</si>
  <si>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</si>
  <si>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</si>
  <si>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</si>
  <si>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</si>
  <si>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</si>
  <si>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</si>
  <si>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</si>
  <si>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</si>
  <si>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</si>
  <si>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</si>
  <si>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</si>
  <si>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</si>
  <si>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</si>
  <si>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</si>
  <si>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</si>
  <si>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</si>
  <si>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</si>
  <si>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</si>
  <si>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</si>
  <si>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</si>
  <si>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</si>
  <si>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</si>
  <si>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</si>
  <si>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</si>
  <si>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</si>
  <si>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</si>
  <si>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</si>
  <si>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</si>
  <si>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</si>
  <si>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</si>
  <si>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</si>
  <si>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</si>
  <si>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</si>
  <si>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</si>
  <si>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</si>
  <si>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</si>
  <si>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</si>
  <si>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</si>
  <si>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</si>
  <si>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</si>
  <si>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</si>
  <si>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</si>
  <si>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</si>
  <si>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</si>
  <si>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</si>
  <si>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</si>
  <si>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</si>
  <si>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</si>
  <si>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</si>
  <si>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</si>
  <si>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</si>
  <si>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</si>
  <si>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</si>
  <si>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</si>
  <si>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</si>
  <si>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</si>
  <si>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</si>
  <si>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</si>
  <si>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</si>
  <si>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</si>
  <si>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</si>
  <si>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</si>
  <si>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</si>
  <si>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</si>
  <si>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</si>
  <si>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</si>
  <si>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</si>
  <si>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</si>
  <si>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</si>
  <si>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</si>
  <si>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</si>
  <si>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</si>
  <si>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</si>
  <si>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</si>
  <si>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</si>
  <si>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</si>
  <si>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</si>
  <si>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</si>
  <si>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</si>
  <si>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</si>
  <si>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</si>
  <si>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</si>
  <si>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</si>
  <si>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</si>
  <si>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</si>
  <si>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</si>
  <si>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</si>
  <si>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</si>
  <si>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</si>
  <si>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</si>
  <si>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</si>
  <si>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</si>
  <si>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</si>
  <si>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</si>
  <si>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</si>
  <si>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</si>
  <si>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</si>
  <si>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</si>
  <si>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</si>
  <si>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</si>
  <si>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</si>
  <si>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</si>
  <si>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</si>
  <si>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</si>
  <si>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</si>
  <si>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</si>
  <si>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</si>
  <si>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</si>
  <si>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</si>
  <si>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</si>
  <si>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</si>
  <si>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</si>
  <si>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</si>
  <si>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</si>
  <si>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</si>
  <si>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</si>
  <si>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</si>
  <si>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</si>
  <si>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</si>
  <si>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</si>
  <si>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</si>
  <si>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</si>
  <si>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</si>
  <si>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</si>
  <si>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</si>
  <si>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</si>
  <si>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</si>
  <si>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</si>
  <si>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</si>
  <si>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</si>
  <si>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</si>
  <si>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</si>
  <si>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</si>
  <si>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</si>
  <si>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</si>
  <si>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</si>
  <si>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</si>
  <si>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</si>
  <si>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</si>
  <si>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</si>
  <si>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</si>
  <si>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</si>
  <si>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</si>
  <si>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</si>
  <si>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</si>
  <si>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</si>
  <si>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</si>
  <si>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</si>
  <si>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</si>
  <si>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</si>
  <si>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</si>
  <si>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</si>
  <si>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</si>
  <si>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</si>
  <si>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</si>
  <si>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</si>
  <si>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</si>
  <si>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</si>
  <si>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</si>
  <si>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</si>
  <si>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</si>
  <si>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</si>
  <si>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</si>
  <si>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</si>
  <si>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</si>
  <si>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</si>
  <si>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</si>
  <si>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</si>
  <si>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</si>
  <si>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</si>
  <si>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</si>
  <si>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</si>
  <si>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</si>
  <si>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</si>
  <si>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</si>
  <si>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</si>
  <si>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</si>
  <si>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</si>
  <si>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</si>
  <si>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</si>
  <si>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</si>
  <si>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</si>
  <si>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</si>
  <si>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</si>
  <si>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</si>
  <si>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</si>
  <si>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</si>
  <si>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</si>
  <si>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</si>
  <si>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</si>
  <si>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</si>
  <si>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</si>
  <si>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</si>
  <si>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</si>
  <si>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</si>
  <si>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</si>
  <si>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</si>
  <si>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</si>
  <si>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</si>
  <si>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</si>
  <si>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</si>
  <si>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</si>
  <si>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</si>
  <si>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</si>
  <si>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</si>
  <si>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</si>
  <si>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</si>
  <si>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</si>
  <si>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</si>
  <si>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</si>
  <si>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</si>
  <si>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</si>
  <si>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</si>
  <si>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</si>
  <si>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</si>
  <si>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</si>
  <si>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</si>
  <si>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</si>
  <si>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</si>
  <si>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</si>
  <si>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</si>
  <si>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</si>
  <si>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</si>
  <si>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</si>
  <si>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</si>
  <si>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</si>
  <si>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</si>
  <si>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</si>
  <si>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</si>
  <si>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</si>
  <si>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</si>
  <si>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</si>
  <si>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</si>
  <si>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</si>
  <si>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</si>
  <si>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</si>
  <si>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</si>
  <si>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</si>
  <si>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</si>
  <si>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</si>
  <si>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</si>
  <si>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</si>
  <si>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</si>
  <si>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</si>
  <si>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</si>
  <si>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</si>
  <si>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</si>
  <si>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</si>
  <si>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</si>
  <si>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</si>
  <si>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</si>
  <si>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</si>
  <si>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</si>
  <si>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</si>
  <si>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</si>
  <si>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</si>
  <si>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</si>
  <si>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</si>
  <si>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</si>
  <si>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</si>
  <si>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</si>
  <si>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</si>
  <si>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</si>
  <si>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</si>
  <si>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</si>
  <si>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</si>
  <si>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</si>
  <si>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</si>
  <si>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</si>
  <si>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</si>
  <si>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</si>
  <si>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</si>
  <si>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</si>
  <si>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</si>
  <si>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</si>
  <si>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</si>
  <si>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</si>
  <si>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</si>
  <si>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</si>
  <si>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</si>
  <si>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</si>
  <si>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</si>
  <si>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</si>
  <si>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</si>
  <si>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</si>
  <si>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</si>
  <si>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</si>
  <si>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</si>
  <si>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</si>
  <si>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</si>
  <si>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</si>
  <si>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</si>
  <si>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</si>
  <si>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</si>
  <si>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</si>
  <si>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</si>
  <si>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</si>
  <si>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</si>
  <si>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</si>
  <si>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</si>
  <si>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</si>
  <si>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</si>
  <si>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</si>
  <si>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</si>
  <si>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</si>
  <si>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</si>
  <si>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</si>
  <si>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</si>
  <si>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</si>
  <si>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</si>
  <si>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</si>
  <si>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</si>
  <si>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</si>
  <si>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</si>
  <si>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</si>
  <si>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</si>
  <si>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</si>
  <si>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</si>
  <si>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</si>
  <si>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</si>
  <si>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</si>
  <si>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</si>
  <si>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</si>
  <si>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</si>
  <si>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</si>
  <si>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</si>
  <si>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</si>
  <si>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</si>
  <si>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</si>
  <si>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</si>
  <si>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</si>
  <si>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</si>
  <si>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</si>
  <si>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</si>
  <si>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</si>
  <si>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</si>
  <si>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</si>
  <si>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</si>
  <si>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</si>
  <si>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</si>
  <si>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</si>
  <si>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</si>
  <si>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</si>
  <si>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</si>
  <si>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Carrie liu</t>
  </si>
  <si>
    <t>Eve lai</t>
  </si>
  <si>
    <t>Edward yang</t>
  </si>
  <si>
    <t>Lili Chen</t>
  </si>
  <si>
    <t>suky tang</t>
    <phoneticPr fontId="2" type="noConversion"/>
  </si>
  <si>
    <t>周三周日不发</t>
    <phoneticPr fontId="2" type="noConversion"/>
  </si>
  <si>
    <t>周三工资不发，存起来</t>
    <phoneticPr fontId="2" type="noConversion"/>
  </si>
  <si>
    <t>James</t>
  </si>
  <si>
    <t>James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</si>
</sst>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3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rgb="FF0C0C0C"/>
      <name val="Calibri"/>
      <family val="2"/>
    </font>
    <font>
      <sz val="18"/>
      <color rgb="FF000000"/>
      <name val="Calibri"/>
      <family val="2"/>
    </font>
    <font>
      <sz val="18"/>
      <color theme="1"/>
      <name val="Calibri"/>
      <family val="2"/>
    </font>
    <font>
      <sz val="16"/>
      <color rgb="FF000000"/>
      <name val="Arial"/>
      <family val="2"/>
    </font>
    <font>
      <sz val="20"/>
      <color rgb="FF000000"/>
      <name val="SimSun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2" fillId="0" borderId="0" xfId="0" applyFont="1" applyProtection="1">
      <protection locked="0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/>
      <protection locked="0"/>
    </xf>
    <xf numFmtId="0" fontId="39" fillId="0" borderId="0" xfId="0" applyFont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/>
      <protection locked="0"/>
    </xf>
    <xf numFmtId="4" fontId="42" fillId="0" borderId="0" xfId="0" applyNumberFormat="1" applyFont="1" applyAlignment="1" applyProtection="1">
      <alignment horizontal="center" vertical="center" wrapText="1"/>
      <protection locked="0"/>
    </xf>
    <xf numFmtId="20" fontId="30" fillId="2" borderId="0" xfId="0" applyNumberFormat="1" applyFont="1" applyFill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/>
      <protection locked="0"/>
    </xf>
    <xf numFmtId="20" fontId="31" fillId="3" borderId="0" xfId="0" applyNumberFormat="1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5" zoomScaleNormal="60" workbookViewId="0">
      <pane xSplit="3" ySplit="1" topLeftCell="AB2" activePane="bottomRight" state="frozen"/>
      <selection pane="topRight" activeCell="D1" sqref="D1"/>
      <selection pane="bottomLeft" activeCell="A2" sqref="A2"/>
      <selection pane="bottomRight" activeCell="AR10" sqref="AR10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10155</v>
      </c>
      <c r="B2" s="105" t="s">
        <v>43</v>
      </c>
      <c r="C2" s="98" t="s">
        <v>1410</v>
      </c>
      <c r="D2" s="84">
        <v>0.41666666666666669</v>
      </c>
      <c r="E2" s="85">
        <v>0.625</v>
      </c>
      <c r="F2" s="92">
        <f>BA2-BB2</f>
        <v>5</v>
      </c>
      <c r="G2" s="85"/>
      <c r="H2" s="85"/>
      <c r="I2" s="92">
        <f>BF2-BG2</f>
        <v>0</v>
      </c>
      <c r="J2" s="85"/>
      <c r="K2" s="85"/>
      <c r="L2" s="92">
        <f>BK2-BL2</f>
        <v>0</v>
      </c>
      <c r="M2" s="85"/>
      <c r="N2" s="84"/>
      <c r="O2" s="92">
        <f>BP2-BQ2</f>
        <v>0</v>
      </c>
      <c r="P2" s="84"/>
      <c r="Q2" s="85"/>
      <c r="R2" s="92">
        <f>BU2-BV2</f>
        <v>0</v>
      </c>
      <c r="S2" s="85">
        <v>0.375</v>
      </c>
      <c r="T2" s="85">
        <v>0.79166666666666663</v>
      </c>
      <c r="U2" s="92">
        <f>BZ2-CA2</f>
        <v>9</v>
      </c>
      <c r="V2" s="85">
        <v>0.375</v>
      </c>
      <c r="W2" s="85">
        <v>0.5</v>
      </c>
      <c r="X2" s="92">
        <f>CE2-CF2</f>
        <v>3</v>
      </c>
      <c r="Y2" s="92"/>
      <c r="Z2" s="92"/>
      <c r="AA2" s="92"/>
      <c r="AB2" s="92">
        <f>SUM(F2,I2,L2,O2,R2,U2,X2)</f>
        <v>17</v>
      </c>
      <c r="AC2" s="93"/>
      <c r="AD2" s="78">
        <v>1</v>
      </c>
      <c r="AE2" s="94">
        <f t="shared" ref="AE2:AE40" si="1">SUMIF($BC$1:$CI$1,AE$1,$BC2:$CI2)+AD2</f>
        <v>6</v>
      </c>
      <c r="AF2" s="77"/>
      <c r="AG2" s="94">
        <f t="shared" ref="AG2:AG40" si="2">SUMIF($BC$1:$CI$1,AG$1,$BC2:$CI2)+AF2</f>
        <v>9</v>
      </c>
      <c r="AH2" s="78"/>
      <c r="AI2" s="94">
        <f t="shared" ref="AI2:AI40" si="3">SUMIF($BC$1:$CI$1,AI$1,$BC2:$CI2)+AH2</f>
        <v>3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3</v>
      </c>
      <c r="AQ2" s="77"/>
      <c r="AR2" s="77"/>
      <c r="AS2" s="77"/>
      <c r="AT2" s="44">
        <f>AE2+AG2+AI2+AK2+AM2+AO2+SUM(AQ2:AS2)</f>
        <v>18</v>
      </c>
      <c r="AU2" s="78"/>
      <c r="AV2" s="5"/>
      <c r="AW2" s="5"/>
      <c r="AX2" s="5"/>
      <c r="AY2" s="5"/>
      <c r="AZ2" s="24">
        <f>VLOOKUP(C2,Employees!D:I,6,FALSE)</f>
        <v>10155</v>
      </c>
      <c r="BA2" s="5">
        <f>IF(ISBLANK(D2),0,(E2-D2)*24)</f>
        <v>5</v>
      </c>
      <c r="BB2" s="5">
        <f>IF(BA2&gt;$AY$1,1,IF(BA2&gt;=$AX$1,0.5,0))</f>
        <v>0</v>
      </c>
      <c r="BC2" s="5">
        <f>BA2-BB2-BD2-BE2</f>
        <v>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10</v>
      </c>
      <c r="CA2" s="5">
        <f>IF(BZ2&gt;$AY$1,1,IF(BZ2&gt;=$AX$1,0.5,0))</f>
        <v>1</v>
      </c>
      <c r="CB2" s="5">
        <f>BZ2-CA2-CC2-CD2</f>
        <v>9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3</v>
      </c>
      <c r="CF2" s="5">
        <f>IF(CE2&gt;$AY$1,1,IF(CE2&gt;=$AX$1,0.5,0))</f>
        <v>0</v>
      </c>
      <c r="CG2" s="5">
        <f>CE2-CF2-CH2-CI2</f>
        <v>3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3</v>
      </c>
    </row>
    <row r="3" spans="1:89" ht="38" customHeight="1">
      <c r="A3" s="74">
        <f t="shared" si="0"/>
        <v>10144</v>
      </c>
      <c r="B3" s="105" t="s">
        <v>43</v>
      </c>
      <c r="C3" s="99" t="s">
        <v>1411</v>
      </c>
      <c r="D3" s="84"/>
      <c r="E3" s="85"/>
      <c r="F3" s="92">
        <f t="shared" ref="F3:F69" si="15">BA3-BB3</f>
        <v>0</v>
      </c>
      <c r="G3" s="85"/>
      <c r="H3" s="85"/>
      <c r="I3" s="92">
        <f t="shared" ref="I3:I69" si="16">BF3-BG3</f>
        <v>0</v>
      </c>
      <c r="J3" s="85"/>
      <c r="K3" s="85"/>
      <c r="L3" s="92">
        <f t="shared" ref="L3:L69" si="17">BK3-BL3</f>
        <v>0</v>
      </c>
      <c r="M3" s="85"/>
      <c r="N3" s="84"/>
      <c r="O3" s="92">
        <f t="shared" ref="O3:O69" si="18">BP3-BQ3</f>
        <v>0</v>
      </c>
      <c r="P3" s="84"/>
      <c r="Q3" s="85"/>
      <c r="R3" s="92">
        <f t="shared" ref="R3:R69" si="19">BU3-BV3</f>
        <v>0</v>
      </c>
      <c r="S3" s="85"/>
      <c r="T3" s="85"/>
      <c r="U3" s="92">
        <f t="shared" ref="U3:U69" si="20">BZ3-CA3</f>
        <v>0</v>
      </c>
      <c r="V3" s="85"/>
      <c r="W3" s="85"/>
      <c r="X3" s="92">
        <f t="shared" ref="X3:X69" si="21">CE3-CF3</f>
        <v>0</v>
      </c>
      <c r="Y3" s="92"/>
      <c r="Z3" s="92"/>
      <c r="AA3" s="92"/>
      <c r="AB3" s="92">
        <f t="shared" ref="AB3:AB69" si="22">SUM(F3,I3,L3,O3,R3,U3,X3)</f>
        <v>0</v>
      </c>
      <c r="AC3" s="93"/>
      <c r="AD3" s="78"/>
      <c r="AE3" s="94">
        <f t="shared" si="1"/>
        <v>0</v>
      </c>
      <c r="AF3" s="77"/>
      <c r="AG3" s="94">
        <f t="shared" si="2"/>
        <v>0</v>
      </c>
      <c r="AH3" s="78"/>
      <c r="AI3" s="94">
        <f t="shared" si="3"/>
        <v>0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0</v>
      </c>
      <c r="AQ3" s="77"/>
      <c r="AR3" s="77"/>
      <c r="AS3" s="77"/>
      <c r="AT3" s="44">
        <f t="shared" ref="AT3:AT69" si="24">AE3+AG3+AI3+AK3+AM3+AO3+SUM(AQ3:AS3)</f>
        <v>0</v>
      </c>
      <c r="AU3" s="78"/>
      <c r="AV3" s="5"/>
      <c r="AW3" s="5"/>
      <c r="AX3" s="5"/>
      <c r="AY3" s="5"/>
      <c r="AZ3" s="24">
        <f>VLOOKUP(C3,Employees!D:I,6,FALSE)</f>
        <v>10144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0</v>
      </c>
    </row>
    <row r="4" spans="1:89" ht="38" customHeight="1">
      <c r="A4" s="74">
        <f t="shared" si="0"/>
        <v>210508</v>
      </c>
      <c r="B4" s="105" t="s">
        <v>43</v>
      </c>
      <c r="C4" s="101" t="s">
        <v>1389</v>
      </c>
      <c r="D4" s="85">
        <v>0.72916666666666663</v>
      </c>
      <c r="E4" s="85">
        <v>0.91666666666666663</v>
      </c>
      <c r="F4" s="92">
        <f t="shared" si="15"/>
        <v>4.5</v>
      </c>
      <c r="G4" s="85">
        <v>0.41666666666666669</v>
      </c>
      <c r="H4" s="85">
        <v>0.91666666666666663</v>
      </c>
      <c r="I4" s="92">
        <f t="shared" si="16"/>
        <v>10.999999999999998</v>
      </c>
      <c r="J4" s="85"/>
      <c r="K4" s="85"/>
      <c r="L4" s="92">
        <f t="shared" si="17"/>
        <v>0</v>
      </c>
      <c r="M4" s="85">
        <v>0.375</v>
      </c>
      <c r="N4" s="85">
        <v>0.625</v>
      </c>
      <c r="O4" s="92">
        <f t="shared" si="18"/>
        <v>5.5</v>
      </c>
      <c r="P4" s="85"/>
      <c r="Q4" s="85"/>
      <c r="R4" s="92">
        <f t="shared" si="19"/>
        <v>0</v>
      </c>
      <c r="S4" s="85"/>
      <c r="T4" s="85"/>
      <c r="U4" s="92">
        <f t="shared" si="20"/>
        <v>0</v>
      </c>
      <c r="V4" s="85"/>
      <c r="W4" s="85"/>
      <c r="X4" s="92">
        <f t="shared" si="21"/>
        <v>0</v>
      </c>
      <c r="Y4" s="92"/>
      <c r="Z4" s="92"/>
      <c r="AA4" s="92"/>
      <c r="AB4" s="92">
        <f t="shared" si="22"/>
        <v>21</v>
      </c>
      <c r="AC4" s="93"/>
      <c r="AD4" s="78"/>
      <c r="AE4" s="94">
        <f t="shared" si="1"/>
        <v>21</v>
      </c>
      <c r="AF4" s="77"/>
      <c r="AG4" s="94">
        <f t="shared" si="2"/>
        <v>0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3</v>
      </c>
      <c r="AQ4" s="77"/>
      <c r="AR4" s="77"/>
      <c r="AS4" s="77"/>
      <c r="AT4" s="44">
        <f t="shared" si="24"/>
        <v>21</v>
      </c>
      <c r="AU4" s="78"/>
      <c r="AV4" s="5"/>
      <c r="AW4" s="5"/>
      <c r="AX4" s="5"/>
      <c r="AY4" s="5"/>
      <c r="AZ4" s="24">
        <f>VLOOKUP(C4,Employees!D:I,6,FALSE)</f>
        <v>210508</v>
      </c>
      <c r="BA4" s="5">
        <f t="shared" si="25"/>
        <v>4.5</v>
      </c>
      <c r="BB4" s="5">
        <f t="shared" si="26"/>
        <v>0</v>
      </c>
      <c r="BC4" s="5">
        <f t="shared" si="27"/>
        <v>4.5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11.999999999999998</v>
      </c>
      <c r="BG4" s="5">
        <f t="shared" si="30"/>
        <v>1</v>
      </c>
      <c r="BH4" s="5">
        <f t="shared" si="31"/>
        <v>10.999999999999998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6</v>
      </c>
      <c r="BQ4" s="5">
        <f t="shared" si="40"/>
        <v>0.5</v>
      </c>
      <c r="BR4" s="5">
        <f t="shared" si="41"/>
        <v>5.5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3</v>
      </c>
    </row>
    <row r="5" spans="1:89" ht="38" customHeight="1">
      <c r="A5" s="74">
        <f t="shared" si="0"/>
        <v>10198</v>
      </c>
      <c r="B5" s="105" t="s">
        <v>43</v>
      </c>
      <c r="C5" s="98" t="s">
        <v>1412</v>
      </c>
      <c r="D5" s="85"/>
      <c r="E5" s="85"/>
      <c r="F5" s="92">
        <f t="shared" si="15"/>
        <v>0</v>
      </c>
      <c r="G5" s="85"/>
      <c r="H5" s="85"/>
      <c r="I5" s="92">
        <f t="shared" si="16"/>
        <v>0</v>
      </c>
      <c r="J5" s="85"/>
      <c r="K5" s="85"/>
      <c r="L5" s="92">
        <f t="shared" si="17"/>
        <v>0</v>
      </c>
      <c r="M5" s="85">
        <v>0.625</v>
      </c>
      <c r="N5" s="85">
        <v>0.91666666666666663</v>
      </c>
      <c r="O5" s="92">
        <f t="shared" si="18"/>
        <v>6.4999999999999991</v>
      </c>
      <c r="P5" s="85">
        <v>0.66666666666666663</v>
      </c>
      <c r="Q5" s="85">
        <v>0.98958333333333337</v>
      </c>
      <c r="R5" s="92">
        <f t="shared" si="19"/>
        <v>7.2500000000000018</v>
      </c>
      <c r="S5" s="85">
        <v>0.5</v>
      </c>
      <c r="T5" s="85">
        <v>0.97916666666666663</v>
      </c>
      <c r="U5" s="92">
        <f t="shared" si="20"/>
        <v>10.5</v>
      </c>
      <c r="V5" s="85"/>
      <c r="W5" s="85"/>
      <c r="X5" s="92">
        <f t="shared" si="21"/>
        <v>0</v>
      </c>
      <c r="Y5" s="92"/>
      <c r="Z5" s="92"/>
      <c r="AA5" s="92"/>
      <c r="AB5" s="92">
        <f t="shared" si="22"/>
        <v>24.25</v>
      </c>
      <c r="AC5" s="93"/>
      <c r="AD5" s="78"/>
      <c r="AE5" s="94">
        <f t="shared" si="1"/>
        <v>12</v>
      </c>
      <c r="AF5" s="77"/>
      <c r="AG5" s="94">
        <f t="shared" si="2"/>
        <v>10.5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1.7500000000000018</v>
      </c>
      <c r="AN5" s="77"/>
      <c r="AO5" s="94">
        <f t="shared" si="6"/>
        <v>0</v>
      </c>
      <c r="AP5" s="95">
        <f t="shared" si="23"/>
        <v>3</v>
      </c>
      <c r="AQ5" s="77"/>
      <c r="AR5" s="77"/>
      <c r="AS5" s="77"/>
      <c r="AT5" s="44">
        <f t="shared" si="24"/>
        <v>24.25</v>
      </c>
      <c r="AU5" s="78"/>
      <c r="AV5" s="5"/>
      <c r="AW5" s="5"/>
      <c r="AX5" s="5"/>
      <c r="AY5" s="5"/>
      <c r="AZ5" s="24">
        <f>VLOOKUP(C5,Employees!D:I,6,FALSE)</f>
        <v>10198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6.9999999999999991</v>
      </c>
      <c r="BQ5" s="5">
        <f t="shared" si="40"/>
        <v>0.5</v>
      </c>
      <c r="BR5" s="5">
        <f t="shared" si="41"/>
        <v>6.4999999999999991</v>
      </c>
      <c r="BS5" s="5">
        <f t="shared" si="42"/>
        <v>0</v>
      </c>
      <c r="BT5" s="5">
        <f t="shared" si="43"/>
        <v>0</v>
      </c>
      <c r="BU5" s="5">
        <f t="shared" si="44"/>
        <v>7.7500000000000018</v>
      </c>
      <c r="BV5" s="5">
        <f t="shared" si="45"/>
        <v>0.5</v>
      </c>
      <c r="BW5" s="5">
        <f t="shared" si="46"/>
        <v>5.5</v>
      </c>
      <c r="BX5" s="5">
        <f t="shared" si="47"/>
        <v>1.7500000000000018</v>
      </c>
      <c r="BY5" s="5">
        <f t="shared" si="11"/>
        <v>0</v>
      </c>
      <c r="BZ5" s="5">
        <f t="shared" si="48"/>
        <v>11.5</v>
      </c>
      <c r="CA5" s="5">
        <f t="shared" si="49"/>
        <v>1</v>
      </c>
      <c r="CB5" s="5">
        <f t="shared" si="50"/>
        <v>9</v>
      </c>
      <c r="CC5" s="5">
        <f t="shared" si="51"/>
        <v>1.5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3</v>
      </c>
    </row>
    <row r="6" spans="1:89" ht="38" customHeight="1">
      <c r="A6" s="74">
        <f t="shared" si="0"/>
        <v>10410</v>
      </c>
      <c r="B6" s="105" t="s">
        <v>43</v>
      </c>
      <c r="C6" s="99" t="s">
        <v>1122</v>
      </c>
      <c r="D6" s="85"/>
      <c r="E6" s="85"/>
      <c r="F6" s="92">
        <f t="shared" si="15"/>
        <v>0</v>
      </c>
      <c r="G6" s="85"/>
      <c r="H6" s="85"/>
      <c r="I6" s="92">
        <f t="shared" si="16"/>
        <v>0</v>
      </c>
      <c r="J6" s="85"/>
      <c r="K6" s="85"/>
      <c r="L6" s="92">
        <f t="shared" si="17"/>
        <v>0</v>
      </c>
      <c r="M6" s="85">
        <v>0.66666666666666663</v>
      </c>
      <c r="N6" s="85">
        <v>0.96875</v>
      </c>
      <c r="O6" s="92">
        <f t="shared" si="18"/>
        <v>6.7500000000000009</v>
      </c>
      <c r="P6" s="85">
        <v>0.375</v>
      </c>
      <c r="Q6" s="85">
        <v>0.70833333333333337</v>
      </c>
      <c r="R6" s="92">
        <f t="shared" si="19"/>
        <v>7.5</v>
      </c>
      <c r="S6" s="85">
        <v>0.66666666666666663</v>
      </c>
      <c r="T6" s="85">
        <v>0.98958333333333337</v>
      </c>
      <c r="U6" s="92">
        <f t="shared" si="20"/>
        <v>7.2500000000000018</v>
      </c>
      <c r="V6" s="85">
        <v>0.54166666666666663</v>
      </c>
      <c r="W6" s="85">
        <v>0.96875</v>
      </c>
      <c r="X6" s="92">
        <f t="shared" si="21"/>
        <v>9.25</v>
      </c>
      <c r="Y6" s="92"/>
      <c r="Z6" s="92"/>
      <c r="AA6" s="92"/>
      <c r="AB6" s="92">
        <f t="shared" si="22"/>
        <v>30.75</v>
      </c>
      <c r="AC6" s="93"/>
      <c r="AD6" s="78">
        <v>5.32</v>
      </c>
      <c r="AE6" s="94">
        <f t="shared" si="1"/>
        <v>18.32</v>
      </c>
      <c r="AF6" s="77"/>
      <c r="AG6" s="94">
        <f t="shared" si="2"/>
        <v>7.2500000000000018</v>
      </c>
      <c r="AH6" s="78"/>
      <c r="AI6" s="94">
        <f t="shared" si="3"/>
        <v>9.25</v>
      </c>
      <c r="AJ6" s="77"/>
      <c r="AK6" s="94">
        <f t="shared" si="4"/>
        <v>0</v>
      </c>
      <c r="AL6" s="77"/>
      <c r="AM6" s="94">
        <f t="shared" si="5"/>
        <v>1.2500000000000009</v>
      </c>
      <c r="AN6" s="77"/>
      <c r="AO6" s="94">
        <f t="shared" si="6"/>
        <v>0</v>
      </c>
      <c r="AP6" s="95">
        <f t="shared" si="23"/>
        <v>4</v>
      </c>
      <c r="AQ6" s="77"/>
      <c r="AR6" s="77"/>
      <c r="AS6" s="77"/>
      <c r="AT6" s="44">
        <f t="shared" si="24"/>
        <v>36.07</v>
      </c>
      <c r="AU6" s="78"/>
      <c r="AV6" s="5"/>
      <c r="AW6" s="5"/>
      <c r="AX6" s="5"/>
      <c r="AY6" s="5"/>
      <c r="AZ6" s="24">
        <f>VLOOKUP(C6,Employees!D:I,6,FALSE)</f>
        <v>10410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7.2500000000000009</v>
      </c>
      <c r="BQ6" s="5">
        <f t="shared" si="40"/>
        <v>0.5</v>
      </c>
      <c r="BR6" s="5">
        <f t="shared" si="41"/>
        <v>5.5</v>
      </c>
      <c r="BS6" s="5">
        <f t="shared" si="42"/>
        <v>1.2500000000000009</v>
      </c>
      <c r="BT6" s="5">
        <f t="shared" si="43"/>
        <v>0</v>
      </c>
      <c r="BU6" s="5">
        <f t="shared" si="44"/>
        <v>8</v>
      </c>
      <c r="BV6" s="5">
        <f t="shared" si="45"/>
        <v>0.5</v>
      </c>
      <c r="BW6" s="5">
        <f t="shared" si="46"/>
        <v>7.5</v>
      </c>
      <c r="BX6" s="5">
        <f t="shared" si="47"/>
        <v>0</v>
      </c>
      <c r="BY6" s="5">
        <f t="shared" si="11"/>
        <v>0</v>
      </c>
      <c r="BZ6" s="5">
        <f t="shared" si="48"/>
        <v>7.7500000000000018</v>
      </c>
      <c r="CA6" s="5">
        <f t="shared" si="49"/>
        <v>0.5</v>
      </c>
      <c r="CB6" s="5">
        <f t="shared" si="50"/>
        <v>5.5</v>
      </c>
      <c r="CC6" s="5">
        <f t="shared" si="51"/>
        <v>1.7500000000000018</v>
      </c>
      <c r="CD6" s="5">
        <f t="shared" si="52"/>
        <v>0</v>
      </c>
      <c r="CE6" s="5">
        <f t="shared" si="53"/>
        <v>10.25</v>
      </c>
      <c r="CF6" s="5">
        <f t="shared" si="54"/>
        <v>1</v>
      </c>
      <c r="CG6" s="5">
        <f t="shared" si="55"/>
        <v>7.9999999999999991</v>
      </c>
      <c r="CH6" s="5">
        <f t="shared" si="56"/>
        <v>1.2500000000000009</v>
      </c>
      <c r="CI6" s="5">
        <f t="shared" si="57"/>
        <v>0</v>
      </c>
      <c r="CJ6" s="5"/>
      <c r="CK6" s="4">
        <f t="shared" si="14"/>
        <v>4</v>
      </c>
    </row>
    <row r="7" spans="1:89" ht="38" customHeight="1">
      <c r="A7" s="74">
        <f t="shared" si="0"/>
        <v>210478</v>
      </c>
      <c r="B7" s="105" t="s">
        <v>43</v>
      </c>
      <c r="C7" s="99" t="s">
        <v>1413</v>
      </c>
      <c r="D7" s="84"/>
      <c r="E7" s="85"/>
      <c r="F7" s="92">
        <f t="shared" si="15"/>
        <v>0</v>
      </c>
      <c r="G7" s="85"/>
      <c r="H7" s="85"/>
      <c r="I7" s="92">
        <f t="shared" si="16"/>
        <v>0</v>
      </c>
      <c r="J7" s="104">
        <v>0.41666666666666669</v>
      </c>
      <c r="K7" s="104">
        <v>0.91666666666666663</v>
      </c>
      <c r="L7" s="92">
        <f t="shared" si="17"/>
        <v>10.999999999999998</v>
      </c>
      <c r="M7" s="84"/>
      <c r="N7" s="85"/>
      <c r="O7" s="92">
        <f t="shared" si="18"/>
        <v>0</v>
      </c>
      <c r="P7" s="84">
        <v>0.70833333333333337</v>
      </c>
      <c r="Q7" s="85">
        <v>0.97916666666666663</v>
      </c>
      <c r="R7" s="92">
        <f t="shared" si="19"/>
        <v>5.9999999999999982</v>
      </c>
      <c r="S7" s="84"/>
      <c r="T7" s="85"/>
      <c r="U7" s="92">
        <f t="shared" si="20"/>
        <v>0</v>
      </c>
      <c r="V7" s="104">
        <v>0.5</v>
      </c>
      <c r="W7" s="104">
        <v>0.95833333333333337</v>
      </c>
      <c r="X7" s="92">
        <f t="shared" si="21"/>
        <v>10</v>
      </c>
      <c r="Y7" s="92"/>
      <c r="Z7" s="92"/>
      <c r="AA7" s="92"/>
      <c r="AB7" s="92">
        <f t="shared" si="22"/>
        <v>26.999999999999996</v>
      </c>
      <c r="AC7" s="93"/>
      <c r="AD7" s="78">
        <v>-11</v>
      </c>
      <c r="AE7" s="94">
        <f t="shared" si="1"/>
        <v>4.4999999999999964</v>
      </c>
      <c r="AF7" s="77"/>
      <c r="AG7" s="94">
        <f t="shared" si="2"/>
        <v>0</v>
      </c>
      <c r="AH7" s="77">
        <v>-10</v>
      </c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1.5</v>
      </c>
      <c r="AN7" s="77"/>
      <c r="AO7" s="94">
        <f t="shared" si="6"/>
        <v>0</v>
      </c>
      <c r="AP7" s="95">
        <f t="shared" si="23"/>
        <v>3</v>
      </c>
      <c r="AQ7" s="77"/>
      <c r="AR7" s="77"/>
      <c r="AS7" s="77"/>
      <c r="AT7" s="44">
        <f t="shared" si="24"/>
        <v>5.9999999999999964</v>
      </c>
      <c r="AU7" s="103" t="s">
        <v>1415</v>
      </c>
      <c r="AV7" s="5"/>
      <c r="AW7" s="5"/>
      <c r="AX7" s="5"/>
      <c r="AY7" s="5"/>
      <c r="AZ7" s="24">
        <f>VLOOKUP(C7,Employees!D:I,6,FALSE)</f>
        <v>210478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11.999999999999998</v>
      </c>
      <c r="BL7" s="5">
        <f t="shared" si="35"/>
        <v>1</v>
      </c>
      <c r="BM7" s="5">
        <f t="shared" si="36"/>
        <v>10.999999999999998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6.4999999999999982</v>
      </c>
      <c r="BV7" s="5">
        <f t="shared" si="45"/>
        <v>0.5</v>
      </c>
      <c r="BW7" s="5">
        <f t="shared" si="46"/>
        <v>4.4999999999999982</v>
      </c>
      <c r="BX7" s="5">
        <f t="shared" si="47"/>
        <v>1.5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11</v>
      </c>
      <c r="CF7" s="5">
        <f t="shared" si="54"/>
        <v>1</v>
      </c>
      <c r="CG7" s="5">
        <f t="shared" si="55"/>
        <v>8.9999999999999982</v>
      </c>
      <c r="CH7" s="5">
        <f t="shared" si="56"/>
        <v>1.0000000000000018</v>
      </c>
      <c r="CI7" s="5">
        <f t="shared" si="57"/>
        <v>0</v>
      </c>
      <c r="CJ7" s="5"/>
      <c r="CK7" s="4">
        <f t="shared" si="14"/>
        <v>3</v>
      </c>
    </row>
    <row r="8" spans="1:89" ht="38" customHeight="1">
      <c r="A8" s="74">
        <f t="shared" si="0"/>
        <v>210518</v>
      </c>
      <c r="B8" s="105" t="s">
        <v>43</v>
      </c>
      <c r="C8" s="102" t="s">
        <v>1418</v>
      </c>
      <c r="D8" s="84">
        <v>0.58333333333333337</v>
      </c>
      <c r="E8" s="85">
        <v>0.96875</v>
      </c>
      <c r="F8" s="92">
        <f t="shared" si="15"/>
        <v>8.25</v>
      </c>
      <c r="G8" s="85">
        <v>0.625</v>
      </c>
      <c r="H8" s="85">
        <v>0.96875</v>
      </c>
      <c r="I8" s="92">
        <f t="shared" si="16"/>
        <v>7.75</v>
      </c>
      <c r="J8" s="84">
        <v>0.66666666666666663</v>
      </c>
      <c r="K8" s="85">
        <v>0.96875</v>
      </c>
      <c r="L8" s="92">
        <f t="shared" si="17"/>
        <v>6.7500000000000009</v>
      </c>
      <c r="M8" s="85"/>
      <c r="N8" s="85"/>
      <c r="O8" s="92">
        <f t="shared" si="18"/>
        <v>0</v>
      </c>
      <c r="P8" s="84"/>
      <c r="Q8" s="85"/>
      <c r="R8" s="92">
        <f t="shared" si="19"/>
        <v>0</v>
      </c>
      <c r="S8" s="84"/>
      <c r="T8" s="85"/>
      <c r="U8" s="92">
        <f t="shared" si="20"/>
        <v>0</v>
      </c>
      <c r="V8" s="85"/>
      <c r="W8" s="85"/>
      <c r="X8" s="92">
        <f t="shared" si="21"/>
        <v>0</v>
      </c>
      <c r="Y8" s="92"/>
      <c r="Z8" s="92"/>
      <c r="AA8" s="92"/>
      <c r="AB8" s="92">
        <f t="shared" si="22"/>
        <v>22.75</v>
      </c>
      <c r="AC8" s="93"/>
      <c r="AD8" s="78"/>
      <c r="AE8" s="94">
        <f t="shared" si="1"/>
        <v>19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3.7500000000000027</v>
      </c>
      <c r="AN8" s="77"/>
      <c r="AO8" s="94">
        <f t="shared" si="6"/>
        <v>0</v>
      </c>
      <c r="AP8" s="95">
        <f t="shared" si="23"/>
        <v>3</v>
      </c>
      <c r="AQ8" s="77"/>
      <c r="AR8" s="77"/>
      <c r="AS8" s="77"/>
      <c r="AT8" s="44">
        <f t="shared" si="24"/>
        <v>22.750000000000004</v>
      </c>
      <c r="AU8" s="78"/>
      <c r="AV8" s="5"/>
      <c r="AW8" s="5"/>
      <c r="AX8" s="5"/>
      <c r="AY8" s="5"/>
      <c r="AZ8" s="24">
        <f>VLOOKUP(C8,Employees!D:I,6,FALSE)</f>
        <v>210518</v>
      </c>
      <c r="BA8" s="5">
        <f t="shared" si="25"/>
        <v>9.25</v>
      </c>
      <c r="BB8" s="5">
        <f t="shared" si="26"/>
        <v>1</v>
      </c>
      <c r="BC8" s="5">
        <f t="shared" si="27"/>
        <v>6.9999999999999991</v>
      </c>
      <c r="BD8" s="5">
        <f t="shared" si="58"/>
        <v>1.2500000000000009</v>
      </c>
      <c r="BE8" s="5">
        <f t="shared" si="28"/>
        <v>0</v>
      </c>
      <c r="BF8" s="5">
        <f t="shared" si="29"/>
        <v>8.25</v>
      </c>
      <c r="BG8" s="5">
        <f t="shared" si="30"/>
        <v>0.5</v>
      </c>
      <c r="BH8" s="5">
        <f t="shared" si="31"/>
        <v>6.4999999999999991</v>
      </c>
      <c r="BI8" s="5">
        <f t="shared" si="32"/>
        <v>1.2500000000000009</v>
      </c>
      <c r="BJ8" s="5">
        <f t="shared" si="33"/>
        <v>0</v>
      </c>
      <c r="BK8" s="5">
        <f t="shared" si="34"/>
        <v>7.2500000000000009</v>
      </c>
      <c r="BL8" s="5">
        <f t="shared" si="35"/>
        <v>0.5</v>
      </c>
      <c r="BM8" s="5">
        <f t="shared" si="36"/>
        <v>5.5</v>
      </c>
      <c r="BN8" s="5">
        <f t="shared" si="37"/>
        <v>1.2500000000000009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3</v>
      </c>
    </row>
    <row r="9" spans="1:89" ht="38" customHeight="1">
      <c r="A9" s="74">
        <f t="shared" si="0"/>
        <v>10369</v>
      </c>
      <c r="B9" s="105" t="s">
        <v>43</v>
      </c>
      <c r="C9" s="99" t="s">
        <v>1414</v>
      </c>
      <c r="D9" s="85"/>
      <c r="E9" s="85"/>
      <c r="F9" s="92">
        <f t="shared" si="15"/>
        <v>0</v>
      </c>
      <c r="G9" s="85"/>
      <c r="H9" s="85"/>
      <c r="I9" s="92">
        <f t="shared" si="16"/>
        <v>0</v>
      </c>
      <c r="J9" s="85"/>
      <c r="K9" s="85"/>
      <c r="L9" s="92">
        <f t="shared" si="17"/>
        <v>0</v>
      </c>
      <c r="M9" s="84"/>
      <c r="N9" s="85"/>
      <c r="O9" s="92">
        <f t="shared" si="18"/>
        <v>0</v>
      </c>
      <c r="P9" s="85"/>
      <c r="Q9" s="85"/>
      <c r="R9" s="92">
        <f t="shared" si="19"/>
        <v>0</v>
      </c>
      <c r="S9" s="84"/>
      <c r="T9" s="85"/>
      <c r="U9" s="92">
        <f t="shared" si="20"/>
        <v>0</v>
      </c>
      <c r="V9" s="85"/>
      <c r="W9" s="8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>
        <v>38</v>
      </c>
      <c r="AS9" s="77"/>
      <c r="AT9" s="44">
        <f t="shared" si="24"/>
        <v>38</v>
      </c>
      <c r="AU9" s="78"/>
      <c r="AV9" s="5"/>
      <c r="AW9" s="5"/>
      <c r="AX9" s="5"/>
      <c r="AY9" s="5"/>
      <c r="AZ9" s="24">
        <f>VLOOKUP(C9,Employees!D:I,6,FALSE)</f>
        <v>10369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>
        <f t="shared" si="0"/>
        <v>10165</v>
      </c>
      <c r="B10" s="105" t="s">
        <v>43</v>
      </c>
      <c r="C10" s="100" t="s">
        <v>981</v>
      </c>
      <c r="D10" s="84"/>
      <c r="E10" s="84"/>
      <c r="F10" s="92">
        <f t="shared" si="15"/>
        <v>0</v>
      </c>
      <c r="G10" s="85"/>
      <c r="H10" s="85"/>
      <c r="I10" s="92">
        <f t="shared" si="16"/>
        <v>0</v>
      </c>
      <c r="J10" s="84"/>
      <c r="K10" s="85"/>
      <c r="L10" s="92">
        <f t="shared" si="17"/>
        <v>0</v>
      </c>
      <c r="M10" s="85"/>
      <c r="N10" s="85"/>
      <c r="O10" s="92">
        <f t="shared" si="18"/>
        <v>0</v>
      </c>
      <c r="P10" s="85"/>
      <c r="Q10" s="85"/>
      <c r="R10" s="92">
        <f t="shared" si="19"/>
        <v>0</v>
      </c>
      <c r="S10" s="84"/>
      <c r="T10" s="85"/>
      <c r="U10" s="92">
        <f t="shared" si="20"/>
        <v>0</v>
      </c>
      <c r="V10" s="85"/>
      <c r="W10" s="8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>
        <v>30</v>
      </c>
      <c r="AS10" s="77"/>
      <c r="AT10" s="44">
        <f t="shared" si="24"/>
        <v>30</v>
      </c>
      <c r="AU10" s="78"/>
      <c r="AV10" s="5"/>
      <c r="AW10" s="5"/>
      <c r="AX10" s="5"/>
      <c r="AY10" s="5"/>
      <c r="AZ10" s="24">
        <f>VLOOKUP(C10,Employees!D:I,6,FALSE)</f>
        <v>10165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97"/>
      <c r="C11" s="101"/>
      <c r="D11" s="85"/>
      <c r="E11" s="85"/>
      <c r="F11" s="92">
        <f t="shared" si="15"/>
        <v>0</v>
      </c>
      <c r="G11" s="85"/>
      <c r="H11" s="85"/>
      <c r="I11" s="92">
        <f t="shared" si="16"/>
        <v>0</v>
      </c>
      <c r="J11" s="84"/>
      <c r="K11" s="85"/>
      <c r="L11" s="92">
        <f t="shared" si="17"/>
        <v>0</v>
      </c>
      <c r="M11" s="85"/>
      <c r="N11" s="85"/>
      <c r="O11" s="92">
        <f t="shared" si="18"/>
        <v>0</v>
      </c>
      <c r="P11" s="84"/>
      <c r="Q11" s="85"/>
      <c r="R11" s="92">
        <f t="shared" si="19"/>
        <v>0</v>
      </c>
      <c r="S11" s="75"/>
      <c r="T11" s="75"/>
      <c r="U11" s="92">
        <f t="shared" si="20"/>
        <v>0</v>
      </c>
      <c r="V11" s="84"/>
      <c r="W11" s="8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2">
        <f t="shared" si="15"/>
        <v>0</v>
      </c>
      <c r="G12" s="85"/>
      <c r="H12" s="85"/>
      <c r="I12" s="92">
        <f t="shared" si="16"/>
        <v>0</v>
      </c>
      <c r="J12" s="76"/>
      <c r="K12" s="75"/>
      <c r="L12" s="92">
        <f t="shared" si="17"/>
        <v>0</v>
      </c>
      <c r="M12" s="85"/>
      <c r="N12" s="8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2">
        <f t="shared" si="15"/>
        <v>0</v>
      </c>
      <c r="G13" s="85"/>
      <c r="H13" s="84"/>
      <c r="I13" s="92">
        <f t="shared" si="16"/>
        <v>0</v>
      </c>
      <c r="J13" s="76"/>
      <c r="K13" s="75"/>
      <c r="L13" s="92">
        <f t="shared" si="17"/>
        <v>0</v>
      </c>
      <c r="M13" s="85"/>
      <c r="N13" s="84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2">
        <f t="shared" si="15"/>
        <v>0</v>
      </c>
      <c r="G14" s="85"/>
      <c r="H14" s="85"/>
      <c r="I14" s="92">
        <f t="shared" si="16"/>
        <v>0</v>
      </c>
      <c r="J14" s="76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6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2">
        <f t="shared" si="15"/>
        <v>0</v>
      </c>
      <c r="G16" s="75"/>
      <c r="H16" s="75"/>
      <c r="I16" s="92">
        <f t="shared" si="16"/>
        <v>0</v>
      </c>
      <c r="J16" s="76"/>
      <c r="K16" s="75"/>
      <c r="L16" s="92">
        <f t="shared" si="17"/>
        <v>0</v>
      </c>
      <c r="M16" s="75"/>
      <c r="N16" s="75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75"/>
      <c r="W16" s="75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6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75"/>
      <c r="T17" s="75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6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6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6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6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6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89"/>
      <c r="E37" s="89"/>
      <c r="F37" s="44">
        <f t="shared" si="15"/>
        <v>0</v>
      </c>
      <c r="G37" s="89"/>
      <c r="H37" s="89"/>
      <c r="I37" s="44">
        <f t="shared" si="16"/>
        <v>0</v>
      </c>
      <c r="J37" s="90"/>
      <c r="K37" s="91"/>
      <c r="L37" s="44">
        <f t="shared" si="17"/>
        <v>0</v>
      </c>
      <c r="M37" s="91"/>
      <c r="N37" s="91"/>
      <c r="O37" s="44">
        <f t="shared" si="18"/>
        <v>0</v>
      </c>
      <c r="P37" s="91"/>
      <c r="Q37" s="91"/>
      <c r="R37" s="44">
        <f t="shared" si="19"/>
        <v>0</v>
      </c>
      <c r="S37" s="91"/>
      <c r="T37" s="91"/>
      <c r="U37" s="44">
        <f t="shared" si="20"/>
        <v>0</v>
      </c>
      <c r="V37" s="91"/>
      <c r="W37" s="91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89"/>
      <c r="E38" s="89"/>
      <c r="F38" s="44">
        <f t="shared" si="15"/>
        <v>0</v>
      </c>
      <c r="G38" s="89"/>
      <c r="H38" s="89"/>
      <c r="I38" s="44">
        <f t="shared" si="16"/>
        <v>0</v>
      </c>
      <c r="J38" s="90"/>
      <c r="K38" s="91"/>
      <c r="L38" s="44">
        <f t="shared" si="17"/>
        <v>0</v>
      </c>
      <c r="M38" s="90"/>
      <c r="N38" s="91"/>
      <c r="O38" s="44">
        <f t="shared" si="18"/>
        <v>0</v>
      </c>
      <c r="P38" s="91"/>
      <c r="Q38" s="91"/>
      <c r="R38" s="44">
        <f t="shared" si="19"/>
        <v>0</v>
      </c>
      <c r="S38" s="91"/>
      <c r="T38" s="91"/>
      <c r="U38" s="44">
        <f t="shared" si="20"/>
        <v>0</v>
      </c>
      <c r="V38" s="91"/>
      <c r="W38" s="91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89"/>
      <c r="E39" s="89"/>
      <c r="F39" s="44">
        <f t="shared" si="15"/>
        <v>0</v>
      </c>
      <c r="G39" s="89"/>
      <c r="H39" s="89"/>
      <c r="I39" s="44">
        <f t="shared" si="16"/>
        <v>0</v>
      </c>
      <c r="J39" s="90"/>
      <c r="K39" s="91"/>
      <c r="L39" s="44">
        <f t="shared" si="17"/>
        <v>0</v>
      </c>
      <c r="M39" s="91"/>
      <c r="N39" s="91"/>
      <c r="O39" s="44">
        <f t="shared" si="18"/>
        <v>0</v>
      </c>
      <c r="P39" s="91"/>
      <c r="Q39" s="91"/>
      <c r="R39" s="44">
        <f t="shared" si="19"/>
        <v>0</v>
      </c>
      <c r="S39" s="91"/>
      <c r="T39" s="91"/>
      <c r="U39" s="44">
        <f t="shared" si="20"/>
        <v>0</v>
      </c>
      <c r="V39" s="91"/>
      <c r="W39" s="91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89"/>
      <c r="E40" s="89"/>
      <c r="F40" s="44">
        <f t="shared" si="15"/>
        <v>0</v>
      </c>
      <c r="G40" s="89"/>
      <c r="H40" s="89"/>
      <c r="I40" s="44">
        <f t="shared" si="16"/>
        <v>0</v>
      </c>
      <c r="J40" s="90"/>
      <c r="K40" s="91"/>
      <c r="L40" s="44">
        <f t="shared" si="17"/>
        <v>0</v>
      </c>
      <c r="M40" s="91"/>
      <c r="N40" s="91"/>
      <c r="O40" s="44">
        <f t="shared" si="18"/>
        <v>0</v>
      </c>
      <c r="P40" s="91"/>
      <c r="Q40" s="91"/>
      <c r="R40" s="44">
        <f t="shared" si="19"/>
        <v>0</v>
      </c>
      <c r="S40" s="91"/>
      <c r="T40" s="91"/>
      <c r="U40" s="44">
        <f t="shared" si="20"/>
        <v>0</v>
      </c>
      <c r="V40" s="91"/>
      <c r="W40" s="91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89"/>
      <c r="E41" s="89"/>
      <c r="F41" s="44">
        <f t="shared" ref="F41:F60" si="77">BA41-BB41</f>
        <v>0</v>
      </c>
      <c r="G41" s="89"/>
      <c r="H41" s="89"/>
      <c r="I41" s="44">
        <f t="shared" ref="I41:I60" si="78">BF41-BG41</f>
        <v>0</v>
      </c>
      <c r="J41" s="90"/>
      <c r="K41" s="91"/>
      <c r="L41" s="44">
        <f t="shared" ref="L41:L60" si="79">BK41-BL41</f>
        <v>0</v>
      </c>
      <c r="M41" s="91"/>
      <c r="N41" s="91"/>
      <c r="O41" s="44">
        <f t="shared" ref="O41:O60" si="80">BP41-BQ41</f>
        <v>0</v>
      </c>
      <c r="P41" s="91"/>
      <c r="Q41" s="91"/>
      <c r="R41" s="44">
        <f t="shared" ref="R41:R60" si="81">BU41-BV41</f>
        <v>0</v>
      </c>
      <c r="S41" s="91"/>
      <c r="T41" s="91"/>
      <c r="U41" s="44">
        <f t="shared" ref="U41:U60" si="82">BZ41-CA41</f>
        <v>0</v>
      </c>
      <c r="V41" s="91"/>
      <c r="W41" s="91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89"/>
      <c r="E42" s="89"/>
      <c r="F42" s="44">
        <f t="shared" si="77"/>
        <v>0</v>
      </c>
      <c r="G42" s="89"/>
      <c r="H42" s="89"/>
      <c r="I42" s="44">
        <f t="shared" si="78"/>
        <v>0</v>
      </c>
      <c r="J42" s="90"/>
      <c r="K42" s="91"/>
      <c r="L42" s="44">
        <f t="shared" si="79"/>
        <v>0</v>
      </c>
      <c r="M42" s="91"/>
      <c r="N42" s="91"/>
      <c r="O42" s="44">
        <f t="shared" si="80"/>
        <v>0</v>
      </c>
      <c r="P42" s="91"/>
      <c r="Q42" s="91"/>
      <c r="R42" s="44">
        <f t="shared" si="81"/>
        <v>0</v>
      </c>
      <c r="S42" s="91"/>
      <c r="T42" s="91"/>
      <c r="U42" s="44">
        <f t="shared" si="82"/>
        <v>0</v>
      </c>
      <c r="V42" s="91"/>
      <c r="W42" s="91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89"/>
      <c r="E43" s="89"/>
      <c r="F43" s="44">
        <f t="shared" si="77"/>
        <v>0</v>
      </c>
      <c r="G43" s="89"/>
      <c r="H43" s="89"/>
      <c r="I43" s="44">
        <f t="shared" si="78"/>
        <v>0</v>
      </c>
      <c r="J43" s="90"/>
      <c r="K43" s="91"/>
      <c r="L43" s="44">
        <f t="shared" si="79"/>
        <v>0</v>
      </c>
      <c r="M43" s="91"/>
      <c r="N43" s="91"/>
      <c r="O43" s="44">
        <f t="shared" si="80"/>
        <v>0</v>
      </c>
      <c r="P43" s="91"/>
      <c r="Q43" s="91"/>
      <c r="R43" s="44">
        <f t="shared" si="81"/>
        <v>0</v>
      </c>
      <c r="S43" s="91"/>
      <c r="T43" s="91"/>
      <c r="U43" s="44">
        <f t="shared" si="82"/>
        <v>0</v>
      </c>
      <c r="V43" s="91"/>
      <c r="W43" s="91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89"/>
      <c r="E44" s="89"/>
      <c r="F44" s="44">
        <f t="shared" si="77"/>
        <v>0</v>
      </c>
      <c r="G44" s="89"/>
      <c r="H44" s="89"/>
      <c r="I44" s="44">
        <f t="shared" si="78"/>
        <v>0</v>
      </c>
      <c r="J44" s="90"/>
      <c r="K44" s="91"/>
      <c r="L44" s="44">
        <f t="shared" si="79"/>
        <v>0</v>
      </c>
      <c r="M44" s="91"/>
      <c r="N44" s="91"/>
      <c r="O44" s="44">
        <f t="shared" si="80"/>
        <v>0</v>
      </c>
      <c r="P44" s="91"/>
      <c r="Q44" s="91"/>
      <c r="R44" s="44">
        <f t="shared" si="81"/>
        <v>0</v>
      </c>
      <c r="S44" s="91"/>
      <c r="T44" s="91"/>
      <c r="U44" s="44">
        <f t="shared" si="82"/>
        <v>0</v>
      </c>
      <c r="V44" s="91"/>
      <c r="W44" s="91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89"/>
      <c r="E45" s="89"/>
      <c r="F45" s="44">
        <f t="shared" si="77"/>
        <v>0</v>
      </c>
      <c r="G45" s="89"/>
      <c r="H45" s="89"/>
      <c r="I45" s="44">
        <f t="shared" si="78"/>
        <v>0</v>
      </c>
      <c r="J45" s="90"/>
      <c r="K45" s="91"/>
      <c r="L45" s="44">
        <f t="shared" si="79"/>
        <v>0</v>
      </c>
      <c r="M45" s="91"/>
      <c r="N45" s="91"/>
      <c r="O45" s="44">
        <f t="shared" si="80"/>
        <v>0</v>
      </c>
      <c r="P45" s="91"/>
      <c r="Q45" s="91"/>
      <c r="R45" s="44">
        <f t="shared" si="81"/>
        <v>0</v>
      </c>
      <c r="S45" s="91"/>
      <c r="T45" s="91"/>
      <c r="U45" s="44">
        <f t="shared" si="82"/>
        <v>0</v>
      </c>
      <c r="V45" s="91"/>
      <c r="W45" s="91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89"/>
      <c r="E46" s="89"/>
      <c r="F46" s="44">
        <f t="shared" si="77"/>
        <v>0</v>
      </c>
      <c r="G46" s="89"/>
      <c r="H46" s="89"/>
      <c r="I46" s="44">
        <f t="shared" si="78"/>
        <v>0</v>
      </c>
      <c r="J46" s="90"/>
      <c r="K46" s="91"/>
      <c r="L46" s="44">
        <f t="shared" si="79"/>
        <v>0</v>
      </c>
      <c r="M46" s="91"/>
      <c r="N46" s="91"/>
      <c r="O46" s="44">
        <f t="shared" si="80"/>
        <v>0</v>
      </c>
      <c r="P46" s="91"/>
      <c r="Q46" s="91"/>
      <c r="R46" s="44">
        <f t="shared" si="81"/>
        <v>0</v>
      </c>
      <c r="S46" s="91"/>
      <c r="T46" s="91"/>
      <c r="U46" s="44">
        <f t="shared" si="82"/>
        <v>0</v>
      </c>
      <c r="V46" s="91"/>
      <c r="W46" s="91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89"/>
      <c r="E47" s="89"/>
      <c r="F47" s="44">
        <f t="shared" si="77"/>
        <v>0</v>
      </c>
      <c r="G47" s="89"/>
      <c r="H47" s="89"/>
      <c r="I47" s="44">
        <f t="shared" si="78"/>
        <v>0</v>
      </c>
      <c r="J47" s="90"/>
      <c r="K47" s="91"/>
      <c r="L47" s="44">
        <f t="shared" si="79"/>
        <v>0</v>
      </c>
      <c r="M47" s="91"/>
      <c r="N47" s="91"/>
      <c r="O47" s="44">
        <f t="shared" si="80"/>
        <v>0</v>
      </c>
      <c r="P47" s="91"/>
      <c r="Q47" s="91"/>
      <c r="R47" s="44">
        <f t="shared" si="81"/>
        <v>0</v>
      </c>
      <c r="S47" s="91"/>
      <c r="T47" s="91"/>
      <c r="U47" s="44">
        <f t="shared" si="82"/>
        <v>0</v>
      </c>
      <c r="V47" s="91"/>
      <c r="W47" s="91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89"/>
      <c r="E48" s="89"/>
      <c r="F48" s="44">
        <f t="shared" ref="F48:F59" si="93">BA48-BB48</f>
        <v>0</v>
      </c>
      <c r="G48" s="89"/>
      <c r="H48" s="89"/>
      <c r="I48" s="44">
        <f t="shared" ref="I48:I59" si="94">BF48-BG48</f>
        <v>0</v>
      </c>
      <c r="J48" s="90"/>
      <c r="K48" s="91"/>
      <c r="L48" s="44">
        <f t="shared" ref="L48:L59" si="95">BK48-BL48</f>
        <v>0</v>
      </c>
      <c r="M48" s="91"/>
      <c r="N48" s="91"/>
      <c r="O48" s="44">
        <f t="shared" ref="O48:O59" si="96">BP48-BQ48</f>
        <v>0</v>
      </c>
      <c r="P48" s="91"/>
      <c r="Q48" s="91"/>
      <c r="R48" s="44">
        <f t="shared" ref="R48:R59" si="97">BU48-BV48</f>
        <v>0</v>
      </c>
      <c r="S48" s="91"/>
      <c r="T48" s="91"/>
      <c r="U48" s="44">
        <f t="shared" ref="U48:U59" si="98">BZ48-CA48</f>
        <v>0</v>
      </c>
      <c r="V48" s="91"/>
      <c r="W48" s="91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89"/>
      <c r="E49" s="89"/>
      <c r="F49" s="44">
        <f t="shared" si="93"/>
        <v>0</v>
      </c>
      <c r="G49" s="89"/>
      <c r="H49" s="89"/>
      <c r="I49" s="44">
        <f t="shared" si="94"/>
        <v>0</v>
      </c>
      <c r="J49" s="90"/>
      <c r="K49" s="91"/>
      <c r="L49" s="44">
        <f t="shared" si="95"/>
        <v>0</v>
      </c>
      <c r="M49" s="91"/>
      <c r="N49" s="91"/>
      <c r="O49" s="44">
        <f t="shared" si="96"/>
        <v>0</v>
      </c>
      <c r="P49" s="91"/>
      <c r="Q49" s="91"/>
      <c r="R49" s="44">
        <f t="shared" si="97"/>
        <v>0</v>
      </c>
      <c r="S49" s="91"/>
      <c r="T49" s="91"/>
      <c r="U49" s="44">
        <f t="shared" si="98"/>
        <v>0</v>
      </c>
      <c r="V49" s="91"/>
      <c r="W49" s="91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89"/>
      <c r="E50" s="89"/>
      <c r="F50" s="44">
        <f t="shared" si="93"/>
        <v>0</v>
      </c>
      <c r="G50" s="89"/>
      <c r="H50" s="89"/>
      <c r="I50" s="44">
        <f t="shared" si="94"/>
        <v>0</v>
      </c>
      <c r="J50" s="90"/>
      <c r="K50" s="91"/>
      <c r="L50" s="44">
        <f t="shared" si="95"/>
        <v>0</v>
      </c>
      <c r="M50" s="91"/>
      <c r="N50" s="91"/>
      <c r="O50" s="44">
        <f t="shared" si="96"/>
        <v>0</v>
      </c>
      <c r="P50" s="91"/>
      <c r="Q50" s="91"/>
      <c r="R50" s="44">
        <f t="shared" si="97"/>
        <v>0</v>
      </c>
      <c r="S50" s="91"/>
      <c r="T50" s="91"/>
      <c r="U50" s="44">
        <f t="shared" si="98"/>
        <v>0</v>
      </c>
      <c r="V50" s="91"/>
      <c r="W50" s="91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89"/>
      <c r="E51" s="89"/>
      <c r="F51" s="44">
        <f t="shared" si="93"/>
        <v>0</v>
      </c>
      <c r="G51" s="89"/>
      <c r="H51" s="89"/>
      <c r="I51" s="44">
        <f t="shared" si="94"/>
        <v>0</v>
      </c>
      <c r="J51" s="90"/>
      <c r="K51" s="91"/>
      <c r="L51" s="44">
        <f t="shared" si="95"/>
        <v>0</v>
      </c>
      <c r="M51" s="91"/>
      <c r="N51" s="91"/>
      <c r="O51" s="44">
        <f t="shared" si="96"/>
        <v>0</v>
      </c>
      <c r="P51" s="91"/>
      <c r="Q51" s="91"/>
      <c r="R51" s="44">
        <f t="shared" si="97"/>
        <v>0</v>
      </c>
      <c r="S51" s="91"/>
      <c r="T51" s="91"/>
      <c r="U51" s="44">
        <f t="shared" si="98"/>
        <v>0</v>
      </c>
      <c r="V51" s="91"/>
      <c r="W51" s="91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89"/>
      <c r="E52" s="89"/>
      <c r="F52" s="44">
        <f t="shared" si="93"/>
        <v>0</v>
      </c>
      <c r="G52" s="89"/>
      <c r="H52" s="89"/>
      <c r="I52" s="44">
        <f t="shared" si="94"/>
        <v>0</v>
      </c>
      <c r="J52" s="90"/>
      <c r="K52" s="91"/>
      <c r="L52" s="44">
        <f t="shared" si="95"/>
        <v>0</v>
      </c>
      <c r="M52" s="91"/>
      <c r="N52" s="91"/>
      <c r="O52" s="44">
        <f t="shared" si="96"/>
        <v>0</v>
      </c>
      <c r="P52" s="91"/>
      <c r="Q52" s="91"/>
      <c r="R52" s="44">
        <f t="shared" si="97"/>
        <v>0</v>
      </c>
      <c r="S52" s="91"/>
      <c r="T52" s="91"/>
      <c r="U52" s="44">
        <f t="shared" si="98"/>
        <v>0</v>
      </c>
      <c r="V52" s="91"/>
      <c r="W52" s="91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89"/>
      <c r="E53" s="89"/>
      <c r="F53" s="44">
        <f t="shared" si="93"/>
        <v>0</v>
      </c>
      <c r="G53" s="89"/>
      <c r="H53" s="89"/>
      <c r="I53" s="44">
        <f t="shared" si="94"/>
        <v>0</v>
      </c>
      <c r="J53" s="90"/>
      <c r="K53" s="91"/>
      <c r="L53" s="44">
        <f t="shared" si="95"/>
        <v>0</v>
      </c>
      <c r="M53" s="91"/>
      <c r="N53" s="91"/>
      <c r="O53" s="44">
        <f t="shared" si="96"/>
        <v>0</v>
      </c>
      <c r="P53" s="91"/>
      <c r="Q53" s="91"/>
      <c r="R53" s="44">
        <f t="shared" si="97"/>
        <v>0</v>
      </c>
      <c r="S53" s="91"/>
      <c r="T53" s="91"/>
      <c r="U53" s="44">
        <f t="shared" si="98"/>
        <v>0</v>
      </c>
      <c r="V53" s="91"/>
      <c r="W53" s="91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89"/>
      <c r="E54" s="89"/>
      <c r="F54" s="44">
        <f t="shared" si="93"/>
        <v>0</v>
      </c>
      <c r="G54" s="89"/>
      <c r="H54" s="89"/>
      <c r="I54" s="44">
        <f t="shared" si="94"/>
        <v>0</v>
      </c>
      <c r="J54" s="90"/>
      <c r="K54" s="91"/>
      <c r="L54" s="44">
        <f t="shared" si="95"/>
        <v>0</v>
      </c>
      <c r="M54" s="91"/>
      <c r="N54" s="91"/>
      <c r="O54" s="44">
        <f t="shared" si="96"/>
        <v>0</v>
      </c>
      <c r="P54" s="91"/>
      <c r="Q54" s="91"/>
      <c r="R54" s="44">
        <f t="shared" si="97"/>
        <v>0</v>
      </c>
      <c r="S54" s="91"/>
      <c r="T54" s="91"/>
      <c r="U54" s="44">
        <f t="shared" si="98"/>
        <v>0</v>
      </c>
      <c r="V54" s="91"/>
      <c r="W54" s="91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89"/>
      <c r="E55" s="89"/>
      <c r="F55" s="44">
        <f t="shared" si="93"/>
        <v>0</v>
      </c>
      <c r="G55" s="89"/>
      <c r="H55" s="89"/>
      <c r="I55" s="44">
        <f t="shared" si="94"/>
        <v>0</v>
      </c>
      <c r="J55" s="90"/>
      <c r="K55" s="91"/>
      <c r="L55" s="44">
        <f t="shared" si="95"/>
        <v>0</v>
      </c>
      <c r="M55" s="91"/>
      <c r="N55" s="91"/>
      <c r="O55" s="44">
        <f t="shared" si="96"/>
        <v>0</v>
      </c>
      <c r="P55" s="91"/>
      <c r="Q55" s="91"/>
      <c r="R55" s="44">
        <f t="shared" si="97"/>
        <v>0</v>
      </c>
      <c r="S55" s="91"/>
      <c r="T55" s="91"/>
      <c r="U55" s="44">
        <f t="shared" si="98"/>
        <v>0</v>
      </c>
      <c r="V55" s="91"/>
      <c r="W55" s="91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89"/>
      <c r="E56" s="89"/>
      <c r="F56" s="44">
        <f t="shared" si="93"/>
        <v>0</v>
      </c>
      <c r="G56" s="89"/>
      <c r="H56" s="89"/>
      <c r="I56" s="44">
        <f t="shared" si="94"/>
        <v>0</v>
      </c>
      <c r="J56" s="90"/>
      <c r="K56" s="91"/>
      <c r="L56" s="44">
        <f t="shared" si="95"/>
        <v>0</v>
      </c>
      <c r="M56" s="91"/>
      <c r="N56" s="91"/>
      <c r="O56" s="44">
        <f t="shared" si="96"/>
        <v>0</v>
      </c>
      <c r="P56" s="91"/>
      <c r="Q56" s="91"/>
      <c r="R56" s="44">
        <f t="shared" si="97"/>
        <v>0</v>
      </c>
      <c r="S56" s="91"/>
      <c r="T56" s="91"/>
      <c r="U56" s="44">
        <f t="shared" si="98"/>
        <v>0</v>
      </c>
      <c r="V56" s="91"/>
      <c r="W56" s="91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89"/>
      <c r="E57" s="89"/>
      <c r="F57" s="44">
        <f t="shared" si="93"/>
        <v>0</v>
      </c>
      <c r="G57" s="89"/>
      <c r="H57" s="89"/>
      <c r="I57" s="44">
        <f t="shared" si="94"/>
        <v>0</v>
      </c>
      <c r="J57" s="90"/>
      <c r="K57" s="91"/>
      <c r="L57" s="44">
        <f t="shared" si="95"/>
        <v>0</v>
      </c>
      <c r="M57" s="91"/>
      <c r="N57" s="91"/>
      <c r="O57" s="44">
        <f t="shared" si="96"/>
        <v>0</v>
      </c>
      <c r="P57" s="91"/>
      <c r="Q57" s="91"/>
      <c r="R57" s="44">
        <f t="shared" si="97"/>
        <v>0</v>
      </c>
      <c r="S57" s="91"/>
      <c r="T57" s="91"/>
      <c r="U57" s="44">
        <f t="shared" si="98"/>
        <v>0</v>
      </c>
      <c r="V57" s="91"/>
      <c r="W57" s="91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89"/>
      <c r="E58" s="89"/>
      <c r="F58" s="44">
        <f t="shared" si="93"/>
        <v>0</v>
      </c>
      <c r="G58" s="89"/>
      <c r="H58" s="89"/>
      <c r="I58" s="44">
        <f t="shared" si="94"/>
        <v>0</v>
      </c>
      <c r="J58" s="90"/>
      <c r="K58" s="91"/>
      <c r="L58" s="44">
        <f t="shared" si="95"/>
        <v>0</v>
      </c>
      <c r="M58" s="91"/>
      <c r="N58" s="91"/>
      <c r="O58" s="44">
        <f t="shared" si="96"/>
        <v>0</v>
      </c>
      <c r="P58" s="91"/>
      <c r="Q58" s="91"/>
      <c r="R58" s="44">
        <f t="shared" si="97"/>
        <v>0</v>
      </c>
      <c r="S58" s="91"/>
      <c r="T58" s="91"/>
      <c r="U58" s="44">
        <f t="shared" si="98"/>
        <v>0</v>
      </c>
      <c r="V58" s="91"/>
      <c r="W58" s="91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89"/>
      <c r="E59" s="89"/>
      <c r="F59" s="44">
        <f t="shared" si="93"/>
        <v>0</v>
      </c>
      <c r="G59" s="89"/>
      <c r="H59" s="89"/>
      <c r="I59" s="44">
        <f t="shared" si="94"/>
        <v>0</v>
      </c>
      <c r="J59" s="90"/>
      <c r="K59" s="91"/>
      <c r="L59" s="44">
        <f t="shared" si="95"/>
        <v>0</v>
      </c>
      <c r="M59" s="91"/>
      <c r="N59" s="91"/>
      <c r="O59" s="44">
        <f t="shared" si="96"/>
        <v>0</v>
      </c>
      <c r="P59" s="91"/>
      <c r="Q59" s="91"/>
      <c r="R59" s="44">
        <f t="shared" si="97"/>
        <v>0</v>
      </c>
      <c r="S59" s="91"/>
      <c r="T59" s="91"/>
      <c r="U59" s="44">
        <f t="shared" si="98"/>
        <v>0</v>
      </c>
      <c r="V59" s="91"/>
      <c r="W59" s="91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89"/>
      <c r="E60" s="89"/>
      <c r="F60" s="44">
        <f t="shared" si="77"/>
        <v>0</v>
      </c>
      <c r="G60" s="89"/>
      <c r="H60" s="89"/>
      <c r="I60" s="44">
        <f t="shared" si="78"/>
        <v>0</v>
      </c>
      <c r="J60" s="90"/>
      <c r="K60" s="91"/>
      <c r="L60" s="44">
        <f t="shared" si="79"/>
        <v>0</v>
      </c>
      <c r="M60" s="91"/>
      <c r="N60" s="91"/>
      <c r="O60" s="44">
        <f t="shared" si="80"/>
        <v>0</v>
      </c>
      <c r="P60" s="91"/>
      <c r="Q60" s="91"/>
      <c r="R60" s="44">
        <f t="shared" si="81"/>
        <v>0</v>
      </c>
      <c r="S60" s="91"/>
      <c r="T60" s="91"/>
      <c r="U60" s="44">
        <f t="shared" si="82"/>
        <v>0</v>
      </c>
      <c r="V60" s="91"/>
      <c r="W60" s="91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89"/>
      <c r="E61" s="89"/>
      <c r="F61" s="44">
        <f t="shared" si="15"/>
        <v>0</v>
      </c>
      <c r="G61" s="89"/>
      <c r="H61" s="89"/>
      <c r="I61" s="44">
        <f t="shared" si="16"/>
        <v>0</v>
      </c>
      <c r="J61" s="90"/>
      <c r="K61" s="91"/>
      <c r="L61" s="44">
        <f t="shared" si="17"/>
        <v>0</v>
      </c>
      <c r="M61" s="91"/>
      <c r="N61" s="91"/>
      <c r="O61" s="44">
        <f t="shared" si="18"/>
        <v>0</v>
      </c>
      <c r="P61" s="91"/>
      <c r="Q61" s="91"/>
      <c r="R61" s="44">
        <f t="shared" si="19"/>
        <v>0</v>
      </c>
      <c r="S61" s="91"/>
      <c r="T61" s="91"/>
      <c r="U61" s="44">
        <f t="shared" si="20"/>
        <v>0</v>
      </c>
      <c r="V61" s="91"/>
      <c r="W61" s="91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89"/>
      <c r="E62" s="89"/>
      <c r="F62" s="44">
        <f t="shared" si="15"/>
        <v>0</v>
      </c>
      <c r="G62" s="89"/>
      <c r="H62" s="89"/>
      <c r="I62" s="44">
        <f t="shared" si="16"/>
        <v>0</v>
      </c>
      <c r="J62" s="90"/>
      <c r="K62" s="91"/>
      <c r="L62" s="44">
        <f t="shared" si="17"/>
        <v>0</v>
      </c>
      <c r="M62" s="91"/>
      <c r="N62" s="91"/>
      <c r="O62" s="44">
        <f t="shared" si="18"/>
        <v>0</v>
      </c>
      <c r="P62" s="91"/>
      <c r="Q62" s="91"/>
      <c r="R62" s="44">
        <f t="shared" si="19"/>
        <v>0</v>
      </c>
      <c r="S62" s="91"/>
      <c r="T62" s="91"/>
      <c r="U62" s="44">
        <f t="shared" si="20"/>
        <v>0</v>
      </c>
      <c r="V62" s="91"/>
      <c r="W62" s="91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89"/>
      <c r="E63" s="89"/>
      <c r="F63" s="44">
        <f t="shared" si="15"/>
        <v>0</v>
      </c>
      <c r="G63" s="89"/>
      <c r="H63" s="89"/>
      <c r="I63" s="44">
        <f t="shared" si="16"/>
        <v>0</v>
      </c>
      <c r="J63" s="90"/>
      <c r="K63" s="91"/>
      <c r="L63" s="44">
        <f t="shared" si="17"/>
        <v>0</v>
      </c>
      <c r="M63" s="91"/>
      <c r="N63" s="91"/>
      <c r="O63" s="44">
        <f t="shared" si="18"/>
        <v>0</v>
      </c>
      <c r="P63" s="91"/>
      <c r="Q63" s="91"/>
      <c r="R63" s="44">
        <f t="shared" si="19"/>
        <v>0</v>
      </c>
      <c r="S63" s="91"/>
      <c r="T63" s="91"/>
      <c r="U63" s="44">
        <f t="shared" si="20"/>
        <v>0</v>
      </c>
      <c r="V63" s="91"/>
      <c r="W63" s="91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89"/>
      <c r="E64" s="89"/>
      <c r="F64" s="44">
        <f t="shared" si="15"/>
        <v>0</v>
      </c>
      <c r="G64" s="89"/>
      <c r="H64" s="89"/>
      <c r="I64" s="44">
        <f t="shared" si="16"/>
        <v>0</v>
      </c>
      <c r="J64" s="90"/>
      <c r="K64" s="91"/>
      <c r="L64" s="44">
        <f t="shared" si="17"/>
        <v>0</v>
      </c>
      <c r="M64" s="91"/>
      <c r="N64" s="91"/>
      <c r="O64" s="44">
        <f t="shared" si="18"/>
        <v>0</v>
      </c>
      <c r="P64" s="91"/>
      <c r="Q64" s="91"/>
      <c r="R64" s="44">
        <f t="shared" si="19"/>
        <v>0</v>
      </c>
      <c r="S64" s="91"/>
      <c r="T64" s="91"/>
      <c r="U64" s="44">
        <f t="shared" si="20"/>
        <v>0</v>
      </c>
      <c r="V64" s="91"/>
      <c r="W64" s="91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89"/>
      <c r="E65" s="89"/>
      <c r="F65" s="44">
        <f t="shared" si="15"/>
        <v>0</v>
      </c>
      <c r="G65" s="89"/>
      <c r="H65" s="89"/>
      <c r="I65" s="44">
        <f t="shared" si="16"/>
        <v>0</v>
      </c>
      <c r="J65" s="90"/>
      <c r="K65" s="91"/>
      <c r="L65" s="44">
        <f t="shared" si="17"/>
        <v>0</v>
      </c>
      <c r="M65" s="91"/>
      <c r="N65" s="91"/>
      <c r="O65" s="44">
        <f t="shared" si="18"/>
        <v>0</v>
      </c>
      <c r="P65" s="91"/>
      <c r="Q65" s="91"/>
      <c r="R65" s="44">
        <f t="shared" si="19"/>
        <v>0</v>
      </c>
      <c r="S65" s="91"/>
      <c r="T65" s="91"/>
      <c r="U65" s="44">
        <f t="shared" si="20"/>
        <v>0</v>
      </c>
      <c r="V65" s="91"/>
      <c r="W65" s="91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89"/>
      <c r="E66" s="89"/>
      <c r="F66" s="44">
        <f t="shared" si="15"/>
        <v>0</v>
      </c>
      <c r="G66" s="89"/>
      <c r="H66" s="89"/>
      <c r="I66" s="44">
        <f t="shared" si="16"/>
        <v>0</v>
      </c>
      <c r="J66" s="90"/>
      <c r="K66" s="91"/>
      <c r="L66" s="44">
        <f t="shared" si="17"/>
        <v>0</v>
      </c>
      <c r="M66" s="91"/>
      <c r="N66" s="91"/>
      <c r="O66" s="44">
        <f t="shared" si="18"/>
        <v>0</v>
      </c>
      <c r="P66" s="91"/>
      <c r="Q66" s="91"/>
      <c r="R66" s="44">
        <f t="shared" si="19"/>
        <v>0</v>
      </c>
      <c r="S66" s="91"/>
      <c r="T66" s="91"/>
      <c r="U66" s="44">
        <f t="shared" si="20"/>
        <v>0</v>
      </c>
      <c r="V66" s="91"/>
      <c r="W66" s="91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89"/>
      <c r="E67" s="89"/>
      <c r="F67" s="44">
        <f t="shared" si="15"/>
        <v>0</v>
      </c>
      <c r="G67" s="89"/>
      <c r="H67" s="91"/>
      <c r="I67" s="44">
        <f t="shared" si="16"/>
        <v>0</v>
      </c>
      <c r="J67" s="90"/>
      <c r="K67" s="91"/>
      <c r="L67" s="44">
        <f t="shared" si="17"/>
        <v>0</v>
      </c>
      <c r="M67" s="91"/>
      <c r="N67" s="91"/>
      <c r="O67" s="44">
        <f t="shared" si="18"/>
        <v>0</v>
      </c>
      <c r="P67" s="91"/>
      <c r="Q67" s="91"/>
      <c r="R67" s="44">
        <f t="shared" si="19"/>
        <v>0</v>
      </c>
      <c r="S67" s="91"/>
      <c r="T67" s="91"/>
      <c r="U67" s="44">
        <f t="shared" si="20"/>
        <v>0</v>
      </c>
      <c r="V67" s="91"/>
      <c r="W67" s="91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89"/>
      <c r="E68" s="89"/>
      <c r="F68" s="44">
        <f t="shared" si="15"/>
        <v>0</v>
      </c>
      <c r="G68" s="89"/>
      <c r="H68" s="89"/>
      <c r="I68" s="44">
        <f t="shared" si="16"/>
        <v>0</v>
      </c>
      <c r="J68" s="90"/>
      <c r="K68" s="91"/>
      <c r="L68" s="44">
        <f t="shared" si="17"/>
        <v>0</v>
      </c>
      <c r="M68" s="91"/>
      <c r="N68" s="91"/>
      <c r="O68" s="44">
        <f t="shared" si="18"/>
        <v>0</v>
      </c>
      <c r="P68" s="91"/>
      <c r="Q68" s="91"/>
      <c r="R68" s="44">
        <f t="shared" si="19"/>
        <v>0</v>
      </c>
      <c r="S68" s="91"/>
      <c r="T68" s="91"/>
      <c r="U68" s="44">
        <f t="shared" si="20"/>
        <v>0</v>
      </c>
      <c r="V68" s="91"/>
      <c r="W68" s="91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89"/>
      <c r="E69" s="89"/>
      <c r="F69" s="44">
        <f t="shared" si="15"/>
        <v>0</v>
      </c>
      <c r="G69" s="89"/>
      <c r="H69" s="89"/>
      <c r="I69" s="44">
        <f t="shared" si="16"/>
        <v>0</v>
      </c>
      <c r="J69" s="90"/>
      <c r="K69" s="91"/>
      <c r="L69" s="44">
        <f t="shared" si="17"/>
        <v>0</v>
      </c>
      <c r="M69" s="91"/>
      <c r="N69" s="91"/>
      <c r="O69" s="44">
        <f t="shared" si="18"/>
        <v>0</v>
      </c>
      <c r="P69" s="91"/>
      <c r="Q69" s="91"/>
      <c r="R69" s="44">
        <f t="shared" si="19"/>
        <v>0</v>
      </c>
      <c r="S69" s="91"/>
      <c r="T69" s="91"/>
      <c r="U69" s="44">
        <f t="shared" si="20"/>
        <v>0</v>
      </c>
      <c r="V69" s="91"/>
      <c r="W69" s="91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89"/>
      <c r="E70" s="89"/>
      <c r="F70" s="44">
        <f t="shared" ref="F70:F100" si="152">BA70-BB70</f>
        <v>0</v>
      </c>
      <c r="G70" s="89"/>
      <c r="H70" s="89"/>
      <c r="I70" s="44">
        <f t="shared" ref="I70:I100" si="153">BF70-BG70</f>
        <v>0</v>
      </c>
      <c r="J70" s="90"/>
      <c r="K70" s="91"/>
      <c r="L70" s="44">
        <f t="shared" ref="L70:L100" si="154">BK70-BL70</f>
        <v>0</v>
      </c>
      <c r="M70" s="91"/>
      <c r="N70" s="91"/>
      <c r="O70" s="44">
        <f t="shared" ref="O70:O100" si="155">BP70-BQ70</f>
        <v>0</v>
      </c>
      <c r="P70" s="91"/>
      <c r="Q70" s="91"/>
      <c r="R70" s="44">
        <f t="shared" ref="R70:R100" si="156">BU70-BV70</f>
        <v>0</v>
      </c>
      <c r="S70" s="91"/>
      <c r="T70" s="91"/>
      <c r="U70" s="44">
        <f t="shared" ref="U70:U100" si="157">BZ70-CA70</f>
        <v>0</v>
      </c>
      <c r="V70" s="91"/>
      <c r="W70" s="91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89"/>
      <c r="E71" s="89"/>
      <c r="F71" s="44">
        <f t="shared" si="152"/>
        <v>0</v>
      </c>
      <c r="G71" s="89"/>
      <c r="H71" s="89"/>
      <c r="I71" s="44">
        <f t="shared" si="153"/>
        <v>0</v>
      </c>
      <c r="J71" s="90"/>
      <c r="K71" s="91"/>
      <c r="L71" s="44">
        <f t="shared" si="154"/>
        <v>0</v>
      </c>
      <c r="M71" s="91"/>
      <c r="N71" s="91"/>
      <c r="O71" s="44">
        <f t="shared" si="155"/>
        <v>0</v>
      </c>
      <c r="P71" s="91"/>
      <c r="Q71" s="91"/>
      <c r="R71" s="44">
        <f t="shared" si="156"/>
        <v>0</v>
      </c>
      <c r="S71" s="91"/>
      <c r="T71" s="91"/>
      <c r="U71" s="44">
        <f t="shared" si="157"/>
        <v>0</v>
      </c>
      <c r="V71" s="91"/>
      <c r="W71" s="91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89"/>
      <c r="E72" s="89"/>
      <c r="F72" s="44">
        <f t="shared" si="152"/>
        <v>0</v>
      </c>
      <c r="G72" s="89"/>
      <c r="H72" s="89"/>
      <c r="I72" s="44">
        <f t="shared" si="153"/>
        <v>0</v>
      </c>
      <c r="J72" s="90"/>
      <c r="K72" s="91"/>
      <c r="L72" s="44">
        <f t="shared" si="154"/>
        <v>0</v>
      </c>
      <c r="M72" s="91"/>
      <c r="N72" s="91"/>
      <c r="O72" s="44">
        <f t="shared" si="155"/>
        <v>0</v>
      </c>
      <c r="P72" s="91"/>
      <c r="Q72" s="91"/>
      <c r="R72" s="44">
        <f t="shared" si="156"/>
        <v>0</v>
      </c>
      <c r="S72" s="91"/>
      <c r="T72" s="91"/>
      <c r="U72" s="44">
        <f t="shared" si="157"/>
        <v>0</v>
      </c>
      <c r="V72" s="91"/>
      <c r="W72" s="91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89"/>
      <c r="E73" s="89"/>
      <c r="F73" s="44">
        <f t="shared" si="152"/>
        <v>0</v>
      </c>
      <c r="G73" s="89"/>
      <c r="H73" s="89"/>
      <c r="I73" s="44">
        <f t="shared" si="153"/>
        <v>0</v>
      </c>
      <c r="J73" s="90"/>
      <c r="K73" s="91"/>
      <c r="L73" s="44">
        <f t="shared" si="154"/>
        <v>0</v>
      </c>
      <c r="M73" s="91"/>
      <c r="N73" s="91"/>
      <c r="O73" s="44">
        <f t="shared" si="155"/>
        <v>0</v>
      </c>
      <c r="P73" s="91"/>
      <c r="Q73" s="91"/>
      <c r="R73" s="44">
        <f t="shared" si="156"/>
        <v>0</v>
      </c>
      <c r="S73" s="91"/>
      <c r="T73" s="91"/>
      <c r="U73" s="44">
        <f t="shared" si="157"/>
        <v>0</v>
      </c>
      <c r="V73" s="91"/>
      <c r="W73" s="91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89"/>
      <c r="E74" s="89"/>
      <c r="F74" s="44">
        <f t="shared" si="152"/>
        <v>0</v>
      </c>
      <c r="G74" s="89"/>
      <c r="H74" s="89"/>
      <c r="I74" s="44">
        <f t="shared" si="153"/>
        <v>0</v>
      </c>
      <c r="J74" s="90"/>
      <c r="K74" s="91"/>
      <c r="L74" s="44">
        <f t="shared" si="154"/>
        <v>0</v>
      </c>
      <c r="M74" s="91"/>
      <c r="N74" s="91"/>
      <c r="O74" s="44">
        <f t="shared" si="155"/>
        <v>0</v>
      </c>
      <c r="P74" s="91"/>
      <c r="Q74" s="91"/>
      <c r="R74" s="44">
        <f t="shared" si="156"/>
        <v>0</v>
      </c>
      <c r="S74" s="91"/>
      <c r="T74" s="91"/>
      <c r="U74" s="44">
        <f t="shared" si="157"/>
        <v>0</v>
      </c>
      <c r="V74" s="91"/>
      <c r="W74" s="91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89"/>
      <c r="E75" s="89"/>
      <c r="F75" s="44">
        <f t="shared" si="152"/>
        <v>0</v>
      </c>
      <c r="G75" s="89"/>
      <c r="H75" s="89"/>
      <c r="I75" s="44">
        <f t="shared" si="153"/>
        <v>0</v>
      </c>
      <c r="J75" s="90"/>
      <c r="K75" s="91"/>
      <c r="L75" s="44">
        <f t="shared" si="154"/>
        <v>0</v>
      </c>
      <c r="M75" s="91"/>
      <c r="N75" s="91"/>
      <c r="O75" s="44">
        <f t="shared" si="155"/>
        <v>0</v>
      </c>
      <c r="P75" s="91"/>
      <c r="Q75" s="91"/>
      <c r="R75" s="44">
        <f t="shared" si="156"/>
        <v>0</v>
      </c>
      <c r="S75" s="91"/>
      <c r="T75" s="91"/>
      <c r="U75" s="44">
        <f t="shared" si="157"/>
        <v>0</v>
      </c>
      <c r="V75" s="91"/>
      <c r="W75" s="91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89"/>
      <c r="E76" s="89"/>
      <c r="F76" s="44">
        <f t="shared" si="152"/>
        <v>0</v>
      </c>
      <c r="G76" s="89"/>
      <c r="H76" s="89"/>
      <c r="I76" s="44">
        <f t="shared" si="153"/>
        <v>0</v>
      </c>
      <c r="J76" s="90"/>
      <c r="K76" s="91"/>
      <c r="L76" s="44">
        <f t="shared" si="154"/>
        <v>0</v>
      </c>
      <c r="M76" s="91"/>
      <c r="N76" s="91"/>
      <c r="O76" s="44">
        <f t="shared" si="155"/>
        <v>0</v>
      </c>
      <c r="P76" s="91"/>
      <c r="Q76" s="91"/>
      <c r="R76" s="44">
        <f t="shared" si="156"/>
        <v>0</v>
      </c>
      <c r="S76" s="91"/>
      <c r="T76" s="91"/>
      <c r="U76" s="44">
        <f t="shared" si="157"/>
        <v>0</v>
      </c>
      <c r="V76" s="91"/>
      <c r="W76" s="91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89"/>
      <c r="E77" s="89"/>
      <c r="F77" s="44">
        <f t="shared" si="152"/>
        <v>0</v>
      </c>
      <c r="G77" s="89"/>
      <c r="H77" s="89"/>
      <c r="I77" s="44">
        <f t="shared" si="153"/>
        <v>0</v>
      </c>
      <c r="J77" s="90"/>
      <c r="K77" s="91"/>
      <c r="L77" s="44">
        <f t="shared" si="154"/>
        <v>0</v>
      </c>
      <c r="M77" s="91"/>
      <c r="N77" s="91"/>
      <c r="O77" s="44">
        <f t="shared" si="155"/>
        <v>0</v>
      </c>
      <c r="P77" s="91"/>
      <c r="Q77" s="91"/>
      <c r="R77" s="44">
        <f t="shared" si="156"/>
        <v>0</v>
      </c>
      <c r="S77" s="91"/>
      <c r="T77" s="91"/>
      <c r="U77" s="44">
        <f t="shared" si="157"/>
        <v>0</v>
      </c>
      <c r="V77" s="91"/>
      <c r="W77" s="91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89"/>
      <c r="E78" s="89"/>
      <c r="F78" s="44">
        <f t="shared" si="152"/>
        <v>0</v>
      </c>
      <c r="G78" s="89"/>
      <c r="H78" s="89"/>
      <c r="I78" s="44">
        <f t="shared" si="153"/>
        <v>0</v>
      </c>
      <c r="J78" s="90"/>
      <c r="K78" s="91"/>
      <c r="L78" s="44">
        <f t="shared" si="154"/>
        <v>0</v>
      </c>
      <c r="M78" s="91"/>
      <c r="N78" s="91"/>
      <c r="O78" s="44">
        <f t="shared" si="155"/>
        <v>0</v>
      </c>
      <c r="P78" s="91"/>
      <c r="Q78" s="91"/>
      <c r="R78" s="44">
        <f t="shared" si="156"/>
        <v>0</v>
      </c>
      <c r="S78" s="91"/>
      <c r="T78" s="91"/>
      <c r="U78" s="44">
        <f t="shared" si="157"/>
        <v>0</v>
      </c>
      <c r="V78" s="91"/>
      <c r="W78" s="91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89"/>
      <c r="E79" s="89"/>
      <c r="F79" s="44">
        <f t="shared" si="152"/>
        <v>0</v>
      </c>
      <c r="G79" s="89"/>
      <c r="H79" s="89"/>
      <c r="I79" s="44">
        <f t="shared" si="153"/>
        <v>0</v>
      </c>
      <c r="J79" s="90"/>
      <c r="K79" s="91"/>
      <c r="L79" s="44">
        <f t="shared" si="154"/>
        <v>0</v>
      </c>
      <c r="M79" s="91"/>
      <c r="N79" s="91"/>
      <c r="O79" s="44">
        <f t="shared" si="155"/>
        <v>0</v>
      </c>
      <c r="P79" s="91"/>
      <c r="Q79" s="91"/>
      <c r="R79" s="44">
        <f t="shared" si="156"/>
        <v>0</v>
      </c>
      <c r="S79" s="91"/>
      <c r="T79" s="91"/>
      <c r="U79" s="44">
        <f t="shared" si="157"/>
        <v>0</v>
      </c>
      <c r="V79" s="91"/>
      <c r="W79" s="91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89"/>
      <c r="E80" s="89"/>
      <c r="F80" s="44">
        <f t="shared" si="152"/>
        <v>0</v>
      </c>
      <c r="G80" s="89"/>
      <c r="H80" s="89"/>
      <c r="I80" s="44">
        <f t="shared" si="153"/>
        <v>0</v>
      </c>
      <c r="J80" s="90"/>
      <c r="K80" s="91"/>
      <c r="L80" s="44">
        <f t="shared" si="154"/>
        <v>0</v>
      </c>
      <c r="M80" s="91"/>
      <c r="N80" s="91"/>
      <c r="O80" s="44">
        <f t="shared" si="155"/>
        <v>0</v>
      </c>
      <c r="P80" s="91"/>
      <c r="Q80" s="91"/>
      <c r="R80" s="44">
        <f t="shared" si="156"/>
        <v>0</v>
      </c>
      <c r="S80" s="91"/>
      <c r="T80" s="91"/>
      <c r="U80" s="44">
        <f t="shared" si="157"/>
        <v>0</v>
      </c>
      <c r="V80" s="91"/>
      <c r="W80" s="91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89"/>
      <c r="E81" s="89"/>
      <c r="F81" s="44">
        <f t="shared" si="152"/>
        <v>0</v>
      </c>
      <c r="G81" s="89"/>
      <c r="H81" s="89"/>
      <c r="I81" s="44">
        <f t="shared" si="153"/>
        <v>0</v>
      </c>
      <c r="J81" s="90"/>
      <c r="K81" s="91"/>
      <c r="L81" s="44">
        <f t="shared" si="154"/>
        <v>0</v>
      </c>
      <c r="M81" s="91"/>
      <c r="N81" s="91"/>
      <c r="O81" s="44">
        <f t="shared" si="155"/>
        <v>0</v>
      </c>
      <c r="P81" s="91"/>
      <c r="Q81" s="91"/>
      <c r="R81" s="44">
        <f t="shared" si="156"/>
        <v>0</v>
      </c>
      <c r="S81" s="91"/>
      <c r="T81" s="91"/>
      <c r="U81" s="44">
        <f t="shared" si="157"/>
        <v>0</v>
      </c>
      <c r="V81" s="91"/>
      <c r="W81" s="91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89"/>
      <c r="E82" s="89"/>
      <c r="F82" s="44">
        <f t="shared" si="152"/>
        <v>0</v>
      </c>
      <c r="G82" s="89"/>
      <c r="H82" s="89"/>
      <c r="I82" s="44">
        <f t="shared" si="153"/>
        <v>0</v>
      </c>
      <c r="J82" s="90"/>
      <c r="K82" s="91"/>
      <c r="L82" s="44">
        <f t="shared" si="154"/>
        <v>0</v>
      </c>
      <c r="M82" s="91"/>
      <c r="N82" s="91"/>
      <c r="O82" s="44">
        <f t="shared" si="155"/>
        <v>0</v>
      </c>
      <c r="P82" s="91"/>
      <c r="Q82" s="91"/>
      <c r="R82" s="44">
        <f t="shared" si="156"/>
        <v>0</v>
      </c>
      <c r="S82" s="91"/>
      <c r="T82" s="91"/>
      <c r="U82" s="44">
        <f t="shared" si="157"/>
        <v>0</v>
      </c>
      <c r="V82" s="91"/>
      <c r="W82" s="91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89"/>
      <c r="E83" s="89"/>
      <c r="F83" s="44">
        <f t="shared" si="152"/>
        <v>0</v>
      </c>
      <c r="G83" s="89"/>
      <c r="H83" s="89"/>
      <c r="I83" s="44">
        <f t="shared" si="153"/>
        <v>0</v>
      </c>
      <c r="J83" s="90"/>
      <c r="K83" s="91"/>
      <c r="L83" s="44">
        <f t="shared" si="154"/>
        <v>0</v>
      </c>
      <c r="M83" s="91"/>
      <c r="N83" s="91"/>
      <c r="O83" s="44">
        <f t="shared" si="155"/>
        <v>0</v>
      </c>
      <c r="P83" s="91"/>
      <c r="Q83" s="91"/>
      <c r="R83" s="44">
        <f t="shared" si="156"/>
        <v>0</v>
      </c>
      <c r="S83" s="91"/>
      <c r="T83" s="91"/>
      <c r="U83" s="44">
        <f t="shared" si="157"/>
        <v>0</v>
      </c>
      <c r="V83" s="91"/>
      <c r="W83" s="91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89"/>
      <c r="E84" s="89"/>
      <c r="F84" s="44">
        <f t="shared" si="152"/>
        <v>0</v>
      </c>
      <c r="G84" s="89"/>
      <c r="H84" s="89"/>
      <c r="I84" s="44">
        <f t="shared" si="153"/>
        <v>0</v>
      </c>
      <c r="J84" s="90"/>
      <c r="K84" s="91"/>
      <c r="L84" s="44">
        <f t="shared" si="154"/>
        <v>0</v>
      </c>
      <c r="M84" s="91"/>
      <c r="N84" s="91"/>
      <c r="O84" s="44">
        <f t="shared" si="155"/>
        <v>0</v>
      </c>
      <c r="P84" s="91"/>
      <c r="Q84" s="91"/>
      <c r="R84" s="44">
        <f t="shared" si="156"/>
        <v>0</v>
      </c>
      <c r="S84" s="91"/>
      <c r="T84" s="91"/>
      <c r="U84" s="44">
        <f t="shared" si="157"/>
        <v>0</v>
      </c>
      <c r="V84" s="91"/>
      <c r="W84" s="91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89"/>
      <c r="E85" s="89"/>
      <c r="F85" s="44">
        <f t="shared" si="152"/>
        <v>0</v>
      </c>
      <c r="G85" s="89"/>
      <c r="H85" s="89"/>
      <c r="I85" s="44">
        <f t="shared" si="153"/>
        <v>0</v>
      </c>
      <c r="J85" s="90"/>
      <c r="K85" s="91"/>
      <c r="L85" s="44">
        <f t="shared" si="154"/>
        <v>0</v>
      </c>
      <c r="M85" s="91"/>
      <c r="N85" s="91"/>
      <c r="O85" s="44">
        <f t="shared" si="155"/>
        <v>0</v>
      </c>
      <c r="P85" s="91"/>
      <c r="Q85" s="91"/>
      <c r="R85" s="44">
        <f t="shared" si="156"/>
        <v>0</v>
      </c>
      <c r="S85" s="91"/>
      <c r="T85" s="91"/>
      <c r="U85" s="44">
        <f t="shared" si="157"/>
        <v>0</v>
      </c>
      <c r="V85" s="91"/>
      <c r="W85" s="91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89"/>
      <c r="E86" s="89"/>
      <c r="F86" s="44">
        <f t="shared" si="152"/>
        <v>0</v>
      </c>
      <c r="G86" s="89"/>
      <c r="H86" s="89"/>
      <c r="I86" s="44">
        <f t="shared" si="153"/>
        <v>0</v>
      </c>
      <c r="J86" s="90"/>
      <c r="K86" s="91"/>
      <c r="L86" s="44">
        <f t="shared" si="154"/>
        <v>0</v>
      </c>
      <c r="M86" s="91"/>
      <c r="N86" s="91"/>
      <c r="O86" s="44">
        <f t="shared" si="155"/>
        <v>0</v>
      </c>
      <c r="P86" s="91"/>
      <c r="Q86" s="91"/>
      <c r="R86" s="44">
        <f t="shared" si="156"/>
        <v>0</v>
      </c>
      <c r="S86" s="91"/>
      <c r="T86" s="91"/>
      <c r="U86" s="44">
        <f t="shared" si="157"/>
        <v>0</v>
      </c>
      <c r="V86" s="91"/>
      <c r="W86" s="91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89"/>
      <c r="E87" s="89"/>
      <c r="F87" s="44">
        <f t="shared" si="152"/>
        <v>0</v>
      </c>
      <c r="G87" s="89"/>
      <c r="H87" s="89"/>
      <c r="I87" s="44">
        <f t="shared" si="153"/>
        <v>0</v>
      </c>
      <c r="J87" s="90"/>
      <c r="K87" s="91"/>
      <c r="L87" s="44">
        <f t="shared" si="154"/>
        <v>0</v>
      </c>
      <c r="M87" s="91"/>
      <c r="N87" s="91"/>
      <c r="O87" s="44">
        <f t="shared" si="155"/>
        <v>0</v>
      </c>
      <c r="P87" s="91"/>
      <c r="Q87" s="91"/>
      <c r="R87" s="44">
        <f t="shared" si="156"/>
        <v>0</v>
      </c>
      <c r="S87" s="91"/>
      <c r="T87" s="91"/>
      <c r="U87" s="44">
        <f t="shared" si="157"/>
        <v>0</v>
      </c>
      <c r="V87" s="91"/>
      <c r="W87" s="91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89"/>
      <c r="E88" s="89"/>
      <c r="F88" s="44">
        <f t="shared" si="152"/>
        <v>0</v>
      </c>
      <c r="G88" s="89"/>
      <c r="H88" s="89"/>
      <c r="I88" s="44">
        <f t="shared" si="153"/>
        <v>0</v>
      </c>
      <c r="J88" s="90"/>
      <c r="K88" s="91"/>
      <c r="L88" s="44">
        <f t="shared" si="154"/>
        <v>0</v>
      </c>
      <c r="M88" s="91"/>
      <c r="N88" s="91"/>
      <c r="O88" s="44">
        <f t="shared" si="155"/>
        <v>0</v>
      </c>
      <c r="P88" s="91"/>
      <c r="Q88" s="91"/>
      <c r="R88" s="44">
        <f t="shared" si="156"/>
        <v>0</v>
      </c>
      <c r="S88" s="91"/>
      <c r="T88" s="91"/>
      <c r="U88" s="44">
        <f t="shared" si="157"/>
        <v>0</v>
      </c>
      <c r="V88" s="91"/>
      <c r="W88" s="91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89"/>
      <c r="E89" s="89"/>
      <c r="F89" s="44">
        <f t="shared" si="152"/>
        <v>0</v>
      </c>
      <c r="G89" s="89"/>
      <c r="H89" s="89"/>
      <c r="I89" s="44">
        <f t="shared" si="153"/>
        <v>0</v>
      </c>
      <c r="J89" s="90"/>
      <c r="K89" s="91"/>
      <c r="L89" s="44">
        <f t="shared" si="154"/>
        <v>0</v>
      </c>
      <c r="M89" s="91"/>
      <c r="N89" s="91"/>
      <c r="O89" s="44">
        <f t="shared" si="155"/>
        <v>0</v>
      </c>
      <c r="P89" s="91"/>
      <c r="Q89" s="91"/>
      <c r="R89" s="44">
        <f t="shared" si="156"/>
        <v>0</v>
      </c>
      <c r="S89" s="91"/>
      <c r="T89" s="91"/>
      <c r="U89" s="44">
        <f t="shared" si="157"/>
        <v>0</v>
      </c>
      <c r="V89" s="91"/>
      <c r="W89" s="91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89"/>
      <c r="E90" s="89"/>
      <c r="F90" s="44">
        <f t="shared" si="152"/>
        <v>0</v>
      </c>
      <c r="G90" s="89"/>
      <c r="H90" s="89"/>
      <c r="I90" s="44">
        <f t="shared" si="153"/>
        <v>0</v>
      </c>
      <c r="J90" s="90"/>
      <c r="K90" s="91"/>
      <c r="L90" s="44">
        <f t="shared" si="154"/>
        <v>0</v>
      </c>
      <c r="M90" s="91"/>
      <c r="N90" s="91"/>
      <c r="O90" s="44">
        <f t="shared" si="155"/>
        <v>0</v>
      </c>
      <c r="P90" s="91"/>
      <c r="Q90" s="91"/>
      <c r="R90" s="44">
        <f t="shared" si="156"/>
        <v>0</v>
      </c>
      <c r="S90" s="91"/>
      <c r="T90" s="91"/>
      <c r="U90" s="44">
        <f t="shared" si="157"/>
        <v>0</v>
      </c>
      <c r="V90" s="91"/>
      <c r="W90" s="91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89"/>
      <c r="E91" s="89"/>
      <c r="F91" s="44">
        <f t="shared" si="152"/>
        <v>0</v>
      </c>
      <c r="G91" s="89"/>
      <c r="H91" s="89"/>
      <c r="I91" s="44">
        <f t="shared" si="153"/>
        <v>0</v>
      </c>
      <c r="J91" s="90"/>
      <c r="K91" s="91"/>
      <c r="L91" s="44">
        <f t="shared" si="154"/>
        <v>0</v>
      </c>
      <c r="M91" s="91"/>
      <c r="N91" s="91"/>
      <c r="O91" s="44">
        <f t="shared" si="155"/>
        <v>0</v>
      </c>
      <c r="P91" s="91"/>
      <c r="Q91" s="91"/>
      <c r="R91" s="44">
        <f t="shared" si="156"/>
        <v>0</v>
      </c>
      <c r="S91" s="91"/>
      <c r="T91" s="91"/>
      <c r="U91" s="44">
        <f t="shared" si="157"/>
        <v>0</v>
      </c>
      <c r="V91" s="91"/>
      <c r="W91" s="91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89"/>
      <c r="E92" s="89"/>
      <c r="F92" s="44">
        <f t="shared" si="152"/>
        <v>0</v>
      </c>
      <c r="G92" s="89"/>
      <c r="H92" s="89"/>
      <c r="I92" s="44">
        <f t="shared" si="153"/>
        <v>0</v>
      </c>
      <c r="J92" s="90"/>
      <c r="K92" s="91"/>
      <c r="L92" s="44">
        <f t="shared" si="154"/>
        <v>0</v>
      </c>
      <c r="M92" s="91"/>
      <c r="N92" s="91"/>
      <c r="O92" s="44">
        <f t="shared" si="155"/>
        <v>0</v>
      </c>
      <c r="P92" s="91"/>
      <c r="Q92" s="91"/>
      <c r="R92" s="44">
        <f t="shared" si="156"/>
        <v>0</v>
      </c>
      <c r="S92" s="91"/>
      <c r="T92" s="91"/>
      <c r="U92" s="44">
        <f t="shared" si="157"/>
        <v>0</v>
      </c>
      <c r="V92" s="91"/>
      <c r="W92" s="91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89"/>
      <c r="E93" s="89"/>
      <c r="F93" s="44">
        <f t="shared" si="152"/>
        <v>0</v>
      </c>
      <c r="G93" s="89"/>
      <c r="H93" s="89"/>
      <c r="I93" s="44">
        <f t="shared" si="153"/>
        <v>0</v>
      </c>
      <c r="J93" s="90"/>
      <c r="K93" s="91"/>
      <c r="L93" s="44">
        <f t="shared" si="154"/>
        <v>0</v>
      </c>
      <c r="M93" s="91"/>
      <c r="N93" s="91"/>
      <c r="O93" s="44">
        <f t="shared" si="155"/>
        <v>0</v>
      </c>
      <c r="P93" s="91"/>
      <c r="Q93" s="91"/>
      <c r="R93" s="44">
        <f t="shared" si="156"/>
        <v>0</v>
      </c>
      <c r="S93" s="91"/>
      <c r="T93" s="91"/>
      <c r="U93" s="44">
        <f t="shared" si="157"/>
        <v>0</v>
      </c>
      <c r="V93" s="91"/>
      <c r="W93" s="91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89"/>
      <c r="E94" s="89"/>
      <c r="F94" s="44">
        <f t="shared" si="152"/>
        <v>0</v>
      </c>
      <c r="G94" s="89"/>
      <c r="H94" s="89"/>
      <c r="I94" s="44">
        <f t="shared" si="153"/>
        <v>0</v>
      </c>
      <c r="J94" s="90"/>
      <c r="K94" s="91"/>
      <c r="L94" s="44">
        <f t="shared" si="154"/>
        <v>0</v>
      </c>
      <c r="M94" s="91"/>
      <c r="N94" s="91"/>
      <c r="O94" s="44">
        <f t="shared" si="155"/>
        <v>0</v>
      </c>
      <c r="P94" s="91"/>
      <c r="Q94" s="91"/>
      <c r="R94" s="44">
        <f t="shared" si="156"/>
        <v>0</v>
      </c>
      <c r="S94" s="91"/>
      <c r="T94" s="91"/>
      <c r="U94" s="44">
        <f t="shared" si="157"/>
        <v>0</v>
      </c>
      <c r="V94" s="91"/>
      <c r="W94" s="91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89"/>
      <c r="E95" s="89"/>
      <c r="F95" s="44">
        <f t="shared" si="152"/>
        <v>0</v>
      </c>
      <c r="G95" s="89"/>
      <c r="H95" s="89"/>
      <c r="I95" s="44">
        <f t="shared" si="153"/>
        <v>0</v>
      </c>
      <c r="J95" s="90"/>
      <c r="K95" s="91"/>
      <c r="L95" s="44">
        <f t="shared" si="154"/>
        <v>0</v>
      </c>
      <c r="M95" s="91"/>
      <c r="N95" s="91"/>
      <c r="O95" s="44">
        <f t="shared" si="155"/>
        <v>0</v>
      </c>
      <c r="P95" s="91"/>
      <c r="Q95" s="91"/>
      <c r="R95" s="44">
        <f t="shared" si="156"/>
        <v>0</v>
      </c>
      <c r="S95" s="91"/>
      <c r="T95" s="91"/>
      <c r="U95" s="44">
        <f t="shared" si="157"/>
        <v>0</v>
      </c>
      <c r="V95" s="91"/>
      <c r="W95" s="91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89"/>
      <c r="E96" s="89"/>
      <c r="F96" s="44">
        <f t="shared" si="152"/>
        <v>0</v>
      </c>
      <c r="G96" s="89"/>
      <c r="H96" s="89"/>
      <c r="I96" s="44">
        <f t="shared" si="153"/>
        <v>0</v>
      </c>
      <c r="J96" s="90"/>
      <c r="K96" s="91"/>
      <c r="L96" s="44">
        <f t="shared" si="154"/>
        <v>0</v>
      </c>
      <c r="M96" s="91"/>
      <c r="N96" s="91"/>
      <c r="O96" s="44">
        <f t="shared" si="155"/>
        <v>0</v>
      </c>
      <c r="P96" s="91"/>
      <c r="Q96" s="91"/>
      <c r="R96" s="44">
        <f t="shared" si="156"/>
        <v>0</v>
      </c>
      <c r="S96" s="91"/>
      <c r="T96" s="91"/>
      <c r="U96" s="44">
        <f t="shared" si="157"/>
        <v>0</v>
      </c>
      <c r="V96" s="91"/>
      <c r="W96" s="91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89"/>
      <c r="E97" s="89"/>
      <c r="F97" s="44">
        <f t="shared" si="152"/>
        <v>0</v>
      </c>
      <c r="G97" s="89"/>
      <c r="H97" s="89"/>
      <c r="I97" s="44">
        <f t="shared" si="153"/>
        <v>0</v>
      </c>
      <c r="J97" s="90"/>
      <c r="K97" s="91"/>
      <c r="L97" s="44">
        <f t="shared" si="154"/>
        <v>0</v>
      </c>
      <c r="M97" s="91"/>
      <c r="N97" s="91"/>
      <c r="O97" s="44">
        <f t="shared" si="155"/>
        <v>0</v>
      </c>
      <c r="P97" s="91"/>
      <c r="Q97" s="91"/>
      <c r="R97" s="44">
        <f t="shared" si="156"/>
        <v>0</v>
      </c>
      <c r="S97" s="91"/>
      <c r="T97" s="91"/>
      <c r="U97" s="44">
        <f t="shared" si="157"/>
        <v>0</v>
      </c>
      <c r="V97" s="91"/>
      <c r="W97" s="91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89"/>
      <c r="E98" s="89"/>
      <c r="F98" s="44">
        <f t="shared" si="152"/>
        <v>0</v>
      </c>
      <c r="G98" s="89"/>
      <c r="H98" s="89"/>
      <c r="I98" s="44">
        <f t="shared" si="153"/>
        <v>0</v>
      </c>
      <c r="J98" s="90"/>
      <c r="K98" s="91"/>
      <c r="L98" s="44">
        <f t="shared" si="154"/>
        <v>0</v>
      </c>
      <c r="M98" s="91"/>
      <c r="N98" s="91"/>
      <c r="O98" s="44">
        <f t="shared" si="155"/>
        <v>0</v>
      </c>
      <c r="P98" s="91"/>
      <c r="Q98" s="91"/>
      <c r="R98" s="44">
        <f t="shared" si="156"/>
        <v>0</v>
      </c>
      <c r="S98" s="91"/>
      <c r="T98" s="91"/>
      <c r="U98" s="44">
        <f t="shared" si="157"/>
        <v>0</v>
      </c>
      <c r="V98" s="91"/>
      <c r="W98" s="91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89"/>
      <c r="E99" s="89"/>
      <c r="F99" s="44">
        <f t="shared" si="152"/>
        <v>0</v>
      </c>
      <c r="G99" s="89"/>
      <c r="H99" s="89"/>
      <c r="I99" s="44">
        <f t="shared" si="153"/>
        <v>0</v>
      </c>
      <c r="J99" s="90"/>
      <c r="K99" s="91"/>
      <c r="L99" s="44">
        <f t="shared" si="154"/>
        <v>0</v>
      </c>
      <c r="M99" s="91"/>
      <c r="N99" s="91"/>
      <c r="O99" s="44">
        <f t="shared" si="155"/>
        <v>0</v>
      </c>
      <c r="P99" s="91"/>
      <c r="Q99" s="91"/>
      <c r="R99" s="44">
        <f t="shared" si="156"/>
        <v>0</v>
      </c>
      <c r="S99" s="91"/>
      <c r="T99" s="91"/>
      <c r="U99" s="44">
        <f t="shared" si="157"/>
        <v>0</v>
      </c>
      <c r="V99" s="91"/>
      <c r="W99" s="91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89"/>
      <c r="E100" s="89"/>
      <c r="F100" s="44">
        <f t="shared" si="152"/>
        <v>0</v>
      </c>
      <c r="G100" s="89"/>
      <c r="H100" s="89"/>
      <c r="I100" s="44">
        <f t="shared" si="153"/>
        <v>0</v>
      </c>
      <c r="J100" s="90"/>
      <c r="K100" s="91"/>
      <c r="L100" s="44">
        <f t="shared" si="154"/>
        <v>0</v>
      </c>
      <c r="M100" s="91"/>
      <c r="N100" s="91"/>
      <c r="O100" s="44">
        <f t="shared" si="155"/>
        <v>0</v>
      </c>
      <c r="P100" s="91"/>
      <c r="Q100" s="91"/>
      <c r="R100" s="44">
        <f t="shared" si="156"/>
        <v>0</v>
      </c>
      <c r="S100" s="91"/>
      <c r="T100" s="91"/>
      <c r="U100" s="44">
        <f t="shared" si="157"/>
        <v>0</v>
      </c>
      <c r="V100" s="91"/>
      <c r="W100" s="91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2.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10155</v>
      </c>
      <c r="B2" s="105" t="s">
        <v>43</v>
      </c>
      <c r="C2" s="98" t="s">
        <v>1410</v>
      </c>
      <c r="D2" s="75">
        <v>0.41666666666666669</v>
      </c>
      <c r="E2" s="75">
        <v>0.58333333333333337</v>
      </c>
      <c r="F2" s="92">
        <f>BA2-BB2</f>
        <v>4</v>
      </c>
      <c r="G2" s="75"/>
      <c r="H2" s="76"/>
      <c r="I2" s="92">
        <f>BF2-BG2</f>
        <v>0</v>
      </c>
      <c r="J2" s="75"/>
      <c r="K2" s="76"/>
      <c r="L2" s="92">
        <f>BK2-BL2</f>
        <v>0</v>
      </c>
      <c r="M2" s="75"/>
      <c r="N2" s="76"/>
      <c r="O2" s="92">
        <f>BP2-BQ2</f>
        <v>0</v>
      </c>
      <c r="P2" s="75"/>
      <c r="Q2" s="76"/>
      <c r="R2" s="92">
        <f>BU2-BV2</f>
        <v>0</v>
      </c>
      <c r="S2" s="75">
        <v>0.375</v>
      </c>
      <c r="T2" s="75">
        <v>0.79166666666666663</v>
      </c>
      <c r="U2" s="92">
        <f>BZ2-CA2</f>
        <v>9</v>
      </c>
      <c r="V2" s="75">
        <v>0.375</v>
      </c>
      <c r="W2" s="76">
        <v>0.58333333333333337</v>
      </c>
      <c r="X2" s="92">
        <f>CE2-CF2</f>
        <v>5.0000000000000009</v>
      </c>
      <c r="Y2" s="92"/>
      <c r="Z2" s="92"/>
      <c r="AA2" s="92"/>
      <c r="AB2" s="96">
        <f>SUM(F2,I2,L2,O2,R2,U2,X2)</f>
        <v>18</v>
      </c>
      <c r="AC2" s="93"/>
      <c r="AD2" s="78">
        <v>1</v>
      </c>
      <c r="AE2" s="94">
        <f>SUMIF($BC$1:$CI$1,AE$1,$BC2:$CI2)+AD2</f>
        <v>5</v>
      </c>
      <c r="AF2" s="78"/>
      <c r="AG2" s="94">
        <f>SUMIF($BC$1:$CI$1,AG$1,$BC2:$CI2)+AF2</f>
        <v>9</v>
      </c>
      <c r="AH2" s="78"/>
      <c r="AI2" s="94">
        <f>SUMIF($BC$1:$CI$1,AI$1,$BC2:$CI2)+AH2</f>
        <v>5.0000000000000009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3</v>
      </c>
      <c r="AQ2" s="77"/>
      <c r="AR2" s="77"/>
      <c r="AS2" s="77"/>
      <c r="AT2" s="63">
        <f>AE2+AG2+AI2+AK2+AM2+AO2+SUM(AQ2:AS2)</f>
        <v>19</v>
      </c>
      <c r="AU2" s="78"/>
      <c r="AV2" s="5"/>
      <c r="AW2" s="5"/>
      <c r="AX2" s="5"/>
      <c r="AY2" s="5"/>
      <c r="AZ2" s="24">
        <f>VLOOKUP(C2,Employees!D:I,6,FALSE)</f>
        <v>10155</v>
      </c>
      <c r="BA2" s="5">
        <f>IF(ISBLANK(D2),0,(E2-D2)*24)</f>
        <v>4</v>
      </c>
      <c r="BB2" s="5">
        <f>IF(BA2&gt;$AY$1,1,IF(BA2&gt;=$AX$1,0.5,0))</f>
        <v>0</v>
      </c>
      <c r="BC2" s="5">
        <f>BA2-BB2-BD2-BE2</f>
        <v>4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10</v>
      </c>
      <c r="CA2" s="5">
        <f>IF(BZ2&gt;$AY$1,1,IF(BZ2&gt;=$AX$1,0.5,0))</f>
        <v>1</v>
      </c>
      <c r="CB2" s="5">
        <f>BZ2-CA2-CC2-CD2</f>
        <v>9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5.0000000000000009</v>
      </c>
      <c r="CF2" s="5">
        <f>IF(CE2&gt;$AY$1,1,IF(CE2&gt;=$AX$1,0.5,0))</f>
        <v>0</v>
      </c>
      <c r="CG2" s="5">
        <f>CE2-CF2-CH2-CI2</f>
        <v>5.0000000000000009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3</v>
      </c>
    </row>
    <row r="3" spans="1:89" ht="47" customHeight="1">
      <c r="A3" s="74">
        <f t="shared" si="0"/>
        <v>10369</v>
      </c>
      <c r="B3" s="105" t="s">
        <v>43</v>
      </c>
      <c r="C3" s="99" t="s">
        <v>1414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/>
      <c r="N3" s="75"/>
      <c r="O3" s="92">
        <f t="shared" ref="O3:O74" si="12">BP3-BQ3</f>
        <v>0</v>
      </c>
      <c r="P3" s="85"/>
      <c r="Q3" s="85"/>
      <c r="R3" s="92">
        <f t="shared" ref="R3:R74" si="13">BU3-BV3</f>
        <v>0</v>
      </c>
      <c r="S3" s="85"/>
      <c r="T3" s="85"/>
      <c r="U3" s="92">
        <f t="shared" ref="U3:U74" si="14">BZ3-CA3</f>
        <v>0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0</v>
      </c>
      <c r="AC3" s="93"/>
      <c r="AD3" s="78"/>
      <c r="AE3" s="94">
        <f t="shared" ref="AE3:AE74" si="17">SUMIF($BC$1:$CI$1,AE$1,$BC3:$CI3)+AD3</f>
        <v>0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0</v>
      </c>
      <c r="AQ3" s="77"/>
      <c r="AR3" s="77">
        <v>38</v>
      </c>
      <c r="AS3" s="77"/>
      <c r="AT3" s="63">
        <f t="shared" ref="AT3:AT74" si="24">AE3+AG3+AI3+AK3+AM3+AO3+SUM(AQ3:AS3)</f>
        <v>38</v>
      </c>
      <c r="AU3" s="78"/>
      <c r="AV3" s="5"/>
      <c r="AW3" s="5"/>
      <c r="AX3" s="5"/>
      <c r="AY3" s="5"/>
      <c r="AZ3" s="24">
        <f>VLOOKUP(C3,Employees!D:I,6,FALSE)</f>
        <v>10369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>
        <f t="shared" si="0"/>
        <v>210508</v>
      </c>
      <c r="B4" s="105" t="s">
        <v>43</v>
      </c>
      <c r="C4" s="101" t="s">
        <v>1389</v>
      </c>
      <c r="D4" s="75"/>
      <c r="E4" s="75"/>
      <c r="F4" s="92">
        <f t="shared" si="9"/>
        <v>0</v>
      </c>
      <c r="G4" s="75">
        <v>0.41666666666666669</v>
      </c>
      <c r="H4" s="75">
        <v>0.91666666666666663</v>
      </c>
      <c r="I4" s="92">
        <f t="shared" si="10"/>
        <v>10.999999999999998</v>
      </c>
      <c r="J4" s="75"/>
      <c r="K4" s="75"/>
      <c r="L4" s="92">
        <f t="shared" si="11"/>
        <v>0</v>
      </c>
      <c r="M4" s="75">
        <v>0.375</v>
      </c>
      <c r="N4" s="75">
        <v>0.91666666666666663</v>
      </c>
      <c r="O4" s="92">
        <f t="shared" si="12"/>
        <v>12</v>
      </c>
      <c r="P4" s="75">
        <v>0.70833333333333337</v>
      </c>
      <c r="Q4" s="75">
        <v>0.98958333333333337</v>
      </c>
      <c r="R4" s="92">
        <f t="shared" si="13"/>
        <v>6.25</v>
      </c>
      <c r="S4" s="75"/>
      <c r="T4" s="75"/>
      <c r="U4" s="92">
        <f t="shared" si="14"/>
        <v>0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29.25</v>
      </c>
      <c r="AC4" s="93"/>
      <c r="AD4" s="78"/>
      <c r="AE4" s="94">
        <f t="shared" si="17"/>
        <v>27.5</v>
      </c>
      <c r="AF4" s="78"/>
      <c r="AG4" s="94">
        <f t="shared" si="18"/>
        <v>0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1.7500000000000018</v>
      </c>
      <c r="AN4" s="77"/>
      <c r="AO4" s="94">
        <f t="shared" si="22"/>
        <v>0</v>
      </c>
      <c r="AP4" s="95">
        <f t="shared" si="23"/>
        <v>3</v>
      </c>
      <c r="AQ4" s="77"/>
      <c r="AR4" s="77"/>
      <c r="AS4" s="77"/>
      <c r="AT4" s="63">
        <f t="shared" si="24"/>
        <v>29.25</v>
      </c>
      <c r="AU4" s="78"/>
      <c r="AV4" s="5"/>
      <c r="AW4" s="5"/>
      <c r="AX4" s="5"/>
      <c r="AY4" s="5"/>
      <c r="AZ4" s="24">
        <f>VLOOKUP(C4,Employees!D:I,6,FALSE)</f>
        <v>210508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11.999999999999998</v>
      </c>
      <c r="BG4" s="5">
        <f t="shared" si="31"/>
        <v>1</v>
      </c>
      <c r="BH4" s="5">
        <f t="shared" si="32"/>
        <v>10.999999999999998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13</v>
      </c>
      <c r="BQ4" s="5">
        <f t="shared" si="41"/>
        <v>1</v>
      </c>
      <c r="BR4" s="5">
        <f t="shared" si="42"/>
        <v>12</v>
      </c>
      <c r="BS4" s="5">
        <f t="shared" si="43"/>
        <v>0</v>
      </c>
      <c r="BT4" s="5">
        <f t="shared" si="44"/>
        <v>0</v>
      </c>
      <c r="BU4" s="5">
        <f t="shared" si="45"/>
        <v>6.75</v>
      </c>
      <c r="BV4" s="5">
        <f t="shared" si="46"/>
        <v>0.5</v>
      </c>
      <c r="BW4" s="5">
        <f t="shared" si="47"/>
        <v>4.4999999999999982</v>
      </c>
      <c r="BX4" s="5">
        <f t="shared" si="48"/>
        <v>1.7500000000000018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3</v>
      </c>
    </row>
    <row r="5" spans="1:89" ht="47" customHeight="1">
      <c r="A5" s="74">
        <f t="shared" si="0"/>
        <v>10198</v>
      </c>
      <c r="B5" s="105" t="s">
        <v>43</v>
      </c>
      <c r="C5" s="98" t="s">
        <v>1412</v>
      </c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>
        <v>0.625</v>
      </c>
      <c r="Q5" s="75">
        <v>0.98333333333333328</v>
      </c>
      <c r="R5" s="92">
        <f t="shared" si="13"/>
        <v>8.0999999999999979</v>
      </c>
      <c r="S5" s="76">
        <v>0.5</v>
      </c>
      <c r="T5" s="75">
        <v>0.98958333333333337</v>
      </c>
      <c r="U5" s="92">
        <f t="shared" si="14"/>
        <v>10.75</v>
      </c>
      <c r="V5" s="75">
        <v>0.5</v>
      </c>
      <c r="W5" s="76">
        <v>0.96527777777777779</v>
      </c>
      <c r="X5" s="92">
        <f t="shared" si="15"/>
        <v>10.166666666666668</v>
      </c>
      <c r="Y5" s="92"/>
      <c r="Z5" s="92"/>
      <c r="AA5" s="92"/>
      <c r="AB5" s="96">
        <f t="shared" si="16"/>
        <v>29.016666666666666</v>
      </c>
      <c r="AC5" s="93"/>
      <c r="AD5" s="78"/>
      <c r="AE5" s="94">
        <f t="shared" si="17"/>
        <v>6.4999999999999982</v>
      </c>
      <c r="AF5" s="78"/>
      <c r="AG5" s="94">
        <f t="shared" si="18"/>
        <v>10.75</v>
      </c>
      <c r="AH5" s="78"/>
      <c r="AI5" s="94">
        <f t="shared" si="19"/>
        <v>10.166666666666668</v>
      </c>
      <c r="AJ5" s="77"/>
      <c r="AK5" s="94">
        <f t="shared" si="20"/>
        <v>0</v>
      </c>
      <c r="AL5" s="78"/>
      <c r="AM5" s="94">
        <f t="shared" si="21"/>
        <v>1.5999999999999996</v>
      </c>
      <c r="AN5" s="77"/>
      <c r="AO5" s="94">
        <f t="shared" si="22"/>
        <v>0</v>
      </c>
      <c r="AP5" s="95">
        <f t="shared" si="23"/>
        <v>3</v>
      </c>
      <c r="AQ5" s="77"/>
      <c r="AR5" s="77"/>
      <c r="AS5" s="77"/>
      <c r="AT5" s="63">
        <f t="shared" si="24"/>
        <v>29.016666666666666</v>
      </c>
      <c r="AU5" s="78"/>
      <c r="AV5" s="5"/>
      <c r="AW5" s="5"/>
      <c r="AX5" s="5"/>
      <c r="AY5" s="5"/>
      <c r="AZ5" s="24">
        <f>VLOOKUP(C5,Employees!D:I,6,FALSE)</f>
        <v>10198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8.5999999999999979</v>
      </c>
      <c r="BV5" s="5">
        <f t="shared" si="46"/>
        <v>0.5</v>
      </c>
      <c r="BW5" s="5">
        <f t="shared" si="47"/>
        <v>6.4999999999999982</v>
      </c>
      <c r="BX5" s="5">
        <f t="shared" si="48"/>
        <v>1.5999999999999996</v>
      </c>
      <c r="BY5" s="5">
        <f t="shared" si="49"/>
        <v>0</v>
      </c>
      <c r="BZ5" s="5">
        <f t="shared" si="50"/>
        <v>11.75</v>
      </c>
      <c r="CA5" s="5">
        <f t="shared" si="51"/>
        <v>1</v>
      </c>
      <c r="CB5" s="5">
        <f t="shared" si="52"/>
        <v>8.9999999999999982</v>
      </c>
      <c r="CC5" s="5">
        <f t="shared" si="53"/>
        <v>1.7500000000000018</v>
      </c>
      <c r="CD5" s="5">
        <f t="shared" si="54"/>
        <v>0</v>
      </c>
      <c r="CE5" s="5">
        <f t="shared" si="55"/>
        <v>11.166666666666668</v>
      </c>
      <c r="CF5" s="5">
        <f t="shared" si="56"/>
        <v>1</v>
      </c>
      <c r="CG5" s="5">
        <f t="shared" si="57"/>
        <v>9</v>
      </c>
      <c r="CH5" s="5">
        <f t="shared" si="58"/>
        <v>1.1666666666666679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4">
        <f t="shared" si="0"/>
        <v>10410</v>
      </c>
      <c r="B6" s="105" t="s">
        <v>43</v>
      </c>
      <c r="C6" s="99" t="s">
        <v>1122</v>
      </c>
      <c r="D6" s="76">
        <v>0.66666666666666663</v>
      </c>
      <c r="E6" s="75">
        <v>0.96875</v>
      </c>
      <c r="F6" s="92">
        <f t="shared" si="9"/>
        <v>6.7500000000000009</v>
      </c>
      <c r="G6" s="75">
        <v>0.70833333333333337</v>
      </c>
      <c r="H6" s="76">
        <v>0.96875</v>
      </c>
      <c r="I6" s="92">
        <f t="shared" si="10"/>
        <v>5.7499999999999991</v>
      </c>
      <c r="J6" s="76">
        <v>0.70833333333333337</v>
      </c>
      <c r="K6" s="75">
        <v>0.96875</v>
      </c>
      <c r="L6" s="92">
        <f t="shared" si="11"/>
        <v>5.7499999999999991</v>
      </c>
      <c r="M6" s="76">
        <v>0.66666666666666663</v>
      </c>
      <c r="N6" s="76">
        <v>0.98402777777777772</v>
      </c>
      <c r="O6" s="92">
        <f t="shared" si="12"/>
        <v>7.1166666666666663</v>
      </c>
      <c r="P6" s="76"/>
      <c r="Q6" s="75"/>
      <c r="R6" s="92">
        <f t="shared" si="13"/>
        <v>0</v>
      </c>
      <c r="S6" s="75">
        <v>0.66666666666666663</v>
      </c>
      <c r="T6" s="75">
        <v>0.98958333333333337</v>
      </c>
      <c r="U6" s="92">
        <f t="shared" si="14"/>
        <v>7.2500000000000018</v>
      </c>
      <c r="V6" s="75">
        <v>0.58333333333333337</v>
      </c>
      <c r="W6" s="76">
        <v>0.96527777777777779</v>
      </c>
      <c r="X6" s="92">
        <f t="shared" si="15"/>
        <v>8.1666666666666661</v>
      </c>
      <c r="Y6" s="92"/>
      <c r="Z6" s="92"/>
      <c r="AA6" s="92"/>
      <c r="AB6" s="96">
        <f t="shared" si="16"/>
        <v>40.783333333333331</v>
      </c>
      <c r="AC6" s="93"/>
      <c r="AD6" s="78"/>
      <c r="AE6" s="94">
        <f t="shared" si="17"/>
        <v>19.999999999999996</v>
      </c>
      <c r="AF6" s="78"/>
      <c r="AG6" s="94">
        <f t="shared" si="18"/>
        <v>7.2500000000000018</v>
      </c>
      <c r="AH6" s="78"/>
      <c r="AI6" s="94">
        <f t="shared" si="19"/>
        <v>8.1666666666666661</v>
      </c>
      <c r="AJ6" s="77"/>
      <c r="AK6" s="94">
        <f t="shared" si="20"/>
        <v>0</v>
      </c>
      <c r="AL6" s="78"/>
      <c r="AM6" s="94">
        <f t="shared" si="21"/>
        <v>5.3666666666666689</v>
      </c>
      <c r="AN6" s="77"/>
      <c r="AO6" s="94">
        <f t="shared" si="22"/>
        <v>0</v>
      </c>
      <c r="AP6" s="95">
        <f t="shared" si="23"/>
        <v>6</v>
      </c>
      <c r="AQ6" s="77"/>
      <c r="AR6" s="77"/>
      <c r="AS6" s="77"/>
      <c r="AT6" s="63">
        <f t="shared" si="24"/>
        <v>40.783333333333331</v>
      </c>
      <c r="AU6" s="78"/>
      <c r="AV6" s="5"/>
      <c r="AW6" s="5"/>
      <c r="AX6" s="5"/>
      <c r="AY6" s="5"/>
      <c r="AZ6" s="24">
        <f>VLOOKUP(C6,Employees!D:I,6,FALSE)</f>
        <v>10410</v>
      </c>
      <c r="BA6" s="5">
        <f t="shared" si="25"/>
        <v>7.2500000000000009</v>
      </c>
      <c r="BB6" s="5">
        <f t="shared" si="26"/>
        <v>0.5</v>
      </c>
      <c r="BC6" s="5">
        <f t="shared" si="27"/>
        <v>5.5</v>
      </c>
      <c r="BD6" s="5">
        <f t="shared" si="28"/>
        <v>1.2500000000000009</v>
      </c>
      <c r="BE6" s="5">
        <f t="shared" si="29"/>
        <v>0</v>
      </c>
      <c r="BF6" s="5">
        <f t="shared" si="30"/>
        <v>6.2499999999999991</v>
      </c>
      <c r="BG6" s="5">
        <f t="shared" si="31"/>
        <v>0.5</v>
      </c>
      <c r="BH6" s="5">
        <f t="shared" si="32"/>
        <v>4.4999999999999982</v>
      </c>
      <c r="BI6" s="5">
        <f t="shared" si="33"/>
        <v>1.2500000000000009</v>
      </c>
      <c r="BJ6" s="5">
        <f t="shared" si="34"/>
        <v>0</v>
      </c>
      <c r="BK6" s="5">
        <f t="shared" si="35"/>
        <v>6.2499999999999991</v>
      </c>
      <c r="BL6" s="5">
        <f t="shared" si="36"/>
        <v>0.5</v>
      </c>
      <c r="BM6" s="5">
        <f t="shared" si="37"/>
        <v>4.4999999999999982</v>
      </c>
      <c r="BN6" s="5">
        <f t="shared" si="38"/>
        <v>1.2500000000000009</v>
      </c>
      <c r="BO6" s="5">
        <f t="shared" si="39"/>
        <v>0</v>
      </c>
      <c r="BP6" s="5">
        <f t="shared" si="40"/>
        <v>7.6166666666666663</v>
      </c>
      <c r="BQ6" s="5">
        <f t="shared" si="41"/>
        <v>0.5</v>
      </c>
      <c r="BR6" s="5">
        <f t="shared" si="42"/>
        <v>5.5</v>
      </c>
      <c r="BS6" s="5">
        <f t="shared" si="43"/>
        <v>1.6166666666666663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7.7500000000000018</v>
      </c>
      <c r="CA6" s="5">
        <f t="shared" si="51"/>
        <v>0.5</v>
      </c>
      <c r="CB6" s="5">
        <f t="shared" si="52"/>
        <v>5.5</v>
      </c>
      <c r="CC6" s="5">
        <f t="shared" si="53"/>
        <v>1.7500000000000018</v>
      </c>
      <c r="CD6" s="5">
        <f t="shared" si="54"/>
        <v>0</v>
      </c>
      <c r="CE6" s="5">
        <f t="shared" si="55"/>
        <v>9.1666666666666661</v>
      </c>
      <c r="CF6" s="5">
        <f t="shared" si="56"/>
        <v>1</v>
      </c>
      <c r="CG6" s="5">
        <f t="shared" si="57"/>
        <v>6.9999999999999982</v>
      </c>
      <c r="CH6" s="5">
        <f t="shared" si="58"/>
        <v>1.1666666666666679</v>
      </c>
      <c r="CI6" s="5">
        <f t="shared" si="59"/>
        <v>0</v>
      </c>
      <c r="CJ6" s="5"/>
      <c r="CK6" s="4">
        <f t="shared" si="8"/>
        <v>6</v>
      </c>
    </row>
    <row r="7" spans="1:89" ht="47" customHeight="1">
      <c r="A7" s="74">
        <f t="shared" si="0"/>
        <v>210478</v>
      </c>
      <c r="B7" s="105" t="s">
        <v>43</v>
      </c>
      <c r="C7" s="99" t="s">
        <v>1413</v>
      </c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106">
        <v>0.41666666666666669</v>
      </c>
      <c r="K7" s="106">
        <v>0.91666666666666663</v>
      </c>
      <c r="L7" s="92">
        <f t="shared" si="11"/>
        <v>10.999999999999998</v>
      </c>
      <c r="M7" s="76"/>
      <c r="N7" s="76"/>
      <c r="O7" s="92">
        <f t="shared" si="12"/>
        <v>0</v>
      </c>
      <c r="P7" s="76">
        <v>0.375</v>
      </c>
      <c r="Q7" s="75">
        <v>0.66666666666666663</v>
      </c>
      <c r="R7" s="92">
        <f t="shared" si="13"/>
        <v>6.4999999999999991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17.499999999999996</v>
      </c>
      <c r="AC7" s="93"/>
      <c r="AD7" s="78">
        <v>-11</v>
      </c>
      <c r="AE7" s="94">
        <f t="shared" si="17"/>
        <v>6.4999999999999964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2</v>
      </c>
      <c r="AQ7" s="77"/>
      <c r="AR7" s="77"/>
      <c r="AS7" s="77"/>
      <c r="AT7" s="63">
        <f t="shared" si="24"/>
        <v>6.4999999999999964</v>
      </c>
      <c r="AU7" s="103" t="s">
        <v>1416</v>
      </c>
      <c r="AV7" s="5"/>
      <c r="AW7" s="5"/>
      <c r="AX7" s="5"/>
      <c r="AY7" s="5"/>
      <c r="AZ7" s="24">
        <f>VLOOKUP(C7,Employees!D:I,6,FALSE)</f>
        <v>210478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11.999999999999998</v>
      </c>
      <c r="BL7" s="5">
        <f t="shared" si="36"/>
        <v>1</v>
      </c>
      <c r="BM7" s="5">
        <f t="shared" si="37"/>
        <v>10.999999999999998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6.9999999999999991</v>
      </c>
      <c r="BV7" s="5">
        <f t="shared" si="46"/>
        <v>0.5</v>
      </c>
      <c r="BW7" s="5">
        <f t="shared" si="47"/>
        <v>6.4999999999999991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2</v>
      </c>
    </row>
    <row r="8" spans="1:89" ht="47" customHeight="1">
      <c r="A8" s="74" t="str">
        <f t="shared" si="0"/>
        <v/>
      </c>
      <c r="B8" s="105"/>
      <c r="C8" s="102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105"/>
      <c r="C9" s="99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6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6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6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6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F1" zoomScale="120" zoomScaleNormal="120" workbookViewId="0">
      <selection activeCell="W7" sqref="W7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10155</v>
      </c>
      <c r="B2" s="28">
        <f ca="1">IF(A2=0,"",_xlfn.NUMBERVALUE(A2))</f>
        <v>10155</v>
      </c>
      <c r="C2" s="28" t="str">
        <f ca="1">IF($A2=0,"",VLOOKUP($B2,Employees!$A:$G,2,FALSE))</f>
        <v>Qianyu</v>
      </c>
      <c r="D2" s="28" t="str">
        <f ca="1">IF($A2=0,"",VLOOKUP($B2,Employees!$A:$G,3,FALSE))</f>
        <v>Liu</v>
      </c>
      <c r="E2" s="26">
        <f ca="1">IF($A2=0,"",VLOOKUP($B2,Employees!$A:$G,5,FALSE))</f>
        <v>35234</v>
      </c>
      <c r="F2" s="13">
        <f ca="1">IF($E2="","",ROUNDDOWN(YEARFRAC($E2, 'Week 1 Roster'!$D$1-1, 1), 0))</f>
        <v>29</v>
      </c>
      <c r="G2" s="13">
        <f ca="1">IF($E2="","",ROUNDDOWN(YEARFRAC($E2, 'Week 1 Roster'!$D$1+14, 1), 0))</f>
        <v>29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EW</v>
      </c>
      <c r="L2" s="13" t="str">
        <f ca="1">IF($A2=0,"",VLOOKUP(K2,Stores!A:B,2,0))</f>
        <v>Superb</v>
      </c>
      <c r="M2" s="14">
        <f t="shared" ref="M2" ca="1" si="0">Y2+AK2</f>
        <v>11</v>
      </c>
      <c r="N2" s="14">
        <f t="shared" ref="N2" ca="1" si="1">Z2+AL2</f>
        <v>18</v>
      </c>
      <c r="O2" s="14">
        <f t="shared" ref="O2" ca="1" si="2">AA2+AM2</f>
        <v>8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6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37</v>
      </c>
      <c r="Y2" s="17">
        <f ca="1">IF($A2=0,0,SUMIF('Week 1 Roster'!$AZ:$AZ,$B2,'Week 1 Roster'!$AE:$AE))</f>
        <v>6</v>
      </c>
      <c r="Z2" s="17">
        <f ca="1">IF($A2=0,0,SUMIF('Week 1 Roster'!$AZ:$AZ,$B2,'Week 1 Roster'!$AG:$AG))</f>
        <v>9</v>
      </c>
      <c r="AA2" s="17">
        <f ca="1">IF($A2=0,0,SUMIF('Week 1 Roster'!$AZ:$AZ,$B2,'Week 1 Roster'!$AI:$AI))</f>
        <v>3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3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18</v>
      </c>
      <c r="AK2" s="17">
        <f ca="1">IF($A2=0,0,SUMIF('Week 2 Roster'!$AZ:$AZ,$B2,'Week 2 Roster'!$AE:$AE))</f>
        <v>5</v>
      </c>
      <c r="AL2" s="17">
        <f ca="1">IF($A2=0,0,SUMIF('Week 2 Roster'!$AZ:$AZ,$B2,'Week 2 Roster'!$AG:$AG))</f>
        <v>9</v>
      </c>
      <c r="AM2" s="17">
        <f ca="1">IF($A2=0,0,SUMIF('Week 2 Roster'!$AZ:$AZ,$B2,'Week 2 Roster'!$AI:$AI))</f>
        <v>5.0000000000000009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3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19</v>
      </c>
      <c r="AV2" s="17"/>
      <c r="AW2" s="25">
        <f>'Week 1 Roster'!A2</f>
        <v>10155</v>
      </c>
      <c r="AX2" s="25">
        <f>'Week 2 Roster'!A2</f>
        <v>10155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10144</v>
      </c>
      <c r="B3" s="28">
        <f t="shared" ref="B3:B66" ca="1" si="9">IF(A3=0,"",_xlfn.NUMBERVALUE(A3))</f>
        <v>10144</v>
      </c>
      <c r="C3" s="28" t="str">
        <f ca="1">IF($A3=0,"",VLOOKUP($B3,Employees!$A:$G,2,FALSE))</f>
        <v>xiangyu</v>
      </c>
      <c r="D3" s="28" t="str">
        <f ca="1">IF($A3=0,"",VLOOKUP($B3,Employees!$A:$G,3,FALSE))</f>
        <v>lai</v>
      </c>
      <c r="E3" s="26">
        <f ca="1">IF($A3=0,"",VLOOKUP($B3,Employees!$A:$G,5,FALSE))</f>
        <v>37616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HL</v>
      </c>
      <c r="K3" s="13" t="str">
        <f ca="1">IF($A3=0,"",IF(ISNA(VLOOKUP(A3,'Week 1 Roster'!A:C,2,0)),VLOOKUP(A3,'Week 2 Roster'!A:C,2,0),VLOOKUP(A3,'Week 1 Roster'!A:C,2,0)))</f>
        <v>EW</v>
      </c>
      <c r="L3" s="13" t="str">
        <f ca="1">IF($A3=0,"",VLOOKUP(K3,Stores!A:B,2,0))</f>
        <v>Superb</v>
      </c>
      <c r="M3" s="14">
        <f t="shared" ref="M3:M66" ca="1" si="11">Y3+AK3</f>
        <v>0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0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0</v>
      </c>
      <c r="Y3" s="17">
        <f ca="1">IF($A3=0,0,SUMIF('Week 1 Roster'!$AZ:$AZ,$B3,'Week 1 Roster'!$AE:$AE))</f>
        <v>0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0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0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10144</v>
      </c>
      <c r="AX3" s="25">
        <f>'Week 2 Roster'!A3</f>
        <v>10369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10369</v>
      </c>
      <c r="B4" s="28">
        <f t="shared" ca="1" si="9"/>
        <v>10369</v>
      </c>
      <c r="C4" s="28" t="str">
        <f ca="1">IF($A4=0,"",VLOOKUP($B4,Employees!$A:$G,2,FALSE))</f>
        <v>Suqi</v>
      </c>
      <c r="D4" s="28" t="str">
        <f ca="1">IF($A4=0,"",VLOOKUP($B4,Employees!$A:$G,3,FALSE))</f>
        <v>Tang</v>
      </c>
      <c r="E4" s="26">
        <f ca="1">IF($A4=0,"",VLOOKUP($B4,Employees!$A:$G,5,FALSE))</f>
        <v>33016</v>
      </c>
      <c r="F4" s="13">
        <f ca="1">IF($E4="","",ROUNDDOWN(YEARFRAC($E4, 'Week 1 Roster'!$D$1-1, 1), 0))</f>
        <v>35</v>
      </c>
      <c r="G4" s="13">
        <f ca="1">IF($E4="","",ROUNDDOWN(YEARFRAC($E4, 'Week 1 Roster'!$D$1+14, 1), 0))</f>
        <v>35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EW</v>
      </c>
      <c r="L4" s="13" t="str">
        <f ca="1">IF($A4=0,"",VLOOKUP(K4,Stores!A:B,2,0))</f>
        <v>Superb</v>
      </c>
      <c r="M4" s="14">
        <f t="shared" ca="1" si="11"/>
        <v>0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0</v>
      </c>
      <c r="T4" s="14">
        <f t="shared" ca="1" si="18"/>
        <v>0</v>
      </c>
      <c r="U4" s="14">
        <f t="shared" ca="1" si="19"/>
        <v>76</v>
      </c>
      <c r="V4" s="14">
        <f t="shared" ca="1" si="20"/>
        <v>0</v>
      </c>
      <c r="W4" s="14">
        <f t="shared" ca="1" si="21"/>
        <v>76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0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38</v>
      </c>
      <c r="AH4" s="17">
        <f ca="1">IF($A4=0,0,SUMIF('Week 1 Roster'!$AZ:$AZ,$B4,'Week 1 Roster'!$AS:$AS))</f>
        <v>0</v>
      </c>
      <c r="AI4" s="17">
        <f t="shared" ca="1" si="22"/>
        <v>38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0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38</v>
      </c>
      <c r="AT4" s="17">
        <f ca="1">IF($A4=0,0,SUMIF('Week 2 Roster'!$AZ:$AZ,$B4,'Week 2 Roster'!$AS:$AS))</f>
        <v>0</v>
      </c>
      <c r="AU4" s="17">
        <f t="shared" ca="1" si="23"/>
        <v>38</v>
      </c>
      <c r="AV4" s="17"/>
      <c r="AW4" s="25">
        <f>'Week 1 Roster'!A4</f>
        <v>210508</v>
      </c>
      <c r="AX4" s="25">
        <f>'Week 2 Roster'!A4</f>
        <v>210508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210508</v>
      </c>
      <c r="B5" s="28">
        <f t="shared" ca="1" si="9"/>
        <v>210508</v>
      </c>
      <c r="C5" s="28" t="str">
        <f ca="1">IF($A5=0,"",VLOOKUP($B5,Employees!$A:$G,2,FALSE))</f>
        <v>May Phyu Cin</v>
      </c>
      <c r="D5" s="28" t="str">
        <f ca="1">IF($A5=0,"",VLOOKUP($B5,Employees!$A:$G,3,FALSE))</f>
        <v>Myo</v>
      </c>
      <c r="E5" s="26">
        <f ca="1">IF($A5=0,"",VLOOKUP($B5,Employees!$A:$G,5,FALSE))</f>
        <v>38176</v>
      </c>
      <c r="F5" s="13">
        <f ca="1">IF($E5="","",ROUNDDOWN(YEARFRAC($E5, 'Week 1 Roster'!$D$1-1, 1), 0))</f>
        <v>21</v>
      </c>
      <c r="G5" s="13">
        <f ca="1">IF($E5="","",ROUNDDOWN(YEARFRAC($E5, 'Week 1 Roster'!$D$1+14, 1), 0))</f>
        <v>21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Win</v>
      </c>
      <c r="K5" s="13" t="str">
        <f ca="1">IF($A5=0,"",IF(ISNA(VLOOKUP(A5,'Week 1 Roster'!A:C,2,0)),VLOOKUP(A5,'Week 2 Roster'!A:C,2,0),VLOOKUP(A5,'Week 1 Roster'!A:C,2,0)))</f>
        <v>EW</v>
      </c>
      <c r="L5" s="13" t="str">
        <f ca="1">IF($A5=0,"",VLOOKUP(K5,Stores!A:B,2,0))</f>
        <v>Superb</v>
      </c>
      <c r="M5" s="14">
        <f t="shared" ca="1" si="11"/>
        <v>48.5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1.7500000000000018</v>
      </c>
      <c r="R5" s="14">
        <f t="shared" ca="1" si="16"/>
        <v>0</v>
      </c>
      <c r="S5" s="28">
        <f t="shared" ca="1" si="17"/>
        <v>6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50.25</v>
      </c>
      <c r="Y5" s="17">
        <f ca="1">IF($A5=0,0,SUMIF('Week 1 Roster'!$AZ:$AZ,$B5,'Week 1 Roster'!$AE:$AE))</f>
        <v>21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3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21</v>
      </c>
      <c r="AK5" s="17">
        <f ca="1">IF($A5=0,0,SUMIF('Week 2 Roster'!$AZ:$AZ,$B5,'Week 2 Roster'!$AE:$AE))</f>
        <v>27.5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1.7500000000000018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29.25</v>
      </c>
      <c r="AV5" s="17"/>
      <c r="AW5" s="25">
        <f>'Week 1 Roster'!A5</f>
        <v>10198</v>
      </c>
      <c r="AX5" s="25">
        <f>'Week 2 Roster'!A5</f>
        <v>10198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10198</v>
      </c>
      <c r="B6" s="28">
        <f t="shared" ca="1" si="9"/>
        <v>10198</v>
      </c>
      <c r="C6" s="28" t="str">
        <f ca="1">IF($A6=0,"",VLOOKUP($B6,Employees!$A:$G,2,FALSE))</f>
        <v>Sungwoo</v>
      </c>
      <c r="D6" s="28" t="str">
        <f ca="1">IF($A6=0,"",VLOOKUP($B6,Employees!$A:$G,3,FALSE))</f>
        <v>Yang</v>
      </c>
      <c r="E6" s="26">
        <f ca="1">IF($A6=0,"",VLOOKUP($B6,Employees!$A:$G,5,FALSE))</f>
        <v>38050</v>
      </c>
      <c r="F6" s="13">
        <f ca="1">IF($E6="","",ROUNDDOWN(YEARFRAC($E6, 'Week 1 Roster'!$D$1-1, 1), 0))</f>
        <v>21</v>
      </c>
      <c r="G6" s="13">
        <f ca="1">IF($E6="","",ROUNDDOWN(YEARFRAC($E6, 'Week 1 Roster'!$D$1+14, 1), 0))</f>
        <v>21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HL</v>
      </c>
      <c r="K6" s="13" t="str">
        <f ca="1">IF($A6=0,"",IF(ISNA(VLOOKUP(A6,'Week 1 Roster'!A:C,2,0)),VLOOKUP(A6,'Week 2 Roster'!A:C,2,0),VLOOKUP(A6,'Week 1 Roster'!A:C,2,0)))</f>
        <v>EW</v>
      </c>
      <c r="L6" s="13" t="str">
        <f ca="1">IF($A6=0,"",VLOOKUP(K6,Stores!A:B,2,0))</f>
        <v>Superb</v>
      </c>
      <c r="M6" s="14">
        <f t="shared" ca="1" si="11"/>
        <v>18.5</v>
      </c>
      <c r="N6" s="14">
        <f t="shared" ca="1" si="12"/>
        <v>21.25</v>
      </c>
      <c r="O6" s="14">
        <f t="shared" ca="1" si="13"/>
        <v>10.166666666666668</v>
      </c>
      <c r="P6" s="14">
        <f t="shared" ca="1" si="14"/>
        <v>0</v>
      </c>
      <c r="Q6" s="14">
        <f t="shared" ca="1" si="15"/>
        <v>3.3500000000000014</v>
      </c>
      <c r="R6" s="14">
        <f t="shared" ca="1" si="16"/>
        <v>0</v>
      </c>
      <c r="S6" s="28">
        <f t="shared" ca="1" si="17"/>
        <v>6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53.266666666666673</v>
      </c>
      <c r="Y6" s="17">
        <f ca="1">IF($A6=0,0,SUMIF('Week 1 Roster'!$AZ:$AZ,$B6,'Week 1 Roster'!$AE:$AE))</f>
        <v>12</v>
      </c>
      <c r="Z6" s="17">
        <f ca="1">IF($A6=0,0,SUMIF('Week 1 Roster'!$AZ:$AZ,$B6,'Week 1 Roster'!$AG:$AG))</f>
        <v>10.5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1.7500000000000018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24.25</v>
      </c>
      <c r="AK6" s="17">
        <f ca="1">IF($A6=0,0,SUMIF('Week 2 Roster'!$AZ:$AZ,$B6,'Week 2 Roster'!$AE:$AE))</f>
        <v>6.4999999999999982</v>
      </c>
      <c r="AL6" s="17">
        <f ca="1">IF($A6=0,0,SUMIF('Week 2 Roster'!$AZ:$AZ,$B6,'Week 2 Roster'!$AG:$AG))</f>
        <v>10.75</v>
      </c>
      <c r="AM6" s="17">
        <f ca="1">IF($A6=0,0,SUMIF('Week 2 Roster'!$AZ:$AZ,$B6,'Week 2 Roster'!$AI:$AI))</f>
        <v>10.166666666666668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1.5999999999999996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3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29.016666666666666</v>
      </c>
      <c r="AV6" s="17"/>
      <c r="AW6" s="25">
        <f>'Week 1 Roster'!A6</f>
        <v>10410</v>
      </c>
      <c r="AX6" s="25">
        <f>'Week 2 Roster'!A6</f>
        <v>10410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10410</v>
      </c>
      <c r="B7" s="28">
        <f t="shared" ca="1" si="9"/>
        <v>10410</v>
      </c>
      <c r="C7" s="28" t="str">
        <f ca="1">IF($A7=0,"",VLOOKUP($B7,Employees!$A:$G,2,FALSE))</f>
        <v>Dominic</v>
      </c>
      <c r="D7" s="28" t="str">
        <f ca="1">IF($A7=0,"",VLOOKUP($B7,Employees!$A:$G,3,FALSE))</f>
        <v>Tomiyama</v>
      </c>
      <c r="E7" s="26">
        <f ca="1">IF($A7=0,"",VLOOKUP($B7,Employees!$A:$G,5,FALSE))</f>
        <v>37623</v>
      </c>
      <c r="F7" s="13">
        <f ca="1">IF($E7="","",ROUNDDOWN(YEARFRAC($E7, 'Week 1 Roster'!$D$1-1, 1), 0))</f>
        <v>22</v>
      </c>
      <c r="G7" s="13">
        <f ca="1">IF($E7="","",ROUNDDOWN(YEARFRAC($E7, 'Week 1 Roster'!$D$1+14, 1), 0))</f>
        <v>22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EW</v>
      </c>
      <c r="L7" s="13" t="str">
        <f ca="1">IF($A7=0,"",VLOOKUP(K7,Stores!A:B,2,0))</f>
        <v>Superb</v>
      </c>
      <c r="M7" s="14">
        <f t="shared" ca="1" si="11"/>
        <v>38.319999999999993</v>
      </c>
      <c r="N7" s="14">
        <f t="shared" ca="1" si="12"/>
        <v>14.500000000000004</v>
      </c>
      <c r="O7" s="14">
        <f t="shared" ca="1" si="13"/>
        <v>17.416666666666664</v>
      </c>
      <c r="P7" s="14">
        <f t="shared" ca="1" si="14"/>
        <v>0</v>
      </c>
      <c r="Q7" s="14">
        <f t="shared" ca="1" si="15"/>
        <v>6.6166666666666698</v>
      </c>
      <c r="R7" s="14">
        <f t="shared" ca="1" si="16"/>
        <v>0</v>
      </c>
      <c r="S7" s="28">
        <f t="shared" ca="1" si="17"/>
        <v>10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76.853333333333325</v>
      </c>
      <c r="Y7" s="17">
        <f ca="1">IF($A7=0,0,SUMIF('Week 1 Roster'!$AZ:$AZ,$B7,'Week 1 Roster'!$AE:$AE))</f>
        <v>18.32</v>
      </c>
      <c r="Z7" s="17">
        <f ca="1">IF($A7=0,0,SUMIF('Week 1 Roster'!$AZ:$AZ,$B7,'Week 1 Roster'!$AG:$AG))</f>
        <v>7.2500000000000018</v>
      </c>
      <c r="AA7" s="17">
        <f ca="1">IF($A7=0,0,SUMIF('Week 1 Roster'!$AZ:$AZ,$B7,'Week 1 Roster'!$AI:$AI))</f>
        <v>9.25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1.2500000000000009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4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36.07</v>
      </c>
      <c r="AK7" s="17">
        <f ca="1">IF($A7=0,0,SUMIF('Week 2 Roster'!$AZ:$AZ,$B7,'Week 2 Roster'!$AE:$AE))</f>
        <v>19.999999999999996</v>
      </c>
      <c r="AL7" s="17">
        <f ca="1">IF($A7=0,0,SUMIF('Week 2 Roster'!$AZ:$AZ,$B7,'Week 2 Roster'!$AG:$AG))</f>
        <v>7.2500000000000018</v>
      </c>
      <c r="AM7" s="17">
        <f ca="1">IF($A7=0,0,SUMIF('Week 2 Roster'!$AZ:$AZ,$B7,'Week 2 Roster'!$AI:$AI))</f>
        <v>8.1666666666666661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5.3666666666666689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6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40.783333333333331</v>
      </c>
      <c r="AV7" s="17"/>
      <c r="AW7" s="25">
        <f>'Week 1 Roster'!A7</f>
        <v>210478</v>
      </c>
      <c r="AX7" s="25">
        <f>'Week 2 Roster'!A7</f>
        <v>210478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210478</v>
      </c>
      <c r="B8" s="28">
        <f t="shared" ca="1" si="9"/>
        <v>210478</v>
      </c>
      <c r="C8" s="28" t="str">
        <f ca="1">IF($A8=0,"",VLOOKUP($B8,Employees!$A:$G,2,FALSE))</f>
        <v>Cynthia</v>
      </c>
      <c r="D8" s="28" t="str">
        <f ca="1">IF($A8=0,"",VLOOKUP($B8,Employees!$A:$G,3,FALSE))</f>
        <v>Chen</v>
      </c>
      <c r="E8" s="26">
        <f ca="1">IF($A8=0,"",VLOOKUP($B8,Employees!$A:$G,5,FALSE))</f>
        <v>33851</v>
      </c>
      <c r="F8" s="13">
        <f ca="1">IF($E8="","",ROUNDDOWN(YEARFRAC($E8, 'Week 1 Roster'!$D$1-1, 1), 0))</f>
        <v>33</v>
      </c>
      <c r="G8" s="13">
        <f ca="1">IF($E8="","",ROUNDDOWN(YEARFRAC($E8, 'Week 1 Roster'!$D$1+14, 1), 0))</f>
        <v>33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EW</v>
      </c>
      <c r="L8" s="13" t="str">
        <f ca="1">IF($A8=0,"",VLOOKUP(K8,Stores!A:B,2,0))</f>
        <v>Superb</v>
      </c>
      <c r="M8" s="14">
        <f t="shared" ca="1" si="11"/>
        <v>10.999999999999993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1.5</v>
      </c>
      <c r="R8" s="14">
        <f t="shared" ca="1" si="16"/>
        <v>0</v>
      </c>
      <c r="S8" s="28">
        <f t="shared" ca="1" si="17"/>
        <v>5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12.499999999999993</v>
      </c>
      <c r="Y8" s="17">
        <f ca="1">IF($A8=0,0,SUMIF('Week 1 Roster'!$AZ:$AZ,$B8,'Week 1 Roster'!$AE:$AE))</f>
        <v>4.4999999999999964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1.5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3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5.9999999999999964</v>
      </c>
      <c r="AK8" s="17">
        <f ca="1">IF($A8=0,0,SUMIF('Week 2 Roster'!$AZ:$AZ,$B8,'Week 2 Roster'!$AE:$AE))</f>
        <v>6.4999999999999964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2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6.4999999999999964</v>
      </c>
      <c r="AV8" s="17"/>
      <c r="AW8" s="25">
        <f>'Week 1 Roster'!A8</f>
        <v>210518</v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210518</v>
      </c>
      <c r="B9" s="28">
        <f t="shared" ca="1" si="9"/>
        <v>210518</v>
      </c>
      <c r="C9" s="28" t="str">
        <f ca="1">IF($A9=0,"",VLOOKUP($B9,Employees!$A:$G,2,FALSE))</f>
        <v>James</v>
      </c>
      <c r="D9" s="28" t="str">
        <f ca="1">IF($A9=0,"",VLOOKUP($B9,Employees!$A:$G,3,FALSE))</f>
        <v>Nguyen</v>
      </c>
      <c r="E9" s="26">
        <f ca="1">IF($A9=0,"",VLOOKUP($B9,Employees!$A:$G,5,FALSE))</f>
        <v>38536</v>
      </c>
      <c r="F9" s="13">
        <f ca="1">IF($E9="","",ROUNDDOWN(YEARFRAC($E9, 'Week 1 Roster'!$D$1-1, 1), 0))</f>
        <v>20</v>
      </c>
      <c r="G9" s="13">
        <f ca="1">IF($E9="","",ROUNDDOWN(YEARFRAC($E9, 'Week 1 Roster'!$D$1+14, 1), 0))</f>
        <v>20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Win</v>
      </c>
      <c r="K9" s="13" t="str">
        <f ca="1">IF($A9=0,"",IF(ISNA(VLOOKUP(A9,'Week 1 Roster'!A:C,2,0)),VLOOKUP(A9,'Week 2 Roster'!A:C,2,0),VLOOKUP(A9,'Week 1 Roster'!A:C,2,0)))</f>
        <v>EW</v>
      </c>
      <c r="L9" s="13" t="str">
        <f ca="1">IF($A9=0,"",VLOOKUP(K9,Stores!A:B,2,0))</f>
        <v>Superb</v>
      </c>
      <c r="M9" s="14">
        <f t="shared" ca="1" si="11"/>
        <v>19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3.7500000000000027</v>
      </c>
      <c r="R9" s="14">
        <f t="shared" ca="1" si="16"/>
        <v>0</v>
      </c>
      <c r="S9" s="28">
        <f t="shared" ca="1" si="17"/>
        <v>3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22.750000000000004</v>
      </c>
      <c r="Y9" s="17">
        <f ca="1">IF($A9=0,0,SUMIF('Week 1 Roster'!$AZ:$AZ,$B9,'Week 1 Roster'!$AE:$AE))</f>
        <v>19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3.7500000000000027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3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22.750000000000004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10369</v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10165</v>
      </c>
      <c r="B10" s="28">
        <f t="shared" ca="1" si="9"/>
        <v>10165</v>
      </c>
      <c r="C10" s="28" t="str">
        <f ca="1">IF($A10=0,"",VLOOKUP($B10,Employees!$A:$G,2,FALSE))</f>
        <v>xiaoqing</v>
      </c>
      <c r="D10" s="28" t="str">
        <f ca="1">IF($A10=0,"",VLOOKUP($B10,Employees!$A:$G,3,FALSE))</f>
        <v>jiang</v>
      </c>
      <c r="E10" s="26">
        <f ca="1">IF($A10=0,"",VLOOKUP($B10,Employees!$A:$G,5,FALSE))</f>
        <v>35618</v>
      </c>
      <c r="F10" s="13">
        <f ca="1">IF($E10="","",ROUNDDOWN(YEARFRAC($E10, 'Week 1 Roster'!$D$1-1, 1), 0))</f>
        <v>28</v>
      </c>
      <c r="G10" s="13">
        <f ca="1">IF($E10="","",ROUNDDOWN(YEARFRAC($E10, 'Week 1 Roster'!$D$1+14, 1), 0))</f>
        <v>28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GCM</v>
      </c>
      <c r="K10" s="13" t="str">
        <f ca="1">IF($A10=0,"",IF(ISNA(VLOOKUP(A10,'Week 1 Roster'!A:C,2,0)),VLOOKUP(A10,'Week 2 Roster'!A:C,2,0),VLOOKUP(A10,'Week 1 Roster'!A:C,2,0)))</f>
        <v>EW</v>
      </c>
      <c r="L10" s="13" t="str">
        <f ca="1">IF($A10=0,"",VLOOKUP(K10,Stores!A:B,2,0))</f>
        <v>Superb</v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30</v>
      </c>
      <c r="V10" s="14">
        <f t="shared" ca="1" si="20"/>
        <v>0</v>
      </c>
      <c r="W10" s="14">
        <f t="shared" ca="1" si="21"/>
        <v>30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30</v>
      </c>
      <c r="AH10" s="17">
        <f ca="1">IF($A10=0,0,SUMIF('Week 1 Roster'!$AZ:$AZ,$B10,'Week 1 Roster'!$AS:$AS))</f>
        <v>0</v>
      </c>
      <c r="AI10" s="17">
        <f t="shared" ca="1" si="22"/>
        <v>30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>
        <f>'Week 1 Roster'!A10</f>
        <v>10165</v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144" zoomScale="186" zoomScaleNormal="186" workbookViewId="0">
      <selection activeCell="D164" sqref="D164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A519" s="2">
        <v>210518</v>
      </c>
      <c r="B519" s="67" t="s">
        <v>1417</v>
      </c>
      <c r="C519" s="67" t="s">
        <v>123</v>
      </c>
      <c r="D519" s="67" t="s">
        <v>1418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2025-11-10T05:13:11Z</dcterms:modified>
</cp:coreProperties>
</file>