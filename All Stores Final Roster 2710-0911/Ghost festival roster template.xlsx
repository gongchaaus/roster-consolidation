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2710-0911/"/>
    </mc:Choice>
  </mc:AlternateContent>
  <xr:revisionPtr revIDLastSave="0" documentId="13_ncr:1_{0C369AF1-4BF9-694F-A3A2-23C0220F788B}" xr6:coauthVersionLast="47" xr6:coauthVersionMax="47" xr10:uidLastSave="{00000000-0000-0000-0000-000000000000}"/>
  <bookViews>
    <workbookView xWindow="0" yWindow="740" windowWidth="29400" windowHeight="17080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 s="1"/>
  <c r="AW96" i="12" s="1"/>
  <c r="AZ95" i="2"/>
  <c r="AZ94" i="2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Z84" i="2"/>
  <c r="AZ83" i="2"/>
  <c r="AZ82" i="2"/>
  <c r="AZ81" i="2"/>
  <c r="AZ80" i="2"/>
  <c r="AZ79" i="2"/>
  <c r="AZ78" i="2"/>
  <c r="AZ77" i="2"/>
  <c r="AZ76" i="2"/>
  <c r="A76" i="2" s="1"/>
  <c r="AW76" i="12" s="1"/>
  <c r="AZ75" i="2"/>
  <c r="AZ74" i="2"/>
  <c r="AZ73" i="2"/>
  <c r="AZ72" i="2"/>
  <c r="AZ71" i="2"/>
  <c r="AZ70" i="2"/>
  <c r="AZ69" i="2"/>
  <c r="AZ68" i="2"/>
  <c r="AZ67" i="2"/>
  <c r="AZ66" i="2"/>
  <c r="A66" i="2" s="1"/>
  <c r="AW66" i="12" s="1"/>
  <c r="AZ65" i="2"/>
  <c r="AZ64" i="2"/>
  <c r="AZ63" i="2"/>
  <c r="AZ62" i="2"/>
  <c r="AZ61" i="2"/>
  <c r="AZ60" i="2"/>
  <c r="AZ59" i="2"/>
  <c r="AZ58" i="2"/>
  <c r="A58" i="2" s="1"/>
  <c r="AW58" i="12" s="1"/>
  <c r="AZ57" i="2"/>
  <c r="AZ56" i="2"/>
  <c r="A56" i="2" s="1"/>
  <c r="AW56" i="12" s="1"/>
  <c r="AZ55" i="2"/>
  <c r="AZ54" i="2"/>
  <c r="AZ53" i="2"/>
  <c r="AZ52" i="2"/>
  <c r="AZ51" i="2"/>
  <c r="AZ50" i="2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Z40" i="2"/>
  <c r="A40" i="2" s="1"/>
  <c r="AW40" i="12" s="1"/>
  <c r="AZ39" i="2"/>
  <c r="AZ38" i="2"/>
  <c r="AZ37" i="2"/>
  <c r="AZ36" i="2"/>
  <c r="A36" i="2" s="1"/>
  <c r="AW36" i="12" s="1"/>
  <c r="AZ35" i="2"/>
  <c r="AZ34" i="2"/>
  <c r="AZ33" i="2"/>
  <c r="AZ32" i="2"/>
  <c r="A32" i="2" s="1"/>
  <c r="AW32" i="12" s="1"/>
  <c r="AZ31" i="2"/>
  <c r="AZ30" i="2"/>
  <c r="AZ29" i="2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Z21" i="2"/>
  <c r="AZ20" i="2"/>
  <c r="AZ19" i="2"/>
  <c r="AZ18" i="2"/>
  <c r="AZ17" i="2"/>
  <c r="AZ16" i="2"/>
  <c r="A16" i="2" s="1"/>
  <c r="AW16" i="12" s="1"/>
  <c r="AZ15" i="2"/>
  <c r="A15" i="2" s="1"/>
  <c r="AW15" i="12" s="1"/>
  <c r="AZ14" i="2"/>
  <c r="A14" i="2" s="1"/>
  <c r="AW14" i="12" s="1"/>
  <c r="AZ13" i="2"/>
  <c r="A13" i="2" s="1"/>
  <c r="AW13" i="12" s="1"/>
  <c r="AZ12" i="2"/>
  <c r="AZ11" i="2"/>
  <c r="AZ10" i="2"/>
  <c r="AZ9" i="2"/>
  <c r="A9" i="2" s="1"/>
  <c r="AW9" i="12" s="1"/>
  <c r="AZ8" i="2"/>
  <c r="A8" i="2" s="1"/>
  <c r="AW8" i="12" s="1"/>
  <c r="AZ7" i="2"/>
  <c r="A7" i="2" s="1"/>
  <c r="AW7" i="12" s="1"/>
  <c r="AZ6" i="2"/>
  <c r="A6" i="2" s="1"/>
  <c r="AW6" i="12" s="1"/>
  <c r="AZ5" i="2"/>
  <c r="A5" i="2" s="1"/>
  <c r="AW5" i="12" s="1"/>
  <c r="AZ4" i="2"/>
  <c r="A4" i="2" s="1"/>
  <c r="AW4" i="12" s="1"/>
  <c r="AZ3" i="2"/>
  <c r="A3" i="2" s="1"/>
  <c r="AW3" i="12" s="1"/>
  <c r="AZ100" i="18"/>
  <c r="AZ99" i="18"/>
  <c r="AZ98" i="18"/>
  <c r="A98" i="18" s="1"/>
  <c r="AX98" i="12" s="1"/>
  <c r="AZ97" i="18"/>
  <c r="AZ96" i="18"/>
  <c r="AZ95" i="18"/>
  <c r="AZ94" i="18"/>
  <c r="AZ93" i="18"/>
  <c r="AZ92" i="18"/>
  <c r="A92" i="18" s="1"/>
  <c r="AX92" i="12" s="1"/>
  <c r="AZ91" i="18"/>
  <c r="AZ90" i="18"/>
  <c r="A90" i="18" s="1"/>
  <c r="AX90" i="12" s="1"/>
  <c r="AZ89" i="18"/>
  <c r="AZ88" i="18"/>
  <c r="AZ87" i="18"/>
  <c r="A87" i="18" s="1"/>
  <c r="AX87" i="12" s="1"/>
  <c r="AZ86" i="18"/>
  <c r="A86" i="18" s="1"/>
  <c r="AX86" i="12" s="1"/>
  <c r="AZ85" i="18"/>
  <c r="AZ84" i="18"/>
  <c r="AZ83" i="18"/>
  <c r="AZ82" i="18"/>
  <c r="A82" i="18" s="1"/>
  <c r="AX82" i="12" s="1"/>
  <c r="AZ81" i="18"/>
  <c r="AZ80" i="18"/>
  <c r="AZ79" i="18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F25" i="18"/>
  <c r="CE25" i="18"/>
  <c r="CG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F24" i="18"/>
  <c r="CG24" i="18" s="1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R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G18" i="18" s="1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 s="1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M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L12" i="18"/>
  <c r="BM12" i="18" s="1"/>
  <c r="BK12" i="18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R22" i="2" s="1"/>
  <c r="BS22" i="2"/>
  <c r="BQ22" i="2"/>
  <c r="BP22" i="2"/>
  <c r="BO22" i="2"/>
  <c r="BL22" i="2"/>
  <c r="BK22" i="2"/>
  <c r="BJ22" i="2"/>
  <c r="BI22" i="2"/>
  <c r="BF22" i="2"/>
  <c r="BE22" i="2"/>
  <c r="BD22" i="2"/>
  <c r="BB22" i="2"/>
  <c r="BC22" i="2" s="1"/>
  <c r="BA22" i="2"/>
  <c r="CI21" i="2"/>
  <c r="CE21" i="2"/>
  <c r="BZ21" i="2"/>
  <c r="CA21" i="2" s="1"/>
  <c r="BX21" i="2"/>
  <c r="BU21" i="2"/>
  <c r="BT21" i="2"/>
  <c r="BS21" i="2"/>
  <c r="BP21" i="2"/>
  <c r="BO21" i="2"/>
  <c r="BM21" i="2"/>
  <c r="BL21" i="2"/>
  <c r="BK21" i="2"/>
  <c r="BJ21" i="2"/>
  <c r="BI21" i="2"/>
  <c r="BF21" i="2"/>
  <c r="BE21" i="2"/>
  <c r="BD21" i="2"/>
  <c r="BA21" i="2"/>
  <c r="CI20" i="2"/>
  <c r="CG20" i="2"/>
  <c r="CF20" i="2"/>
  <c r="CE20" i="2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H20" i="2" s="1"/>
  <c r="BG20" i="2"/>
  <c r="BF20" i="2"/>
  <c r="BE20" i="2"/>
  <c r="BD20" i="2"/>
  <c r="BB20" i="2"/>
  <c r="BA20" i="2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M19" i="2"/>
  <c r="BL19" i="2"/>
  <c r="BK19" i="2"/>
  <c r="BJ19" i="2"/>
  <c r="BI19" i="2"/>
  <c r="BF19" i="2"/>
  <c r="BE19" i="2"/>
  <c r="BD19" i="2"/>
  <c r="BC19" i="2"/>
  <c r="BB19" i="2"/>
  <c r="BA19" i="2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M18" i="2" s="1"/>
  <c r="BJ18" i="2"/>
  <c r="BI18" i="2"/>
  <c r="BF18" i="2"/>
  <c r="BG18" i="2" s="1"/>
  <c r="BH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M16" i="2" s="1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L22" i="2"/>
  <c r="F8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100" i="18"/>
  <c r="AX100" i="12" s="1"/>
  <c r="A99" i="18"/>
  <c r="AX99" i="12" s="1"/>
  <c r="A97" i="18"/>
  <c r="AX97" i="12" s="1"/>
  <c r="A96" i="18"/>
  <c r="AX96" i="12" s="1"/>
  <c r="A95" i="18"/>
  <c r="AX95" i="12" s="1"/>
  <c r="A94" i="18"/>
  <c r="AX94" i="12" s="1"/>
  <c r="A93" i="18"/>
  <c r="AX93" i="12" s="1"/>
  <c r="A91" i="18"/>
  <c r="AX91" i="12" s="1"/>
  <c r="A89" i="18"/>
  <c r="AX89" i="12" s="1"/>
  <c r="A88" i="18"/>
  <c r="AX88" i="12" s="1"/>
  <c r="A85" i="18"/>
  <c r="AX85" i="12" s="1"/>
  <c r="A84" i="18"/>
  <c r="AX84" i="12" s="1"/>
  <c r="A83" i="18"/>
  <c r="AX83" i="12" s="1"/>
  <c r="A81" i="18"/>
  <c r="AX81" i="12" s="1"/>
  <c r="A80" i="18"/>
  <c r="AX80" i="12" s="1"/>
  <c r="A79" i="18"/>
  <c r="AX79" i="12" s="1"/>
  <c r="A100" i="2"/>
  <c r="AW100" i="12" s="1"/>
  <c r="A99" i="2"/>
  <c r="AW99" i="12" s="1"/>
  <c r="A98" i="2"/>
  <c r="AW98" i="12" s="1"/>
  <c r="A97" i="2"/>
  <c r="AW97" i="12" s="1"/>
  <c r="A95" i="2"/>
  <c r="AW95" i="12" s="1"/>
  <c r="A94" i="2"/>
  <c r="AW94" i="12" s="1"/>
  <c r="A92" i="2"/>
  <c r="AW92" i="12" s="1"/>
  <c r="A91" i="2"/>
  <c r="AW91" i="12" s="1"/>
  <c r="A90" i="2"/>
  <c r="AW90" i="12" s="1"/>
  <c r="A89" i="2"/>
  <c r="AW89" i="12" s="1"/>
  <c r="A87" i="2"/>
  <c r="AW87" i="12" s="1"/>
  <c r="A85" i="2"/>
  <c r="AW85" i="12" s="1"/>
  <c r="A84" i="2"/>
  <c r="AW84" i="12" s="1"/>
  <c r="A83" i="2"/>
  <c r="AW83" i="12" s="1"/>
  <c r="A82" i="2"/>
  <c r="AW82" i="12" s="1"/>
  <c r="A81" i="2"/>
  <c r="AW81" i="12" s="1"/>
  <c r="A80" i="2"/>
  <c r="AW80" i="12" s="1"/>
  <c r="A79" i="2"/>
  <c r="AW79" i="12" s="1"/>
  <c r="A78" i="2"/>
  <c r="AW78" i="12" s="1"/>
  <c r="A77" i="2"/>
  <c r="AW77" i="12" s="1"/>
  <c r="A75" i="2"/>
  <c r="AW75" i="12" s="1"/>
  <c r="A74" i="2"/>
  <c r="AW74" i="12" s="1"/>
  <c r="A73" i="2"/>
  <c r="AW73" i="12" s="1"/>
  <c r="A72" i="2"/>
  <c r="AW72" i="12" s="1"/>
  <c r="A71" i="2"/>
  <c r="AW71" i="12" s="1"/>
  <c r="A70" i="2"/>
  <c r="AW70" i="12" s="1"/>
  <c r="A69" i="2"/>
  <c r="AW69" i="12" s="1"/>
  <c r="A68" i="2"/>
  <c r="AW68" i="12" s="1"/>
  <c r="A67" i="2"/>
  <c r="AW67" i="12" s="1"/>
  <c r="A65" i="2"/>
  <c r="AW65" i="12" s="1"/>
  <c r="A64" i="2"/>
  <c r="AW64" i="12" s="1"/>
  <c r="A63" i="2"/>
  <c r="AW63" i="12" s="1"/>
  <c r="A62" i="2"/>
  <c r="AW62" i="12" s="1"/>
  <c r="A61" i="2"/>
  <c r="AW61" i="12" s="1"/>
  <c r="A60" i="2"/>
  <c r="AW60" i="12" s="1"/>
  <c r="A59" i="2"/>
  <c r="AW59" i="12" s="1"/>
  <c r="A57" i="2"/>
  <c r="AW57" i="12" s="1"/>
  <c r="A55" i="2"/>
  <c r="AW55" i="12" s="1"/>
  <c r="A54" i="2"/>
  <c r="AW54" i="12" s="1"/>
  <c r="A53" i="2"/>
  <c r="AW53" i="12" s="1"/>
  <c r="A52" i="2"/>
  <c r="AW52" i="12" s="1"/>
  <c r="A51" i="2"/>
  <c r="AW51" i="12" s="1"/>
  <c r="A50" i="2"/>
  <c r="AW50" i="12" s="1"/>
  <c r="A49" i="2"/>
  <c r="AW49" i="12" s="1"/>
  <c r="A47" i="2"/>
  <c r="AW47" i="12" s="1"/>
  <c r="A44" i="2"/>
  <c r="AW44" i="12" s="1"/>
  <c r="A43" i="2"/>
  <c r="AW43" i="12" s="1"/>
  <c r="A42" i="2"/>
  <c r="AW42" i="12" s="1"/>
  <c r="A41" i="2"/>
  <c r="AW41" i="12" s="1"/>
  <c r="A39" i="2"/>
  <c r="AW39" i="12" s="1"/>
  <c r="A38" i="2"/>
  <c r="AW38" i="12" s="1"/>
  <c r="A37" i="2"/>
  <c r="AW37" i="12" s="1"/>
  <c r="A35" i="2"/>
  <c r="AW35" i="12" s="1"/>
  <c r="A34" i="2"/>
  <c r="AW34" i="12" s="1"/>
  <c r="A33" i="2"/>
  <c r="AW33" i="12" s="1"/>
  <c r="A31" i="2"/>
  <c r="AW31" i="12" s="1"/>
  <c r="A30" i="2"/>
  <c r="AW30" i="12" s="1"/>
  <c r="A29" i="2"/>
  <c r="AW29" i="12" s="1"/>
  <c r="A28" i="2"/>
  <c r="AW28" i="12" s="1"/>
  <c r="A27" i="2"/>
  <c r="AW27" i="12" s="1"/>
  <c r="A25" i="2"/>
  <c r="AW25" i="12" s="1"/>
  <c r="A22" i="2"/>
  <c r="AW22" i="12" s="1"/>
  <c r="A21" i="2"/>
  <c r="AW21" i="12" s="1"/>
  <c r="A20" i="2"/>
  <c r="AW20" i="12" s="1"/>
  <c r="A19" i="2"/>
  <c r="AW19" i="12" s="1"/>
  <c r="A18" i="2"/>
  <c r="AW18" i="12" s="1"/>
  <c r="A17" i="2"/>
  <c r="AW17" i="12" s="1"/>
  <c r="A12" i="2"/>
  <c r="AW12" i="12" s="1"/>
  <c r="A11" i="2"/>
  <c r="AW11" i="12" s="1"/>
  <c r="A10" i="2"/>
  <c r="AW10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U13" i="2"/>
  <c r="U5" i="2"/>
  <c r="L10" i="2"/>
  <c r="I9" i="18"/>
  <c r="I55" i="2"/>
  <c r="R56" i="2"/>
  <c r="L18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O4" i="18"/>
  <c r="R5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F16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O11" i="2"/>
  <c r="L19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L16" i="2"/>
  <c r="F19" i="2"/>
  <c r="U28" i="2"/>
  <c r="I20" i="2"/>
  <c r="L21" i="2"/>
  <c r="O22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X20" i="2"/>
  <c r="F22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12" i="2"/>
  <c r="R20" i="2"/>
  <c r="O19" i="2"/>
  <c r="I60" i="18"/>
  <c r="I9" i="2"/>
  <c r="F45" i="2"/>
  <c r="X47" i="2"/>
  <c r="X6" i="2" l="1"/>
  <c r="CG10" i="18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CK24" i="18"/>
  <c r="AP2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R21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R24" i="18"/>
  <c r="CG27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R17" i="18"/>
  <c r="BQ17" i="18"/>
  <c r="O17" i="18" s="1"/>
  <c r="BQ24" i="18"/>
  <c r="O24" i="18" s="1"/>
  <c r="AB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AB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F17" i="2"/>
  <c r="BL17" i="2"/>
  <c r="L17" i="2" s="1"/>
  <c r="BH21" i="2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BC20" i="2"/>
  <c r="BG21" i="2"/>
  <c r="I21" i="2" s="1"/>
  <c r="BR21" i="2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C17" i="2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BH22" i="2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C21" i="2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CG19" i="2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K17" i="2" s="1"/>
  <c r="AP17" i="2" s="1"/>
  <c r="CA18" i="2"/>
  <c r="CB18" i="2" s="1"/>
  <c r="CF19" i="2"/>
  <c r="BB21" i="2"/>
  <c r="BG22" i="2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15" i="2"/>
  <c r="L32" i="2"/>
  <c r="AB32" i="2" s="1"/>
  <c r="F100" i="2"/>
  <c r="F15" i="2"/>
  <c r="F20" i="2"/>
  <c r="O29" i="2"/>
  <c r="L51" i="2"/>
  <c r="U31" i="2"/>
  <c r="U6" i="2"/>
  <c r="I43" i="2"/>
  <c r="X30" i="2"/>
  <c r="U40" i="2"/>
  <c r="O81" i="2"/>
  <c r="F91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L9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U20" i="2"/>
  <c r="F21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I22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O6" i="2" l="1"/>
  <c r="X11" i="2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AB11" i="2" s="1"/>
  <c r="BR15" i="2"/>
  <c r="BW8" i="2"/>
  <c r="BR14" i="2"/>
  <c r="O4" i="2"/>
  <c r="U18" i="2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CK9" i="2" s="1"/>
  <c r="AP9" i="2" s="1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AB18" i="2"/>
  <c r="CG71" i="2"/>
  <c r="BM96" i="2"/>
  <c r="BW35" i="2"/>
  <c r="BH59" i="2"/>
  <c r="I19" i="2"/>
  <c r="CK19" i="2" s="1"/>
  <c r="AP19" i="2" s="1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K20" i="2" s="1"/>
  <c r="AP20" i="2" s="1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AB21" i="2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AB20" i="2"/>
  <c r="CK24" i="2"/>
  <c r="AP24" i="2" s="1"/>
  <c r="AB24" i="2"/>
  <c r="CK25" i="2"/>
  <c r="AP25" i="2" s="1"/>
  <c r="AB25" i="2"/>
  <c r="I79" i="2"/>
  <c r="CK67" i="2"/>
  <c r="AP67" i="2" s="1"/>
  <c r="AB67" i="2"/>
  <c r="CK11" i="2"/>
  <c r="AP11" i="2" s="1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15" i="2"/>
  <c r="CK15" i="2"/>
  <c r="AP15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CK18" i="2"/>
  <c r="AP18" i="2" s="1"/>
  <c r="AB29" i="2"/>
  <c r="CK29" i="2"/>
  <c r="AP29" i="2" s="1"/>
  <c r="AB9" i="2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K2" i="12" l="1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Y1" i="2"/>
  <c r="W1" i="2"/>
  <c r="X1" i="2"/>
  <c r="CG1" i="2" s="1"/>
  <c r="A3" i="12" a="1"/>
  <c r="A3" i="12" l="1"/>
  <c r="T2" i="12"/>
  <c r="U2" i="12"/>
  <c r="S2" i="12"/>
  <c r="BY1" i="2"/>
  <c r="V2" i="12"/>
  <c r="G2" i="12"/>
  <c r="H2" i="12" s="1"/>
  <c r="K3" i="12"/>
  <c r="L3" i="12" s="1"/>
  <c r="E1" i="18"/>
  <c r="G1" i="18"/>
  <c r="F1" i="18"/>
  <c r="BC1" i="18" s="1"/>
  <c r="CH1" i="2"/>
  <c r="CD1" i="2"/>
  <c r="AA1" i="2"/>
  <c r="CJ1" i="2" s="1"/>
  <c r="CI1" i="2" s="1"/>
  <c r="Z1" i="2"/>
  <c r="B3" i="12"/>
  <c r="AE90" i="2" l="1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Y3" i="12" s="1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T3" i="12"/>
  <c r="D3" i="12"/>
  <c r="AQ3" i="12"/>
  <c r="AF3" i="12"/>
  <c r="C3" i="12"/>
  <c r="I3" i="12"/>
  <c r="E3" i="12"/>
  <c r="G3" i="12" s="1"/>
  <c r="AR3" i="12"/>
  <c r="AE3" i="12"/>
  <c r="J3" i="12"/>
  <c r="AG3" i="12"/>
  <c r="AH3" i="12"/>
  <c r="AS3" i="12"/>
  <c r="A4" i="12" a="1"/>
  <c r="Z3" i="12" l="1"/>
  <c r="AD3" i="12"/>
  <c r="AC3" i="12"/>
  <c r="AA3" i="12"/>
  <c r="AB3" i="12"/>
  <c r="AA2" i="12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S3" i="12"/>
  <c r="V3" i="1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T3" i="12"/>
  <c r="U3" i="12"/>
  <c r="F3" i="12"/>
  <c r="H3" i="12" s="1"/>
  <c r="A4" i="12"/>
  <c r="AI3" i="12" l="1"/>
  <c r="K4" i="12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M5" i="12" s="1"/>
  <c r="O5" i="12" s="1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K6" i="12" l="1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9" i="12" a="1"/>
  <c r="AC8" i="12" l="1"/>
  <c r="J8" i="12"/>
  <c r="AQ8" i="12"/>
  <c r="AH8" i="12"/>
  <c r="AE8" i="12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C8" i="12"/>
  <c r="Y8" i="12"/>
  <c r="AT8" i="12"/>
  <c r="Z8" i="12"/>
  <c r="A9" i="12"/>
  <c r="B9" i="12" s="1"/>
  <c r="Q8" i="12" l="1"/>
  <c r="V8" i="12"/>
  <c r="S8" i="12"/>
  <c r="N8" i="12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H9" i="12" s="1"/>
  <c r="A10" i="12"/>
  <c r="K10" i="12" s="1"/>
  <c r="L10" i="12" s="1"/>
  <c r="Q9" i="12"/>
  <c r="N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B10" i="12" l="1"/>
  <c r="I10" i="12"/>
  <c r="AT10" i="12"/>
  <c r="J10" i="12"/>
  <c r="AG10" i="12"/>
  <c r="AD10" i="12"/>
  <c r="R10" i="12" s="1"/>
  <c r="AN10" i="12"/>
  <c r="AM10" i="12"/>
  <c r="AQ10" i="12"/>
  <c r="Z10" i="12"/>
  <c r="Y10" i="12"/>
  <c r="AH10" i="12"/>
  <c r="AA10" i="12"/>
  <c r="D10" i="12"/>
  <c r="E10" i="12"/>
  <c r="G10" i="12" s="1"/>
  <c r="AE10" i="12"/>
  <c r="AF10" i="12"/>
  <c r="AR10" i="12"/>
  <c r="C10" i="12"/>
  <c r="AS10" i="12"/>
  <c r="AO10" i="12"/>
  <c r="AL10" i="12"/>
  <c r="AC10" i="12"/>
  <c r="AK10" i="12"/>
  <c r="V10" i="12" l="1"/>
  <c r="P10" i="12"/>
  <c r="U10" i="12"/>
  <c r="O10" i="12"/>
  <c r="S10" i="12"/>
  <c r="N10" i="12"/>
  <c r="M10" i="12"/>
  <c r="T10" i="12"/>
  <c r="AI10" i="12"/>
  <c r="F10" i="12"/>
  <c r="H10" i="12" s="1"/>
  <c r="Q10" i="12"/>
  <c r="AU10" i="12"/>
  <c r="A11" i="12" a="1"/>
  <c r="W10" i="12" l="1"/>
  <c r="A11" i="12"/>
  <c r="K11" i="12" l="1"/>
  <c r="L11" i="12" s="1"/>
  <c r="B11" i="12"/>
  <c r="D11" i="12" s="1"/>
  <c r="J11" i="12" l="1"/>
  <c r="AC11" i="12"/>
  <c r="AH11" i="12"/>
  <c r="AE11" i="12"/>
  <c r="AN11" i="12"/>
  <c r="AM11" i="12"/>
  <c r="AA11" i="12"/>
  <c r="AG11" i="12"/>
  <c r="AK11" i="12"/>
  <c r="AL11" i="12"/>
  <c r="AB11" i="12"/>
  <c r="AQ11" i="12"/>
  <c r="AR11" i="12"/>
  <c r="I11" i="12"/>
  <c r="Y11" i="12"/>
  <c r="AO11" i="12"/>
  <c r="AF11" i="12"/>
  <c r="AT11" i="12"/>
  <c r="AS11" i="12"/>
  <c r="E11" i="12"/>
  <c r="F11" i="12" s="1"/>
  <c r="AP11" i="12"/>
  <c r="Z11" i="12"/>
  <c r="C11" i="12"/>
  <c r="AD11" i="12"/>
  <c r="A12" i="12" a="1"/>
  <c r="Q11" i="12" l="1"/>
  <c r="N11" i="12"/>
  <c r="R11" i="12"/>
  <c r="U11" i="12"/>
  <c r="S11" i="12"/>
  <c r="V11" i="12"/>
  <c r="M11" i="12"/>
  <c r="AU11" i="12"/>
  <c r="AI11" i="12"/>
  <c r="T11" i="12"/>
  <c r="O11" i="12"/>
  <c r="G11" i="12"/>
  <c r="H11" i="12" s="1"/>
  <c r="P11" i="12"/>
  <c r="A12" i="12"/>
  <c r="W11" i="12" l="1"/>
  <c r="B12" i="12"/>
  <c r="AE12" i="12" s="1"/>
  <c r="K12" i="12"/>
  <c r="L12" i="12" s="1"/>
  <c r="Y12" i="12" l="1"/>
  <c r="AT12" i="12"/>
  <c r="AF12" i="12"/>
  <c r="C12" i="12"/>
  <c r="J12" i="12"/>
  <c r="AL12" i="12"/>
  <c r="AP12" i="12"/>
  <c r="AB12" i="12"/>
  <c r="D12" i="12"/>
  <c r="I12" i="12"/>
  <c r="AG12" i="12"/>
  <c r="AH12" i="12"/>
  <c r="V12" i="12" s="1"/>
  <c r="AQ12" i="12"/>
  <c r="S12" i="12" s="1"/>
  <c r="AM12" i="12"/>
  <c r="AN12" i="12"/>
  <c r="AA12" i="12"/>
  <c r="AC12" i="12"/>
  <c r="AS12" i="12"/>
  <c r="AR12" i="12"/>
  <c r="AK12" i="12"/>
  <c r="M12" i="12" s="1"/>
  <c r="E12" i="12"/>
  <c r="AD12" i="12"/>
  <c r="Z12" i="12"/>
  <c r="AO12" i="12"/>
  <c r="A13" i="12" a="1"/>
  <c r="T12" i="12" l="1"/>
  <c r="N12" i="12"/>
  <c r="R12" i="12"/>
  <c r="U12" i="12"/>
  <c r="P12" i="12"/>
  <c r="O12" i="12"/>
  <c r="Q12" i="12"/>
  <c r="AU12" i="12"/>
  <c r="AI12" i="12"/>
  <c r="G12" i="12"/>
  <c r="F12" i="12"/>
  <c r="A13" i="12"/>
  <c r="W12" i="12" l="1"/>
  <c r="H12" i="12"/>
  <c r="K13" i="12"/>
  <c r="L13" i="12" s="1"/>
  <c r="B13" i="12"/>
  <c r="AO13" i="12" s="1"/>
  <c r="AS13" i="12" l="1"/>
  <c r="AB13" i="12"/>
  <c r="AG13" i="12"/>
  <c r="U13" i="12" s="1"/>
  <c r="AM13" i="12"/>
  <c r="E13" i="12"/>
  <c r="G13" i="12" s="1"/>
  <c r="AE13" i="12"/>
  <c r="S13" i="12" s="1"/>
  <c r="AT13" i="12"/>
  <c r="AA13" i="12"/>
  <c r="C13" i="12"/>
  <c r="Y13" i="12"/>
  <c r="AC13" i="12"/>
  <c r="Q13" i="12" s="1"/>
  <c r="AD13" i="12"/>
  <c r="AK13" i="12"/>
  <c r="M13" i="12" s="1"/>
  <c r="D13" i="12"/>
  <c r="AH13" i="12"/>
  <c r="V13" i="12" s="1"/>
  <c r="Z13" i="12"/>
  <c r="AQ13" i="12"/>
  <c r="AR13" i="12"/>
  <c r="I13" i="12"/>
  <c r="AN13" i="12"/>
  <c r="P13" i="12" s="1"/>
  <c r="AP13" i="12"/>
  <c r="AL13" i="12"/>
  <c r="J13" i="12"/>
  <c r="AF13" i="12"/>
  <c r="A14" i="12" a="1"/>
  <c r="T13" i="12" l="1"/>
  <c r="O13" i="12"/>
  <c r="R13" i="12"/>
  <c r="AI13" i="12"/>
  <c r="F13" i="12"/>
  <c r="H13" i="12" s="1"/>
  <c r="N13" i="12"/>
  <c r="W13" i="12" s="1"/>
  <c r="AU13" i="12"/>
  <c r="A14" i="12"/>
  <c r="B14" i="12" l="1"/>
  <c r="L14" i="12"/>
  <c r="AR14" i="12"/>
  <c r="E14" i="12"/>
  <c r="C14" i="12"/>
  <c r="AK14" i="12"/>
  <c r="Z14" i="12"/>
  <c r="AO14" i="12"/>
  <c r="AQ14" i="12"/>
  <c r="AT14" i="12"/>
  <c r="AF14" i="12"/>
  <c r="AB14" i="12"/>
  <c r="Y14" i="12"/>
  <c r="AC14" i="12"/>
  <c r="I14" i="12"/>
  <c r="AG14" i="12"/>
  <c r="AE14" i="12"/>
  <c r="K14" i="12"/>
  <c r="D14" i="12"/>
  <c r="AL14" i="12"/>
  <c r="AD14" i="12"/>
  <c r="AH14" i="12"/>
  <c r="AS14" i="12"/>
  <c r="AM14" i="12"/>
  <c r="J14" i="12"/>
  <c r="AN14" i="12"/>
  <c r="AA14" i="12"/>
  <c r="AP14" i="12"/>
  <c r="V14" i="12" l="1"/>
  <c r="P14" i="12"/>
  <c r="S14" i="12"/>
  <c r="R14" i="12"/>
  <c r="N14" i="12"/>
  <c r="T14" i="12"/>
  <c r="U14" i="12"/>
  <c r="Q14" i="12"/>
  <c r="AU14" i="12"/>
  <c r="O14" i="12"/>
  <c r="AI14" i="12"/>
  <c r="M14" i="12"/>
  <c r="G14" i="12"/>
  <c r="H14" i="12"/>
  <c r="F14" i="12"/>
  <c r="A15" i="12" a="1"/>
  <c r="W14" i="12" l="1"/>
  <c r="A15" i="12"/>
  <c r="AT15" i="12" l="1"/>
  <c r="AL15" i="12"/>
  <c r="AA15" i="12"/>
  <c r="AH15" i="12"/>
  <c r="AE15" i="12"/>
  <c r="AG15" i="12"/>
  <c r="Y15" i="12"/>
  <c r="L15" i="12"/>
  <c r="AM15" i="12"/>
  <c r="AB15" i="12"/>
  <c r="AO15" i="12"/>
  <c r="D15" i="12"/>
  <c r="K15" i="12"/>
  <c r="AS15" i="12"/>
  <c r="Z15" i="12"/>
  <c r="N15" i="12" s="1"/>
  <c r="AR15" i="12"/>
  <c r="AQ15" i="12"/>
  <c r="E15" i="12"/>
  <c r="AC15" i="12"/>
  <c r="I15" i="12"/>
  <c r="AP15" i="12"/>
  <c r="B15" i="12"/>
  <c r="AK15" i="12"/>
  <c r="C15" i="12"/>
  <c r="AF15" i="12"/>
  <c r="AD15" i="12"/>
  <c r="J15" i="12"/>
  <c r="AN15" i="12"/>
  <c r="V15" i="12" l="1"/>
  <c r="O15" i="12"/>
  <c r="U15" i="12"/>
  <c r="Q15" i="12"/>
  <c r="AU15" i="12"/>
  <c r="AI15" i="12"/>
  <c r="M15" i="12"/>
  <c r="R15" i="12"/>
  <c r="F15" i="12"/>
  <c r="G15" i="12"/>
  <c r="H15" i="12"/>
  <c r="P15" i="12"/>
  <c r="T15" i="12"/>
  <c r="S15" i="12"/>
  <c r="A16" i="12" a="1"/>
  <c r="A16" i="12" l="1"/>
  <c r="W15" i="12"/>
  <c r="Y16" i="12" l="1"/>
  <c r="AR16" i="12"/>
  <c r="AC16" i="12"/>
  <c r="AE16" i="12"/>
  <c r="AL16" i="12"/>
  <c r="J16" i="12"/>
  <c r="AF16" i="12"/>
  <c r="T16" i="12" s="1"/>
  <c r="AM16" i="12"/>
  <c r="AD16" i="12"/>
  <c r="AK16" i="12"/>
  <c r="I16" i="12"/>
  <c r="AN16" i="12"/>
  <c r="E16" i="12"/>
  <c r="AH16" i="12"/>
  <c r="AA16" i="12"/>
  <c r="L16" i="12"/>
  <c r="Z16" i="12"/>
  <c r="AT16" i="12"/>
  <c r="B16" i="12"/>
  <c r="AG16" i="12"/>
  <c r="C16" i="12"/>
  <c r="K16" i="12"/>
  <c r="AQ16" i="12"/>
  <c r="D16" i="12"/>
  <c r="AO16" i="12"/>
  <c r="AP16" i="12"/>
  <c r="AS16" i="12"/>
  <c r="AB16" i="12"/>
  <c r="A17" i="12" a="1"/>
  <c r="P16" i="12" l="1"/>
  <c r="V16" i="12"/>
  <c r="R16" i="12"/>
  <c r="S16" i="12"/>
  <c r="Q16" i="12"/>
  <c r="A17" i="12"/>
  <c r="AU16" i="12"/>
  <c r="O16" i="12"/>
  <c r="F16" i="12"/>
  <c r="H16" i="12"/>
  <c r="G16" i="12"/>
  <c r="U16" i="12"/>
  <c r="N16" i="12"/>
  <c r="AI16" i="12"/>
  <c r="M16" i="12"/>
  <c r="W16" i="12" l="1"/>
  <c r="AK17" i="12"/>
  <c r="AT17" i="12"/>
  <c r="J17" i="12"/>
  <c r="AB17" i="12"/>
  <c r="AN17" i="12"/>
  <c r="B17" i="12"/>
  <c r="Y17" i="12"/>
  <c r="AQ17" i="12"/>
  <c r="K17" i="12"/>
  <c r="AL17" i="12"/>
  <c r="AH17" i="12"/>
  <c r="AE17" i="12"/>
  <c r="L17" i="12"/>
  <c r="AG17" i="12"/>
  <c r="AM17" i="12"/>
  <c r="AR17" i="12"/>
  <c r="C17" i="12"/>
  <c r="AD17" i="12"/>
  <c r="AF17" i="12"/>
  <c r="AS17" i="12"/>
  <c r="AA17" i="12"/>
  <c r="Z17" i="12"/>
  <c r="D17" i="12"/>
  <c r="AC17" i="12"/>
  <c r="I17" i="12"/>
  <c r="AO17" i="12"/>
  <c r="E17" i="12"/>
  <c r="AP17" i="12"/>
  <c r="A18" i="12" a="1"/>
  <c r="S17" i="12" l="1"/>
  <c r="V17" i="12"/>
  <c r="T17" i="12"/>
  <c r="N17" i="12"/>
  <c r="A18" i="12"/>
  <c r="R17" i="12"/>
  <c r="M17" i="12"/>
  <c r="AI17" i="12"/>
  <c r="O17" i="12"/>
  <c r="U17" i="12"/>
  <c r="G17" i="12"/>
  <c r="F17" i="12"/>
  <c r="H17" i="12"/>
  <c r="P17" i="12"/>
  <c r="AU17" i="12"/>
  <c r="Q17" i="12"/>
  <c r="W17" i="12" l="1"/>
  <c r="C18" i="12"/>
  <c r="AL18" i="12"/>
  <c r="B18" i="12"/>
  <c r="Y18" i="12"/>
  <c r="AO18" i="12"/>
  <c r="AG18" i="12"/>
  <c r="AC18" i="12"/>
  <c r="AF18" i="12"/>
  <c r="AP18" i="12"/>
  <c r="I18" i="12"/>
  <c r="Z18" i="12"/>
  <c r="AQ18" i="12"/>
  <c r="K18" i="12"/>
  <c r="E18" i="12"/>
  <c r="AE18" i="12"/>
  <c r="AR18" i="12"/>
  <c r="T18" i="12" s="1"/>
  <c r="AN18" i="12"/>
  <c r="AK18" i="12"/>
  <c r="AS18" i="12"/>
  <c r="D18" i="12"/>
  <c r="AD18" i="12"/>
  <c r="AA18" i="12"/>
  <c r="J18" i="12"/>
  <c r="AB18" i="12"/>
  <c r="AM18" i="12"/>
  <c r="AT18" i="12"/>
  <c r="AH18" i="12"/>
  <c r="V18" i="12" s="1"/>
  <c r="L18" i="12"/>
  <c r="A19" i="12" a="1"/>
  <c r="R18" i="12" l="1"/>
  <c r="N18" i="12"/>
  <c r="S18" i="12"/>
  <c r="Q18" i="12"/>
  <c r="A19" i="12"/>
  <c r="G18" i="12"/>
  <c r="H18" i="12"/>
  <c r="F18" i="12"/>
  <c r="AI18" i="12"/>
  <c r="M18" i="12"/>
  <c r="AU18" i="12"/>
  <c r="U18" i="12"/>
  <c r="O18" i="12"/>
  <c r="P18" i="12"/>
  <c r="W18" i="12" l="1"/>
  <c r="AP19" i="12"/>
  <c r="AQ19" i="12"/>
  <c r="AF19" i="12"/>
  <c r="AT19" i="12"/>
  <c r="AK19" i="12"/>
  <c r="L19" i="12"/>
  <c r="K19" i="12"/>
  <c r="AS19" i="12"/>
  <c r="C19" i="12"/>
  <c r="D19" i="12"/>
  <c r="AA19" i="12"/>
  <c r="AH19" i="12"/>
  <c r="AL19" i="12"/>
  <c r="AO19" i="12"/>
  <c r="AD19" i="12"/>
  <c r="Z19" i="12"/>
  <c r="AB19" i="12"/>
  <c r="Y19" i="12"/>
  <c r="E19" i="12"/>
  <c r="AC19" i="12"/>
  <c r="AG19" i="12"/>
  <c r="AM19" i="12"/>
  <c r="AN19" i="12"/>
  <c r="AE19" i="12"/>
  <c r="B19" i="12"/>
  <c r="I19" i="12"/>
  <c r="J19" i="12"/>
  <c r="AR19" i="12"/>
  <c r="T19" i="12" s="1"/>
  <c r="A20" i="12" a="1"/>
  <c r="R19" i="12" l="1"/>
  <c r="S19" i="12"/>
  <c r="V19" i="12"/>
  <c r="N19" i="12"/>
  <c r="A20" i="12"/>
  <c r="U19" i="12"/>
  <c r="AU19" i="12"/>
  <c r="Q19" i="12"/>
  <c r="G19" i="12"/>
  <c r="F19" i="12"/>
  <c r="H19" i="12"/>
  <c r="O19" i="12"/>
  <c r="M19" i="12"/>
  <c r="AI19" i="12"/>
  <c r="P19" i="12"/>
  <c r="W19" i="12" l="1"/>
  <c r="AD20" i="12"/>
  <c r="AN20" i="12"/>
  <c r="L20" i="12"/>
  <c r="AH20" i="12"/>
  <c r="B20" i="12"/>
  <c r="C20" i="12"/>
  <c r="D20" i="12"/>
  <c r="AG20" i="12"/>
  <c r="AE20" i="12"/>
  <c r="AK20" i="12"/>
  <c r="J20" i="12"/>
  <c r="E20" i="12"/>
  <c r="AF20" i="12"/>
  <c r="AB20" i="12"/>
  <c r="AO20" i="12"/>
  <c r="AL20" i="12"/>
  <c r="AC20" i="12"/>
  <c r="I20" i="12"/>
  <c r="AR20" i="12"/>
  <c r="AA20" i="12"/>
  <c r="AM20" i="12"/>
  <c r="Y20" i="12"/>
  <c r="AQ20" i="12"/>
  <c r="Z20" i="12"/>
  <c r="K20" i="12"/>
  <c r="AS20" i="12"/>
  <c r="AT20" i="12"/>
  <c r="AP20" i="12"/>
  <c r="R20" i="12" s="1"/>
  <c r="A21" i="12" a="1"/>
  <c r="P20" i="12" l="1"/>
  <c r="T20" i="12"/>
  <c r="A21" i="12"/>
  <c r="O20" i="12"/>
  <c r="AU20" i="12"/>
  <c r="Q20" i="12"/>
  <c r="S20" i="12"/>
  <c r="M20" i="12"/>
  <c r="AI20" i="12"/>
  <c r="G20" i="12"/>
  <c r="F20" i="12"/>
  <c r="H20" i="12"/>
  <c r="V20" i="12"/>
  <c r="N20" i="12"/>
  <c r="U20" i="12"/>
  <c r="W20" i="12" l="1"/>
  <c r="AA21" i="12"/>
  <c r="AN21" i="12"/>
  <c r="B21" i="12"/>
  <c r="L21" i="12"/>
  <c r="AB21" i="12"/>
  <c r="AQ21" i="12"/>
  <c r="AO21" i="12"/>
  <c r="AG21" i="12"/>
  <c r="AR21" i="12"/>
  <c r="Z21" i="12"/>
  <c r="AL21" i="12"/>
  <c r="AM21" i="12"/>
  <c r="AD21" i="12"/>
  <c r="E21" i="12"/>
  <c r="AT21" i="12"/>
  <c r="AH21" i="12"/>
  <c r="C21" i="12"/>
  <c r="AE21" i="12"/>
  <c r="AP21" i="12"/>
  <c r="I21" i="12"/>
  <c r="J21" i="12"/>
  <c r="AS21" i="12"/>
  <c r="K21" i="12"/>
  <c r="AF21" i="12"/>
  <c r="D21" i="12"/>
  <c r="AK21" i="12"/>
  <c r="Y21" i="12"/>
  <c r="AC21" i="12"/>
  <c r="A22" i="12" a="1"/>
  <c r="O21" i="12" l="1"/>
  <c r="P21" i="12"/>
  <c r="T21" i="12"/>
  <c r="N21" i="12"/>
  <c r="R21" i="12"/>
  <c r="V21" i="12"/>
  <c r="U21" i="12"/>
  <c r="A22" i="12"/>
  <c r="G21" i="12"/>
  <c r="H21" i="12"/>
  <c r="F21" i="12"/>
  <c r="Q21" i="12"/>
  <c r="M21" i="12"/>
  <c r="AI21" i="12"/>
  <c r="AU21" i="12"/>
  <c r="S21" i="12"/>
  <c r="W21" i="12" l="1"/>
  <c r="E22" i="12"/>
  <c r="AO22" i="12"/>
  <c r="AC22" i="12"/>
  <c r="AK22" i="12"/>
  <c r="AP22" i="12"/>
  <c r="AD22" i="12"/>
  <c r="Z22" i="12"/>
  <c r="Y22" i="12"/>
  <c r="AE22" i="12"/>
  <c r="J22" i="12"/>
  <c r="AM22" i="12"/>
  <c r="B22" i="12"/>
  <c r="AH22" i="12"/>
  <c r="AL22" i="12"/>
  <c r="D22" i="12"/>
  <c r="AT22" i="12"/>
  <c r="AA22" i="12"/>
  <c r="AF22" i="12"/>
  <c r="AG22" i="12"/>
  <c r="I22" i="12"/>
  <c r="AN22" i="12"/>
  <c r="AR22" i="12"/>
  <c r="L22" i="12"/>
  <c r="AS22" i="12"/>
  <c r="AB22" i="12"/>
  <c r="C22" i="12"/>
  <c r="AQ22" i="12"/>
  <c r="K22" i="12"/>
  <c r="A23" i="12" a="1"/>
  <c r="O22" i="12" l="1"/>
  <c r="N22" i="12"/>
  <c r="R22" i="12"/>
  <c r="Q22" i="12"/>
  <c r="A23" i="12"/>
  <c r="U22" i="12"/>
  <c r="T22" i="12"/>
  <c r="M22" i="12"/>
  <c r="AI22" i="12"/>
  <c r="V22" i="12"/>
  <c r="AU22" i="12"/>
  <c r="P22" i="12"/>
  <c r="S22" i="12"/>
  <c r="G22" i="12"/>
  <c r="F22" i="12"/>
  <c r="H22" i="12"/>
  <c r="W22" i="12" l="1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T23" i="12" l="1"/>
  <c r="O23" i="12"/>
  <c r="U23" i="12"/>
  <c r="S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N25" i="12" l="1"/>
  <c r="T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U26" i="12" l="1"/>
  <c r="O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T27" i="12" s="1"/>
  <c r="AA27" i="12"/>
  <c r="AQ27" i="12"/>
  <c r="AT27" i="12"/>
  <c r="Y27" i="12"/>
  <c r="AC27" i="12"/>
  <c r="AP27" i="12"/>
  <c r="AG27" i="12"/>
  <c r="AS27" i="12"/>
  <c r="AH27" i="12"/>
  <c r="E27" i="12"/>
  <c r="AB27" i="12"/>
  <c r="AO27" i="12"/>
  <c r="A28" i="12" a="1"/>
  <c r="R27" i="12" l="1"/>
  <c r="Q27" i="12"/>
  <c r="U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V28" i="12" l="1"/>
  <c r="U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R29" i="12" l="1"/>
  <c r="Q29" i="12"/>
  <c r="O29" i="12"/>
  <c r="P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N30" i="12" l="1"/>
  <c r="O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J31" i="12"/>
  <c r="AT31" i="12"/>
  <c r="AQ31" i="12"/>
  <c r="A32" i="12" a="1"/>
  <c r="O31" i="12" l="1"/>
  <c r="S31" i="12"/>
  <c r="U31" i="12"/>
  <c r="V31" i="12"/>
  <c r="Q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P32" i="12" l="1"/>
  <c r="N32" i="12"/>
  <c r="U32" i="12"/>
  <c r="T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P33" i="12" l="1"/>
  <c r="N33" i="12"/>
  <c r="R33" i="12"/>
  <c r="V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P35" i="12" l="1"/>
  <c r="V35" i="12"/>
  <c r="O35" i="12"/>
  <c r="N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AS36" i="12"/>
  <c r="AL36" i="12"/>
  <c r="AF36" i="12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R36" i="12" l="1"/>
  <c r="Q36" i="12"/>
  <c r="V36" i="12"/>
  <c r="T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S37" i="12" l="1"/>
  <c r="T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AP38" i="12"/>
  <c r="AQ38" i="12"/>
  <c r="AC38" i="12"/>
  <c r="A39" i="12" a="1"/>
  <c r="P38" i="12" l="1"/>
  <c r="S38" i="12"/>
  <c r="N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P40" i="12" s="1"/>
  <c r="AC40" i="12"/>
  <c r="Q40" i="12" s="1"/>
  <c r="AM40" i="12"/>
  <c r="AK40" i="12"/>
  <c r="AT40" i="12"/>
  <c r="Y40" i="12"/>
  <c r="A41" i="12" a="1"/>
  <c r="V40" i="12" l="1"/>
  <c r="O40" i="12"/>
  <c r="U40" i="12"/>
  <c r="N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V41" i="12" l="1"/>
  <c r="N41" i="12"/>
  <c r="T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Q42" i="12" l="1"/>
  <c r="U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S43" i="12" s="1"/>
  <c r="A44" i="12" a="1"/>
  <c r="T43" i="12" l="1"/>
  <c r="U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A46" i="12" a="1"/>
  <c r="P45" i="12" l="1"/>
  <c r="T45" i="12"/>
  <c r="U45" i="12"/>
  <c r="V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P46" i="12" l="1"/>
  <c r="U46" i="12"/>
  <c r="T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AQ47" i="12"/>
  <c r="AT47" i="12"/>
  <c r="AE47" i="12"/>
  <c r="AK47" i="12"/>
  <c r="AL47" i="12"/>
  <c r="E47" i="12"/>
  <c r="AD47" i="12"/>
  <c r="AF47" i="12"/>
  <c r="AM47" i="12"/>
  <c r="Y47" i="12"/>
  <c r="AC47" i="12"/>
  <c r="AA47" i="12"/>
  <c r="K47" i="12"/>
  <c r="AB47" i="12"/>
  <c r="J47" i="12"/>
  <c r="AP47" i="12"/>
  <c r="A48" i="12" a="1"/>
  <c r="U47" i="12" l="1"/>
  <c r="T47" i="12"/>
  <c r="N47" i="12"/>
  <c r="Q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Q48" i="12" l="1"/>
  <c r="U48" i="12"/>
  <c r="T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N49" i="12" l="1"/>
  <c r="U49" i="12"/>
  <c r="V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N52" i="12" l="1"/>
  <c r="P52" i="12"/>
  <c r="S52" i="12"/>
  <c r="T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V53" i="12" s="1"/>
  <c r="AC53" i="12"/>
  <c r="Q53" i="12" s="1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O53" i="12" l="1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V54" i="12" l="1"/>
  <c r="P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N55" i="12" s="1"/>
  <c r="K55" i="12"/>
  <c r="AD55" i="12"/>
  <c r="AR55" i="12"/>
  <c r="I55" i="12"/>
  <c r="Y55" i="12"/>
  <c r="AM55" i="12"/>
  <c r="A56" i="12" a="1"/>
  <c r="T55" i="12" l="1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Q57" i="12" l="1"/>
  <c r="R57" i="12"/>
  <c r="O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A59" i="12" a="1"/>
  <c r="Q58" i="12" l="1"/>
  <c r="V58" i="12"/>
  <c r="U58" i="12"/>
  <c r="P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AS59" i="12"/>
  <c r="B59" i="12"/>
  <c r="AG59" i="12"/>
  <c r="AB59" i="12"/>
  <c r="AM59" i="12"/>
  <c r="AH59" i="12"/>
  <c r="AQ59" i="12"/>
  <c r="AA59" i="12"/>
  <c r="O59" i="12" s="1"/>
  <c r="C59" i="12"/>
  <c r="AP59" i="12"/>
  <c r="AO59" i="12"/>
  <c r="AN59" i="12"/>
  <c r="AF59" i="12"/>
  <c r="L59" i="12"/>
  <c r="D59" i="12"/>
  <c r="K59" i="12"/>
  <c r="AD59" i="12"/>
  <c r="A60" i="12" a="1"/>
  <c r="S59" i="12" l="1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R60" i="12" s="1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U61" i="12" s="1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T61" i="12" l="1"/>
  <c r="P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P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N63" i="12" s="1"/>
  <c r="AD63" i="12"/>
  <c r="E63" i="12"/>
  <c r="AP63" i="12"/>
  <c r="AF63" i="12"/>
  <c r="C63" i="12"/>
  <c r="J63" i="12"/>
  <c r="AG63" i="12"/>
  <c r="AA63" i="12"/>
  <c r="O63" i="12" s="1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V63" i="12" l="1"/>
  <c r="Q63" i="12"/>
  <c r="U63" i="12"/>
  <c r="S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Q64" i="12" l="1"/>
  <c r="AU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A66" i="12" a="1"/>
  <c r="P65" i="12" l="1"/>
  <c r="R65" i="12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N66" i="12" s="1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R66" i="12" l="1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V67" i="12" l="1"/>
  <c r="U67" i="12"/>
  <c r="S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P69" i="12" l="1"/>
  <c r="O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N70" i="12" l="1"/>
  <c r="T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AE73" i="12"/>
  <c r="AG73" i="12"/>
  <c r="AS73" i="12"/>
  <c r="AC73" i="12"/>
  <c r="AM73" i="12"/>
  <c r="AL73" i="12"/>
  <c r="A74" i="12" a="1"/>
  <c r="V73" i="12" l="1"/>
  <c r="O73" i="12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AL74" i="12"/>
  <c r="K74" i="12"/>
  <c r="L74" i="12"/>
  <c r="AP74" i="12"/>
  <c r="E74" i="12"/>
  <c r="AH74" i="12"/>
  <c r="D74" i="12"/>
  <c r="AT74" i="12"/>
  <c r="A75" i="12" a="1"/>
  <c r="S74" i="12" l="1"/>
  <c r="P74" i="12"/>
  <c r="R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N75" i="12" l="1"/>
  <c r="V75" i="12"/>
  <c r="Q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A77" i="12" a="1"/>
  <c r="T76" i="12" l="1"/>
  <c r="V76" i="12"/>
  <c r="N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U77" i="12" l="1"/>
  <c r="R77" i="12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P80" i="12" s="1"/>
  <c r="E80" i="12"/>
  <c r="AD80" i="12"/>
  <c r="AC80" i="12"/>
  <c r="AR80" i="12"/>
  <c r="Z80" i="12"/>
  <c r="N80" i="12" s="1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O80" i="12" l="1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T82" i="12" s="1"/>
  <c r="AM82" i="12"/>
  <c r="A83" i="12" a="1"/>
  <c r="O82" i="12" l="1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P84" i="12" l="1"/>
  <c r="Q84" i="12"/>
  <c r="T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T86" i="12" s="1"/>
  <c r="AP86" i="12"/>
  <c r="K86" i="12"/>
  <c r="AQ86" i="12"/>
  <c r="B86" i="12"/>
  <c r="L86" i="12"/>
  <c r="AH86" i="12"/>
  <c r="I86" i="12"/>
  <c r="AA86" i="12"/>
  <c r="A87" i="12" a="1"/>
  <c r="P86" i="12" l="1"/>
  <c r="AU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Q87" i="12" l="1"/>
  <c r="N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P88" i="12" s="1"/>
  <c r="D88" i="12"/>
  <c r="Z88" i="12"/>
  <c r="N88" i="12" s="1"/>
  <c r="AA88" i="12"/>
  <c r="AE88" i="12"/>
  <c r="AR88" i="12"/>
  <c r="A89" i="12" a="1"/>
  <c r="O88" i="12" l="1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K89" i="12"/>
  <c r="AC89" i="12"/>
  <c r="AM89" i="12"/>
  <c r="A90" i="12" a="1"/>
  <c r="T89" i="12" l="1"/>
  <c r="S89" i="12"/>
  <c r="R89" i="12"/>
  <c r="P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U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V94" i="12" s="1"/>
  <c r="AD94" i="12"/>
  <c r="A95" i="12" a="1"/>
  <c r="U94" i="12" l="1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AP95" i="12"/>
  <c r="A96" i="12" a="1"/>
  <c r="O95" i="12" l="1"/>
  <c r="P95" i="12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P96" i="12" l="1"/>
  <c r="Q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V97" i="12" l="1"/>
  <c r="U97" i="12"/>
  <c r="N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O98" i="12" l="1"/>
  <c r="Q98" i="12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O100" i="12" l="1"/>
  <c r="Q100" i="12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D101" i="12"/>
  <c r="C101" i="12"/>
  <c r="E101" i="12"/>
  <c r="AR101" i="12"/>
  <c r="AF101" i="12"/>
  <c r="AB101" i="12"/>
  <c r="K101" i="12"/>
  <c r="Y101" i="12"/>
  <c r="AL101" i="12"/>
  <c r="AH101" i="12"/>
  <c r="AD101" i="12"/>
  <c r="R101" i="12" s="1"/>
  <c r="AA101" i="12"/>
  <c r="Z101" i="12"/>
  <c r="J101" i="12"/>
  <c r="AN101" i="12"/>
  <c r="A102" i="12" a="1"/>
  <c r="V101" i="12" l="1"/>
  <c r="U101" i="12"/>
  <c r="T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AN102" i="12"/>
  <c r="AR102" i="12"/>
  <c r="AS102" i="12"/>
  <c r="AQ102" i="12"/>
  <c r="AA102" i="12"/>
  <c r="AK102" i="12"/>
  <c r="D102" i="12"/>
  <c r="I102" i="12"/>
  <c r="L102" i="12"/>
  <c r="AD102" i="12"/>
  <c r="R102" i="12" s="1"/>
  <c r="AP102" i="12"/>
  <c r="J102" i="12"/>
  <c r="C102" i="12"/>
  <c r="AO102" i="12"/>
  <c r="K102" i="12"/>
  <c r="A103" i="12" a="1"/>
  <c r="N102" i="12" l="1"/>
  <c r="U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AB103" i="12"/>
  <c r="P103" i="12" s="1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N103" i="12" l="1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P104" i="12" l="1"/>
  <c r="N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Q105" i="12" s="1"/>
  <c r="AK105" i="12"/>
  <c r="AB105" i="12"/>
  <c r="AH105" i="12"/>
  <c r="AA105" i="12"/>
  <c r="AQ105" i="12"/>
  <c r="AD105" i="12"/>
  <c r="K105" i="12"/>
  <c r="AP105" i="12"/>
  <c r="AE105" i="12"/>
  <c r="S105" i="12" s="1"/>
  <c r="L105" i="12"/>
  <c r="AR105" i="12"/>
  <c r="AL105" i="12"/>
  <c r="AS105" i="12"/>
  <c r="AN105" i="12"/>
  <c r="AT105" i="12"/>
  <c r="AF105" i="12"/>
  <c r="Z105" i="12"/>
  <c r="N105" i="12" s="1"/>
  <c r="Y105" i="12"/>
  <c r="D105" i="12"/>
  <c r="C105" i="12"/>
  <c r="AM105" i="12"/>
  <c r="B105" i="12"/>
  <c r="E105" i="12"/>
  <c r="AG105" i="12"/>
  <c r="A106" i="12" a="1"/>
  <c r="U105" i="12" l="1"/>
  <c r="P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T106" i="12"/>
  <c r="R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N107" i="12" s="1"/>
  <c r="I107" i="12"/>
  <c r="A108" i="12" a="1"/>
  <c r="S107" i="12" l="1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O108" i="12" s="1"/>
  <c r="A109" i="12" a="1"/>
  <c r="U108" i="12" l="1"/>
  <c r="Q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AF109" i="12"/>
  <c r="A110" i="12" a="1"/>
  <c r="N109" i="12" l="1"/>
  <c r="Q109" i="12"/>
  <c r="T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N110" i="12" l="1"/>
  <c r="R110" i="12"/>
  <c r="P110" i="12"/>
  <c r="O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A112" i="12" a="1"/>
  <c r="S111" i="12" l="1"/>
  <c r="U111" i="12"/>
  <c r="V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O114" i="12" l="1"/>
  <c r="P114" i="12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S115" i="12" l="1"/>
  <c r="Q115" i="12"/>
  <c r="R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N116" i="12" s="1"/>
  <c r="D116" i="12"/>
  <c r="B116" i="12"/>
  <c r="AE116" i="12"/>
  <c r="AH116" i="12"/>
  <c r="J116" i="12"/>
  <c r="E116" i="12"/>
  <c r="AS116" i="12"/>
  <c r="AC116" i="12"/>
  <c r="A117" i="12" a="1"/>
  <c r="T116" i="12" l="1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Q117" i="12" s="1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V117" i="12" l="1"/>
  <c r="N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R118" i="12" l="1"/>
  <c r="S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S119" i="12" s="1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N119" i="12" l="1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V120" i="12" l="1"/>
  <c r="U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O122" i="12" s="1"/>
  <c r="AR122" i="12"/>
  <c r="AC122" i="12"/>
  <c r="AG122" i="12"/>
  <c r="AT122" i="12"/>
  <c r="AH122" i="12"/>
  <c r="J122" i="12"/>
  <c r="AS122" i="12"/>
  <c r="A123" i="12" a="1"/>
  <c r="Q122" i="12" l="1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V123" i="12" l="1"/>
  <c r="P123" i="12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AE124" i="12"/>
  <c r="L124" i="12"/>
  <c r="AL124" i="12"/>
  <c r="AG124" i="12"/>
  <c r="AN124" i="12"/>
  <c r="A125" i="12" a="1"/>
  <c r="R124" i="12" l="1"/>
  <c r="S124" i="12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D126" i="12"/>
  <c r="A127" i="12" a="1"/>
  <c r="T126" i="12" l="1"/>
  <c r="N126" i="12"/>
  <c r="U126" i="12"/>
  <c r="R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AL127" i="12"/>
  <c r="AF127" i="12"/>
  <c r="AQ127" i="12"/>
  <c r="AE127" i="12"/>
  <c r="AR127" i="12"/>
  <c r="B127" i="12"/>
  <c r="A128" i="12" a="1"/>
  <c r="R127" i="12" l="1"/>
  <c r="U127" i="12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P128" i="12" l="1"/>
  <c r="O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S129" i="12" s="1"/>
  <c r="AH129" i="12"/>
  <c r="AB129" i="12"/>
  <c r="AF129" i="12"/>
  <c r="AL129" i="12"/>
  <c r="AA129" i="12"/>
  <c r="B129" i="12"/>
  <c r="AN129" i="12"/>
  <c r="L129" i="12"/>
  <c r="AS129" i="12"/>
  <c r="Y129" i="12"/>
  <c r="A130" i="12" a="1"/>
  <c r="P129" i="12" l="1"/>
  <c r="T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U131" i="12" l="1"/>
  <c r="P131" i="12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AD133" i="12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AG133" i="12"/>
  <c r="AM133" i="12"/>
  <c r="AH133" i="12"/>
  <c r="L133" i="12"/>
  <c r="AP133" i="12"/>
  <c r="AN133" i="12"/>
  <c r="AF133" i="12"/>
  <c r="AS133" i="12"/>
  <c r="A134" i="12" a="1"/>
  <c r="R133" i="12" l="1"/>
  <c r="P133" i="12"/>
  <c r="N133" i="12"/>
  <c r="V133" i="12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AB134" i="12"/>
  <c r="AL134" i="12"/>
  <c r="AS134" i="12"/>
  <c r="L134" i="12"/>
  <c r="E134" i="12"/>
  <c r="AK134" i="12"/>
  <c r="AN134" i="12"/>
  <c r="I134" i="12"/>
  <c r="Z134" i="12"/>
  <c r="D134" i="12"/>
  <c r="AH134" i="12"/>
  <c r="J134" i="12"/>
  <c r="B134" i="12"/>
  <c r="AO134" i="12"/>
  <c r="AP134" i="12"/>
  <c r="AM134" i="12"/>
  <c r="AG134" i="12"/>
  <c r="A135" i="12" a="1"/>
  <c r="V134" i="12" l="1"/>
  <c r="S134" i="12"/>
  <c r="P134" i="12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S135" i="12" s="1"/>
  <c r="C135" i="12"/>
  <c r="AC135" i="12"/>
  <c r="Y135" i="12"/>
  <c r="AF135" i="12"/>
  <c r="T135" i="12" s="1"/>
  <c r="Z135" i="12"/>
  <c r="L135" i="12"/>
  <c r="AM135" i="12"/>
  <c r="E135" i="12"/>
  <c r="AG135" i="12"/>
  <c r="A136" i="12" a="1"/>
  <c r="U135" i="12" l="1"/>
  <c r="P135" i="12"/>
  <c r="O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P136" i="12" l="1"/>
  <c r="T136" i="12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I137" i="12"/>
  <c r="C137" i="12"/>
  <c r="AT137" i="12"/>
  <c r="A138" i="12" a="1"/>
  <c r="O137" i="12" l="1"/>
  <c r="R137" i="12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S138" i="12" s="1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O138" i="12" l="1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O139" i="12" l="1"/>
  <c r="Q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K140" i="12"/>
  <c r="AB140" i="12"/>
  <c r="D140" i="12"/>
  <c r="Z140" i="12"/>
  <c r="AF140" i="12"/>
  <c r="AK140" i="12"/>
  <c r="A141" i="12" a="1"/>
  <c r="Q140" i="12" l="1"/>
  <c r="V140" i="12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S141" i="12" l="1"/>
  <c r="Q141" i="12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P145" i="12" l="1"/>
  <c r="T145" i="12"/>
  <c r="Q145" i="12"/>
  <c r="O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L146" i="12"/>
  <c r="AD146" i="12"/>
  <c r="AH146" i="12"/>
  <c r="AT146" i="12"/>
  <c r="AQ146" i="12"/>
  <c r="AR146" i="12"/>
  <c r="B146" i="12"/>
  <c r="A147" i="12" a="1"/>
  <c r="R146" i="12" l="1"/>
  <c r="U146" i="12"/>
  <c r="Q146" i="12"/>
  <c r="N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R148" i="12" l="1"/>
  <c r="T148" i="12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O149" i="12" s="1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Q149" i="12" l="1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O150" i="12" l="1"/>
  <c r="R150" i="12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AK151" i="12"/>
  <c r="AG151" i="12"/>
  <c r="I151" i="12"/>
  <c r="L151" i="12"/>
  <c r="AT151" i="12"/>
  <c r="D151" i="12"/>
  <c r="A152" i="12" a="1"/>
  <c r="T151" i="12" l="1"/>
  <c r="O151" i="12"/>
  <c r="R151" i="12"/>
  <c r="N151" i="12"/>
  <c r="P151" i="12"/>
  <c r="AU151" i="12"/>
  <c r="U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S152" i="12" s="1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U152" i="12" l="1"/>
  <c r="Q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N153" i="12" s="1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T153" i="12" l="1"/>
  <c r="O153" i="12"/>
  <c r="P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P154" i="12" l="1"/>
  <c r="O154" i="12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J155" i="12"/>
  <c r="K155" i="12"/>
  <c r="I155" i="12"/>
  <c r="AO155" i="12"/>
  <c r="AC155" i="12"/>
  <c r="AK155" i="12"/>
  <c r="B155" i="12"/>
  <c r="A156" i="12" a="1"/>
  <c r="U155" i="12" l="1"/>
  <c r="R155" i="12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V157" i="12" l="1"/>
  <c r="U157" i="12"/>
  <c r="P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D158" i="12"/>
  <c r="AG158" i="12"/>
  <c r="AH158" i="12"/>
  <c r="J158" i="12"/>
  <c r="AM158" i="12"/>
  <c r="C158" i="12"/>
  <c r="A159" i="12" a="1"/>
  <c r="R158" i="12" l="1"/>
  <c r="S158" i="12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U159" i="12" l="1"/>
  <c r="O159" i="12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C161" i="12"/>
  <c r="AH161" i="12"/>
  <c r="AG161" i="12"/>
  <c r="AT161" i="12"/>
  <c r="AL161" i="12"/>
  <c r="AS161" i="12"/>
  <c r="B161" i="12"/>
  <c r="AK161" i="12"/>
  <c r="AR161" i="12"/>
  <c r="A162" i="12" a="1"/>
  <c r="P161" i="12" l="1"/>
  <c r="U161" i="12"/>
  <c r="R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P162" i="12" s="1"/>
  <c r="AP162" i="12"/>
  <c r="AD162" i="12"/>
  <c r="K162" i="12"/>
  <c r="C162" i="12"/>
  <c r="AN162" i="12"/>
  <c r="AS162" i="12"/>
  <c r="E162" i="12"/>
  <c r="AL162" i="12"/>
  <c r="B162" i="12"/>
  <c r="AE162" i="12"/>
  <c r="AF162" i="12"/>
  <c r="AK162" i="12"/>
  <c r="I162" i="12"/>
  <c r="AT162" i="12"/>
  <c r="J162" i="12"/>
  <c r="Z162" i="12"/>
  <c r="AM162" i="12"/>
  <c r="L162" i="12"/>
  <c r="AG162" i="12"/>
  <c r="AC162" i="12"/>
  <c r="AO162" i="12"/>
  <c r="AA162" i="12"/>
  <c r="D162" i="12"/>
  <c r="AQ162" i="12"/>
  <c r="A163" i="12" a="1"/>
  <c r="U162" i="12" l="1"/>
  <c r="T162" i="12"/>
  <c r="S162" i="12"/>
  <c r="Q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P163" i="12" l="1"/>
  <c r="V163" i="12"/>
  <c r="N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Q164" i="12" s="1"/>
  <c r="A165" i="12" a="1"/>
  <c r="R164" i="12" l="1"/>
  <c r="O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U165" i="12" s="1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R165" i="12" l="1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P166" i="12" l="1"/>
  <c r="R166" i="12"/>
  <c r="O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AP167" i="12"/>
  <c r="E167" i="12"/>
  <c r="C167" i="12"/>
  <c r="AD167" i="12"/>
  <c r="AB167" i="12"/>
  <c r="A168" i="12" a="1"/>
  <c r="O167" i="12" l="1"/>
  <c r="P167" i="12"/>
  <c r="N167" i="12"/>
  <c r="R167" i="12"/>
  <c r="S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AG168" i="12"/>
  <c r="B168" i="12"/>
  <c r="L168" i="12"/>
  <c r="AC168" i="12"/>
  <c r="AD168" i="12"/>
  <c r="AR168" i="12"/>
  <c r="AK168" i="12"/>
  <c r="AP168" i="12"/>
  <c r="J168" i="12"/>
  <c r="AH168" i="12"/>
  <c r="AL168" i="12"/>
  <c r="Z168" i="12"/>
  <c r="I168" i="12"/>
  <c r="D168" i="12"/>
  <c r="E168" i="12"/>
  <c r="AO168" i="12"/>
  <c r="Y168" i="12"/>
  <c r="A169" i="12" a="1"/>
  <c r="P168" i="12" l="1"/>
  <c r="U168" i="12"/>
  <c r="V168" i="12"/>
  <c r="T168" i="12"/>
  <c r="O168" i="12"/>
  <c r="Q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Q170" i="12" s="1"/>
  <c r="AN170" i="12"/>
  <c r="AR170" i="12"/>
  <c r="AF170" i="12"/>
  <c r="AA170" i="12"/>
  <c r="AP170" i="12"/>
  <c r="AD170" i="12"/>
  <c r="AS170" i="12"/>
  <c r="C170" i="12"/>
  <c r="A171" i="12" a="1"/>
  <c r="N170" i="12" l="1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A173" i="12" a="1"/>
  <c r="P172" i="12" l="1"/>
  <c r="T172" i="12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A174" i="12" a="1"/>
  <c r="U173" i="12" l="1"/>
  <c r="T173" i="12"/>
  <c r="R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Q174" i="12" s="1"/>
  <c r="A175" i="12" a="1"/>
  <c r="P174" i="12" l="1"/>
  <c r="O174" i="12"/>
  <c r="S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L175" i="12"/>
  <c r="AA175" i="12"/>
  <c r="AC175" i="12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A176" i="12" a="1"/>
  <c r="N175" i="12" l="1"/>
  <c r="U175" i="12"/>
  <c r="T175" i="12"/>
  <c r="Q175" i="12"/>
  <c r="S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AD177" i="12"/>
  <c r="C177" i="12"/>
  <c r="K177" i="12"/>
  <c r="AR177" i="12"/>
  <c r="AK177" i="12"/>
  <c r="L177" i="12"/>
  <c r="Z177" i="12"/>
  <c r="AG177" i="12"/>
  <c r="AH177" i="12"/>
  <c r="V177" i="12" s="1"/>
  <c r="A178" i="12" a="1"/>
  <c r="O177" i="12" l="1"/>
  <c r="R177" i="12"/>
  <c r="Q177" i="12"/>
  <c r="N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Q178" i="12" l="1"/>
  <c r="T178" i="12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V179" i="12" l="1"/>
  <c r="N179" i="12"/>
  <c r="P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Q180" i="12" l="1"/>
  <c r="S180" i="12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N181" i="12" s="1"/>
  <c r="AQ181" i="12"/>
  <c r="A182" i="12" a="1"/>
  <c r="O181" i="12" l="1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V183" i="12" s="1"/>
  <c r="B183" i="12"/>
  <c r="AC183" i="12"/>
  <c r="AK183" i="12"/>
  <c r="L183" i="12"/>
  <c r="AN183" i="12"/>
  <c r="AR183" i="12"/>
  <c r="K183" i="12"/>
  <c r="AA183" i="12"/>
  <c r="O183" i="12" s="1"/>
  <c r="A184" i="12" a="1"/>
  <c r="N183" i="12" l="1"/>
  <c r="P183" i="12"/>
  <c r="Q183" i="12"/>
  <c r="T183" i="12"/>
  <c r="AU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U184" i="12" s="1"/>
  <c r="AB184" i="12"/>
  <c r="AL184" i="12"/>
  <c r="D184" i="12"/>
  <c r="AA184" i="12"/>
  <c r="I184" i="12"/>
  <c r="B184" i="12"/>
  <c r="A185" i="12" a="1"/>
  <c r="R184" i="12" l="1"/>
  <c r="T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P185" i="12" s="1"/>
  <c r="AC185" i="12"/>
  <c r="J185" i="12"/>
  <c r="AD185" i="12"/>
  <c r="AP185" i="12"/>
  <c r="AT185" i="12"/>
  <c r="AL185" i="12"/>
  <c r="AH185" i="12"/>
  <c r="V185" i="12" s="1"/>
  <c r="D185" i="12"/>
  <c r="AK185" i="12"/>
  <c r="Z185" i="12"/>
  <c r="N185" i="12" s="1"/>
  <c r="C185" i="12"/>
  <c r="K185" i="12"/>
  <c r="AA185" i="12"/>
  <c r="O185" i="12" s="1"/>
  <c r="AE185" i="12"/>
  <c r="E185" i="12"/>
  <c r="AS185" i="12"/>
  <c r="A186" i="12" a="1"/>
  <c r="R185" i="12" l="1"/>
  <c r="Q185" i="12"/>
  <c r="AU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A187" i="12" a="1"/>
  <c r="O186" i="12" l="1"/>
  <c r="V186" i="12"/>
  <c r="P186" i="12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AM188" i="12"/>
  <c r="AT188" i="12"/>
  <c r="I188" i="12"/>
  <c r="D188" i="12"/>
  <c r="AP188" i="12"/>
  <c r="AN188" i="12"/>
  <c r="C188" i="12"/>
  <c r="B188" i="12"/>
  <c r="A189" i="12" a="1"/>
  <c r="P188" i="12" l="1"/>
  <c r="T188" i="12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R189" i="12" s="1"/>
  <c r="AS189" i="12"/>
  <c r="C189" i="12"/>
  <c r="D189" i="12"/>
  <c r="AE189" i="12"/>
  <c r="AA189" i="12"/>
  <c r="AR189" i="12"/>
  <c r="AC189" i="12"/>
  <c r="AK189" i="12"/>
  <c r="AB189" i="12"/>
  <c r="B189" i="12"/>
  <c r="A190" i="12" a="1"/>
  <c r="S189" i="12" l="1"/>
  <c r="P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N190" i="12" s="1"/>
  <c r="AE190" i="12"/>
  <c r="S190" i="12" s="1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P190" i="12" l="1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AA191" i="12"/>
  <c r="Y191" i="12"/>
  <c r="AN191" i="12"/>
  <c r="AR191" i="12"/>
  <c r="AE191" i="12"/>
  <c r="AC191" i="12"/>
  <c r="AT191" i="12"/>
  <c r="AM191" i="12"/>
  <c r="I191" i="12"/>
  <c r="B191" i="12"/>
  <c r="AK191" i="12"/>
  <c r="AQ191" i="12"/>
  <c r="AG191" i="12"/>
  <c r="Z191" i="12"/>
  <c r="A192" i="12" a="1"/>
  <c r="N191" i="12" l="1"/>
  <c r="Q191" i="12"/>
  <c r="P191" i="12"/>
  <c r="R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P192" i="12" s="1"/>
  <c r="D192" i="12"/>
  <c r="AE192" i="12"/>
  <c r="I192" i="12"/>
  <c r="AQ192" i="12"/>
  <c r="AA192" i="12"/>
  <c r="AT192" i="12"/>
  <c r="E192" i="12"/>
  <c r="A193" i="12" a="1"/>
  <c r="S192" i="12" l="1"/>
  <c r="R192" i="12"/>
  <c r="Q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T195" i="12" s="1"/>
  <c r="AC195" i="12"/>
  <c r="A196" i="12" a="1"/>
  <c r="S195" i="12" l="1"/>
  <c r="P195" i="12"/>
  <c r="U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V196" i="12" s="1"/>
  <c r="I196" i="12"/>
  <c r="AK196" i="12"/>
  <c r="AA196" i="12"/>
  <c r="AL196" i="12"/>
  <c r="E196" i="12"/>
  <c r="AF196" i="12"/>
  <c r="AS196" i="12"/>
  <c r="L196" i="12"/>
  <c r="J196" i="12"/>
  <c r="B196" i="12"/>
  <c r="AD196" i="12"/>
  <c r="AP196" i="12"/>
  <c r="AG196" i="12"/>
  <c r="AC196" i="12"/>
  <c r="Y196" i="12"/>
  <c r="AO196" i="12"/>
  <c r="AB196" i="12"/>
  <c r="P196" i="12" s="1"/>
  <c r="D196" i="12"/>
  <c r="AQ196" i="12"/>
  <c r="C196" i="12"/>
  <c r="AT196" i="12"/>
  <c r="AM196" i="12"/>
  <c r="AE196" i="12"/>
  <c r="K196" i="12"/>
  <c r="A197" i="12" a="1"/>
  <c r="R196" i="12" l="1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N197" i="12" s="1"/>
  <c r="A198" i="12" a="1"/>
  <c r="U197" i="12" l="1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E198" i="12"/>
  <c r="AK198" i="12"/>
  <c r="J198" i="12"/>
  <c r="D198" i="12"/>
  <c r="AS198" i="12"/>
  <c r="AP198" i="12"/>
  <c r="AO198" i="12"/>
  <c r="AN198" i="12"/>
  <c r="AL198" i="12"/>
  <c r="Y198" i="12"/>
  <c r="AH198" i="12"/>
  <c r="AM198" i="12"/>
  <c r="AR198" i="12"/>
  <c r="AF198" i="12"/>
  <c r="I198" i="12"/>
  <c r="L198" i="12"/>
  <c r="A199" i="12" a="1"/>
  <c r="V198" i="12" l="1"/>
  <c r="U198" i="12"/>
  <c r="S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O199" i="12" l="1"/>
  <c r="R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N200" i="12" s="1"/>
  <c r="AG200" i="12"/>
  <c r="J200" i="12"/>
  <c r="D200" i="12"/>
  <c r="AT200" i="12"/>
  <c r="AC200" i="12"/>
  <c r="AH200" i="12"/>
  <c r="C200" i="12"/>
  <c r="AE200" i="12"/>
  <c r="L200" i="12"/>
  <c r="AO200" i="12"/>
  <c r="A201" i="12" a="1"/>
  <c r="S200" i="12" l="1"/>
  <c r="R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V201" i="12" s="1"/>
  <c r="J201" i="12"/>
  <c r="C201" i="12"/>
  <c r="B201" i="12"/>
  <c r="AO201" i="12"/>
  <c r="D201" i="12"/>
  <c r="AQ201" i="12"/>
  <c r="AM201" i="12"/>
  <c r="AE201" i="12"/>
  <c r="S201" i="12" s="1"/>
  <c r="A202" i="12" a="1"/>
  <c r="O201" i="12" l="1"/>
  <c r="T201" i="12"/>
  <c r="N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Q202" i="12" l="1"/>
  <c r="N202" i="12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AG203" i="12"/>
  <c r="U203" i="12" s="1"/>
  <c r="L203" i="12"/>
  <c r="B203" i="12"/>
  <c r="AT203" i="12"/>
  <c r="Z203" i="12"/>
  <c r="AR203" i="12"/>
  <c r="AN203" i="12"/>
  <c r="AO203" i="12"/>
  <c r="AK203" i="12"/>
  <c r="A204" i="12" a="1"/>
  <c r="P203" i="12" l="1"/>
  <c r="R203" i="12"/>
  <c r="O203" i="12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P204" i="12" s="1"/>
  <c r="E204" i="12"/>
  <c r="AN204" i="12"/>
  <c r="AT204" i="12"/>
  <c r="Y204" i="12"/>
  <c r="Z204" i="12"/>
  <c r="A205" i="12" a="1"/>
  <c r="R204" i="12" l="1"/>
  <c r="N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AM205" i="12"/>
  <c r="AD205" i="12"/>
  <c r="R205" i="12" s="1"/>
  <c r="A206" i="12" a="1"/>
  <c r="N205" i="12" l="1"/>
  <c r="O205" i="12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N206" i="12" l="1"/>
  <c r="U206" i="12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AG207" i="12"/>
  <c r="J207" i="12"/>
  <c r="B207" i="12"/>
  <c r="AN207" i="12"/>
  <c r="L207" i="12"/>
  <c r="AD207" i="12"/>
  <c r="R207" i="12" s="1"/>
  <c r="Z207" i="12"/>
  <c r="N207" i="12" s="1"/>
  <c r="AA207" i="12"/>
  <c r="AM207" i="12"/>
  <c r="AL207" i="12"/>
  <c r="AK207" i="12"/>
  <c r="AB207" i="12"/>
  <c r="I207" i="12"/>
  <c r="AT207" i="12"/>
  <c r="A208" i="12" a="1"/>
  <c r="S207" i="12" l="1"/>
  <c r="Q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AT208" i="12"/>
  <c r="A209" i="12" a="1"/>
  <c r="O208" i="12" l="1"/>
  <c r="U208" i="12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V209" i="12" s="1"/>
  <c r="A210" i="12" a="1"/>
  <c r="Q209" i="12" l="1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O210" i="12" s="1"/>
  <c r="AB210" i="12"/>
  <c r="AP210" i="12"/>
  <c r="L210" i="12"/>
  <c r="E210" i="12"/>
  <c r="AS210" i="12"/>
  <c r="C210" i="12"/>
  <c r="Y210" i="12"/>
  <c r="I210" i="12"/>
  <c r="K210" i="12"/>
  <c r="AC210" i="12"/>
  <c r="AH210" i="12"/>
  <c r="AT210" i="12"/>
  <c r="AR210" i="12"/>
  <c r="J210" i="12"/>
  <c r="AF210" i="12"/>
  <c r="T210" i="12" s="1"/>
  <c r="A211" i="12" a="1"/>
  <c r="P210" i="12" l="1"/>
  <c r="Q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R211" i="12" s="1"/>
  <c r="AL211" i="12"/>
  <c r="AS211" i="12"/>
  <c r="L211" i="12"/>
  <c r="D211" i="12"/>
  <c r="AM211" i="12"/>
  <c r="Z211" i="12"/>
  <c r="K211" i="12"/>
  <c r="AB211" i="12"/>
  <c r="P211" i="12" s="1"/>
  <c r="AR211" i="12"/>
  <c r="AC211" i="12"/>
  <c r="Y211" i="12"/>
  <c r="AP211" i="12"/>
  <c r="E211" i="12"/>
  <c r="I211" i="12"/>
  <c r="AH211" i="12"/>
  <c r="V211" i="12" s="1"/>
  <c r="A212" i="12" a="1"/>
  <c r="Q211" i="12" l="1"/>
  <c r="O211" i="12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Q212" i="12" s="1"/>
  <c r="A213" i="12" a="1"/>
  <c r="N212" i="12" l="1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N213" i="12" s="1"/>
  <c r="D213" i="12"/>
  <c r="K213" i="12"/>
  <c r="AR213" i="12"/>
  <c r="AO213" i="12"/>
  <c r="AL213" i="12"/>
  <c r="Y213" i="12"/>
  <c r="AT213" i="12"/>
  <c r="AH213" i="12"/>
  <c r="AF213" i="12"/>
  <c r="AP213" i="12"/>
  <c r="AC213" i="12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C213" i="12"/>
  <c r="A214" i="12" a="1"/>
  <c r="U213" i="12" l="1"/>
  <c r="V213" i="12"/>
  <c r="O213" i="12"/>
  <c r="Q213" i="12"/>
  <c r="R213" i="12"/>
  <c r="P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T215" i="12" s="1"/>
  <c r="AE215" i="12"/>
  <c r="A216" i="12" a="1"/>
  <c r="Q215" i="12" l="1"/>
  <c r="O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N216" i="12" l="1"/>
  <c r="V216" i="12"/>
  <c r="R216" i="12"/>
  <c r="O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N217" i="12" l="1"/>
  <c r="Q217" i="12"/>
  <c r="P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T218" i="12" l="1"/>
  <c r="S218" i="12"/>
  <c r="V218" i="12"/>
  <c r="U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O220" i="12" s="1"/>
  <c r="Z220" i="12"/>
  <c r="Y220" i="12"/>
  <c r="I220" i="12"/>
  <c r="AR220" i="12"/>
  <c r="AM220" i="12"/>
  <c r="AH220" i="12"/>
  <c r="L220" i="12"/>
  <c r="AQ220" i="12"/>
  <c r="A221" i="12" a="1"/>
  <c r="N220" i="12" l="1"/>
  <c r="Q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U222" i="12" s="1"/>
  <c r="AL222" i="12"/>
  <c r="AN222" i="12"/>
  <c r="D222" i="12"/>
  <c r="E222" i="12"/>
  <c r="Z222" i="12"/>
  <c r="A223" i="12" a="1"/>
  <c r="N222" i="12" l="1"/>
  <c r="S222" i="12"/>
  <c r="P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K223" i="12"/>
  <c r="AA223" i="12"/>
  <c r="O223" i="12" s="1"/>
  <c r="AP223" i="12"/>
  <c r="J223" i="12"/>
  <c r="AD223" i="12"/>
  <c r="AO223" i="12"/>
  <c r="AG223" i="12"/>
  <c r="Y223" i="12"/>
  <c r="A224" i="12" a="1"/>
  <c r="S223" i="12" l="1"/>
  <c r="U223" i="12"/>
  <c r="V223" i="12"/>
  <c r="T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AD224" i="12"/>
  <c r="B224" i="12"/>
  <c r="A225" i="12" a="1"/>
  <c r="O224" i="12" l="1"/>
  <c r="P224" i="12"/>
  <c r="Q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AP227" i="12"/>
  <c r="C227" i="12"/>
  <c r="AK227" i="12"/>
  <c r="K227" i="12"/>
  <c r="J227" i="12"/>
  <c r="I227" i="12"/>
  <c r="AC227" i="12"/>
  <c r="L227" i="12"/>
  <c r="A228" i="12" a="1"/>
  <c r="P227" i="12" l="1"/>
  <c r="N227" i="12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N228" i="12" l="1"/>
  <c r="O228" i="12"/>
  <c r="P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AQ229" i="12"/>
  <c r="I229" i="12"/>
  <c r="AO229" i="12"/>
  <c r="AD229" i="12"/>
  <c r="AL229" i="12"/>
  <c r="AR229" i="12"/>
  <c r="AE229" i="12"/>
  <c r="AS229" i="12"/>
  <c r="K229" i="12"/>
  <c r="A230" i="12" a="1"/>
  <c r="V229" i="12" l="1"/>
  <c r="P229" i="12"/>
  <c r="O229" i="12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C230" i="12"/>
  <c r="A231" i="12" a="1"/>
  <c r="U230" i="12" l="1"/>
  <c r="Q230" i="12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AL231" i="12"/>
  <c r="AS231" i="12"/>
  <c r="J231" i="12"/>
  <c r="L231" i="12"/>
  <c r="AK231" i="12"/>
  <c r="AQ231" i="12"/>
  <c r="K231" i="12"/>
  <c r="AM231" i="12"/>
  <c r="AG231" i="12"/>
  <c r="AC231" i="12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Q231" i="12" l="1"/>
  <c r="R231" i="12"/>
  <c r="T231" i="12"/>
  <c r="O231" i="12"/>
  <c r="V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N232" i="12" l="1"/>
  <c r="Q232" i="12"/>
  <c r="S232" i="12"/>
  <c r="P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AM233" i="12"/>
  <c r="AB233" i="12"/>
  <c r="E233" i="12"/>
  <c r="AN233" i="12"/>
  <c r="AE233" i="12"/>
  <c r="AT233" i="12"/>
  <c r="B233" i="12"/>
  <c r="A234" i="12" a="1"/>
  <c r="R233" i="12" l="1"/>
  <c r="Q233" i="12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R234" i="12" s="1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Q234" i="12" l="1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V235" i="12" l="1"/>
  <c r="O235" i="12"/>
  <c r="N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U236" i="12" l="1"/>
  <c r="S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T237" i="12" l="1"/>
  <c r="R237" i="12"/>
  <c r="P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AF238" i="12"/>
  <c r="A239" i="12" a="1"/>
  <c r="Q238" i="12" l="1"/>
  <c r="U238" i="12"/>
  <c r="T238" i="12"/>
  <c r="N238" i="12"/>
  <c r="R238" i="12"/>
  <c r="V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V239" i="12" s="1"/>
  <c r="Y239" i="12"/>
  <c r="AM239" i="12"/>
  <c r="I239" i="12"/>
  <c r="E239" i="12"/>
  <c r="L239" i="12"/>
  <c r="K239" i="12"/>
  <c r="AE239" i="12"/>
  <c r="S239" i="12" s="1"/>
  <c r="AO239" i="12"/>
  <c r="AK239" i="12"/>
  <c r="AR239" i="12"/>
  <c r="Z239" i="12"/>
  <c r="AS239" i="12"/>
  <c r="AF239" i="12"/>
  <c r="J239" i="12"/>
  <c r="AG239" i="12"/>
  <c r="U239" i="12" s="1"/>
  <c r="A240" i="12" a="1"/>
  <c r="N239" i="12" l="1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AS240" i="12"/>
  <c r="AB240" i="12"/>
  <c r="AM240" i="12"/>
  <c r="Y240" i="12"/>
  <c r="AN240" i="12"/>
  <c r="A241" i="12" a="1"/>
  <c r="V240" i="12" l="1"/>
  <c r="Q240" i="12"/>
  <c r="O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B241" i="12"/>
  <c r="K241" i="12"/>
  <c r="AB241" i="12"/>
  <c r="AL241" i="12"/>
  <c r="AK241" i="12"/>
  <c r="AC241" i="12"/>
  <c r="A242" i="12" a="1"/>
  <c r="Q241" i="12" l="1"/>
  <c r="O241" i="12"/>
  <c r="U241" i="12"/>
  <c r="R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AN242" i="12"/>
  <c r="AH242" i="12"/>
  <c r="L242" i="12"/>
  <c r="E242" i="12"/>
  <c r="AO242" i="12"/>
  <c r="A243" i="12" a="1"/>
  <c r="U242" i="12" l="1"/>
  <c r="S242" i="12"/>
  <c r="Q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L243" i="12"/>
  <c r="AT243" i="12"/>
  <c r="E243" i="12"/>
  <c r="Y243" i="12"/>
  <c r="AN243" i="12"/>
  <c r="AQ243" i="12"/>
  <c r="AE243" i="12"/>
  <c r="S243" i="12" s="1"/>
  <c r="AD243" i="12"/>
  <c r="AA243" i="12"/>
  <c r="B243" i="12"/>
  <c r="I243" i="12"/>
  <c r="J243" i="12"/>
  <c r="AB243" i="12"/>
  <c r="AL243" i="12"/>
  <c r="AK243" i="12"/>
  <c r="AR243" i="12"/>
  <c r="A244" i="12" a="1"/>
  <c r="R243" i="12" l="1"/>
  <c r="N243" i="12"/>
  <c r="O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AD245" i="12"/>
  <c r="AP245" i="12"/>
  <c r="AC245" i="12"/>
  <c r="Q245" i="12" s="1"/>
  <c r="AA245" i="12"/>
  <c r="L245" i="12"/>
  <c r="AS245" i="12"/>
  <c r="AF245" i="12"/>
  <c r="A246" i="12" a="1"/>
  <c r="N245" i="12" l="1"/>
  <c r="V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AC246" i="12"/>
  <c r="AS246" i="12"/>
  <c r="AA246" i="12"/>
  <c r="A247" i="12" a="1"/>
  <c r="P246" i="12" l="1"/>
  <c r="N246" i="12"/>
  <c r="U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V247" i="12" s="1"/>
  <c r="AS247" i="12"/>
  <c r="AK247" i="12"/>
  <c r="AP247" i="12"/>
  <c r="AG247" i="12"/>
  <c r="AO247" i="12"/>
  <c r="AN247" i="12"/>
  <c r="Z247" i="12"/>
  <c r="N247" i="12" s="1"/>
  <c r="A248" i="12" a="1"/>
  <c r="P247" i="12" l="1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K249" i="12"/>
  <c r="AL249" i="12"/>
  <c r="AA249" i="12"/>
  <c r="AG249" i="12"/>
  <c r="AN249" i="12"/>
  <c r="AC249" i="12"/>
  <c r="AB249" i="12"/>
  <c r="P249" i="12" s="1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R249" i="12" l="1"/>
  <c r="Q249" i="12"/>
  <c r="T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U250" i="12" l="1"/>
  <c r="S250" i="12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AA253" i="12"/>
  <c r="A254" i="12" a="1"/>
  <c r="R253" i="12" l="1"/>
  <c r="O253" i="12"/>
  <c r="U253" i="12"/>
  <c r="V253" i="12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AK254" i="12"/>
  <c r="D254" i="12"/>
  <c r="AR254" i="12"/>
  <c r="AL254" i="12"/>
  <c r="AQ254" i="12"/>
  <c r="AC254" i="12"/>
  <c r="AT254" i="12"/>
  <c r="AO254" i="12"/>
  <c r="AA254" i="12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U254" i="12" l="1"/>
  <c r="V254" i="12"/>
  <c r="O254" i="12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L255" i="12"/>
  <c r="AC255" i="12"/>
  <c r="A256" i="12" a="1"/>
  <c r="Q255" i="12" l="1"/>
  <c r="U255" i="12"/>
  <c r="O255" i="12"/>
  <c r="P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P256" i="12" s="1"/>
  <c r="D256" i="12"/>
  <c r="A257" i="12" a="1"/>
  <c r="N256" i="12" l="1"/>
  <c r="S256" i="12"/>
  <c r="O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AG257" i="12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S257" i="12" l="1"/>
  <c r="U257" i="12"/>
  <c r="P257" i="12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N258" i="12" s="1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P258" i="12" l="1"/>
  <c r="V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R259" i="12" s="1"/>
  <c r="AE259" i="12"/>
  <c r="A260" i="12" a="1"/>
  <c r="Q259" i="12" l="1"/>
  <c r="S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V260" i="12" l="1"/>
  <c r="P260" i="12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AH261" i="12"/>
  <c r="Z261" i="12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U261" i="12" l="1"/>
  <c r="N261" i="12"/>
  <c r="P261" i="12"/>
  <c r="O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S262" i="12" s="1"/>
  <c r="K262" i="12"/>
  <c r="J262" i="12"/>
  <c r="AA262" i="12"/>
  <c r="C262" i="12"/>
  <c r="AN262" i="12"/>
  <c r="AD262" i="12"/>
  <c r="I262" i="12"/>
  <c r="Z262" i="12"/>
  <c r="AR262" i="12"/>
  <c r="AC262" i="12"/>
  <c r="Q262" i="12" s="1"/>
  <c r="AH262" i="12"/>
  <c r="B262" i="12"/>
  <c r="AK262" i="12"/>
  <c r="L262" i="12"/>
  <c r="AF262" i="12"/>
  <c r="E262" i="12"/>
  <c r="AB262" i="12"/>
  <c r="P262" i="12" s="1"/>
  <c r="A263" i="12" a="1"/>
  <c r="O262" i="12" l="1"/>
  <c r="R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V263" i="12" s="1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R263" i="12" s="1"/>
  <c r="AR263" i="12"/>
  <c r="AE263" i="12"/>
  <c r="AG263" i="12"/>
  <c r="C263" i="12"/>
  <c r="L263" i="12"/>
  <c r="I263" i="12"/>
  <c r="AC263" i="12"/>
  <c r="AF263" i="12"/>
  <c r="A264" i="12" a="1"/>
  <c r="N263" i="12" l="1"/>
  <c r="P263" i="12"/>
  <c r="U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S264" i="12" s="1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V264" i="12" l="1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U265" i="12" l="1"/>
  <c r="S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AF266" i="12"/>
  <c r="AE266" i="12"/>
  <c r="L266" i="12"/>
  <c r="C266" i="12"/>
  <c r="AL266" i="12"/>
  <c r="AD266" i="12"/>
  <c r="AQ266" i="12"/>
  <c r="AR266" i="12"/>
  <c r="AO266" i="12"/>
  <c r="Z266" i="12"/>
  <c r="AB266" i="12"/>
  <c r="AP266" i="12"/>
  <c r="B266" i="12"/>
  <c r="I266" i="12"/>
  <c r="AC266" i="12"/>
  <c r="A267" i="12" a="1"/>
  <c r="U266" i="12" l="1"/>
  <c r="R266" i="12"/>
  <c r="N266" i="12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O267" i="12" s="1"/>
  <c r="AL267" i="12"/>
  <c r="AB267" i="12"/>
  <c r="D267" i="12"/>
  <c r="AN267" i="12"/>
  <c r="AF267" i="12"/>
  <c r="J267" i="12"/>
  <c r="AH267" i="12"/>
  <c r="AR267" i="12"/>
  <c r="Z267" i="12"/>
  <c r="A268" i="12" a="1"/>
  <c r="N267" i="12" l="1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O268" i="12" l="1"/>
  <c r="N268" i="12"/>
  <c r="P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Q269" i="12" s="1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U269" i="12" s="1"/>
  <c r="A270" i="12" a="1"/>
  <c r="V269" i="12" l="1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U270" i="12" s="1"/>
  <c r="Y270" i="12"/>
  <c r="AM270" i="12"/>
  <c r="I270" i="12"/>
  <c r="AD270" i="12"/>
  <c r="A271" i="12" a="1"/>
  <c r="N270" i="12" l="1"/>
  <c r="O270" i="12"/>
  <c r="R270" i="12"/>
  <c r="S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P271" i="12" l="1"/>
  <c r="T271" i="12"/>
  <c r="V271" i="12"/>
  <c r="U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I272" i="12"/>
  <c r="AN272" i="12"/>
  <c r="AS272" i="12"/>
  <c r="AF272" i="12"/>
  <c r="B272" i="12"/>
  <c r="AC272" i="12"/>
  <c r="E272" i="12"/>
  <c r="Y272" i="12"/>
  <c r="AH272" i="12"/>
  <c r="AE272" i="12"/>
  <c r="D272" i="12"/>
  <c r="AQ272" i="12"/>
  <c r="AD272" i="12"/>
  <c r="R272" i="12" s="1"/>
  <c r="L272" i="12"/>
  <c r="A273" i="12" a="1"/>
  <c r="Q272" i="12" l="1"/>
  <c r="U272" i="12"/>
  <c r="V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U273" i="12" l="1"/>
  <c r="O273" i="12"/>
  <c r="V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T274" i="12" l="1"/>
  <c r="P274" i="12"/>
  <c r="Q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V275" i="12" s="1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U275" i="12" l="1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Q276" i="12" l="1"/>
  <c r="S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V277" i="12" s="1"/>
  <c r="AK277" i="12"/>
  <c r="AO277" i="12"/>
  <c r="L277" i="12"/>
  <c r="K277" i="12"/>
  <c r="AG277" i="12"/>
  <c r="AE277" i="12"/>
  <c r="I277" i="12"/>
  <c r="B277" i="12"/>
  <c r="A278" i="12" a="1"/>
  <c r="N277" i="12" l="1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D278" i="12"/>
  <c r="AB278" i="12"/>
  <c r="A279" i="12" a="1"/>
  <c r="R278" i="12" l="1"/>
  <c r="V278" i="12"/>
  <c r="O278" i="12"/>
  <c r="U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T279" i="12" l="1"/>
  <c r="S279" i="12"/>
  <c r="N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D280" i="12"/>
  <c r="AR280" i="12"/>
  <c r="AQ280" i="12"/>
  <c r="E280" i="12"/>
  <c r="AS280" i="12"/>
  <c r="AL280" i="12"/>
  <c r="AK280" i="12"/>
  <c r="AH280" i="12"/>
  <c r="AO280" i="12"/>
  <c r="A281" i="12" a="1"/>
  <c r="O280" i="12" l="1"/>
  <c r="R280" i="12"/>
  <c r="N280" i="12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N281" i="12" l="1"/>
  <c r="O281" i="12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A283" i="12" a="1"/>
  <c r="R282" i="12" l="1"/>
  <c r="P282" i="12"/>
  <c r="S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P283" i="12" s="1"/>
  <c r="L283" i="12"/>
  <c r="AT283" i="12"/>
  <c r="AN283" i="12"/>
  <c r="AE283" i="12"/>
  <c r="AP283" i="12"/>
  <c r="Z283" i="12"/>
  <c r="K283" i="12"/>
  <c r="AA283" i="12"/>
  <c r="AK283" i="12"/>
  <c r="AM283" i="12"/>
  <c r="AD283" i="12"/>
  <c r="E283" i="12"/>
  <c r="AH283" i="12"/>
  <c r="AO283" i="12"/>
  <c r="J283" i="12"/>
  <c r="A284" i="12" a="1"/>
  <c r="N283" i="12" l="1"/>
  <c r="S283" i="12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L284" i="12"/>
  <c r="J284" i="12"/>
  <c r="AD284" i="12"/>
  <c r="B284" i="12"/>
  <c r="AK284" i="12"/>
  <c r="AT284" i="12"/>
  <c r="AC284" i="12"/>
  <c r="I284" i="12"/>
  <c r="A285" i="12" a="1"/>
  <c r="R284" i="12" l="1"/>
  <c r="N284" i="12"/>
  <c r="V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AK286" i="12"/>
  <c r="K286" i="12"/>
  <c r="Z286" i="12"/>
  <c r="AF286" i="12"/>
  <c r="T286" i="12" s="1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S286" i="12" l="1"/>
  <c r="V286" i="12"/>
  <c r="Q286" i="12"/>
  <c r="O286" i="12"/>
  <c r="AU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P287" i="12" l="1"/>
  <c r="V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AN288" i="12"/>
  <c r="E288" i="12"/>
  <c r="D288" i="12"/>
  <c r="K288" i="12"/>
  <c r="I288" i="12"/>
  <c r="L288" i="12"/>
  <c r="AO288" i="12"/>
  <c r="B288" i="12"/>
  <c r="AT288" i="12"/>
  <c r="J288" i="12"/>
  <c r="AF288" i="12"/>
  <c r="T288" i="12" s="1"/>
  <c r="Z288" i="12"/>
  <c r="AS288" i="12"/>
  <c r="AE288" i="12"/>
  <c r="AB288" i="12"/>
  <c r="AG288" i="12"/>
  <c r="A289" i="12" a="1"/>
  <c r="Q288" i="12" l="1"/>
  <c r="U288" i="12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P289" i="12" l="1"/>
  <c r="S289" i="12"/>
  <c r="R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E290" i="12"/>
  <c r="I290" i="12"/>
  <c r="AP290" i="12"/>
  <c r="B290" i="12"/>
  <c r="AT290" i="12"/>
  <c r="AK290" i="12"/>
  <c r="AN290" i="12"/>
  <c r="A291" i="12" a="1"/>
  <c r="S290" i="12" l="1"/>
  <c r="R290" i="12"/>
  <c r="T290" i="12"/>
  <c r="N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N291" i="12" l="1"/>
  <c r="U291" i="12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Q292" i="12" s="1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N292" i="12" l="1"/>
  <c r="R292" i="12"/>
  <c r="U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C293" i="12"/>
  <c r="K293" i="12"/>
  <c r="AK293" i="12"/>
  <c r="AH293" i="12"/>
  <c r="AS293" i="12"/>
  <c r="AA293" i="12"/>
  <c r="AB293" i="12"/>
  <c r="AL293" i="12"/>
  <c r="A294" i="12" a="1"/>
  <c r="Q293" i="12" l="1"/>
  <c r="T293" i="12"/>
  <c r="O293" i="12"/>
  <c r="U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R294" i="12" l="1"/>
  <c r="T294" i="12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U295" i="12" s="1"/>
  <c r="AP295" i="12"/>
  <c r="E295" i="12"/>
  <c r="AR295" i="12"/>
  <c r="A296" i="12" a="1"/>
  <c r="R295" i="12" l="1"/>
  <c r="S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V296" i="12" s="1"/>
  <c r="AM296" i="12"/>
  <c r="I296" i="12"/>
  <c r="AD296" i="12"/>
  <c r="AB296" i="12"/>
  <c r="L296" i="12"/>
  <c r="AF296" i="12"/>
  <c r="T296" i="12" s="1"/>
  <c r="Y296" i="12"/>
  <c r="A297" i="12" a="1"/>
  <c r="N296" i="12" l="1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AC297" i="12"/>
  <c r="AO297" i="12"/>
  <c r="AM297" i="12"/>
  <c r="Y297" i="12"/>
  <c r="AR297" i="12"/>
  <c r="C297" i="12"/>
  <c r="AG297" i="12"/>
  <c r="AH297" i="12"/>
  <c r="V297" i="12" s="1"/>
  <c r="A298" i="12" a="1"/>
  <c r="U297" i="12" l="1"/>
  <c r="R297" i="12"/>
  <c r="T297" i="12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D298" i="12"/>
  <c r="AH298" i="12"/>
  <c r="V298" i="12" s="1"/>
  <c r="A299" i="12" a="1"/>
  <c r="S298" i="12" l="1"/>
  <c r="T298" i="12"/>
  <c r="N298" i="12"/>
  <c r="U298" i="12"/>
  <c r="Q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V299" i="12" s="1"/>
  <c r="I299" i="12"/>
  <c r="L299" i="12"/>
  <c r="AF299" i="12"/>
  <c r="AG299" i="12"/>
  <c r="AN299" i="12"/>
  <c r="AK299" i="12"/>
  <c r="AS299" i="12"/>
  <c r="AA299" i="12"/>
  <c r="O299" i="12" s="1"/>
  <c r="A300" i="12" a="1"/>
  <c r="T299" i="12" l="1"/>
  <c r="N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AC300" i="12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Q300" i="12" l="1"/>
  <c r="V300" i="12"/>
  <c r="O300" i="12"/>
  <c r="N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<sst xmlns="http://schemas.openxmlformats.org/spreadsheetml/2006/main" count="2339" uniqueCount="1413">
  <si>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</si>
  <si>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</si>
  <si>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</si>
  <si>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</si>
  <si>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</si>
  <si>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</si>
  <si>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</si>
  <si>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</si>
  <si>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</si>
  <si>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</si>
  <si>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</si>
  <si>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</si>
  <si>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</si>
  <si>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</si>
  <si>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</si>
  <si>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</si>
  <si>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</si>
  <si>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</si>
  <si>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</si>
  <si>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</si>
  <si>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</si>
  <si>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</si>
  <si>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</si>
  <si>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</si>
  <si>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</si>
  <si>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</si>
  <si>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</si>
  <si>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</si>
  <si>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</si>
  <si>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</si>
  <si>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</si>
  <si>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</si>
  <si>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</si>
  <si>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</si>
  <si>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</si>
  <si>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</si>
  <si>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</si>
  <si>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</si>
  <si>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</si>
  <si>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</si>
  <si>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</si>
  <si>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</si>
  <si>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</si>
  <si>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</si>
  <si>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</si>
  <si>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</si>
  <si>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</si>
  <si>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</si>
  <si>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</si>
  <si>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</si>
  <si>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</si>
  <si>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</si>
  <si>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</si>
  <si>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</si>
  <si>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</si>
  <si>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</si>
  <si>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</si>
  <si>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</si>
  <si>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</si>
  <si>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</si>
  <si>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</si>
  <si>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</si>
  <si>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</si>
  <si>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</si>
  <si>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</si>
  <si>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</si>
  <si>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</si>
  <si>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</si>
  <si>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</si>
  <si>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</si>
  <si>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</si>
  <si>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</si>
  <si>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</si>
  <si>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</si>
  <si>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</si>
  <si>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</si>
  <si>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</si>
  <si>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</si>
  <si>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</si>
  <si>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</si>
  <si>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</si>
  <si>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</si>
  <si>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</si>
  <si>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</si>
  <si>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</si>
  <si>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</si>
  <si>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</si>
  <si>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</si>
  <si>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</si>
  <si>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</si>
  <si>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</si>
  <si>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</si>
  <si>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</si>
  <si>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</si>
  <si>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</si>
  <si>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</si>
  <si>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</si>
  <si>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</si>
  <si>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</si>
  <si>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</si>
  <si>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</si>
  <si>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</si>
  <si>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</si>
  <si>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</si>
  <si>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</si>
  <si>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</si>
  <si>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</si>
  <si>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</si>
  <si>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</si>
  <si>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</si>
  <si>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</si>
  <si>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</si>
  <si>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</si>
  <si>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</si>
  <si>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</si>
  <si>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</si>
  <si>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</si>
  <si>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</si>
  <si>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</si>
  <si>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</si>
  <si>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</si>
  <si>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</si>
  <si>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</si>
  <si>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</si>
  <si>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</si>
  <si>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</si>
  <si>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</si>
  <si>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</si>
  <si>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</si>
  <si>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</si>
  <si>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</si>
  <si>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</si>
  <si>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</si>
  <si>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</si>
  <si>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</si>
  <si>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</si>
  <si>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</si>
  <si>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</si>
  <si>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</si>
  <si>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</si>
  <si>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</si>
  <si>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</si>
  <si>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</si>
  <si>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</si>
  <si>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</si>
  <si>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</si>
  <si>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</si>
  <si>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</si>
  <si>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</si>
  <si>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</si>
  <si>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</si>
  <si>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</si>
  <si>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</si>
  <si>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</si>
  <si>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</si>
  <si>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</si>
  <si>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</si>
  <si>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</si>
  <si>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</si>
  <si>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</si>
  <si>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</si>
  <si>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</si>
  <si>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</si>
  <si>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</si>
  <si>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</si>
  <si>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</si>
  <si>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</si>
  <si>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</si>
  <si>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</si>
  <si>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</si>
  <si>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</si>
  <si>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</si>
  <si>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</si>
  <si>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</si>
  <si>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</si>
  <si>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</si>
  <si>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</si>
  <si>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</si>
  <si>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</si>
  <si>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</si>
  <si>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</si>
  <si>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</si>
  <si>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</si>
  <si>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</si>
  <si>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</si>
  <si>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</si>
  <si>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</si>
  <si>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</si>
  <si>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</si>
  <si>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</si>
  <si>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</si>
  <si>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</si>
  <si>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</si>
  <si>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</si>
  <si>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</si>
  <si>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</si>
  <si>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</si>
  <si>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</si>
  <si>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</si>
  <si>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</si>
  <si>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</si>
  <si>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</si>
  <si>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</si>
  <si>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</si>
  <si>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</si>
  <si>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</si>
  <si>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</si>
  <si>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</si>
  <si>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</si>
  <si>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</si>
  <si>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</si>
  <si>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</si>
  <si>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</si>
  <si>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</si>
  <si>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</si>
  <si>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</si>
  <si>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</si>
  <si>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</si>
  <si>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</si>
  <si>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</si>
  <si>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</si>
  <si>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</si>
  <si>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</si>
  <si>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</si>
  <si>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</si>
  <si>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</si>
  <si>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</si>
  <si>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</si>
  <si>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</si>
  <si>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</si>
  <si>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</si>
  <si>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</si>
  <si>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</si>
  <si>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</si>
  <si>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</si>
  <si>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</si>
  <si>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</si>
  <si>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</si>
  <si>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</si>
  <si>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</si>
  <si>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</si>
  <si>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</si>
  <si>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</si>
  <si>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</si>
  <si>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</si>
  <si>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</si>
  <si>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</si>
  <si>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</si>
  <si>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</si>
  <si>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</si>
  <si>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</si>
  <si>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</si>
  <si>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</si>
  <si>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</si>
  <si>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</si>
  <si>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</si>
  <si>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</si>
  <si>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</si>
  <si>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</si>
  <si>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</si>
  <si>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</si>
  <si>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</si>
  <si>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</si>
  <si>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</si>
  <si>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</si>
  <si>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</si>
  <si>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</si>
  <si>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</si>
  <si>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</si>
  <si>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</si>
  <si>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</si>
  <si>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</si>
  <si>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</si>
  <si>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</si>
  <si>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</si>
  <si>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</si>
  <si>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</si>
  <si>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</si>
  <si>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</si>
  <si>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</si>
  <si>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</si>
  <si>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</si>
  <si>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</si>
  <si>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</si>
  <si>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</si>
  <si>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</si>
  <si>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</si>
  <si>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</si>
  <si>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</si>
  <si>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</si>
  <si>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</si>
  <si>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</si>
  <si>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</si>
  <si>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</si>
  <si>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</si>
  <si>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</si>
  <si>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</si>
  <si>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</si>
  <si>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</si>
  <si>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</si>
  <si>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</si>
  <si>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</si>
  <si>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</si>
  <si>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</si>
  <si>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</si>
  <si>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</si>
  <si>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</si>
  <si>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</si>
  <si>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</si>
  <si>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</si>
  <si>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</si>
  <si>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</si>
  <si>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</si>
  <si>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</si>
  <si>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</si>
  <si>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</si>
  <si>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</si>
  <si>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</si>
  <si>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</si>
  <si>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</si>
  <si>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</si>
  <si>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</si>
  <si>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</si>
  <si>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</si>
  <si>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</si>
  <si>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</si>
  <si>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</si>
  <si>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</si>
  <si>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</si>
  <si>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</si>
  <si>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</si>
  <si>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</si>
  <si>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</si>
  <si>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</si>
  <si>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</si>
  <si>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</si>
  <si>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</si>
  <si>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</si>
  <si>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</si>
  <si>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</si>
  <si>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</si>
  <si>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</si>
  <si>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</si>
  <si>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</si>
  <si>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</si>
  <si>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</si>
  <si>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</si>
  <si>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</si>
  <si>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</si>
  <si>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</si>
  <si>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</si>
  <si>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</si>
  <si>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</si>
  <si>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</si>
  <si>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</si>
  <si>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</si>
  <si>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</si>
  <si>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</si>
  <si>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</si>
  <si>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</si>
  <si>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</si>
  <si>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</si>
  <si>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</si>
  <si>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</si>
  <si>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</si>
  <si>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</si>
  <si>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</si>
  <si>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</si>
  <si>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</si>
  <si>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</si>
  <si>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</si>
  <si>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</si>
  <si>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</si>
  <si>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</si>
  <si>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</si>
  <si>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</si>
  <si>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</si>
  <si>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</si>
  <si>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</si>
  <si>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</si>
  <si>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</si>
  <si>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</si>
  <si>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</si>
  <si>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</si>
  <si>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</si>
  <si>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</si>
  <si>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</si>
  <si>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</si>
  <si>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</si>
  <si>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</si>
  <si>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</si>
  <si>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</si>
  <si>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</si>
  <si>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</si>
  <si>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</si>
  <si>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</si>
  <si>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</si>
  <si>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</si>
  <si>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</si>
  <si>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</si>
  <si>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</si>
  <si>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</si>
  <si>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</si>
  <si>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</si>
  <si>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</si>
  <si>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</si>
  <si>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</si>
  <si>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</si>
  <si>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</si>
  <si>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</si>
  <si>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</si>
  <si>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</si>
  <si>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</si>
  <si>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</si>
  <si>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</si>
  <si>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</si>
  <si>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</si>
  <si>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</si>
  <si>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</si>
  <si>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</si>
  <si>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</si>
  <si>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</si>
  <si>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</si>
  <si>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</si>
  <si>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</si>
  <si>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</si>
  <si>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</si>
  <si>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</si>
  <si>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</si>
  <si>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</si>
  <si>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</si>
  <si>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</si>
  <si>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</si>
  <si>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</si>
  <si>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</si>
  <si>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</si>
  <si>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</si>
  <si>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</si>
  <si>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</si>
  <si>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</si>
  <si>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</si>
  <si>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</si>
  <si>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</si>
  <si>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</si>
  <si>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</si>
  <si>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</si>
  <si>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</si>
  <si>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</si>
  <si>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</si>
  <si>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</si>
  <si>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</si>
  <si>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</si>
  <si>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</si>
  <si>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</si>
  <si>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</si>
  <si>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</si>
  <si>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</si>
  <si>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</si>
  <si>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</si>
  <si>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</si>
  <si>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</si>
  <si>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</si>
  <si>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</si>
  <si>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</si>
  <si>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</si>
  <si>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</si>
  <si>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</si>
  <si>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</si>
  <si>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</si>
  <si>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</si>
  <si>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</si>
  <si>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</si>
  <si>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</si>
  <si>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</si>
  <si>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</si>
  <si>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</si>
  <si>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</si>
  <si>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</si>
  <si>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</si>
  <si>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</si>
  <si>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</si>
  <si>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</si>
  <si>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</si>
  <si>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</si>
  <si>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</si>
  <si>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</si>
  <si>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</si>
  <si>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</si>
  <si>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</si>
  <si>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</si>
  <si>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</si>
  <si>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</si>
  <si>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</si>
  <si>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</si>
  <si>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</si>
  <si>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</si>
  <si>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</si>
  <si>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</si>
  <si>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</si>
  <si>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</si>
  <si>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</si>
  <si>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</si>
  <si>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</si>
  <si>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</si>
  <si>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</si>
  <si>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</si>
  <si>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</si>
  <si>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</si>
  <si>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</si>
  <si>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</si>
  <si>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</si>
  <si>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</si>
  <si>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</si>
  <si>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</si>
  <si>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</si>
  <si>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</si>
  <si>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</si>
  <si>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</si>
  <si>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</si>
  <si>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</si>
  <si>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</si>
  <si>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</si>
  <si>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</si>
  <si>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</si>
  <si>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</si>
  <si>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</si>
  <si>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</si>
  <si>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</si>
  <si>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</si>
  <si>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</si>
  <si>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</si>
  <si>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</si>
  <si>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</si>
  <si>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</si>
  <si>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</si>
  <si>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</si>
  <si>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</si>
  <si>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</si>
  <si>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</si>
  <si>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</si>
  <si>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</si>
  <si>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</si>
  <si>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</si>
  <si>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</si>
  <si>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</si>
  <si>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</si>
  <si>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</si>
  <si>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</si>
  <si>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</si>
  <si>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</si>
  <si>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</si>
  <si>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</si>
  <si>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</si>
  <si>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</si>
  <si>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</si>
  <si>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</si>
  <si>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</si>
  <si>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</si>
  <si>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</si>
  <si>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</si>
  <si>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</si>
  <si>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</si>
  <si>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</si>
  <si>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</si>
  <si>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</si>
  <si>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</si>
  <si>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</si>
  <si>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</si>
  <si>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</si>
  <si>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</si>
  <si>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</si>
  <si>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</si>
  <si>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</si>
  <si>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</si>
  <si>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</si>
  <si>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</si>
  <si>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</si>
  <si>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</si>
  <si>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</si>
  <si>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</si>
  <si>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</si>
  <si>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</si>
  <si>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</si>
  <si>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</si>
  <si>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</si>
  <si>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</si>
  <si>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</si>
  <si>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</si>
  <si>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</si>
  <si>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</si>
  <si>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</si>
  <si>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</si>
  <si>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</si>
  <si>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</si>
  <si>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</si>
  <si>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</si>
  <si>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</si>
  <si>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</si>
  <si>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</si>
  <si>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</si>
  <si>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</si>
  <si>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</si>
  <si>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</si>
  <si>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</si>
  <si>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</si>
  <si>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</si>
  <si>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</si>
  <si>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</si>
  <si>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</si>
  <si>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</si>
  <si>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</si>
  <si>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</si>
  <si>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</si>
  <si>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</si>
  <si>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</si>
  <si>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</si>
  <si>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</si>
  <si>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</si>
  <si>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</si>
  <si>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</si>
  <si>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</si>
  <si>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</si>
  <si>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</si>
  <si>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</si>
  <si>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</si>
  <si>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</si>
  <si>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</si>
  <si>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</si>
  <si>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</si>
  <si>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</si>
  <si>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</si>
  <si>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</si>
  <si>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</si>
  <si>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</si>
  <si>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</si>
  <si>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</si>
  <si>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</si>
  <si>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</si>
  <si>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</si>
  <si>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</si>
  <si>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</si>
  <si>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</si>
  <si>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</si>
  <si>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</si>
  <si>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</si>
  <si>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</si>
  <si>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</si>
  <si>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</si>
  <si>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</si>
  <si>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</si>
  <si>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</si>
  <si>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</si>
  <si>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</si>
  <si>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</si>
  <si>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</si>
  <si>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</si>
  <si>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</si>
  <si>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</si>
  <si>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</si>
  <si>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</si>
  <si>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</si>
  <si>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</si>
  <si>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</si>
  <si>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</si>
  <si>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</si>
  <si>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</si>
  <si>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</si>
  <si>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</si>
  <si>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</si>
  <si>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</si>
  <si>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</si>
  <si>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</si>
  <si>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</si>
  <si>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</si>
  <si>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</si>
  <si>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</si>
  <si>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</si>
  <si>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</si>
  <si>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</si>
  <si>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</si>
  <si>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</si>
  <si>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</si>
  <si>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</si>
  <si>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</si>
  <si>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</si>
  <si>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</si>
  <si>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</si>
  <si>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</si>
  <si>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</si>
  <si>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</si>
  <si>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</si>
  <si>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</si>
  <si>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</si>
  <si>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</si>
  <si>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</si>
  <si>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</si>
  <si>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</si>
  <si>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</si>
  <si>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</si>
  <si>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</si>
  <si>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</si>
  <si>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</si>
  <si>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</si>
  <si>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</si>
  <si>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</si>
  <si>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</si>
  <si>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</si>
  <si>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</si>
  <si>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</si>
  <si>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</si>
  <si>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</si>
  <si>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</si>
  <si>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</si>
  <si>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</si>
  <si>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</si>
  <si>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</si>
  <si>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</si>
  <si>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</si>
  <si>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</si>
  <si>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</si>
  <si>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</si>
  <si>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</si>
  <si>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</si>
  <si>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</si>
  <si>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</si>
  <si>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</si>
  <si>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</si>
  <si>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</si>
  <si>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</si>
  <si>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</si>
  <si>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</si>
  <si>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</si>
  <si>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</si>
  <si>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</si>
  <si>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</si>
  <si>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</si>
  <si>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</si>
  <si>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</si>
  <si>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</si>
  <si>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</si>
  <si>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</si>
  <si>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</si>
  <si>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</si>
  <si>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</si>
  <si>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</si>
  <si>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</si>
  <si>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</si>
  <si>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</si>
  <si>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</si>
  <si>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</si>
  <si>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</si>
  <si>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</si>
  <si>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</si>
  <si>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</si>
  <si>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</si>
  <si>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</si>
  <si>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</si>
  <si>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</si>
  <si>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</si>
  <si>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</si>
  <si>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</si>
  <si>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</si>
  <si>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</si>
  <si>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</si>
  <si>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</si>
  <si>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</si>
  <si>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</si>
  <si>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</si>
  <si>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</si>
  <si>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</si>
  <si>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</si>
  <si>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</si>
  <si>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</si>
  <si>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</si>
  <si>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</si>
  <si>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</si>
  <si>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</si>
  <si>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</si>
  <si>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</si>
  <si>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</si>
  <si>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</si>
  <si>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</si>
  <si>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</si>
  <si>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</si>
  <si>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</si>
  <si>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</si>
  <si>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</si>
  <si>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</si>
  <si>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</si>
  <si>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</si>
  <si>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</si>
  <si>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</si>
  <si>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</si>
  <si>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</si>
  <si>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</si>
  <si>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</si>
  <si>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</si>
  <si>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</si>
  <si>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</si>
  <si>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</si>
  <si>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</si>
  <si>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</si>
  <si>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</si>
  <si>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</si>
  <si>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</si>
  <si>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</si>
  <si>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</si>
  <si>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</si>
  <si>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</si>
  <si>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</si>
  <si>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</si>
  <si>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</si>
  <si>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</si>
  <si>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</si>
  <si>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</si>
  <si>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</si>
  <si>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</si>
  <si>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</si>
  <si>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</si>
  <si>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</si>
  <si>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</si>
  <si>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</si>
  <si>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</si>
  <si>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</si>
  <si>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</si>
  <si>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</si>
  <si>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</si>
  <si>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</si>
  <si>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</si>
  <si>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</si>
  <si>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</si>
  <si>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</si>
  <si>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</si>
  <si>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</si>
  <si>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</si>
  <si>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</si>
  <si>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</si>
  <si>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</si>
  <si>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</si>
  <si>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</si>
  <si>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</si>
  <si>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</si>
  <si>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</si>
  <si>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</si>
  <si>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</si>
  <si>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</si>
  <si>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</si>
  <si>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</si>
  <si>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</si>
  <si>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</si>
  <si>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</si>
  <si>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</si>
  <si>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</si>
  <si>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</si>
  <si>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</si>
  <si>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</si>
  <si>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</si>
  <si>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</si>
  <si>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</si>
  <si>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</si>
  <si>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</si>
  <si>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</si>
  <si>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</si>
  <si>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</si>
  <si>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</si>
  <si>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</si>
  <si>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</si>
  <si>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</si>
  <si>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</si>
  <si>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</si>
  <si>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</si>
  <si>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</si>
  <si>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</si>
  <si>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</si>
  <si>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</si>
  <si>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</si>
  <si>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</si>
  <si>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</si>
  <si>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</si>
  <si>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</si>
  <si>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</si>
  <si>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</si>
  <si>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</si>
  <si>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</si>
  <si>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</si>
  <si>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</si>
  <si>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</si>
  <si>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</si>
  <si>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</si>
  <si>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</si>
  <si>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</si>
  <si>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</si>
  <si>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</si>
  <si>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</si>
  <si>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</si>
  <si>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</si>
  <si>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</si>
  <si>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</si>
  <si>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</si>
  <si>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</si>
  <si>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</si>
  <si>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</si>
  <si>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</si>
  <si>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</si>
  <si>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</si>
  <si>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</si>
  <si>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</si>
  <si>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</si>
  <si>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</si>
  <si>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</si>
  <si>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</si>
  <si>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</si>
  <si>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</si>
  <si>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</si>
  <si>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</si>
  <si>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</si>
  <si>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</si>
  <si>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</si>
  <si>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</si>
  <si>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</si>
  <si>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</si>
  <si>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</si>
  <si>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</si>
  <si>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</si>
  <si>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</si>
  <si>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</si>
  <si>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</si>
  <si>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</si>
  <si>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</si>
  <si>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</si>
  <si>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</si>
  <si>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</si>
  <si>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</si>
  <si>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</si>
  <si>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</si>
  <si>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</si>
  <si>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</si>
  <si>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</si>
  <si>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</si>
  <si>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</si>
  <si>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</si>
  <si>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</si>
  <si>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</si>
  <si>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</si>
  <si>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</si>
  <si>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</si>
  <si>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</si>
  <si>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</si>
  <si>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</si>
  <si>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</si>
  <si>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</si>
  <si>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</si>
  <si>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</si>
  <si>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</si>
  <si>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</si>
  <si>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</si>
  <si>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</si>
  <si>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</si>
  <si>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</si>
  <si>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</si>
  <si>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</si>
  <si>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</si>
  <si>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</si>
  <si>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</si>
  <si>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</si>
  <si>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</si>
  <si>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</si>
  <si>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</si>
  <si>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</si>
  <si>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</si>
  <si>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</si>
  <si>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</si>
  <si>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</si>
  <si>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</si>
  <si>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</si>
  <si>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</si>
  <si>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</si>
  <si>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</si>
  <si>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</si>
  <si>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</si>
  <si>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</si>
  <si>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</si>
  <si>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</si>
  <si>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</si>
  <si>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</si>
  <si>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</si>
  <si>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</si>
  <si>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</si>
  <si>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</si>
  <si>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</si>
  <si>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</si>
  <si>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</si>
  <si>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</si>
  <si>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</si>
  <si>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</si>
  <si>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</si>
  <si>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</si>
  <si>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</si>
  <si>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</si>
  <si>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</si>
  <si>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</si>
  <si>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</si>
  <si>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</si>
  <si>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</si>
  <si>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</si>
  <si>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</si>
  <si>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</si>
  <si>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</si>
  <si>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</si>
  <si>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</si>
  <si>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</si>
  <si>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</si>
  <si>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</si>
  <si>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</si>
  <si>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</si>
  <si>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</si>
  <si>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</si>
  <si>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</si>
  <si>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</si>
  <si>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</si>
  <si>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</si>
  <si>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</si>
  <si>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</si>
  <si>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</si>
  <si>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</si>
  <si>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</si>
  <si>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</si>
  <si>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</si>
  <si>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</si>
  <si>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</si>
  <si>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</si>
  <si>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</si>
  <si>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</si>
  <si>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</si>
  <si>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</si>
  <si>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</si>
  <si>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</si>
  <si>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</si>
  <si>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</si>
  <si>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</si>
  <si>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</si>
  <si>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</si>
  <si>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</si>
  <si>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</si>
  <si>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</si>
  <si>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</si>
  <si>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</si>
  <si>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</si>
  <si>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</si>
  <si>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</si>
  <si>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</si>
  <si>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</si>
  <si>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</si>
  <si>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</si>
  <si>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</si>
  <si>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</si>
  <si>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</si>
  <si>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</si>
  <si>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</si>
  <si>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</si>
  <si>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</si>
  <si>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</si>
  <si>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</si>
  <si>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</si>
  <si>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</si>
  <si>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</si>
  <si>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</si>
  <si>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</si>
  <si>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</si>
  <si>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</si>
  <si>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</si>
  <si>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</si>
  <si>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</si>
  <si>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</si>
  <si>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</si>
  <si>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</si>
  <si>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</si>
  <si>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</si>
  <si>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</si>
  <si>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</si>
  <si>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</si>
  <si>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</si>
  <si>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</si>
  <si>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</si>
  <si>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</si>
  <si>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</si>
  <si>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</si>
  <si>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</si>
  <si>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</si>
  <si>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</si>
  <si>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</si>
  <si>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</si>
  <si>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</si>
  <si>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</si>
  <si>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</si>
  <si>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</si>
  <si>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</si>
  <si>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</si>
  <si>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</si>
  <si>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</si>
  <si>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</si>
  <si>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</si>
  <si>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</si>
  <si>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</si>
  <si>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</si>
  <si>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</si>
  <si>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</si>
  <si>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</si>
  <si>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</si>
  <si>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</si>
  <si>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</si>
  <si>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</si>
  <si>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</si>
  <si>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</si>
  <si>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</si>
  <si>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</si>
  <si>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</si>
  <si>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</si>
  <si>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</si>
  <si>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</si>
  <si>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</si>
  <si>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</si>
  <si>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</si>
  <si>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</si>
  <si>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</si>
  <si>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</si>
  <si>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</si>
  <si>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</si>
  <si>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</si>
  <si>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</si>
  <si>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</si>
  <si>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</si>
  <si>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</si>
  <si>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</si>
  <si>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</si>
  <si>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</si>
  <si>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</si>
  <si>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</si>
  <si>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</si>
  <si>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</si>
  <si>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</si>
  <si>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</si>
  <si>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</si>
  <si>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</si>
  <si>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</si>
  <si>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</si>
  <si>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</si>
  <si>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</si>
  <si>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</si>
  <si>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</si>
  <si>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</si>
  <si>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</si>
  <si>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</si>
  <si>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</si>
  <si>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</si>
  <si>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</si>
  <si>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</si>
  <si>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</si>
  <si>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</si>
  <si>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</si>
  <si>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</si>
  <si>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</si>
  <si>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</si>
  <si>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</si>
  <si>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</si>
  <si>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</si>
  <si>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</si>
  <si>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</si>
  <si>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</si>
  <si>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</si>
  <si>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</si>
  <si>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</si>
  <si>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</si>
  <si>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</si>
  <si>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</si>
  <si>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</si>
  <si>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</si>
  <si>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</si>
  <si>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</si>
  <si>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</si>
  <si>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</si>
  <si>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</si>
  <si>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</si>
  <si>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</si>
  <si>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</si>
  <si>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</si>
  <si>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</si>
  <si>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</si>
  <si>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</si>
  <si>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</si>
  <si>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</si>
  <si>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</si>
  <si>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</si>
  <si>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</si>
  <si>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</si>
  <si>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</si>
  <si>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</si>
  <si>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</si>
  <si>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</si>
  <si>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</si>
  <si>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</si>
  <si>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</si>
  <si>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</si>
  <si>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</si>
  <si>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</si>
  <si>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</si>
  <si>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</si>
  <si>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</si>
  <si>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</si>
  <si>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</si>
  <si>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</si>
  <si>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</si>
  <si>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</si>
  <si>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</si>
  <si>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</si>
  <si>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</si>
  <si>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</si>
  <si>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</si>
  <si>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</si>
  <si>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</si>
  <si>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</si>
  <si>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</si>
  <si>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</si>
  <si>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</si>
  <si>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</si>
  <si>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</si>
  <si>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</si>
  <si>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</si>
  <si>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</si>
  <si>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</si>
  <si>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</si>
  <si>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</si>
  <si>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</si>
  <si>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</si>
  <si>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</si>
  <si>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</si>
  <si>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</si>
  <si>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</si>
  <si>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</si>
  <si>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</si>
  <si>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</si>
  <si>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</si>
  <si>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</si>
  <si>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</si>
  <si>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</si>
  <si>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</si>
  <si>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</si>
  <si>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</si>
  <si>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</si>
  <si>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</si>
  <si>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</si>
  <si>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</si>
  <si>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</si>
  <si>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</si>
  <si>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</si>
  <si>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</si>
  <si>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</si>
  <si>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</si>
  <si>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</si>
  <si>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</si>
  <si>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</si>
  <si>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</si>
  <si>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</si>
  <si>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</si>
  <si>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</si>
  <si>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</si>
  <si>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</si>
  <si>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</si>
  <si>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</si>
  <si>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</si>
  <si>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</si>
  <si>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</si>
  <si>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</si>
  <si>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</si>
  <si>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</si>
  <si>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</si>
  <si>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</si>
  <si>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</si>
  <si>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</si>
  <si>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</si>
  <si>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</si>
  <si>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</si>
  <si>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</si>
  <si>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</si>
  <si>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</si>
  <si>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</si>
  <si>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</si>
  <si>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</si>
  <si>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</si>
  <si>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</si>
  <si>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</si>
  <si>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</si>
  <si>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</si>
  <si>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</si>
  <si>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</si>
  <si>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</si>
  <si>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</si>
  <si>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</si>
  <si>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</si>
  <si>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</si>
  <si>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</si>
  <si>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</si>
  <si>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</si>
  <si>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</si>
  <si>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</si>
  <si>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</si>
  <si>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</si>
  <si>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</si>
  <si>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</si>
  <si>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</si>
  <si>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</si>
  <si>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</si>
  <si>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</si>
  <si>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</si>
  <si>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</si>
  <si>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</si>
  <si>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</si>
  <si>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</si>
  <si>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</si>
  <si>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</si>
  <si>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</si>
  <si>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</si>
  <si>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</si>
  <si>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</si>
  <si>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</si>
  <si>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</si>
  <si>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</si>
  <si>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</si>
  <si>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</si>
  <si>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</si>
  <si>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</si>
  <si>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</si>
  <si>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</si>
  <si>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</si>
  <si>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</si>
  <si>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</si>
  <si>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</si>
  <si>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</si>
  <si>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</si>
  <si>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</si>
  <si>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</si>
  <si>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</si>
  <si>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</si>
  <si>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</si>
  <si>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</si>
  <si>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</si>
  <si>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</si>
  <si>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</si>
  <si>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</si>
  <si>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</si>
  <si>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</si>
  <si>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</si>
  <si>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</si>
  <si>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</si>
  <si>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</si>
  <si>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</si>
  <si>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</si>
  <si>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</si>
  <si>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</si>
  <si>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</si>
  <si>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</si>
  <si>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</si>
  <si>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</si>
  <si>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</si>
  <si>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</si>
  <si>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</si>
  <si>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</si>
  <si>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</si>
  <si>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</si>
  <si>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</si>
  <si>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</si>
  <si>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</si>
  <si>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</si>
  <si>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</si>
  <si>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</si>
  <si>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</si>
  <si>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</si>
  <si>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</si>
  <si>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</si>
  <si>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</si>
  <si>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</si>
  <si>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</si>
  <si>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</si>
  <si>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</si>
  <si>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</si>
  <si>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</si>
  <si>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</si>
  <si>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</si>
  <si>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</si>
  <si>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</si>
  <si>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</si>
  <si>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</si>
  <si>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</si>
  <si>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</si>
  <si>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</si>
  <si>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</si>
  <si>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</si>
  <si>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</si>
  <si>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</si>
  <si>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</si>
  <si>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</si>
  <si>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</si>
  <si>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</si>
  <si>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</si>
  <si>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</si>
  <si>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</si>
  <si>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</si>
  <si>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</si>
  <si>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</si>
  <si>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</si>
  <si>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Ghost Festival</t>
  </si>
  <si>
    <t>Kiki Liang</t>
  </si>
  <si>
    <t>Sat:21:30-23:30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</si>
</sst>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39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sz val="20"/>
      <color rgb="FF0C0C0C"/>
      <name val="Helvetica Neue"/>
      <family val="2"/>
    </font>
    <font>
      <b/>
      <sz val="20"/>
      <color theme="0" tint="-0.499984740745262"/>
      <name val="Helvetic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 wrapText="1"/>
      <protection locked="0"/>
    </xf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center" vertical="center" wrapText="1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8" fillId="0" borderId="0" xfId="0" applyNumberFormat="1" applyFont="1" applyAlignment="1">
      <alignment horizontal="center" vertical="center" wrapText="1"/>
    </xf>
    <xf numFmtId="0" fontId="30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21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tabSelected="1" zoomScale="72" zoomScaleNormal="72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U16" sqref="AU16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28.5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45957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45958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45959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45960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45961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45962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45963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45964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36" t="s">
        <v>55</v>
      </c>
    </row>
    <row r="2" spans="1:89" ht="38" customHeight="1">
      <c r="A2" s="74">
        <f t="shared" ref="A2:A33" si="0">IF(ISNA(AZ2),"",AZ2)</f>
        <v>10330</v>
      </c>
      <c r="B2" s="81" t="s">
        <v>1410</v>
      </c>
      <c r="C2" s="98" t="s">
        <v>918</v>
      </c>
      <c r="D2" s="84"/>
      <c r="E2" s="85"/>
      <c r="F2" s="93">
        <f>BA2-BB2</f>
        <v>0</v>
      </c>
      <c r="G2" s="85"/>
      <c r="H2" s="85"/>
      <c r="I2" s="93">
        <f>BF2-BG2</f>
        <v>0</v>
      </c>
      <c r="J2" s="85"/>
      <c r="K2" s="85"/>
      <c r="L2" s="93">
        <f>BK2-BL2</f>
        <v>0</v>
      </c>
      <c r="M2" s="85">
        <v>0.625</v>
      </c>
      <c r="N2" s="84">
        <v>0.97916666666666663</v>
      </c>
      <c r="O2" s="93">
        <f>BP2-BQ2</f>
        <v>8</v>
      </c>
      <c r="P2" s="84"/>
      <c r="Q2" s="85"/>
      <c r="R2" s="93">
        <f>BU2-BV2</f>
        <v>0</v>
      </c>
      <c r="S2" s="85"/>
      <c r="T2" s="85"/>
      <c r="U2" s="93">
        <f>BZ2-CA2</f>
        <v>0</v>
      </c>
      <c r="V2" s="85"/>
      <c r="W2" s="85"/>
      <c r="X2" s="93">
        <f>CE2-CF2</f>
        <v>0</v>
      </c>
      <c r="Y2" s="93"/>
      <c r="Z2" s="93"/>
      <c r="AA2" s="93"/>
      <c r="AB2" s="93">
        <f>SUM(F2,I2,L2,O2,R2,U2,X2)</f>
        <v>8</v>
      </c>
      <c r="AC2" s="94"/>
      <c r="AD2" s="78"/>
      <c r="AE2" s="95">
        <f t="shared" ref="AE2:AE40" si="1">SUMIF($BC$1:$CI$1,AE$1,$BC2:$CI2)+AD2</f>
        <v>6.5</v>
      </c>
      <c r="AF2" s="77"/>
      <c r="AG2" s="95">
        <f t="shared" ref="AG2:AG40" si="2">SUMIF($BC$1:$CI$1,AG$1,$BC2:$CI2)+AF2</f>
        <v>0</v>
      </c>
      <c r="AH2" s="78"/>
      <c r="AI2" s="95">
        <f t="shared" ref="AI2:AI40" si="3">SUMIF($BC$1:$CI$1,AI$1,$BC2:$CI2)+AH2</f>
        <v>0</v>
      </c>
      <c r="AJ2" s="77"/>
      <c r="AK2" s="95">
        <f t="shared" ref="AK2:AK40" si="4">SUMIF($BC$1:$CI$1,AK$1,$BC2:$CI2)+AJ2</f>
        <v>0</v>
      </c>
      <c r="AL2" s="77"/>
      <c r="AM2" s="95">
        <f t="shared" ref="AM2:AM40" si="5">SUMIF($BC$1:$CI$1,AM$1,$BC2:$CI2)+AL2</f>
        <v>1.5</v>
      </c>
      <c r="AN2" s="77"/>
      <c r="AO2" s="95">
        <f t="shared" ref="AO2:AO40" si="6">SUMIF($BC$1:$CI$1,AO$1,$BC2:$CI2)+AN2</f>
        <v>0</v>
      </c>
      <c r="AP2" s="96">
        <f>CK2</f>
        <v>1</v>
      </c>
      <c r="AQ2" s="77"/>
      <c r="AR2" s="77"/>
      <c r="AS2" s="77"/>
      <c r="AT2" s="44">
        <f>AE2+AG2+AI2+AK2+AM2+AO2+SUM(AQ2:AS2)</f>
        <v>8</v>
      </c>
      <c r="AU2" s="78"/>
      <c r="AV2" s="5"/>
      <c r="AW2" s="5"/>
      <c r="AX2" s="5"/>
      <c r="AY2" s="5"/>
      <c r="AZ2" s="24">
        <f>VLOOKUP(C2,Employees!D:I,6,FALSE)</f>
        <v>10330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8.5</v>
      </c>
      <c r="BQ2" s="5">
        <f>IF(BP2&gt;$AY$1,1,IF(BP2&gt;=$AX$1,0.5,0))</f>
        <v>0.5</v>
      </c>
      <c r="BR2" s="5">
        <f>BP2-BQ2-BS2-BT2</f>
        <v>6.5</v>
      </c>
      <c r="BS2" s="5">
        <f>IF(AND(N2&gt;$AV$1, M2&lt;$AW$1),(MIN(N2,$AW$1)-MAX(M2,$AV$1))*24,0)</f>
        <v>1.5</v>
      </c>
      <c r="BT2" s="5">
        <f>IF(N2&gt;$AW$1,(N2-MAX(M2,$AW$1))*24,0)</f>
        <v>0</v>
      </c>
      <c r="BU2" s="5">
        <f t="shared" ref="BU2" si="10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1</v>
      </c>
    </row>
    <row r="3" spans="1:89" ht="38" customHeight="1">
      <c r="A3" s="74">
        <f t="shared" si="0"/>
        <v>10015</v>
      </c>
      <c r="B3" s="81" t="s">
        <v>1410</v>
      </c>
      <c r="C3" s="92" t="s">
        <v>353</v>
      </c>
      <c r="D3" s="84"/>
      <c r="E3" s="85"/>
      <c r="F3" s="93">
        <f t="shared" ref="F3:F69" si="15">BA3-BB3</f>
        <v>0</v>
      </c>
      <c r="G3" s="85"/>
      <c r="H3" s="85"/>
      <c r="I3" s="93">
        <f t="shared" ref="I3:I69" si="16">BF3-BG3</f>
        <v>0</v>
      </c>
      <c r="J3" s="85"/>
      <c r="K3" s="85"/>
      <c r="L3" s="93">
        <f t="shared" ref="L3:L69" si="17">BK3-BL3</f>
        <v>0</v>
      </c>
      <c r="M3" s="85"/>
      <c r="N3" s="84"/>
      <c r="O3" s="93">
        <f t="shared" ref="O3:O69" si="18">BP3-BQ3</f>
        <v>0</v>
      </c>
      <c r="P3" s="84"/>
      <c r="Q3" s="85"/>
      <c r="R3" s="93">
        <f t="shared" ref="R3:R69" si="19">BU3-BV3</f>
        <v>0</v>
      </c>
      <c r="S3" s="85">
        <v>0.45833333333333331</v>
      </c>
      <c r="T3" s="85">
        <v>0.8125</v>
      </c>
      <c r="U3" s="93">
        <f t="shared" ref="U3:U69" si="20">BZ3-CA3</f>
        <v>8</v>
      </c>
      <c r="V3" s="85"/>
      <c r="W3" s="85"/>
      <c r="X3" s="93">
        <f t="shared" ref="X3:X69" si="21">CE3-CF3</f>
        <v>0</v>
      </c>
      <c r="Y3" s="93"/>
      <c r="Z3" s="93"/>
      <c r="AA3" s="93"/>
      <c r="AB3" s="93">
        <f t="shared" ref="AB3:AB69" si="22">SUM(F3,I3,L3,O3,R3,U3,X3)</f>
        <v>8</v>
      </c>
      <c r="AC3" s="94"/>
      <c r="AD3" s="78"/>
      <c r="AE3" s="95">
        <f t="shared" si="1"/>
        <v>0</v>
      </c>
      <c r="AF3" s="77">
        <v>2</v>
      </c>
      <c r="AG3" s="95">
        <f t="shared" si="2"/>
        <v>10</v>
      </c>
      <c r="AH3" s="78"/>
      <c r="AI3" s="95">
        <f t="shared" si="3"/>
        <v>0</v>
      </c>
      <c r="AJ3" s="77"/>
      <c r="AK3" s="95">
        <f t="shared" si="4"/>
        <v>0</v>
      </c>
      <c r="AL3" s="77"/>
      <c r="AM3" s="95">
        <f t="shared" si="5"/>
        <v>0</v>
      </c>
      <c r="AN3" s="77"/>
      <c r="AO3" s="95">
        <f t="shared" si="6"/>
        <v>0</v>
      </c>
      <c r="AP3" s="96">
        <f t="shared" ref="AP3:AP69" si="23">CK3</f>
        <v>1</v>
      </c>
      <c r="AQ3" s="77"/>
      <c r="AR3" s="77"/>
      <c r="AS3" s="77"/>
      <c r="AT3" s="44">
        <f t="shared" ref="AT3:AT69" si="24">AE3+AG3+AI3+AK3+AM3+AO3+SUM(AQ3:AS3)</f>
        <v>10</v>
      </c>
      <c r="AU3" s="78" t="s">
        <v>1412</v>
      </c>
      <c r="AV3" s="5"/>
      <c r="AW3" s="5"/>
      <c r="AX3" s="5"/>
      <c r="AY3" s="5"/>
      <c r="AZ3" s="24">
        <f>VLOOKUP(C3,Employees!D:I,6,FALSE)</f>
        <v>10015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0</v>
      </c>
      <c r="BG3" s="5">
        <f t="shared" ref="BG3:BG66" si="30">IF(BF3&gt;$AY$1,1,IF(BF3&gt;=$AX$1,0.5,0))</f>
        <v>0</v>
      </c>
      <c r="BH3" s="5">
        <f t="shared" ref="BH3:BH66" si="31">BF3-BG3-BI3-BJ3</f>
        <v>0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0</v>
      </c>
      <c r="BL3" s="5">
        <f t="shared" ref="BL3:BL66" si="35">IF(BK3&gt;$AY$1,1,IF(BK3&gt;=$AX$1,0.5,0))</f>
        <v>0</v>
      </c>
      <c r="BM3" s="5">
        <f t="shared" ref="BM3:BM66" si="36">BK3-BL3-BN3-BO3</f>
        <v>0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0</v>
      </c>
      <c r="BQ3" s="5">
        <f t="shared" ref="BQ3:BQ66" si="40">IF(BP3&gt;$AY$1,1,IF(BP3&gt;=$AX$1,0.5,0))</f>
        <v>0</v>
      </c>
      <c r="BR3" s="5">
        <f t="shared" ref="BR3:BR66" si="41">BP3-BQ3-BS3-BT3</f>
        <v>0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0</v>
      </c>
      <c r="BV3" s="5">
        <f t="shared" ref="BV3:BV66" si="45">IF(BU3&gt;$AY$1,1,IF(BU3&gt;=$AX$1,0.5,0))</f>
        <v>0</v>
      </c>
      <c r="BW3" s="5">
        <f t="shared" ref="BW3:BW66" si="46">BU3-BV3-BX3-BY3</f>
        <v>0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8.5</v>
      </c>
      <c r="CA3" s="5">
        <f t="shared" ref="CA3:CA66" si="49">IF(BZ3&gt;$AY$1,1,IF(BZ3&gt;=$AX$1,0.5,0))</f>
        <v>0.5</v>
      </c>
      <c r="CB3" s="5">
        <f t="shared" ref="CB3:CB66" si="50">BZ3-CA3-CC3-CD3</f>
        <v>8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0</v>
      </c>
      <c r="CF3" s="5">
        <f t="shared" ref="CF3:CF66" si="54">IF(CE3&gt;$AY$1,1,IF(CE3&gt;=$AX$1,0.5,0))</f>
        <v>0</v>
      </c>
      <c r="CG3" s="5">
        <f t="shared" ref="CG3:CG66" si="55">CE3-CF3-CH3-CI3</f>
        <v>0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1</v>
      </c>
    </row>
    <row r="4" spans="1:89" ht="38" customHeight="1">
      <c r="A4" s="74" t="str">
        <f t="shared" si="0"/>
        <v/>
      </c>
      <c r="B4" s="81"/>
      <c r="C4" s="92"/>
      <c r="D4" s="85"/>
      <c r="E4" s="85"/>
      <c r="F4" s="93">
        <f t="shared" si="15"/>
        <v>0</v>
      </c>
      <c r="G4" s="85"/>
      <c r="H4" s="85"/>
      <c r="I4" s="93">
        <f t="shared" si="16"/>
        <v>0</v>
      </c>
      <c r="J4" s="85"/>
      <c r="K4" s="85"/>
      <c r="L4" s="93">
        <f t="shared" si="17"/>
        <v>0</v>
      </c>
      <c r="M4" s="85"/>
      <c r="N4" s="85"/>
      <c r="O4" s="93">
        <f t="shared" si="18"/>
        <v>0</v>
      </c>
      <c r="P4" s="85"/>
      <c r="Q4" s="85"/>
      <c r="R4" s="93">
        <f t="shared" si="19"/>
        <v>0</v>
      </c>
      <c r="S4" s="85"/>
      <c r="T4" s="85"/>
      <c r="U4" s="93">
        <f t="shared" si="20"/>
        <v>0</v>
      </c>
      <c r="V4" s="85"/>
      <c r="W4" s="85"/>
      <c r="X4" s="93">
        <f t="shared" si="21"/>
        <v>0</v>
      </c>
      <c r="Y4" s="93"/>
      <c r="Z4" s="93"/>
      <c r="AA4" s="93"/>
      <c r="AB4" s="93">
        <f t="shared" si="22"/>
        <v>0</v>
      </c>
      <c r="AC4" s="94"/>
      <c r="AD4" s="78"/>
      <c r="AE4" s="95">
        <f t="shared" si="1"/>
        <v>0</v>
      </c>
      <c r="AF4" s="77"/>
      <c r="AG4" s="95">
        <f t="shared" si="2"/>
        <v>0</v>
      </c>
      <c r="AH4" s="78"/>
      <c r="AI4" s="95">
        <f t="shared" si="3"/>
        <v>0</v>
      </c>
      <c r="AJ4" s="77"/>
      <c r="AK4" s="95">
        <f t="shared" si="4"/>
        <v>0</v>
      </c>
      <c r="AL4" s="77"/>
      <c r="AM4" s="95">
        <f t="shared" si="5"/>
        <v>0</v>
      </c>
      <c r="AN4" s="77"/>
      <c r="AO4" s="95">
        <f t="shared" si="6"/>
        <v>0</v>
      </c>
      <c r="AP4" s="96">
        <f t="shared" si="23"/>
        <v>0</v>
      </c>
      <c r="AQ4" s="77"/>
      <c r="AR4" s="77"/>
      <c r="AS4" s="77"/>
      <c r="AT4" s="44">
        <f t="shared" si="24"/>
        <v>0</v>
      </c>
      <c r="AU4" s="78"/>
      <c r="AV4" s="5"/>
      <c r="AW4" s="5"/>
      <c r="AX4" s="5"/>
      <c r="AY4" s="5"/>
      <c r="AZ4" s="24" t="e">
        <f>VLOOKUP(C4,Employees!D:I,6,FALSE)</f>
        <v>#N/A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0</v>
      </c>
      <c r="BL4" s="5">
        <f t="shared" si="35"/>
        <v>0</v>
      </c>
      <c r="BM4" s="5">
        <f t="shared" si="36"/>
        <v>0</v>
      </c>
      <c r="BN4" s="5">
        <f t="shared" si="37"/>
        <v>0</v>
      </c>
      <c r="BO4" s="5">
        <f t="shared" si="38"/>
        <v>0</v>
      </c>
      <c r="BP4" s="5">
        <f t="shared" si="39"/>
        <v>0</v>
      </c>
      <c r="BQ4" s="5">
        <f t="shared" si="40"/>
        <v>0</v>
      </c>
      <c r="BR4" s="5">
        <f t="shared" si="41"/>
        <v>0</v>
      </c>
      <c r="BS4" s="5">
        <f t="shared" si="42"/>
        <v>0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0</v>
      </c>
      <c r="CA4" s="5">
        <f t="shared" si="49"/>
        <v>0</v>
      </c>
      <c r="CB4" s="5">
        <f t="shared" si="50"/>
        <v>0</v>
      </c>
      <c r="CC4" s="5">
        <f t="shared" si="51"/>
        <v>0</v>
      </c>
      <c r="CD4" s="5">
        <f t="shared" si="52"/>
        <v>0</v>
      </c>
      <c r="CE4" s="5">
        <f t="shared" si="53"/>
        <v>0</v>
      </c>
      <c r="CF4" s="5">
        <f t="shared" si="54"/>
        <v>0</v>
      </c>
      <c r="CG4" s="5">
        <f t="shared" si="55"/>
        <v>0</v>
      </c>
      <c r="CH4" s="5">
        <f t="shared" si="56"/>
        <v>0</v>
      </c>
      <c r="CI4" s="5">
        <f t="shared" si="57"/>
        <v>0</v>
      </c>
      <c r="CJ4" s="5"/>
      <c r="CK4" s="4">
        <f t="shared" si="14"/>
        <v>0</v>
      </c>
    </row>
    <row r="5" spans="1:89" ht="38" customHeight="1">
      <c r="A5" s="74">
        <f t="shared" si="0"/>
        <v>10148</v>
      </c>
      <c r="B5" s="81" t="s">
        <v>1410</v>
      </c>
      <c r="C5" s="98" t="s">
        <v>309</v>
      </c>
      <c r="D5" s="85"/>
      <c r="E5" s="85"/>
      <c r="F5" s="93">
        <f t="shared" si="15"/>
        <v>0</v>
      </c>
      <c r="G5" s="85"/>
      <c r="H5" s="85"/>
      <c r="I5" s="93">
        <f t="shared" si="16"/>
        <v>0</v>
      </c>
      <c r="J5" s="85"/>
      <c r="K5" s="85"/>
      <c r="L5" s="93">
        <f t="shared" si="17"/>
        <v>0</v>
      </c>
      <c r="M5" s="85">
        <v>0.625</v>
      </c>
      <c r="N5" s="85">
        <v>0.91666666666666663</v>
      </c>
      <c r="O5" s="93">
        <f t="shared" si="18"/>
        <v>6.4999999999999991</v>
      </c>
      <c r="P5" s="85"/>
      <c r="Q5" s="84"/>
      <c r="R5" s="93">
        <f t="shared" si="19"/>
        <v>0</v>
      </c>
      <c r="S5" s="85"/>
      <c r="T5" s="85"/>
      <c r="U5" s="93">
        <f t="shared" si="20"/>
        <v>0</v>
      </c>
      <c r="V5" s="85"/>
      <c r="W5" s="85"/>
      <c r="X5" s="93">
        <f t="shared" si="21"/>
        <v>0</v>
      </c>
      <c r="Y5" s="93"/>
      <c r="Z5" s="93"/>
      <c r="AA5" s="93"/>
      <c r="AB5" s="93">
        <f t="shared" si="22"/>
        <v>6.4999999999999991</v>
      </c>
      <c r="AC5" s="94"/>
      <c r="AD5" s="78"/>
      <c r="AE5" s="95">
        <f t="shared" si="1"/>
        <v>6.4999999999999991</v>
      </c>
      <c r="AF5" s="77"/>
      <c r="AG5" s="95">
        <f t="shared" si="2"/>
        <v>0</v>
      </c>
      <c r="AH5" s="78"/>
      <c r="AI5" s="95">
        <f t="shared" si="3"/>
        <v>0</v>
      </c>
      <c r="AJ5" s="77"/>
      <c r="AK5" s="95">
        <f t="shared" si="4"/>
        <v>0</v>
      </c>
      <c r="AL5" s="77"/>
      <c r="AM5" s="95">
        <f t="shared" si="5"/>
        <v>0</v>
      </c>
      <c r="AN5" s="77"/>
      <c r="AO5" s="95">
        <f t="shared" si="6"/>
        <v>0</v>
      </c>
      <c r="AP5" s="96">
        <f t="shared" si="23"/>
        <v>1</v>
      </c>
      <c r="AQ5" s="77"/>
      <c r="AR5" s="77"/>
      <c r="AS5" s="77"/>
      <c r="AT5" s="44">
        <f t="shared" si="24"/>
        <v>6.4999999999999991</v>
      </c>
      <c r="AU5" s="78"/>
      <c r="AV5" s="5"/>
      <c r="AW5" s="5"/>
      <c r="AX5" s="5"/>
      <c r="AY5" s="5"/>
      <c r="AZ5" s="24">
        <f>VLOOKUP(C5,Employees!D:I,6,FALSE)</f>
        <v>10148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6.9999999999999991</v>
      </c>
      <c r="BQ5" s="5">
        <f t="shared" si="40"/>
        <v>0.5</v>
      </c>
      <c r="BR5" s="5">
        <f t="shared" si="41"/>
        <v>6.4999999999999991</v>
      </c>
      <c r="BS5" s="5">
        <f t="shared" si="42"/>
        <v>0</v>
      </c>
      <c r="BT5" s="5">
        <f t="shared" si="43"/>
        <v>0</v>
      </c>
      <c r="BU5" s="5">
        <f t="shared" si="44"/>
        <v>0</v>
      </c>
      <c r="BV5" s="5">
        <f t="shared" si="45"/>
        <v>0</v>
      </c>
      <c r="BW5" s="5">
        <f t="shared" si="46"/>
        <v>0</v>
      </c>
      <c r="BX5" s="5">
        <f t="shared" si="47"/>
        <v>0</v>
      </c>
      <c r="BY5" s="5">
        <f t="shared" si="11"/>
        <v>0</v>
      </c>
      <c r="BZ5" s="5">
        <f t="shared" si="48"/>
        <v>0</v>
      </c>
      <c r="CA5" s="5">
        <f t="shared" si="49"/>
        <v>0</v>
      </c>
      <c r="CB5" s="5">
        <f t="shared" si="50"/>
        <v>0</v>
      </c>
      <c r="CC5" s="5">
        <f t="shared" si="51"/>
        <v>0</v>
      </c>
      <c r="CD5" s="5">
        <f t="shared" si="52"/>
        <v>0</v>
      </c>
      <c r="CE5" s="5">
        <f t="shared" si="53"/>
        <v>0</v>
      </c>
      <c r="CF5" s="5">
        <f t="shared" si="54"/>
        <v>0</v>
      </c>
      <c r="CG5" s="5">
        <f t="shared" si="55"/>
        <v>0</v>
      </c>
      <c r="CH5" s="5">
        <f t="shared" si="56"/>
        <v>0</v>
      </c>
      <c r="CI5" s="5">
        <f t="shared" si="57"/>
        <v>0</v>
      </c>
      <c r="CJ5" s="5"/>
      <c r="CK5" s="4">
        <f t="shared" si="14"/>
        <v>1</v>
      </c>
    </row>
    <row r="6" spans="1:89" ht="38" customHeight="1">
      <c r="A6" s="74">
        <f t="shared" si="0"/>
        <v>10337</v>
      </c>
      <c r="B6" s="81" t="s">
        <v>1410</v>
      </c>
      <c r="C6" s="98" t="s">
        <v>933</v>
      </c>
      <c r="D6" s="85"/>
      <c r="E6" s="85"/>
      <c r="F6" s="93">
        <f t="shared" si="15"/>
        <v>0</v>
      </c>
      <c r="G6" s="85"/>
      <c r="H6" s="85"/>
      <c r="I6" s="93">
        <f t="shared" si="16"/>
        <v>0</v>
      </c>
      <c r="J6" s="85"/>
      <c r="K6" s="85"/>
      <c r="L6" s="93">
        <f t="shared" si="17"/>
        <v>0</v>
      </c>
      <c r="M6" s="85"/>
      <c r="N6" s="85"/>
      <c r="O6" s="93">
        <f t="shared" si="18"/>
        <v>0</v>
      </c>
      <c r="P6" s="85"/>
      <c r="Q6" s="85"/>
      <c r="R6" s="93">
        <f t="shared" si="19"/>
        <v>0</v>
      </c>
      <c r="S6" s="85">
        <v>0.5</v>
      </c>
      <c r="T6" s="85">
        <v>0.89583333333333337</v>
      </c>
      <c r="U6" s="93">
        <f t="shared" si="20"/>
        <v>8.5</v>
      </c>
      <c r="V6" s="85">
        <v>0.5</v>
      </c>
      <c r="W6" s="85">
        <v>0.83333333333333337</v>
      </c>
      <c r="X6" s="93">
        <f t="shared" si="21"/>
        <v>7.5</v>
      </c>
      <c r="Y6" s="93"/>
      <c r="Z6" s="93"/>
      <c r="AA6" s="93"/>
      <c r="AB6" s="93">
        <f t="shared" si="22"/>
        <v>16</v>
      </c>
      <c r="AC6" s="94"/>
      <c r="AD6" s="78"/>
      <c r="AE6" s="95">
        <f t="shared" si="1"/>
        <v>0</v>
      </c>
      <c r="AF6" s="77"/>
      <c r="AG6" s="95">
        <f t="shared" si="2"/>
        <v>8.5</v>
      </c>
      <c r="AH6" s="78"/>
      <c r="AI6" s="95">
        <f t="shared" si="3"/>
        <v>7.5</v>
      </c>
      <c r="AJ6" s="77"/>
      <c r="AK6" s="95">
        <f t="shared" si="4"/>
        <v>0</v>
      </c>
      <c r="AL6" s="77"/>
      <c r="AM6" s="95">
        <f t="shared" si="5"/>
        <v>0</v>
      </c>
      <c r="AN6" s="77"/>
      <c r="AO6" s="95">
        <f t="shared" si="6"/>
        <v>0</v>
      </c>
      <c r="AP6" s="96">
        <f t="shared" si="23"/>
        <v>2</v>
      </c>
      <c r="AQ6" s="77"/>
      <c r="AR6" s="77"/>
      <c r="AS6" s="77"/>
      <c r="AT6" s="44">
        <f t="shared" si="24"/>
        <v>16</v>
      </c>
      <c r="AU6" s="78"/>
      <c r="AV6" s="5"/>
      <c r="AW6" s="5"/>
      <c r="AX6" s="5"/>
      <c r="AY6" s="5"/>
      <c r="AZ6" s="24">
        <f>VLOOKUP(C6,Employees!D:I,6,FALSE)</f>
        <v>10337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0</v>
      </c>
      <c r="BL6" s="5">
        <f t="shared" si="35"/>
        <v>0</v>
      </c>
      <c r="BM6" s="5">
        <f t="shared" si="36"/>
        <v>0</v>
      </c>
      <c r="BN6" s="5">
        <f t="shared" si="37"/>
        <v>0</v>
      </c>
      <c r="BO6" s="5">
        <f t="shared" si="38"/>
        <v>0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0</v>
      </c>
      <c r="BV6" s="5">
        <f t="shared" si="45"/>
        <v>0</v>
      </c>
      <c r="BW6" s="5">
        <f t="shared" si="46"/>
        <v>0</v>
      </c>
      <c r="BX6" s="5">
        <f t="shared" si="47"/>
        <v>0</v>
      </c>
      <c r="BY6" s="5">
        <f t="shared" si="11"/>
        <v>0</v>
      </c>
      <c r="BZ6" s="5">
        <f t="shared" si="48"/>
        <v>9.5</v>
      </c>
      <c r="CA6" s="5">
        <f t="shared" si="49"/>
        <v>1</v>
      </c>
      <c r="CB6" s="5">
        <f t="shared" si="50"/>
        <v>8.5</v>
      </c>
      <c r="CC6" s="5">
        <f t="shared" si="51"/>
        <v>0</v>
      </c>
      <c r="CD6" s="5">
        <f t="shared" si="52"/>
        <v>0</v>
      </c>
      <c r="CE6" s="5">
        <f t="shared" si="53"/>
        <v>8</v>
      </c>
      <c r="CF6" s="5">
        <f t="shared" si="54"/>
        <v>0.5</v>
      </c>
      <c r="CG6" s="5">
        <f t="shared" si="55"/>
        <v>7.5</v>
      </c>
      <c r="CH6" s="5">
        <f t="shared" si="56"/>
        <v>0</v>
      </c>
      <c r="CI6" s="5">
        <f t="shared" si="57"/>
        <v>0</v>
      </c>
      <c r="CJ6" s="5"/>
      <c r="CK6" s="4">
        <f t="shared" si="14"/>
        <v>2</v>
      </c>
    </row>
    <row r="7" spans="1:89" ht="38" customHeight="1">
      <c r="A7" s="74">
        <f t="shared" si="0"/>
        <v>210396</v>
      </c>
      <c r="B7" s="81" t="s">
        <v>1410</v>
      </c>
      <c r="C7" s="86" t="s">
        <v>1086</v>
      </c>
      <c r="D7" s="84"/>
      <c r="E7" s="85"/>
      <c r="F7" s="93">
        <f t="shared" si="15"/>
        <v>0</v>
      </c>
      <c r="G7" s="85"/>
      <c r="H7" s="85"/>
      <c r="I7" s="93">
        <f t="shared" si="16"/>
        <v>0</v>
      </c>
      <c r="J7" s="85"/>
      <c r="K7" s="85"/>
      <c r="L7" s="93">
        <f t="shared" si="17"/>
        <v>0</v>
      </c>
      <c r="M7" s="84">
        <v>0.66666666666666663</v>
      </c>
      <c r="N7" s="85">
        <v>0.83333333333333337</v>
      </c>
      <c r="O7" s="93">
        <f t="shared" si="18"/>
        <v>4.0000000000000018</v>
      </c>
      <c r="P7" s="84"/>
      <c r="Q7" s="85"/>
      <c r="R7" s="93">
        <f t="shared" si="19"/>
        <v>0</v>
      </c>
      <c r="S7" s="84">
        <v>0.5</v>
      </c>
      <c r="T7" s="85">
        <v>0.66666666666666663</v>
      </c>
      <c r="U7" s="93">
        <f t="shared" si="20"/>
        <v>3.9999999999999991</v>
      </c>
      <c r="V7" s="85">
        <v>0.66666666666666663</v>
      </c>
      <c r="W7" s="85">
        <v>0.83333333333333337</v>
      </c>
      <c r="X7" s="93">
        <f t="shared" si="21"/>
        <v>4.0000000000000018</v>
      </c>
      <c r="Y7" s="93"/>
      <c r="Z7" s="93"/>
      <c r="AA7" s="93"/>
      <c r="AB7" s="93">
        <f t="shared" si="22"/>
        <v>12.000000000000002</v>
      </c>
      <c r="AC7" s="94"/>
      <c r="AD7" s="78"/>
      <c r="AE7" s="95">
        <f t="shared" si="1"/>
        <v>4.0000000000000018</v>
      </c>
      <c r="AF7" s="77"/>
      <c r="AG7" s="95">
        <f t="shared" si="2"/>
        <v>3.9999999999999991</v>
      </c>
      <c r="AH7" s="77"/>
      <c r="AI7" s="95">
        <f t="shared" si="3"/>
        <v>4.0000000000000018</v>
      </c>
      <c r="AJ7" s="77"/>
      <c r="AK7" s="95">
        <f t="shared" si="4"/>
        <v>0</v>
      </c>
      <c r="AL7" s="77"/>
      <c r="AM7" s="95">
        <f t="shared" si="5"/>
        <v>0</v>
      </c>
      <c r="AN7" s="77"/>
      <c r="AO7" s="95">
        <f t="shared" si="6"/>
        <v>0</v>
      </c>
      <c r="AP7" s="96">
        <f t="shared" si="23"/>
        <v>3</v>
      </c>
      <c r="AQ7" s="77"/>
      <c r="AR7" s="77"/>
      <c r="AS7" s="77"/>
      <c r="AT7" s="44">
        <f t="shared" si="24"/>
        <v>12.000000000000002</v>
      </c>
      <c r="AU7" s="78"/>
      <c r="AV7" s="5"/>
      <c r="AW7" s="5"/>
      <c r="AX7" s="5"/>
      <c r="AY7" s="5"/>
      <c r="AZ7" s="24">
        <f>VLOOKUP(C7,Employees!D:I,6,FALSE)</f>
        <v>210396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58"/>
        <v>0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0</v>
      </c>
      <c r="BL7" s="5">
        <f t="shared" si="35"/>
        <v>0</v>
      </c>
      <c r="BM7" s="5">
        <f t="shared" si="36"/>
        <v>0</v>
      </c>
      <c r="BN7" s="5">
        <f t="shared" si="37"/>
        <v>0</v>
      </c>
      <c r="BO7" s="5">
        <f t="shared" si="38"/>
        <v>0</v>
      </c>
      <c r="BP7" s="5">
        <f t="shared" si="39"/>
        <v>4.0000000000000018</v>
      </c>
      <c r="BQ7" s="5">
        <f t="shared" si="40"/>
        <v>0</v>
      </c>
      <c r="BR7" s="5">
        <f t="shared" si="41"/>
        <v>4.0000000000000018</v>
      </c>
      <c r="BS7" s="5">
        <f t="shared" si="42"/>
        <v>0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3.9999999999999991</v>
      </c>
      <c r="CA7" s="5">
        <f t="shared" si="49"/>
        <v>0</v>
      </c>
      <c r="CB7" s="5">
        <f t="shared" si="50"/>
        <v>3.9999999999999991</v>
      </c>
      <c r="CC7" s="5">
        <f t="shared" si="51"/>
        <v>0</v>
      </c>
      <c r="CD7" s="5">
        <f t="shared" si="52"/>
        <v>0</v>
      </c>
      <c r="CE7" s="5">
        <f t="shared" si="53"/>
        <v>4.0000000000000018</v>
      </c>
      <c r="CF7" s="5">
        <f t="shared" si="54"/>
        <v>0</v>
      </c>
      <c r="CG7" s="5">
        <f t="shared" si="55"/>
        <v>4.0000000000000018</v>
      </c>
      <c r="CH7" s="5">
        <f t="shared" si="56"/>
        <v>0</v>
      </c>
      <c r="CI7" s="5">
        <f t="shared" si="57"/>
        <v>0</v>
      </c>
      <c r="CJ7" s="5"/>
      <c r="CK7" s="4">
        <f t="shared" si="14"/>
        <v>3</v>
      </c>
    </row>
    <row r="8" spans="1:89" ht="38" customHeight="1">
      <c r="A8" s="74">
        <f t="shared" si="0"/>
        <v>210466</v>
      </c>
      <c r="B8" s="81" t="s">
        <v>1410</v>
      </c>
      <c r="C8" s="86" t="s">
        <v>1270</v>
      </c>
      <c r="D8" s="84"/>
      <c r="E8" s="85"/>
      <c r="F8" s="93">
        <f t="shared" si="15"/>
        <v>0</v>
      </c>
      <c r="G8" s="85"/>
      <c r="H8" s="85"/>
      <c r="I8" s="93">
        <f t="shared" si="16"/>
        <v>0</v>
      </c>
      <c r="J8" s="84"/>
      <c r="K8" s="85"/>
      <c r="L8" s="93">
        <f t="shared" si="17"/>
        <v>0</v>
      </c>
      <c r="M8" s="85"/>
      <c r="N8" s="85"/>
      <c r="O8" s="93">
        <f t="shared" si="18"/>
        <v>0</v>
      </c>
      <c r="P8" s="84">
        <v>0.70833333333333337</v>
      </c>
      <c r="Q8" s="85">
        <v>0.875</v>
      </c>
      <c r="R8" s="93">
        <f t="shared" si="19"/>
        <v>3.9999999999999991</v>
      </c>
      <c r="S8" s="84"/>
      <c r="T8" s="85"/>
      <c r="U8" s="93">
        <f t="shared" si="20"/>
        <v>0</v>
      </c>
      <c r="V8" s="85"/>
      <c r="W8" s="85"/>
      <c r="X8" s="93">
        <f t="shared" si="21"/>
        <v>0</v>
      </c>
      <c r="Y8" s="93"/>
      <c r="Z8" s="93"/>
      <c r="AA8" s="93"/>
      <c r="AB8" s="93">
        <f t="shared" si="22"/>
        <v>3.9999999999999991</v>
      </c>
      <c r="AC8" s="94"/>
      <c r="AD8" s="78"/>
      <c r="AE8" s="95">
        <f t="shared" si="1"/>
        <v>3.9999999999999991</v>
      </c>
      <c r="AF8" s="77"/>
      <c r="AG8" s="95">
        <f t="shared" si="2"/>
        <v>0</v>
      </c>
      <c r="AH8" s="77"/>
      <c r="AI8" s="95">
        <f t="shared" si="3"/>
        <v>0</v>
      </c>
      <c r="AJ8" s="77"/>
      <c r="AK8" s="95">
        <f t="shared" si="4"/>
        <v>0</v>
      </c>
      <c r="AL8" s="77"/>
      <c r="AM8" s="95">
        <f t="shared" si="5"/>
        <v>0</v>
      </c>
      <c r="AN8" s="77"/>
      <c r="AO8" s="95">
        <f t="shared" si="6"/>
        <v>0</v>
      </c>
      <c r="AP8" s="96">
        <f t="shared" si="23"/>
        <v>1</v>
      </c>
      <c r="AQ8" s="77"/>
      <c r="AR8" s="77"/>
      <c r="AS8" s="77"/>
      <c r="AT8" s="44">
        <f t="shared" si="24"/>
        <v>3.9999999999999991</v>
      </c>
      <c r="AU8" s="78"/>
      <c r="AV8" s="5"/>
      <c r="AW8" s="5"/>
      <c r="AX8" s="5"/>
      <c r="AY8" s="5"/>
      <c r="AZ8" s="24">
        <f>VLOOKUP(C8,Employees!D:I,6,FALSE)</f>
        <v>210466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3.9999999999999991</v>
      </c>
      <c r="BV8" s="5">
        <f t="shared" si="45"/>
        <v>0</v>
      </c>
      <c r="BW8" s="5">
        <f t="shared" si="46"/>
        <v>3.9999999999999991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1</v>
      </c>
    </row>
    <row r="9" spans="1:89" ht="38" customHeight="1">
      <c r="A9" s="74">
        <f t="shared" si="0"/>
        <v>210420</v>
      </c>
      <c r="B9" s="81" t="s">
        <v>1410</v>
      </c>
      <c r="C9" s="86" t="s">
        <v>1154</v>
      </c>
      <c r="D9" s="85"/>
      <c r="E9" s="85"/>
      <c r="F9" s="93">
        <f t="shared" si="15"/>
        <v>0</v>
      </c>
      <c r="G9" s="85"/>
      <c r="H9" s="85"/>
      <c r="I9" s="93">
        <f t="shared" si="16"/>
        <v>0</v>
      </c>
      <c r="J9" s="85"/>
      <c r="K9" s="85"/>
      <c r="L9" s="93">
        <f t="shared" si="17"/>
        <v>0</v>
      </c>
      <c r="M9" s="84"/>
      <c r="N9" s="85"/>
      <c r="O9" s="93">
        <f t="shared" si="18"/>
        <v>0</v>
      </c>
      <c r="P9" s="85">
        <v>0.70833333333333337</v>
      </c>
      <c r="Q9" s="85">
        <v>0.91666666666666663</v>
      </c>
      <c r="R9" s="93">
        <f t="shared" si="19"/>
        <v>4.9999999999999982</v>
      </c>
      <c r="S9" s="84"/>
      <c r="T9" s="85"/>
      <c r="U9" s="93">
        <f t="shared" si="20"/>
        <v>0</v>
      </c>
      <c r="V9" s="85"/>
      <c r="W9" s="85"/>
      <c r="X9" s="93">
        <f t="shared" si="21"/>
        <v>0</v>
      </c>
      <c r="Y9" s="93"/>
      <c r="Z9" s="93"/>
      <c r="AA9" s="93"/>
      <c r="AB9" s="93">
        <f t="shared" si="22"/>
        <v>4.9999999999999982</v>
      </c>
      <c r="AC9" s="94"/>
      <c r="AD9" s="78"/>
      <c r="AE9" s="95">
        <f t="shared" si="1"/>
        <v>4.9999999999999982</v>
      </c>
      <c r="AF9" s="77"/>
      <c r="AG9" s="95">
        <f t="shared" si="2"/>
        <v>0</v>
      </c>
      <c r="AH9" s="77"/>
      <c r="AI9" s="95">
        <f t="shared" si="3"/>
        <v>0</v>
      </c>
      <c r="AJ9" s="77"/>
      <c r="AK9" s="95">
        <f t="shared" si="4"/>
        <v>0</v>
      </c>
      <c r="AL9" s="77"/>
      <c r="AM9" s="95">
        <f t="shared" si="5"/>
        <v>0</v>
      </c>
      <c r="AN9" s="77"/>
      <c r="AO9" s="95">
        <f t="shared" si="6"/>
        <v>0</v>
      </c>
      <c r="AP9" s="96">
        <f t="shared" si="23"/>
        <v>1</v>
      </c>
      <c r="AQ9" s="77"/>
      <c r="AR9" s="77"/>
      <c r="AS9" s="77"/>
      <c r="AT9" s="44">
        <f t="shared" si="24"/>
        <v>4.9999999999999982</v>
      </c>
      <c r="AU9" s="78"/>
      <c r="AV9" s="5"/>
      <c r="AW9" s="5"/>
      <c r="AX9" s="5"/>
      <c r="AY9" s="5"/>
      <c r="AZ9" s="24">
        <f>VLOOKUP(C9,Employees!D:I,6,FALSE)</f>
        <v>210420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4.9999999999999982</v>
      </c>
      <c r="BV9" s="5">
        <f t="shared" si="45"/>
        <v>0</v>
      </c>
      <c r="BW9" s="5">
        <f t="shared" si="46"/>
        <v>4.9999999999999982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1</v>
      </c>
    </row>
    <row r="10" spans="1:89" ht="38" customHeight="1">
      <c r="A10" s="74">
        <f t="shared" si="0"/>
        <v>210513</v>
      </c>
      <c r="B10" s="81" t="s">
        <v>1410</v>
      </c>
      <c r="C10" s="86" t="s">
        <v>1409</v>
      </c>
      <c r="D10" s="84"/>
      <c r="E10" s="84"/>
      <c r="F10" s="93">
        <f t="shared" si="15"/>
        <v>0</v>
      </c>
      <c r="G10" s="85"/>
      <c r="H10" s="85"/>
      <c r="I10" s="93">
        <f t="shared" si="16"/>
        <v>0</v>
      </c>
      <c r="J10" s="84"/>
      <c r="K10" s="85"/>
      <c r="L10" s="93">
        <f t="shared" si="17"/>
        <v>0</v>
      </c>
      <c r="M10" s="85"/>
      <c r="N10" s="85"/>
      <c r="O10" s="93">
        <f t="shared" si="18"/>
        <v>0</v>
      </c>
      <c r="P10" s="85">
        <v>0.625</v>
      </c>
      <c r="Q10" s="85">
        <v>0.97916666666666663</v>
      </c>
      <c r="R10" s="93">
        <f t="shared" si="19"/>
        <v>8</v>
      </c>
      <c r="S10" s="84"/>
      <c r="T10" s="85"/>
      <c r="U10" s="93">
        <f t="shared" si="20"/>
        <v>0</v>
      </c>
      <c r="V10" s="85"/>
      <c r="W10" s="85"/>
      <c r="X10" s="93">
        <f t="shared" si="21"/>
        <v>0</v>
      </c>
      <c r="Y10" s="93"/>
      <c r="Z10" s="93"/>
      <c r="AA10" s="93"/>
      <c r="AB10" s="93">
        <f t="shared" si="22"/>
        <v>8</v>
      </c>
      <c r="AC10" s="94"/>
      <c r="AD10" s="77">
        <v>0.5</v>
      </c>
      <c r="AE10" s="95">
        <f t="shared" si="1"/>
        <v>7</v>
      </c>
      <c r="AF10" s="77"/>
      <c r="AG10" s="95">
        <f t="shared" si="2"/>
        <v>0</v>
      </c>
      <c r="AH10" s="77"/>
      <c r="AI10" s="95">
        <f t="shared" si="3"/>
        <v>0</v>
      </c>
      <c r="AJ10" s="77"/>
      <c r="AK10" s="95">
        <f t="shared" si="4"/>
        <v>0</v>
      </c>
      <c r="AL10" s="77"/>
      <c r="AM10" s="95">
        <f t="shared" si="5"/>
        <v>1.5</v>
      </c>
      <c r="AN10" s="77"/>
      <c r="AO10" s="95">
        <f t="shared" si="6"/>
        <v>0</v>
      </c>
      <c r="AP10" s="96">
        <f t="shared" si="23"/>
        <v>1</v>
      </c>
      <c r="AQ10" s="77"/>
      <c r="AR10" s="77"/>
      <c r="AS10" s="77"/>
      <c r="AT10" s="44">
        <f t="shared" si="24"/>
        <v>8.5</v>
      </c>
      <c r="AU10" s="78"/>
      <c r="AV10" s="5"/>
      <c r="AW10" s="5"/>
      <c r="AX10" s="5"/>
      <c r="AY10" s="5"/>
      <c r="AZ10" s="24">
        <f>VLOOKUP(C10,Employees!D:I,6,FALSE)</f>
        <v>210513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8.5</v>
      </c>
      <c r="BV10" s="5">
        <f t="shared" si="45"/>
        <v>0.5</v>
      </c>
      <c r="BW10" s="5">
        <f t="shared" si="46"/>
        <v>6.5</v>
      </c>
      <c r="BX10" s="5">
        <f t="shared" si="47"/>
        <v>1.5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1</v>
      </c>
    </row>
    <row r="11" spans="1:89" ht="38" customHeight="1">
      <c r="A11" s="74">
        <f t="shared" si="0"/>
        <v>10388</v>
      </c>
      <c r="B11" s="81" t="s">
        <v>1410</v>
      </c>
      <c r="C11" s="86" t="s">
        <v>1068</v>
      </c>
      <c r="D11" s="85"/>
      <c r="E11" s="85"/>
      <c r="F11" s="93">
        <f t="shared" si="15"/>
        <v>0</v>
      </c>
      <c r="G11" s="85"/>
      <c r="H11" s="85"/>
      <c r="I11" s="93">
        <f t="shared" si="16"/>
        <v>0</v>
      </c>
      <c r="J11" s="84"/>
      <c r="K11" s="85"/>
      <c r="L11" s="93">
        <f t="shared" si="17"/>
        <v>0</v>
      </c>
      <c r="M11" s="85"/>
      <c r="N11" s="85"/>
      <c r="O11" s="93">
        <f t="shared" si="18"/>
        <v>0</v>
      </c>
      <c r="P11" s="84"/>
      <c r="Q11" s="85"/>
      <c r="R11" s="93">
        <f t="shared" si="19"/>
        <v>0</v>
      </c>
      <c r="S11" s="75"/>
      <c r="T11" s="75"/>
      <c r="U11" s="93">
        <f t="shared" si="20"/>
        <v>0</v>
      </c>
      <c r="V11" s="84">
        <v>0.45833333333333331</v>
      </c>
      <c r="W11" s="85">
        <v>0.93055555555555558</v>
      </c>
      <c r="X11" s="93">
        <f t="shared" si="21"/>
        <v>10.333333333333334</v>
      </c>
      <c r="Y11" s="93"/>
      <c r="Z11" s="93"/>
      <c r="AA11" s="93"/>
      <c r="AB11" s="93">
        <f t="shared" si="22"/>
        <v>10.333333333333334</v>
      </c>
      <c r="AC11" s="94"/>
      <c r="AD11" s="78"/>
      <c r="AE11" s="95">
        <f t="shared" si="1"/>
        <v>0</v>
      </c>
      <c r="AF11" s="77"/>
      <c r="AG11" s="95">
        <f t="shared" si="2"/>
        <v>0</v>
      </c>
      <c r="AH11" s="77">
        <v>0.5</v>
      </c>
      <c r="AI11" s="95">
        <f t="shared" si="3"/>
        <v>10.833333333333336</v>
      </c>
      <c r="AJ11" s="77"/>
      <c r="AK11" s="95">
        <f t="shared" si="4"/>
        <v>0</v>
      </c>
      <c r="AL11" s="77"/>
      <c r="AM11" s="95">
        <f t="shared" si="5"/>
        <v>0</v>
      </c>
      <c r="AN11" s="77"/>
      <c r="AO11" s="95">
        <f t="shared" si="6"/>
        <v>0</v>
      </c>
      <c r="AP11" s="96">
        <f t="shared" si="23"/>
        <v>1</v>
      </c>
      <c r="AQ11" s="77"/>
      <c r="AR11" s="77"/>
      <c r="AS11" s="77"/>
      <c r="AT11" s="44">
        <f t="shared" si="24"/>
        <v>10.833333333333336</v>
      </c>
      <c r="AU11" s="78"/>
      <c r="AV11" s="5"/>
      <c r="AW11" s="5"/>
      <c r="AX11" s="5"/>
      <c r="AY11" s="5"/>
      <c r="AZ11" s="24">
        <f>VLOOKUP(C11,Employees!D:I,6,FALSE)</f>
        <v>10388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11.333333333333334</v>
      </c>
      <c r="CF11" s="5">
        <f t="shared" si="54"/>
        <v>1</v>
      </c>
      <c r="CG11" s="5">
        <f t="shared" si="55"/>
        <v>10</v>
      </c>
      <c r="CH11" s="5">
        <f t="shared" si="56"/>
        <v>0.33333333333333481</v>
      </c>
      <c r="CI11" s="5">
        <f t="shared" si="57"/>
        <v>0</v>
      </c>
      <c r="CJ11" s="5"/>
      <c r="CK11" s="4">
        <f t="shared" si="14"/>
        <v>1</v>
      </c>
    </row>
    <row r="12" spans="1:89" ht="38" customHeight="1">
      <c r="A12" s="74">
        <f t="shared" si="0"/>
        <v>10048</v>
      </c>
      <c r="B12" s="81" t="s">
        <v>1410</v>
      </c>
      <c r="C12" s="86" t="s">
        <v>1411</v>
      </c>
      <c r="D12" s="85"/>
      <c r="E12" s="85"/>
      <c r="F12" s="93">
        <f t="shared" si="15"/>
        <v>0</v>
      </c>
      <c r="G12" s="85"/>
      <c r="H12" s="85"/>
      <c r="I12" s="93">
        <f t="shared" si="16"/>
        <v>0</v>
      </c>
      <c r="J12" s="76"/>
      <c r="K12" s="75"/>
      <c r="L12" s="93">
        <f t="shared" si="17"/>
        <v>0</v>
      </c>
      <c r="M12" s="85"/>
      <c r="N12" s="85"/>
      <c r="O12" s="93">
        <f t="shared" si="18"/>
        <v>0</v>
      </c>
      <c r="P12" s="75"/>
      <c r="Q12" s="75"/>
      <c r="R12" s="93">
        <f t="shared" si="19"/>
        <v>0</v>
      </c>
      <c r="S12" s="75">
        <v>0.47916666666666669</v>
      </c>
      <c r="T12" s="75">
        <v>0.97916666666666663</v>
      </c>
      <c r="U12" s="93">
        <f t="shared" si="20"/>
        <v>10.999999999999998</v>
      </c>
      <c r="V12" s="75"/>
      <c r="W12" s="75"/>
      <c r="X12" s="93">
        <f t="shared" si="21"/>
        <v>0</v>
      </c>
      <c r="Y12" s="93"/>
      <c r="Z12" s="93"/>
      <c r="AA12" s="93"/>
      <c r="AB12" s="93">
        <f t="shared" si="22"/>
        <v>10.999999999999998</v>
      </c>
      <c r="AC12" s="94"/>
      <c r="AD12" s="78"/>
      <c r="AE12" s="95">
        <f t="shared" si="1"/>
        <v>0</v>
      </c>
      <c r="AF12" s="77">
        <v>1</v>
      </c>
      <c r="AG12" s="95">
        <f t="shared" si="2"/>
        <v>11.999999999999998</v>
      </c>
      <c r="AH12" s="77"/>
      <c r="AI12" s="95">
        <f t="shared" si="3"/>
        <v>0</v>
      </c>
      <c r="AJ12" s="77"/>
      <c r="AK12" s="95">
        <f t="shared" si="4"/>
        <v>0</v>
      </c>
      <c r="AL12" s="77"/>
      <c r="AM12" s="95">
        <f t="shared" si="5"/>
        <v>0</v>
      </c>
      <c r="AN12" s="77"/>
      <c r="AO12" s="95">
        <f t="shared" si="6"/>
        <v>0</v>
      </c>
      <c r="AP12" s="96">
        <f t="shared" si="23"/>
        <v>1</v>
      </c>
      <c r="AQ12" s="77"/>
      <c r="AR12" s="77"/>
      <c r="AS12" s="77"/>
      <c r="AT12" s="44">
        <f t="shared" si="24"/>
        <v>11.999999999999998</v>
      </c>
      <c r="AU12" s="78"/>
      <c r="AV12" s="5"/>
      <c r="AW12" s="5"/>
      <c r="AX12" s="5"/>
      <c r="AY12" s="5"/>
      <c r="AZ12" s="24">
        <f>VLOOKUP(C12,Employees!D:I,6,FALSE)</f>
        <v>10048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11.999999999999998</v>
      </c>
      <c r="CA12" s="5">
        <f t="shared" si="49"/>
        <v>1</v>
      </c>
      <c r="CB12" s="5">
        <f t="shared" si="50"/>
        <v>9.4999999999999982</v>
      </c>
      <c r="CC12" s="5">
        <f t="shared" si="51"/>
        <v>1.5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1</v>
      </c>
    </row>
    <row r="13" spans="1:89" ht="38" customHeight="1">
      <c r="A13" s="74">
        <f t="shared" si="0"/>
        <v>10061</v>
      </c>
      <c r="B13" s="81" t="s">
        <v>1410</v>
      </c>
      <c r="C13" s="86" t="s">
        <v>73</v>
      </c>
      <c r="D13" s="84"/>
      <c r="E13" s="85"/>
      <c r="F13" s="93">
        <f t="shared" si="15"/>
        <v>0</v>
      </c>
      <c r="G13" s="85"/>
      <c r="H13" s="84"/>
      <c r="I13" s="93">
        <f t="shared" si="16"/>
        <v>0</v>
      </c>
      <c r="J13" s="76"/>
      <c r="K13" s="75"/>
      <c r="L13" s="93">
        <f t="shared" si="17"/>
        <v>0</v>
      </c>
      <c r="M13" s="85">
        <v>0.625</v>
      </c>
      <c r="N13" s="84">
        <v>0.91666666666666663</v>
      </c>
      <c r="O13" s="93">
        <f t="shared" si="18"/>
        <v>6.4999999999999991</v>
      </c>
      <c r="P13" s="85"/>
      <c r="Q13" s="84"/>
      <c r="R13" s="93">
        <f t="shared" si="19"/>
        <v>0</v>
      </c>
      <c r="S13" s="75"/>
      <c r="T13" s="75"/>
      <c r="U13" s="93">
        <f t="shared" si="20"/>
        <v>0</v>
      </c>
      <c r="V13" s="75"/>
      <c r="W13" s="75"/>
      <c r="X13" s="93">
        <f t="shared" si="21"/>
        <v>0</v>
      </c>
      <c r="Y13" s="93"/>
      <c r="Z13" s="93"/>
      <c r="AA13" s="93"/>
      <c r="AB13" s="93">
        <f t="shared" si="22"/>
        <v>6.4999999999999991</v>
      </c>
      <c r="AC13" s="94"/>
      <c r="AD13" s="78"/>
      <c r="AE13" s="95">
        <f t="shared" si="1"/>
        <v>6.4999999999999991</v>
      </c>
      <c r="AF13" s="77"/>
      <c r="AG13" s="95">
        <f t="shared" si="2"/>
        <v>0</v>
      </c>
      <c r="AH13" s="77"/>
      <c r="AI13" s="95">
        <f t="shared" si="3"/>
        <v>0</v>
      </c>
      <c r="AJ13" s="77"/>
      <c r="AK13" s="95">
        <f t="shared" si="4"/>
        <v>0</v>
      </c>
      <c r="AL13" s="77"/>
      <c r="AM13" s="95">
        <f t="shared" si="5"/>
        <v>0</v>
      </c>
      <c r="AN13" s="77"/>
      <c r="AO13" s="95">
        <f t="shared" si="6"/>
        <v>0</v>
      </c>
      <c r="AP13" s="96">
        <f t="shared" si="23"/>
        <v>1</v>
      </c>
      <c r="AQ13" s="77"/>
      <c r="AR13" s="77"/>
      <c r="AS13" s="77"/>
      <c r="AT13" s="44">
        <f t="shared" si="24"/>
        <v>6.4999999999999991</v>
      </c>
      <c r="AU13" s="78"/>
      <c r="AV13" s="5"/>
      <c r="AW13" s="5"/>
      <c r="AX13" s="5"/>
      <c r="AY13" s="5"/>
      <c r="AZ13" s="24">
        <f>VLOOKUP(C13,Employees!D:I,6,FALSE)</f>
        <v>10061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6.9999999999999991</v>
      </c>
      <c r="BQ13" s="5">
        <f t="shared" si="40"/>
        <v>0.5</v>
      </c>
      <c r="BR13" s="5">
        <f t="shared" si="41"/>
        <v>6.4999999999999991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1</v>
      </c>
    </row>
    <row r="14" spans="1:89" ht="38" customHeight="1">
      <c r="A14" s="74" t="str">
        <f t="shared" si="0"/>
        <v/>
      </c>
      <c r="B14" s="81"/>
      <c r="C14" s="86"/>
      <c r="D14" s="75"/>
      <c r="E14" s="75"/>
      <c r="F14" s="93">
        <f t="shared" si="15"/>
        <v>0</v>
      </c>
      <c r="G14" s="85"/>
      <c r="H14" s="85"/>
      <c r="I14" s="93">
        <f t="shared" si="16"/>
        <v>0</v>
      </c>
      <c r="J14" s="76"/>
      <c r="K14" s="75"/>
      <c r="L14" s="93">
        <f t="shared" si="17"/>
        <v>0</v>
      </c>
      <c r="M14" s="75"/>
      <c r="N14" s="75"/>
      <c r="O14" s="93">
        <f t="shared" si="18"/>
        <v>0</v>
      </c>
      <c r="P14" s="85"/>
      <c r="Q14" s="84"/>
      <c r="R14" s="93">
        <f t="shared" si="19"/>
        <v>0</v>
      </c>
      <c r="S14" s="75"/>
      <c r="T14" s="75"/>
      <c r="U14" s="93">
        <f t="shared" si="20"/>
        <v>0</v>
      </c>
      <c r="V14" s="75"/>
      <c r="W14" s="75"/>
      <c r="X14" s="93">
        <f t="shared" si="21"/>
        <v>0</v>
      </c>
      <c r="Y14" s="93"/>
      <c r="Z14" s="93"/>
      <c r="AA14" s="93"/>
      <c r="AB14" s="93">
        <f t="shared" si="22"/>
        <v>0</v>
      </c>
      <c r="AC14" s="94"/>
      <c r="AD14" s="77"/>
      <c r="AE14" s="95">
        <f t="shared" si="1"/>
        <v>0</v>
      </c>
      <c r="AF14" s="77"/>
      <c r="AG14" s="95">
        <f t="shared" si="2"/>
        <v>0</v>
      </c>
      <c r="AH14" s="77"/>
      <c r="AI14" s="95">
        <f t="shared" si="3"/>
        <v>0</v>
      </c>
      <c r="AJ14" s="77"/>
      <c r="AK14" s="95">
        <f t="shared" si="4"/>
        <v>0</v>
      </c>
      <c r="AL14" s="77"/>
      <c r="AM14" s="95">
        <f t="shared" si="5"/>
        <v>0</v>
      </c>
      <c r="AN14" s="77"/>
      <c r="AO14" s="95">
        <f t="shared" si="6"/>
        <v>0</v>
      </c>
      <c r="AP14" s="96">
        <f t="shared" si="23"/>
        <v>0</v>
      </c>
      <c r="AQ14" s="77"/>
      <c r="AR14" s="77"/>
      <c r="AS14" s="77"/>
      <c r="AT14" s="44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>
        <f t="shared" si="0"/>
        <v>10252</v>
      </c>
      <c r="B15" s="73" t="s">
        <v>1410</v>
      </c>
      <c r="C15" s="98" t="s">
        <v>718</v>
      </c>
      <c r="D15" s="75"/>
      <c r="E15" s="75"/>
      <c r="F15" s="93">
        <f t="shared" si="15"/>
        <v>0</v>
      </c>
      <c r="G15" s="75"/>
      <c r="H15" s="75"/>
      <c r="I15" s="93">
        <f t="shared" si="16"/>
        <v>0</v>
      </c>
      <c r="J15" s="76"/>
      <c r="K15" s="75"/>
      <c r="L15" s="93">
        <f t="shared" si="17"/>
        <v>0</v>
      </c>
      <c r="M15" s="75"/>
      <c r="N15" s="75"/>
      <c r="O15" s="93">
        <f t="shared" si="18"/>
        <v>0</v>
      </c>
      <c r="P15" s="75"/>
      <c r="Q15" s="75"/>
      <c r="R15" s="93">
        <f t="shared" si="19"/>
        <v>0</v>
      </c>
      <c r="S15" s="75"/>
      <c r="T15" s="75"/>
      <c r="U15" s="93">
        <f t="shared" si="20"/>
        <v>0</v>
      </c>
      <c r="V15" s="75">
        <v>0.45833333333333331</v>
      </c>
      <c r="W15" s="75">
        <v>0.93055555555555558</v>
      </c>
      <c r="X15" s="93">
        <f t="shared" si="21"/>
        <v>10.333333333333334</v>
      </c>
      <c r="Y15" s="93"/>
      <c r="Z15" s="93"/>
      <c r="AA15" s="93"/>
      <c r="AB15" s="93">
        <f t="shared" si="22"/>
        <v>10.333333333333334</v>
      </c>
      <c r="AC15" s="94"/>
      <c r="AD15" s="77"/>
      <c r="AE15" s="95">
        <f t="shared" si="1"/>
        <v>0</v>
      </c>
      <c r="AF15" s="77"/>
      <c r="AG15" s="95">
        <f t="shared" si="2"/>
        <v>0</v>
      </c>
      <c r="AH15" s="77">
        <v>0.5</v>
      </c>
      <c r="AI15" s="95">
        <f t="shared" si="3"/>
        <v>10.833333333333336</v>
      </c>
      <c r="AJ15" s="77"/>
      <c r="AK15" s="95">
        <f t="shared" si="4"/>
        <v>0</v>
      </c>
      <c r="AL15" s="77"/>
      <c r="AM15" s="95">
        <f t="shared" si="5"/>
        <v>0</v>
      </c>
      <c r="AN15" s="77"/>
      <c r="AO15" s="95">
        <f t="shared" si="6"/>
        <v>0</v>
      </c>
      <c r="AP15" s="96">
        <f t="shared" si="23"/>
        <v>1</v>
      </c>
      <c r="AQ15" s="77"/>
      <c r="AR15" s="77"/>
      <c r="AS15" s="77"/>
      <c r="AT15" s="44">
        <f t="shared" si="24"/>
        <v>10.833333333333336</v>
      </c>
      <c r="AU15" s="77"/>
      <c r="AV15" s="5"/>
      <c r="AW15" s="5"/>
      <c r="AX15" s="5"/>
      <c r="AY15" s="5"/>
      <c r="AZ15" s="24">
        <f>VLOOKUP(C15,Employees!D:I,6,FALSE)</f>
        <v>10252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11.333333333333334</v>
      </c>
      <c r="CF15" s="5">
        <f t="shared" si="54"/>
        <v>1</v>
      </c>
      <c r="CG15" s="5">
        <f t="shared" si="55"/>
        <v>10</v>
      </c>
      <c r="CH15" s="5">
        <f t="shared" si="56"/>
        <v>0.33333333333333481</v>
      </c>
      <c r="CI15" s="5">
        <f t="shared" si="57"/>
        <v>0</v>
      </c>
      <c r="CJ15" s="5"/>
      <c r="CK15" s="4">
        <f t="shared" si="14"/>
        <v>1</v>
      </c>
    </row>
    <row r="16" spans="1:89" ht="38" customHeight="1">
      <c r="A16" s="74" t="str">
        <f t="shared" si="0"/>
        <v/>
      </c>
      <c r="B16" s="73"/>
      <c r="C16" s="87"/>
      <c r="D16" s="75"/>
      <c r="E16" s="75"/>
      <c r="F16" s="93">
        <f t="shared" si="15"/>
        <v>0</v>
      </c>
      <c r="G16" s="75"/>
      <c r="H16" s="75"/>
      <c r="I16" s="93">
        <f t="shared" si="16"/>
        <v>0</v>
      </c>
      <c r="J16" s="76"/>
      <c r="K16" s="75"/>
      <c r="L16" s="93">
        <f t="shared" si="17"/>
        <v>0</v>
      </c>
      <c r="M16" s="75"/>
      <c r="N16" s="75"/>
      <c r="O16" s="93">
        <f t="shared" si="18"/>
        <v>0</v>
      </c>
      <c r="P16" s="75"/>
      <c r="Q16" s="75"/>
      <c r="R16" s="93">
        <f t="shared" si="19"/>
        <v>0</v>
      </c>
      <c r="S16" s="75"/>
      <c r="T16" s="75"/>
      <c r="U16" s="93">
        <f t="shared" si="20"/>
        <v>0</v>
      </c>
      <c r="V16" s="75"/>
      <c r="W16" s="75"/>
      <c r="X16" s="93">
        <f t="shared" si="21"/>
        <v>0</v>
      </c>
      <c r="Y16" s="93"/>
      <c r="Z16" s="93"/>
      <c r="AA16" s="93"/>
      <c r="AB16" s="93">
        <f t="shared" si="22"/>
        <v>0</v>
      </c>
      <c r="AC16" s="94"/>
      <c r="AD16" s="77"/>
      <c r="AE16" s="95">
        <f t="shared" si="1"/>
        <v>0</v>
      </c>
      <c r="AF16" s="77"/>
      <c r="AG16" s="95">
        <f t="shared" si="2"/>
        <v>0</v>
      </c>
      <c r="AH16" s="77"/>
      <c r="AI16" s="95">
        <f t="shared" si="3"/>
        <v>0</v>
      </c>
      <c r="AJ16" s="77"/>
      <c r="AK16" s="95">
        <f t="shared" si="4"/>
        <v>0</v>
      </c>
      <c r="AL16" s="77"/>
      <c r="AM16" s="95">
        <f t="shared" si="5"/>
        <v>0</v>
      </c>
      <c r="AN16" s="77"/>
      <c r="AO16" s="95">
        <f t="shared" si="6"/>
        <v>0</v>
      </c>
      <c r="AP16" s="96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7"/>
      <c r="D17" s="75"/>
      <c r="E17" s="75"/>
      <c r="F17" s="93">
        <f t="shared" si="15"/>
        <v>0</v>
      </c>
      <c r="G17" s="75"/>
      <c r="H17" s="75"/>
      <c r="I17" s="93">
        <f t="shared" si="16"/>
        <v>0</v>
      </c>
      <c r="J17" s="76"/>
      <c r="K17" s="75"/>
      <c r="L17" s="93">
        <f t="shared" si="17"/>
        <v>0</v>
      </c>
      <c r="M17" s="75"/>
      <c r="N17" s="75"/>
      <c r="O17" s="93">
        <f t="shared" si="18"/>
        <v>0</v>
      </c>
      <c r="P17" s="75"/>
      <c r="Q17" s="75"/>
      <c r="R17" s="93">
        <f t="shared" si="19"/>
        <v>0</v>
      </c>
      <c r="S17" s="75"/>
      <c r="T17" s="75"/>
      <c r="U17" s="93">
        <f t="shared" si="20"/>
        <v>0</v>
      </c>
      <c r="V17" s="75"/>
      <c r="W17" s="75"/>
      <c r="X17" s="93">
        <f t="shared" si="21"/>
        <v>0</v>
      </c>
      <c r="Y17" s="93"/>
      <c r="Z17" s="93"/>
      <c r="AA17" s="93"/>
      <c r="AB17" s="93">
        <f t="shared" si="22"/>
        <v>0</v>
      </c>
      <c r="AC17" s="94"/>
      <c r="AD17" s="77"/>
      <c r="AE17" s="95">
        <f t="shared" si="1"/>
        <v>0</v>
      </c>
      <c r="AF17" s="77"/>
      <c r="AG17" s="95">
        <f t="shared" si="2"/>
        <v>0</v>
      </c>
      <c r="AH17" s="77"/>
      <c r="AI17" s="95">
        <f t="shared" si="3"/>
        <v>0</v>
      </c>
      <c r="AJ17" s="77"/>
      <c r="AK17" s="95">
        <f t="shared" si="4"/>
        <v>0</v>
      </c>
      <c r="AL17" s="77"/>
      <c r="AM17" s="95">
        <f t="shared" si="5"/>
        <v>0</v>
      </c>
      <c r="AN17" s="77"/>
      <c r="AO17" s="95">
        <f t="shared" si="6"/>
        <v>0</v>
      </c>
      <c r="AP17" s="96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3">
        <f t="shared" si="15"/>
        <v>0</v>
      </c>
      <c r="G18" s="75"/>
      <c r="H18" s="75"/>
      <c r="I18" s="93">
        <f t="shared" si="16"/>
        <v>0</v>
      </c>
      <c r="J18" s="76"/>
      <c r="K18" s="75"/>
      <c r="L18" s="93">
        <f t="shared" si="17"/>
        <v>0</v>
      </c>
      <c r="M18" s="75"/>
      <c r="N18" s="75"/>
      <c r="O18" s="93">
        <f t="shared" si="18"/>
        <v>0</v>
      </c>
      <c r="P18" s="75"/>
      <c r="Q18" s="75"/>
      <c r="R18" s="93">
        <f t="shared" si="19"/>
        <v>0</v>
      </c>
      <c r="S18" s="75"/>
      <c r="T18" s="75"/>
      <c r="U18" s="93">
        <f t="shared" si="20"/>
        <v>0</v>
      </c>
      <c r="V18" s="75"/>
      <c r="W18" s="75"/>
      <c r="X18" s="93">
        <f t="shared" si="21"/>
        <v>0</v>
      </c>
      <c r="Y18" s="93"/>
      <c r="Z18" s="93"/>
      <c r="AA18" s="93"/>
      <c r="AB18" s="93">
        <f t="shared" si="22"/>
        <v>0</v>
      </c>
      <c r="AC18" s="94"/>
      <c r="AD18" s="77"/>
      <c r="AE18" s="95">
        <f t="shared" si="1"/>
        <v>0</v>
      </c>
      <c r="AF18" s="77"/>
      <c r="AG18" s="95">
        <f t="shared" si="2"/>
        <v>0</v>
      </c>
      <c r="AH18" s="77"/>
      <c r="AI18" s="95">
        <f t="shared" si="3"/>
        <v>0</v>
      </c>
      <c r="AJ18" s="77"/>
      <c r="AK18" s="95">
        <f t="shared" si="4"/>
        <v>0</v>
      </c>
      <c r="AL18" s="77"/>
      <c r="AM18" s="95">
        <f t="shared" si="5"/>
        <v>0</v>
      </c>
      <c r="AN18" s="77"/>
      <c r="AO18" s="95">
        <f t="shared" si="6"/>
        <v>0</v>
      </c>
      <c r="AP18" s="96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3">
        <f t="shared" si="15"/>
        <v>0</v>
      </c>
      <c r="G19" s="75"/>
      <c r="H19" s="75"/>
      <c r="I19" s="93">
        <f t="shared" si="16"/>
        <v>0</v>
      </c>
      <c r="J19" s="76"/>
      <c r="K19" s="75"/>
      <c r="L19" s="93">
        <f t="shared" si="17"/>
        <v>0</v>
      </c>
      <c r="M19" s="75"/>
      <c r="N19" s="75"/>
      <c r="O19" s="93">
        <f t="shared" si="18"/>
        <v>0</v>
      </c>
      <c r="P19" s="75"/>
      <c r="Q19" s="75"/>
      <c r="R19" s="93">
        <f t="shared" si="19"/>
        <v>0</v>
      </c>
      <c r="S19" s="75"/>
      <c r="T19" s="75"/>
      <c r="U19" s="93">
        <f t="shared" si="20"/>
        <v>0</v>
      </c>
      <c r="V19" s="75"/>
      <c r="W19" s="75"/>
      <c r="X19" s="93">
        <f t="shared" si="21"/>
        <v>0</v>
      </c>
      <c r="Y19" s="93"/>
      <c r="Z19" s="93"/>
      <c r="AA19" s="93"/>
      <c r="AB19" s="93">
        <f t="shared" si="22"/>
        <v>0</v>
      </c>
      <c r="AC19" s="94"/>
      <c r="AD19" s="77"/>
      <c r="AE19" s="95">
        <f t="shared" si="1"/>
        <v>0</v>
      </c>
      <c r="AF19" s="77"/>
      <c r="AG19" s="95">
        <f t="shared" si="2"/>
        <v>0</v>
      </c>
      <c r="AH19" s="77"/>
      <c r="AI19" s="95">
        <f t="shared" si="3"/>
        <v>0</v>
      </c>
      <c r="AJ19" s="77"/>
      <c r="AK19" s="95">
        <f t="shared" si="4"/>
        <v>0</v>
      </c>
      <c r="AL19" s="77"/>
      <c r="AM19" s="95">
        <f t="shared" si="5"/>
        <v>0</v>
      </c>
      <c r="AN19" s="77"/>
      <c r="AO19" s="95">
        <f t="shared" si="6"/>
        <v>0</v>
      </c>
      <c r="AP19" s="96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3">
        <f t="shared" si="15"/>
        <v>0</v>
      </c>
      <c r="G20" s="75"/>
      <c r="H20" s="75"/>
      <c r="I20" s="93">
        <f t="shared" si="16"/>
        <v>0</v>
      </c>
      <c r="J20" s="76"/>
      <c r="K20" s="75"/>
      <c r="L20" s="93">
        <f t="shared" si="17"/>
        <v>0</v>
      </c>
      <c r="M20" s="75"/>
      <c r="N20" s="75"/>
      <c r="O20" s="93">
        <f t="shared" si="18"/>
        <v>0</v>
      </c>
      <c r="P20" s="75"/>
      <c r="Q20" s="75"/>
      <c r="R20" s="93">
        <f t="shared" si="19"/>
        <v>0</v>
      </c>
      <c r="S20" s="75"/>
      <c r="T20" s="75"/>
      <c r="U20" s="93">
        <f t="shared" si="20"/>
        <v>0</v>
      </c>
      <c r="V20" s="75"/>
      <c r="W20" s="75"/>
      <c r="X20" s="93">
        <f t="shared" si="21"/>
        <v>0</v>
      </c>
      <c r="Y20" s="93"/>
      <c r="Z20" s="93"/>
      <c r="AA20" s="93"/>
      <c r="AB20" s="93">
        <f t="shared" si="22"/>
        <v>0</v>
      </c>
      <c r="AC20" s="94"/>
      <c r="AD20" s="77"/>
      <c r="AE20" s="95">
        <f t="shared" si="1"/>
        <v>0</v>
      </c>
      <c r="AF20" s="77"/>
      <c r="AG20" s="95">
        <f t="shared" si="2"/>
        <v>0</v>
      </c>
      <c r="AH20" s="77"/>
      <c r="AI20" s="95">
        <f t="shared" si="3"/>
        <v>0</v>
      </c>
      <c r="AJ20" s="77"/>
      <c r="AK20" s="95">
        <f t="shared" si="4"/>
        <v>0</v>
      </c>
      <c r="AL20" s="77"/>
      <c r="AM20" s="95">
        <f t="shared" si="5"/>
        <v>0</v>
      </c>
      <c r="AN20" s="77"/>
      <c r="AO20" s="95">
        <f t="shared" si="6"/>
        <v>0</v>
      </c>
      <c r="AP20" s="96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3">
        <f t="shared" ref="F21:F29" si="59">BA21-BB21</f>
        <v>0</v>
      </c>
      <c r="G21" s="75"/>
      <c r="H21" s="75"/>
      <c r="I21" s="93">
        <f t="shared" ref="I21:I29" si="60">BF21-BG21</f>
        <v>0</v>
      </c>
      <c r="J21" s="76"/>
      <c r="K21" s="75"/>
      <c r="L21" s="93">
        <f t="shared" ref="L21:L29" si="61">BK21-BL21</f>
        <v>0</v>
      </c>
      <c r="M21" s="75"/>
      <c r="N21" s="75"/>
      <c r="O21" s="93">
        <f t="shared" ref="O21:O29" si="62">BP21-BQ21</f>
        <v>0</v>
      </c>
      <c r="P21" s="75"/>
      <c r="Q21" s="75"/>
      <c r="R21" s="93">
        <f t="shared" ref="R21:R29" si="63">BU21-BV21</f>
        <v>0</v>
      </c>
      <c r="S21" s="75"/>
      <c r="T21" s="75"/>
      <c r="U21" s="93">
        <f t="shared" ref="U21:U29" si="64">BZ21-CA21</f>
        <v>0</v>
      </c>
      <c r="V21" s="75"/>
      <c r="W21" s="75"/>
      <c r="X21" s="93">
        <f t="shared" ref="X21:X29" si="65">CE21-CF21</f>
        <v>0</v>
      </c>
      <c r="Y21" s="93"/>
      <c r="Z21" s="93"/>
      <c r="AA21" s="93"/>
      <c r="AB21" s="93">
        <f t="shared" ref="AB21:AB29" si="66">SUM(F21,I21,L21,O21,R21,U21,X21)</f>
        <v>0</v>
      </c>
      <c r="AC21" s="94"/>
      <c r="AD21" s="77"/>
      <c r="AE21" s="95">
        <f t="shared" ref="AE21:AE29" si="67">SUMIF($BC$1:$CI$1,AE$1,$BC21:$CI21)+AD21</f>
        <v>0</v>
      </c>
      <c r="AF21" s="77"/>
      <c r="AG21" s="95">
        <f t="shared" ref="AG21:AG29" si="68">SUMIF($BC$1:$CI$1,AG$1,$BC21:$CI21)+AF21</f>
        <v>0</v>
      </c>
      <c r="AH21" s="77"/>
      <c r="AI21" s="95">
        <f t="shared" ref="AI21:AI29" si="69">SUMIF($BC$1:$CI$1,AI$1,$BC21:$CI21)+AH21</f>
        <v>0</v>
      </c>
      <c r="AJ21" s="77"/>
      <c r="AK21" s="95">
        <f t="shared" ref="AK21:AK29" si="70">SUMIF($BC$1:$CI$1,AK$1,$BC21:$CI21)+AJ21</f>
        <v>0</v>
      </c>
      <c r="AL21" s="77"/>
      <c r="AM21" s="95">
        <f t="shared" ref="AM21:AM29" si="71">SUMIF($BC$1:$CI$1,AM$1,$BC21:$CI21)+AL21</f>
        <v>0</v>
      </c>
      <c r="AN21" s="77"/>
      <c r="AO21" s="95">
        <f t="shared" ref="AO21:AO29" si="72">SUMIF($BC$1:$CI$1,AO$1,$BC21:$CI21)+AN21</f>
        <v>0</v>
      </c>
      <c r="AP21" s="96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3">
        <f t="shared" si="59"/>
        <v>0</v>
      </c>
      <c r="G22" s="75"/>
      <c r="H22" s="75"/>
      <c r="I22" s="93">
        <f t="shared" si="60"/>
        <v>0</v>
      </c>
      <c r="J22" s="76"/>
      <c r="K22" s="75"/>
      <c r="L22" s="93">
        <f t="shared" si="61"/>
        <v>0</v>
      </c>
      <c r="M22" s="75"/>
      <c r="N22" s="75"/>
      <c r="O22" s="93">
        <f t="shared" si="62"/>
        <v>0</v>
      </c>
      <c r="P22" s="75"/>
      <c r="Q22" s="75"/>
      <c r="R22" s="93">
        <f t="shared" si="63"/>
        <v>0</v>
      </c>
      <c r="S22" s="75"/>
      <c r="T22" s="75"/>
      <c r="U22" s="93">
        <f t="shared" si="64"/>
        <v>0</v>
      </c>
      <c r="V22" s="75"/>
      <c r="W22" s="75"/>
      <c r="X22" s="93">
        <f t="shared" si="65"/>
        <v>0</v>
      </c>
      <c r="Y22" s="93"/>
      <c r="Z22" s="93"/>
      <c r="AA22" s="93"/>
      <c r="AB22" s="93">
        <f t="shared" si="66"/>
        <v>0</v>
      </c>
      <c r="AC22" s="94"/>
      <c r="AD22" s="77"/>
      <c r="AE22" s="95">
        <f t="shared" si="67"/>
        <v>0</v>
      </c>
      <c r="AF22" s="77"/>
      <c r="AG22" s="95">
        <f t="shared" si="68"/>
        <v>0</v>
      </c>
      <c r="AH22" s="77"/>
      <c r="AI22" s="95">
        <f t="shared" si="69"/>
        <v>0</v>
      </c>
      <c r="AJ22" s="77"/>
      <c r="AK22" s="95">
        <f t="shared" si="70"/>
        <v>0</v>
      </c>
      <c r="AL22" s="77"/>
      <c r="AM22" s="95">
        <f t="shared" si="71"/>
        <v>0</v>
      </c>
      <c r="AN22" s="77"/>
      <c r="AO22" s="95">
        <f t="shared" si="72"/>
        <v>0</v>
      </c>
      <c r="AP22" s="96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3">
        <f t="shared" si="59"/>
        <v>0</v>
      </c>
      <c r="G23" s="75"/>
      <c r="H23" s="75"/>
      <c r="I23" s="93">
        <f t="shared" si="60"/>
        <v>0</v>
      </c>
      <c r="J23" s="76"/>
      <c r="K23" s="75"/>
      <c r="L23" s="93">
        <f t="shared" si="61"/>
        <v>0</v>
      </c>
      <c r="M23" s="75"/>
      <c r="N23" s="75"/>
      <c r="O23" s="93">
        <f t="shared" si="62"/>
        <v>0</v>
      </c>
      <c r="P23" s="75"/>
      <c r="Q23" s="75"/>
      <c r="R23" s="93">
        <f t="shared" si="63"/>
        <v>0</v>
      </c>
      <c r="S23" s="75"/>
      <c r="T23" s="75"/>
      <c r="U23" s="93">
        <f t="shared" si="64"/>
        <v>0</v>
      </c>
      <c r="V23" s="75"/>
      <c r="W23" s="75"/>
      <c r="X23" s="93">
        <f t="shared" si="65"/>
        <v>0</v>
      </c>
      <c r="Y23" s="93"/>
      <c r="Z23" s="93"/>
      <c r="AA23" s="93"/>
      <c r="AB23" s="93">
        <f t="shared" si="66"/>
        <v>0</v>
      </c>
      <c r="AC23" s="94"/>
      <c r="AD23" s="77"/>
      <c r="AE23" s="95">
        <f t="shared" si="67"/>
        <v>0</v>
      </c>
      <c r="AF23" s="77"/>
      <c r="AG23" s="95">
        <f t="shared" si="68"/>
        <v>0</v>
      </c>
      <c r="AH23" s="77"/>
      <c r="AI23" s="95">
        <f t="shared" si="69"/>
        <v>0</v>
      </c>
      <c r="AJ23" s="77"/>
      <c r="AK23" s="95">
        <f t="shared" si="70"/>
        <v>0</v>
      </c>
      <c r="AL23" s="77"/>
      <c r="AM23" s="95">
        <f t="shared" si="71"/>
        <v>0</v>
      </c>
      <c r="AN23" s="77"/>
      <c r="AO23" s="95">
        <f t="shared" si="72"/>
        <v>0</v>
      </c>
      <c r="AP23" s="96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3">
        <f t="shared" si="59"/>
        <v>0</v>
      </c>
      <c r="G24" s="75"/>
      <c r="H24" s="75"/>
      <c r="I24" s="93">
        <f t="shared" si="60"/>
        <v>0</v>
      </c>
      <c r="J24" s="76"/>
      <c r="K24" s="75"/>
      <c r="L24" s="93">
        <f t="shared" si="61"/>
        <v>0</v>
      </c>
      <c r="M24" s="75"/>
      <c r="N24" s="75"/>
      <c r="O24" s="93">
        <f t="shared" si="62"/>
        <v>0</v>
      </c>
      <c r="P24" s="75"/>
      <c r="Q24" s="75"/>
      <c r="R24" s="93">
        <f t="shared" si="63"/>
        <v>0</v>
      </c>
      <c r="S24" s="75"/>
      <c r="T24" s="75"/>
      <c r="U24" s="93">
        <f t="shared" si="64"/>
        <v>0</v>
      </c>
      <c r="V24" s="75"/>
      <c r="W24" s="75"/>
      <c r="X24" s="93">
        <f t="shared" si="65"/>
        <v>0</v>
      </c>
      <c r="Y24" s="93"/>
      <c r="Z24" s="93"/>
      <c r="AA24" s="93"/>
      <c r="AB24" s="93">
        <f t="shared" si="66"/>
        <v>0</v>
      </c>
      <c r="AC24" s="94"/>
      <c r="AD24" s="77"/>
      <c r="AE24" s="95">
        <f t="shared" si="67"/>
        <v>0</v>
      </c>
      <c r="AF24" s="77"/>
      <c r="AG24" s="95">
        <f t="shared" si="68"/>
        <v>0</v>
      </c>
      <c r="AH24" s="77"/>
      <c r="AI24" s="95">
        <f t="shared" si="69"/>
        <v>0</v>
      </c>
      <c r="AJ24" s="77"/>
      <c r="AK24" s="95">
        <f t="shared" si="70"/>
        <v>0</v>
      </c>
      <c r="AL24" s="77"/>
      <c r="AM24" s="95">
        <f t="shared" si="71"/>
        <v>0</v>
      </c>
      <c r="AN24" s="77"/>
      <c r="AO24" s="95">
        <f t="shared" si="72"/>
        <v>0</v>
      </c>
      <c r="AP24" s="96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3">
        <f t="shared" si="59"/>
        <v>0</v>
      </c>
      <c r="G25" s="75"/>
      <c r="H25" s="75"/>
      <c r="I25" s="93">
        <f t="shared" si="60"/>
        <v>0</v>
      </c>
      <c r="J25" s="76"/>
      <c r="K25" s="75"/>
      <c r="L25" s="93">
        <f t="shared" si="61"/>
        <v>0</v>
      </c>
      <c r="M25" s="75"/>
      <c r="N25" s="75"/>
      <c r="O25" s="93">
        <f t="shared" si="62"/>
        <v>0</v>
      </c>
      <c r="P25" s="75"/>
      <c r="Q25" s="75"/>
      <c r="R25" s="93">
        <f t="shared" si="63"/>
        <v>0</v>
      </c>
      <c r="S25" s="75"/>
      <c r="T25" s="75"/>
      <c r="U25" s="93">
        <f t="shared" si="64"/>
        <v>0</v>
      </c>
      <c r="V25" s="75"/>
      <c r="W25" s="75"/>
      <c r="X25" s="93">
        <f t="shared" si="65"/>
        <v>0</v>
      </c>
      <c r="Y25" s="93"/>
      <c r="Z25" s="93"/>
      <c r="AA25" s="93"/>
      <c r="AB25" s="93">
        <f t="shared" si="66"/>
        <v>0</v>
      </c>
      <c r="AC25" s="94"/>
      <c r="AD25" s="77"/>
      <c r="AE25" s="95">
        <f t="shared" si="67"/>
        <v>0</v>
      </c>
      <c r="AF25" s="77"/>
      <c r="AG25" s="95">
        <f t="shared" si="68"/>
        <v>0</v>
      </c>
      <c r="AH25" s="77"/>
      <c r="AI25" s="95">
        <f t="shared" si="69"/>
        <v>0</v>
      </c>
      <c r="AJ25" s="77"/>
      <c r="AK25" s="95">
        <f t="shared" si="70"/>
        <v>0</v>
      </c>
      <c r="AL25" s="77"/>
      <c r="AM25" s="95">
        <f t="shared" si="71"/>
        <v>0</v>
      </c>
      <c r="AN25" s="77"/>
      <c r="AO25" s="95">
        <f t="shared" si="72"/>
        <v>0</v>
      </c>
      <c r="AP25" s="96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3">
        <f t="shared" si="59"/>
        <v>0</v>
      </c>
      <c r="G26" s="75"/>
      <c r="H26" s="75"/>
      <c r="I26" s="93">
        <f t="shared" si="60"/>
        <v>0</v>
      </c>
      <c r="J26" s="76"/>
      <c r="K26" s="75"/>
      <c r="L26" s="93">
        <f t="shared" si="61"/>
        <v>0</v>
      </c>
      <c r="M26" s="75"/>
      <c r="N26" s="75"/>
      <c r="O26" s="93">
        <f t="shared" si="62"/>
        <v>0</v>
      </c>
      <c r="P26" s="75"/>
      <c r="Q26" s="75"/>
      <c r="R26" s="93">
        <f t="shared" si="63"/>
        <v>0</v>
      </c>
      <c r="S26" s="75"/>
      <c r="T26" s="75"/>
      <c r="U26" s="93">
        <f t="shared" si="64"/>
        <v>0</v>
      </c>
      <c r="V26" s="75"/>
      <c r="W26" s="75"/>
      <c r="X26" s="93">
        <f t="shared" si="65"/>
        <v>0</v>
      </c>
      <c r="Y26" s="93"/>
      <c r="Z26" s="93"/>
      <c r="AA26" s="93"/>
      <c r="AB26" s="93">
        <f t="shared" si="66"/>
        <v>0</v>
      </c>
      <c r="AC26" s="94"/>
      <c r="AD26" s="77"/>
      <c r="AE26" s="95">
        <f t="shared" si="67"/>
        <v>0</v>
      </c>
      <c r="AF26" s="77"/>
      <c r="AG26" s="95">
        <f t="shared" si="68"/>
        <v>0</v>
      </c>
      <c r="AH26" s="77"/>
      <c r="AI26" s="95">
        <f t="shared" si="69"/>
        <v>0</v>
      </c>
      <c r="AJ26" s="77"/>
      <c r="AK26" s="95">
        <f t="shared" si="70"/>
        <v>0</v>
      </c>
      <c r="AL26" s="77"/>
      <c r="AM26" s="95">
        <f t="shared" si="71"/>
        <v>0</v>
      </c>
      <c r="AN26" s="77"/>
      <c r="AO26" s="95">
        <f t="shared" si="72"/>
        <v>0</v>
      </c>
      <c r="AP26" s="96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3">
        <f t="shared" si="59"/>
        <v>0</v>
      </c>
      <c r="G27" s="75"/>
      <c r="H27" s="75"/>
      <c r="I27" s="93">
        <f t="shared" si="60"/>
        <v>0</v>
      </c>
      <c r="J27" s="76"/>
      <c r="K27" s="75"/>
      <c r="L27" s="93">
        <f t="shared" si="61"/>
        <v>0</v>
      </c>
      <c r="M27" s="75"/>
      <c r="N27" s="75"/>
      <c r="O27" s="93">
        <f t="shared" si="62"/>
        <v>0</v>
      </c>
      <c r="P27" s="75"/>
      <c r="Q27" s="75"/>
      <c r="R27" s="93">
        <f t="shared" si="63"/>
        <v>0</v>
      </c>
      <c r="S27" s="75"/>
      <c r="T27" s="75"/>
      <c r="U27" s="93">
        <f t="shared" si="64"/>
        <v>0</v>
      </c>
      <c r="V27" s="75"/>
      <c r="W27" s="75"/>
      <c r="X27" s="93">
        <f t="shared" si="65"/>
        <v>0</v>
      </c>
      <c r="Y27" s="93"/>
      <c r="Z27" s="93"/>
      <c r="AA27" s="93"/>
      <c r="AB27" s="93">
        <f t="shared" si="66"/>
        <v>0</v>
      </c>
      <c r="AC27" s="94"/>
      <c r="AD27" s="77"/>
      <c r="AE27" s="95">
        <f t="shared" si="67"/>
        <v>0</v>
      </c>
      <c r="AF27" s="77"/>
      <c r="AG27" s="95">
        <f t="shared" si="68"/>
        <v>0</v>
      </c>
      <c r="AH27" s="77"/>
      <c r="AI27" s="95">
        <f t="shared" si="69"/>
        <v>0</v>
      </c>
      <c r="AJ27" s="77"/>
      <c r="AK27" s="95">
        <f t="shared" si="70"/>
        <v>0</v>
      </c>
      <c r="AL27" s="77"/>
      <c r="AM27" s="95">
        <f t="shared" si="71"/>
        <v>0</v>
      </c>
      <c r="AN27" s="77"/>
      <c r="AO27" s="95">
        <f t="shared" si="72"/>
        <v>0</v>
      </c>
      <c r="AP27" s="96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3">
        <f t="shared" si="59"/>
        <v>0</v>
      </c>
      <c r="G28" s="75"/>
      <c r="H28" s="75"/>
      <c r="I28" s="93">
        <f t="shared" si="60"/>
        <v>0</v>
      </c>
      <c r="J28" s="76"/>
      <c r="K28" s="75"/>
      <c r="L28" s="93">
        <f t="shared" si="61"/>
        <v>0</v>
      </c>
      <c r="M28" s="75"/>
      <c r="N28" s="75"/>
      <c r="O28" s="93">
        <f t="shared" si="62"/>
        <v>0</v>
      </c>
      <c r="P28" s="75"/>
      <c r="Q28" s="75"/>
      <c r="R28" s="93">
        <f t="shared" si="63"/>
        <v>0</v>
      </c>
      <c r="S28" s="75"/>
      <c r="T28" s="75"/>
      <c r="U28" s="93">
        <f t="shared" si="64"/>
        <v>0</v>
      </c>
      <c r="V28" s="75"/>
      <c r="W28" s="75"/>
      <c r="X28" s="93">
        <f t="shared" si="65"/>
        <v>0</v>
      </c>
      <c r="Y28" s="93"/>
      <c r="Z28" s="93"/>
      <c r="AA28" s="93"/>
      <c r="AB28" s="93">
        <f t="shared" si="66"/>
        <v>0</v>
      </c>
      <c r="AC28" s="94"/>
      <c r="AD28" s="77"/>
      <c r="AE28" s="95">
        <f t="shared" si="67"/>
        <v>0</v>
      </c>
      <c r="AF28" s="77"/>
      <c r="AG28" s="95">
        <f t="shared" si="68"/>
        <v>0</v>
      </c>
      <c r="AH28" s="77"/>
      <c r="AI28" s="95">
        <f t="shared" si="69"/>
        <v>0</v>
      </c>
      <c r="AJ28" s="77"/>
      <c r="AK28" s="95">
        <f t="shared" si="70"/>
        <v>0</v>
      </c>
      <c r="AL28" s="77"/>
      <c r="AM28" s="95">
        <f t="shared" si="71"/>
        <v>0</v>
      </c>
      <c r="AN28" s="77"/>
      <c r="AO28" s="95">
        <f t="shared" si="72"/>
        <v>0</v>
      </c>
      <c r="AP28" s="96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3">
        <f t="shared" si="59"/>
        <v>0</v>
      </c>
      <c r="G29" s="75"/>
      <c r="H29" s="75"/>
      <c r="I29" s="93">
        <f t="shared" si="60"/>
        <v>0</v>
      </c>
      <c r="J29" s="76"/>
      <c r="K29" s="75"/>
      <c r="L29" s="93">
        <f t="shared" si="61"/>
        <v>0</v>
      </c>
      <c r="M29" s="75"/>
      <c r="N29" s="75"/>
      <c r="O29" s="93">
        <f t="shared" si="62"/>
        <v>0</v>
      </c>
      <c r="P29" s="75"/>
      <c r="Q29" s="75"/>
      <c r="R29" s="93">
        <f t="shared" si="63"/>
        <v>0</v>
      </c>
      <c r="S29" s="75"/>
      <c r="T29" s="75"/>
      <c r="U29" s="93">
        <f t="shared" si="64"/>
        <v>0</v>
      </c>
      <c r="V29" s="75"/>
      <c r="W29" s="75"/>
      <c r="X29" s="93">
        <f t="shared" si="65"/>
        <v>0</v>
      </c>
      <c r="Y29" s="93"/>
      <c r="Z29" s="93"/>
      <c r="AA29" s="93"/>
      <c r="AB29" s="93">
        <f t="shared" si="66"/>
        <v>0</v>
      </c>
      <c r="AC29" s="94"/>
      <c r="AD29" s="77"/>
      <c r="AE29" s="95">
        <f t="shared" si="67"/>
        <v>0</v>
      </c>
      <c r="AF29" s="77"/>
      <c r="AG29" s="95">
        <f t="shared" si="68"/>
        <v>0</v>
      </c>
      <c r="AH29" s="77"/>
      <c r="AI29" s="95">
        <f t="shared" si="69"/>
        <v>0</v>
      </c>
      <c r="AJ29" s="77"/>
      <c r="AK29" s="95">
        <f t="shared" si="70"/>
        <v>0</v>
      </c>
      <c r="AL29" s="77"/>
      <c r="AM29" s="95">
        <f t="shared" si="71"/>
        <v>0</v>
      </c>
      <c r="AN29" s="77"/>
      <c r="AO29" s="95">
        <f t="shared" si="72"/>
        <v>0</v>
      </c>
      <c r="AP29" s="96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3">
        <f t="shared" si="15"/>
        <v>0</v>
      </c>
      <c r="G30" s="75"/>
      <c r="H30" s="75"/>
      <c r="I30" s="93">
        <f t="shared" si="16"/>
        <v>0</v>
      </c>
      <c r="J30" s="76"/>
      <c r="K30" s="75"/>
      <c r="L30" s="93">
        <f t="shared" si="17"/>
        <v>0</v>
      </c>
      <c r="M30" s="75"/>
      <c r="N30" s="75"/>
      <c r="O30" s="93">
        <f t="shared" si="18"/>
        <v>0</v>
      </c>
      <c r="P30" s="75"/>
      <c r="Q30" s="75"/>
      <c r="R30" s="93">
        <f t="shared" si="19"/>
        <v>0</v>
      </c>
      <c r="S30" s="75"/>
      <c r="T30" s="75"/>
      <c r="U30" s="93">
        <f t="shared" si="20"/>
        <v>0</v>
      </c>
      <c r="V30" s="75"/>
      <c r="W30" s="75"/>
      <c r="X30" s="93">
        <f t="shared" si="21"/>
        <v>0</v>
      </c>
      <c r="Y30" s="93"/>
      <c r="Z30" s="93"/>
      <c r="AA30" s="93"/>
      <c r="AB30" s="93">
        <f t="shared" si="22"/>
        <v>0</v>
      </c>
      <c r="AC30" s="94"/>
      <c r="AD30" s="77"/>
      <c r="AE30" s="95">
        <f t="shared" si="1"/>
        <v>0</v>
      </c>
      <c r="AF30" s="77"/>
      <c r="AG30" s="95">
        <f t="shared" si="2"/>
        <v>0</v>
      </c>
      <c r="AH30" s="77"/>
      <c r="AI30" s="95">
        <f t="shared" si="3"/>
        <v>0</v>
      </c>
      <c r="AJ30" s="77"/>
      <c r="AK30" s="95">
        <f t="shared" si="4"/>
        <v>0</v>
      </c>
      <c r="AL30" s="77"/>
      <c r="AM30" s="95">
        <f t="shared" si="5"/>
        <v>0</v>
      </c>
      <c r="AN30" s="77"/>
      <c r="AO30" s="95">
        <f t="shared" si="6"/>
        <v>0</v>
      </c>
      <c r="AP30" s="96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3">
        <f t="shared" si="15"/>
        <v>0</v>
      </c>
      <c r="G31" s="75"/>
      <c r="H31" s="75"/>
      <c r="I31" s="93">
        <f t="shared" si="16"/>
        <v>0</v>
      </c>
      <c r="J31" s="76"/>
      <c r="K31" s="75"/>
      <c r="L31" s="93">
        <f t="shared" si="17"/>
        <v>0</v>
      </c>
      <c r="M31" s="75"/>
      <c r="N31" s="75"/>
      <c r="O31" s="93">
        <f t="shared" si="18"/>
        <v>0</v>
      </c>
      <c r="P31" s="75"/>
      <c r="Q31" s="75"/>
      <c r="R31" s="93">
        <f t="shared" si="19"/>
        <v>0</v>
      </c>
      <c r="S31" s="75"/>
      <c r="T31" s="75"/>
      <c r="U31" s="93">
        <f t="shared" si="20"/>
        <v>0</v>
      </c>
      <c r="V31" s="75"/>
      <c r="W31" s="75"/>
      <c r="X31" s="93">
        <f t="shared" si="21"/>
        <v>0</v>
      </c>
      <c r="Y31" s="93"/>
      <c r="Z31" s="93"/>
      <c r="AA31" s="93"/>
      <c r="AB31" s="93">
        <f t="shared" si="22"/>
        <v>0</v>
      </c>
      <c r="AC31" s="94"/>
      <c r="AD31" s="77"/>
      <c r="AE31" s="95">
        <f t="shared" si="1"/>
        <v>0</v>
      </c>
      <c r="AF31" s="77"/>
      <c r="AG31" s="95">
        <f t="shared" si="2"/>
        <v>0</v>
      </c>
      <c r="AH31" s="77"/>
      <c r="AI31" s="95">
        <f t="shared" si="3"/>
        <v>0</v>
      </c>
      <c r="AJ31" s="77"/>
      <c r="AK31" s="95">
        <f t="shared" si="4"/>
        <v>0</v>
      </c>
      <c r="AL31" s="77"/>
      <c r="AM31" s="95">
        <f t="shared" si="5"/>
        <v>0</v>
      </c>
      <c r="AN31" s="77"/>
      <c r="AO31" s="95">
        <f t="shared" si="6"/>
        <v>0</v>
      </c>
      <c r="AP31" s="96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3">
        <f t="shared" si="15"/>
        <v>0</v>
      </c>
      <c r="G32" s="75"/>
      <c r="H32" s="75"/>
      <c r="I32" s="93">
        <f t="shared" si="16"/>
        <v>0</v>
      </c>
      <c r="J32" s="76"/>
      <c r="K32" s="75"/>
      <c r="L32" s="93">
        <f t="shared" si="17"/>
        <v>0</v>
      </c>
      <c r="M32" s="75"/>
      <c r="N32" s="75"/>
      <c r="O32" s="93">
        <f t="shared" si="18"/>
        <v>0</v>
      </c>
      <c r="P32" s="75"/>
      <c r="Q32" s="75"/>
      <c r="R32" s="93">
        <f t="shared" si="19"/>
        <v>0</v>
      </c>
      <c r="S32" s="75"/>
      <c r="T32" s="75"/>
      <c r="U32" s="93">
        <f t="shared" si="20"/>
        <v>0</v>
      </c>
      <c r="V32" s="75"/>
      <c r="W32" s="75"/>
      <c r="X32" s="93">
        <f t="shared" si="21"/>
        <v>0</v>
      </c>
      <c r="Y32" s="93"/>
      <c r="Z32" s="93"/>
      <c r="AA32" s="93"/>
      <c r="AB32" s="93">
        <f t="shared" si="22"/>
        <v>0</v>
      </c>
      <c r="AC32" s="94"/>
      <c r="AD32" s="77"/>
      <c r="AE32" s="95">
        <f t="shared" si="1"/>
        <v>0</v>
      </c>
      <c r="AF32" s="77"/>
      <c r="AG32" s="95">
        <f t="shared" si="2"/>
        <v>0</v>
      </c>
      <c r="AH32" s="77"/>
      <c r="AI32" s="95">
        <f t="shared" si="3"/>
        <v>0</v>
      </c>
      <c r="AJ32" s="77"/>
      <c r="AK32" s="95">
        <f t="shared" si="4"/>
        <v>0</v>
      </c>
      <c r="AL32" s="77"/>
      <c r="AM32" s="95">
        <f t="shared" si="5"/>
        <v>0</v>
      </c>
      <c r="AN32" s="77"/>
      <c r="AO32" s="95">
        <f t="shared" si="6"/>
        <v>0</v>
      </c>
      <c r="AP32" s="96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3">
        <f t="shared" si="15"/>
        <v>0</v>
      </c>
      <c r="G33" s="75"/>
      <c r="H33" s="75"/>
      <c r="I33" s="93">
        <f t="shared" si="16"/>
        <v>0</v>
      </c>
      <c r="J33" s="76"/>
      <c r="K33" s="75"/>
      <c r="L33" s="93">
        <f t="shared" si="17"/>
        <v>0</v>
      </c>
      <c r="M33" s="75"/>
      <c r="N33" s="75"/>
      <c r="O33" s="93">
        <f t="shared" si="18"/>
        <v>0</v>
      </c>
      <c r="P33" s="75"/>
      <c r="Q33" s="75"/>
      <c r="R33" s="93">
        <f t="shared" si="19"/>
        <v>0</v>
      </c>
      <c r="S33" s="75"/>
      <c r="T33" s="75"/>
      <c r="U33" s="93">
        <f t="shared" si="20"/>
        <v>0</v>
      </c>
      <c r="V33" s="75"/>
      <c r="W33" s="75"/>
      <c r="X33" s="93">
        <f t="shared" si="21"/>
        <v>0</v>
      </c>
      <c r="Y33" s="93"/>
      <c r="Z33" s="93"/>
      <c r="AA33" s="93"/>
      <c r="AB33" s="93">
        <f t="shared" si="22"/>
        <v>0</v>
      </c>
      <c r="AC33" s="94"/>
      <c r="AD33" s="77"/>
      <c r="AE33" s="95">
        <f t="shared" si="1"/>
        <v>0</v>
      </c>
      <c r="AF33" s="77"/>
      <c r="AG33" s="95">
        <f t="shared" si="2"/>
        <v>0</v>
      </c>
      <c r="AH33" s="77"/>
      <c r="AI33" s="95">
        <f t="shared" si="3"/>
        <v>0</v>
      </c>
      <c r="AJ33" s="77"/>
      <c r="AK33" s="95">
        <f t="shared" si="4"/>
        <v>0</v>
      </c>
      <c r="AL33" s="77"/>
      <c r="AM33" s="95">
        <f t="shared" si="5"/>
        <v>0</v>
      </c>
      <c r="AN33" s="77"/>
      <c r="AO33" s="95">
        <f t="shared" si="6"/>
        <v>0</v>
      </c>
      <c r="AP33" s="96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3">
        <f t="shared" si="15"/>
        <v>0</v>
      </c>
      <c r="G34" s="75"/>
      <c r="H34" s="75"/>
      <c r="I34" s="93">
        <f t="shared" si="16"/>
        <v>0</v>
      </c>
      <c r="J34" s="76"/>
      <c r="K34" s="75"/>
      <c r="L34" s="93">
        <f t="shared" si="17"/>
        <v>0</v>
      </c>
      <c r="M34" s="75"/>
      <c r="N34" s="75"/>
      <c r="O34" s="93">
        <f t="shared" si="18"/>
        <v>0</v>
      </c>
      <c r="P34" s="75"/>
      <c r="Q34" s="75"/>
      <c r="R34" s="93">
        <f t="shared" si="19"/>
        <v>0</v>
      </c>
      <c r="S34" s="75"/>
      <c r="T34" s="75"/>
      <c r="U34" s="93">
        <f t="shared" si="20"/>
        <v>0</v>
      </c>
      <c r="V34" s="75"/>
      <c r="W34" s="75"/>
      <c r="X34" s="93">
        <f t="shared" si="21"/>
        <v>0</v>
      </c>
      <c r="Y34" s="93"/>
      <c r="Z34" s="93"/>
      <c r="AA34" s="93"/>
      <c r="AB34" s="93">
        <f t="shared" si="22"/>
        <v>0</v>
      </c>
      <c r="AC34" s="94"/>
      <c r="AD34" s="77"/>
      <c r="AE34" s="95">
        <f t="shared" si="1"/>
        <v>0</v>
      </c>
      <c r="AF34" s="77"/>
      <c r="AG34" s="95">
        <f t="shared" si="2"/>
        <v>0</v>
      </c>
      <c r="AH34" s="77"/>
      <c r="AI34" s="95">
        <f t="shared" si="3"/>
        <v>0</v>
      </c>
      <c r="AJ34" s="77"/>
      <c r="AK34" s="95">
        <f t="shared" si="4"/>
        <v>0</v>
      </c>
      <c r="AL34" s="77"/>
      <c r="AM34" s="95">
        <f t="shared" si="5"/>
        <v>0</v>
      </c>
      <c r="AN34" s="77"/>
      <c r="AO34" s="95">
        <f t="shared" si="6"/>
        <v>0</v>
      </c>
      <c r="AP34" s="96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3">
        <f t="shared" si="15"/>
        <v>0</v>
      </c>
      <c r="G35" s="75"/>
      <c r="H35" s="75"/>
      <c r="I35" s="93">
        <f t="shared" si="16"/>
        <v>0</v>
      </c>
      <c r="J35" s="76"/>
      <c r="K35" s="75"/>
      <c r="L35" s="93">
        <f t="shared" si="17"/>
        <v>0</v>
      </c>
      <c r="M35" s="75"/>
      <c r="N35" s="75"/>
      <c r="O35" s="93">
        <f t="shared" si="18"/>
        <v>0</v>
      </c>
      <c r="P35" s="75"/>
      <c r="Q35" s="75"/>
      <c r="R35" s="93">
        <f t="shared" si="19"/>
        <v>0</v>
      </c>
      <c r="S35" s="75"/>
      <c r="T35" s="75"/>
      <c r="U35" s="93">
        <f t="shared" si="20"/>
        <v>0</v>
      </c>
      <c r="V35" s="75"/>
      <c r="W35" s="75"/>
      <c r="X35" s="93">
        <f t="shared" si="21"/>
        <v>0</v>
      </c>
      <c r="Y35" s="93"/>
      <c r="Z35" s="93"/>
      <c r="AA35" s="93"/>
      <c r="AB35" s="93">
        <f t="shared" si="22"/>
        <v>0</v>
      </c>
      <c r="AC35" s="94"/>
      <c r="AD35" s="77"/>
      <c r="AE35" s="95">
        <f t="shared" si="1"/>
        <v>0</v>
      </c>
      <c r="AF35" s="77"/>
      <c r="AG35" s="95">
        <f t="shared" si="2"/>
        <v>0</v>
      </c>
      <c r="AH35" s="77"/>
      <c r="AI35" s="95">
        <f t="shared" si="3"/>
        <v>0</v>
      </c>
      <c r="AJ35" s="77"/>
      <c r="AK35" s="95">
        <f t="shared" si="4"/>
        <v>0</v>
      </c>
      <c r="AL35" s="77"/>
      <c r="AM35" s="95">
        <f t="shared" si="5"/>
        <v>0</v>
      </c>
      <c r="AN35" s="77"/>
      <c r="AO35" s="95">
        <f t="shared" si="6"/>
        <v>0</v>
      </c>
      <c r="AP35" s="96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3">
        <f t="shared" si="15"/>
        <v>0</v>
      </c>
      <c r="G36" s="75"/>
      <c r="H36" s="75"/>
      <c r="I36" s="93">
        <f t="shared" si="16"/>
        <v>0</v>
      </c>
      <c r="J36" s="76"/>
      <c r="K36" s="75"/>
      <c r="L36" s="93">
        <f t="shared" si="17"/>
        <v>0</v>
      </c>
      <c r="M36" s="75"/>
      <c r="N36" s="75"/>
      <c r="O36" s="93">
        <f t="shared" si="18"/>
        <v>0</v>
      </c>
      <c r="P36" s="75"/>
      <c r="Q36" s="75"/>
      <c r="R36" s="93">
        <f t="shared" si="19"/>
        <v>0</v>
      </c>
      <c r="S36" s="75"/>
      <c r="T36" s="75"/>
      <c r="U36" s="93">
        <f t="shared" si="20"/>
        <v>0</v>
      </c>
      <c r="V36" s="75"/>
      <c r="W36" s="75"/>
      <c r="X36" s="93">
        <f t="shared" si="21"/>
        <v>0</v>
      </c>
      <c r="Y36" s="93"/>
      <c r="Z36" s="93"/>
      <c r="AA36" s="93"/>
      <c r="AB36" s="93">
        <f t="shared" si="22"/>
        <v>0</v>
      </c>
      <c r="AC36" s="94"/>
      <c r="AD36" s="77"/>
      <c r="AE36" s="95">
        <f t="shared" si="1"/>
        <v>0</v>
      </c>
      <c r="AF36" s="77"/>
      <c r="AG36" s="95">
        <f t="shared" si="2"/>
        <v>0</v>
      </c>
      <c r="AH36" s="77"/>
      <c r="AI36" s="95">
        <f t="shared" si="3"/>
        <v>0</v>
      </c>
      <c r="AJ36" s="77"/>
      <c r="AK36" s="95">
        <f t="shared" si="4"/>
        <v>0</v>
      </c>
      <c r="AL36" s="77"/>
      <c r="AM36" s="95">
        <f t="shared" si="5"/>
        <v>0</v>
      </c>
      <c r="AN36" s="77"/>
      <c r="AO36" s="95">
        <f t="shared" si="6"/>
        <v>0</v>
      </c>
      <c r="AP36" s="96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8"/>
      <c r="D37" s="89"/>
      <c r="E37" s="89"/>
      <c r="F37" s="44">
        <f t="shared" si="15"/>
        <v>0</v>
      </c>
      <c r="G37" s="89"/>
      <c r="H37" s="89"/>
      <c r="I37" s="44">
        <f t="shared" si="16"/>
        <v>0</v>
      </c>
      <c r="J37" s="90"/>
      <c r="K37" s="91"/>
      <c r="L37" s="44">
        <f t="shared" si="17"/>
        <v>0</v>
      </c>
      <c r="M37" s="91"/>
      <c r="N37" s="91"/>
      <c r="O37" s="44">
        <f t="shared" si="18"/>
        <v>0</v>
      </c>
      <c r="P37" s="91"/>
      <c r="Q37" s="91"/>
      <c r="R37" s="44">
        <f t="shared" si="19"/>
        <v>0</v>
      </c>
      <c r="S37" s="91"/>
      <c r="T37" s="91"/>
      <c r="U37" s="44">
        <f t="shared" si="20"/>
        <v>0</v>
      </c>
      <c r="V37" s="91"/>
      <c r="W37" s="91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8"/>
      <c r="D38" s="89"/>
      <c r="E38" s="89"/>
      <c r="F38" s="44">
        <f t="shared" si="15"/>
        <v>0</v>
      </c>
      <c r="G38" s="89"/>
      <c r="H38" s="89"/>
      <c r="I38" s="44">
        <f t="shared" si="16"/>
        <v>0</v>
      </c>
      <c r="J38" s="90"/>
      <c r="K38" s="91"/>
      <c r="L38" s="44">
        <f t="shared" si="17"/>
        <v>0</v>
      </c>
      <c r="M38" s="90"/>
      <c r="N38" s="91"/>
      <c r="O38" s="44">
        <f t="shared" si="18"/>
        <v>0</v>
      </c>
      <c r="P38" s="91"/>
      <c r="Q38" s="91"/>
      <c r="R38" s="44">
        <f t="shared" si="19"/>
        <v>0</v>
      </c>
      <c r="S38" s="91"/>
      <c r="T38" s="91"/>
      <c r="U38" s="44">
        <f t="shared" si="20"/>
        <v>0</v>
      </c>
      <c r="V38" s="91"/>
      <c r="W38" s="91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8"/>
      <c r="D39" s="89"/>
      <c r="E39" s="89"/>
      <c r="F39" s="44">
        <f t="shared" si="15"/>
        <v>0</v>
      </c>
      <c r="G39" s="89"/>
      <c r="H39" s="89"/>
      <c r="I39" s="44">
        <f t="shared" si="16"/>
        <v>0</v>
      </c>
      <c r="J39" s="90"/>
      <c r="K39" s="91"/>
      <c r="L39" s="44">
        <f t="shared" si="17"/>
        <v>0</v>
      </c>
      <c r="M39" s="91"/>
      <c r="N39" s="91"/>
      <c r="O39" s="44">
        <f t="shared" si="18"/>
        <v>0</v>
      </c>
      <c r="P39" s="91"/>
      <c r="Q39" s="91"/>
      <c r="R39" s="44">
        <f t="shared" si="19"/>
        <v>0</v>
      </c>
      <c r="S39" s="91"/>
      <c r="T39" s="91"/>
      <c r="U39" s="44">
        <f t="shared" si="20"/>
        <v>0</v>
      </c>
      <c r="V39" s="91"/>
      <c r="W39" s="91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8"/>
      <c r="D40" s="89"/>
      <c r="E40" s="89"/>
      <c r="F40" s="44">
        <f t="shared" si="15"/>
        <v>0</v>
      </c>
      <c r="G40" s="89"/>
      <c r="H40" s="89"/>
      <c r="I40" s="44">
        <f t="shared" si="16"/>
        <v>0</v>
      </c>
      <c r="J40" s="90"/>
      <c r="K40" s="91"/>
      <c r="L40" s="44">
        <f t="shared" si="17"/>
        <v>0</v>
      </c>
      <c r="M40" s="91"/>
      <c r="N40" s="91"/>
      <c r="O40" s="44">
        <f t="shared" si="18"/>
        <v>0</v>
      </c>
      <c r="P40" s="91"/>
      <c r="Q40" s="91"/>
      <c r="R40" s="44">
        <f t="shared" si="19"/>
        <v>0</v>
      </c>
      <c r="S40" s="91"/>
      <c r="T40" s="91"/>
      <c r="U40" s="44">
        <f t="shared" si="20"/>
        <v>0</v>
      </c>
      <c r="V40" s="91"/>
      <c r="W40" s="91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8"/>
      <c r="D41" s="89"/>
      <c r="E41" s="89"/>
      <c r="F41" s="44">
        <f t="shared" ref="F41:F60" si="77">BA41-BB41</f>
        <v>0</v>
      </c>
      <c r="G41" s="89"/>
      <c r="H41" s="89"/>
      <c r="I41" s="44">
        <f t="shared" ref="I41:I60" si="78">BF41-BG41</f>
        <v>0</v>
      </c>
      <c r="J41" s="90"/>
      <c r="K41" s="91"/>
      <c r="L41" s="44">
        <f t="shared" ref="L41:L60" si="79">BK41-BL41</f>
        <v>0</v>
      </c>
      <c r="M41" s="91"/>
      <c r="N41" s="91"/>
      <c r="O41" s="44">
        <f t="shared" ref="O41:O60" si="80">BP41-BQ41</f>
        <v>0</v>
      </c>
      <c r="P41" s="91"/>
      <c r="Q41" s="91"/>
      <c r="R41" s="44">
        <f t="shared" ref="R41:R60" si="81">BU41-BV41</f>
        <v>0</v>
      </c>
      <c r="S41" s="91"/>
      <c r="T41" s="91"/>
      <c r="U41" s="44">
        <f t="shared" ref="U41:U60" si="82">BZ41-CA41</f>
        <v>0</v>
      </c>
      <c r="V41" s="91"/>
      <c r="W41" s="91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8"/>
      <c r="D42" s="89"/>
      <c r="E42" s="89"/>
      <c r="F42" s="44">
        <f t="shared" si="77"/>
        <v>0</v>
      </c>
      <c r="G42" s="89"/>
      <c r="H42" s="89"/>
      <c r="I42" s="44">
        <f t="shared" si="78"/>
        <v>0</v>
      </c>
      <c r="J42" s="90"/>
      <c r="K42" s="91"/>
      <c r="L42" s="44">
        <f t="shared" si="79"/>
        <v>0</v>
      </c>
      <c r="M42" s="91"/>
      <c r="N42" s="91"/>
      <c r="O42" s="44">
        <f t="shared" si="80"/>
        <v>0</v>
      </c>
      <c r="P42" s="91"/>
      <c r="Q42" s="91"/>
      <c r="R42" s="44">
        <f t="shared" si="81"/>
        <v>0</v>
      </c>
      <c r="S42" s="91"/>
      <c r="T42" s="91"/>
      <c r="U42" s="44">
        <f t="shared" si="82"/>
        <v>0</v>
      </c>
      <c r="V42" s="91"/>
      <c r="W42" s="91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8"/>
      <c r="D43" s="89"/>
      <c r="E43" s="89"/>
      <c r="F43" s="44">
        <f t="shared" si="77"/>
        <v>0</v>
      </c>
      <c r="G43" s="89"/>
      <c r="H43" s="89"/>
      <c r="I43" s="44">
        <f t="shared" si="78"/>
        <v>0</v>
      </c>
      <c r="J43" s="90"/>
      <c r="K43" s="91"/>
      <c r="L43" s="44">
        <f t="shared" si="79"/>
        <v>0</v>
      </c>
      <c r="M43" s="91"/>
      <c r="N43" s="91"/>
      <c r="O43" s="44">
        <f t="shared" si="80"/>
        <v>0</v>
      </c>
      <c r="P43" s="91"/>
      <c r="Q43" s="91"/>
      <c r="R43" s="44">
        <f t="shared" si="81"/>
        <v>0</v>
      </c>
      <c r="S43" s="91"/>
      <c r="T43" s="91"/>
      <c r="U43" s="44">
        <f t="shared" si="82"/>
        <v>0</v>
      </c>
      <c r="V43" s="91"/>
      <c r="W43" s="91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8"/>
      <c r="D44" s="89"/>
      <c r="E44" s="89"/>
      <c r="F44" s="44">
        <f t="shared" si="77"/>
        <v>0</v>
      </c>
      <c r="G44" s="89"/>
      <c r="H44" s="89"/>
      <c r="I44" s="44">
        <f t="shared" si="78"/>
        <v>0</v>
      </c>
      <c r="J44" s="90"/>
      <c r="K44" s="91"/>
      <c r="L44" s="44">
        <f t="shared" si="79"/>
        <v>0</v>
      </c>
      <c r="M44" s="91"/>
      <c r="N44" s="91"/>
      <c r="O44" s="44">
        <f t="shared" si="80"/>
        <v>0</v>
      </c>
      <c r="P44" s="91"/>
      <c r="Q44" s="91"/>
      <c r="R44" s="44">
        <f t="shared" si="81"/>
        <v>0</v>
      </c>
      <c r="S44" s="91"/>
      <c r="T44" s="91"/>
      <c r="U44" s="44">
        <f t="shared" si="82"/>
        <v>0</v>
      </c>
      <c r="V44" s="91"/>
      <c r="W44" s="91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8"/>
      <c r="D45" s="89"/>
      <c r="E45" s="89"/>
      <c r="F45" s="44">
        <f t="shared" si="77"/>
        <v>0</v>
      </c>
      <c r="G45" s="89"/>
      <c r="H45" s="89"/>
      <c r="I45" s="44">
        <f t="shared" si="78"/>
        <v>0</v>
      </c>
      <c r="J45" s="90"/>
      <c r="K45" s="91"/>
      <c r="L45" s="44">
        <f t="shared" si="79"/>
        <v>0</v>
      </c>
      <c r="M45" s="91"/>
      <c r="N45" s="91"/>
      <c r="O45" s="44">
        <f t="shared" si="80"/>
        <v>0</v>
      </c>
      <c r="P45" s="91"/>
      <c r="Q45" s="91"/>
      <c r="R45" s="44">
        <f t="shared" si="81"/>
        <v>0</v>
      </c>
      <c r="S45" s="91"/>
      <c r="T45" s="91"/>
      <c r="U45" s="44">
        <f t="shared" si="82"/>
        <v>0</v>
      </c>
      <c r="V45" s="91"/>
      <c r="W45" s="91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8"/>
      <c r="D46" s="89"/>
      <c r="E46" s="89"/>
      <c r="F46" s="44">
        <f t="shared" si="77"/>
        <v>0</v>
      </c>
      <c r="G46" s="89"/>
      <c r="H46" s="89"/>
      <c r="I46" s="44">
        <f t="shared" si="78"/>
        <v>0</v>
      </c>
      <c r="J46" s="90"/>
      <c r="K46" s="91"/>
      <c r="L46" s="44">
        <f t="shared" si="79"/>
        <v>0</v>
      </c>
      <c r="M46" s="91"/>
      <c r="N46" s="91"/>
      <c r="O46" s="44">
        <f t="shared" si="80"/>
        <v>0</v>
      </c>
      <c r="P46" s="91"/>
      <c r="Q46" s="91"/>
      <c r="R46" s="44">
        <f t="shared" si="81"/>
        <v>0</v>
      </c>
      <c r="S46" s="91"/>
      <c r="T46" s="91"/>
      <c r="U46" s="44">
        <f t="shared" si="82"/>
        <v>0</v>
      </c>
      <c r="V46" s="91"/>
      <c r="W46" s="91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8"/>
      <c r="D47" s="89"/>
      <c r="E47" s="89"/>
      <c r="F47" s="44">
        <f t="shared" si="77"/>
        <v>0</v>
      </c>
      <c r="G47" s="89"/>
      <c r="H47" s="89"/>
      <c r="I47" s="44">
        <f t="shared" si="78"/>
        <v>0</v>
      </c>
      <c r="J47" s="90"/>
      <c r="K47" s="91"/>
      <c r="L47" s="44">
        <f t="shared" si="79"/>
        <v>0</v>
      </c>
      <c r="M47" s="91"/>
      <c r="N47" s="91"/>
      <c r="O47" s="44">
        <f t="shared" si="80"/>
        <v>0</v>
      </c>
      <c r="P47" s="91"/>
      <c r="Q47" s="91"/>
      <c r="R47" s="44">
        <f t="shared" si="81"/>
        <v>0</v>
      </c>
      <c r="S47" s="91"/>
      <c r="T47" s="91"/>
      <c r="U47" s="44">
        <f t="shared" si="82"/>
        <v>0</v>
      </c>
      <c r="V47" s="91"/>
      <c r="W47" s="91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8"/>
      <c r="D48" s="89"/>
      <c r="E48" s="89"/>
      <c r="F48" s="44">
        <f t="shared" ref="F48:F59" si="93">BA48-BB48</f>
        <v>0</v>
      </c>
      <c r="G48" s="89"/>
      <c r="H48" s="89"/>
      <c r="I48" s="44">
        <f t="shared" ref="I48:I59" si="94">BF48-BG48</f>
        <v>0</v>
      </c>
      <c r="J48" s="90"/>
      <c r="K48" s="91"/>
      <c r="L48" s="44">
        <f t="shared" ref="L48:L59" si="95">BK48-BL48</f>
        <v>0</v>
      </c>
      <c r="M48" s="91"/>
      <c r="N48" s="91"/>
      <c r="O48" s="44">
        <f t="shared" ref="O48:O59" si="96">BP48-BQ48</f>
        <v>0</v>
      </c>
      <c r="P48" s="91"/>
      <c r="Q48" s="91"/>
      <c r="R48" s="44">
        <f t="shared" ref="R48:R59" si="97">BU48-BV48</f>
        <v>0</v>
      </c>
      <c r="S48" s="91"/>
      <c r="T48" s="91"/>
      <c r="U48" s="44">
        <f t="shared" ref="U48:U59" si="98">BZ48-CA48</f>
        <v>0</v>
      </c>
      <c r="V48" s="91"/>
      <c r="W48" s="91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8"/>
      <c r="D49" s="89"/>
      <c r="E49" s="89"/>
      <c r="F49" s="44">
        <f t="shared" si="93"/>
        <v>0</v>
      </c>
      <c r="G49" s="89"/>
      <c r="H49" s="89"/>
      <c r="I49" s="44">
        <f t="shared" si="94"/>
        <v>0</v>
      </c>
      <c r="J49" s="90"/>
      <c r="K49" s="91"/>
      <c r="L49" s="44">
        <f t="shared" si="95"/>
        <v>0</v>
      </c>
      <c r="M49" s="91"/>
      <c r="N49" s="91"/>
      <c r="O49" s="44">
        <f t="shared" si="96"/>
        <v>0</v>
      </c>
      <c r="P49" s="91"/>
      <c r="Q49" s="91"/>
      <c r="R49" s="44">
        <f t="shared" si="97"/>
        <v>0</v>
      </c>
      <c r="S49" s="91"/>
      <c r="T49" s="91"/>
      <c r="U49" s="44">
        <f t="shared" si="98"/>
        <v>0</v>
      </c>
      <c r="V49" s="91"/>
      <c r="W49" s="91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8"/>
      <c r="D50" s="89"/>
      <c r="E50" s="89"/>
      <c r="F50" s="44">
        <f t="shared" si="93"/>
        <v>0</v>
      </c>
      <c r="G50" s="89"/>
      <c r="H50" s="89"/>
      <c r="I50" s="44">
        <f t="shared" si="94"/>
        <v>0</v>
      </c>
      <c r="J50" s="90"/>
      <c r="K50" s="91"/>
      <c r="L50" s="44">
        <f t="shared" si="95"/>
        <v>0</v>
      </c>
      <c r="M50" s="91"/>
      <c r="N50" s="91"/>
      <c r="O50" s="44">
        <f t="shared" si="96"/>
        <v>0</v>
      </c>
      <c r="P50" s="91"/>
      <c r="Q50" s="91"/>
      <c r="R50" s="44">
        <f t="shared" si="97"/>
        <v>0</v>
      </c>
      <c r="S50" s="91"/>
      <c r="T50" s="91"/>
      <c r="U50" s="44">
        <f t="shared" si="98"/>
        <v>0</v>
      </c>
      <c r="V50" s="91"/>
      <c r="W50" s="91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8"/>
      <c r="D51" s="89"/>
      <c r="E51" s="89"/>
      <c r="F51" s="44">
        <f t="shared" si="93"/>
        <v>0</v>
      </c>
      <c r="G51" s="89"/>
      <c r="H51" s="89"/>
      <c r="I51" s="44">
        <f t="shared" si="94"/>
        <v>0</v>
      </c>
      <c r="J51" s="90"/>
      <c r="K51" s="91"/>
      <c r="L51" s="44">
        <f t="shared" si="95"/>
        <v>0</v>
      </c>
      <c r="M51" s="91"/>
      <c r="N51" s="91"/>
      <c r="O51" s="44">
        <f t="shared" si="96"/>
        <v>0</v>
      </c>
      <c r="P51" s="91"/>
      <c r="Q51" s="91"/>
      <c r="R51" s="44">
        <f t="shared" si="97"/>
        <v>0</v>
      </c>
      <c r="S51" s="91"/>
      <c r="T51" s="91"/>
      <c r="U51" s="44">
        <f t="shared" si="98"/>
        <v>0</v>
      </c>
      <c r="V51" s="91"/>
      <c r="W51" s="91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8"/>
      <c r="D52" s="89"/>
      <c r="E52" s="89"/>
      <c r="F52" s="44">
        <f t="shared" si="93"/>
        <v>0</v>
      </c>
      <c r="G52" s="89"/>
      <c r="H52" s="89"/>
      <c r="I52" s="44">
        <f t="shared" si="94"/>
        <v>0</v>
      </c>
      <c r="J52" s="90"/>
      <c r="K52" s="91"/>
      <c r="L52" s="44">
        <f t="shared" si="95"/>
        <v>0</v>
      </c>
      <c r="M52" s="91"/>
      <c r="N52" s="91"/>
      <c r="O52" s="44">
        <f t="shared" si="96"/>
        <v>0</v>
      </c>
      <c r="P52" s="91"/>
      <c r="Q52" s="91"/>
      <c r="R52" s="44">
        <f t="shared" si="97"/>
        <v>0</v>
      </c>
      <c r="S52" s="91"/>
      <c r="T52" s="91"/>
      <c r="U52" s="44">
        <f t="shared" si="98"/>
        <v>0</v>
      </c>
      <c r="V52" s="91"/>
      <c r="W52" s="91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8"/>
      <c r="D53" s="89"/>
      <c r="E53" s="89"/>
      <c r="F53" s="44">
        <f t="shared" si="93"/>
        <v>0</v>
      </c>
      <c r="G53" s="89"/>
      <c r="H53" s="89"/>
      <c r="I53" s="44">
        <f t="shared" si="94"/>
        <v>0</v>
      </c>
      <c r="J53" s="90"/>
      <c r="K53" s="91"/>
      <c r="L53" s="44">
        <f t="shared" si="95"/>
        <v>0</v>
      </c>
      <c r="M53" s="91"/>
      <c r="N53" s="91"/>
      <c r="O53" s="44">
        <f t="shared" si="96"/>
        <v>0</v>
      </c>
      <c r="P53" s="91"/>
      <c r="Q53" s="91"/>
      <c r="R53" s="44">
        <f t="shared" si="97"/>
        <v>0</v>
      </c>
      <c r="S53" s="91"/>
      <c r="T53" s="91"/>
      <c r="U53" s="44">
        <f t="shared" si="98"/>
        <v>0</v>
      </c>
      <c r="V53" s="91"/>
      <c r="W53" s="91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8"/>
      <c r="D54" s="89"/>
      <c r="E54" s="89"/>
      <c r="F54" s="44">
        <f t="shared" si="93"/>
        <v>0</v>
      </c>
      <c r="G54" s="89"/>
      <c r="H54" s="89"/>
      <c r="I54" s="44">
        <f t="shared" si="94"/>
        <v>0</v>
      </c>
      <c r="J54" s="90"/>
      <c r="K54" s="91"/>
      <c r="L54" s="44">
        <f t="shared" si="95"/>
        <v>0</v>
      </c>
      <c r="M54" s="91"/>
      <c r="N54" s="91"/>
      <c r="O54" s="44">
        <f t="shared" si="96"/>
        <v>0</v>
      </c>
      <c r="P54" s="91"/>
      <c r="Q54" s="91"/>
      <c r="R54" s="44">
        <f t="shared" si="97"/>
        <v>0</v>
      </c>
      <c r="S54" s="91"/>
      <c r="T54" s="91"/>
      <c r="U54" s="44">
        <f t="shared" si="98"/>
        <v>0</v>
      </c>
      <c r="V54" s="91"/>
      <c r="W54" s="91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8"/>
      <c r="D55" s="89"/>
      <c r="E55" s="89"/>
      <c r="F55" s="44">
        <f t="shared" si="93"/>
        <v>0</v>
      </c>
      <c r="G55" s="89"/>
      <c r="H55" s="89"/>
      <c r="I55" s="44">
        <f t="shared" si="94"/>
        <v>0</v>
      </c>
      <c r="J55" s="90"/>
      <c r="K55" s="91"/>
      <c r="L55" s="44">
        <f t="shared" si="95"/>
        <v>0</v>
      </c>
      <c r="M55" s="91"/>
      <c r="N55" s="91"/>
      <c r="O55" s="44">
        <f t="shared" si="96"/>
        <v>0</v>
      </c>
      <c r="P55" s="91"/>
      <c r="Q55" s="91"/>
      <c r="R55" s="44">
        <f t="shared" si="97"/>
        <v>0</v>
      </c>
      <c r="S55" s="91"/>
      <c r="T55" s="91"/>
      <c r="U55" s="44">
        <f t="shared" si="98"/>
        <v>0</v>
      </c>
      <c r="V55" s="91"/>
      <c r="W55" s="91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8"/>
      <c r="D56" s="89"/>
      <c r="E56" s="89"/>
      <c r="F56" s="44">
        <f t="shared" si="93"/>
        <v>0</v>
      </c>
      <c r="G56" s="89"/>
      <c r="H56" s="89"/>
      <c r="I56" s="44">
        <f t="shared" si="94"/>
        <v>0</v>
      </c>
      <c r="J56" s="90"/>
      <c r="K56" s="91"/>
      <c r="L56" s="44">
        <f t="shared" si="95"/>
        <v>0</v>
      </c>
      <c r="M56" s="91"/>
      <c r="N56" s="91"/>
      <c r="O56" s="44">
        <f t="shared" si="96"/>
        <v>0</v>
      </c>
      <c r="P56" s="91"/>
      <c r="Q56" s="91"/>
      <c r="R56" s="44">
        <f t="shared" si="97"/>
        <v>0</v>
      </c>
      <c r="S56" s="91"/>
      <c r="T56" s="91"/>
      <c r="U56" s="44">
        <f t="shared" si="98"/>
        <v>0</v>
      </c>
      <c r="V56" s="91"/>
      <c r="W56" s="91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8"/>
      <c r="D57" s="89"/>
      <c r="E57" s="89"/>
      <c r="F57" s="44">
        <f t="shared" si="93"/>
        <v>0</v>
      </c>
      <c r="G57" s="89"/>
      <c r="H57" s="89"/>
      <c r="I57" s="44">
        <f t="shared" si="94"/>
        <v>0</v>
      </c>
      <c r="J57" s="90"/>
      <c r="K57" s="91"/>
      <c r="L57" s="44">
        <f t="shared" si="95"/>
        <v>0</v>
      </c>
      <c r="M57" s="91"/>
      <c r="N57" s="91"/>
      <c r="O57" s="44">
        <f t="shared" si="96"/>
        <v>0</v>
      </c>
      <c r="P57" s="91"/>
      <c r="Q57" s="91"/>
      <c r="R57" s="44">
        <f t="shared" si="97"/>
        <v>0</v>
      </c>
      <c r="S57" s="91"/>
      <c r="T57" s="91"/>
      <c r="U57" s="44">
        <f t="shared" si="98"/>
        <v>0</v>
      </c>
      <c r="V57" s="91"/>
      <c r="W57" s="91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8"/>
      <c r="D58" s="89"/>
      <c r="E58" s="89"/>
      <c r="F58" s="44">
        <f t="shared" si="93"/>
        <v>0</v>
      </c>
      <c r="G58" s="89"/>
      <c r="H58" s="89"/>
      <c r="I58" s="44">
        <f t="shared" si="94"/>
        <v>0</v>
      </c>
      <c r="J58" s="90"/>
      <c r="K58" s="91"/>
      <c r="L58" s="44">
        <f t="shared" si="95"/>
        <v>0</v>
      </c>
      <c r="M58" s="91"/>
      <c r="N58" s="91"/>
      <c r="O58" s="44">
        <f t="shared" si="96"/>
        <v>0</v>
      </c>
      <c r="P58" s="91"/>
      <c r="Q58" s="91"/>
      <c r="R58" s="44">
        <f t="shared" si="97"/>
        <v>0</v>
      </c>
      <c r="S58" s="91"/>
      <c r="T58" s="91"/>
      <c r="U58" s="44">
        <f t="shared" si="98"/>
        <v>0</v>
      </c>
      <c r="V58" s="91"/>
      <c r="W58" s="91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8"/>
      <c r="D59" s="89"/>
      <c r="E59" s="89"/>
      <c r="F59" s="44">
        <f t="shared" si="93"/>
        <v>0</v>
      </c>
      <c r="G59" s="89"/>
      <c r="H59" s="89"/>
      <c r="I59" s="44">
        <f t="shared" si="94"/>
        <v>0</v>
      </c>
      <c r="J59" s="90"/>
      <c r="K59" s="91"/>
      <c r="L59" s="44">
        <f t="shared" si="95"/>
        <v>0</v>
      </c>
      <c r="M59" s="91"/>
      <c r="N59" s="91"/>
      <c r="O59" s="44">
        <f t="shared" si="96"/>
        <v>0</v>
      </c>
      <c r="P59" s="91"/>
      <c r="Q59" s="91"/>
      <c r="R59" s="44">
        <f t="shared" si="97"/>
        <v>0</v>
      </c>
      <c r="S59" s="91"/>
      <c r="T59" s="91"/>
      <c r="U59" s="44">
        <f t="shared" si="98"/>
        <v>0</v>
      </c>
      <c r="V59" s="91"/>
      <c r="W59" s="91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8"/>
      <c r="D60" s="89"/>
      <c r="E60" s="89"/>
      <c r="F60" s="44">
        <f t="shared" si="77"/>
        <v>0</v>
      </c>
      <c r="G60" s="89"/>
      <c r="H60" s="89"/>
      <c r="I60" s="44">
        <f t="shared" si="78"/>
        <v>0</v>
      </c>
      <c r="J60" s="90"/>
      <c r="K60" s="91"/>
      <c r="L60" s="44">
        <f t="shared" si="79"/>
        <v>0</v>
      </c>
      <c r="M60" s="91"/>
      <c r="N60" s="91"/>
      <c r="O60" s="44">
        <f t="shared" si="80"/>
        <v>0</v>
      </c>
      <c r="P60" s="91"/>
      <c r="Q60" s="91"/>
      <c r="R60" s="44">
        <f t="shared" si="81"/>
        <v>0</v>
      </c>
      <c r="S60" s="91"/>
      <c r="T60" s="91"/>
      <c r="U60" s="44">
        <f t="shared" si="82"/>
        <v>0</v>
      </c>
      <c r="V60" s="91"/>
      <c r="W60" s="91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8"/>
      <c r="D61" s="89"/>
      <c r="E61" s="89"/>
      <c r="F61" s="44">
        <f t="shared" si="15"/>
        <v>0</v>
      </c>
      <c r="G61" s="89"/>
      <c r="H61" s="89"/>
      <c r="I61" s="44">
        <f t="shared" si="16"/>
        <v>0</v>
      </c>
      <c r="J61" s="90"/>
      <c r="K61" s="91"/>
      <c r="L61" s="44">
        <f t="shared" si="17"/>
        <v>0</v>
      </c>
      <c r="M61" s="91"/>
      <c r="N61" s="91"/>
      <c r="O61" s="44">
        <f t="shared" si="18"/>
        <v>0</v>
      </c>
      <c r="P61" s="91"/>
      <c r="Q61" s="91"/>
      <c r="R61" s="44">
        <f t="shared" si="19"/>
        <v>0</v>
      </c>
      <c r="S61" s="91"/>
      <c r="T61" s="91"/>
      <c r="U61" s="44">
        <f t="shared" si="20"/>
        <v>0</v>
      </c>
      <c r="V61" s="91"/>
      <c r="W61" s="91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8"/>
      <c r="D62" s="89"/>
      <c r="E62" s="89"/>
      <c r="F62" s="44">
        <f t="shared" si="15"/>
        <v>0</v>
      </c>
      <c r="G62" s="89"/>
      <c r="H62" s="89"/>
      <c r="I62" s="44">
        <f t="shared" si="16"/>
        <v>0</v>
      </c>
      <c r="J62" s="90"/>
      <c r="K62" s="91"/>
      <c r="L62" s="44">
        <f t="shared" si="17"/>
        <v>0</v>
      </c>
      <c r="M62" s="91"/>
      <c r="N62" s="91"/>
      <c r="O62" s="44">
        <f t="shared" si="18"/>
        <v>0</v>
      </c>
      <c r="P62" s="91"/>
      <c r="Q62" s="91"/>
      <c r="R62" s="44">
        <f t="shared" si="19"/>
        <v>0</v>
      </c>
      <c r="S62" s="91"/>
      <c r="T62" s="91"/>
      <c r="U62" s="44">
        <f t="shared" si="20"/>
        <v>0</v>
      </c>
      <c r="V62" s="91"/>
      <c r="W62" s="91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8"/>
      <c r="D63" s="89"/>
      <c r="E63" s="89"/>
      <c r="F63" s="44">
        <f t="shared" si="15"/>
        <v>0</v>
      </c>
      <c r="G63" s="89"/>
      <c r="H63" s="89"/>
      <c r="I63" s="44">
        <f t="shared" si="16"/>
        <v>0</v>
      </c>
      <c r="J63" s="90"/>
      <c r="K63" s="91"/>
      <c r="L63" s="44">
        <f t="shared" si="17"/>
        <v>0</v>
      </c>
      <c r="M63" s="91"/>
      <c r="N63" s="91"/>
      <c r="O63" s="44">
        <f t="shared" si="18"/>
        <v>0</v>
      </c>
      <c r="P63" s="91"/>
      <c r="Q63" s="91"/>
      <c r="R63" s="44">
        <f t="shared" si="19"/>
        <v>0</v>
      </c>
      <c r="S63" s="91"/>
      <c r="T63" s="91"/>
      <c r="U63" s="44">
        <f t="shared" si="20"/>
        <v>0</v>
      </c>
      <c r="V63" s="91"/>
      <c r="W63" s="91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8"/>
      <c r="D64" s="89"/>
      <c r="E64" s="89"/>
      <c r="F64" s="44">
        <f t="shared" si="15"/>
        <v>0</v>
      </c>
      <c r="G64" s="89"/>
      <c r="H64" s="89"/>
      <c r="I64" s="44">
        <f t="shared" si="16"/>
        <v>0</v>
      </c>
      <c r="J64" s="90"/>
      <c r="K64" s="91"/>
      <c r="L64" s="44">
        <f t="shared" si="17"/>
        <v>0</v>
      </c>
      <c r="M64" s="91"/>
      <c r="N64" s="91"/>
      <c r="O64" s="44">
        <f t="shared" si="18"/>
        <v>0</v>
      </c>
      <c r="P64" s="91"/>
      <c r="Q64" s="91"/>
      <c r="R64" s="44">
        <f t="shared" si="19"/>
        <v>0</v>
      </c>
      <c r="S64" s="91"/>
      <c r="T64" s="91"/>
      <c r="U64" s="44">
        <f t="shared" si="20"/>
        <v>0</v>
      </c>
      <c r="V64" s="91"/>
      <c r="W64" s="91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8"/>
      <c r="D65" s="89"/>
      <c r="E65" s="89"/>
      <c r="F65" s="44">
        <f t="shared" si="15"/>
        <v>0</v>
      </c>
      <c r="G65" s="89"/>
      <c r="H65" s="89"/>
      <c r="I65" s="44">
        <f t="shared" si="16"/>
        <v>0</v>
      </c>
      <c r="J65" s="90"/>
      <c r="K65" s="91"/>
      <c r="L65" s="44">
        <f t="shared" si="17"/>
        <v>0</v>
      </c>
      <c r="M65" s="91"/>
      <c r="N65" s="91"/>
      <c r="O65" s="44">
        <f t="shared" si="18"/>
        <v>0</v>
      </c>
      <c r="P65" s="91"/>
      <c r="Q65" s="91"/>
      <c r="R65" s="44">
        <f t="shared" si="19"/>
        <v>0</v>
      </c>
      <c r="S65" s="91"/>
      <c r="T65" s="91"/>
      <c r="U65" s="44">
        <f t="shared" si="20"/>
        <v>0</v>
      </c>
      <c r="V65" s="91"/>
      <c r="W65" s="91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8"/>
      <c r="D66" s="89"/>
      <c r="E66" s="89"/>
      <c r="F66" s="44">
        <f t="shared" si="15"/>
        <v>0</v>
      </c>
      <c r="G66" s="89"/>
      <c r="H66" s="89"/>
      <c r="I66" s="44">
        <f t="shared" si="16"/>
        <v>0</v>
      </c>
      <c r="J66" s="90"/>
      <c r="K66" s="91"/>
      <c r="L66" s="44">
        <f t="shared" si="17"/>
        <v>0</v>
      </c>
      <c r="M66" s="91"/>
      <c r="N66" s="91"/>
      <c r="O66" s="44">
        <f t="shared" si="18"/>
        <v>0</v>
      </c>
      <c r="P66" s="91"/>
      <c r="Q66" s="91"/>
      <c r="R66" s="44">
        <f t="shared" si="19"/>
        <v>0</v>
      </c>
      <c r="S66" s="91"/>
      <c r="T66" s="91"/>
      <c r="U66" s="44">
        <f t="shared" si="20"/>
        <v>0</v>
      </c>
      <c r="V66" s="91"/>
      <c r="W66" s="91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8"/>
      <c r="D67" s="89"/>
      <c r="E67" s="89"/>
      <c r="F67" s="44">
        <f t="shared" si="15"/>
        <v>0</v>
      </c>
      <c r="G67" s="89"/>
      <c r="H67" s="91"/>
      <c r="I67" s="44">
        <f t="shared" si="16"/>
        <v>0</v>
      </c>
      <c r="J67" s="90"/>
      <c r="K67" s="91"/>
      <c r="L67" s="44">
        <f t="shared" si="17"/>
        <v>0</v>
      </c>
      <c r="M67" s="91"/>
      <c r="N67" s="91"/>
      <c r="O67" s="44">
        <f t="shared" si="18"/>
        <v>0</v>
      </c>
      <c r="P67" s="91"/>
      <c r="Q67" s="91"/>
      <c r="R67" s="44">
        <f t="shared" si="19"/>
        <v>0</v>
      </c>
      <c r="S67" s="91"/>
      <c r="T67" s="91"/>
      <c r="U67" s="44">
        <f t="shared" si="20"/>
        <v>0</v>
      </c>
      <c r="V67" s="91"/>
      <c r="W67" s="91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8"/>
      <c r="D68" s="89"/>
      <c r="E68" s="89"/>
      <c r="F68" s="44">
        <f t="shared" si="15"/>
        <v>0</v>
      </c>
      <c r="G68" s="89"/>
      <c r="H68" s="89"/>
      <c r="I68" s="44">
        <f t="shared" si="16"/>
        <v>0</v>
      </c>
      <c r="J68" s="90"/>
      <c r="K68" s="91"/>
      <c r="L68" s="44">
        <f t="shared" si="17"/>
        <v>0</v>
      </c>
      <c r="M68" s="91"/>
      <c r="N68" s="91"/>
      <c r="O68" s="44">
        <f t="shared" si="18"/>
        <v>0</v>
      </c>
      <c r="P68" s="91"/>
      <c r="Q68" s="91"/>
      <c r="R68" s="44">
        <f t="shared" si="19"/>
        <v>0</v>
      </c>
      <c r="S68" s="91"/>
      <c r="T68" s="91"/>
      <c r="U68" s="44">
        <f t="shared" si="20"/>
        <v>0</v>
      </c>
      <c r="V68" s="91"/>
      <c r="W68" s="91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8"/>
      <c r="D69" s="89"/>
      <c r="E69" s="89"/>
      <c r="F69" s="44">
        <f t="shared" si="15"/>
        <v>0</v>
      </c>
      <c r="G69" s="89"/>
      <c r="H69" s="89"/>
      <c r="I69" s="44">
        <f t="shared" si="16"/>
        <v>0</v>
      </c>
      <c r="J69" s="90"/>
      <c r="K69" s="91"/>
      <c r="L69" s="44">
        <f t="shared" si="17"/>
        <v>0</v>
      </c>
      <c r="M69" s="91"/>
      <c r="N69" s="91"/>
      <c r="O69" s="44">
        <f t="shared" si="18"/>
        <v>0</v>
      </c>
      <c r="P69" s="91"/>
      <c r="Q69" s="91"/>
      <c r="R69" s="44">
        <f t="shared" si="19"/>
        <v>0</v>
      </c>
      <c r="S69" s="91"/>
      <c r="T69" s="91"/>
      <c r="U69" s="44">
        <f t="shared" si="20"/>
        <v>0</v>
      </c>
      <c r="V69" s="91"/>
      <c r="W69" s="91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8"/>
      <c r="D70" s="89"/>
      <c r="E70" s="89"/>
      <c r="F70" s="44">
        <f t="shared" ref="F70:F100" si="152">BA70-BB70</f>
        <v>0</v>
      </c>
      <c r="G70" s="89"/>
      <c r="H70" s="89"/>
      <c r="I70" s="44">
        <f t="shared" ref="I70:I100" si="153">BF70-BG70</f>
        <v>0</v>
      </c>
      <c r="J70" s="90"/>
      <c r="K70" s="91"/>
      <c r="L70" s="44">
        <f t="shared" ref="L70:L100" si="154">BK70-BL70</f>
        <v>0</v>
      </c>
      <c r="M70" s="91"/>
      <c r="N70" s="91"/>
      <c r="O70" s="44">
        <f t="shared" ref="O70:O100" si="155">BP70-BQ70</f>
        <v>0</v>
      </c>
      <c r="P70" s="91"/>
      <c r="Q70" s="91"/>
      <c r="R70" s="44">
        <f t="shared" ref="R70:R100" si="156">BU70-BV70</f>
        <v>0</v>
      </c>
      <c r="S70" s="91"/>
      <c r="T70" s="91"/>
      <c r="U70" s="44">
        <f t="shared" ref="U70:U100" si="157">BZ70-CA70</f>
        <v>0</v>
      </c>
      <c r="V70" s="91"/>
      <c r="W70" s="91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8"/>
      <c r="D71" s="89"/>
      <c r="E71" s="89"/>
      <c r="F71" s="44">
        <f t="shared" si="152"/>
        <v>0</v>
      </c>
      <c r="G71" s="89"/>
      <c r="H71" s="89"/>
      <c r="I71" s="44">
        <f t="shared" si="153"/>
        <v>0</v>
      </c>
      <c r="J71" s="90"/>
      <c r="K71" s="91"/>
      <c r="L71" s="44">
        <f t="shared" si="154"/>
        <v>0</v>
      </c>
      <c r="M71" s="91"/>
      <c r="N71" s="91"/>
      <c r="O71" s="44">
        <f t="shared" si="155"/>
        <v>0</v>
      </c>
      <c r="P71" s="91"/>
      <c r="Q71" s="91"/>
      <c r="R71" s="44">
        <f t="shared" si="156"/>
        <v>0</v>
      </c>
      <c r="S71" s="91"/>
      <c r="T71" s="91"/>
      <c r="U71" s="44">
        <f t="shared" si="157"/>
        <v>0</v>
      </c>
      <c r="V71" s="91"/>
      <c r="W71" s="91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8"/>
      <c r="D72" s="89"/>
      <c r="E72" s="89"/>
      <c r="F72" s="44">
        <f t="shared" si="152"/>
        <v>0</v>
      </c>
      <c r="G72" s="89"/>
      <c r="H72" s="89"/>
      <c r="I72" s="44">
        <f t="shared" si="153"/>
        <v>0</v>
      </c>
      <c r="J72" s="90"/>
      <c r="K72" s="91"/>
      <c r="L72" s="44">
        <f t="shared" si="154"/>
        <v>0</v>
      </c>
      <c r="M72" s="91"/>
      <c r="N72" s="91"/>
      <c r="O72" s="44">
        <f t="shared" si="155"/>
        <v>0</v>
      </c>
      <c r="P72" s="91"/>
      <c r="Q72" s="91"/>
      <c r="R72" s="44">
        <f t="shared" si="156"/>
        <v>0</v>
      </c>
      <c r="S72" s="91"/>
      <c r="T72" s="91"/>
      <c r="U72" s="44">
        <f t="shared" si="157"/>
        <v>0</v>
      </c>
      <c r="V72" s="91"/>
      <c r="W72" s="91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8"/>
      <c r="D73" s="89"/>
      <c r="E73" s="89"/>
      <c r="F73" s="44">
        <f t="shared" si="152"/>
        <v>0</v>
      </c>
      <c r="G73" s="89"/>
      <c r="H73" s="89"/>
      <c r="I73" s="44">
        <f t="shared" si="153"/>
        <v>0</v>
      </c>
      <c r="J73" s="90"/>
      <c r="K73" s="91"/>
      <c r="L73" s="44">
        <f t="shared" si="154"/>
        <v>0</v>
      </c>
      <c r="M73" s="91"/>
      <c r="N73" s="91"/>
      <c r="O73" s="44">
        <f t="shared" si="155"/>
        <v>0</v>
      </c>
      <c r="P73" s="91"/>
      <c r="Q73" s="91"/>
      <c r="R73" s="44">
        <f t="shared" si="156"/>
        <v>0</v>
      </c>
      <c r="S73" s="91"/>
      <c r="T73" s="91"/>
      <c r="U73" s="44">
        <f t="shared" si="157"/>
        <v>0</v>
      </c>
      <c r="V73" s="91"/>
      <c r="W73" s="91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8"/>
      <c r="D74" s="89"/>
      <c r="E74" s="89"/>
      <c r="F74" s="44">
        <f t="shared" si="152"/>
        <v>0</v>
      </c>
      <c r="G74" s="89"/>
      <c r="H74" s="89"/>
      <c r="I74" s="44">
        <f t="shared" si="153"/>
        <v>0</v>
      </c>
      <c r="J74" s="90"/>
      <c r="K74" s="91"/>
      <c r="L74" s="44">
        <f t="shared" si="154"/>
        <v>0</v>
      </c>
      <c r="M74" s="91"/>
      <c r="N74" s="91"/>
      <c r="O74" s="44">
        <f t="shared" si="155"/>
        <v>0</v>
      </c>
      <c r="P74" s="91"/>
      <c r="Q74" s="91"/>
      <c r="R74" s="44">
        <f t="shared" si="156"/>
        <v>0</v>
      </c>
      <c r="S74" s="91"/>
      <c r="T74" s="91"/>
      <c r="U74" s="44">
        <f t="shared" si="157"/>
        <v>0</v>
      </c>
      <c r="V74" s="91"/>
      <c r="W74" s="91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8"/>
      <c r="D75" s="89"/>
      <c r="E75" s="89"/>
      <c r="F75" s="44">
        <f t="shared" si="152"/>
        <v>0</v>
      </c>
      <c r="G75" s="89"/>
      <c r="H75" s="89"/>
      <c r="I75" s="44">
        <f t="shared" si="153"/>
        <v>0</v>
      </c>
      <c r="J75" s="90"/>
      <c r="K75" s="91"/>
      <c r="L75" s="44">
        <f t="shared" si="154"/>
        <v>0</v>
      </c>
      <c r="M75" s="91"/>
      <c r="N75" s="91"/>
      <c r="O75" s="44">
        <f t="shared" si="155"/>
        <v>0</v>
      </c>
      <c r="P75" s="91"/>
      <c r="Q75" s="91"/>
      <c r="R75" s="44">
        <f t="shared" si="156"/>
        <v>0</v>
      </c>
      <c r="S75" s="91"/>
      <c r="T75" s="91"/>
      <c r="U75" s="44">
        <f t="shared" si="157"/>
        <v>0</v>
      </c>
      <c r="V75" s="91"/>
      <c r="W75" s="91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8"/>
      <c r="D76" s="89"/>
      <c r="E76" s="89"/>
      <c r="F76" s="44">
        <f t="shared" si="152"/>
        <v>0</v>
      </c>
      <c r="G76" s="89"/>
      <c r="H76" s="89"/>
      <c r="I76" s="44">
        <f t="shared" si="153"/>
        <v>0</v>
      </c>
      <c r="J76" s="90"/>
      <c r="K76" s="91"/>
      <c r="L76" s="44">
        <f t="shared" si="154"/>
        <v>0</v>
      </c>
      <c r="M76" s="91"/>
      <c r="N76" s="91"/>
      <c r="O76" s="44">
        <f t="shared" si="155"/>
        <v>0</v>
      </c>
      <c r="P76" s="91"/>
      <c r="Q76" s="91"/>
      <c r="R76" s="44">
        <f t="shared" si="156"/>
        <v>0</v>
      </c>
      <c r="S76" s="91"/>
      <c r="T76" s="91"/>
      <c r="U76" s="44">
        <f t="shared" si="157"/>
        <v>0</v>
      </c>
      <c r="V76" s="91"/>
      <c r="W76" s="91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8"/>
      <c r="D77" s="89"/>
      <c r="E77" s="89"/>
      <c r="F77" s="44">
        <f t="shared" si="152"/>
        <v>0</v>
      </c>
      <c r="G77" s="89"/>
      <c r="H77" s="89"/>
      <c r="I77" s="44">
        <f t="shared" si="153"/>
        <v>0</v>
      </c>
      <c r="J77" s="90"/>
      <c r="K77" s="91"/>
      <c r="L77" s="44">
        <f t="shared" si="154"/>
        <v>0</v>
      </c>
      <c r="M77" s="91"/>
      <c r="N77" s="91"/>
      <c r="O77" s="44">
        <f t="shared" si="155"/>
        <v>0</v>
      </c>
      <c r="P77" s="91"/>
      <c r="Q77" s="91"/>
      <c r="R77" s="44">
        <f t="shared" si="156"/>
        <v>0</v>
      </c>
      <c r="S77" s="91"/>
      <c r="T77" s="91"/>
      <c r="U77" s="44">
        <f t="shared" si="157"/>
        <v>0</v>
      </c>
      <c r="V77" s="91"/>
      <c r="W77" s="91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8"/>
      <c r="D78" s="89"/>
      <c r="E78" s="89"/>
      <c r="F78" s="44">
        <f t="shared" si="152"/>
        <v>0</v>
      </c>
      <c r="G78" s="89"/>
      <c r="H78" s="89"/>
      <c r="I78" s="44">
        <f t="shared" si="153"/>
        <v>0</v>
      </c>
      <c r="J78" s="90"/>
      <c r="K78" s="91"/>
      <c r="L78" s="44">
        <f t="shared" si="154"/>
        <v>0</v>
      </c>
      <c r="M78" s="91"/>
      <c r="N78" s="91"/>
      <c r="O78" s="44">
        <f t="shared" si="155"/>
        <v>0</v>
      </c>
      <c r="P78" s="91"/>
      <c r="Q78" s="91"/>
      <c r="R78" s="44">
        <f t="shared" si="156"/>
        <v>0</v>
      </c>
      <c r="S78" s="91"/>
      <c r="T78" s="91"/>
      <c r="U78" s="44">
        <f t="shared" si="157"/>
        <v>0</v>
      </c>
      <c r="V78" s="91"/>
      <c r="W78" s="91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8"/>
      <c r="D79" s="89"/>
      <c r="E79" s="89"/>
      <c r="F79" s="44">
        <f t="shared" si="152"/>
        <v>0</v>
      </c>
      <c r="G79" s="89"/>
      <c r="H79" s="89"/>
      <c r="I79" s="44">
        <f t="shared" si="153"/>
        <v>0</v>
      </c>
      <c r="J79" s="90"/>
      <c r="K79" s="91"/>
      <c r="L79" s="44">
        <f t="shared" si="154"/>
        <v>0</v>
      </c>
      <c r="M79" s="91"/>
      <c r="N79" s="91"/>
      <c r="O79" s="44">
        <f t="shared" si="155"/>
        <v>0</v>
      </c>
      <c r="P79" s="91"/>
      <c r="Q79" s="91"/>
      <c r="R79" s="44">
        <f t="shared" si="156"/>
        <v>0</v>
      </c>
      <c r="S79" s="91"/>
      <c r="T79" s="91"/>
      <c r="U79" s="44">
        <f t="shared" si="157"/>
        <v>0</v>
      </c>
      <c r="V79" s="91"/>
      <c r="W79" s="91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8"/>
      <c r="D80" s="89"/>
      <c r="E80" s="89"/>
      <c r="F80" s="44">
        <f t="shared" si="152"/>
        <v>0</v>
      </c>
      <c r="G80" s="89"/>
      <c r="H80" s="89"/>
      <c r="I80" s="44">
        <f t="shared" si="153"/>
        <v>0</v>
      </c>
      <c r="J80" s="90"/>
      <c r="K80" s="91"/>
      <c r="L80" s="44">
        <f t="shared" si="154"/>
        <v>0</v>
      </c>
      <c r="M80" s="91"/>
      <c r="N80" s="91"/>
      <c r="O80" s="44">
        <f t="shared" si="155"/>
        <v>0</v>
      </c>
      <c r="P80" s="91"/>
      <c r="Q80" s="91"/>
      <c r="R80" s="44">
        <f t="shared" si="156"/>
        <v>0</v>
      </c>
      <c r="S80" s="91"/>
      <c r="T80" s="91"/>
      <c r="U80" s="44">
        <f t="shared" si="157"/>
        <v>0</v>
      </c>
      <c r="V80" s="91"/>
      <c r="W80" s="91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8"/>
      <c r="D81" s="89"/>
      <c r="E81" s="89"/>
      <c r="F81" s="44">
        <f t="shared" si="152"/>
        <v>0</v>
      </c>
      <c r="G81" s="89"/>
      <c r="H81" s="89"/>
      <c r="I81" s="44">
        <f t="shared" si="153"/>
        <v>0</v>
      </c>
      <c r="J81" s="90"/>
      <c r="K81" s="91"/>
      <c r="L81" s="44">
        <f t="shared" si="154"/>
        <v>0</v>
      </c>
      <c r="M81" s="91"/>
      <c r="N81" s="91"/>
      <c r="O81" s="44">
        <f t="shared" si="155"/>
        <v>0</v>
      </c>
      <c r="P81" s="91"/>
      <c r="Q81" s="91"/>
      <c r="R81" s="44">
        <f t="shared" si="156"/>
        <v>0</v>
      </c>
      <c r="S81" s="91"/>
      <c r="T81" s="91"/>
      <c r="U81" s="44">
        <f t="shared" si="157"/>
        <v>0</v>
      </c>
      <c r="V81" s="91"/>
      <c r="W81" s="91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8"/>
      <c r="D82" s="89"/>
      <c r="E82" s="89"/>
      <c r="F82" s="44">
        <f t="shared" si="152"/>
        <v>0</v>
      </c>
      <c r="G82" s="89"/>
      <c r="H82" s="89"/>
      <c r="I82" s="44">
        <f t="shared" si="153"/>
        <v>0</v>
      </c>
      <c r="J82" s="90"/>
      <c r="K82" s="91"/>
      <c r="L82" s="44">
        <f t="shared" si="154"/>
        <v>0</v>
      </c>
      <c r="M82" s="91"/>
      <c r="N82" s="91"/>
      <c r="O82" s="44">
        <f t="shared" si="155"/>
        <v>0</v>
      </c>
      <c r="P82" s="91"/>
      <c r="Q82" s="91"/>
      <c r="R82" s="44">
        <f t="shared" si="156"/>
        <v>0</v>
      </c>
      <c r="S82" s="91"/>
      <c r="T82" s="91"/>
      <c r="U82" s="44">
        <f t="shared" si="157"/>
        <v>0</v>
      </c>
      <c r="V82" s="91"/>
      <c r="W82" s="91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8"/>
      <c r="D83" s="89"/>
      <c r="E83" s="89"/>
      <c r="F83" s="44">
        <f t="shared" si="152"/>
        <v>0</v>
      </c>
      <c r="G83" s="89"/>
      <c r="H83" s="89"/>
      <c r="I83" s="44">
        <f t="shared" si="153"/>
        <v>0</v>
      </c>
      <c r="J83" s="90"/>
      <c r="K83" s="91"/>
      <c r="L83" s="44">
        <f t="shared" si="154"/>
        <v>0</v>
      </c>
      <c r="M83" s="91"/>
      <c r="N83" s="91"/>
      <c r="O83" s="44">
        <f t="shared" si="155"/>
        <v>0</v>
      </c>
      <c r="P83" s="91"/>
      <c r="Q83" s="91"/>
      <c r="R83" s="44">
        <f t="shared" si="156"/>
        <v>0</v>
      </c>
      <c r="S83" s="91"/>
      <c r="T83" s="91"/>
      <c r="U83" s="44">
        <f t="shared" si="157"/>
        <v>0</v>
      </c>
      <c r="V83" s="91"/>
      <c r="W83" s="91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8"/>
      <c r="D84" s="89"/>
      <c r="E84" s="89"/>
      <c r="F84" s="44">
        <f t="shared" si="152"/>
        <v>0</v>
      </c>
      <c r="G84" s="89"/>
      <c r="H84" s="89"/>
      <c r="I84" s="44">
        <f t="shared" si="153"/>
        <v>0</v>
      </c>
      <c r="J84" s="90"/>
      <c r="K84" s="91"/>
      <c r="L84" s="44">
        <f t="shared" si="154"/>
        <v>0</v>
      </c>
      <c r="M84" s="91"/>
      <c r="N84" s="91"/>
      <c r="O84" s="44">
        <f t="shared" si="155"/>
        <v>0</v>
      </c>
      <c r="P84" s="91"/>
      <c r="Q84" s="91"/>
      <c r="R84" s="44">
        <f t="shared" si="156"/>
        <v>0</v>
      </c>
      <c r="S84" s="91"/>
      <c r="T84" s="91"/>
      <c r="U84" s="44">
        <f t="shared" si="157"/>
        <v>0</v>
      </c>
      <c r="V84" s="91"/>
      <c r="W84" s="91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8"/>
      <c r="D85" s="89"/>
      <c r="E85" s="89"/>
      <c r="F85" s="44">
        <f t="shared" si="152"/>
        <v>0</v>
      </c>
      <c r="G85" s="89"/>
      <c r="H85" s="89"/>
      <c r="I85" s="44">
        <f t="shared" si="153"/>
        <v>0</v>
      </c>
      <c r="J85" s="90"/>
      <c r="K85" s="91"/>
      <c r="L85" s="44">
        <f t="shared" si="154"/>
        <v>0</v>
      </c>
      <c r="M85" s="91"/>
      <c r="N85" s="91"/>
      <c r="O85" s="44">
        <f t="shared" si="155"/>
        <v>0</v>
      </c>
      <c r="P85" s="91"/>
      <c r="Q85" s="91"/>
      <c r="R85" s="44">
        <f t="shared" si="156"/>
        <v>0</v>
      </c>
      <c r="S85" s="91"/>
      <c r="T85" s="91"/>
      <c r="U85" s="44">
        <f t="shared" si="157"/>
        <v>0</v>
      </c>
      <c r="V85" s="91"/>
      <c r="W85" s="91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8"/>
      <c r="D86" s="89"/>
      <c r="E86" s="89"/>
      <c r="F86" s="44">
        <f t="shared" si="152"/>
        <v>0</v>
      </c>
      <c r="G86" s="89"/>
      <c r="H86" s="89"/>
      <c r="I86" s="44">
        <f t="shared" si="153"/>
        <v>0</v>
      </c>
      <c r="J86" s="90"/>
      <c r="K86" s="91"/>
      <c r="L86" s="44">
        <f t="shared" si="154"/>
        <v>0</v>
      </c>
      <c r="M86" s="91"/>
      <c r="N86" s="91"/>
      <c r="O86" s="44">
        <f t="shared" si="155"/>
        <v>0</v>
      </c>
      <c r="P86" s="91"/>
      <c r="Q86" s="91"/>
      <c r="R86" s="44">
        <f t="shared" si="156"/>
        <v>0</v>
      </c>
      <c r="S86" s="91"/>
      <c r="T86" s="91"/>
      <c r="U86" s="44">
        <f t="shared" si="157"/>
        <v>0</v>
      </c>
      <c r="V86" s="91"/>
      <c r="W86" s="91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8"/>
      <c r="D87" s="89"/>
      <c r="E87" s="89"/>
      <c r="F87" s="44">
        <f t="shared" si="152"/>
        <v>0</v>
      </c>
      <c r="G87" s="89"/>
      <c r="H87" s="89"/>
      <c r="I87" s="44">
        <f t="shared" si="153"/>
        <v>0</v>
      </c>
      <c r="J87" s="90"/>
      <c r="K87" s="91"/>
      <c r="L87" s="44">
        <f t="shared" si="154"/>
        <v>0</v>
      </c>
      <c r="M87" s="91"/>
      <c r="N87" s="91"/>
      <c r="O87" s="44">
        <f t="shared" si="155"/>
        <v>0</v>
      </c>
      <c r="P87" s="91"/>
      <c r="Q87" s="91"/>
      <c r="R87" s="44">
        <f t="shared" si="156"/>
        <v>0</v>
      </c>
      <c r="S87" s="91"/>
      <c r="T87" s="91"/>
      <c r="U87" s="44">
        <f t="shared" si="157"/>
        <v>0</v>
      </c>
      <c r="V87" s="91"/>
      <c r="W87" s="91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8"/>
      <c r="D88" s="89"/>
      <c r="E88" s="89"/>
      <c r="F88" s="44">
        <f t="shared" si="152"/>
        <v>0</v>
      </c>
      <c r="G88" s="89"/>
      <c r="H88" s="89"/>
      <c r="I88" s="44">
        <f t="shared" si="153"/>
        <v>0</v>
      </c>
      <c r="J88" s="90"/>
      <c r="K88" s="91"/>
      <c r="L88" s="44">
        <f t="shared" si="154"/>
        <v>0</v>
      </c>
      <c r="M88" s="91"/>
      <c r="N88" s="91"/>
      <c r="O88" s="44">
        <f t="shared" si="155"/>
        <v>0</v>
      </c>
      <c r="P88" s="91"/>
      <c r="Q88" s="91"/>
      <c r="R88" s="44">
        <f t="shared" si="156"/>
        <v>0</v>
      </c>
      <c r="S88" s="91"/>
      <c r="T88" s="91"/>
      <c r="U88" s="44">
        <f t="shared" si="157"/>
        <v>0</v>
      </c>
      <c r="V88" s="91"/>
      <c r="W88" s="91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8"/>
      <c r="D89" s="89"/>
      <c r="E89" s="89"/>
      <c r="F89" s="44">
        <f t="shared" si="152"/>
        <v>0</v>
      </c>
      <c r="G89" s="89"/>
      <c r="H89" s="89"/>
      <c r="I89" s="44">
        <f t="shared" si="153"/>
        <v>0</v>
      </c>
      <c r="J89" s="90"/>
      <c r="K89" s="91"/>
      <c r="L89" s="44">
        <f t="shared" si="154"/>
        <v>0</v>
      </c>
      <c r="M89" s="91"/>
      <c r="N89" s="91"/>
      <c r="O89" s="44">
        <f t="shared" si="155"/>
        <v>0</v>
      </c>
      <c r="P89" s="91"/>
      <c r="Q89" s="91"/>
      <c r="R89" s="44">
        <f t="shared" si="156"/>
        <v>0</v>
      </c>
      <c r="S89" s="91"/>
      <c r="T89" s="91"/>
      <c r="U89" s="44">
        <f t="shared" si="157"/>
        <v>0</v>
      </c>
      <c r="V89" s="91"/>
      <c r="W89" s="91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8"/>
      <c r="D90" s="89"/>
      <c r="E90" s="89"/>
      <c r="F90" s="44">
        <f t="shared" si="152"/>
        <v>0</v>
      </c>
      <c r="G90" s="89"/>
      <c r="H90" s="89"/>
      <c r="I90" s="44">
        <f t="shared" si="153"/>
        <v>0</v>
      </c>
      <c r="J90" s="90"/>
      <c r="K90" s="91"/>
      <c r="L90" s="44">
        <f t="shared" si="154"/>
        <v>0</v>
      </c>
      <c r="M90" s="91"/>
      <c r="N90" s="91"/>
      <c r="O90" s="44">
        <f t="shared" si="155"/>
        <v>0</v>
      </c>
      <c r="P90" s="91"/>
      <c r="Q90" s="91"/>
      <c r="R90" s="44">
        <f t="shared" si="156"/>
        <v>0</v>
      </c>
      <c r="S90" s="91"/>
      <c r="T90" s="91"/>
      <c r="U90" s="44">
        <f t="shared" si="157"/>
        <v>0</v>
      </c>
      <c r="V90" s="91"/>
      <c r="W90" s="91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8"/>
      <c r="D91" s="89"/>
      <c r="E91" s="89"/>
      <c r="F91" s="44">
        <f t="shared" si="152"/>
        <v>0</v>
      </c>
      <c r="G91" s="89"/>
      <c r="H91" s="89"/>
      <c r="I91" s="44">
        <f t="shared" si="153"/>
        <v>0</v>
      </c>
      <c r="J91" s="90"/>
      <c r="K91" s="91"/>
      <c r="L91" s="44">
        <f t="shared" si="154"/>
        <v>0</v>
      </c>
      <c r="M91" s="91"/>
      <c r="N91" s="91"/>
      <c r="O91" s="44">
        <f t="shared" si="155"/>
        <v>0</v>
      </c>
      <c r="P91" s="91"/>
      <c r="Q91" s="91"/>
      <c r="R91" s="44">
        <f t="shared" si="156"/>
        <v>0</v>
      </c>
      <c r="S91" s="91"/>
      <c r="T91" s="91"/>
      <c r="U91" s="44">
        <f t="shared" si="157"/>
        <v>0</v>
      </c>
      <c r="V91" s="91"/>
      <c r="W91" s="91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8"/>
      <c r="D92" s="89"/>
      <c r="E92" s="89"/>
      <c r="F92" s="44">
        <f t="shared" si="152"/>
        <v>0</v>
      </c>
      <c r="G92" s="89"/>
      <c r="H92" s="89"/>
      <c r="I92" s="44">
        <f t="shared" si="153"/>
        <v>0</v>
      </c>
      <c r="J92" s="90"/>
      <c r="K92" s="91"/>
      <c r="L92" s="44">
        <f t="shared" si="154"/>
        <v>0</v>
      </c>
      <c r="M92" s="91"/>
      <c r="N92" s="91"/>
      <c r="O92" s="44">
        <f t="shared" si="155"/>
        <v>0</v>
      </c>
      <c r="P92" s="91"/>
      <c r="Q92" s="91"/>
      <c r="R92" s="44">
        <f t="shared" si="156"/>
        <v>0</v>
      </c>
      <c r="S92" s="91"/>
      <c r="T92" s="91"/>
      <c r="U92" s="44">
        <f t="shared" si="157"/>
        <v>0</v>
      </c>
      <c r="V92" s="91"/>
      <c r="W92" s="91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8"/>
      <c r="D93" s="89"/>
      <c r="E93" s="89"/>
      <c r="F93" s="44">
        <f t="shared" si="152"/>
        <v>0</v>
      </c>
      <c r="G93" s="89"/>
      <c r="H93" s="89"/>
      <c r="I93" s="44">
        <f t="shared" si="153"/>
        <v>0</v>
      </c>
      <c r="J93" s="90"/>
      <c r="K93" s="91"/>
      <c r="L93" s="44">
        <f t="shared" si="154"/>
        <v>0</v>
      </c>
      <c r="M93" s="91"/>
      <c r="N93" s="91"/>
      <c r="O93" s="44">
        <f t="shared" si="155"/>
        <v>0</v>
      </c>
      <c r="P93" s="91"/>
      <c r="Q93" s="91"/>
      <c r="R93" s="44">
        <f t="shared" si="156"/>
        <v>0</v>
      </c>
      <c r="S93" s="91"/>
      <c r="T93" s="91"/>
      <c r="U93" s="44">
        <f t="shared" si="157"/>
        <v>0</v>
      </c>
      <c r="V93" s="91"/>
      <c r="W93" s="91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8"/>
      <c r="D94" s="89"/>
      <c r="E94" s="89"/>
      <c r="F94" s="44">
        <f t="shared" si="152"/>
        <v>0</v>
      </c>
      <c r="G94" s="89"/>
      <c r="H94" s="89"/>
      <c r="I94" s="44">
        <f t="shared" si="153"/>
        <v>0</v>
      </c>
      <c r="J94" s="90"/>
      <c r="K94" s="91"/>
      <c r="L94" s="44">
        <f t="shared" si="154"/>
        <v>0</v>
      </c>
      <c r="M94" s="91"/>
      <c r="N94" s="91"/>
      <c r="O94" s="44">
        <f t="shared" si="155"/>
        <v>0</v>
      </c>
      <c r="P94" s="91"/>
      <c r="Q94" s="91"/>
      <c r="R94" s="44">
        <f t="shared" si="156"/>
        <v>0</v>
      </c>
      <c r="S94" s="91"/>
      <c r="T94" s="91"/>
      <c r="U94" s="44">
        <f t="shared" si="157"/>
        <v>0</v>
      </c>
      <c r="V94" s="91"/>
      <c r="W94" s="91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8"/>
      <c r="D95" s="89"/>
      <c r="E95" s="89"/>
      <c r="F95" s="44">
        <f t="shared" si="152"/>
        <v>0</v>
      </c>
      <c r="G95" s="89"/>
      <c r="H95" s="89"/>
      <c r="I95" s="44">
        <f t="shared" si="153"/>
        <v>0</v>
      </c>
      <c r="J95" s="90"/>
      <c r="K95" s="91"/>
      <c r="L95" s="44">
        <f t="shared" si="154"/>
        <v>0</v>
      </c>
      <c r="M95" s="91"/>
      <c r="N95" s="91"/>
      <c r="O95" s="44">
        <f t="shared" si="155"/>
        <v>0</v>
      </c>
      <c r="P95" s="91"/>
      <c r="Q95" s="91"/>
      <c r="R95" s="44">
        <f t="shared" si="156"/>
        <v>0</v>
      </c>
      <c r="S95" s="91"/>
      <c r="T95" s="91"/>
      <c r="U95" s="44">
        <f t="shared" si="157"/>
        <v>0</v>
      </c>
      <c r="V95" s="91"/>
      <c r="W95" s="91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8"/>
      <c r="D96" s="89"/>
      <c r="E96" s="89"/>
      <c r="F96" s="44">
        <f t="shared" si="152"/>
        <v>0</v>
      </c>
      <c r="G96" s="89"/>
      <c r="H96" s="89"/>
      <c r="I96" s="44">
        <f t="shared" si="153"/>
        <v>0</v>
      </c>
      <c r="J96" s="90"/>
      <c r="K96" s="91"/>
      <c r="L96" s="44">
        <f t="shared" si="154"/>
        <v>0</v>
      </c>
      <c r="M96" s="91"/>
      <c r="N96" s="91"/>
      <c r="O96" s="44">
        <f t="shared" si="155"/>
        <v>0</v>
      </c>
      <c r="P96" s="91"/>
      <c r="Q96" s="91"/>
      <c r="R96" s="44">
        <f t="shared" si="156"/>
        <v>0</v>
      </c>
      <c r="S96" s="91"/>
      <c r="T96" s="91"/>
      <c r="U96" s="44">
        <f t="shared" si="157"/>
        <v>0</v>
      </c>
      <c r="V96" s="91"/>
      <c r="W96" s="91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8"/>
      <c r="D97" s="89"/>
      <c r="E97" s="89"/>
      <c r="F97" s="44">
        <f t="shared" si="152"/>
        <v>0</v>
      </c>
      <c r="G97" s="89"/>
      <c r="H97" s="89"/>
      <c r="I97" s="44">
        <f t="shared" si="153"/>
        <v>0</v>
      </c>
      <c r="J97" s="90"/>
      <c r="K97" s="91"/>
      <c r="L97" s="44">
        <f t="shared" si="154"/>
        <v>0</v>
      </c>
      <c r="M97" s="91"/>
      <c r="N97" s="91"/>
      <c r="O97" s="44">
        <f t="shared" si="155"/>
        <v>0</v>
      </c>
      <c r="P97" s="91"/>
      <c r="Q97" s="91"/>
      <c r="R97" s="44">
        <f t="shared" si="156"/>
        <v>0</v>
      </c>
      <c r="S97" s="91"/>
      <c r="T97" s="91"/>
      <c r="U97" s="44">
        <f t="shared" si="157"/>
        <v>0</v>
      </c>
      <c r="V97" s="91"/>
      <c r="W97" s="91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8"/>
      <c r="D98" s="89"/>
      <c r="E98" s="89"/>
      <c r="F98" s="44">
        <f t="shared" si="152"/>
        <v>0</v>
      </c>
      <c r="G98" s="89"/>
      <c r="H98" s="89"/>
      <c r="I98" s="44">
        <f t="shared" si="153"/>
        <v>0</v>
      </c>
      <c r="J98" s="90"/>
      <c r="K98" s="91"/>
      <c r="L98" s="44">
        <f t="shared" si="154"/>
        <v>0</v>
      </c>
      <c r="M98" s="91"/>
      <c r="N98" s="91"/>
      <c r="O98" s="44">
        <f t="shared" si="155"/>
        <v>0</v>
      </c>
      <c r="P98" s="91"/>
      <c r="Q98" s="91"/>
      <c r="R98" s="44">
        <f t="shared" si="156"/>
        <v>0</v>
      </c>
      <c r="S98" s="91"/>
      <c r="T98" s="91"/>
      <c r="U98" s="44">
        <f t="shared" si="157"/>
        <v>0</v>
      </c>
      <c r="V98" s="91"/>
      <c r="W98" s="91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8"/>
      <c r="D99" s="89"/>
      <c r="E99" s="89"/>
      <c r="F99" s="44">
        <f t="shared" si="152"/>
        <v>0</v>
      </c>
      <c r="G99" s="89"/>
      <c r="H99" s="89"/>
      <c r="I99" s="44">
        <f t="shared" si="153"/>
        <v>0</v>
      </c>
      <c r="J99" s="90"/>
      <c r="K99" s="91"/>
      <c r="L99" s="44">
        <f t="shared" si="154"/>
        <v>0</v>
      </c>
      <c r="M99" s="91"/>
      <c r="N99" s="91"/>
      <c r="O99" s="44">
        <f t="shared" si="155"/>
        <v>0</v>
      </c>
      <c r="P99" s="91"/>
      <c r="Q99" s="91"/>
      <c r="R99" s="44">
        <f t="shared" si="156"/>
        <v>0</v>
      </c>
      <c r="S99" s="91"/>
      <c r="T99" s="91"/>
      <c r="U99" s="44">
        <f t="shared" si="157"/>
        <v>0</v>
      </c>
      <c r="V99" s="91"/>
      <c r="W99" s="91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8"/>
      <c r="D100" s="89"/>
      <c r="E100" s="89"/>
      <c r="F100" s="44">
        <f t="shared" si="152"/>
        <v>0</v>
      </c>
      <c r="G100" s="89"/>
      <c r="H100" s="89"/>
      <c r="I100" s="44">
        <f t="shared" si="153"/>
        <v>0</v>
      </c>
      <c r="J100" s="90"/>
      <c r="K100" s="91"/>
      <c r="L100" s="44">
        <f t="shared" si="154"/>
        <v>0</v>
      </c>
      <c r="M100" s="91"/>
      <c r="N100" s="91"/>
      <c r="O100" s="44">
        <f t="shared" si="155"/>
        <v>0</v>
      </c>
      <c r="P100" s="91"/>
      <c r="Q100" s="91"/>
      <c r="R100" s="44">
        <f t="shared" si="156"/>
        <v>0</v>
      </c>
      <c r="S100" s="91"/>
      <c r="T100" s="91"/>
      <c r="U100" s="44">
        <f t="shared" si="157"/>
        <v>0</v>
      </c>
      <c r="V100" s="91"/>
      <c r="W100" s="91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20" priority="700" operator="equal">
      <formula>"Pub"</formula>
    </cfRule>
  </conditionalFormatting>
  <conditionalFormatting sqref="F2:F100 I2:I100 L2:L100 O2:O100 R2:R100 U2:U100 X2:AB100 AT2:AT100">
    <cfRule type="cellIs" dxfId="19" priority="702" operator="lessThan">
      <formula>0</formula>
    </cfRule>
    <cfRule type="cellIs" dxfId="18" priority="703" operator="between">
      <formula>3</formula>
      <formula>0.01</formula>
    </cfRule>
    <cfRule type="cellIs" dxfId="17" priority="775" operator="lessThan">
      <formula>SUMIF($C:$C,$C2,F:F)</formula>
    </cfRule>
  </conditionalFormatting>
  <conditionalFormatting sqref="AD2:AD100">
    <cfRule type="notContainsBlanks" dxfId="16" priority="4">
      <formula>LEN(TRIM(AD2))&gt;0</formula>
    </cfRule>
  </conditionalFormatting>
  <conditionalFormatting sqref="AF2:AF100">
    <cfRule type="notContainsBlanks" dxfId="15" priority="3">
      <formula>LEN(TRIM(AF2))&gt;0</formula>
    </cfRule>
  </conditionalFormatting>
  <conditionalFormatting sqref="AH2:AH100">
    <cfRule type="notContainsBlanks" dxfId="14" priority="1">
      <formula>LEN(TRIM(AH2))&gt;0</formula>
    </cfRule>
  </conditionalFormatting>
  <conditionalFormatting sqref="AJ2:AJ100 AL2:AL100 AN2:AN100 AQ2:AS100">
    <cfRule type="notContainsBlanks" dxfId="13" priority="776">
      <formula>LEN(TRIM(AJ2))&gt;0</formula>
    </cfRule>
  </conditionalFormatting>
  <conditionalFormatting sqref="AT1">
    <cfRule type="cellIs" dxfId="12" priority="695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60" zoomScaleNormal="6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D9" sqref="AD9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45964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45965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45966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45967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45968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45969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45970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45971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 t="str">
        <f t="shared" ref="A2:A33" si="0">IF(ISNA(AZ2),"",AZ2)</f>
        <v/>
      </c>
      <c r="B2" s="81"/>
      <c r="C2" s="92"/>
      <c r="D2" s="75"/>
      <c r="E2" s="75"/>
      <c r="F2" s="93">
        <f>BA2-BB2</f>
        <v>0</v>
      </c>
      <c r="G2" s="75"/>
      <c r="H2" s="76"/>
      <c r="I2" s="93">
        <f>BF2-BG2</f>
        <v>0</v>
      </c>
      <c r="J2" s="75"/>
      <c r="K2" s="76"/>
      <c r="L2" s="93">
        <f>BK2-BL2</f>
        <v>0</v>
      </c>
      <c r="M2" s="75"/>
      <c r="N2" s="76"/>
      <c r="O2" s="93">
        <f>BP2-BQ2</f>
        <v>0</v>
      </c>
      <c r="P2" s="75"/>
      <c r="Q2" s="76"/>
      <c r="R2" s="93">
        <f>BU2-BV2</f>
        <v>0</v>
      </c>
      <c r="S2" s="75"/>
      <c r="T2" s="75"/>
      <c r="U2" s="93">
        <f>BZ2-CA2</f>
        <v>0</v>
      </c>
      <c r="V2" s="75"/>
      <c r="W2" s="76"/>
      <c r="X2" s="93">
        <f>CE2-CF2</f>
        <v>0</v>
      </c>
      <c r="Y2" s="93"/>
      <c r="Z2" s="93"/>
      <c r="AA2" s="93"/>
      <c r="AB2" s="97">
        <f>SUM(F2,I2,L2,O2,R2,U2,X2)</f>
        <v>0</v>
      </c>
      <c r="AC2" s="94"/>
      <c r="AD2" s="78"/>
      <c r="AE2" s="95">
        <f>SUMIF($BC$1:$CI$1,AE$1,$BC2:$CI2)+AD2</f>
        <v>0</v>
      </c>
      <c r="AF2" s="78"/>
      <c r="AG2" s="95">
        <f>SUMIF($BC$1:$CI$1,AG$1,$BC2:$CI2)+AF2</f>
        <v>0</v>
      </c>
      <c r="AH2" s="78"/>
      <c r="AI2" s="95">
        <f>SUMIF($BC$1:$CI$1,AI$1,$BC2:$CI2)+AH2</f>
        <v>0</v>
      </c>
      <c r="AJ2" s="77"/>
      <c r="AK2" s="95">
        <f>SUMIF($BC$1:$CI$1,AK$1,$BC2:$CI2)+AJ2</f>
        <v>0</v>
      </c>
      <c r="AL2" s="78"/>
      <c r="AM2" s="95">
        <f>SUMIF($BC$1:$CI$1,AM$1,$BC2:$CI2)+AL2</f>
        <v>0</v>
      </c>
      <c r="AN2" s="77"/>
      <c r="AO2" s="95">
        <f>SUMIF($BC$1:$CI$1,AO$1,$BC2:$CI2)+AN2</f>
        <v>0</v>
      </c>
      <c r="AP2" s="96">
        <f>CK2</f>
        <v>0</v>
      </c>
      <c r="AQ2" s="77"/>
      <c r="AR2" s="77"/>
      <c r="AS2" s="77"/>
      <c r="AT2" s="63">
        <f>AE2+AG2+AI2+AK2+AM2+AO2+SUM(AQ2:AS2)</f>
        <v>0</v>
      </c>
      <c r="AU2" s="78"/>
      <c r="AV2" s="5"/>
      <c r="AW2" s="5"/>
      <c r="AX2" s="5"/>
      <c r="AY2" s="5"/>
      <c r="AZ2" s="24" t="e">
        <f>VLOOKUP(C2,Employees!D:I,6,FALSE)</f>
        <v>#N/A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0</v>
      </c>
    </row>
    <row r="3" spans="1:89" ht="47" customHeight="1">
      <c r="A3" s="74" t="str">
        <f t="shared" si="0"/>
        <v/>
      </c>
      <c r="B3" s="81"/>
      <c r="C3" s="92"/>
      <c r="D3" s="75"/>
      <c r="E3" s="75"/>
      <c r="F3" s="93">
        <f t="shared" ref="F3:F74" si="9">BA3-BB3</f>
        <v>0</v>
      </c>
      <c r="G3" s="75"/>
      <c r="H3" s="75"/>
      <c r="I3" s="93">
        <f t="shared" ref="I3:I74" si="10">BF3-BG3</f>
        <v>0</v>
      </c>
      <c r="J3" s="75"/>
      <c r="K3" s="75"/>
      <c r="L3" s="93">
        <f t="shared" ref="L3:L74" si="11">BK3-BL3</f>
        <v>0</v>
      </c>
      <c r="M3" s="75"/>
      <c r="N3" s="75"/>
      <c r="O3" s="93">
        <f t="shared" ref="O3:O74" si="12">BP3-BQ3</f>
        <v>0</v>
      </c>
      <c r="P3" s="85"/>
      <c r="Q3" s="85"/>
      <c r="R3" s="93">
        <f t="shared" ref="R3:R74" si="13">BU3-BV3</f>
        <v>0</v>
      </c>
      <c r="S3" s="85"/>
      <c r="T3" s="85"/>
      <c r="U3" s="93">
        <f t="shared" ref="U3:U74" si="14">BZ3-CA3</f>
        <v>0</v>
      </c>
      <c r="V3" s="75"/>
      <c r="W3" s="75"/>
      <c r="X3" s="93">
        <f t="shared" ref="X3:X74" si="15">CE3-CF3</f>
        <v>0</v>
      </c>
      <c r="Y3" s="93"/>
      <c r="Z3" s="93"/>
      <c r="AA3" s="93"/>
      <c r="AB3" s="97">
        <f t="shared" ref="AB3:AB74" si="16">SUM(F3,I3,L3,O3,R3,U3,X3)</f>
        <v>0</v>
      </c>
      <c r="AC3" s="94"/>
      <c r="AD3" s="78"/>
      <c r="AE3" s="95">
        <f t="shared" ref="AE3:AE74" si="17">SUMIF($BC$1:$CI$1,AE$1,$BC3:$CI3)+AD3</f>
        <v>0</v>
      </c>
      <c r="AF3" s="78"/>
      <c r="AG3" s="95">
        <f t="shared" ref="AG3:AG74" si="18">SUMIF($BC$1:$CI$1,AG$1,$BC3:$CI3)+AF3</f>
        <v>0</v>
      </c>
      <c r="AH3" s="78"/>
      <c r="AI3" s="95">
        <f t="shared" ref="AI3:AI74" si="19">SUMIF($BC$1:$CI$1,AI$1,$BC3:$CI3)+AH3</f>
        <v>0</v>
      </c>
      <c r="AJ3" s="77"/>
      <c r="AK3" s="95">
        <f t="shared" ref="AK3:AK74" si="20">SUMIF($BC$1:$CI$1,AK$1,$BC3:$CI3)+AJ3</f>
        <v>0</v>
      </c>
      <c r="AL3" s="78"/>
      <c r="AM3" s="95">
        <f t="shared" ref="AM3:AM74" si="21">SUMIF($BC$1:$CI$1,AM$1,$BC3:$CI3)+AL3</f>
        <v>0</v>
      </c>
      <c r="AN3" s="77"/>
      <c r="AO3" s="95">
        <f t="shared" ref="AO3:AO74" si="22">SUMIF($BC$1:$CI$1,AO$1,$BC3:$CI3)+AN3</f>
        <v>0</v>
      </c>
      <c r="AP3" s="96">
        <f t="shared" ref="AP3:AP74" si="23">CK3</f>
        <v>0</v>
      </c>
      <c r="AQ3" s="77"/>
      <c r="AR3" s="77"/>
      <c r="AS3" s="77"/>
      <c r="AT3" s="63">
        <f t="shared" ref="AT3:AT74" si="24">AE3+AG3+AI3+AK3+AM3+AO3+SUM(AQ3:AS3)</f>
        <v>0</v>
      </c>
      <c r="AU3" s="78"/>
      <c r="AV3" s="5"/>
      <c r="AW3" s="5"/>
      <c r="AX3" s="5"/>
      <c r="AY3" s="5"/>
      <c r="AZ3" s="24" t="e">
        <f>VLOOKUP(C3,Employees!D:I,6,FALSE)</f>
        <v>#N/A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0</v>
      </c>
      <c r="BG3" s="5">
        <f t="shared" ref="BG3:BG66" si="31">IF(BF3&gt;$AY$1,1,IF(BF3&gt;=$AX$1,0.5,0))</f>
        <v>0</v>
      </c>
      <c r="BH3" s="5">
        <f t="shared" ref="BH3:BH66" si="32">BF3-BG3-BI3-BJ3</f>
        <v>0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0</v>
      </c>
      <c r="BL3" s="5">
        <f t="shared" ref="BL3:BL66" si="36">IF(BK3&gt;$AY$1,1,IF(BK3&gt;=$AX$1,0.5,0))</f>
        <v>0</v>
      </c>
      <c r="BM3" s="5">
        <f t="shared" ref="BM3:BM66" si="37">BK3-BL3-BN3-BO3</f>
        <v>0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0</v>
      </c>
      <c r="BQ3" s="5">
        <f t="shared" ref="BQ3:BQ66" si="41">IF(BP3&gt;$AY$1,1,IF(BP3&gt;=$AX$1,0.5,0))</f>
        <v>0</v>
      </c>
      <c r="BR3" s="5">
        <f t="shared" ref="BR3:BR66" si="42">BP3-BQ3-BS3-BT3</f>
        <v>0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0</v>
      </c>
      <c r="BV3" s="5">
        <f t="shared" ref="BV3:BV66" si="46">IF(BU3&gt;$AY$1,1,IF(BU3&gt;=$AX$1,0.5,0))</f>
        <v>0</v>
      </c>
      <c r="BW3" s="5">
        <f t="shared" ref="BW3:BW66" si="47">BU3-BV3-BX3-BY3</f>
        <v>0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0</v>
      </c>
      <c r="CA3" s="5">
        <f t="shared" ref="CA3:CA66" si="51">IF(BZ3&gt;$AY$1,1,IF(BZ3&gt;=$AX$1,0.5,0))</f>
        <v>0</v>
      </c>
      <c r="CB3" s="5">
        <f t="shared" ref="CB3:CB66" si="52">BZ3-CA3-CC3-CD3</f>
        <v>0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0</v>
      </c>
      <c r="CF3" s="5">
        <f t="shared" ref="CF3:CF66" si="56">IF(CE3&gt;$AY$1,1,IF(CE3&gt;=$AX$1,0.5,0))</f>
        <v>0</v>
      </c>
      <c r="CG3" s="5">
        <f t="shared" ref="CG3:CG66" si="57">CE3-CF3-CH3-CI3</f>
        <v>0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0</v>
      </c>
    </row>
    <row r="4" spans="1:89" ht="47" customHeight="1">
      <c r="A4" s="74" t="str">
        <f t="shared" si="0"/>
        <v/>
      </c>
      <c r="B4" s="81"/>
      <c r="C4" s="86"/>
      <c r="D4" s="75"/>
      <c r="E4" s="75"/>
      <c r="F4" s="93">
        <f t="shared" si="9"/>
        <v>0</v>
      </c>
      <c r="G4" s="75"/>
      <c r="H4" s="75"/>
      <c r="I4" s="93">
        <f t="shared" si="10"/>
        <v>0</v>
      </c>
      <c r="J4" s="75"/>
      <c r="K4" s="75"/>
      <c r="L4" s="93">
        <f t="shared" si="11"/>
        <v>0</v>
      </c>
      <c r="M4" s="75"/>
      <c r="N4" s="75"/>
      <c r="O4" s="93">
        <f t="shared" si="12"/>
        <v>0</v>
      </c>
      <c r="P4" s="75"/>
      <c r="Q4" s="75"/>
      <c r="R4" s="93">
        <f t="shared" si="13"/>
        <v>0</v>
      </c>
      <c r="S4" s="75"/>
      <c r="T4" s="75"/>
      <c r="U4" s="93">
        <f t="shared" si="14"/>
        <v>0</v>
      </c>
      <c r="V4" s="75"/>
      <c r="W4" s="75"/>
      <c r="X4" s="93">
        <f t="shared" si="15"/>
        <v>0</v>
      </c>
      <c r="Y4" s="93"/>
      <c r="Z4" s="93"/>
      <c r="AA4" s="93"/>
      <c r="AB4" s="97">
        <f t="shared" si="16"/>
        <v>0</v>
      </c>
      <c r="AC4" s="94"/>
      <c r="AD4" s="78"/>
      <c r="AE4" s="95">
        <f t="shared" si="17"/>
        <v>0</v>
      </c>
      <c r="AF4" s="78"/>
      <c r="AG4" s="95">
        <f t="shared" si="18"/>
        <v>0</v>
      </c>
      <c r="AH4" s="78"/>
      <c r="AI4" s="95">
        <f t="shared" si="19"/>
        <v>0</v>
      </c>
      <c r="AJ4" s="77"/>
      <c r="AK4" s="95">
        <f t="shared" si="20"/>
        <v>0</v>
      </c>
      <c r="AL4" s="78"/>
      <c r="AM4" s="95">
        <f t="shared" si="21"/>
        <v>0</v>
      </c>
      <c r="AN4" s="77"/>
      <c r="AO4" s="95">
        <f t="shared" si="22"/>
        <v>0</v>
      </c>
      <c r="AP4" s="96">
        <f t="shared" si="23"/>
        <v>0</v>
      </c>
      <c r="AQ4" s="77"/>
      <c r="AR4" s="77"/>
      <c r="AS4" s="77"/>
      <c r="AT4" s="63">
        <f t="shared" si="24"/>
        <v>0</v>
      </c>
      <c r="AU4" s="78"/>
      <c r="AV4" s="5"/>
      <c r="AW4" s="5"/>
      <c r="AX4" s="5"/>
      <c r="AY4" s="5"/>
      <c r="AZ4" s="24" t="e">
        <f>VLOOKUP(C4,Employees!D:I,6,FALSE)</f>
        <v>#N/A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si="28"/>
        <v>0</v>
      </c>
      <c r="BE4" s="5">
        <f t="shared" si="29"/>
        <v>0</v>
      </c>
      <c r="BF4" s="5">
        <f t="shared" si="30"/>
        <v>0</v>
      </c>
      <c r="BG4" s="5">
        <f t="shared" si="31"/>
        <v>0</v>
      </c>
      <c r="BH4" s="5">
        <f t="shared" si="32"/>
        <v>0</v>
      </c>
      <c r="BI4" s="5">
        <f t="shared" si="33"/>
        <v>0</v>
      </c>
      <c r="BJ4" s="5">
        <f t="shared" si="34"/>
        <v>0</v>
      </c>
      <c r="BK4" s="5">
        <f t="shared" si="35"/>
        <v>0</v>
      </c>
      <c r="BL4" s="5">
        <f t="shared" si="36"/>
        <v>0</v>
      </c>
      <c r="BM4" s="5">
        <f t="shared" si="37"/>
        <v>0</v>
      </c>
      <c r="BN4" s="5">
        <f t="shared" si="38"/>
        <v>0</v>
      </c>
      <c r="BO4" s="5">
        <f t="shared" si="39"/>
        <v>0</v>
      </c>
      <c r="BP4" s="5">
        <f t="shared" si="40"/>
        <v>0</v>
      </c>
      <c r="BQ4" s="5">
        <f t="shared" si="41"/>
        <v>0</v>
      </c>
      <c r="BR4" s="5">
        <f t="shared" si="42"/>
        <v>0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0</v>
      </c>
      <c r="CA4" s="5">
        <f t="shared" si="51"/>
        <v>0</v>
      </c>
      <c r="CB4" s="5">
        <f t="shared" si="52"/>
        <v>0</v>
      </c>
      <c r="CC4" s="5">
        <f t="shared" si="53"/>
        <v>0</v>
      </c>
      <c r="CD4" s="5">
        <f t="shared" si="54"/>
        <v>0</v>
      </c>
      <c r="CE4" s="5">
        <f t="shared" si="55"/>
        <v>0</v>
      </c>
      <c r="CF4" s="5">
        <f t="shared" si="56"/>
        <v>0</v>
      </c>
      <c r="CG4" s="5">
        <f t="shared" si="57"/>
        <v>0</v>
      </c>
      <c r="CH4" s="5">
        <f t="shared" si="58"/>
        <v>0</v>
      </c>
      <c r="CI4" s="5">
        <f t="shared" si="59"/>
        <v>0</v>
      </c>
      <c r="CJ4" s="5"/>
      <c r="CK4" s="4">
        <f t="shared" si="8"/>
        <v>0</v>
      </c>
    </row>
    <row r="5" spans="1:89" ht="47" customHeight="1">
      <c r="A5" s="74" t="str">
        <f t="shared" si="0"/>
        <v/>
      </c>
      <c r="B5" s="81"/>
      <c r="C5" s="86"/>
      <c r="D5" s="76"/>
      <c r="E5" s="75"/>
      <c r="F5" s="93">
        <f t="shared" si="9"/>
        <v>0</v>
      </c>
      <c r="G5" s="75"/>
      <c r="H5" s="76"/>
      <c r="I5" s="93">
        <f t="shared" si="10"/>
        <v>0</v>
      </c>
      <c r="J5" s="76"/>
      <c r="K5" s="76"/>
      <c r="L5" s="93">
        <f t="shared" si="11"/>
        <v>0</v>
      </c>
      <c r="M5" s="75"/>
      <c r="N5" s="75"/>
      <c r="O5" s="93">
        <f t="shared" si="12"/>
        <v>0</v>
      </c>
      <c r="P5" s="75"/>
      <c r="Q5" s="75"/>
      <c r="R5" s="93">
        <f t="shared" si="13"/>
        <v>0</v>
      </c>
      <c r="S5" s="76"/>
      <c r="T5" s="75"/>
      <c r="U5" s="93">
        <f t="shared" si="14"/>
        <v>0</v>
      </c>
      <c r="V5" s="75"/>
      <c r="W5" s="76"/>
      <c r="X5" s="93">
        <f t="shared" si="15"/>
        <v>0</v>
      </c>
      <c r="Y5" s="93"/>
      <c r="Z5" s="93"/>
      <c r="AA5" s="93"/>
      <c r="AB5" s="97">
        <f t="shared" si="16"/>
        <v>0</v>
      </c>
      <c r="AC5" s="94"/>
      <c r="AD5" s="78"/>
      <c r="AE5" s="95">
        <f t="shared" si="17"/>
        <v>0</v>
      </c>
      <c r="AF5" s="78"/>
      <c r="AG5" s="95">
        <f t="shared" si="18"/>
        <v>0</v>
      </c>
      <c r="AH5" s="78"/>
      <c r="AI5" s="95">
        <f t="shared" si="19"/>
        <v>0</v>
      </c>
      <c r="AJ5" s="77"/>
      <c r="AK5" s="95">
        <f t="shared" si="20"/>
        <v>0</v>
      </c>
      <c r="AL5" s="78"/>
      <c r="AM5" s="95">
        <f t="shared" si="21"/>
        <v>0</v>
      </c>
      <c r="AN5" s="77"/>
      <c r="AO5" s="95">
        <f t="shared" si="22"/>
        <v>0</v>
      </c>
      <c r="AP5" s="96">
        <f t="shared" si="23"/>
        <v>0</v>
      </c>
      <c r="AQ5" s="77"/>
      <c r="AR5" s="77"/>
      <c r="AS5" s="77"/>
      <c r="AT5" s="63">
        <f t="shared" si="24"/>
        <v>0</v>
      </c>
      <c r="AU5" s="78"/>
      <c r="AV5" s="5"/>
      <c r="AW5" s="5"/>
      <c r="AX5" s="5"/>
      <c r="AY5" s="5"/>
      <c r="AZ5" s="24" t="e">
        <f>VLOOKUP(C5,Employees!D:I,6,FALSE)</f>
        <v>#N/A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28"/>
        <v>0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0</v>
      </c>
      <c r="BQ5" s="5">
        <f t="shared" si="41"/>
        <v>0</v>
      </c>
      <c r="BR5" s="5">
        <f t="shared" si="42"/>
        <v>0</v>
      </c>
      <c r="BS5" s="5">
        <f t="shared" si="43"/>
        <v>0</v>
      </c>
      <c r="BT5" s="5">
        <f t="shared" si="44"/>
        <v>0</v>
      </c>
      <c r="BU5" s="5">
        <f t="shared" si="45"/>
        <v>0</v>
      </c>
      <c r="BV5" s="5">
        <f t="shared" si="46"/>
        <v>0</v>
      </c>
      <c r="BW5" s="5">
        <f t="shared" si="47"/>
        <v>0</v>
      </c>
      <c r="BX5" s="5">
        <f t="shared" si="48"/>
        <v>0</v>
      </c>
      <c r="BY5" s="5">
        <f t="shared" si="49"/>
        <v>0</v>
      </c>
      <c r="BZ5" s="5">
        <f t="shared" si="50"/>
        <v>0</v>
      </c>
      <c r="CA5" s="5">
        <f t="shared" si="51"/>
        <v>0</v>
      </c>
      <c r="CB5" s="5">
        <f t="shared" si="52"/>
        <v>0</v>
      </c>
      <c r="CC5" s="5">
        <f t="shared" si="53"/>
        <v>0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0</v>
      </c>
    </row>
    <row r="6" spans="1:89" ht="47" customHeight="1">
      <c r="A6" s="74" t="str">
        <f t="shared" si="0"/>
        <v/>
      </c>
      <c r="B6" s="81"/>
      <c r="C6" s="86"/>
      <c r="D6" s="76"/>
      <c r="E6" s="75"/>
      <c r="F6" s="93">
        <f t="shared" si="9"/>
        <v>0</v>
      </c>
      <c r="G6" s="75"/>
      <c r="H6" s="76"/>
      <c r="I6" s="93">
        <f t="shared" si="10"/>
        <v>0</v>
      </c>
      <c r="J6" s="76"/>
      <c r="K6" s="76"/>
      <c r="L6" s="93">
        <f t="shared" si="11"/>
        <v>0</v>
      </c>
      <c r="M6" s="76"/>
      <c r="N6" s="76"/>
      <c r="O6" s="93">
        <f t="shared" si="12"/>
        <v>0</v>
      </c>
      <c r="P6" s="76"/>
      <c r="Q6" s="75"/>
      <c r="R6" s="93">
        <f t="shared" si="13"/>
        <v>0</v>
      </c>
      <c r="S6" s="75"/>
      <c r="T6" s="75"/>
      <c r="U6" s="93">
        <f t="shared" si="14"/>
        <v>0</v>
      </c>
      <c r="V6" s="75"/>
      <c r="W6" s="76"/>
      <c r="X6" s="93">
        <f t="shared" si="15"/>
        <v>0</v>
      </c>
      <c r="Y6" s="93"/>
      <c r="Z6" s="93"/>
      <c r="AA6" s="93"/>
      <c r="AB6" s="97">
        <f t="shared" si="16"/>
        <v>0</v>
      </c>
      <c r="AC6" s="94"/>
      <c r="AD6" s="78"/>
      <c r="AE6" s="95">
        <f t="shared" si="17"/>
        <v>0</v>
      </c>
      <c r="AF6" s="78"/>
      <c r="AG6" s="95">
        <f t="shared" si="18"/>
        <v>0</v>
      </c>
      <c r="AH6" s="78"/>
      <c r="AI6" s="95">
        <f t="shared" si="19"/>
        <v>0</v>
      </c>
      <c r="AJ6" s="77"/>
      <c r="AK6" s="95">
        <f t="shared" si="20"/>
        <v>0</v>
      </c>
      <c r="AL6" s="78"/>
      <c r="AM6" s="95">
        <f t="shared" si="21"/>
        <v>0</v>
      </c>
      <c r="AN6" s="77"/>
      <c r="AO6" s="95">
        <f t="shared" si="22"/>
        <v>0</v>
      </c>
      <c r="AP6" s="96">
        <f t="shared" si="23"/>
        <v>0</v>
      </c>
      <c r="AQ6" s="77"/>
      <c r="AR6" s="77"/>
      <c r="AS6" s="77"/>
      <c r="AT6" s="63">
        <f t="shared" si="24"/>
        <v>0</v>
      </c>
      <c r="AU6" s="78"/>
      <c r="AV6" s="5"/>
      <c r="AW6" s="5"/>
      <c r="AX6" s="5"/>
      <c r="AY6" s="5"/>
      <c r="AZ6" s="24" t="e">
        <f>VLOOKUP(C6,Employees!D:I,6,FALSE)</f>
        <v>#N/A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28"/>
        <v>0</v>
      </c>
      <c r="BE6" s="5">
        <f t="shared" si="29"/>
        <v>0</v>
      </c>
      <c r="BF6" s="5">
        <f t="shared" si="30"/>
        <v>0</v>
      </c>
      <c r="BG6" s="5">
        <f t="shared" si="31"/>
        <v>0</v>
      </c>
      <c r="BH6" s="5">
        <f t="shared" si="32"/>
        <v>0</v>
      </c>
      <c r="BI6" s="5">
        <f t="shared" si="33"/>
        <v>0</v>
      </c>
      <c r="BJ6" s="5">
        <f t="shared" si="34"/>
        <v>0</v>
      </c>
      <c r="BK6" s="5">
        <f t="shared" si="35"/>
        <v>0</v>
      </c>
      <c r="BL6" s="5">
        <f t="shared" si="36"/>
        <v>0</v>
      </c>
      <c r="BM6" s="5">
        <f t="shared" si="37"/>
        <v>0</v>
      </c>
      <c r="BN6" s="5">
        <f t="shared" si="38"/>
        <v>0</v>
      </c>
      <c r="BO6" s="5">
        <f t="shared" si="39"/>
        <v>0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 t="shared" si="45"/>
        <v>0</v>
      </c>
      <c r="BV6" s="5">
        <f t="shared" si="46"/>
        <v>0</v>
      </c>
      <c r="BW6" s="5">
        <f t="shared" si="47"/>
        <v>0</v>
      </c>
      <c r="BX6" s="5">
        <f t="shared" si="48"/>
        <v>0</v>
      </c>
      <c r="BY6" s="5">
        <f t="shared" si="49"/>
        <v>0</v>
      </c>
      <c r="BZ6" s="5">
        <f t="shared" si="50"/>
        <v>0</v>
      </c>
      <c r="CA6" s="5">
        <f t="shared" si="51"/>
        <v>0</v>
      </c>
      <c r="CB6" s="5">
        <f t="shared" si="52"/>
        <v>0</v>
      </c>
      <c r="CC6" s="5">
        <f t="shared" si="53"/>
        <v>0</v>
      </c>
      <c r="CD6" s="5">
        <f t="shared" si="54"/>
        <v>0</v>
      </c>
      <c r="CE6" s="5">
        <f t="shared" si="55"/>
        <v>0</v>
      </c>
      <c r="CF6" s="5">
        <f t="shared" si="56"/>
        <v>0</v>
      </c>
      <c r="CG6" s="5">
        <f t="shared" si="57"/>
        <v>0</v>
      </c>
      <c r="CH6" s="5">
        <f t="shared" si="58"/>
        <v>0</v>
      </c>
      <c r="CI6" s="5">
        <f t="shared" si="59"/>
        <v>0</v>
      </c>
      <c r="CJ6" s="5"/>
      <c r="CK6" s="4">
        <f t="shared" si="8"/>
        <v>0</v>
      </c>
    </row>
    <row r="7" spans="1:89" ht="47" customHeight="1">
      <c r="A7" s="74" t="str">
        <f t="shared" si="0"/>
        <v/>
      </c>
      <c r="B7" s="81"/>
      <c r="C7" s="86"/>
      <c r="D7" s="76"/>
      <c r="E7" s="76"/>
      <c r="F7" s="93">
        <f t="shared" si="9"/>
        <v>0</v>
      </c>
      <c r="G7" s="76"/>
      <c r="H7" s="76"/>
      <c r="I7" s="93">
        <f t="shared" si="10"/>
        <v>0</v>
      </c>
      <c r="J7" s="76"/>
      <c r="K7" s="76"/>
      <c r="L7" s="93">
        <f t="shared" si="11"/>
        <v>0</v>
      </c>
      <c r="M7" s="76"/>
      <c r="N7" s="76"/>
      <c r="O7" s="93">
        <f t="shared" si="12"/>
        <v>0</v>
      </c>
      <c r="P7" s="76"/>
      <c r="Q7" s="75"/>
      <c r="R7" s="93">
        <f t="shared" si="13"/>
        <v>0</v>
      </c>
      <c r="S7" s="76"/>
      <c r="T7" s="75"/>
      <c r="U7" s="93">
        <f t="shared" si="14"/>
        <v>0</v>
      </c>
      <c r="V7" s="75"/>
      <c r="W7" s="76"/>
      <c r="X7" s="93">
        <f t="shared" si="15"/>
        <v>0</v>
      </c>
      <c r="Y7" s="93"/>
      <c r="Z7" s="93"/>
      <c r="AA7" s="93"/>
      <c r="AB7" s="97">
        <f t="shared" si="16"/>
        <v>0</v>
      </c>
      <c r="AC7" s="94"/>
      <c r="AD7" s="78"/>
      <c r="AE7" s="95">
        <f t="shared" si="17"/>
        <v>0</v>
      </c>
      <c r="AF7" s="77"/>
      <c r="AG7" s="95">
        <f t="shared" si="18"/>
        <v>0</v>
      </c>
      <c r="AH7" s="78"/>
      <c r="AI7" s="95">
        <f t="shared" si="19"/>
        <v>0</v>
      </c>
      <c r="AJ7" s="77"/>
      <c r="AK7" s="95">
        <f t="shared" si="20"/>
        <v>0</v>
      </c>
      <c r="AL7" s="78"/>
      <c r="AM7" s="95">
        <f t="shared" si="21"/>
        <v>0</v>
      </c>
      <c r="AN7" s="77"/>
      <c r="AO7" s="95">
        <f t="shared" si="22"/>
        <v>0</v>
      </c>
      <c r="AP7" s="96">
        <f t="shared" si="23"/>
        <v>0</v>
      </c>
      <c r="AQ7" s="77"/>
      <c r="AR7" s="77"/>
      <c r="AS7" s="77"/>
      <c r="AT7" s="63">
        <f t="shared" si="24"/>
        <v>0</v>
      </c>
      <c r="AU7" s="78"/>
      <c r="AV7" s="5"/>
      <c r="AW7" s="5"/>
      <c r="AX7" s="5"/>
      <c r="AY7" s="5"/>
      <c r="AZ7" s="24" t="e">
        <f>VLOOKUP(C7,Employees!D:I,6,FALSE)</f>
        <v>#N/A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0</v>
      </c>
      <c r="BQ7" s="5">
        <f t="shared" si="41"/>
        <v>0</v>
      </c>
      <c r="BR7" s="5">
        <f t="shared" si="42"/>
        <v>0</v>
      </c>
      <c r="BS7" s="5">
        <f t="shared" si="43"/>
        <v>0</v>
      </c>
      <c r="BT7" s="5">
        <f t="shared" si="44"/>
        <v>0</v>
      </c>
      <c r="BU7" s="5">
        <f t="shared" si="45"/>
        <v>0</v>
      </c>
      <c r="BV7" s="5">
        <f t="shared" si="46"/>
        <v>0</v>
      </c>
      <c r="BW7" s="5">
        <f t="shared" si="47"/>
        <v>0</v>
      </c>
      <c r="BX7" s="5">
        <f t="shared" si="48"/>
        <v>0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0</v>
      </c>
    </row>
    <row r="8" spans="1:89" ht="47" customHeight="1">
      <c r="A8" s="74" t="str">
        <f t="shared" si="0"/>
        <v/>
      </c>
      <c r="B8" s="81"/>
      <c r="C8" s="86"/>
      <c r="D8" s="76"/>
      <c r="E8" s="76"/>
      <c r="F8" s="93">
        <f t="shared" si="9"/>
        <v>0</v>
      </c>
      <c r="G8" s="76"/>
      <c r="H8" s="75"/>
      <c r="I8" s="93">
        <f t="shared" si="10"/>
        <v>0</v>
      </c>
      <c r="J8" s="76"/>
      <c r="K8" s="75"/>
      <c r="L8" s="93">
        <f t="shared" si="11"/>
        <v>0</v>
      </c>
      <c r="M8" s="76"/>
      <c r="N8" s="75"/>
      <c r="O8" s="93">
        <f t="shared" si="12"/>
        <v>0</v>
      </c>
      <c r="P8" s="76"/>
      <c r="Q8" s="76"/>
      <c r="R8" s="93">
        <f t="shared" si="13"/>
        <v>0</v>
      </c>
      <c r="S8" s="76"/>
      <c r="T8" s="76"/>
      <c r="U8" s="93">
        <f t="shared" si="14"/>
        <v>0</v>
      </c>
      <c r="V8" s="76"/>
      <c r="W8" s="76"/>
      <c r="X8" s="93">
        <f t="shared" si="15"/>
        <v>0</v>
      </c>
      <c r="Y8" s="93"/>
      <c r="Z8" s="93"/>
      <c r="AA8" s="93"/>
      <c r="AB8" s="97">
        <f t="shared" si="16"/>
        <v>0</v>
      </c>
      <c r="AC8" s="94"/>
      <c r="AD8" s="78"/>
      <c r="AE8" s="95">
        <f t="shared" si="17"/>
        <v>0</v>
      </c>
      <c r="AF8" s="77"/>
      <c r="AG8" s="95">
        <f t="shared" si="18"/>
        <v>0</v>
      </c>
      <c r="AH8" s="78"/>
      <c r="AI8" s="95">
        <f t="shared" si="19"/>
        <v>0</v>
      </c>
      <c r="AJ8" s="77"/>
      <c r="AK8" s="95">
        <f t="shared" si="20"/>
        <v>0</v>
      </c>
      <c r="AL8" s="78"/>
      <c r="AM8" s="95">
        <f t="shared" si="21"/>
        <v>0</v>
      </c>
      <c r="AN8" s="77"/>
      <c r="AO8" s="95">
        <f t="shared" si="22"/>
        <v>0</v>
      </c>
      <c r="AP8" s="96">
        <f t="shared" si="23"/>
        <v>0</v>
      </c>
      <c r="AQ8" s="77"/>
      <c r="AR8" s="77"/>
      <c r="AS8" s="77"/>
      <c r="AT8" s="63">
        <f t="shared" si="24"/>
        <v>0</v>
      </c>
      <c r="AU8" s="78"/>
      <c r="AV8" s="5"/>
      <c r="AW8" s="5"/>
      <c r="AX8" s="5"/>
      <c r="AY8" s="5"/>
      <c r="AZ8" s="24" t="e">
        <f>VLOOKUP(C8,Employees!D:I,6,FALSE)</f>
        <v>#N/A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0</v>
      </c>
      <c r="BV8" s="5">
        <f t="shared" si="46"/>
        <v>0</v>
      </c>
      <c r="BW8" s="5">
        <f t="shared" si="47"/>
        <v>0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0</v>
      </c>
    </row>
    <row r="9" spans="1:89" ht="47" customHeight="1">
      <c r="A9" s="74" t="str">
        <f t="shared" si="0"/>
        <v/>
      </c>
      <c r="B9" s="81"/>
      <c r="C9" s="86"/>
      <c r="D9" s="76"/>
      <c r="E9" s="75"/>
      <c r="F9" s="93">
        <f t="shared" si="9"/>
        <v>0</v>
      </c>
      <c r="G9" s="75"/>
      <c r="H9" s="76"/>
      <c r="I9" s="93">
        <f t="shared" si="10"/>
        <v>0</v>
      </c>
      <c r="J9" s="76"/>
      <c r="K9" s="76"/>
      <c r="L9" s="93">
        <f t="shared" si="11"/>
        <v>0</v>
      </c>
      <c r="M9" s="75"/>
      <c r="N9" s="75"/>
      <c r="O9" s="93">
        <f t="shared" si="12"/>
        <v>0</v>
      </c>
      <c r="P9" s="76"/>
      <c r="Q9" s="75"/>
      <c r="R9" s="93">
        <f t="shared" si="13"/>
        <v>0</v>
      </c>
      <c r="S9" s="76"/>
      <c r="T9" s="75"/>
      <c r="U9" s="93">
        <f t="shared" si="14"/>
        <v>0</v>
      </c>
      <c r="V9" s="75"/>
      <c r="W9" s="76"/>
      <c r="X9" s="93">
        <f t="shared" si="15"/>
        <v>0</v>
      </c>
      <c r="Y9" s="93"/>
      <c r="Z9" s="93"/>
      <c r="AA9" s="93"/>
      <c r="AB9" s="97">
        <f t="shared" si="16"/>
        <v>0</v>
      </c>
      <c r="AC9" s="94"/>
      <c r="AD9" s="78"/>
      <c r="AE9" s="95">
        <f t="shared" si="17"/>
        <v>0</v>
      </c>
      <c r="AF9" s="77"/>
      <c r="AG9" s="95">
        <f t="shared" si="18"/>
        <v>0</v>
      </c>
      <c r="AH9" s="78"/>
      <c r="AI9" s="95">
        <f t="shared" si="19"/>
        <v>0</v>
      </c>
      <c r="AJ9" s="77"/>
      <c r="AK9" s="95">
        <f t="shared" si="20"/>
        <v>0</v>
      </c>
      <c r="AL9" s="78"/>
      <c r="AM9" s="95">
        <f t="shared" si="21"/>
        <v>0</v>
      </c>
      <c r="AN9" s="77"/>
      <c r="AO9" s="95">
        <f t="shared" si="22"/>
        <v>0</v>
      </c>
      <c r="AP9" s="96">
        <f t="shared" si="23"/>
        <v>0</v>
      </c>
      <c r="AQ9" s="77"/>
      <c r="AR9" s="77"/>
      <c r="AS9" s="77"/>
      <c r="AT9" s="63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0</v>
      </c>
    </row>
    <row r="10" spans="1:89" ht="47" customHeight="1">
      <c r="A10" s="74" t="str">
        <f t="shared" si="0"/>
        <v/>
      </c>
      <c r="B10" s="81"/>
      <c r="C10" s="86"/>
      <c r="D10" s="76"/>
      <c r="E10" s="75"/>
      <c r="F10" s="93">
        <f t="shared" si="9"/>
        <v>0</v>
      </c>
      <c r="G10" s="75"/>
      <c r="H10" s="76"/>
      <c r="I10" s="93">
        <f t="shared" si="10"/>
        <v>0</v>
      </c>
      <c r="J10" s="76"/>
      <c r="K10" s="76"/>
      <c r="L10" s="93">
        <f t="shared" si="11"/>
        <v>0</v>
      </c>
      <c r="M10" s="75"/>
      <c r="N10" s="75"/>
      <c r="O10" s="93">
        <f t="shared" si="12"/>
        <v>0</v>
      </c>
      <c r="P10" s="76"/>
      <c r="Q10" s="75"/>
      <c r="R10" s="93">
        <f t="shared" si="13"/>
        <v>0</v>
      </c>
      <c r="S10" s="76"/>
      <c r="T10" s="75"/>
      <c r="U10" s="93">
        <f t="shared" si="14"/>
        <v>0</v>
      </c>
      <c r="V10" s="75"/>
      <c r="W10" s="76"/>
      <c r="X10" s="93">
        <f t="shared" si="15"/>
        <v>0</v>
      </c>
      <c r="Y10" s="93"/>
      <c r="Z10" s="93"/>
      <c r="AA10" s="93"/>
      <c r="AB10" s="97">
        <f t="shared" si="16"/>
        <v>0</v>
      </c>
      <c r="AC10" s="94"/>
      <c r="AD10" s="78"/>
      <c r="AE10" s="95">
        <f t="shared" si="17"/>
        <v>0</v>
      </c>
      <c r="AF10" s="77"/>
      <c r="AG10" s="95">
        <f t="shared" si="18"/>
        <v>0</v>
      </c>
      <c r="AH10" s="78"/>
      <c r="AI10" s="95">
        <f t="shared" si="19"/>
        <v>0</v>
      </c>
      <c r="AJ10" s="77"/>
      <c r="AK10" s="95">
        <f t="shared" si="20"/>
        <v>0</v>
      </c>
      <c r="AL10" s="78"/>
      <c r="AM10" s="95">
        <f t="shared" si="21"/>
        <v>0</v>
      </c>
      <c r="AN10" s="77"/>
      <c r="AO10" s="95">
        <f t="shared" si="22"/>
        <v>0</v>
      </c>
      <c r="AP10" s="96">
        <f t="shared" si="23"/>
        <v>0</v>
      </c>
      <c r="AQ10" s="77"/>
      <c r="AR10" s="77"/>
      <c r="AS10" s="77"/>
      <c r="AT10" s="63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0</v>
      </c>
    </row>
    <row r="11" spans="1:89" ht="47" customHeight="1">
      <c r="A11" s="74" t="str">
        <f t="shared" si="0"/>
        <v/>
      </c>
      <c r="B11" s="81"/>
      <c r="C11" s="86"/>
      <c r="D11" s="76"/>
      <c r="E11" s="75"/>
      <c r="F11" s="93">
        <f t="shared" si="9"/>
        <v>0</v>
      </c>
      <c r="G11" s="75"/>
      <c r="H11" s="76"/>
      <c r="I11" s="93">
        <f t="shared" si="10"/>
        <v>0</v>
      </c>
      <c r="J11" s="76"/>
      <c r="K11" s="76"/>
      <c r="L11" s="93">
        <f t="shared" si="11"/>
        <v>0</v>
      </c>
      <c r="M11" s="75"/>
      <c r="N11" s="75"/>
      <c r="O11" s="93">
        <f t="shared" si="12"/>
        <v>0</v>
      </c>
      <c r="P11" s="76"/>
      <c r="Q11" s="75"/>
      <c r="R11" s="93">
        <f t="shared" si="13"/>
        <v>0</v>
      </c>
      <c r="S11" s="76"/>
      <c r="T11" s="75"/>
      <c r="U11" s="93">
        <f t="shared" si="14"/>
        <v>0</v>
      </c>
      <c r="V11" s="75"/>
      <c r="W11" s="76"/>
      <c r="X11" s="93">
        <f t="shared" si="15"/>
        <v>0</v>
      </c>
      <c r="Y11" s="93"/>
      <c r="Z11" s="93"/>
      <c r="AA11" s="93"/>
      <c r="AB11" s="97">
        <f t="shared" si="16"/>
        <v>0</v>
      </c>
      <c r="AC11" s="94"/>
      <c r="AD11" s="78"/>
      <c r="AE11" s="95">
        <f t="shared" si="17"/>
        <v>0</v>
      </c>
      <c r="AF11" s="77"/>
      <c r="AG11" s="95">
        <f t="shared" si="18"/>
        <v>0</v>
      </c>
      <c r="AH11" s="78"/>
      <c r="AI11" s="95">
        <f t="shared" si="19"/>
        <v>0</v>
      </c>
      <c r="AJ11" s="77"/>
      <c r="AK11" s="95">
        <f t="shared" si="20"/>
        <v>0</v>
      </c>
      <c r="AL11" s="78"/>
      <c r="AM11" s="95">
        <f t="shared" si="21"/>
        <v>0</v>
      </c>
      <c r="AN11" s="77"/>
      <c r="AO11" s="95">
        <f t="shared" si="22"/>
        <v>0</v>
      </c>
      <c r="AP11" s="96">
        <f t="shared" si="23"/>
        <v>0</v>
      </c>
      <c r="AQ11" s="77"/>
      <c r="AR11" s="77"/>
      <c r="AS11" s="77"/>
      <c r="AT11" s="63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0</v>
      </c>
    </row>
    <row r="12" spans="1:89" ht="47" customHeight="1">
      <c r="A12" s="74" t="str">
        <f t="shared" si="0"/>
        <v/>
      </c>
      <c r="B12" s="81"/>
      <c r="C12" s="86"/>
      <c r="D12" s="76"/>
      <c r="E12" s="75"/>
      <c r="F12" s="93">
        <f t="shared" si="9"/>
        <v>0</v>
      </c>
      <c r="G12" s="75"/>
      <c r="H12" s="76"/>
      <c r="I12" s="93">
        <f t="shared" si="10"/>
        <v>0</v>
      </c>
      <c r="J12" s="76"/>
      <c r="K12" s="76"/>
      <c r="L12" s="93">
        <f t="shared" si="11"/>
        <v>0</v>
      </c>
      <c r="M12" s="75"/>
      <c r="N12" s="75"/>
      <c r="O12" s="93">
        <f t="shared" si="12"/>
        <v>0</v>
      </c>
      <c r="P12" s="76"/>
      <c r="Q12" s="75"/>
      <c r="R12" s="93">
        <f t="shared" si="13"/>
        <v>0</v>
      </c>
      <c r="S12" s="76"/>
      <c r="T12" s="75"/>
      <c r="U12" s="93">
        <f t="shared" si="14"/>
        <v>0</v>
      </c>
      <c r="V12" s="75"/>
      <c r="W12" s="76"/>
      <c r="X12" s="93">
        <f t="shared" si="15"/>
        <v>0</v>
      </c>
      <c r="Y12" s="93"/>
      <c r="Z12" s="93"/>
      <c r="AA12" s="93"/>
      <c r="AB12" s="97">
        <f t="shared" si="16"/>
        <v>0</v>
      </c>
      <c r="AC12" s="94"/>
      <c r="AD12" s="78"/>
      <c r="AE12" s="95">
        <f t="shared" si="17"/>
        <v>0</v>
      </c>
      <c r="AF12" s="77"/>
      <c r="AG12" s="95">
        <f t="shared" si="18"/>
        <v>0</v>
      </c>
      <c r="AH12" s="77"/>
      <c r="AI12" s="95">
        <f t="shared" si="19"/>
        <v>0</v>
      </c>
      <c r="AJ12" s="77"/>
      <c r="AK12" s="95">
        <f t="shared" si="20"/>
        <v>0</v>
      </c>
      <c r="AL12" s="78"/>
      <c r="AM12" s="95">
        <f t="shared" si="21"/>
        <v>0</v>
      </c>
      <c r="AN12" s="77"/>
      <c r="AO12" s="95">
        <f t="shared" si="22"/>
        <v>0</v>
      </c>
      <c r="AP12" s="96">
        <f t="shared" si="23"/>
        <v>0</v>
      </c>
      <c r="AQ12" s="77"/>
      <c r="AR12" s="77"/>
      <c r="AS12" s="77"/>
      <c r="AT12" s="63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 t="str">
        <f t="shared" si="0"/>
        <v/>
      </c>
      <c r="B13" s="81"/>
      <c r="C13" s="86"/>
      <c r="D13" s="76"/>
      <c r="E13" s="75"/>
      <c r="F13" s="93">
        <f t="shared" si="9"/>
        <v>0</v>
      </c>
      <c r="G13" s="75"/>
      <c r="H13" s="76"/>
      <c r="I13" s="93">
        <f t="shared" si="10"/>
        <v>0</v>
      </c>
      <c r="J13" s="76"/>
      <c r="K13" s="76"/>
      <c r="L13" s="93">
        <f t="shared" si="11"/>
        <v>0</v>
      </c>
      <c r="M13" s="75"/>
      <c r="N13" s="75"/>
      <c r="O13" s="93">
        <f t="shared" si="12"/>
        <v>0</v>
      </c>
      <c r="P13" s="76"/>
      <c r="Q13" s="75"/>
      <c r="R13" s="93">
        <f t="shared" si="13"/>
        <v>0</v>
      </c>
      <c r="S13" s="76"/>
      <c r="T13" s="75"/>
      <c r="U13" s="93">
        <f t="shared" si="14"/>
        <v>0</v>
      </c>
      <c r="V13" s="75"/>
      <c r="W13" s="76"/>
      <c r="X13" s="93">
        <f t="shared" si="15"/>
        <v>0</v>
      </c>
      <c r="Y13" s="93"/>
      <c r="Z13" s="93"/>
      <c r="AA13" s="93"/>
      <c r="AB13" s="97">
        <f t="shared" si="16"/>
        <v>0</v>
      </c>
      <c r="AC13" s="94"/>
      <c r="AD13" s="77"/>
      <c r="AE13" s="95">
        <f t="shared" si="17"/>
        <v>0</v>
      </c>
      <c r="AF13" s="77"/>
      <c r="AG13" s="95">
        <f t="shared" si="18"/>
        <v>0</v>
      </c>
      <c r="AH13" s="77"/>
      <c r="AI13" s="95">
        <f t="shared" si="19"/>
        <v>0</v>
      </c>
      <c r="AJ13" s="77"/>
      <c r="AK13" s="95">
        <f t="shared" si="20"/>
        <v>0</v>
      </c>
      <c r="AL13" s="78"/>
      <c r="AM13" s="95">
        <f t="shared" si="21"/>
        <v>0</v>
      </c>
      <c r="AN13" s="77"/>
      <c r="AO13" s="95">
        <f t="shared" si="22"/>
        <v>0</v>
      </c>
      <c r="AP13" s="96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86"/>
      <c r="D14" s="76"/>
      <c r="E14" s="75"/>
      <c r="F14" s="93">
        <f t="shared" si="9"/>
        <v>0</v>
      </c>
      <c r="G14" s="75"/>
      <c r="H14" s="76"/>
      <c r="I14" s="93">
        <f t="shared" si="10"/>
        <v>0</v>
      </c>
      <c r="J14" s="76"/>
      <c r="K14" s="76"/>
      <c r="L14" s="93">
        <f t="shared" si="11"/>
        <v>0</v>
      </c>
      <c r="M14" s="75"/>
      <c r="N14" s="75"/>
      <c r="O14" s="93">
        <f t="shared" si="12"/>
        <v>0</v>
      </c>
      <c r="P14" s="76"/>
      <c r="Q14" s="75"/>
      <c r="R14" s="93">
        <f t="shared" si="13"/>
        <v>0</v>
      </c>
      <c r="S14" s="76"/>
      <c r="T14" s="75"/>
      <c r="U14" s="93">
        <f t="shared" si="14"/>
        <v>0</v>
      </c>
      <c r="V14" s="75"/>
      <c r="W14" s="76"/>
      <c r="X14" s="93">
        <f t="shared" si="15"/>
        <v>0</v>
      </c>
      <c r="Y14" s="93"/>
      <c r="Z14" s="93"/>
      <c r="AA14" s="93"/>
      <c r="AB14" s="97">
        <f t="shared" si="16"/>
        <v>0</v>
      </c>
      <c r="AC14" s="94"/>
      <c r="AD14" s="77"/>
      <c r="AE14" s="95">
        <f t="shared" si="17"/>
        <v>0</v>
      </c>
      <c r="AF14" s="77"/>
      <c r="AG14" s="95">
        <f t="shared" si="18"/>
        <v>0</v>
      </c>
      <c r="AH14" s="77"/>
      <c r="AI14" s="95">
        <f t="shared" si="19"/>
        <v>0</v>
      </c>
      <c r="AJ14" s="77"/>
      <c r="AK14" s="95">
        <f t="shared" si="20"/>
        <v>0</v>
      </c>
      <c r="AL14" s="78"/>
      <c r="AM14" s="95">
        <f t="shared" si="21"/>
        <v>0</v>
      </c>
      <c r="AN14" s="77"/>
      <c r="AO14" s="95">
        <f t="shared" si="22"/>
        <v>0</v>
      </c>
      <c r="AP14" s="96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7"/>
      <c r="D15" s="76"/>
      <c r="E15" s="75"/>
      <c r="F15" s="93">
        <f t="shared" si="9"/>
        <v>0</v>
      </c>
      <c r="G15" s="75"/>
      <c r="H15" s="76"/>
      <c r="I15" s="93">
        <f t="shared" si="10"/>
        <v>0</v>
      </c>
      <c r="J15" s="76"/>
      <c r="K15" s="76"/>
      <c r="L15" s="93">
        <f t="shared" si="11"/>
        <v>0</v>
      </c>
      <c r="M15" s="75"/>
      <c r="N15" s="75"/>
      <c r="O15" s="93">
        <f t="shared" si="12"/>
        <v>0</v>
      </c>
      <c r="P15" s="76"/>
      <c r="Q15" s="75"/>
      <c r="R15" s="93">
        <f t="shared" si="13"/>
        <v>0</v>
      </c>
      <c r="S15" s="76"/>
      <c r="T15" s="75"/>
      <c r="U15" s="93">
        <f t="shared" si="14"/>
        <v>0</v>
      </c>
      <c r="V15" s="75"/>
      <c r="W15" s="76"/>
      <c r="X15" s="93">
        <f t="shared" si="15"/>
        <v>0</v>
      </c>
      <c r="Y15" s="93"/>
      <c r="Z15" s="93"/>
      <c r="AA15" s="93"/>
      <c r="AB15" s="97">
        <f t="shared" si="16"/>
        <v>0</v>
      </c>
      <c r="AC15" s="94"/>
      <c r="AD15" s="77"/>
      <c r="AE15" s="95">
        <f t="shared" si="17"/>
        <v>0</v>
      </c>
      <c r="AF15" s="77"/>
      <c r="AG15" s="95">
        <f t="shared" si="18"/>
        <v>0</v>
      </c>
      <c r="AH15" s="77"/>
      <c r="AI15" s="95">
        <f t="shared" si="19"/>
        <v>0</v>
      </c>
      <c r="AJ15" s="77"/>
      <c r="AK15" s="95">
        <f t="shared" si="20"/>
        <v>0</v>
      </c>
      <c r="AL15" s="78"/>
      <c r="AM15" s="95">
        <f t="shared" si="21"/>
        <v>0</v>
      </c>
      <c r="AN15" s="77"/>
      <c r="AO15" s="95">
        <f t="shared" si="22"/>
        <v>0</v>
      </c>
      <c r="AP15" s="96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7"/>
      <c r="D16" s="76"/>
      <c r="E16" s="75"/>
      <c r="F16" s="93">
        <f t="shared" si="9"/>
        <v>0</v>
      </c>
      <c r="G16" s="75"/>
      <c r="H16" s="76"/>
      <c r="I16" s="93">
        <f>BF16-BG16</f>
        <v>0</v>
      </c>
      <c r="J16" s="76"/>
      <c r="K16" s="76"/>
      <c r="L16" s="93">
        <f t="shared" si="11"/>
        <v>0</v>
      </c>
      <c r="M16" s="75"/>
      <c r="N16" s="75"/>
      <c r="O16" s="93">
        <f t="shared" si="12"/>
        <v>0</v>
      </c>
      <c r="P16" s="76"/>
      <c r="Q16" s="75"/>
      <c r="R16" s="93">
        <f t="shared" si="13"/>
        <v>0</v>
      </c>
      <c r="S16" s="76"/>
      <c r="T16" s="75"/>
      <c r="U16" s="93">
        <f t="shared" si="14"/>
        <v>0</v>
      </c>
      <c r="V16" s="75"/>
      <c r="W16" s="76"/>
      <c r="X16" s="93">
        <f t="shared" si="15"/>
        <v>0</v>
      </c>
      <c r="Y16" s="93"/>
      <c r="Z16" s="93"/>
      <c r="AA16" s="93"/>
      <c r="AB16" s="97">
        <f t="shared" si="16"/>
        <v>0</v>
      </c>
      <c r="AC16" s="94"/>
      <c r="AD16" s="77"/>
      <c r="AE16" s="95">
        <f t="shared" si="17"/>
        <v>0</v>
      </c>
      <c r="AF16" s="77"/>
      <c r="AG16" s="95">
        <f t="shared" si="18"/>
        <v>0</v>
      </c>
      <c r="AH16" s="77"/>
      <c r="AI16" s="95">
        <f t="shared" si="19"/>
        <v>0</v>
      </c>
      <c r="AJ16" s="77"/>
      <c r="AK16" s="95">
        <f t="shared" si="20"/>
        <v>0</v>
      </c>
      <c r="AL16" s="78"/>
      <c r="AM16" s="95">
        <f t="shared" si="21"/>
        <v>0</v>
      </c>
      <c r="AN16" s="77"/>
      <c r="AO16" s="95">
        <f t="shared" si="22"/>
        <v>0</v>
      </c>
      <c r="AP16" s="96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3">
        <f t="shared" si="9"/>
        <v>0</v>
      </c>
      <c r="G17" s="75"/>
      <c r="H17" s="76"/>
      <c r="I17" s="93">
        <f t="shared" si="10"/>
        <v>0</v>
      </c>
      <c r="J17" s="76"/>
      <c r="K17" s="76"/>
      <c r="L17" s="93">
        <f t="shared" si="11"/>
        <v>0</v>
      </c>
      <c r="M17" s="75"/>
      <c r="N17" s="75"/>
      <c r="O17" s="93">
        <f t="shared" si="12"/>
        <v>0</v>
      </c>
      <c r="P17" s="76"/>
      <c r="Q17" s="75"/>
      <c r="R17" s="93">
        <f t="shared" si="13"/>
        <v>0</v>
      </c>
      <c r="S17" s="76"/>
      <c r="T17" s="75"/>
      <c r="U17" s="93">
        <f t="shared" si="14"/>
        <v>0</v>
      </c>
      <c r="V17" s="75"/>
      <c r="W17" s="76"/>
      <c r="X17" s="93">
        <f t="shared" si="15"/>
        <v>0</v>
      </c>
      <c r="Y17" s="93"/>
      <c r="Z17" s="93"/>
      <c r="AA17" s="93"/>
      <c r="AB17" s="97">
        <f t="shared" si="16"/>
        <v>0</v>
      </c>
      <c r="AC17" s="94"/>
      <c r="AD17" s="77"/>
      <c r="AE17" s="95">
        <f t="shared" si="17"/>
        <v>0</v>
      </c>
      <c r="AF17" s="77"/>
      <c r="AG17" s="95">
        <f t="shared" si="18"/>
        <v>0</v>
      </c>
      <c r="AH17" s="77"/>
      <c r="AI17" s="95">
        <f t="shared" si="19"/>
        <v>0</v>
      </c>
      <c r="AJ17" s="77"/>
      <c r="AK17" s="95">
        <f t="shared" si="20"/>
        <v>0</v>
      </c>
      <c r="AL17" s="78"/>
      <c r="AM17" s="95">
        <f t="shared" si="21"/>
        <v>0</v>
      </c>
      <c r="AN17" s="77"/>
      <c r="AO17" s="95">
        <f t="shared" si="22"/>
        <v>0</v>
      </c>
      <c r="AP17" s="96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3">
        <f t="shared" si="9"/>
        <v>0</v>
      </c>
      <c r="G18" s="75"/>
      <c r="H18" s="76"/>
      <c r="I18" s="93">
        <f t="shared" si="10"/>
        <v>0</v>
      </c>
      <c r="J18" s="76"/>
      <c r="K18" s="76"/>
      <c r="L18" s="93">
        <f t="shared" si="11"/>
        <v>0</v>
      </c>
      <c r="M18" s="75"/>
      <c r="N18" s="75"/>
      <c r="O18" s="93">
        <f t="shared" si="12"/>
        <v>0</v>
      </c>
      <c r="P18" s="76"/>
      <c r="Q18" s="75"/>
      <c r="R18" s="93">
        <f t="shared" si="13"/>
        <v>0</v>
      </c>
      <c r="S18" s="76"/>
      <c r="T18" s="75"/>
      <c r="U18" s="93">
        <f t="shared" si="14"/>
        <v>0</v>
      </c>
      <c r="V18" s="75"/>
      <c r="W18" s="76"/>
      <c r="X18" s="93">
        <f t="shared" si="15"/>
        <v>0</v>
      </c>
      <c r="Y18" s="93"/>
      <c r="Z18" s="93"/>
      <c r="AA18" s="93"/>
      <c r="AB18" s="97">
        <f t="shared" si="16"/>
        <v>0</v>
      </c>
      <c r="AC18" s="94"/>
      <c r="AD18" s="77"/>
      <c r="AE18" s="95">
        <f t="shared" si="17"/>
        <v>0</v>
      </c>
      <c r="AF18" s="77"/>
      <c r="AG18" s="95">
        <f t="shared" si="18"/>
        <v>0</v>
      </c>
      <c r="AH18" s="77"/>
      <c r="AI18" s="95">
        <f t="shared" si="19"/>
        <v>0</v>
      </c>
      <c r="AJ18" s="77"/>
      <c r="AK18" s="95">
        <f t="shared" si="20"/>
        <v>0</v>
      </c>
      <c r="AL18" s="78"/>
      <c r="AM18" s="95">
        <f t="shared" si="21"/>
        <v>0</v>
      </c>
      <c r="AN18" s="77"/>
      <c r="AO18" s="95">
        <f t="shared" si="22"/>
        <v>0</v>
      </c>
      <c r="AP18" s="96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3">
        <f t="shared" si="9"/>
        <v>0</v>
      </c>
      <c r="G19" s="75"/>
      <c r="H19" s="76"/>
      <c r="I19" s="93">
        <f t="shared" si="10"/>
        <v>0</v>
      </c>
      <c r="J19" s="76"/>
      <c r="K19" s="76"/>
      <c r="L19" s="93">
        <f t="shared" si="11"/>
        <v>0</v>
      </c>
      <c r="M19" s="75"/>
      <c r="N19" s="75"/>
      <c r="O19" s="93">
        <f t="shared" si="12"/>
        <v>0</v>
      </c>
      <c r="P19" s="76"/>
      <c r="Q19" s="75"/>
      <c r="R19" s="93">
        <f t="shared" si="13"/>
        <v>0</v>
      </c>
      <c r="S19" s="76"/>
      <c r="T19" s="75"/>
      <c r="U19" s="93">
        <f t="shared" si="14"/>
        <v>0</v>
      </c>
      <c r="V19" s="75"/>
      <c r="W19" s="76"/>
      <c r="X19" s="93">
        <f t="shared" si="15"/>
        <v>0</v>
      </c>
      <c r="Y19" s="93"/>
      <c r="Z19" s="93"/>
      <c r="AA19" s="93"/>
      <c r="AB19" s="97">
        <f t="shared" si="16"/>
        <v>0</v>
      </c>
      <c r="AC19" s="94"/>
      <c r="AD19" s="77"/>
      <c r="AE19" s="95">
        <f t="shared" si="17"/>
        <v>0</v>
      </c>
      <c r="AF19" s="77"/>
      <c r="AG19" s="95">
        <f t="shared" si="18"/>
        <v>0</v>
      </c>
      <c r="AH19" s="77"/>
      <c r="AI19" s="95">
        <f t="shared" si="19"/>
        <v>0</v>
      </c>
      <c r="AJ19" s="77"/>
      <c r="AK19" s="95">
        <f t="shared" si="20"/>
        <v>0</v>
      </c>
      <c r="AL19" s="78"/>
      <c r="AM19" s="95">
        <f t="shared" si="21"/>
        <v>0</v>
      </c>
      <c r="AN19" s="77"/>
      <c r="AO19" s="95">
        <f t="shared" si="22"/>
        <v>0</v>
      </c>
      <c r="AP19" s="96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3">
        <f t="shared" si="9"/>
        <v>0</v>
      </c>
      <c r="G20" s="75"/>
      <c r="H20" s="76"/>
      <c r="I20" s="93">
        <f t="shared" si="10"/>
        <v>0</v>
      </c>
      <c r="J20" s="76"/>
      <c r="K20" s="76"/>
      <c r="L20" s="93">
        <f t="shared" si="11"/>
        <v>0</v>
      </c>
      <c r="M20" s="75"/>
      <c r="N20" s="75"/>
      <c r="O20" s="93">
        <f t="shared" si="12"/>
        <v>0</v>
      </c>
      <c r="P20" s="76"/>
      <c r="Q20" s="75"/>
      <c r="R20" s="93">
        <f t="shared" si="13"/>
        <v>0</v>
      </c>
      <c r="S20" s="76"/>
      <c r="T20" s="75"/>
      <c r="U20" s="93">
        <f t="shared" si="14"/>
        <v>0</v>
      </c>
      <c r="V20" s="75"/>
      <c r="W20" s="76"/>
      <c r="X20" s="93">
        <f t="shared" si="15"/>
        <v>0</v>
      </c>
      <c r="Y20" s="93"/>
      <c r="Z20" s="93"/>
      <c r="AA20" s="93"/>
      <c r="AB20" s="97">
        <f t="shared" si="16"/>
        <v>0</v>
      </c>
      <c r="AC20" s="94"/>
      <c r="AD20" s="77"/>
      <c r="AE20" s="95">
        <f t="shared" si="17"/>
        <v>0</v>
      </c>
      <c r="AF20" s="77"/>
      <c r="AG20" s="95">
        <f t="shared" si="18"/>
        <v>0</v>
      </c>
      <c r="AH20" s="77"/>
      <c r="AI20" s="95">
        <f t="shared" si="19"/>
        <v>0</v>
      </c>
      <c r="AJ20" s="77"/>
      <c r="AK20" s="95">
        <f t="shared" si="20"/>
        <v>0</v>
      </c>
      <c r="AL20" s="78"/>
      <c r="AM20" s="95">
        <f t="shared" si="21"/>
        <v>0</v>
      </c>
      <c r="AN20" s="77"/>
      <c r="AO20" s="95">
        <f t="shared" si="22"/>
        <v>0</v>
      </c>
      <c r="AP20" s="96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3">
        <f t="shared" ref="F21:F29" si="60">BA21-BB21</f>
        <v>0</v>
      </c>
      <c r="G21" s="75"/>
      <c r="H21" s="76"/>
      <c r="I21" s="93">
        <f t="shared" ref="I21:I29" si="61">BF21-BG21</f>
        <v>0</v>
      </c>
      <c r="J21" s="76"/>
      <c r="K21" s="76"/>
      <c r="L21" s="93">
        <f t="shared" ref="L21:L29" si="62">BK21-BL21</f>
        <v>0</v>
      </c>
      <c r="M21" s="75"/>
      <c r="N21" s="75"/>
      <c r="O21" s="93">
        <f t="shared" ref="O21:O29" si="63">BP21-BQ21</f>
        <v>0</v>
      </c>
      <c r="P21" s="76"/>
      <c r="Q21" s="75"/>
      <c r="R21" s="93">
        <f t="shared" ref="R21:R29" si="64">BU21-BV21</f>
        <v>0</v>
      </c>
      <c r="S21" s="76"/>
      <c r="T21" s="76"/>
      <c r="U21" s="93">
        <f t="shared" ref="U21:U29" si="65">BZ21-CA21</f>
        <v>0</v>
      </c>
      <c r="V21" s="75"/>
      <c r="W21" s="76"/>
      <c r="X21" s="93">
        <f t="shared" ref="X21:X29" si="66">CE21-CF21</f>
        <v>0</v>
      </c>
      <c r="Y21" s="93"/>
      <c r="Z21" s="93"/>
      <c r="AA21" s="93"/>
      <c r="AB21" s="97">
        <f t="shared" ref="AB21:AB29" si="67">SUM(F21,I21,L21,O21,R21,U21,X21)</f>
        <v>0</v>
      </c>
      <c r="AC21" s="94"/>
      <c r="AD21" s="77"/>
      <c r="AE21" s="95">
        <f t="shared" ref="AE21:AE29" si="68">SUMIF($BC$1:$CI$1,AE$1,$BC21:$CI21)+AD21</f>
        <v>0</v>
      </c>
      <c r="AF21" s="77"/>
      <c r="AG21" s="95">
        <f t="shared" ref="AG21:AG29" si="69">SUMIF($BC$1:$CI$1,AG$1,$BC21:$CI21)+AF21</f>
        <v>0</v>
      </c>
      <c r="AH21" s="77"/>
      <c r="AI21" s="95">
        <f t="shared" ref="AI21:AI29" si="70">SUMIF($BC$1:$CI$1,AI$1,$BC21:$CI21)+AH21</f>
        <v>0</v>
      </c>
      <c r="AJ21" s="77"/>
      <c r="AK21" s="95">
        <f t="shared" ref="AK21:AK29" si="71">SUMIF($BC$1:$CI$1,AK$1,$BC21:$CI21)+AJ21</f>
        <v>0</v>
      </c>
      <c r="AL21" s="78"/>
      <c r="AM21" s="95">
        <f t="shared" ref="AM21:AM29" si="72">SUMIF($BC$1:$CI$1,AM$1,$BC21:$CI21)+AL21</f>
        <v>0</v>
      </c>
      <c r="AN21" s="77"/>
      <c r="AO21" s="95">
        <f t="shared" ref="AO21:AO29" si="73">SUMIF($BC$1:$CI$1,AO$1,$BC21:$CI21)+AN21</f>
        <v>0</v>
      </c>
      <c r="AP21" s="96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3">
        <f t="shared" si="60"/>
        <v>0</v>
      </c>
      <c r="G22" s="75"/>
      <c r="H22" s="76"/>
      <c r="I22" s="93">
        <f t="shared" si="61"/>
        <v>0</v>
      </c>
      <c r="J22" s="76"/>
      <c r="K22" s="76"/>
      <c r="L22" s="93">
        <f t="shared" si="62"/>
        <v>0</v>
      </c>
      <c r="M22" s="75"/>
      <c r="N22" s="75"/>
      <c r="O22" s="93">
        <f t="shared" si="63"/>
        <v>0</v>
      </c>
      <c r="P22" s="76"/>
      <c r="Q22" s="75"/>
      <c r="R22" s="93">
        <f t="shared" si="64"/>
        <v>0</v>
      </c>
      <c r="S22" s="76"/>
      <c r="T22" s="76"/>
      <c r="U22" s="93">
        <f t="shared" si="65"/>
        <v>0</v>
      </c>
      <c r="V22" s="75"/>
      <c r="W22" s="76"/>
      <c r="X22" s="93">
        <f t="shared" si="66"/>
        <v>0</v>
      </c>
      <c r="Y22" s="93"/>
      <c r="Z22" s="93"/>
      <c r="AA22" s="93"/>
      <c r="AB22" s="97">
        <f t="shared" si="67"/>
        <v>0</v>
      </c>
      <c r="AC22" s="94"/>
      <c r="AD22" s="77"/>
      <c r="AE22" s="95">
        <f t="shared" si="68"/>
        <v>0</v>
      </c>
      <c r="AF22" s="77"/>
      <c r="AG22" s="95">
        <f t="shared" si="69"/>
        <v>0</v>
      </c>
      <c r="AH22" s="77"/>
      <c r="AI22" s="95">
        <f t="shared" si="70"/>
        <v>0</v>
      </c>
      <c r="AJ22" s="77"/>
      <c r="AK22" s="95">
        <f t="shared" si="71"/>
        <v>0</v>
      </c>
      <c r="AL22" s="78"/>
      <c r="AM22" s="95">
        <f t="shared" si="72"/>
        <v>0</v>
      </c>
      <c r="AN22" s="77"/>
      <c r="AO22" s="95">
        <f t="shared" si="73"/>
        <v>0</v>
      </c>
      <c r="AP22" s="96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3">
        <f t="shared" si="60"/>
        <v>0</v>
      </c>
      <c r="G23" s="75"/>
      <c r="H23" s="76"/>
      <c r="I23" s="93">
        <f t="shared" si="61"/>
        <v>0</v>
      </c>
      <c r="J23" s="76"/>
      <c r="K23" s="76"/>
      <c r="L23" s="93">
        <f t="shared" si="62"/>
        <v>0</v>
      </c>
      <c r="M23" s="75"/>
      <c r="N23" s="75"/>
      <c r="O23" s="93">
        <f t="shared" si="63"/>
        <v>0</v>
      </c>
      <c r="P23" s="76"/>
      <c r="Q23" s="75"/>
      <c r="R23" s="93">
        <f t="shared" si="64"/>
        <v>0</v>
      </c>
      <c r="S23" s="76"/>
      <c r="T23" s="76"/>
      <c r="U23" s="93">
        <f t="shared" si="65"/>
        <v>0</v>
      </c>
      <c r="V23" s="75"/>
      <c r="W23" s="76"/>
      <c r="X23" s="93">
        <f t="shared" si="66"/>
        <v>0</v>
      </c>
      <c r="Y23" s="93"/>
      <c r="Z23" s="93"/>
      <c r="AA23" s="93"/>
      <c r="AB23" s="97">
        <f t="shared" si="67"/>
        <v>0</v>
      </c>
      <c r="AC23" s="94"/>
      <c r="AD23" s="77"/>
      <c r="AE23" s="95">
        <f t="shared" si="68"/>
        <v>0</v>
      </c>
      <c r="AF23" s="77"/>
      <c r="AG23" s="95">
        <f t="shared" si="69"/>
        <v>0</v>
      </c>
      <c r="AH23" s="77"/>
      <c r="AI23" s="95">
        <f t="shared" si="70"/>
        <v>0</v>
      </c>
      <c r="AJ23" s="77"/>
      <c r="AK23" s="95">
        <f t="shared" si="71"/>
        <v>0</v>
      </c>
      <c r="AL23" s="78"/>
      <c r="AM23" s="95">
        <f t="shared" si="72"/>
        <v>0</v>
      </c>
      <c r="AN23" s="77"/>
      <c r="AO23" s="95">
        <f t="shared" si="73"/>
        <v>0</v>
      </c>
      <c r="AP23" s="96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3">
        <f t="shared" si="60"/>
        <v>0</v>
      </c>
      <c r="G24" s="75"/>
      <c r="H24" s="76"/>
      <c r="I24" s="93">
        <f t="shared" si="61"/>
        <v>0</v>
      </c>
      <c r="J24" s="76"/>
      <c r="K24" s="76"/>
      <c r="L24" s="93">
        <f t="shared" si="62"/>
        <v>0</v>
      </c>
      <c r="M24" s="75"/>
      <c r="N24" s="75"/>
      <c r="O24" s="93">
        <f t="shared" si="63"/>
        <v>0</v>
      </c>
      <c r="P24" s="76"/>
      <c r="Q24" s="76"/>
      <c r="R24" s="93">
        <f t="shared" si="64"/>
        <v>0</v>
      </c>
      <c r="S24" s="76"/>
      <c r="T24" s="76"/>
      <c r="U24" s="93">
        <f t="shared" si="65"/>
        <v>0</v>
      </c>
      <c r="V24" s="75"/>
      <c r="W24" s="76"/>
      <c r="X24" s="93">
        <f t="shared" si="66"/>
        <v>0</v>
      </c>
      <c r="Y24" s="93"/>
      <c r="Z24" s="93"/>
      <c r="AA24" s="93"/>
      <c r="AB24" s="97">
        <f t="shared" si="67"/>
        <v>0</v>
      </c>
      <c r="AC24" s="94"/>
      <c r="AD24" s="77"/>
      <c r="AE24" s="95">
        <f t="shared" si="68"/>
        <v>0</v>
      </c>
      <c r="AF24" s="77"/>
      <c r="AG24" s="95">
        <f t="shared" si="69"/>
        <v>0</v>
      </c>
      <c r="AH24" s="77"/>
      <c r="AI24" s="95">
        <f t="shared" si="70"/>
        <v>0</v>
      </c>
      <c r="AJ24" s="77"/>
      <c r="AK24" s="95">
        <f t="shared" si="71"/>
        <v>0</v>
      </c>
      <c r="AL24" s="78"/>
      <c r="AM24" s="95">
        <f t="shared" si="72"/>
        <v>0</v>
      </c>
      <c r="AN24" s="77"/>
      <c r="AO24" s="95">
        <f t="shared" si="73"/>
        <v>0</v>
      </c>
      <c r="AP24" s="96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3">
        <f t="shared" si="60"/>
        <v>0</v>
      </c>
      <c r="G25" s="75"/>
      <c r="H25" s="76"/>
      <c r="I25" s="93">
        <f t="shared" si="61"/>
        <v>0</v>
      </c>
      <c r="J25" s="76"/>
      <c r="K25" s="76"/>
      <c r="L25" s="93">
        <f t="shared" si="62"/>
        <v>0</v>
      </c>
      <c r="M25" s="75"/>
      <c r="N25" s="75"/>
      <c r="O25" s="93">
        <f t="shared" si="63"/>
        <v>0</v>
      </c>
      <c r="P25" s="76"/>
      <c r="Q25" s="76"/>
      <c r="R25" s="93">
        <f t="shared" si="64"/>
        <v>0</v>
      </c>
      <c r="S25" s="76"/>
      <c r="T25" s="76"/>
      <c r="U25" s="93">
        <f t="shared" si="65"/>
        <v>0</v>
      </c>
      <c r="V25" s="75"/>
      <c r="W25" s="76"/>
      <c r="X25" s="93">
        <f t="shared" si="66"/>
        <v>0</v>
      </c>
      <c r="Y25" s="93"/>
      <c r="Z25" s="93"/>
      <c r="AA25" s="93"/>
      <c r="AB25" s="97">
        <f t="shared" si="67"/>
        <v>0</v>
      </c>
      <c r="AC25" s="94"/>
      <c r="AD25" s="77"/>
      <c r="AE25" s="95">
        <f t="shared" si="68"/>
        <v>0</v>
      </c>
      <c r="AF25" s="77"/>
      <c r="AG25" s="95">
        <f t="shared" si="69"/>
        <v>0</v>
      </c>
      <c r="AH25" s="77"/>
      <c r="AI25" s="95">
        <f t="shared" si="70"/>
        <v>0</v>
      </c>
      <c r="AJ25" s="77"/>
      <c r="AK25" s="95">
        <f t="shared" si="71"/>
        <v>0</v>
      </c>
      <c r="AL25" s="78"/>
      <c r="AM25" s="95">
        <f t="shared" si="72"/>
        <v>0</v>
      </c>
      <c r="AN25" s="77"/>
      <c r="AO25" s="95">
        <f t="shared" si="73"/>
        <v>0</v>
      </c>
      <c r="AP25" s="96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3">
        <f t="shared" si="60"/>
        <v>0</v>
      </c>
      <c r="G26" s="75"/>
      <c r="H26" s="76"/>
      <c r="I26" s="93">
        <f t="shared" si="61"/>
        <v>0</v>
      </c>
      <c r="J26" s="76"/>
      <c r="K26" s="76"/>
      <c r="L26" s="93">
        <f t="shared" si="62"/>
        <v>0</v>
      </c>
      <c r="M26" s="75"/>
      <c r="N26" s="75"/>
      <c r="O26" s="93">
        <f t="shared" si="63"/>
        <v>0</v>
      </c>
      <c r="P26" s="76"/>
      <c r="Q26" s="76"/>
      <c r="R26" s="93">
        <f t="shared" si="64"/>
        <v>0</v>
      </c>
      <c r="S26" s="76"/>
      <c r="T26" s="76"/>
      <c r="U26" s="93">
        <f t="shared" si="65"/>
        <v>0</v>
      </c>
      <c r="V26" s="75"/>
      <c r="W26" s="76"/>
      <c r="X26" s="93">
        <f t="shared" si="66"/>
        <v>0</v>
      </c>
      <c r="Y26" s="93"/>
      <c r="Z26" s="93"/>
      <c r="AA26" s="93"/>
      <c r="AB26" s="97">
        <f t="shared" si="67"/>
        <v>0</v>
      </c>
      <c r="AC26" s="94"/>
      <c r="AD26" s="77"/>
      <c r="AE26" s="95">
        <f t="shared" si="68"/>
        <v>0</v>
      </c>
      <c r="AF26" s="77"/>
      <c r="AG26" s="95">
        <f t="shared" si="69"/>
        <v>0</v>
      </c>
      <c r="AH26" s="77"/>
      <c r="AI26" s="95">
        <f t="shared" si="70"/>
        <v>0</v>
      </c>
      <c r="AJ26" s="77"/>
      <c r="AK26" s="95">
        <f t="shared" si="71"/>
        <v>0</v>
      </c>
      <c r="AL26" s="78"/>
      <c r="AM26" s="95">
        <f t="shared" si="72"/>
        <v>0</v>
      </c>
      <c r="AN26" s="77"/>
      <c r="AO26" s="95">
        <f t="shared" si="73"/>
        <v>0</v>
      </c>
      <c r="AP26" s="96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3">
        <f t="shared" si="60"/>
        <v>0</v>
      </c>
      <c r="G27" s="75"/>
      <c r="H27" s="76"/>
      <c r="I27" s="93">
        <f t="shared" si="61"/>
        <v>0</v>
      </c>
      <c r="J27" s="76"/>
      <c r="K27" s="76"/>
      <c r="L27" s="93">
        <f t="shared" si="62"/>
        <v>0</v>
      </c>
      <c r="M27" s="75"/>
      <c r="N27" s="75"/>
      <c r="O27" s="93">
        <f t="shared" si="63"/>
        <v>0</v>
      </c>
      <c r="P27" s="76"/>
      <c r="Q27" s="76"/>
      <c r="R27" s="93">
        <f t="shared" si="64"/>
        <v>0</v>
      </c>
      <c r="S27" s="76"/>
      <c r="T27" s="76"/>
      <c r="U27" s="93">
        <f t="shared" si="65"/>
        <v>0</v>
      </c>
      <c r="V27" s="75"/>
      <c r="W27" s="76"/>
      <c r="X27" s="93">
        <f t="shared" si="66"/>
        <v>0</v>
      </c>
      <c r="Y27" s="93"/>
      <c r="Z27" s="93"/>
      <c r="AA27" s="93"/>
      <c r="AB27" s="97">
        <f t="shared" si="67"/>
        <v>0</v>
      </c>
      <c r="AC27" s="94"/>
      <c r="AD27" s="77"/>
      <c r="AE27" s="95">
        <f t="shared" si="68"/>
        <v>0</v>
      </c>
      <c r="AF27" s="77"/>
      <c r="AG27" s="95">
        <f t="shared" si="69"/>
        <v>0</v>
      </c>
      <c r="AH27" s="77"/>
      <c r="AI27" s="95">
        <f t="shared" si="70"/>
        <v>0</v>
      </c>
      <c r="AJ27" s="77"/>
      <c r="AK27" s="95">
        <f t="shared" si="71"/>
        <v>0</v>
      </c>
      <c r="AL27" s="78"/>
      <c r="AM27" s="95">
        <f t="shared" si="72"/>
        <v>0</v>
      </c>
      <c r="AN27" s="77"/>
      <c r="AO27" s="95">
        <f t="shared" si="73"/>
        <v>0</v>
      </c>
      <c r="AP27" s="96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3">
        <f t="shared" si="60"/>
        <v>0</v>
      </c>
      <c r="G28" s="75"/>
      <c r="H28" s="76"/>
      <c r="I28" s="93">
        <f t="shared" si="61"/>
        <v>0</v>
      </c>
      <c r="J28" s="76"/>
      <c r="K28" s="76"/>
      <c r="L28" s="93">
        <f t="shared" si="62"/>
        <v>0</v>
      </c>
      <c r="M28" s="75"/>
      <c r="N28" s="75"/>
      <c r="O28" s="93">
        <f t="shared" si="63"/>
        <v>0</v>
      </c>
      <c r="P28" s="76"/>
      <c r="Q28" s="76"/>
      <c r="R28" s="93">
        <f t="shared" si="64"/>
        <v>0</v>
      </c>
      <c r="S28" s="76"/>
      <c r="T28" s="76"/>
      <c r="U28" s="93">
        <f t="shared" si="65"/>
        <v>0</v>
      </c>
      <c r="V28" s="75"/>
      <c r="W28" s="76"/>
      <c r="X28" s="93">
        <f t="shared" si="66"/>
        <v>0</v>
      </c>
      <c r="Y28" s="93"/>
      <c r="Z28" s="93"/>
      <c r="AA28" s="93"/>
      <c r="AB28" s="97">
        <f t="shared" si="67"/>
        <v>0</v>
      </c>
      <c r="AC28" s="94"/>
      <c r="AD28" s="77"/>
      <c r="AE28" s="95">
        <f t="shared" si="68"/>
        <v>0</v>
      </c>
      <c r="AF28" s="77"/>
      <c r="AG28" s="95">
        <f t="shared" si="69"/>
        <v>0</v>
      </c>
      <c r="AH28" s="77"/>
      <c r="AI28" s="95">
        <f t="shared" si="70"/>
        <v>0</v>
      </c>
      <c r="AJ28" s="77"/>
      <c r="AK28" s="95">
        <f t="shared" si="71"/>
        <v>0</v>
      </c>
      <c r="AL28" s="78"/>
      <c r="AM28" s="95">
        <f t="shared" si="72"/>
        <v>0</v>
      </c>
      <c r="AN28" s="77"/>
      <c r="AO28" s="95">
        <f t="shared" si="73"/>
        <v>0</v>
      </c>
      <c r="AP28" s="96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3">
        <f t="shared" si="60"/>
        <v>0</v>
      </c>
      <c r="G29" s="75"/>
      <c r="H29" s="76"/>
      <c r="I29" s="93">
        <f t="shared" si="61"/>
        <v>0</v>
      </c>
      <c r="J29" s="76"/>
      <c r="K29" s="76"/>
      <c r="L29" s="93">
        <f t="shared" si="62"/>
        <v>0</v>
      </c>
      <c r="M29" s="75"/>
      <c r="N29" s="75"/>
      <c r="O29" s="93">
        <f t="shared" si="63"/>
        <v>0</v>
      </c>
      <c r="P29" s="76"/>
      <c r="Q29" s="76"/>
      <c r="R29" s="93">
        <f t="shared" si="64"/>
        <v>0</v>
      </c>
      <c r="S29" s="76"/>
      <c r="T29" s="76"/>
      <c r="U29" s="93">
        <f t="shared" si="65"/>
        <v>0</v>
      </c>
      <c r="V29" s="75"/>
      <c r="W29" s="76"/>
      <c r="X29" s="93">
        <f t="shared" si="66"/>
        <v>0</v>
      </c>
      <c r="Y29" s="93"/>
      <c r="Z29" s="93"/>
      <c r="AA29" s="93"/>
      <c r="AB29" s="97">
        <f t="shared" si="67"/>
        <v>0</v>
      </c>
      <c r="AC29" s="94"/>
      <c r="AD29" s="77"/>
      <c r="AE29" s="95">
        <f t="shared" si="68"/>
        <v>0</v>
      </c>
      <c r="AF29" s="77"/>
      <c r="AG29" s="95">
        <f t="shared" si="69"/>
        <v>0</v>
      </c>
      <c r="AH29" s="77"/>
      <c r="AI29" s="95">
        <f t="shared" si="70"/>
        <v>0</v>
      </c>
      <c r="AJ29" s="77"/>
      <c r="AK29" s="95">
        <f t="shared" si="71"/>
        <v>0</v>
      </c>
      <c r="AL29" s="78"/>
      <c r="AM29" s="95">
        <f t="shared" si="72"/>
        <v>0</v>
      </c>
      <c r="AN29" s="77"/>
      <c r="AO29" s="95">
        <f t="shared" si="73"/>
        <v>0</v>
      </c>
      <c r="AP29" s="96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3">
        <f t="shared" si="9"/>
        <v>0</v>
      </c>
      <c r="G30" s="75"/>
      <c r="H30" s="76"/>
      <c r="I30" s="93">
        <f t="shared" si="10"/>
        <v>0</v>
      </c>
      <c r="J30" s="76"/>
      <c r="K30" s="76"/>
      <c r="L30" s="93">
        <f t="shared" si="11"/>
        <v>0</v>
      </c>
      <c r="M30" s="75"/>
      <c r="N30" s="75"/>
      <c r="O30" s="93">
        <f t="shared" si="12"/>
        <v>0</v>
      </c>
      <c r="P30" s="76"/>
      <c r="Q30" s="76"/>
      <c r="R30" s="93">
        <f t="shared" si="13"/>
        <v>0</v>
      </c>
      <c r="S30" s="76"/>
      <c r="T30" s="76"/>
      <c r="U30" s="93">
        <f t="shared" si="14"/>
        <v>0</v>
      </c>
      <c r="V30" s="75"/>
      <c r="W30" s="76"/>
      <c r="X30" s="93">
        <f t="shared" si="15"/>
        <v>0</v>
      </c>
      <c r="Y30" s="93"/>
      <c r="Z30" s="93"/>
      <c r="AA30" s="93"/>
      <c r="AB30" s="97">
        <f t="shared" si="16"/>
        <v>0</v>
      </c>
      <c r="AC30" s="94"/>
      <c r="AD30" s="77"/>
      <c r="AE30" s="95">
        <f t="shared" si="17"/>
        <v>0</v>
      </c>
      <c r="AF30" s="77"/>
      <c r="AG30" s="95">
        <f t="shared" si="18"/>
        <v>0</v>
      </c>
      <c r="AH30" s="77"/>
      <c r="AI30" s="95">
        <f t="shared" si="19"/>
        <v>0</v>
      </c>
      <c r="AJ30" s="77"/>
      <c r="AK30" s="95">
        <f t="shared" si="20"/>
        <v>0</v>
      </c>
      <c r="AL30" s="78"/>
      <c r="AM30" s="95">
        <f t="shared" si="21"/>
        <v>0</v>
      </c>
      <c r="AN30" s="77"/>
      <c r="AO30" s="95">
        <f t="shared" si="22"/>
        <v>0</v>
      </c>
      <c r="AP30" s="96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3">
        <f t="shared" si="9"/>
        <v>0</v>
      </c>
      <c r="G31" s="75"/>
      <c r="H31" s="76"/>
      <c r="I31" s="93">
        <f t="shared" si="10"/>
        <v>0</v>
      </c>
      <c r="J31" s="76"/>
      <c r="K31" s="76"/>
      <c r="L31" s="93">
        <f t="shared" si="11"/>
        <v>0</v>
      </c>
      <c r="M31" s="75"/>
      <c r="N31" s="75"/>
      <c r="O31" s="93">
        <f t="shared" si="12"/>
        <v>0</v>
      </c>
      <c r="P31" s="76"/>
      <c r="Q31" s="76"/>
      <c r="R31" s="93">
        <f t="shared" si="13"/>
        <v>0</v>
      </c>
      <c r="S31" s="76"/>
      <c r="T31" s="76"/>
      <c r="U31" s="93">
        <f t="shared" si="14"/>
        <v>0</v>
      </c>
      <c r="V31" s="75"/>
      <c r="W31" s="76"/>
      <c r="X31" s="93">
        <f t="shared" si="15"/>
        <v>0</v>
      </c>
      <c r="Y31" s="93"/>
      <c r="Z31" s="93"/>
      <c r="AA31" s="93"/>
      <c r="AB31" s="97">
        <f t="shared" si="16"/>
        <v>0</v>
      </c>
      <c r="AC31" s="94"/>
      <c r="AD31" s="77"/>
      <c r="AE31" s="95">
        <f t="shared" si="17"/>
        <v>0</v>
      </c>
      <c r="AF31" s="77"/>
      <c r="AG31" s="95">
        <f t="shared" si="18"/>
        <v>0</v>
      </c>
      <c r="AH31" s="77"/>
      <c r="AI31" s="95">
        <f t="shared" si="19"/>
        <v>0</v>
      </c>
      <c r="AJ31" s="77"/>
      <c r="AK31" s="95">
        <f t="shared" si="20"/>
        <v>0</v>
      </c>
      <c r="AL31" s="78"/>
      <c r="AM31" s="95">
        <f t="shared" si="21"/>
        <v>0</v>
      </c>
      <c r="AN31" s="77"/>
      <c r="AO31" s="95">
        <f t="shared" si="22"/>
        <v>0</v>
      </c>
      <c r="AP31" s="96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3">
        <f t="shared" ref="F32" si="76">BA32-BB32</f>
        <v>0</v>
      </c>
      <c r="G32" s="75"/>
      <c r="H32" s="76"/>
      <c r="I32" s="93">
        <f t="shared" ref="I32" si="77">BF32-BG32</f>
        <v>0</v>
      </c>
      <c r="J32" s="76"/>
      <c r="K32" s="76"/>
      <c r="L32" s="93">
        <f t="shared" ref="L32" si="78">BK32-BL32</f>
        <v>0</v>
      </c>
      <c r="M32" s="75"/>
      <c r="N32" s="75"/>
      <c r="O32" s="93">
        <f t="shared" ref="O32" si="79">BP32-BQ32</f>
        <v>0</v>
      </c>
      <c r="P32" s="76"/>
      <c r="Q32" s="76"/>
      <c r="R32" s="93">
        <f t="shared" ref="R32" si="80">BU32-BV32</f>
        <v>0</v>
      </c>
      <c r="S32" s="76"/>
      <c r="T32" s="76"/>
      <c r="U32" s="93">
        <f t="shared" ref="U32" si="81">BZ32-CA32</f>
        <v>0</v>
      </c>
      <c r="V32" s="75"/>
      <c r="W32" s="76"/>
      <c r="X32" s="93">
        <f t="shared" ref="X32" si="82">CE32-CF32</f>
        <v>0</v>
      </c>
      <c r="Y32" s="93"/>
      <c r="Z32" s="93"/>
      <c r="AA32" s="93"/>
      <c r="AB32" s="97">
        <f t="shared" ref="AB32" si="83">SUM(F32,I32,L32,O32,R32,U32,X32)</f>
        <v>0</v>
      </c>
      <c r="AC32" s="94"/>
      <c r="AD32" s="77"/>
      <c r="AE32" s="95">
        <f t="shared" ref="AE32" si="84">SUMIF($BC$1:$CI$1,AE$1,$BC32:$CI32)+AD32</f>
        <v>0</v>
      </c>
      <c r="AF32" s="77"/>
      <c r="AG32" s="95">
        <f t="shared" ref="AG32" si="85">SUMIF($BC$1:$CI$1,AG$1,$BC32:$CI32)+AF32</f>
        <v>0</v>
      </c>
      <c r="AH32" s="77"/>
      <c r="AI32" s="95">
        <f t="shared" ref="AI32" si="86">SUMIF($BC$1:$CI$1,AI$1,$BC32:$CI32)+AH32</f>
        <v>0</v>
      </c>
      <c r="AJ32" s="77"/>
      <c r="AK32" s="95">
        <f t="shared" ref="AK32" si="87">SUMIF($BC$1:$CI$1,AK$1,$BC32:$CI32)+AJ32</f>
        <v>0</v>
      </c>
      <c r="AL32" s="78"/>
      <c r="AM32" s="95">
        <f t="shared" ref="AM32" si="88">SUMIF($BC$1:$CI$1,AM$1,$BC32:$CI32)+AL32</f>
        <v>0</v>
      </c>
      <c r="AN32" s="77"/>
      <c r="AO32" s="95">
        <f t="shared" ref="AO32" si="89">SUMIF($BC$1:$CI$1,AO$1,$BC32:$CI32)+AN32</f>
        <v>0</v>
      </c>
      <c r="AP32" s="96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3">
        <f t="shared" si="9"/>
        <v>0</v>
      </c>
      <c r="G33" s="75"/>
      <c r="H33" s="76"/>
      <c r="I33" s="93">
        <f t="shared" si="10"/>
        <v>0</v>
      </c>
      <c r="J33" s="76"/>
      <c r="K33" s="75"/>
      <c r="L33" s="93">
        <f t="shared" si="11"/>
        <v>0</v>
      </c>
      <c r="M33" s="76"/>
      <c r="N33" s="75"/>
      <c r="O33" s="93">
        <f t="shared" si="12"/>
        <v>0</v>
      </c>
      <c r="P33" s="76"/>
      <c r="Q33" s="75"/>
      <c r="R33" s="93">
        <f t="shared" si="13"/>
        <v>0</v>
      </c>
      <c r="S33" s="76"/>
      <c r="T33" s="76"/>
      <c r="U33" s="93">
        <f t="shared" si="14"/>
        <v>0</v>
      </c>
      <c r="V33" s="75"/>
      <c r="W33" s="76"/>
      <c r="X33" s="93">
        <f t="shared" si="15"/>
        <v>0</v>
      </c>
      <c r="Y33" s="93"/>
      <c r="Z33" s="93"/>
      <c r="AA33" s="93"/>
      <c r="AB33" s="97">
        <f t="shared" si="16"/>
        <v>0</v>
      </c>
      <c r="AC33" s="94"/>
      <c r="AD33" s="77"/>
      <c r="AE33" s="95">
        <f t="shared" si="17"/>
        <v>0</v>
      </c>
      <c r="AF33" s="77"/>
      <c r="AG33" s="95">
        <f t="shared" si="18"/>
        <v>0</v>
      </c>
      <c r="AH33" s="77"/>
      <c r="AI33" s="95">
        <f t="shared" si="19"/>
        <v>0</v>
      </c>
      <c r="AJ33" s="77"/>
      <c r="AK33" s="95">
        <f t="shared" si="20"/>
        <v>0</v>
      </c>
      <c r="AL33" s="78"/>
      <c r="AM33" s="95">
        <f t="shared" si="21"/>
        <v>0</v>
      </c>
      <c r="AN33" s="77"/>
      <c r="AO33" s="95">
        <f t="shared" si="22"/>
        <v>0</v>
      </c>
      <c r="AP33" s="96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3">
        <f t="shared" si="9"/>
        <v>0</v>
      </c>
      <c r="G34" s="75"/>
      <c r="H34" s="76"/>
      <c r="I34" s="93">
        <f t="shared" si="10"/>
        <v>0</v>
      </c>
      <c r="J34" s="76"/>
      <c r="K34" s="76"/>
      <c r="L34" s="93">
        <f t="shared" si="11"/>
        <v>0</v>
      </c>
      <c r="M34" s="75"/>
      <c r="N34" s="75"/>
      <c r="O34" s="93">
        <f t="shared" si="12"/>
        <v>0</v>
      </c>
      <c r="P34" s="76"/>
      <c r="Q34" s="76"/>
      <c r="R34" s="93">
        <f t="shared" si="13"/>
        <v>0</v>
      </c>
      <c r="S34" s="76"/>
      <c r="T34" s="76"/>
      <c r="U34" s="93">
        <f t="shared" si="14"/>
        <v>0</v>
      </c>
      <c r="V34" s="75"/>
      <c r="W34" s="76"/>
      <c r="X34" s="93">
        <f t="shared" si="15"/>
        <v>0</v>
      </c>
      <c r="Y34" s="93"/>
      <c r="Z34" s="93"/>
      <c r="AA34" s="93"/>
      <c r="AB34" s="97">
        <f t="shared" si="16"/>
        <v>0</v>
      </c>
      <c r="AC34" s="94"/>
      <c r="AD34" s="77"/>
      <c r="AE34" s="95">
        <f t="shared" si="17"/>
        <v>0</v>
      </c>
      <c r="AF34" s="77"/>
      <c r="AG34" s="95">
        <f t="shared" si="18"/>
        <v>0</v>
      </c>
      <c r="AH34" s="77"/>
      <c r="AI34" s="95">
        <f t="shared" si="19"/>
        <v>0</v>
      </c>
      <c r="AJ34" s="77"/>
      <c r="AK34" s="95">
        <f t="shared" si="20"/>
        <v>0</v>
      </c>
      <c r="AL34" s="78"/>
      <c r="AM34" s="95">
        <f t="shared" si="21"/>
        <v>0</v>
      </c>
      <c r="AN34" s="77"/>
      <c r="AO34" s="95">
        <f t="shared" si="22"/>
        <v>0</v>
      </c>
      <c r="AP34" s="96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3">
        <f t="shared" si="9"/>
        <v>0</v>
      </c>
      <c r="G35" s="75"/>
      <c r="H35" s="76"/>
      <c r="I35" s="93">
        <f t="shared" si="10"/>
        <v>0</v>
      </c>
      <c r="J35" s="76"/>
      <c r="K35" s="76"/>
      <c r="L35" s="93">
        <f t="shared" si="11"/>
        <v>0</v>
      </c>
      <c r="M35" s="75"/>
      <c r="N35" s="75"/>
      <c r="O35" s="93">
        <f t="shared" si="12"/>
        <v>0</v>
      </c>
      <c r="P35" s="76"/>
      <c r="Q35" s="76"/>
      <c r="R35" s="93">
        <f t="shared" si="13"/>
        <v>0</v>
      </c>
      <c r="S35" s="76"/>
      <c r="T35" s="76"/>
      <c r="U35" s="93">
        <f t="shared" si="14"/>
        <v>0</v>
      </c>
      <c r="V35" s="75"/>
      <c r="W35" s="76"/>
      <c r="X35" s="93">
        <f t="shared" si="15"/>
        <v>0</v>
      </c>
      <c r="Y35" s="93"/>
      <c r="Z35" s="93"/>
      <c r="AA35" s="93"/>
      <c r="AB35" s="97">
        <f t="shared" si="16"/>
        <v>0</v>
      </c>
      <c r="AC35" s="94"/>
      <c r="AD35" s="77"/>
      <c r="AE35" s="95">
        <f t="shared" si="17"/>
        <v>0</v>
      </c>
      <c r="AF35" s="77"/>
      <c r="AG35" s="95">
        <f t="shared" si="18"/>
        <v>0</v>
      </c>
      <c r="AH35" s="77"/>
      <c r="AI35" s="95">
        <f t="shared" si="19"/>
        <v>0</v>
      </c>
      <c r="AJ35" s="77"/>
      <c r="AK35" s="95">
        <f t="shared" si="20"/>
        <v>0</v>
      </c>
      <c r="AL35" s="78"/>
      <c r="AM35" s="95">
        <f t="shared" si="21"/>
        <v>0</v>
      </c>
      <c r="AN35" s="77"/>
      <c r="AO35" s="95">
        <f t="shared" si="22"/>
        <v>0</v>
      </c>
      <c r="AP35" s="96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2" operator="equal">
      <formula>"Pub"</formula>
    </cfRule>
  </conditionalFormatting>
  <conditionalFormatting sqref="F2:F100 I2:I100 L2:L100 O2:O100 R2:R100 U2:U100 X2:AB100 AT2:AT100">
    <cfRule type="cellIs" dxfId="10" priority="733" operator="lessThan">
      <formula>0</formula>
    </cfRule>
    <cfRule type="cellIs" dxfId="9" priority="734" operator="between">
      <formula>3</formula>
      <formula>0.01</formula>
    </cfRule>
    <cfRule type="cellIs" dxfId="8" priority="735" operator="lessThan">
      <formula>SUMIF($C:$C,$C2,F:F)</formula>
    </cfRule>
  </conditionalFormatting>
  <conditionalFormatting sqref="AD2:AD100">
    <cfRule type="notContainsBlanks" dxfId="7" priority="3">
      <formula>LEN(TRIM(AD2))&gt;0</formula>
    </cfRule>
  </conditionalFormatting>
  <conditionalFormatting sqref="AF2:AF100">
    <cfRule type="notContainsBlanks" dxfId="6" priority="2">
      <formula>LEN(TRIM(AF2))&gt;0</formula>
    </cfRule>
  </conditionalFormatting>
  <conditionalFormatting sqref="AH2:AH100">
    <cfRule type="notContainsBlanks" dxfId="5" priority="1">
      <formula>LEN(TRIM(AH2))&gt;0</formula>
    </cfRule>
  </conditionalFormatting>
  <conditionalFormatting sqref="AL2:AL100">
    <cfRule type="notContainsBlanks" dxfId="4" priority="260">
      <formula>LEN(TRIM(AL2))&gt;0</formula>
    </cfRule>
  </conditionalFormatting>
  <conditionalFormatting sqref="AL21:AL29 AL61:AL63 AL75:AL100 AJ2:AJ100 AN2:AN100 AQ2:AS100">
    <cfRule type="notContainsBlanks" dxfId="3" priority="736">
      <formula>LEN(TRIM(AJ2))&gt;0</formula>
    </cfRule>
  </conditionalFormatting>
  <conditionalFormatting sqref="AT1">
    <cfRule type="cellIs" dxfId="2" priority="728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zoomScale="120" zoomScaleNormal="120" workbookViewId="0">
      <selection activeCell="J7" sqref="J7"/>
    </sheetView>
  </sheetViews>
  <sheetFormatPr baseColWidth="10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26/10/25</v>
      </c>
      <c r="G1" s="13" t="str">
        <f>_xlfn.CONCAT("Age on ",TEXT( 'Week 1 Roster'!$D$1+14,"dd/mm/yy"))</f>
        <v>Age on 10/11/25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10330</v>
      </c>
      <c r="B2" s="28">
        <f ca="1">IF(A2=0,"",_xlfn.NUMBERVALUE(A2))</f>
        <v>10330</v>
      </c>
      <c r="C2" s="28" t="str">
        <f ca="1">IF($A2=0,"",VLOOKUP($B2,Employees!$A:$G,2,FALSE))</f>
        <v>Winson</v>
      </c>
      <c r="D2" s="28" t="str">
        <f ca="1">IF($A2=0,"",VLOOKUP($B2,Employees!$A:$G,3,FALSE))</f>
        <v>Tan</v>
      </c>
      <c r="E2" s="26">
        <f ca="1">IF($A2=0,"",VLOOKUP($B2,Employees!$A:$G,5,FALSE))</f>
        <v>38171</v>
      </c>
      <c r="F2" s="13">
        <f ca="1">IF($E2="","",ROUNDDOWN(YEARFRAC($E2, 'Week 1 Roster'!$D$1-1, 1), 0))</f>
        <v>21</v>
      </c>
      <c r="G2" s="13">
        <f ca="1">IF($E2="","",ROUNDDOWN(YEARFRAC($E2, 'Week 1 Roster'!$D$1+14, 1), 0))</f>
        <v>21</v>
      </c>
      <c r="H2" s="13" t="b">
        <f ca="1">IF($E2="","",IF(AND(F2&lt;21,F2&lt;&gt;G2),TRUE,FALSE))</f>
        <v>0</v>
      </c>
      <c r="I2" s="13">
        <f ca="1">IF($A2=0,"",VLOOKUP($B2,Employees!$A:$G,6,FALSE))</f>
        <v>76</v>
      </c>
      <c r="J2" s="13" t="str">
        <f ca="1">IF($A2=0,"",VLOOKUP($B2,Employees!$A:$G,7,FALSE))</f>
        <v>SS</v>
      </c>
      <c r="K2" s="13" t="str">
        <f ca="1">IF($A2=0,"",IF(ISNA(VLOOKUP(A2,'Week 1 Roster'!A:C,2,0)),VLOOKUP(A2,'Week 2 Roster'!A:C,2,0),VLOOKUP(A2,'Week 1 Roster'!A:C,2,0)))</f>
        <v>Ghost Festival</v>
      </c>
      <c r="L2" s="13">
        <f ca="1">IF($A2=0,"",VLOOKUP(K2,Stores!A:B,2,0))</f>
        <v>0</v>
      </c>
      <c r="M2" s="14">
        <f t="shared" ref="M2" ca="1" si="0">Y2+AK2</f>
        <v>6.5</v>
      </c>
      <c r="N2" s="14">
        <f t="shared" ref="N2" ca="1" si="1">Z2+AL2</f>
        <v>0</v>
      </c>
      <c r="O2" s="14">
        <f t="shared" ref="O2" ca="1" si="2">AA2+AM2</f>
        <v>0</v>
      </c>
      <c r="P2" s="14">
        <f t="shared" ref="P2" ca="1" si="3">AB2+AN2</f>
        <v>0</v>
      </c>
      <c r="Q2" s="14">
        <f t="shared" ref="Q2" ca="1" si="4">AC2+AO2</f>
        <v>1.5</v>
      </c>
      <c r="R2" s="14">
        <f t="shared" ref="R2:S2" ca="1" si="5">AD2+AP2</f>
        <v>0</v>
      </c>
      <c r="S2" s="28">
        <f t="shared" ca="1" si="5"/>
        <v>1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8</v>
      </c>
      <c r="Y2" s="17">
        <f ca="1">IF($A2=0,0,SUMIF('Week 1 Roster'!$AZ:$AZ,$B2,'Week 1 Roster'!$AE:$AE))</f>
        <v>6.5</v>
      </c>
      <c r="Z2" s="17">
        <f ca="1">IF($A2=0,0,SUMIF('Week 1 Roster'!$AZ:$AZ,$B2,'Week 1 Roster'!$AG:$AG))</f>
        <v>0</v>
      </c>
      <c r="AA2" s="17">
        <f ca="1">IF($A2=0,0,SUMIF('Week 1 Roster'!$AZ:$AZ,$B2,'Week 1 Roster'!$AI:$AI))</f>
        <v>0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1.5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1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8</v>
      </c>
      <c r="AK2" s="17">
        <f ca="1">IF($A2=0,0,SUMIF('Week 2 Roster'!$AZ:$AZ,$B2,'Week 2 Roster'!$AE:$AE))</f>
        <v>0</v>
      </c>
      <c r="AL2" s="17">
        <f ca="1">IF($A2=0,0,SUMIF('Week 2 Roster'!$AZ:$AZ,$B2,'Week 2 Roster'!$AG:$AG))</f>
        <v>0</v>
      </c>
      <c r="AM2" s="17">
        <f ca="1">IF($A2=0,0,SUMIF('Week 2 Roster'!$AZ:$AZ,$B2,'Week 2 Roster'!$AI:$AI))</f>
        <v>0</v>
      </c>
      <c r="AN2" s="17">
        <f ca="1">IF($A2=0,0,SUMIF('Week 2 Roster'!$AZ:$AZ,$B2,'Week 2 Roster'!$AK:$AK))</f>
        <v>0</v>
      </c>
      <c r="AO2" s="17">
        <f ca="1">IF($A2=0,0,SUMIF('Week 2 Roster'!$AZ:$AZ,$B2,'Week 2 Roster'!$AM:$AM))</f>
        <v>0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0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0</v>
      </c>
      <c r="AV2" s="17"/>
      <c r="AW2" s="25">
        <f>'Week 1 Roster'!A2</f>
        <v>10330</v>
      </c>
      <c r="AX2" s="25" t="str">
        <f>'Week 2 Roster'!A2</f>
        <v/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10015</v>
      </c>
      <c r="B3" s="28">
        <f t="shared" ref="B3:B66" ca="1" si="9">IF(A3=0,"",_xlfn.NUMBERVALUE(A3))</f>
        <v>10015</v>
      </c>
      <c r="C3" s="28" t="str">
        <f ca="1">IF($A3=0,"",VLOOKUP($B3,Employees!$A:$G,2,FALSE))</f>
        <v>Haoxi</v>
      </c>
      <c r="D3" s="28" t="str">
        <f ca="1">IF($A3=0,"",VLOOKUP($B3,Employees!$A:$G,3,FALSE))</f>
        <v>Lu</v>
      </c>
      <c r="E3" s="26">
        <f ca="1">IF($A3=0,"",VLOOKUP($B3,Employees!$A:$G,5,FALSE))</f>
        <v>37913</v>
      </c>
      <c r="F3" s="13">
        <f ca="1">IF($E3="","",ROUNDDOWN(YEARFRAC($E3, 'Week 1 Roster'!$D$1-1, 1), 0))</f>
        <v>22</v>
      </c>
      <c r="G3" s="13">
        <f ca="1">IF($E3="","",ROUNDDOWN(YEARFRAC($E3, 'Week 1 Roster'!$D$1+14, 1), 0))</f>
        <v>22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76</v>
      </c>
      <c r="J3" s="13" t="str">
        <f ca="1">IF($A3=0,"",VLOOKUP($B3,Employees!$A:$G,7,FALSE))</f>
        <v>GCM</v>
      </c>
      <c r="K3" s="13" t="str">
        <f ca="1">IF($A3=0,"",IF(ISNA(VLOOKUP(A3,'Week 1 Roster'!A:C,2,0)),VLOOKUP(A3,'Week 2 Roster'!A:C,2,0),VLOOKUP(A3,'Week 1 Roster'!A:C,2,0)))</f>
        <v>Ghost Festival</v>
      </c>
      <c r="L3" s="13">
        <f ca="1">IF($A3=0,"",VLOOKUP(K3,Stores!A:B,2,0))</f>
        <v>0</v>
      </c>
      <c r="M3" s="14">
        <f t="shared" ref="M3:M66" ca="1" si="11">Y3+AK3</f>
        <v>0</v>
      </c>
      <c r="N3" s="14">
        <f t="shared" ref="N3:N66" ca="1" si="12">Z3+AL3</f>
        <v>10</v>
      </c>
      <c r="O3" s="14">
        <f t="shared" ref="O3:O66" ca="1" si="13">AA3+AM3</f>
        <v>0</v>
      </c>
      <c r="P3" s="14">
        <f t="shared" ref="P3:P66" ca="1" si="14">AB3+AN3</f>
        <v>0</v>
      </c>
      <c r="Q3" s="14">
        <f t="shared" ref="Q3:Q66" ca="1" si="15">AC3+AO3</f>
        <v>0</v>
      </c>
      <c r="R3" s="14">
        <f t="shared" ref="R3:R66" ca="1" si="16">AD3+AP3</f>
        <v>0</v>
      </c>
      <c r="S3" s="28">
        <f t="shared" ref="S3:S66" ca="1" si="17">AE3+AQ3</f>
        <v>1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10</v>
      </c>
      <c r="Y3" s="17">
        <f ca="1">IF($A3=0,0,SUMIF('Week 1 Roster'!$AZ:$AZ,$B3,'Week 1 Roster'!$AE:$AE))</f>
        <v>0</v>
      </c>
      <c r="Z3" s="17">
        <f ca="1">IF($A3=0,0,SUMIF('Week 1 Roster'!$AZ:$AZ,$B3,'Week 1 Roster'!$AG:$AG))</f>
        <v>10</v>
      </c>
      <c r="AA3" s="17">
        <f ca="1">IF($A3=0,0,SUMIF('Week 1 Roster'!$AZ:$AZ,$B3,'Week 1 Roster'!$AI:$AI))</f>
        <v>0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1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10</v>
      </c>
      <c r="AK3" s="17">
        <f ca="1">IF($A3=0,0,SUMIF('Week 2 Roster'!$AZ:$AZ,$B3,'Week 2 Roster'!$AE:$AE))</f>
        <v>0</v>
      </c>
      <c r="AL3" s="17">
        <f ca="1">IF($A3=0,0,SUMIF('Week 2 Roster'!$AZ:$AZ,$B3,'Week 2 Roster'!$AG:$AG))</f>
        <v>0</v>
      </c>
      <c r="AM3" s="17">
        <f ca="1">IF($A3=0,0,SUMIF('Week 2 Roster'!$AZ:$AZ,$B3,'Week 2 Roster'!$AI:$AI))</f>
        <v>0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0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0</v>
      </c>
      <c r="AV3" s="17"/>
      <c r="AW3" s="25">
        <f>'Week 1 Roster'!A3</f>
        <v>10015</v>
      </c>
      <c r="AX3" s="25" t="str">
        <f>'Week 2 Roster'!A3</f>
        <v/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10148</v>
      </c>
      <c r="B4" s="28">
        <f t="shared" ca="1" si="9"/>
        <v>10148</v>
      </c>
      <c r="C4" s="28" t="str">
        <f ca="1">IF($A4=0,"",VLOOKUP($B4,Employees!$A:$G,2,FALSE))</f>
        <v>Yeng Ting</v>
      </c>
      <c r="D4" s="28" t="str">
        <f ca="1">IF($A4=0,"",VLOOKUP($B4,Employees!$A:$G,3,FALSE))</f>
        <v>Luo</v>
      </c>
      <c r="E4" s="26">
        <f ca="1">IF($A4=0,"",VLOOKUP($B4,Employees!$A:$G,5,FALSE))</f>
        <v>36453</v>
      </c>
      <c r="F4" s="13">
        <f ca="1">IF($E4="","",ROUNDDOWN(YEARFRAC($E4, 'Week 1 Roster'!$D$1-1, 1), 0))</f>
        <v>26</v>
      </c>
      <c r="G4" s="13">
        <f ca="1">IF($E4="","",ROUNDDOWN(YEARFRAC($E4, 'Week 1 Roster'!$D$1+14, 1), 0))</f>
        <v>26</v>
      </c>
      <c r="H4" s="13" t="b">
        <f t="shared" ca="1" si="10"/>
        <v>0</v>
      </c>
      <c r="I4" s="13">
        <f ca="1">IF($A4=0,"",VLOOKUP($B4,Employees!$A:$G,6,FALSE))</f>
        <v>76</v>
      </c>
      <c r="J4" s="13" t="str">
        <f ca="1">IF($A4=0,"",VLOOKUP($B4,Employees!$A:$G,7,FALSE))</f>
        <v>HL</v>
      </c>
      <c r="K4" s="13" t="str">
        <f ca="1">IF($A4=0,"",IF(ISNA(VLOOKUP(A4,'Week 1 Roster'!A:C,2,0)),VLOOKUP(A4,'Week 2 Roster'!A:C,2,0),VLOOKUP(A4,'Week 1 Roster'!A:C,2,0)))</f>
        <v>Ghost Festival</v>
      </c>
      <c r="L4" s="13">
        <f ca="1">IF($A4=0,"",VLOOKUP(K4,Stores!A:B,2,0))</f>
        <v>0</v>
      </c>
      <c r="M4" s="14">
        <f t="shared" ca="1" si="11"/>
        <v>6.4999999999999991</v>
      </c>
      <c r="N4" s="14">
        <f t="shared" ca="1" si="12"/>
        <v>0</v>
      </c>
      <c r="O4" s="14">
        <f t="shared" ca="1" si="13"/>
        <v>0</v>
      </c>
      <c r="P4" s="14">
        <f t="shared" ca="1" si="14"/>
        <v>0</v>
      </c>
      <c r="Q4" s="14">
        <f t="shared" ca="1" si="15"/>
        <v>0</v>
      </c>
      <c r="R4" s="14">
        <f t="shared" ca="1" si="16"/>
        <v>0</v>
      </c>
      <c r="S4" s="28">
        <f t="shared" ca="1" si="17"/>
        <v>1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6.4999999999999991</v>
      </c>
      <c r="Y4" s="17">
        <f ca="1">IF($A4=0,0,SUMIF('Week 1 Roster'!$AZ:$AZ,$B4,'Week 1 Roster'!$AE:$AE))</f>
        <v>6.4999999999999991</v>
      </c>
      <c r="Z4" s="17">
        <f ca="1">IF($A4=0,0,SUMIF('Week 1 Roster'!$AZ:$AZ,$B4,'Week 1 Roster'!$AG:$AG))</f>
        <v>0</v>
      </c>
      <c r="AA4" s="17">
        <f ca="1">IF($A4=0,0,SUMIF('Week 1 Roster'!$AZ:$AZ,$B4,'Week 1 Roster'!$AI:$AI))</f>
        <v>0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1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6.4999999999999991</v>
      </c>
      <c r="AK4" s="17">
        <f ca="1">IF($A4=0,0,SUMIF('Week 2 Roster'!$AZ:$AZ,$B4,'Week 2 Roster'!$AE:$AE))</f>
        <v>0</v>
      </c>
      <c r="AL4" s="17">
        <f ca="1">IF($A4=0,0,SUMIF('Week 2 Roster'!$AZ:$AZ,$B4,'Week 2 Roster'!$AG:$AG))</f>
        <v>0</v>
      </c>
      <c r="AM4" s="17">
        <f ca="1">IF($A4=0,0,SUMIF('Week 2 Roster'!$AZ:$AZ,$B4,'Week 2 Roster'!$AI:$AI))</f>
        <v>0</v>
      </c>
      <c r="AN4" s="17">
        <f ca="1">IF($A4=0,0,SUMIF('Week 2 Roster'!$AZ:$AZ,$B4,'Week 2 Roster'!$AK:$AK))</f>
        <v>0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0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0</v>
      </c>
      <c r="AV4" s="17"/>
      <c r="AW4" s="25" t="str">
        <f>'Week 1 Roster'!A4</f>
        <v/>
      </c>
      <c r="AX4" s="25" t="str">
        <f>'Week 2 Roster'!A4</f>
        <v/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10337</v>
      </c>
      <c r="B5" s="28">
        <f t="shared" ca="1" si="9"/>
        <v>10337</v>
      </c>
      <c r="C5" s="28" t="str">
        <f ca="1">IF($A5=0,"",VLOOKUP($B5,Employees!$A:$G,2,FALSE))</f>
        <v>Ngoc My</v>
      </c>
      <c r="D5" s="28" t="str">
        <f ca="1">IF($A5=0,"",VLOOKUP($B5,Employees!$A:$G,3,FALSE))</f>
        <v>Nguyen</v>
      </c>
      <c r="E5" s="26">
        <f ca="1">IF($A5=0,"",VLOOKUP($B5,Employees!$A:$G,5,FALSE))</f>
        <v>37666</v>
      </c>
      <c r="F5" s="13">
        <f ca="1">IF($E5="","",ROUNDDOWN(YEARFRAC($E5, 'Week 1 Roster'!$D$1-1, 1), 0))</f>
        <v>22</v>
      </c>
      <c r="G5" s="13">
        <f ca="1">IF($E5="","",ROUNDDOWN(YEARFRAC($E5, 'Week 1 Roster'!$D$1+14, 1), 0))</f>
        <v>22</v>
      </c>
      <c r="H5" s="13" t="b">
        <f t="shared" ca="1" si="10"/>
        <v>0</v>
      </c>
      <c r="I5" s="13">
        <f ca="1">IF($A5=0,"",VLOOKUP($B5,Employees!$A:$G,6,FALSE))</f>
        <v>76</v>
      </c>
      <c r="J5" s="13" t="str">
        <f ca="1">IF($A5=0,"",VLOOKUP($B5,Employees!$A:$G,7,FALSE))</f>
        <v>SS</v>
      </c>
      <c r="K5" s="13" t="str">
        <f ca="1">IF($A5=0,"",IF(ISNA(VLOOKUP(A5,'Week 1 Roster'!A:C,2,0)),VLOOKUP(A5,'Week 2 Roster'!A:C,2,0),VLOOKUP(A5,'Week 1 Roster'!A:C,2,0)))</f>
        <v>Ghost Festival</v>
      </c>
      <c r="L5" s="13">
        <f ca="1">IF($A5=0,"",VLOOKUP(K5,Stores!A:B,2,0))</f>
        <v>0</v>
      </c>
      <c r="M5" s="14">
        <f t="shared" ca="1" si="11"/>
        <v>0</v>
      </c>
      <c r="N5" s="14">
        <f t="shared" ca="1" si="12"/>
        <v>8.5</v>
      </c>
      <c r="O5" s="14">
        <f t="shared" ca="1" si="13"/>
        <v>7.5</v>
      </c>
      <c r="P5" s="14">
        <f t="shared" ca="1" si="14"/>
        <v>0</v>
      </c>
      <c r="Q5" s="14">
        <f t="shared" ca="1" si="15"/>
        <v>0</v>
      </c>
      <c r="R5" s="14">
        <f t="shared" ca="1" si="16"/>
        <v>0</v>
      </c>
      <c r="S5" s="28">
        <f t="shared" ca="1" si="17"/>
        <v>2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16</v>
      </c>
      <c r="Y5" s="17">
        <f ca="1">IF($A5=0,0,SUMIF('Week 1 Roster'!$AZ:$AZ,$B5,'Week 1 Roster'!$AE:$AE))</f>
        <v>0</v>
      </c>
      <c r="Z5" s="17">
        <f ca="1">IF($A5=0,0,SUMIF('Week 1 Roster'!$AZ:$AZ,$B5,'Week 1 Roster'!$AG:$AG))</f>
        <v>8.5</v>
      </c>
      <c r="AA5" s="17">
        <f ca="1">IF($A5=0,0,SUMIF('Week 1 Roster'!$AZ:$AZ,$B5,'Week 1 Roster'!$AI:$AI))</f>
        <v>7.5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2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16</v>
      </c>
      <c r="AK5" s="17">
        <f ca="1">IF($A5=0,0,SUMIF('Week 2 Roster'!$AZ:$AZ,$B5,'Week 2 Roster'!$AE:$AE))</f>
        <v>0</v>
      </c>
      <c r="AL5" s="17">
        <f ca="1">IF($A5=0,0,SUMIF('Week 2 Roster'!$AZ:$AZ,$B5,'Week 2 Roster'!$AG:$AG))</f>
        <v>0</v>
      </c>
      <c r="AM5" s="17">
        <f ca="1">IF($A5=0,0,SUMIF('Week 2 Roster'!$AZ:$AZ,$B5,'Week 2 Roster'!$AI:$AI))</f>
        <v>0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0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0</v>
      </c>
      <c r="AV5" s="17"/>
      <c r="AW5" s="25">
        <f>'Week 1 Roster'!A5</f>
        <v>10148</v>
      </c>
      <c r="AX5" s="25" t="str">
        <f>'Week 2 Roster'!A5</f>
        <v/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210396</v>
      </c>
      <c r="B6" s="28">
        <f t="shared" ca="1" si="9"/>
        <v>210396</v>
      </c>
      <c r="C6" s="28" t="str">
        <f ca="1">IF($A6=0,"",VLOOKUP($B6,Employees!$A:$G,2,FALSE))</f>
        <v>Tsz Ching</v>
      </c>
      <c r="D6" s="28" t="str">
        <f ca="1">IF($A6=0,"",VLOOKUP($B6,Employees!$A:$G,3,FALSE))</f>
        <v>Wong</v>
      </c>
      <c r="E6" s="26">
        <f ca="1">IF($A6=0,"",VLOOKUP($B6,Employees!$A:$G,5,FALSE))</f>
        <v>38425</v>
      </c>
      <c r="F6" s="13">
        <f ca="1">IF($E6="","",ROUNDDOWN(YEARFRAC($E6, 'Week 1 Roster'!$D$1-1, 1), 0))</f>
        <v>20</v>
      </c>
      <c r="G6" s="13">
        <f ca="1">IF($E6="","",ROUNDDOWN(YEARFRAC($E6, 'Week 1 Roster'!$D$1+14, 1), 0))</f>
        <v>20</v>
      </c>
      <c r="H6" s="13" t="b">
        <f t="shared" ca="1" si="10"/>
        <v>0</v>
      </c>
      <c r="I6" s="13">
        <f ca="1">IF($A6=0,"",VLOOKUP($B6,Employees!$A:$G,6,FALSE))</f>
        <v>48</v>
      </c>
      <c r="J6" s="13" t="str">
        <f ca="1">IF($A6=0,"",VLOOKUP($B6,Employees!$A:$G,7,FALSE))</f>
        <v>SS</v>
      </c>
      <c r="K6" s="13" t="str">
        <f ca="1">IF($A6=0,"",IF(ISNA(VLOOKUP(A6,'Week 1 Roster'!A:C,2,0)),VLOOKUP(A6,'Week 2 Roster'!A:C,2,0),VLOOKUP(A6,'Week 1 Roster'!A:C,2,0)))</f>
        <v>Ghost Festival</v>
      </c>
      <c r="L6" s="13">
        <f ca="1">IF($A6=0,"",VLOOKUP(K6,Stores!A:B,2,0))</f>
        <v>0</v>
      </c>
      <c r="M6" s="14">
        <f t="shared" ca="1" si="11"/>
        <v>4.0000000000000018</v>
      </c>
      <c r="N6" s="14">
        <f t="shared" ca="1" si="12"/>
        <v>3.9999999999999991</v>
      </c>
      <c r="O6" s="14">
        <f t="shared" ca="1" si="13"/>
        <v>4.0000000000000018</v>
      </c>
      <c r="P6" s="14">
        <f t="shared" ca="1" si="14"/>
        <v>0</v>
      </c>
      <c r="Q6" s="14">
        <f t="shared" ca="1" si="15"/>
        <v>0</v>
      </c>
      <c r="R6" s="14">
        <f t="shared" ca="1" si="16"/>
        <v>0</v>
      </c>
      <c r="S6" s="28">
        <f t="shared" ca="1" si="17"/>
        <v>3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12.000000000000002</v>
      </c>
      <c r="Y6" s="17">
        <f ca="1">IF($A6=0,0,SUMIF('Week 1 Roster'!$AZ:$AZ,$B6,'Week 1 Roster'!$AE:$AE))</f>
        <v>4.0000000000000018</v>
      </c>
      <c r="Z6" s="17">
        <f ca="1">IF($A6=0,0,SUMIF('Week 1 Roster'!$AZ:$AZ,$B6,'Week 1 Roster'!$AG:$AG))</f>
        <v>3.9999999999999991</v>
      </c>
      <c r="AA6" s="17">
        <f ca="1">IF($A6=0,0,SUMIF('Week 1 Roster'!$AZ:$AZ,$B6,'Week 1 Roster'!$AI:$AI))</f>
        <v>4.0000000000000018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0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3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12.000000000000002</v>
      </c>
      <c r="AK6" s="17">
        <f ca="1">IF($A6=0,0,SUMIF('Week 2 Roster'!$AZ:$AZ,$B6,'Week 2 Roster'!$AE:$AE))</f>
        <v>0</v>
      </c>
      <c r="AL6" s="17">
        <f ca="1">IF($A6=0,0,SUMIF('Week 2 Roster'!$AZ:$AZ,$B6,'Week 2 Roster'!$AG:$AG))</f>
        <v>0</v>
      </c>
      <c r="AM6" s="17">
        <f ca="1">IF($A6=0,0,SUMIF('Week 2 Roster'!$AZ:$AZ,$B6,'Week 2 Roster'!$AI:$AI))</f>
        <v>0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0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0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0</v>
      </c>
      <c r="AV6" s="17"/>
      <c r="AW6" s="25">
        <f>'Week 1 Roster'!A6</f>
        <v>10337</v>
      </c>
      <c r="AX6" s="25" t="str">
        <f>'Week 2 Roster'!A6</f>
        <v/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210466</v>
      </c>
      <c r="B7" s="28">
        <f t="shared" ca="1" si="9"/>
        <v>210466</v>
      </c>
      <c r="C7" s="28" t="str">
        <f ca="1">IF($A7=0,"",VLOOKUP($B7,Employees!$A:$G,2,FALSE))</f>
        <v>Kaden</v>
      </c>
      <c r="D7" s="28" t="str">
        <f ca="1">IF($A7=0,"",VLOOKUP($B7,Employees!$A:$G,3,FALSE))</f>
        <v>Chu</v>
      </c>
      <c r="E7" s="26">
        <f ca="1">IF($A7=0,"",VLOOKUP($B7,Employees!$A:$G,5,FALSE))</f>
        <v>40098</v>
      </c>
      <c r="F7" s="13">
        <f ca="1">IF($E7="","",ROUNDDOWN(YEARFRAC($E7, 'Week 1 Roster'!$D$1-1, 1), 0))</f>
        <v>16</v>
      </c>
      <c r="G7" s="13">
        <f ca="1">IF($E7="","",ROUNDDOWN(YEARFRAC($E7, 'Week 1 Roster'!$D$1+14, 1), 0))</f>
        <v>16</v>
      </c>
      <c r="H7" s="13" t="b">
        <f t="shared" ca="1" si="10"/>
        <v>0</v>
      </c>
      <c r="I7" s="13">
        <f ca="1">IF($A7=0,"",VLOOKUP($B7,Employees!$A:$G,6,FALSE))</f>
        <v>76</v>
      </c>
      <c r="J7" s="13" t="str">
        <f ca="1">IF($A7=0,"",VLOOKUP($B7,Employees!$A:$G,7,FALSE))</f>
        <v>MSC</v>
      </c>
      <c r="K7" s="13" t="str">
        <f ca="1">IF($A7=0,"",IF(ISNA(VLOOKUP(A7,'Week 1 Roster'!A:C,2,0)),VLOOKUP(A7,'Week 2 Roster'!A:C,2,0),VLOOKUP(A7,'Week 1 Roster'!A:C,2,0)))</f>
        <v>Ghost Festival</v>
      </c>
      <c r="L7" s="13">
        <f ca="1">IF($A7=0,"",VLOOKUP(K7,Stores!A:B,2,0))</f>
        <v>0</v>
      </c>
      <c r="M7" s="14">
        <f t="shared" ca="1" si="11"/>
        <v>3.9999999999999991</v>
      </c>
      <c r="N7" s="14">
        <f t="shared" ca="1" si="12"/>
        <v>0</v>
      </c>
      <c r="O7" s="14">
        <f t="shared" ca="1" si="13"/>
        <v>0</v>
      </c>
      <c r="P7" s="14">
        <f t="shared" ca="1" si="14"/>
        <v>0</v>
      </c>
      <c r="Q7" s="14">
        <f t="shared" ca="1" si="15"/>
        <v>0</v>
      </c>
      <c r="R7" s="14">
        <f t="shared" ca="1" si="16"/>
        <v>0</v>
      </c>
      <c r="S7" s="28">
        <f t="shared" ca="1" si="17"/>
        <v>1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3.9999999999999991</v>
      </c>
      <c r="Y7" s="17">
        <f ca="1">IF($A7=0,0,SUMIF('Week 1 Roster'!$AZ:$AZ,$B7,'Week 1 Roster'!$AE:$AE))</f>
        <v>3.9999999999999991</v>
      </c>
      <c r="Z7" s="17">
        <f ca="1">IF($A7=0,0,SUMIF('Week 1 Roster'!$AZ:$AZ,$B7,'Week 1 Roster'!$AG:$AG))</f>
        <v>0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1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3.9999999999999991</v>
      </c>
      <c r="AK7" s="17">
        <f ca="1">IF($A7=0,0,SUMIF('Week 2 Roster'!$AZ:$AZ,$B7,'Week 2 Roster'!$AE:$AE))</f>
        <v>0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0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0</v>
      </c>
      <c r="AV7" s="17"/>
      <c r="AW7" s="25">
        <f>'Week 1 Roster'!A7</f>
        <v>210396</v>
      </c>
      <c r="AX7" s="25" t="str">
        <f>'Week 2 Roster'!A7</f>
        <v/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210420</v>
      </c>
      <c r="B8" s="28">
        <f t="shared" ca="1" si="9"/>
        <v>210420</v>
      </c>
      <c r="C8" s="28" t="str">
        <f ca="1">IF($A8=0,"",VLOOKUP($B8,Employees!$A:$G,2,FALSE))</f>
        <v>Yuxuan</v>
      </c>
      <c r="D8" s="28" t="str">
        <f ca="1">IF($A8=0,"",VLOOKUP($B8,Employees!$A:$G,3,FALSE))</f>
        <v>Wang</v>
      </c>
      <c r="E8" s="26">
        <f ca="1">IF($A8=0,"",VLOOKUP($B8,Employees!$A:$G,5,FALSE))</f>
        <v>37909</v>
      </c>
      <c r="F8" s="13">
        <f ca="1">IF($E8="","",ROUNDDOWN(YEARFRAC($E8, 'Week 1 Roster'!$D$1-1, 1), 0))</f>
        <v>22</v>
      </c>
      <c r="G8" s="13">
        <f ca="1">IF($E8="","",ROUNDDOWN(YEARFRAC($E8, 'Week 1 Roster'!$D$1+14, 1), 0))</f>
        <v>22</v>
      </c>
      <c r="H8" s="13" t="b">
        <f t="shared" ca="1" si="10"/>
        <v>0</v>
      </c>
      <c r="I8" s="13">
        <f ca="1">IF($A8=0,"",VLOOKUP($B8,Employees!$A:$G,6,FALSE))</f>
        <v>48</v>
      </c>
      <c r="J8" s="13" t="str">
        <f ca="1">IF($A8=0,"",VLOOKUP($B8,Employees!$A:$G,7,FALSE))</f>
        <v>SS</v>
      </c>
      <c r="K8" s="13" t="str">
        <f ca="1">IF($A8=0,"",IF(ISNA(VLOOKUP(A8,'Week 1 Roster'!A:C,2,0)),VLOOKUP(A8,'Week 2 Roster'!A:C,2,0),VLOOKUP(A8,'Week 1 Roster'!A:C,2,0)))</f>
        <v>Ghost Festival</v>
      </c>
      <c r="L8" s="13">
        <f ca="1">IF($A8=0,"",VLOOKUP(K8,Stores!A:B,2,0))</f>
        <v>0</v>
      </c>
      <c r="M8" s="14">
        <f t="shared" ca="1" si="11"/>
        <v>4.9999999999999982</v>
      </c>
      <c r="N8" s="14">
        <f t="shared" ca="1" si="12"/>
        <v>0</v>
      </c>
      <c r="O8" s="14">
        <f t="shared" ca="1" si="13"/>
        <v>0</v>
      </c>
      <c r="P8" s="14">
        <f t="shared" ca="1" si="14"/>
        <v>0</v>
      </c>
      <c r="Q8" s="14">
        <f t="shared" ca="1" si="15"/>
        <v>0</v>
      </c>
      <c r="R8" s="14">
        <f t="shared" ca="1" si="16"/>
        <v>0</v>
      </c>
      <c r="S8" s="28">
        <f t="shared" ca="1" si="17"/>
        <v>1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4.9999999999999982</v>
      </c>
      <c r="Y8" s="17">
        <f ca="1">IF($A8=0,0,SUMIF('Week 1 Roster'!$AZ:$AZ,$B8,'Week 1 Roster'!$AE:$AE))</f>
        <v>4.9999999999999982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1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4.9999999999999982</v>
      </c>
      <c r="AK8" s="17">
        <f ca="1">IF($A8=0,0,SUMIF('Week 2 Roster'!$AZ:$AZ,$B8,'Week 2 Roster'!$AE:$AE))</f>
        <v>0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0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0</v>
      </c>
      <c r="AV8" s="17"/>
      <c r="AW8" s="25">
        <f>'Week 1 Roster'!A8</f>
        <v>210466</v>
      </c>
      <c r="AX8" s="25" t="str">
        <f>'Week 2 Roster'!A8</f>
        <v/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210513</v>
      </c>
      <c r="B9" s="28">
        <f t="shared" ca="1" si="9"/>
        <v>210513</v>
      </c>
      <c r="C9" s="28" t="str">
        <f ca="1">IF($A9=0,"",VLOOKUP($B9,Employees!$A:$G,2,FALSE))</f>
        <v>Haji</v>
      </c>
      <c r="D9" s="28" t="str">
        <f ca="1">IF($A9=0,"",VLOOKUP($B9,Employees!$A:$G,3,FALSE))</f>
        <v>Myrteza</v>
      </c>
      <c r="E9" s="26">
        <f ca="1">IF($A9=0,"",VLOOKUP($B9,Employees!$A:$G,5,FALSE))</f>
        <v>34210</v>
      </c>
      <c r="F9" s="13">
        <f ca="1">IF($E9="","",ROUNDDOWN(YEARFRAC($E9, 'Week 1 Roster'!$D$1-1, 1), 0))</f>
        <v>32</v>
      </c>
      <c r="G9" s="13">
        <f ca="1">IF($E9="","",ROUNDDOWN(YEARFRAC($E9, 'Week 1 Roster'!$D$1+14, 1), 0))</f>
        <v>32</v>
      </c>
      <c r="H9" s="13" t="b">
        <f t="shared" ca="1" si="10"/>
        <v>0</v>
      </c>
      <c r="I9" s="13">
        <f ca="1">IF($A9=0,"",VLOOKUP($B9,Employees!$A:$G,6,FALSE))</f>
        <v>48</v>
      </c>
      <c r="J9" s="13" t="str">
        <f ca="1">IF($A9=0,"",VLOOKUP($B9,Employees!$A:$G,7,FALSE))</f>
        <v>Win</v>
      </c>
      <c r="K9" s="13" t="str">
        <f ca="1">IF($A9=0,"",IF(ISNA(VLOOKUP(A9,'Week 1 Roster'!A:C,2,0)),VLOOKUP(A9,'Week 2 Roster'!A:C,2,0),VLOOKUP(A9,'Week 1 Roster'!A:C,2,0)))</f>
        <v>Ghost Festival</v>
      </c>
      <c r="L9" s="13">
        <f ca="1">IF($A9=0,"",VLOOKUP(K9,Stores!A:B,2,0))</f>
        <v>0</v>
      </c>
      <c r="M9" s="14">
        <f t="shared" ca="1" si="11"/>
        <v>7</v>
      </c>
      <c r="N9" s="14">
        <f t="shared" ca="1" si="12"/>
        <v>0</v>
      </c>
      <c r="O9" s="14">
        <f t="shared" ca="1" si="13"/>
        <v>0</v>
      </c>
      <c r="P9" s="14">
        <f t="shared" ca="1" si="14"/>
        <v>0</v>
      </c>
      <c r="Q9" s="14">
        <f t="shared" ca="1" si="15"/>
        <v>1.5</v>
      </c>
      <c r="R9" s="14">
        <f t="shared" ca="1" si="16"/>
        <v>0</v>
      </c>
      <c r="S9" s="28">
        <f t="shared" ca="1" si="17"/>
        <v>1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8.5</v>
      </c>
      <c r="Y9" s="17">
        <f ca="1">IF($A9=0,0,SUMIF('Week 1 Roster'!$AZ:$AZ,$B9,'Week 1 Roster'!$AE:$AE))</f>
        <v>7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1.5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1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8.5</v>
      </c>
      <c r="AK9" s="17">
        <f ca="1">IF($A9=0,0,SUMIF('Week 2 Roster'!$AZ:$AZ,$B9,'Week 2 Roster'!$AE:$AE))</f>
        <v>0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0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0</v>
      </c>
      <c r="AV9" s="17"/>
      <c r="AW9" s="25">
        <f>'Week 1 Roster'!A9</f>
        <v>210420</v>
      </c>
      <c r="AX9" s="25" t="str">
        <f>'Week 2 Roster'!A9</f>
        <v/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10388</v>
      </c>
      <c r="B10" s="28">
        <f t="shared" ca="1" si="9"/>
        <v>10388</v>
      </c>
      <c r="C10" s="28" t="str">
        <f ca="1">IF($A10=0,"",VLOOKUP($B10,Employees!$A:$G,2,FALSE))</f>
        <v>Jordan</v>
      </c>
      <c r="D10" s="28" t="str">
        <f ca="1">IF($A10=0,"",VLOOKUP($B10,Employees!$A:$G,3,FALSE))</f>
        <v>Tan</v>
      </c>
      <c r="E10" s="26">
        <f ca="1">IF($A10=0,"",VLOOKUP($B10,Employees!$A:$G,5,FALSE))</f>
        <v>37824</v>
      </c>
      <c r="F10" s="13">
        <f ca="1">IF($E10="","",ROUNDDOWN(YEARFRAC($E10, 'Week 1 Roster'!$D$1-1, 1), 0))</f>
        <v>22</v>
      </c>
      <c r="G10" s="13">
        <f ca="1">IF($E10="","",ROUNDDOWN(YEARFRAC($E10, 'Week 1 Roster'!$D$1+14, 1), 0))</f>
        <v>22</v>
      </c>
      <c r="H10" s="13" t="b">
        <f t="shared" ca="1" si="10"/>
        <v>0</v>
      </c>
      <c r="I10" s="13">
        <f ca="1">IF($A10=0,"",VLOOKUP($B10,Employees!$A:$G,6,FALSE))</f>
        <v>76</v>
      </c>
      <c r="J10" s="13" t="str">
        <f ca="1">IF($A10=0,"",VLOOKUP($B10,Employees!$A:$G,7,FALSE))</f>
        <v>SS</v>
      </c>
      <c r="K10" s="13" t="str">
        <f ca="1">IF($A10=0,"",IF(ISNA(VLOOKUP(A10,'Week 1 Roster'!A:C,2,0)),VLOOKUP(A10,'Week 2 Roster'!A:C,2,0),VLOOKUP(A10,'Week 1 Roster'!A:C,2,0)))</f>
        <v>Ghost Festival</v>
      </c>
      <c r="L10" s="13">
        <f ca="1">IF($A10=0,"",VLOOKUP(K10,Stores!A:B,2,0))</f>
        <v>0</v>
      </c>
      <c r="M10" s="14">
        <f t="shared" ca="1" si="11"/>
        <v>0</v>
      </c>
      <c r="N10" s="14">
        <f t="shared" ca="1" si="12"/>
        <v>0</v>
      </c>
      <c r="O10" s="14">
        <f t="shared" ca="1" si="13"/>
        <v>10.833333333333336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1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10.833333333333336</v>
      </c>
      <c r="Y10" s="17">
        <f ca="1">IF($A10=0,0,SUMIF('Week 1 Roster'!$AZ:$AZ,$B10,'Week 1 Roster'!$AE:$AE))</f>
        <v>0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10.833333333333336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1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10.833333333333336</v>
      </c>
      <c r="AK10" s="17">
        <f ca="1">IF($A10=0,0,SUMIF('Week 2 Roster'!$AZ:$AZ,$B10,'Week 2 Roster'!$AE:$AE))</f>
        <v>0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0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0</v>
      </c>
      <c r="AV10" s="17"/>
      <c r="AW10" s="25">
        <f>'Week 1 Roster'!A10</f>
        <v>210513</v>
      </c>
      <c r="AX10" s="25" t="str">
        <f>'Week 2 Roster'!A10</f>
        <v/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10048</v>
      </c>
      <c r="B11" s="28">
        <f t="shared" ca="1" si="9"/>
        <v>10048</v>
      </c>
      <c r="C11" s="28" t="str">
        <f ca="1">IF($A11=0,"",VLOOKUP($B11,Employees!$A:$G,2,FALSE))</f>
        <v>Xinqi</v>
      </c>
      <c r="D11" s="28" t="str">
        <f ca="1">IF($A11=0,"",VLOOKUP($B11,Employees!$A:$G,3,FALSE))</f>
        <v>Liang</v>
      </c>
      <c r="E11" s="26">
        <f ca="1">IF($A11=0,"",VLOOKUP($B11,Employees!$A:$G,5,FALSE))</f>
        <v>35083</v>
      </c>
      <c r="F11" s="13">
        <f ca="1">IF($E11="","",ROUNDDOWN(YEARFRAC($E11, 'Week 1 Roster'!$D$1-1, 1), 0))</f>
        <v>29</v>
      </c>
      <c r="G11" s="13">
        <f ca="1">IF($E11="","",ROUNDDOWN(YEARFRAC($E11, 'Week 1 Roster'!$D$1+14, 1), 0))</f>
        <v>29</v>
      </c>
      <c r="H11" s="13" t="b">
        <f t="shared" ca="1" si="10"/>
        <v>0</v>
      </c>
      <c r="I11" s="13">
        <f ca="1">IF($A11=0,"",VLOOKUP($B11,Employees!$A:$G,6,FALSE))</f>
        <v>48</v>
      </c>
      <c r="J11" s="13" t="str">
        <f ca="1">IF($A11=0,"",VLOOKUP($B11,Employees!$A:$G,7,FALSE))</f>
        <v>GCM</v>
      </c>
      <c r="K11" s="13" t="str">
        <f ca="1">IF($A11=0,"",IF(ISNA(VLOOKUP(A11,'Week 1 Roster'!A:C,2,0)),VLOOKUP(A11,'Week 2 Roster'!A:C,2,0),VLOOKUP(A11,'Week 1 Roster'!A:C,2,0)))</f>
        <v>Ghost Festival</v>
      </c>
      <c r="L11" s="13">
        <f ca="1">IF($A11=0,"",VLOOKUP(K11,Stores!A:B,2,0))</f>
        <v>0</v>
      </c>
      <c r="M11" s="14">
        <f t="shared" ca="1" si="11"/>
        <v>0</v>
      </c>
      <c r="N11" s="14">
        <f t="shared" ca="1" si="12"/>
        <v>11.999999999999998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1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11.999999999999998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11.999999999999998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1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11.999999999999998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0</v>
      </c>
      <c r="AV11" s="17"/>
      <c r="AW11" s="25">
        <f>'Week 1 Roster'!A11</f>
        <v>10388</v>
      </c>
      <c r="AX11" s="25" t="str">
        <f>'Week 2 Roster'!A11</f>
        <v/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10061</v>
      </c>
      <c r="B12" s="28">
        <f t="shared" ca="1" si="9"/>
        <v>10061</v>
      </c>
      <c r="C12" s="28" t="str">
        <f ca="1">IF($A12=0,"",VLOOKUP($B12,Employees!$A:$G,2,FALSE))</f>
        <v>Adrian</v>
      </c>
      <c r="D12" s="28" t="str">
        <f ca="1">IF($A12=0,"",VLOOKUP($B12,Employees!$A:$G,3,FALSE))</f>
        <v>Lim</v>
      </c>
      <c r="E12" s="26">
        <f ca="1">IF($A12=0,"",VLOOKUP($B12,Employees!$A:$G,5,FALSE))</f>
        <v>36386</v>
      </c>
      <c r="F12" s="13">
        <f ca="1">IF($E12="","",ROUNDDOWN(YEARFRAC($E12, 'Week 1 Roster'!$D$1-1, 1), 0))</f>
        <v>26</v>
      </c>
      <c r="G12" s="13">
        <f ca="1">IF($E12="","",ROUNDDOWN(YEARFRAC($E12, 'Week 1 Roster'!$D$1+14, 1), 0))</f>
        <v>26</v>
      </c>
      <c r="H12" s="13" t="b">
        <f t="shared" ca="1" si="10"/>
        <v>0</v>
      </c>
      <c r="I12" s="13">
        <f ca="1">IF($A12=0,"",VLOOKUP($B12,Employees!$A:$G,6,FALSE))</f>
        <v>76</v>
      </c>
      <c r="J12" s="13" t="str">
        <f ca="1">IF($A12=0,"",VLOOKUP($B12,Employees!$A:$G,7,FALSE))</f>
        <v>HL</v>
      </c>
      <c r="K12" s="13" t="str">
        <f ca="1">IF($A12=0,"",IF(ISNA(VLOOKUP(A12,'Week 1 Roster'!A:C,2,0)),VLOOKUP(A12,'Week 2 Roster'!A:C,2,0),VLOOKUP(A12,'Week 1 Roster'!A:C,2,0)))</f>
        <v>Ghost Festival</v>
      </c>
      <c r="L12" s="13">
        <f ca="1">IF($A12=0,"",VLOOKUP(K12,Stores!A:B,2,0))</f>
        <v>0</v>
      </c>
      <c r="M12" s="14">
        <f t="shared" ca="1" si="11"/>
        <v>6.4999999999999991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1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6.4999999999999991</v>
      </c>
      <c r="Y12" s="17">
        <f ca="1">IF($A12=0,0,SUMIF('Week 1 Roster'!$AZ:$AZ,$B12,'Week 1 Roster'!$AE:$AE))</f>
        <v>6.4999999999999991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1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6.4999999999999991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>
        <f>'Week 1 Roster'!A12</f>
        <v>10048</v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10252</v>
      </c>
      <c r="B13" s="28">
        <f t="shared" ca="1" si="9"/>
        <v>10252</v>
      </c>
      <c r="C13" s="28" t="str">
        <f ca="1">IF($A13=0,"",VLOOKUP($B13,Employees!$A:$G,2,FALSE))</f>
        <v>Zhihou</v>
      </c>
      <c r="D13" s="28" t="str">
        <f ca="1">IF($A13=0,"",VLOOKUP($B13,Employees!$A:$G,3,FALSE))</f>
        <v>Yang</v>
      </c>
      <c r="E13" s="26">
        <f ca="1">IF($A13=0,"",VLOOKUP($B13,Employees!$A:$G,5,FALSE))</f>
        <v>38345</v>
      </c>
      <c r="F13" s="13">
        <f ca="1">IF($E13="","",ROUNDDOWN(YEARFRAC($E13, 'Week 1 Roster'!$D$1-1, 1), 0))</f>
        <v>20</v>
      </c>
      <c r="G13" s="13">
        <f ca="1">IF($E13="","",ROUNDDOWN(YEARFRAC($E13, 'Week 1 Roster'!$D$1+14, 1), 0))</f>
        <v>20</v>
      </c>
      <c r="H13" s="13" t="b">
        <f t="shared" ca="1" si="10"/>
        <v>0</v>
      </c>
      <c r="I13" s="13">
        <f ca="1">IF($A13=0,"",VLOOKUP($B13,Employees!$A:$G,6,FALSE))</f>
        <v>76</v>
      </c>
      <c r="J13" s="13" t="str">
        <f ca="1">IF($A13=0,"",VLOOKUP($B13,Employees!$A:$G,7,FALSE))</f>
        <v>HL</v>
      </c>
      <c r="K13" s="13" t="str">
        <f ca="1">IF($A13=0,"",IF(ISNA(VLOOKUP(A13,'Week 1 Roster'!A:C,2,0)),VLOOKUP(A13,'Week 2 Roster'!A:C,2,0),VLOOKUP(A13,'Week 1 Roster'!A:C,2,0)))</f>
        <v>Ghost Festival</v>
      </c>
      <c r="L13" s="13">
        <f ca="1">IF($A13=0,"",VLOOKUP(K13,Stores!A:B,2,0))</f>
        <v>0</v>
      </c>
      <c r="M13" s="14">
        <f t="shared" ca="1" si="11"/>
        <v>0</v>
      </c>
      <c r="N13" s="14">
        <f t="shared" ca="1" si="12"/>
        <v>0</v>
      </c>
      <c r="O13" s="14">
        <f t="shared" ca="1" si="13"/>
        <v>10.833333333333336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1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10.833333333333336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10.833333333333336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1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10.833333333333336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>
        <f>'Week 1 Roster'!A13</f>
        <v>10061</v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>
        <f>'Week 1 Roster'!A15</f>
        <v>10252</v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464" zoomScale="186" zoomScaleNormal="186" workbookViewId="0">
      <selection activeCell="D253" sqref="D253"/>
    </sheetView>
  </sheetViews>
  <sheetFormatPr baseColWidth="10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 t="s">
        <v>1348</v>
      </c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76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 t="s">
        <v>1348</v>
      </c>
      <c r="I177" s="12">
        <f t="shared" si="2"/>
        <v>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4880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10188</v>
      </c>
      <c r="B189" s="39" t="s">
        <v>347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435</v>
      </c>
      <c r="H189" s="39"/>
      <c r="I189" s="12">
        <f t="shared" si="2"/>
        <v>10188</v>
      </c>
    </row>
    <row r="190" spans="1:9">
      <c r="A190" s="2">
        <v>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434</v>
      </c>
      <c r="H190" s="39"/>
      <c r="I190" s="12">
        <f t="shared" si="2"/>
        <v>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 t="s">
        <v>1348</v>
      </c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48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871</v>
      </c>
      <c r="H391" s="39"/>
      <c r="I391" s="12">
        <f t="shared" si="6"/>
        <v>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210431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871</v>
      </c>
      <c r="H432" s="39"/>
      <c r="I432" s="12">
        <f t="shared" si="7"/>
        <v>210431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48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210491</v>
      </c>
      <c r="B492" s="67" t="s">
        <v>1342</v>
      </c>
      <c r="C492" s="67" t="s">
        <v>1341</v>
      </c>
      <c r="D492" s="67" t="s">
        <v>1343</v>
      </c>
      <c r="E492" s="1"/>
      <c r="F492" s="32">
        <v>76</v>
      </c>
      <c r="G492" s="39" t="s">
        <v>871</v>
      </c>
      <c r="H492" s="39"/>
      <c r="I492" s="12">
        <f t="shared" si="8"/>
        <v>210491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210503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48</v>
      </c>
      <c r="G504" s="39" t="s">
        <v>1376</v>
      </c>
      <c r="I504" s="12">
        <f t="shared" si="8"/>
        <v>210503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48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/>
      <c r="B515" s="2"/>
      <c r="C515" s="2"/>
      <c r="D515" s="2"/>
      <c r="E515" s="1"/>
      <c r="G515" s="39"/>
      <c r="I515" s="12">
        <f t="shared" si="9"/>
        <v>0</v>
      </c>
    </row>
    <row r="516" spans="1:9">
      <c r="I516" s="12">
        <f t="shared" si="9"/>
        <v>0</v>
      </c>
    </row>
    <row r="517" spans="1:9">
      <c r="I517" s="12">
        <f t="shared" si="9"/>
        <v>0</v>
      </c>
    </row>
    <row r="518" spans="1:9">
      <c r="I518" s="12">
        <f t="shared" si="9"/>
        <v>0</v>
      </c>
    </row>
    <row r="519" spans="1:9">
      <c r="I519" s="12">
        <f t="shared" si="9"/>
        <v>0</v>
      </c>
    </row>
    <row r="520" spans="1:9">
      <c r="I520" s="12">
        <f t="shared" si="9"/>
        <v>0</v>
      </c>
    </row>
    <row r="521" spans="1:9">
      <c r="I521" s="12">
        <f t="shared" si="9"/>
        <v>0</v>
      </c>
    </row>
    <row r="522" spans="1:9">
      <c r="I522" s="12">
        <f t="shared" si="9"/>
        <v>0</v>
      </c>
    </row>
    <row r="523" spans="1:9">
      <c r="I523" s="12">
        <f t="shared" si="9"/>
        <v>0</v>
      </c>
    </row>
    <row r="524" spans="1:9">
      <c r="I524" s="12">
        <f t="shared" si="9"/>
        <v>0</v>
      </c>
    </row>
    <row r="525" spans="1:9">
      <c r="I525" s="12">
        <f t="shared" si="9"/>
        <v>0</v>
      </c>
    </row>
    <row r="526" spans="1:9">
      <c r="I526" s="12">
        <f t="shared" si="9"/>
        <v>0</v>
      </c>
    </row>
    <row r="527" spans="1:9">
      <c r="I527" s="12">
        <f t="shared" si="9"/>
        <v>0</v>
      </c>
    </row>
    <row r="528" spans="1:9">
      <c r="I528" s="12">
        <f t="shared" si="9"/>
        <v>0</v>
      </c>
    </row>
    <row r="529" spans="9:9">
      <c r="I529" s="12">
        <f t="shared" si="9"/>
        <v>0</v>
      </c>
    </row>
    <row r="530" spans="9:9">
      <c r="I530" s="12">
        <f t="shared" si="9"/>
        <v>0</v>
      </c>
    </row>
    <row r="531" spans="9:9">
      <c r="I531" s="12">
        <f t="shared" si="9"/>
        <v>0</v>
      </c>
    </row>
    <row r="532" spans="9:9">
      <c r="I532" s="12">
        <f t="shared" si="9"/>
        <v>0</v>
      </c>
    </row>
    <row r="533" spans="9:9">
      <c r="I533" s="12">
        <f t="shared" si="9"/>
        <v>0</v>
      </c>
    </row>
    <row r="534" spans="9:9">
      <c r="I534" s="12">
        <f t="shared" si="9"/>
        <v>0</v>
      </c>
    </row>
    <row r="535" spans="9:9">
      <c r="I535" s="12">
        <f t="shared" si="9"/>
        <v>0</v>
      </c>
    </row>
    <row r="536" spans="9:9">
      <c r="I536" s="12">
        <f t="shared" si="9"/>
        <v>0</v>
      </c>
    </row>
    <row r="537" spans="9:9">
      <c r="I537" s="12">
        <f t="shared" si="9"/>
        <v>0</v>
      </c>
    </row>
    <row r="538" spans="9:9">
      <c r="I538" s="12">
        <f t="shared" si="9"/>
        <v>0</v>
      </c>
    </row>
    <row r="539" spans="9:9">
      <c r="I539" s="12">
        <f t="shared" si="9"/>
        <v>0</v>
      </c>
    </row>
    <row r="540" spans="9:9">
      <c r="I540" s="12">
        <f t="shared" si="9"/>
        <v>0</v>
      </c>
    </row>
    <row r="541" spans="9:9">
      <c r="I541" s="12">
        <f t="shared" si="9"/>
        <v>0</v>
      </c>
    </row>
    <row r="542" spans="9:9">
      <c r="I542" s="12">
        <f t="shared" si="9"/>
        <v>0</v>
      </c>
    </row>
    <row r="543" spans="9:9">
      <c r="I543" s="12">
        <f t="shared" si="9"/>
        <v>0</v>
      </c>
    </row>
    <row r="544" spans="9:9">
      <c r="I544" s="12">
        <f t="shared" si="9"/>
        <v>0</v>
      </c>
    </row>
    <row r="545" spans="9:9">
      <c r="I545" s="12">
        <f t="shared" si="9"/>
        <v>0</v>
      </c>
    </row>
    <row r="546" spans="9:9">
      <c r="I546" s="12">
        <f t="shared" si="9"/>
        <v>0</v>
      </c>
    </row>
    <row r="547" spans="9:9">
      <c r="I547" s="12">
        <f t="shared" si="9"/>
        <v>0</v>
      </c>
    </row>
    <row r="548" spans="9:9">
      <c r="I548" s="12">
        <f t="shared" si="9"/>
        <v>0</v>
      </c>
    </row>
    <row r="549" spans="9:9">
      <c r="I549" s="12">
        <f t="shared" si="9"/>
        <v>0</v>
      </c>
    </row>
    <row r="550" spans="9:9">
      <c r="I550" s="12">
        <f t="shared" si="9"/>
        <v>0</v>
      </c>
    </row>
    <row r="551" spans="9:9">
      <c r="I551" s="12">
        <f t="shared" si="9"/>
        <v>0</v>
      </c>
    </row>
    <row r="552" spans="9:9">
      <c r="I552" s="12">
        <f t="shared" si="9"/>
        <v>0</v>
      </c>
    </row>
    <row r="553" spans="9:9">
      <c r="I553" s="12">
        <f t="shared" si="9"/>
        <v>0</v>
      </c>
    </row>
    <row r="554" spans="9:9">
      <c r="I554" s="12">
        <f t="shared" si="9"/>
        <v>0</v>
      </c>
    </row>
    <row r="555" spans="9:9">
      <c r="I555" s="12">
        <f t="shared" si="9"/>
        <v>0</v>
      </c>
    </row>
    <row r="556" spans="9:9">
      <c r="I556" s="12">
        <f t="shared" si="9"/>
        <v>0</v>
      </c>
    </row>
    <row r="557" spans="9:9">
      <c r="I557" s="12">
        <f t="shared" si="9"/>
        <v>0</v>
      </c>
    </row>
    <row r="558" spans="9:9">
      <c r="I558" s="12">
        <f t="shared" si="9"/>
        <v>0</v>
      </c>
    </row>
    <row r="559" spans="9:9">
      <c r="I559" s="12">
        <f t="shared" si="9"/>
        <v>0</v>
      </c>
    </row>
    <row r="560" spans="9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algorithmName="SHA-512" hashValue="fCWOh3EEH/jaBVeAgBxVk5lQ71Aedn5rEbxoLMAbPFgrbJoC4S64sGL1r1+qxMd9T3an/ldITF8wSMf/wZliBA==" saltValue="EeMdznbBQmI6mvMzVSVInw==" spinCount="100000" sheet="1"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6"/>
  <sheetViews>
    <sheetView topLeftCell="A15" zoomScale="128" zoomScaleNormal="128" workbookViewId="0">
      <selection activeCell="A39" sqref="A39"/>
    </sheetView>
  </sheetViews>
  <sheetFormatPr baseColWidth="10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  <row r="36" spans="1:2">
      <c r="A36" s="8" t="s">
        <v>1410</v>
      </c>
    </row>
  </sheetData>
  <sheetProtection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48"/>
  <sheetViews>
    <sheetView zoomScale="164" zoomScaleNormal="164" workbookViewId="0">
      <selection activeCell="F30" sqref="F30"/>
    </sheetView>
  </sheetViews>
  <sheetFormatPr baseColWidth="10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</sheetData>
  <sheetProtection algorithmName="SHA-512" hashValue="aWB7gRwROSmvc8r9eggQw6E6o7exdHl7ewolfOlY4wbk/lZgLX8KckYmjJKthcUUX62VtXneipvjfmWCVJQqjQ==" saltValue="MBF5nH6+IS9vb+l5VTut0g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2025-11-10T04:45:24Z</dcterms:modified>
</cp:coreProperties>
</file>