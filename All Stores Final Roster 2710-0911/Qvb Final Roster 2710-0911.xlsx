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6CFB260F-F888-8D41-B154-77A05C9D85E5}" xr6:coauthVersionLast="47" xr6:coauthVersionMax="47" xr10:uidLastSave="{00000000-0000-0000-0000-000000000000}"/>
  <bookViews>
    <workbookView xWindow="560" yWindow="820" windowWidth="28440" windowHeight="1716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9" i="18"/>
  <c r="A9" i="18" s="1"/>
  <c r="AX9" i="12" s="1"/>
  <c r="AZ8" i="18"/>
  <c r="A8" i="18" s="1"/>
  <c r="AX8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AZ6" i="18" s="1"/>
  <c r="A6" i="18" s="1"/>
  <c r="AX6" i="12" s="1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AZ7" i="2" s="1"/>
  <c r="A7" i="2" s="1"/>
  <c r="AW7" i="12" s="1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AZ11" i="18" s="1"/>
  <c r="A11" i="18" s="1"/>
  <c r="AX11" i="12" s="1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AZ8" i="2" s="1"/>
  <c r="A8" i="2" s="1"/>
  <c r="AW8" i="12" s="1"/>
  <c r="I435" i="6"/>
  <c r="I436" i="6"/>
  <c r="I437" i="6"/>
  <c r="I438" i="6"/>
  <c r="I439" i="6"/>
  <c r="I440" i="6"/>
  <c r="I441" i="6"/>
  <c r="I442" i="6"/>
  <c r="I443" i="6"/>
  <c r="I444" i="6"/>
  <c r="I445" i="6"/>
  <c r="I446" i="6"/>
  <c r="AZ9" i="2" s="1"/>
  <c r="A9" i="2" s="1"/>
  <c r="AW9" i="12" s="1"/>
  <c r="I447" i="6"/>
  <c r="I448" i="6"/>
  <c r="AZ10" i="2" s="1"/>
  <c r="A10" i="2" s="1"/>
  <c r="AW10" i="12" s="1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AZ11" i="2" s="1"/>
  <c r="A11" i="2" s="1"/>
  <c r="AW11" i="12" s="1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F100" i="18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T99" i="18"/>
  <c r="BS99" i="18"/>
  <c r="BP99" i="18"/>
  <c r="BQ99" i="18" s="1"/>
  <c r="BR99" i="18" s="1"/>
  <c r="BO99" i="18"/>
  <c r="BK99" i="18"/>
  <c r="BJ99" i="18"/>
  <c r="BI99" i="18"/>
  <c r="BG99" i="18"/>
  <c r="BF99" i="18"/>
  <c r="BE99" i="18"/>
  <c r="BD99" i="18"/>
  <c r="BA99" i="18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O98" i="18"/>
  <c r="BL98" i="18"/>
  <c r="BK98" i="18"/>
  <c r="BJ98" i="18"/>
  <c r="BI98" i="18"/>
  <c r="BF98" i="18"/>
  <c r="BE98" i="18"/>
  <c r="BD98" i="18"/>
  <c r="BA98" i="18"/>
  <c r="BB98" i="18" s="1"/>
  <c r="CI97" i="18"/>
  <c r="CH97" i="18"/>
  <c r="CF97" i="18"/>
  <c r="CE97" i="18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F97" i="18"/>
  <c r="BG97" i="18" s="1"/>
  <c r="BH97" i="18" s="1"/>
  <c r="BE97" i="18"/>
  <c r="BD97" i="18"/>
  <c r="BA97" i="18"/>
  <c r="CI96" i="18"/>
  <c r="CH96" i="18"/>
  <c r="CF96" i="18"/>
  <c r="CE96" i="18"/>
  <c r="CD96" i="18"/>
  <c r="CC96" i="18"/>
  <c r="CA96" i="18"/>
  <c r="BZ96" i="18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E96" i="18"/>
  <c r="BD96" i="18"/>
  <c r="BA96" i="18"/>
  <c r="BB96" i="18" s="1"/>
  <c r="CI95" i="18"/>
  <c r="CH95" i="18"/>
  <c r="CE95" i="18"/>
  <c r="CD95" i="18"/>
  <c r="CC95" i="18"/>
  <c r="CA95" i="18"/>
  <c r="BZ95" i="18"/>
  <c r="BY95" i="18"/>
  <c r="BX95" i="18"/>
  <c r="BU95" i="18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CI94" i="18"/>
  <c r="CH94" i="18"/>
  <c r="CF94" i="18"/>
  <c r="CE94" i="18"/>
  <c r="CD94" i="18"/>
  <c r="CC94" i="18"/>
  <c r="BZ94" i="18"/>
  <c r="BY94" i="18"/>
  <c r="BX94" i="18"/>
  <c r="BV94" i="18"/>
  <c r="BU94" i="18"/>
  <c r="BT94" i="18"/>
  <c r="BS94" i="18"/>
  <c r="BP94" i="18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P93" i="18"/>
  <c r="BQ93" i="18" s="1"/>
  <c r="BO93" i="18"/>
  <c r="BK93" i="18"/>
  <c r="BJ93" i="18"/>
  <c r="BI93" i="18"/>
  <c r="BF93" i="18"/>
  <c r="BE93" i="18"/>
  <c r="BD93" i="18"/>
  <c r="BA93" i="18"/>
  <c r="BB93" i="18" s="1"/>
  <c r="CI92" i="18"/>
  <c r="CH92" i="18"/>
  <c r="CE92" i="18"/>
  <c r="CF92" i="18" s="1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K92" i="18"/>
  <c r="BL92" i="18" s="1"/>
  <c r="BJ92" i="18"/>
  <c r="BI92" i="18"/>
  <c r="BG92" i="18"/>
  <c r="BF92" i="18"/>
  <c r="BE92" i="18"/>
  <c r="BD92" i="18"/>
  <c r="BA92" i="18"/>
  <c r="CI91" i="18"/>
  <c r="CH91" i="18"/>
  <c r="CE91" i="18"/>
  <c r="CF91" i="18" s="1"/>
  <c r="CD91" i="18"/>
  <c r="CC91" i="18"/>
  <c r="BZ91" i="18"/>
  <c r="CA91" i="18" s="1"/>
  <c r="BY91" i="18"/>
  <c r="BX91" i="18"/>
  <c r="BU91" i="18"/>
  <c r="BV91" i="18" s="1"/>
  <c r="BT91" i="18"/>
  <c r="BS91" i="18"/>
  <c r="BQ91" i="18"/>
  <c r="BP91" i="18"/>
  <c r="BO91" i="18"/>
  <c r="BK91" i="18"/>
  <c r="BJ91" i="18"/>
  <c r="BI91" i="18"/>
  <c r="BF91" i="18"/>
  <c r="BG91" i="18" s="1"/>
  <c r="BE91" i="18"/>
  <c r="BD91" i="18"/>
  <c r="BA91" i="18"/>
  <c r="CI90" i="18"/>
  <c r="CH90" i="18"/>
  <c r="CE90" i="18"/>
  <c r="CF90" i="18" s="1"/>
  <c r="CD90" i="18"/>
  <c r="CC90" i="18"/>
  <c r="CB90" i="18"/>
  <c r="BZ90" i="18"/>
  <c r="CA90" i="18" s="1"/>
  <c r="BY90" i="18"/>
  <c r="BX90" i="18"/>
  <c r="BU90" i="18"/>
  <c r="BT90" i="18"/>
  <c r="BS90" i="18"/>
  <c r="BP90" i="18"/>
  <c r="BO90" i="18"/>
  <c r="BK90" i="18"/>
  <c r="BL90" i="18" s="1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BZ89" i="18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F89" i="18"/>
  <c r="BG89" i="18" s="1"/>
  <c r="BE89" i="18"/>
  <c r="BD89" i="18"/>
  <c r="BA89" i="18"/>
  <c r="CI88" i="18"/>
  <c r="CH88" i="18"/>
  <c r="CF88" i="18"/>
  <c r="CE88" i="18"/>
  <c r="CD88" i="18"/>
  <c r="CC88" i="18"/>
  <c r="BZ88" i="18"/>
  <c r="CA88" i="18" s="1"/>
  <c r="BY88" i="18"/>
  <c r="BX88" i="18"/>
  <c r="BV88" i="18"/>
  <c r="BU88" i="18"/>
  <c r="BT88" i="18"/>
  <c r="BS88" i="18"/>
  <c r="BP88" i="18"/>
  <c r="BO88" i="18"/>
  <c r="BK88" i="18"/>
  <c r="BL88" i="18" s="1"/>
  <c r="BJ88" i="18"/>
  <c r="BI88" i="18"/>
  <c r="BH88" i="18" s="1"/>
  <c r="BF88" i="18"/>
  <c r="BG88" i="18" s="1"/>
  <c r="BE88" i="18"/>
  <c r="BC88" i="18" s="1"/>
  <c r="BD88" i="18"/>
  <c r="BB88" i="18"/>
  <c r="BA88" i="18"/>
  <c r="CI87" i="18"/>
  <c r="CH87" i="18"/>
  <c r="CE87" i="18"/>
  <c r="CD87" i="18"/>
  <c r="CC87" i="18"/>
  <c r="CA87" i="18"/>
  <c r="BZ87" i="18"/>
  <c r="BY87" i="18"/>
  <c r="BX87" i="18"/>
  <c r="BU87" i="18"/>
  <c r="BT87" i="18"/>
  <c r="BS87" i="18"/>
  <c r="BQ87" i="18"/>
  <c r="BP87" i="18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E86" i="18"/>
  <c r="CF86" i="18" s="1"/>
  <c r="CG86" i="18" s="1"/>
  <c r="CD86" i="18"/>
  <c r="CC86" i="18"/>
  <c r="BZ86" i="18"/>
  <c r="BY86" i="18"/>
  <c r="BX86" i="18"/>
  <c r="BV86" i="18"/>
  <c r="BU86" i="18"/>
  <c r="BT86" i="18"/>
  <c r="BS86" i="18"/>
  <c r="BP86" i="18"/>
  <c r="BO86" i="18"/>
  <c r="BK86" i="18"/>
  <c r="BL86" i="18" s="1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A85" i="18"/>
  <c r="BZ85" i="18"/>
  <c r="BY85" i="18"/>
  <c r="BX85" i="18"/>
  <c r="BU85" i="18"/>
  <c r="BT85" i="18"/>
  <c r="BS85" i="18"/>
  <c r="BP85" i="18"/>
  <c r="BQ85" i="18" s="1"/>
  <c r="BO85" i="18"/>
  <c r="BK85" i="18"/>
  <c r="BJ85" i="18"/>
  <c r="BI85" i="18"/>
  <c r="BF85" i="18"/>
  <c r="BE85" i="18"/>
  <c r="BD85" i="18"/>
  <c r="BA85" i="18"/>
  <c r="BB85" i="18" s="1"/>
  <c r="CI84" i="18"/>
  <c r="CH84" i="18"/>
  <c r="CE84" i="18"/>
  <c r="CD84" i="18"/>
  <c r="CC84" i="18"/>
  <c r="BZ84" i="18"/>
  <c r="CA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F84" i="18"/>
  <c r="BE84" i="18"/>
  <c r="BD84" i="18"/>
  <c r="BB84" i="18"/>
  <c r="BA84" i="18"/>
  <c r="CI83" i="18"/>
  <c r="CH83" i="18"/>
  <c r="CE83" i="18"/>
  <c r="CD83" i="18"/>
  <c r="CC83" i="18"/>
  <c r="CA83" i="18"/>
  <c r="U83" i="18" s="1"/>
  <c r="BZ83" i="18"/>
  <c r="BY83" i="18"/>
  <c r="BX83" i="18"/>
  <c r="BU83" i="18"/>
  <c r="BT83" i="18"/>
  <c r="BS83" i="18"/>
  <c r="BP83" i="18"/>
  <c r="BQ83" i="18" s="1"/>
  <c r="BO83" i="18"/>
  <c r="BK83" i="18"/>
  <c r="BJ83" i="18"/>
  <c r="BI83" i="18"/>
  <c r="BG83" i="18"/>
  <c r="BF83" i="18"/>
  <c r="BE83" i="18"/>
  <c r="BD83" i="18"/>
  <c r="BA83" i="18"/>
  <c r="CI82" i="18"/>
  <c r="CH82" i="18"/>
  <c r="CE82" i="18"/>
  <c r="CF82" i="18" s="1"/>
  <c r="CD82" i="18"/>
  <c r="CC82" i="18"/>
  <c r="BZ82" i="18"/>
  <c r="BY82" i="18"/>
  <c r="BX82" i="18"/>
  <c r="BU82" i="18"/>
  <c r="BT82" i="18"/>
  <c r="BS82" i="18"/>
  <c r="BP82" i="18"/>
  <c r="BQ82" i="18" s="1"/>
  <c r="BO82" i="18"/>
  <c r="BL82" i="18"/>
  <c r="BM82" i="18" s="1"/>
  <c r="BK82" i="18"/>
  <c r="BJ82" i="18"/>
  <c r="BI82" i="18"/>
  <c r="BF82" i="18"/>
  <c r="BE82" i="18"/>
  <c r="BD82" i="18"/>
  <c r="BA82" i="18"/>
  <c r="BB82" i="18" s="1"/>
  <c r="CI81" i="18"/>
  <c r="CH81" i="18"/>
  <c r="CE81" i="18"/>
  <c r="CD81" i="18"/>
  <c r="CC81" i="18"/>
  <c r="BZ81" i="18"/>
  <c r="CA81" i="18" s="1"/>
  <c r="BY81" i="18"/>
  <c r="BX81" i="18"/>
  <c r="BU81" i="18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E80" i="18"/>
  <c r="CF80" i="18" s="1"/>
  <c r="CD80" i="18"/>
  <c r="CC80" i="18"/>
  <c r="BZ80" i="18"/>
  <c r="CA80" i="18" s="1"/>
  <c r="BY80" i="18"/>
  <c r="BX80" i="18"/>
  <c r="BU80" i="18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BZ79" i="18"/>
  <c r="CA79" i="18" s="1"/>
  <c r="U79" i="18" s="1"/>
  <c r="BY79" i="18"/>
  <c r="BX79" i="18"/>
  <c r="BV79" i="18"/>
  <c r="BU79" i="18"/>
  <c r="BT79" i="18"/>
  <c r="BS79" i="18"/>
  <c r="BP79" i="18"/>
  <c r="BO79" i="18"/>
  <c r="BK79" i="18"/>
  <c r="BL79" i="18" s="1"/>
  <c r="BJ79" i="18"/>
  <c r="BI79" i="18"/>
  <c r="BG79" i="18"/>
  <c r="BF79" i="18"/>
  <c r="BE79" i="18"/>
  <c r="BD79" i="18"/>
  <c r="BA79" i="18"/>
  <c r="BB79" i="18" s="1"/>
  <c r="CI78" i="18"/>
  <c r="CH78" i="18"/>
  <c r="CF78" i="18"/>
  <c r="CE78" i="18"/>
  <c r="CD78" i="18"/>
  <c r="CC78" i="18"/>
  <c r="BZ78" i="18"/>
  <c r="BY78" i="18"/>
  <c r="BX78" i="18"/>
  <c r="BU78" i="18"/>
  <c r="BV78" i="18" s="1"/>
  <c r="BT78" i="18"/>
  <c r="BS78" i="18"/>
  <c r="BP78" i="18"/>
  <c r="BO78" i="18"/>
  <c r="BK78" i="18"/>
  <c r="BJ78" i="18"/>
  <c r="BI78" i="18"/>
  <c r="BF78" i="18"/>
  <c r="BG78" i="18" s="1"/>
  <c r="BE78" i="18"/>
  <c r="BD78" i="18"/>
  <c r="BA78" i="18"/>
  <c r="CI77" i="18"/>
  <c r="CH77" i="18"/>
  <c r="CE77" i="18"/>
  <c r="CF77" i="18" s="1"/>
  <c r="CD77" i="18"/>
  <c r="CC77" i="18"/>
  <c r="BZ77" i="18"/>
  <c r="CA77" i="18" s="1"/>
  <c r="CB77" i="18" s="1"/>
  <c r="BY77" i="18"/>
  <c r="BX77" i="18"/>
  <c r="BU77" i="18"/>
  <c r="BT77" i="18"/>
  <c r="BS77" i="18"/>
  <c r="BQ77" i="18"/>
  <c r="BP77" i="18"/>
  <c r="BO77" i="18"/>
  <c r="BL77" i="18"/>
  <c r="BK77" i="18"/>
  <c r="BJ77" i="18"/>
  <c r="BI77" i="18"/>
  <c r="BG77" i="18"/>
  <c r="BF77" i="18"/>
  <c r="BE77" i="18"/>
  <c r="BD77" i="18"/>
  <c r="BA77" i="18"/>
  <c r="BB77" i="18" s="1"/>
  <c r="CI76" i="18"/>
  <c r="CH76" i="18"/>
  <c r="CE76" i="18"/>
  <c r="CF76" i="18" s="1"/>
  <c r="CD76" i="18"/>
  <c r="CC76" i="18"/>
  <c r="BZ76" i="18"/>
  <c r="CA76" i="18" s="1"/>
  <c r="CB76" i="18" s="1"/>
  <c r="BY76" i="18"/>
  <c r="BX76" i="18"/>
  <c r="BU76" i="18"/>
  <c r="BV76" i="18" s="1"/>
  <c r="BW76" i="18" s="1"/>
  <c r="BT76" i="18"/>
  <c r="BS76" i="18"/>
  <c r="BP76" i="18"/>
  <c r="BO76" i="18"/>
  <c r="BK76" i="18"/>
  <c r="BL76" i="18" s="1"/>
  <c r="BM76" i="18" s="1"/>
  <c r="BJ76" i="18"/>
  <c r="BI76" i="18"/>
  <c r="BF76" i="18"/>
  <c r="BE76" i="18"/>
  <c r="BD76" i="18"/>
  <c r="BB76" i="18"/>
  <c r="BA76" i="18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P75" i="18"/>
  <c r="BO75" i="18"/>
  <c r="BK75" i="18"/>
  <c r="BJ75" i="18"/>
  <c r="BI75" i="18"/>
  <c r="BG75" i="18"/>
  <c r="BF75" i="18"/>
  <c r="BE75" i="18"/>
  <c r="BD75" i="18"/>
  <c r="BB75" i="18"/>
  <c r="BA75" i="18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BZ73" i="18"/>
  <c r="CA73" i="18" s="1"/>
  <c r="BY73" i="18"/>
  <c r="BX73" i="18"/>
  <c r="BU73" i="18"/>
  <c r="BT73" i="18"/>
  <c r="BS73" i="18"/>
  <c r="BP73" i="18"/>
  <c r="BO73" i="18"/>
  <c r="BK73" i="18"/>
  <c r="BL73" i="18" s="1"/>
  <c r="BJ73" i="18"/>
  <c r="BI73" i="18"/>
  <c r="BG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BY72" i="18"/>
  <c r="BX72" i="18"/>
  <c r="BV72" i="18"/>
  <c r="BU72" i="18"/>
  <c r="BT72" i="18"/>
  <c r="BS72" i="18"/>
  <c r="BR72" i="18" s="1"/>
  <c r="BP72" i="18"/>
  <c r="BQ72" i="18" s="1"/>
  <c r="BO72" i="18"/>
  <c r="BK72" i="18"/>
  <c r="BL72" i="18" s="1"/>
  <c r="BJ72" i="18"/>
  <c r="BH72" i="18" s="1"/>
  <c r="BI72" i="18"/>
  <c r="BF72" i="18"/>
  <c r="BG72" i="18" s="1"/>
  <c r="BE72" i="18"/>
  <c r="BD72" i="18"/>
  <c r="BA72" i="18"/>
  <c r="BB72" i="18" s="1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P71" i="18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E70" i="18"/>
  <c r="CD70" i="18"/>
  <c r="CC70" i="18"/>
  <c r="BZ70" i="18"/>
  <c r="BY70" i="18"/>
  <c r="BX70" i="18"/>
  <c r="BU70" i="18"/>
  <c r="BV70" i="18" s="1"/>
  <c r="BT70" i="18"/>
  <c r="BS70" i="18"/>
  <c r="BP70" i="18"/>
  <c r="BO70" i="18"/>
  <c r="BL70" i="18"/>
  <c r="BK70" i="18"/>
  <c r="BJ70" i="18"/>
  <c r="BI70" i="18"/>
  <c r="BF70" i="18"/>
  <c r="BG70" i="18" s="1"/>
  <c r="BE70" i="18"/>
  <c r="BD70" i="18"/>
  <c r="BA70" i="18"/>
  <c r="BB70" i="18" s="1"/>
  <c r="CI69" i="18"/>
  <c r="CH69" i="18"/>
  <c r="CE69" i="18"/>
  <c r="CF69" i="18" s="1"/>
  <c r="CD69" i="18"/>
  <c r="CC69" i="18"/>
  <c r="BZ69" i="18"/>
  <c r="BY69" i="18"/>
  <c r="BX69" i="18"/>
  <c r="BU69" i="18"/>
  <c r="BT69" i="18"/>
  <c r="BS69" i="18"/>
  <c r="BQ69" i="18"/>
  <c r="BR69" i="18" s="1"/>
  <c r="BP69" i="18"/>
  <c r="BO69" i="18"/>
  <c r="BM69" i="18" s="1"/>
  <c r="BK69" i="18"/>
  <c r="BL69" i="18" s="1"/>
  <c r="BJ69" i="18"/>
  <c r="BI69" i="18"/>
  <c r="BF69" i="18"/>
  <c r="BE69" i="18"/>
  <c r="BD69" i="18"/>
  <c r="BA69" i="18"/>
  <c r="BB69" i="18" s="1"/>
  <c r="CI68" i="18"/>
  <c r="CH68" i="18"/>
  <c r="CE68" i="18"/>
  <c r="CD68" i="18"/>
  <c r="CC68" i="18"/>
  <c r="BZ68" i="18"/>
  <c r="CA68" i="18" s="1"/>
  <c r="BY68" i="18"/>
  <c r="BX68" i="18"/>
  <c r="BV68" i="18"/>
  <c r="BU68" i="18"/>
  <c r="BT68" i="18"/>
  <c r="BS68" i="18"/>
  <c r="BP68" i="18"/>
  <c r="BO68" i="18"/>
  <c r="BL68" i="18"/>
  <c r="BK68" i="18"/>
  <c r="BJ68" i="18"/>
  <c r="BI68" i="18"/>
  <c r="BF68" i="18"/>
  <c r="BG68" i="18" s="1"/>
  <c r="BH68" i="18" s="1"/>
  <c r="BE68" i="18"/>
  <c r="BD68" i="18"/>
  <c r="BB68" i="18"/>
  <c r="BA68" i="18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I67" i="18"/>
  <c r="BG67" i="18"/>
  <c r="BF67" i="18"/>
  <c r="BE67" i="18"/>
  <c r="BD67" i="18"/>
  <c r="BA67" i="18"/>
  <c r="BB67" i="18" s="1"/>
  <c r="CI66" i="18"/>
  <c r="CH66" i="18"/>
  <c r="CF66" i="18"/>
  <c r="CE66" i="18"/>
  <c r="CD66" i="18"/>
  <c r="CC66" i="18"/>
  <c r="BZ66" i="18"/>
  <c r="CA66" i="18" s="1"/>
  <c r="BY66" i="18"/>
  <c r="BX66" i="18"/>
  <c r="BU66" i="18"/>
  <c r="BT66" i="18"/>
  <c r="BS66" i="18"/>
  <c r="BP66" i="18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BZ65" i="18"/>
  <c r="BY65" i="18"/>
  <c r="BX65" i="18"/>
  <c r="BV65" i="18"/>
  <c r="BU65" i="18"/>
  <c r="BT65" i="18"/>
  <c r="BS65" i="18"/>
  <c r="BP65" i="18"/>
  <c r="BQ65" i="18" s="1"/>
  <c r="BO65" i="18"/>
  <c r="BM65" i="18" s="1"/>
  <c r="BK65" i="18"/>
  <c r="BL65" i="18" s="1"/>
  <c r="BJ65" i="18"/>
  <c r="BI65" i="18"/>
  <c r="BH65" i="18" s="1"/>
  <c r="BF65" i="18"/>
  <c r="BG65" i="18" s="1"/>
  <c r="BE65" i="18"/>
  <c r="BD65" i="18"/>
  <c r="BA65" i="18"/>
  <c r="CI64" i="18"/>
  <c r="CG64" i="18" s="1"/>
  <c r="CH64" i="18"/>
  <c r="CF64" i="18"/>
  <c r="CE64" i="18"/>
  <c r="CD64" i="18"/>
  <c r="CC64" i="18"/>
  <c r="BZ64" i="18"/>
  <c r="BY64" i="18"/>
  <c r="BX64" i="18"/>
  <c r="BV64" i="18"/>
  <c r="BU64" i="18"/>
  <c r="BT64" i="18"/>
  <c r="BS64" i="18"/>
  <c r="BP64" i="18"/>
  <c r="BO64" i="18"/>
  <c r="BL64" i="18"/>
  <c r="BK64" i="18"/>
  <c r="BJ64" i="18"/>
  <c r="BI64" i="18"/>
  <c r="BF64" i="18"/>
  <c r="BE64" i="18"/>
  <c r="BD64" i="18"/>
  <c r="BA64" i="18"/>
  <c r="BB64" i="18" s="1"/>
  <c r="CI63" i="18"/>
  <c r="CH63" i="18"/>
  <c r="CG63" i="18" s="1"/>
  <c r="CE63" i="18"/>
  <c r="CF63" i="18" s="1"/>
  <c r="CD63" i="18"/>
  <c r="CC63" i="18"/>
  <c r="CA63" i="18"/>
  <c r="CB63" i="18" s="1"/>
  <c r="BZ63" i="18"/>
  <c r="BY63" i="18"/>
  <c r="BX63" i="18"/>
  <c r="BU63" i="18"/>
  <c r="BT63" i="18"/>
  <c r="BS63" i="18"/>
  <c r="BP63" i="18"/>
  <c r="BQ63" i="18" s="1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E62" i="18"/>
  <c r="CD62" i="18"/>
  <c r="CC62" i="18"/>
  <c r="BZ62" i="18"/>
  <c r="CA62" i="18" s="1"/>
  <c r="BY62" i="18"/>
  <c r="BX62" i="18"/>
  <c r="BV62" i="18"/>
  <c r="BU62" i="18"/>
  <c r="BT62" i="18"/>
  <c r="BS62" i="18"/>
  <c r="BP62" i="18"/>
  <c r="BO62" i="18"/>
  <c r="BL62" i="18"/>
  <c r="BK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BZ61" i="18"/>
  <c r="CA61" i="18" s="1"/>
  <c r="BY61" i="18"/>
  <c r="BX61" i="18"/>
  <c r="BU61" i="18"/>
  <c r="BV61" i="18" s="1"/>
  <c r="BT61" i="18"/>
  <c r="BS61" i="18"/>
  <c r="BQ61" i="18"/>
  <c r="BP61" i="18"/>
  <c r="BO61" i="18"/>
  <c r="BK61" i="18"/>
  <c r="BJ61" i="18"/>
  <c r="BI61" i="18"/>
  <c r="BG61" i="18"/>
  <c r="BF61" i="18"/>
  <c r="BE61" i="18"/>
  <c r="BD61" i="18"/>
  <c r="BA61" i="18"/>
  <c r="CI60" i="18"/>
  <c r="CH60" i="18"/>
  <c r="CE60" i="18"/>
  <c r="CD60" i="18"/>
  <c r="CC60" i="18"/>
  <c r="BZ60" i="18"/>
  <c r="CA60" i="18" s="1"/>
  <c r="BY60" i="18"/>
  <c r="BX60" i="18"/>
  <c r="BV60" i="18"/>
  <c r="BU60" i="18"/>
  <c r="BT60" i="18"/>
  <c r="BS60" i="18"/>
  <c r="BR60" i="18"/>
  <c r="BP60" i="18"/>
  <c r="BQ60" i="18" s="1"/>
  <c r="BO60" i="18"/>
  <c r="BL60" i="18"/>
  <c r="BM60" i="18" s="1"/>
  <c r="BK60" i="18"/>
  <c r="BJ60" i="18"/>
  <c r="BI60" i="18"/>
  <c r="BG60" i="18"/>
  <c r="BF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P59" i="18"/>
  <c r="BO59" i="18"/>
  <c r="BK59" i="18"/>
  <c r="BL59" i="18" s="1"/>
  <c r="BJ59" i="18"/>
  <c r="BI59" i="18"/>
  <c r="BG59" i="18"/>
  <c r="BF59" i="18"/>
  <c r="BE59" i="18"/>
  <c r="BD59" i="18"/>
  <c r="BA59" i="18"/>
  <c r="CI58" i="18"/>
  <c r="CH58" i="18"/>
  <c r="CE58" i="18"/>
  <c r="CD58" i="18"/>
  <c r="CC58" i="18"/>
  <c r="CA58" i="18"/>
  <c r="CB58" i="18" s="1"/>
  <c r="BZ58" i="18"/>
  <c r="BY58" i="18"/>
  <c r="BX58" i="18"/>
  <c r="BU58" i="18"/>
  <c r="BT58" i="18"/>
  <c r="BS58" i="18"/>
  <c r="BP58" i="18"/>
  <c r="BQ58" i="18" s="1"/>
  <c r="BO58" i="18"/>
  <c r="BK58" i="18"/>
  <c r="BJ58" i="18"/>
  <c r="BI58" i="18"/>
  <c r="BF58" i="18"/>
  <c r="BE58" i="18"/>
  <c r="BD58" i="18"/>
  <c r="BB58" i="18"/>
  <c r="BC58" i="18" s="1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E57" i="18"/>
  <c r="BD57" i="18"/>
  <c r="BA57" i="18"/>
  <c r="BB57" i="18" s="1"/>
  <c r="CI56" i="18"/>
  <c r="CH56" i="18"/>
  <c r="CE56" i="18"/>
  <c r="CF56" i="18" s="1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BZ55" i="18"/>
  <c r="BY55" i="18"/>
  <c r="BX55" i="18"/>
  <c r="BU55" i="18"/>
  <c r="BV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E54" i="18"/>
  <c r="CF54" i="18" s="1"/>
  <c r="CD54" i="18"/>
  <c r="CC54" i="18"/>
  <c r="BZ54" i="18"/>
  <c r="CA54" i="18" s="1"/>
  <c r="BY54" i="18"/>
  <c r="BX54" i="18"/>
  <c r="BU54" i="18"/>
  <c r="BV54" i="18" s="1"/>
  <c r="BT54" i="18"/>
  <c r="BS54" i="18"/>
  <c r="BP54" i="18"/>
  <c r="BO54" i="18"/>
  <c r="BK54" i="18"/>
  <c r="BJ54" i="18"/>
  <c r="BI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P53" i="18"/>
  <c r="BQ53" i="18" s="1"/>
  <c r="BR53" i="18" s="1"/>
  <c r="BO53" i="18"/>
  <c r="BK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U52" i="18"/>
  <c r="BT52" i="18"/>
  <c r="BS52" i="18"/>
  <c r="BR52" i="18"/>
  <c r="BP52" i="18"/>
  <c r="BQ52" i="18" s="1"/>
  <c r="BO52" i="18"/>
  <c r="BK52" i="18"/>
  <c r="BL52" i="18" s="1"/>
  <c r="BJ52" i="18"/>
  <c r="BI52" i="18"/>
  <c r="BF52" i="18"/>
  <c r="BE52" i="18"/>
  <c r="BD52" i="18"/>
  <c r="BB52" i="18"/>
  <c r="BA52" i="18"/>
  <c r="CI51" i="18"/>
  <c r="CH51" i="18"/>
  <c r="CE51" i="18"/>
  <c r="CD51" i="18"/>
  <c r="CC51" i="18"/>
  <c r="BZ51" i="18"/>
  <c r="BY51" i="18"/>
  <c r="BX51" i="18"/>
  <c r="BV51" i="18"/>
  <c r="BU51" i="18"/>
  <c r="BT51" i="18"/>
  <c r="BS51" i="18"/>
  <c r="BP51" i="18"/>
  <c r="BQ51" i="18" s="1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E50" i="18"/>
  <c r="CF50" i="18" s="1"/>
  <c r="CD50" i="18"/>
  <c r="CC50" i="18"/>
  <c r="BZ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B49" i="18" s="1"/>
  <c r="CC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K49" i="18"/>
  <c r="BJ49" i="18"/>
  <c r="BI49" i="18"/>
  <c r="BF49" i="18"/>
  <c r="BG49" i="18" s="1"/>
  <c r="BE49" i="18"/>
  <c r="BD49" i="18"/>
  <c r="BC49" i="18"/>
  <c r="BA49" i="18"/>
  <c r="BB49" i="18" s="1"/>
  <c r="CI48" i="18"/>
  <c r="CH48" i="18"/>
  <c r="CE48" i="18"/>
  <c r="CF48" i="18" s="1"/>
  <c r="CD48" i="18"/>
  <c r="CC48" i="18"/>
  <c r="BZ48" i="18"/>
  <c r="BY48" i="18"/>
  <c r="BX48" i="18"/>
  <c r="BV48" i="18"/>
  <c r="BU48" i="18"/>
  <c r="BT48" i="18"/>
  <c r="BS48" i="18"/>
  <c r="BP48" i="18"/>
  <c r="BO48" i="18"/>
  <c r="BK48" i="18"/>
  <c r="BJ48" i="18"/>
  <c r="BI48" i="18"/>
  <c r="BG48" i="18"/>
  <c r="BF48" i="18"/>
  <c r="BE48" i="18"/>
  <c r="BD48" i="18"/>
  <c r="BA48" i="18"/>
  <c r="CI47" i="18"/>
  <c r="CH47" i="18"/>
  <c r="CG47" i="18"/>
  <c r="CE47" i="18"/>
  <c r="CF47" i="18" s="1"/>
  <c r="CD47" i="18"/>
  <c r="CC47" i="18"/>
  <c r="BZ47" i="18"/>
  <c r="CA47" i="18" s="1"/>
  <c r="U47" i="18" s="1"/>
  <c r="BY47" i="18"/>
  <c r="BX47" i="18"/>
  <c r="BU47" i="18"/>
  <c r="BT47" i="18"/>
  <c r="BS47" i="18"/>
  <c r="BP47" i="18"/>
  <c r="BQ47" i="18" s="1"/>
  <c r="BR47" i="18" s="1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F45" i="18"/>
  <c r="BE45" i="18"/>
  <c r="BD45" i="18"/>
  <c r="BA45" i="18"/>
  <c r="BB45" i="18" s="1"/>
  <c r="CI44" i="18"/>
  <c r="CH44" i="18"/>
  <c r="CE44" i="18"/>
  <c r="CD44" i="18"/>
  <c r="CC44" i="18"/>
  <c r="BZ44" i="18"/>
  <c r="CA44" i="18" s="1"/>
  <c r="BY44" i="18"/>
  <c r="BX44" i="18"/>
  <c r="BU44" i="18"/>
  <c r="BV44" i="18" s="1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A44" i="18"/>
  <c r="BB44" i="18" s="1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E42" i="18"/>
  <c r="CD42" i="18"/>
  <c r="CC42" i="18"/>
  <c r="CB42" i="18" s="1"/>
  <c r="BZ42" i="18"/>
  <c r="CA42" i="18" s="1"/>
  <c r="BY42" i="18"/>
  <c r="BX42" i="18"/>
  <c r="BU42" i="18"/>
  <c r="BT42" i="18"/>
  <c r="BS42" i="18"/>
  <c r="BP42" i="18"/>
  <c r="BO42" i="18"/>
  <c r="BK42" i="18"/>
  <c r="BL42" i="18" s="1"/>
  <c r="BM42" i="18" s="1"/>
  <c r="BJ42" i="18"/>
  <c r="BI42" i="18"/>
  <c r="BF42" i="18"/>
  <c r="BG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BZ40" i="18"/>
  <c r="BY40" i="18"/>
  <c r="BX40" i="18"/>
  <c r="BU40" i="18"/>
  <c r="BV40" i="18" s="1"/>
  <c r="BT40" i="18"/>
  <c r="BS40" i="18"/>
  <c r="BP40" i="18"/>
  <c r="BO40" i="18"/>
  <c r="BK40" i="18"/>
  <c r="BJ40" i="18"/>
  <c r="BI40" i="18"/>
  <c r="BF40" i="18"/>
  <c r="BG40" i="18" s="1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T39" i="18"/>
  <c r="BS39" i="18"/>
  <c r="BQ39" i="18"/>
  <c r="BP39" i="18"/>
  <c r="BO39" i="18"/>
  <c r="BK39" i="18"/>
  <c r="BJ39" i="18"/>
  <c r="BI39" i="18"/>
  <c r="BF39" i="18"/>
  <c r="BE39" i="18"/>
  <c r="BD39" i="18"/>
  <c r="BB39" i="18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O38" i="18"/>
  <c r="BK38" i="18"/>
  <c r="BL38" i="18" s="1"/>
  <c r="BJ38" i="18"/>
  <c r="BI38" i="18"/>
  <c r="BF38" i="18"/>
  <c r="BE38" i="18"/>
  <c r="BD38" i="18"/>
  <c r="BA38" i="18"/>
  <c r="CI37" i="18"/>
  <c r="CH37" i="18"/>
  <c r="CE37" i="18"/>
  <c r="CF37" i="18" s="1"/>
  <c r="CD37" i="18"/>
  <c r="CC37" i="18"/>
  <c r="BZ37" i="18"/>
  <c r="CA37" i="18" s="1"/>
  <c r="BY37" i="18"/>
  <c r="BX37" i="18"/>
  <c r="BU37" i="18"/>
  <c r="BT37" i="18"/>
  <c r="BS37" i="18"/>
  <c r="BP37" i="18"/>
  <c r="BO37" i="18"/>
  <c r="BK37" i="18"/>
  <c r="BJ37" i="18"/>
  <c r="BI37" i="18"/>
  <c r="BF37" i="18"/>
  <c r="BG37" i="18" s="1"/>
  <c r="BE37" i="18"/>
  <c r="BD37" i="18"/>
  <c r="BA37" i="18"/>
  <c r="CI36" i="18"/>
  <c r="CH36" i="18"/>
  <c r="CE36" i="18"/>
  <c r="CD36" i="18"/>
  <c r="CC36" i="18"/>
  <c r="CA36" i="18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E36" i="18"/>
  <c r="BC36" i="18" s="1"/>
  <c r="BD36" i="18"/>
  <c r="BB36" i="18"/>
  <c r="BA36" i="18"/>
  <c r="CI35" i="18"/>
  <c r="CH35" i="18"/>
  <c r="CE35" i="18"/>
  <c r="CF35" i="18" s="1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E34" i="18"/>
  <c r="CF34" i="18" s="1"/>
  <c r="CD34" i="18"/>
  <c r="CC34" i="18"/>
  <c r="BZ34" i="18"/>
  <c r="BY34" i="18"/>
  <c r="BX34" i="18"/>
  <c r="BU34" i="18"/>
  <c r="BT34" i="18"/>
  <c r="BS34" i="18"/>
  <c r="BQ34" i="18"/>
  <c r="BP34" i="18"/>
  <c r="BO34" i="18"/>
  <c r="BK34" i="18"/>
  <c r="BJ34" i="18"/>
  <c r="BI34" i="18"/>
  <c r="BF34" i="18"/>
  <c r="BE34" i="18"/>
  <c r="BD34" i="18"/>
  <c r="BA34" i="18"/>
  <c r="BB34" i="18" s="1"/>
  <c r="CI33" i="18"/>
  <c r="CH33" i="18"/>
  <c r="CF33" i="18"/>
  <c r="CE33" i="18"/>
  <c r="CD33" i="18"/>
  <c r="CC33" i="18"/>
  <c r="BZ33" i="18"/>
  <c r="BY33" i="18"/>
  <c r="BX33" i="18"/>
  <c r="BU33" i="18"/>
  <c r="BT33" i="18"/>
  <c r="BS33" i="18"/>
  <c r="BP33" i="18"/>
  <c r="BO33" i="18"/>
  <c r="BL33" i="18"/>
  <c r="BM33" i="18" s="1"/>
  <c r="BK33" i="18"/>
  <c r="BJ33" i="18"/>
  <c r="BH33" i="18" s="1"/>
  <c r="BI33" i="18"/>
  <c r="BF33" i="18"/>
  <c r="BG33" i="18" s="1"/>
  <c r="BE33" i="18"/>
  <c r="BD33" i="18"/>
  <c r="BA33" i="18"/>
  <c r="CI32" i="18"/>
  <c r="CH32" i="18"/>
  <c r="CE32" i="18"/>
  <c r="CF32" i="18" s="1"/>
  <c r="CG32" i="18" s="1"/>
  <c r="CD32" i="18"/>
  <c r="CC32" i="18"/>
  <c r="CA32" i="18"/>
  <c r="BZ32" i="18"/>
  <c r="BY32" i="18"/>
  <c r="BX32" i="18"/>
  <c r="BV32" i="18"/>
  <c r="BU32" i="18"/>
  <c r="BW32" i="18" s="1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T31" i="18"/>
  <c r="BS31" i="18"/>
  <c r="BP31" i="18"/>
  <c r="BQ31" i="18" s="1"/>
  <c r="BO31" i="18"/>
  <c r="BK31" i="18"/>
  <c r="BJ31" i="18"/>
  <c r="BI31" i="18"/>
  <c r="BF31" i="18"/>
  <c r="BE31" i="18"/>
  <c r="BD31" i="18"/>
  <c r="BA31" i="18"/>
  <c r="BB31" i="18" s="1"/>
  <c r="BC31" i="18" s="1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O30" i="18"/>
  <c r="BK30" i="18"/>
  <c r="BL30" i="18" s="1"/>
  <c r="BJ30" i="18"/>
  <c r="BI30" i="18"/>
  <c r="BF30" i="18"/>
  <c r="BE30" i="18"/>
  <c r="BD30" i="18"/>
  <c r="BA30" i="18"/>
  <c r="CI29" i="18"/>
  <c r="CH29" i="18"/>
  <c r="CE29" i="18"/>
  <c r="CF29" i="18" s="1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P28" i="18"/>
  <c r="BO28" i="18"/>
  <c r="BK28" i="18"/>
  <c r="BL28" i="18" s="1"/>
  <c r="BM28" i="18" s="1"/>
  <c r="BJ28" i="18"/>
  <c r="BI28" i="18"/>
  <c r="BG28" i="18"/>
  <c r="BF28" i="18"/>
  <c r="BE28" i="18"/>
  <c r="BD28" i="18"/>
  <c r="BA28" i="18"/>
  <c r="CI27" i="18"/>
  <c r="CH27" i="18"/>
  <c r="CE27" i="18"/>
  <c r="CD27" i="18"/>
  <c r="CC27" i="18"/>
  <c r="BZ27" i="18"/>
  <c r="BY27" i="18"/>
  <c r="BX27" i="18"/>
  <c r="BV27" i="18"/>
  <c r="BU27" i="18"/>
  <c r="BT27" i="18"/>
  <c r="BS27" i="18"/>
  <c r="BP27" i="18"/>
  <c r="BO27" i="18"/>
  <c r="BK27" i="18"/>
  <c r="BJ27" i="18"/>
  <c r="BI27" i="18"/>
  <c r="BF27" i="18"/>
  <c r="BG27" i="18" s="1"/>
  <c r="BE27" i="18"/>
  <c r="BD27" i="18"/>
  <c r="BA27" i="18"/>
  <c r="CI26" i="18"/>
  <c r="CH26" i="18"/>
  <c r="CE26" i="18"/>
  <c r="CD26" i="18"/>
  <c r="CC26" i="18"/>
  <c r="BZ26" i="18"/>
  <c r="BY26" i="18"/>
  <c r="BX26" i="18"/>
  <c r="BU26" i="18"/>
  <c r="BT26" i="18"/>
  <c r="BS26" i="18"/>
  <c r="BQ26" i="18"/>
  <c r="BP26" i="18"/>
  <c r="BO26" i="18"/>
  <c r="BM26" i="18"/>
  <c r="BK26" i="18"/>
  <c r="BL26" i="18" s="1"/>
  <c r="BJ26" i="18"/>
  <c r="BI26" i="18"/>
  <c r="BF26" i="18"/>
  <c r="BE26" i="18"/>
  <c r="BD26" i="18"/>
  <c r="BA26" i="18"/>
  <c r="BB26" i="18" s="1"/>
  <c r="CI25" i="18"/>
  <c r="CH25" i="18"/>
  <c r="CF25" i="18"/>
  <c r="CE25" i="18"/>
  <c r="CD25" i="18"/>
  <c r="CC25" i="18"/>
  <c r="BZ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E24" i="18"/>
  <c r="CF24" i="18" s="1"/>
  <c r="CG24" i="18" s="1"/>
  <c r="CD24" i="18"/>
  <c r="CC24" i="18"/>
  <c r="BZ24" i="18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F24" i="18"/>
  <c r="BG24" i="18" s="1"/>
  <c r="BH24" i="18" s="1"/>
  <c r="BE24" i="18"/>
  <c r="BD24" i="18"/>
  <c r="BC24" i="18"/>
  <c r="BA24" i="18"/>
  <c r="BB24" i="18" s="1"/>
  <c r="CI23" i="18"/>
  <c r="CH23" i="18"/>
  <c r="CE23" i="18"/>
  <c r="CF23" i="18" s="1"/>
  <c r="CG23" i="18" s="1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J21" i="18"/>
  <c r="BI21" i="18"/>
  <c r="BF21" i="18"/>
  <c r="BG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CI18" i="18"/>
  <c r="CH18" i="18"/>
  <c r="CF18" i="18"/>
  <c r="X18" i="18" s="1"/>
  <c r="CE18" i="18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E17" i="18"/>
  <c r="CF17" i="18" s="1"/>
  <c r="X17" i="18" s="1"/>
  <c r="CD17" i="18"/>
  <c r="CC17" i="18"/>
  <c r="BZ17" i="18"/>
  <c r="CA17" i="18" s="1"/>
  <c r="BY17" i="18"/>
  <c r="BX17" i="18"/>
  <c r="BU17" i="18"/>
  <c r="BV17" i="18" s="1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P16" i="18"/>
  <c r="BQ16" i="18" s="1"/>
  <c r="O16" i="18" s="1"/>
  <c r="BO16" i="18"/>
  <c r="BK16" i="18"/>
  <c r="BJ16" i="18"/>
  <c r="BI16" i="18"/>
  <c r="BF16" i="18"/>
  <c r="BG16" i="18" s="1"/>
  <c r="BH16" i="18" s="1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J14" i="18"/>
  <c r="BI14" i="18"/>
  <c r="BF14" i="18"/>
  <c r="BG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P13" i="18"/>
  <c r="BQ13" i="18" s="1"/>
  <c r="BO13" i="18"/>
  <c r="BK13" i="18"/>
  <c r="B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G78" i="2" s="1"/>
  <c r="CH77" i="2"/>
  <c r="CH76" i="2"/>
  <c r="CH75" i="2"/>
  <c r="CH74" i="2"/>
  <c r="CH73" i="2"/>
  <c r="CH72" i="2"/>
  <c r="CH71" i="2"/>
  <c r="CH70" i="2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W94" i="2" s="1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CI100" i="2"/>
  <c r="CE100" i="2"/>
  <c r="BZ100" i="2"/>
  <c r="CA100" i="2" s="1"/>
  <c r="BX100" i="2"/>
  <c r="BU100" i="2"/>
  <c r="BT100" i="2"/>
  <c r="BS100" i="2"/>
  <c r="BP100" i="2"/>
  <c r="BO100" i="2"/>
  <c r="BK100" i="2"/>
  <c r="BL100" i="2" s="1"/>
  <c r="L100" i="2" s="1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BZ99" i="2"/>
  <c r="CA99" i="2" s="1"/>
  <c r="BX99" i="2"/>
  <c r="BU99" i="2"/>
  <c r="BV99" i="2" s="1"/>
  <c r="BT99" i="2"/>
  <c r="BS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E98" i="2"/>
  <c r="CF98" i="2" s="1"/>
  <c r="CA98" i="2"/>
  <c r="CB98" i="2" s="1"/>
  <c r="BZ98" i="2"/>
  <c r="BX98" i="2"/>
  <c r="BV98" i="2"/>
  <c r="BU98" i="2"/>
  <c r="BT98" i="2"/>
  <c r="BS98" i="2"/>
  <c r="BP98" i="2"/>
  <c r="BQ98" i="2" s="1"/>
  <c r="BO98" i="2"/>
  <c r="BK98" i="2"/>
  <c r="BL98" i="2" s="1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J97" i="2"/>
  <c r="BI97" i="2"/>
  <c r="BF97" i="2"/>
  <c r="BG97" i="2" s="1"/>
  <c r="BE97" i="2"/>
  <c r="BD97" i="2"/>
  <c r="BA97" i="2"/>
  <c r="CI96" i="2"/>
  <c r="CE96" i="2"/>
  <c r="BZ96" i="2"/>
  <c r="CA96" i="2" s="1"/>
  <c r="CB96" i="2" s="1"/>
  <c r="BX96" i="2"/>
  <c r="BU96" i="2"/>
  <c r="BT96" i="2"/>
  <c r="BS96" i="2"/>
  <c r="BP96" i="2"/>
  <c r="BQ96" i="2" s="1"/>
  <c r="BO96" i="2"/>
  <c r="BK96" i="2"/>
  <c r="BJ96" i="2"/>
  <c r="BI96" i="2"/>
  <c r="BF96" i="2"/>
  <c r="BG96" i="2" s="1"/>
  <c r="BE96" i="2"/>
  <c r="BD96" i="2"/>
  <c r="BA96" i="2"/>
  <c r="CI95" i="2"/>
  <c r="CE95" i="2"/>
  <c r="BZ95" i="2"/>
  <c r="BX95" i="2"/>
  <c r="BV95" i="2"/>
  <c r="BU95" i="2"/>
  <c r="BT95" i="2"/>
  <c r="BS95" i="2"/>
  <c r="BP95" i="2"/>
  <c r="BQ95" i="2" s="1"/>
  <c r="BR95" i="2" s="1"/>
  <c r="BO95" i="2"/>
  <c r="BK95" i="2"/>
  <c r="BL95" i="2" s="1"/>
  <c r="BJ95" i="2"/>
  <c r="BI95" i="2"/>
  <c r="BF95" i="2"/>
  <c r="BE95" i="2"/>
  <c r="BD95" i="2"/>
  <c r="BA95" i="2"/>
  <c r="BB95" i="2" s="1"/>
  <c r="CI94" i="2"/>
  <c r="CE94" i="2"/>
  <c r="BZ94" i="2"/>
  <c r="BX94" i="2"/>
  <c r="BV94" i="2"/>
  <c r="BU94" i="2"/>
  <c r="BT94" i="2"/>
  <c r="BS94" i="2"/>
  <c r="BP94" i="2"/>
  <c r="BO94" i="2"/>
  <c r="BK94" i="2"/>
  <c r="BL94" i="2" s="1"/>
  <c r="BJ94" i="2"/>
  <c r="BI94" i="2"/>
  <c r="BG94" i="2"/>
  <c r="BF94" i="2"/>
  <c r="BE94" i="2"/>
  <c r="BD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P93" i="2"/>
  <c r="BQ93" i="2" s="1"/>
  <c r="BO93" i="2"/>
  <c r="BK93" i="2"/>
  <c r="BJ93" i="2"/>
  <c r="BI93" i="2"/>
  <c r="BF93" i="2"/>
  <c r="BG93" i="2" s="1"/>
  <c r="BE93" i="2"/>
  <c r="BD93" i="2"/>
  <c r="BB93" i="2"/>
  <c r="BA93" i="2"/>
  <c r="CI92" i="2"/>
  <c r="CE92" i="2"/>
  <c r="BZ92" i="2"/>
  <c r="CA92" i="2" s="1"/>
  <c r="BX92" i="2"/>
  <c r="BU92" i="2"/>
  <c r="BV92" i="2" s="1"/>
  <c r="BT92" i="2"/>
  <c r="BS92" i="2"/>
  <c r="BP92" i="2"/>
  <c r="BO92" i="2"/>
  <c r="BK92" i="2"/>
  <c r="BL92" i="2" s="1"/>
  <c r="BJ92" i="2"/>
  <c r="BI92" i="2"/>
  <c r="BF92" i="2"/>
  <c r="BE92" i="2"/>
  <c r="BD92" i="2"/>
  <c r="BB92" i="2"/>
  <c r="BA92" i="2"/>
  <c r="CI91" i="2"/>
  <c r="CE91" i="2"/>
  <c r="CF91" i="2" s="1"/>
  <c r="BZ91" i="2"/>
  <c r="BX91" i="2"/>
  <c r="BU91" i="2"/>
  <c r="BV91" i="2" s="1"/>
  <c r="BW91" i="2" s="1"/>
  <c r="BT91" i="2"/>
  <c r="BS91" i="2"/>
  <c r="BP91" i="2"/>
  <c r="BO91" i="2"/>
  <c r="BK91" i="2"/>
  <c r="BJ91" i="2"/>
  <c r="BI91" i="2"/>
  <c r="BG91" i="2"/>
  <c r="BF91" i="2"/>
  <c r="BE91" i="2"/>
  <c r="BD91" i="2"/>
  <c r="BB91" i="2"/>
  <c r="BC91" i="2" s="1"/>
  <c r="BA91" i="2"/>
  <c r="CI90" i="2"/>
  <c r="CF90" i="2"/>
  <c r="CG90" i="2" s="1"/>
  <c r="CE90" i="2"/>
  <c r="BZ90" i="2"/>
  <c r="CA90" i="2" s="1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B90" i="2"/>
  <c r="F90" i="2" s="1"/>
  <c r="BA90" i="2"/>
  <c r="CI89" i="2"/>
  <c r="CE89" i="2"/>
  <c r="BZ89" i="2"/>
  <c r="CA89" i="2" s="1"/>
  <c r="BX89" i="2"/>
  <c r="BU89" i="2"/>
  <c r="BV89" i="2" s="1"/>
  <c r="BT89" i="2"/>
  <c r="BS89" i="2"/>
  <c r="BQ89" i="2"/>
  <c r="BP89" i="2"/>
  <c r="BO89" i="2"/>
  <c r="BK89" i="2"/>
  <c r="BL89" i="2" s="1"/>
  <c r="BJ89" i="2"/>
  <c r="BI89" i="2"/>
  <c r="BF89" i="2"/>
  <c r="BG89" i="2" s="1"/>
  <c r="BE89" i="2"/>
  <c r="BD89" i="2"/>
  <c r="BA89" i="2"/>
  <c r="CI88" i="2"/>
  <c r="CF88" i="2"/>
  <c r="CG88" i="2" s="1"/>
  <c r="CE88" i="2"/>
  <c r="BZ88" i="2"/>
  <c r="BX88" i="2"/>
  <c r="BV88" i="2"/>
  <c r="BU88" i="2"/>
  <c r="BT88" i="2"/>
  <c r="BS88" i="2"/>
  <c r="BQ88" i="2"/>
  <c r="BP88" i="2"/>
  <c r="BO88" i="2"/>
  <c r="BK88" i="2"/>
  <c r="BJ88" i="2"/>
  <c r="BI88" i="2"/>
  <c r="BF88" i="2"/>
  <c r="BG88" i="2" s="1"/>
  <c r="BE88" i="2"/>
  <c r="BD88" i="2"/>
  <c r="BA88" i="2"/>
  <c r="BB88" i="2" s="1"/>
  <c r="CI87" i="2"/>
  <c r="CE87" i="2"/>
  <c r="CA87" i="2"/>
  <c r="BZ87" i="2"/>
  <c r="BX87" i="2"/>
  <c r="BU87" i="2"/>
  <c r="BV87" i="2" s="1"/>
  <c r="BT87" i="2"/>
  <c r="BS87" i="2"/>
  <c r="BP87" i="2"/>
  <c r="BO87" i="2"/>
  <c r="BK87" i="2"/>
  <c r="BL87" i="2" s="1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P86" i="2"/>
  <c r="BO86" i="2"/>
  <c r="BL86" i="2"/>
  <c r="BM86" i="2" s="1"/>
  <c r="BK86" i="2"/>
  <c r="BJ86" i="2"/>
  <c r="BI86" i="2"/>
  <c r="BF86" i="2"/>
  <c r="BG86" i="2" s="1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Q85" i="2"/>
  <c r="BP85" i="2"/>
  <c r="BO85" i="2"/>
  <c r="BK85" i="2"/>
  <c r="BJ85" i="2"/>
  <c r="BI85" i="2"/>
  <c r="BF85" i="2"/>
  <c r="BG85" i="2" s="1"/>
  <c r="BE85" i="2"/>
  <c r="BD85" i="2"/>
  <c r="BB85" i="2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L84" i="2"/>
  <c r="L84" i="2" s="1"/>
  <c r="BK84" i="2"/>
  <c r="BJ84" i="2"/>
  <c r="BI84" i="2"/>
  <c r="BF84" i="2"/>
  <c r="BE84" i="2"/>
  <c r="BD84" i="2"/>
  <c r="BA84" i="2"/>
  <c r="BB84" i="2" s="1"/>
  <c r="CI83" i="2"/>
  <c r="CE83" i="2"/>
  <c r="CF83" i="2" s="1"/>
  <c r="CA83" i="2"/>
  <c r="BZ83" i="2"/>
  <c r="BX83" i="2"/>
  <c r="BU83" i="2"/>
  <c r="BV83" i="2" s="1"/>
  <c r="BW83" i="2" s="1"/>
  <c r="BT83" i="2"/>
  <c r="BS83" i="2"/>
  <c r="BR83" i="2" s="1"/>
  <c r="BP83" i="2"/>
  <c r="BQ83" i="2" s="1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B82" i="2"/>
  <c r="BA82" i="2"/>
  <c r="CI81" i="2"/>
  <c r="CE81" i="2"/>
  <c r="CA81" i="2"/>
  <c r="CB81" i="2" s="1"/>
  <c r="BZ81" i="2"/>
  <c r="BX81" i="2"/>
  <c r="BV81" i="2"/>
  <c r="BU81" i="2"/>
  <c r="BT81" i="2"/>
  <c r="BS81" i="2"/>
  <c r="BP81" i="2"/>
  <c r="BQ81" i="2" s="1"/>
  <c r="BO81" i="2"/>
  <c r="BK81" i="2"/>
  <c r="BL81" i="2" s="1"/>
  <c r="BJ81" i="2"/>
  <c r="BI81" i="2"/>
  <c r="BG81" i="2"/>
  <c r="BF81" i="2"/>
  <c r="BE81" i="2"/>
  <c r="BD81" i="2"/>
  <c r="BA81" i="2"/>
  <c r="CI80" i="2"/>
  <c r="CF80" i="2"/>
  <c r="CE80" i="2"/>
  <c r="BZ80" i="2"/>
  <c r="BX80" i="2"/>
  <c r="BU80" i="2"/>
  <c r="BV80" i="2" s="1"/>
  <c r="R80" i="2" s="1"/>
  <c r="BT80" i="2"/>
  <c r="BS80" i="2"/>
  <c r="BQ80" i="2"/>
  <c r="BP80" i="2"/>
  <c r="BO80" i="2"/>
  <c r="BK80" i="2"/>
  <c r="BL80" i="2" s="1"/>
  <c r="BJ80" i="2"/>
  <c r="BI80" i="2"/>
  <c r="BF80" i="2"/>
  <c r="BG80" i="2" s="1"/>
  <c r="BE80" i="2"/>
  <c r="BD80" i="2"/>
  <c r="BB80" i="2"/>
  <c r="BA80" i="2"/>
  <c r="CI79" i="2"/>
  <c r="CE79" i="2"/>
  <c r="CA79" i="2"/>
  <c r="U79" i="2" s="1"/>
  <c r="BZ79" i="2"/>
  <c r="BX79" i="2"/>
  <c r="BU79" i="2"/>
  <c r="BT79" i="2"/>
  <c r="BS79" i="2"/>
  <c r="BQ79" i="2"/>
  <c r="BP79" i="2"/>
  <c r="BO79" i="2"/>
  <c r="BK79" i="2"/>
  <c r="BL79" i="2" s="1"/>
  <c r="BJ79" i="2"/>
  <c r="BI79" i="2"/>
  <c r="BG79" i="2"/>
  <c r="BF79" i="2"/>
  <c r="BE79" i="2"/>
  <c r="BD79" i="2"/>
  <c r="BA79" i="2"/>
  <c r="BB79" i="2" s="1"/>
  <c r="CI78" i="2"/>
  <c r="CE78" i="2"/>
  <c r="CF78" i="2" s="1"/>
  <c r="BZ78" i="2"/>
  <c r="BX78" i="2"/>
  <c r="BU78" i="2"/>
  <c r="BV78" i="2" s="1"/>
  <c r="R78" i="2" s="1"/>
  <c r="BT78" i="2"/>
  <c r="BS78" i="2"/>
  <c r="BP78" i="2"/>
  <c r="BQ78" i="2" s="1"/>
  <c r="BO78" i="2"/>
  <c r="BL78" i="2"/>
  <c r="BK78" i="2"/>
  <c r="BJ78" i="2"/>
  <c r="BI78" i="2"/>
  <c r="BF78" i="2"/>
  <c r="BG78" i="2" s="1"/>
  <c r="BH78" i="2" s="1"/>
  <c r="BE78" i="2"/>
  <c r="BD78" i="2"/>
  <c r="BA78" i="2"/>
  <c r="CI77" i="2"/>
  <c r="CE77" i="2"/>
  <c r="CF77" i="2" s="1"/>
  <c r="BZ77" i="2"/>
  <c r="BX77" i="2"/>
  <c r="BU77" i="2"/>
  <c r="BT77" i="2"/>
  <c r="BS77" i="2"/>
  <c r="BQ77" i="2"/>
  <c r="BP77" i="2"/>
  <c r="BO77" i="2"/>
  <c r="BK77" i="2"/>
  <c r="BL77" i="2" s="1"/>
  <c r="BJ77" i="2"/>
  <c r="BI77" i="2"/>
  <c r="BG77" i="2"/>
  <c r="BH77" i="2" s="1"/>
  <c r="BF77" i="2"/>
  <c r="BE77" i="2"/>
  <c r="BD77" i="2"/>
  <c r="BA77" i="2"/>
  <c r="BB77" i="2" s="1"/>
  <c r="CI76" i="2"/>
  <c r="CE76" i="2"/>
  <c r="BZ76" i="2"/>
  <c r="CA76" i="2" s="1"/>
  <c r="BX76" i="2"/>
  <c r="BU76" i="2"/>
  <c r="BT76" i="2"/>
  <c r="BS76" i="2"/>
  <c r="BP76" i="2"/>
  <c r="BO76" i="2"/>
  <c r="BL76" i="2"/>
  <c r="BM76" i="2" s="1"/>
  <c r="BK76" i="2"/>
  <c r="BJ76" i="2"/>
  <c r="BI76" i="2"/>
  <c r="BF76" i="2"/>
  <c r="BE76" i="2"/>
  <c r="BD76" i="2"/>
  <c r="BA76" i="2"/>
  <c r="BB76" i="2" s="1"/>
  <c r="CI75" i="2"/>
  <c r="CF75" i="2"/>
  <c r="CG75" i="2" s="1"/>
  <c r="CE75" i="2"/>
  <c r="BZ75" i="2"/>
  <c r="CA75" i="2" s="1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E74" i="2"/>
  <c r="CF74" i="2" s="1"/>
  <c r="CA74" i="2"/>
  <c r="BZ74" i="2"/>
  <c r="BX74" i="2"/>
  <c r="BV74" i="2"/>
  <c r="BU74" i="2"/>
  <c r="BT74" i="2"/>
  <c r="BS74" i="2"/>
  <c r="BP74" i="2"/>
  <c r="BQ74" i="2" s="1"/>
  <c r="BR74" i="2" s="1"/>
  <c r="BO74" i="2"/>
  <c r="BL74" i="2"/>
  <c r="BK74" i="2"/>
  <c r="BJ74" i="2"/>
  <c r="BI74" i="2"/>
  <c r="BF74" i="2"/>
  <c r="BE74" i="2"/>
  <c r="BD74" i="2"/>
  <c r="BA74" i="2"/>
  <c r="BB74" i="2" s="1"/>
  <c r="CI73" i="2"/>
  <c r="CE73" i="2"/>
  <c r="CA73" i="2"/>
  <c r="BZ73" i="2"/>
  <c r="BX73" i="2"/>
  <c r="BV73" i="2"/>
  <c r="BU73" i="2"/>
  <c r="BT73" i="2"/>
  <c r="BS73" i="2"/>
  <c r="BP73" i="2"/>
  <c r="BO73" i="2"/>
  <c r="BK73" i="2"/>
  <c r="BL73" i="2" s="1"/>
  <c r="BJ73" i="2"/>
  <c r="BI73" i="2"/>
  <c r="BF73" i="2"/>
  <c r="BE73" i="2"/>
  <c r="BD73" i="2"/>
  <c r="BA73" i="2"/>
  <c r="CI72" i="2"/>
  <c r="CF72" i="2"/>
  <c r="CE72" i="2"/>
  <c r="CA72" i="2"/>
  <c r="BZ72" i="2"/>
  <c r="BX72" i="2"/>
  <c r="BV72" i="2"/>
  <c r="BW72" i="2" s="1"/>
  <c r="BU72" i="2"/>
  <c r="BT72" i="2"/>
  <c r="BS72" i="2"/>
  <c r="BP72" i="2"/>
  <c r="BQ72" i="2" s="1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U71" i="2" s="1"/>
  <c r="BZ71" i="2"/>
  <c r="BX71" i="2"/>
  <c r="BU71" i="2"/>
  <c r="BT71" i="2"/>
  <c r="BS71" i="2"/>
  <c r="BP71" i="2"/>
  <c r="BQ71" i="2" s="1"/>
  <c r="BR71" i="2" s="1"/>
  <c r="BO71" i="2"/>
  <c r="BK71" i="2"/>
  <c r="BL71" i="2" s="1"/>
  <c r="BM71" i="2" s="1"/>
  <c r="BJ71" i="2"/>
  <c r="BI71" i="2"/>
  <c r="BG71" i="2"/>
  <c r="BF71" i="2"/>
  <c r="BE71" i="2"/>
  <c r="BD71" i="2"/>
  <c r="BA71" i="2"/>
  <c r="BB71" i="2" s="1"/>
  <c r="CI70" i="2"/>
  <c r="CF70" i="2"/>
  <c r="CE70" i="2"/>
  <c r="BZ70" i="2"/>
  <c r="BX70" i="2"/>
  <c r="BV70" i="2"/>
  <c r="BU70" i="2"/>
  <c r="BT70" i="2"/>
  <c r="BS70" i="2"/>
  <c r="BP70" i="2"/>
  <c r="BO70" i="2"/>
  <c r="BK70" i="2"/>
  <c r="BL70" i="2" s="1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Q69" i="2"/>
  <c r="BP69" i="2"/>
  <c r="BO69" i="2"/>
  <c r="BK69" i="2"/>
  <c r="BL69" i="2" s="1"/>
  <c r="BJ69" i="2"/>
  <c r="BI69" i="2"/>
  <c r="BG69" i="2"/>
  <c r="BF69" i="2"/>
  <c r="BE69" i="2"/>
  <c r="BD69" i="2"/>
  <c r="BC69" i="2" s="1"/>
  <c r="BA69" i="2"/>
  <c r="BB69" i="2" s="1"/>
  <c r="CI68" i="2"/>
  <c r="CE68" i="2"/>
  <c r="CF68" i="2" s="1"/>
  <c r="CA68" i="2"/>
  <c r="BZ68" i="2"/>
  <c r="BX68" i="2"/>
  <c r="BU68" i="2"/>
  <c r="BV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V67" i="2"/>
  <c r="BU67" i="2"/>
  <c r="BT67" i="2"/>
  <c r="BS67" i="2"/>
  <c r="BP67" i="2"/>
  <c r="BQ67" i="2" s="1"/>
  <c r="BO67" i="2"/>
  <c r="BK67" i="2"/>
  <c r="BJ67" i="2"/>
  <c r="BI67" i="2"/>
  <c r="BF67" i="2"/>
  <c r="BG67" i="2" s="1"/>
  <c r="BE67" i="2"/>
  <c r="BD67" i="2"/>
  <c r="BA67" i="2"/>
  <c r="BB67" i="2" s="1"/>
  <c r="CI66" i="2"/>
  <c r="CE66" i="2"/>
  <c r="CF66" i="2" s="1"/>
  <c r="X66" i="2" s="1"/>
  <c r="CA66" i="2"/>
  <c r="BZ66" i="2"/>
  <c r="BX66" i="2"/>
  <c r="BU66" i="2"/>
  <c r="BT66" i="2"/>
  <c r="BS66" i="2"/>
  <c r="BP66" i="2"/>
  <c r="BQ66" i="2" s="1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BZ65" i="2"/>
  <c r="CA65" i="2" s="1"/>
  <c r="BX65" i="2"/>
  <c r="BU65" i="2"/>
  <c r="BT65" i="2"/>
  <c r="BS65" i="2"/>
  <c r="BP65" i="2"/>
  <c r="BQ65" i="2" s="1"/>
  <c r="BO65" i="2"/>
  <c r="BL65" i="2"/>
  <c r="BK65" i="2"/>
  <c r="BJ65" i="2"/>
  <c r="BI65" i="2"/>
  <c r="BH65" i="2" s="1"/>
  <c r="BF65" i="2"/>
  <c r="BG65" i="2" s="1"/>
  <c r="BE65" i="2"/>
  <c r="BD65" i="2"/>
  <c r="BA65" i="2"/>
  <c r="CI64" i="2"/>
  <c r="CG64" i="2" s="1"/>
  <c r="CF64" i="2"/>
  <c r="CE64" i="2"/>
  <c r="BZ64" i="2"/>
  <c r="BX64" i="2"/>
  <c r="BV64" i="2"/>
  <c r="BU64" i="2"/>
  <c r="BT64" i="2"/>
  <c r="BS64" i="2"/>
  <c r="BQ64" i="2"/>
  <c r="BP64" i="2"/>
  <c r="BO64" i="2"/>
  <c r="BK64" i="2"/>
  <c r="BJ64" i="2"/>
  <c r="BH64" i="2" s="1"/>
  <c r="BI64" i="2"/>
  <c r="BG64" i="2"/>
  <c r="BF64" i="2"/>
  <c r="BE64" i="2"/>
  <c r="BD64" i="2"/>
  <c r="BA64" i="2"/>
  <c r="CI63" i="2"/>
  <c r="CE63" i="2"/>
  <c r="BZ63" i="2"/>
  <c r="BX63" i="2"/>
  <c r="BU63" i="2"/>
  <c r="BT63" i="2"/>
  <c r="BS63" i="2"/>
  <c r="BQ63" i="2"/>
  <c r="BP63" i="2"/>
  <c r="BO63" i="2"/>
  <c r="BL63" i="2"/>
  <c r="BK63" i="2"/>
  <c r="BJ63" i="2"/>
  <c r="BI63" i="2"/>
  <c r="BF63" i="2"/>
  <c r="BG63" i="2" s="1"/>
  <c r="BE63" i="2"/>
  <c r="BC63" i="2" s="1"/>
  <c r="BD63" i="2"/>
  <c r="BB63" i="2"/>
  <c r="BA63" i="2"/>
  <c r="CI62" i="2"/>
  <c r="CE62" i="2"/>
  <c r="BZ62" i="2"/>
  <c r="BX62" i="2"/>
  <c r="BU62" i="2"/>
  <c r="BT62" i="2"/>
  <c r="BS62" i="2"/>
  <c r="BQ62" i="2"/>
  <c r="BP62" i="2"/>
  <c r="BO62" i="2"/>
  <c r="BL62" i="2"/>
  <c r="BM62" i="2" s="1"/>
  <c r="BK62" i="2"/>
  <c r="BJ62" i="2"/>
  <c r="BI62" i="2"/>
  <c r="BG62" i="2"/>
  <c r="BF62" i="2"/>
  <c r="BE62" i="2"/>
  <c r="BD62" i="2"/>
  <c r="BA62" i="2"/>
  <c r="CI61" i="2"/>
  <c r="CF61" i="2"/>
  <c r="X61" i="2" s="1"/>
  <c r="CE61" i="2"/>
  <c r="CA61" i="2"/>
  <c r="BZ61" i="2"/>
  <c r="BX61" i="2"/>
  <c r="BU61" i="2"/>
  <c r="BT61" i="2"/>
  <c r="BS61" i="2"/>
  <c r="BQ61" i="2"/>
  <c r="BP61" i="2"/>
  <c r="BO61" i="2"/>
  <c r="BK61" i="2"/>
  <c r="BL61" i="2" s="1"/>
  <c r="BJ61" i="2"/>
  <c r="BI61" i="2"/>
  <c r="BG61" i="2"/>
  <c r="BF61" i="2"/>
  <c r="BE61" i="2"/>
  <c r="BD61" i="2"/>
  <c r="BA61" i="2"/>
  <c r="BB61" i="2" s="1"/>
  <c r="CI60" i="2"/>
  <c r="CE60" i="2"/>
  <c r="CA60" i="2"/>
  <c r="CB60" i="2" s="1"/>
  <c r="BZ60" i="2"/>
  <c r="BX60" i="2"/>
  <c r="BV60" i="2"/>
  <c r="BU60" i="2"/>
  <c r="BT60" i="2"/>
  <c r="BS60" i="2"/>
  <c r="BP60" i="2"/>
  <c r="BQ60" i="2" s="1"/>
  <c r="BO60" i="2"/>
  <c r="BK60" i="2"/>
  <c r="BL60" i="2" s="1"/>
  <c r="L60" i="2" s="1"/>
  <c r="BJ60" i="2"/>
  <c r="BI60" i="2"/>
  <c r="BF60" i="2"/>
  <c r="BE60" i="2"/>
  <c r="BD60" i="2"/>
  <c r="BB60" i="2"/>
  <c r="BA60" i="2"/>
  <c r="CI59" i="2"/>
  <c r="CE59" i="2"/>
  <c r="BZ59" i="2"/>
  <c r="CA59" i="2" s="1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D59" i="2"/>
  <c r="BA59" i="2"/>
  <c r="BB59" i="2" s="1"/>
  <c r="CI58" i="2"/>
  <c r="CE58" i="2"/>
  <c r="CF58" i="2" s="1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B58" i="2"/>
  <c r="BA58" i="2"/>
  <c r="CI57" i="2"/>
  <c r="CE57" i="2"/>
  <c r="BZ57" i="2"/>
  <c r="CA57" i="2" s="1"/>
  <c r="BX57" i="2"/>
  <c r="BU57" i="2"/>
  <c r="BT57" i="2"/>
  <c r="BS57" i="2"/>
  <c r="BP57" i="2"/>
  <c r="BQ57" i="2" s="1"/>
  <c r="BO57" i="2"/>
  <c r="BL57" i="2"/>
  <c r="BK57" i="2"/>
  <c r="BJ57" i="2"/>
  <c r="BI57" i="2"/>
  <c r="BF57" i="2"/>
  <c r="BG57" i="2" s="1"/>
  <c r="BE57" i="2"/>
  <c r="BD57" i="2"/>
  <c r="BA57" i="2"/>
  <c r="BB57" i="2" s="1"/>
  <c r="CI56" i="2"/>
  <c r="CE56" i="2"/>
  <c r="CF56" i="2" s="1"/>
  <c r="BZ56" i="2"/>
  <c r="BX56" i="2"/>
  <c r="BV56" i="2"/>
  <c r="BU56" i="2"/>
  <c r="BT56" i="2"/>
  <c r="BS56" i="2"/>
  <c r="BP56" i="2"/>
  <c r="BQ56" i="2" s="1"/>
  <c r="BO56" i="2"/>
  <c r="BK56" i="2"/>
  <c r="BJ56" i="2"/>
  <c r="BI56" i="2"/>
  <c r="BF56" i="2"/>
  <c r="BG56" i="2" s="1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P55" i="2"/>
  <c r="BQ55" i="2" s="1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F54" i="2" s="1"/>
  <c r="CI53" i="2"/>
  <c r="CE53" i="2"/>
  <c r="CA53" i="2"/>
  <c r="BZ53" i="2"/>
  <c r="BX53" i="2"/>
  <c r="BU53" i="2"/>
  <c r="BV53" i="2" s="1"/>
  <c r="BT53" i="2"/>
  <c r="BS53" i="2"/>
  <c r="BP53" i="2"/>
  <c r="BQ53" i="2" s="1"/>
  <c r="BO53" i="2"/>
  <c r="BK53" i="2"/>
  <c r="BL53" i="2" s="1"/>
  <c r="BJ53" i="2"/>
  <c r="BI53" i="2"/>
  <c r="BF53" i="2"/>
  <c r="BG53" i="2" s="1"/>
  <c r="BE53" i="2"/>
  <c r="BD53" i="2"/>
  <c r="BC53" i="2" s="1"/>
  <c r="BB53" i="2"/>
  <c r="BA53" i="2"/>
  <c r="CI52" i="2"/>
  <c r="CE52" i="2"/>
  <c r="BZ52" i="2"/>
  <c r="CA52" i="2" s="1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BZ51" i="2"/>
  <c r="CA51" i="2" s="1"/>
  <c r="BX51" i="2"/>
  <c r="BU51" i="2"/>
  <c r="BV51" i="2" s="1"/>
  <c r="BW51" i="2" s="1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B51" i="2"/>
  <c r="BC51" i="2" s="1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K50" i="2"/>
  <c r="BJ50" i="2"/>
  <c r="BI50" i="2"/>
  <c r="BF50" i="2"/>
  <c r="BE50" i="2"/>
  <c r="BC50" i="2" s="1"/>
  <c r="BD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K49" i="2"/>
  <c r="BL49" i="2" s="1"/>
  <c r="BJ49" i="2"/>
  <c r="BI49" i="2"/>
  <c r="BH49" i="2" s="1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J48" i="2"/>
  <c r="BI48" i="2"/>
  <c r="BF48" i="2"/>
  <c r="BG48" i="2" s="1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F46" i="2"/>
  <c r="BG46" i="2" s="1"/>
  <c r="BH46" i="2" s="1"/>
  <c r="BE46" i="2"/>
  <c r="BD46" i="2"/>
  <c r="BB46" i="2"/>
  <c r="BC46" i="2" s="1"/>
  <c r="BA46" i="2"/>
  <c r="CI45" i="2"/>
  <c r="CF45" i="2"/>
  <c r="CE45" i="2"/>
  <c r="CA45" i="2"/>
  <c r="BZ45" i="2"/>
  <c r="BX45" i="2"/>
  <c r="BU45" i="2"/>
  <c r="BT45" i="2"/>
  <c r="BS45" i="2"/>
  <c r="BQ45" i="2"/>
  <c r="BP45" i="2"/>
  <c r="BO45" i="2"/>
  <c r="BK45" i="2"/>
  <c r="BL45" i="2" s="1"/>
  <c r="BJ45" i="2"/>
  <c r="BI45" i="2"/>
  <c r="BF45" i="2"/>
  <c r="BG45" i="2" s="1"/>
  <c r="BE45" i="2"/>
  <c r="BD45" i="2"/>
  <c r="BB45" i="2"/>
  <c r="BA45" i="2"/>
  <c r="CI44" i="2"/>
  <c r="CE44" i="2"/>
  <c r="BZ44" i="2"/>
  <c r="CA44" i="2" s="1"/>
  <c r="CB44" i="2" s="1"/>
  <c r="BX44" i="2"/>
  <c r="BU44" i="2"/>
  <c r="BT44" i="2"/>
  <c r="BS44" i="2"/>
  <c r="BP44" i="2"/>
  <c r="BO44" i="2"/>
  <c r="BK44" i="2"/>
  <c r="BJ44" i="2"/>
  <c r="BI44" i="2"/>
  <c r="BF44" i="2"/>
  <c r="BG44" i="2" s="1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R43" i="2" s="1"/>
  <c r="BU43" i="2"/>
  <c r="BT43" i="2"/>
  <c r="BS43" i="2"/>
  <c r="BP43" i="2"/>
  <c r="BO43" i="2"/>
  <c r="BK43" i="2"/>
  <c r="BJ43" i="2"/>
  <c r="BI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U42" i="2"/>
  <c r="BV42" i="2" s="1"/>
  <c r="BW42" i="2" s="1"/>
  <c r="BT42" i="2"/>
  <c r="BS42" i="2"/>
  <c r="BQ42" i="2"/>
  <c r="BR42" i="2" s="1"/>
  <c r="BP42" i="2"/>
  <c r="BO42" i="2"/>
  <c r="BM42" i="2" s="1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U41" i="2"/>
  <c r="BV41" i="2" s="1"/>
  <c r="BT41" i="2"/>
  <c r="BS41" i="2"/>
  <c r="BP41" i="2"/>
  <c r="BO41" i="2"/>
  <c r="BK41" i="2"/>
  <c r="BJ41" i="2"/>
  <c r="BI41" i="2"/>
  <c r="BF41" i="2"/>
  <c r="BE41" i="2"/>
  <c r="BD41" i="2"/>
  <c r="BB41" i="2"/>
  <c r="BA41" i="2"/>
  <c r="CI40" i="2"/>
  <c r="CE40" i="2"/>
  <c r="CF40" i="2" s="1"/>
  <c r="CA40" i="2"/>
  <c r="CB40" i="2" s="1"/>
  <c r="BZ40" i="2"/>
  <c r="BX40" i="2"/>
  <c r="BU40" i="2"/>
  <c r="BT40" i="2"/>
  <c r="BS40" i="2"/>
  <c r="BQ40" i="2"/>
  <c r="BP40" i="2"/>
  <c r="BO40" i="2"/>
  <c r="BK40" i="2"/>
  <c r="BL40" i="2" s="1"/>
  <c r="BM40" i="2" s="1"/>
  <c r="BJ40" i="2"/>
  <c r="BI40" i="2"/>
  <c r="BF40" i="2"/>
  <c r="BE40" i="2"/>
  <c r="BD40" i="2"/>
  <c r="BB40" i="2"/>
  <c r="BC40" i="2" s="1"/>
  <c r="BA40" i="2"/>
  <c r="CI39" i="2"/>
  <c r="CE39" i="2"/>
  <c r="BZ39" i="2"/>
  <c r="BX39" i="2"/>
  <c r="BU39" i="2"/>
  <c r="BT39" i="2"/>
  <c r="BS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BZ38" i="2"/>
  <c r="CA38" i="2" s="1"/>
  <c r="BX38" i="2"/>
  <c r="BU38" i="2"/>
  <c r="BV38" i="2" s="1"/>
  <c r="BT38" i="2"/>
  <c r="BS38" i="2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F37" i="2"/>
  <c r="BG37" i="2" s="1"/>
  <c r="BE37" i="2"/>
  <c r="BD37" i="2"/>
  <c r="BB37" i="2"/>
  <c r="BA37" i="2"/>
  <c r="CI36" i="2"/>
  <c r="CE36" i="2"/>
  <c r="BZ36" i="2"/>
  <c r="BX36" i="2"/>
  <c r="BU36" i="2"/>
  <c r="BT36" i="2"/>
  <c r="BS36" i="2"/>
  <c r="BP36" i="2"/>
  <c r="BQ36" i="2" s="1"/>
  <c r="BO36" i="2"/>
  <c r="BK36" i="2"/>
  <c r="BL36" i="2" s="1"/>
  <c r="BJ36" i="2"/>
  <c r="BI36" i="2"/>
  <c r="BF36" i="2"/>
  <c r="BG36" i="2" s="1"/>
  <c r="BE36" i="2"/>
  <c r="BD36" i="2"/>
  <c r="BA36" i="2"/>
  <c r="CI35" i="2"/>
  <c r="CF35" i="2"/>
  <c r="CE35" i="2"/>
  <c r="BZ35" i="2"/>
  <c r="CA35" i="2" s="1"/>
  <c r="CB35" i="2" s="1"/>
  <c r="BX35" i="2"/>
  <c r="BU35" i="2"/>
  <c r="BT35" i="2"/>
  <c r="BS35" i="2"/>
  <c r="BP35" i="2"/>
  <c r="BQ35" i="2" s="1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BZ34" i="2"/>
  <c r="CA34" i="2" s="1"/>
  <c r="BX34" i="2"/>
  <c r="BU34" i="2"/>
  <c r="BT34" i="2"/>
  <c r="BS34" i="2"/>
  <c r="BP34" i="2"/>
  <c r="BQ34" i="2" s="1"/>
  <c r="BO34" i="2"/>
  <c r="BK34" i="2"/>
  <c r="BJ34" i="2"/>
  <c r="BI34" i="2"/>
  <c r="BF34" i="2"/>
  <c r="BG34" i="2" s="1"/>
  <c r="BE34" i="2"/>
  <c r="BD34" i="2"/>
  <c r="BA34" i="2"/>
  <c r="BB34" i="2" s="1"/>
  <c r="CI33" i="2"/>
  <c r="CE33" i="2"/>
  <c r="CA33" i="2"/>
  <c r="U33" i="2" s="1"/>
  <c r="BZ33" i="2"/>
  <c r="BX33" i="2"/>
  <c r="BV33" i="2"/>
  <c r="BU33" i="2"/>
  <c r="BT33" i="2"/>
  <c r="BS33" i="2"/>
  <c r="BP33" i="2"/>
  <c r="BQ33" i="2" s="1"/>
  <c r="BO33" i="2"/>
  <c r="BK33" i="2"/>
  <c r="BL33" i="2" s="1"/>
  <c r="BJ33" i="2"/>
  <c r="BI33" i="2"/>
  <c r="BF33" i="2"/>
  <c r="BE33" i="2"/>
  <c r="BD33" i="2"/>
  <c r="BB33" i="2"/>
  <c r="BC33" i="2" s="1"/>
  <c r="BA33" i="2"/>
  <c r="CI32" i="2"/>
  <c r="CE32" i="2"/>
  <c r="CF32" i="2" s="1"/>
  <c r="CA32" i="2"/>
  <c r="BZ32" i="2"/>
  <c r="BX32" i="2"/>
  <c r="BU32" i="2"/>
  <c r="BT32" i="2"/>
  <c r="BS32" i="2"/>
  <c r="BQ32" i="2"/>
  <c r="BP32" i="2"/>
  <c r="BO32" i="2"/>
  <c r="BK32" i="2"/>
  <c r="BL32" i="2" s="1"/>
  <c r="BJ32" i="2"/>
  <c r="BI32" i="2"/>
  <c r="BF32" i="2"/>
  <c r="BE32" i="2"/>
  <c r="BD32" i="2"/>
  <c r="BB32" i="2"/>
  <c r="F32" i="2" s="1"/>
  <c r="BA32" i="2"/>
  <c r="CI31" i="2"/>
  <c r="CE31" i="2"/>
  <c r="BZ31" i="2"/>
  <c r="CA31" i="2" s="1"/>
  <c r="BX31" i="2"/>
  <c r="BU31" i="2"/>
  <c r="BT31" i="2"/>
  <c r="BS31" i="2"/>
  <c r="BP31" i="2"/>
  <c r="BO31" i="2"/>
  <c r="BK31" i="2"/>
  <c r="BJ31" i="2"/>
  <c r="BI31" i="2"/>
  <c r="BF31" i="2"/>
  <c r="BE31" i="2"/>
  <c r="BD31" i="2"/>
  <c r="BA31" i="2"/>
  <c r="CI30" i="2"/>
  <c r="CE30" i="2"/>
  <c r="BZ30" i="2"/>
  <c r="BX30" i="2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P29" i="2"/>
  <c r="BQ29" i="2" s="1"/>
  <c r="BO29" i="2"/>
  <c r="BK29" i="2"/>
  <c r="BJ29" i="2"/>
  <c r="BI29" i="2"/>
  <c r="BG29" i="2"/>
  <c r="BF29" i="2"/>
  <c r="BE29" i="2"/>
  <c r="BD29" i="2"/>
  <c r="BA29" i="2"/>
  <c r="BB29" i="2" s="1"/>
  <c r="BC29" i="2" s="1"/>
  <c r="CI28" i="2"/>
  <c r="CE28" i="2"/>
  <c r="CF28" i="2" s="1"/>
  <c r="CG28" i="2" s="1"/>
  <c r="CA28" i="2"/>
  <c r="BZ28" i="2"/>
  <c r="BX28" i="2"/>
  <c r="BU28" i="2"/>
  <c r="BT28" i="2"/>
  <c r="BS28" i="2"/>
  <c r="BQ28" i="2"/>
  <c r="BP28" i="2"/>
  <c r="BO28" i="2"/>
  <c r="BK28" i="2"/>
  <c r="BJ28" i="2"/>
  <c r="BI28" i="2"/>
  <c r="BF28" i="2"/>
  <c r="BG28" i="2" s="1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O27" i="2"/>
  <c r="BL27" i="2"/>
  <c r="BM27" i="2" s="1"/>
  <c r="BK27" i="2"/>
  <c r="BJ27" i="2"/>
  <c r="BI27" i="2"/>
  <c r="BF27" i="2"/>
  <c r="BE27" i="2"/>
  <c r="BD27" i="2"/>
  <c r="BA27" i="2"/>
  <c r="BB27" i="2" s="1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E25" i="2"/>
  <c r="CF25" i="2" s="1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A25" i="2"/>
  <c r="BB25" i="2" s="1"/>
  <c r="BC25" i="2" s="1"/>
  <c r="CI24" i="2"/>
  <c r="CE24" i="2"/>
  <c r="BZ24" i="2"/>
  <c r="BX24" i="2"/>
  <c r="BU24" i="2"/>
  <c r="BT24" i="2"/>
  <c r="BS24" i="2"/>
  <c r="BP24" i="2"/>
  <c r="BO24" i="2"/>
  <c r="BL24" i="2"/>
  <c r="L24" i="2" s="1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U23" i="2"/>
  <c r="BT23" i="2"/>
  <c r="BS23" i="2"/>
  <c r="BQ23" i="2"/>
  <c r="BP23" i="2"/>
  <c r="BO23" i="2"/>
  <c r="BK23" i="2"/>
  <c r="BJ23" i="2"/>
  <c r="BI23" i="2"/>
  <c r="BF23" i="2"/>
  <c r="BG23" i="2" s="1"/>
  <c r="BE23" i="2"/>
  <c r="BD23" i="2"/>
  <c r="BA23" i="2"/>
  <c r="CI22" i="2"/>
  <c r="CE22" i="2"/>
  <c r="CF22" i="2" s="1"/>
  <c r="BZ22" i="2"/>
  <c r="BX22" i="2"/>
  <c r="BU22" i="2"/>
  <c r="BT22" i="2"/>
  <c r="BS22" i="2"/>
  <c r="BQ22" i="2"/>
  <c r="BP22" i="2"/>
  <c r="BO22" i="2"/>
  <c r="BL22" i="2"/>
  <c r="L22" i="2" s="1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K21" i="2"/>
  <c r="BL21" i="2" s="1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T20" i="2"/>
  <c r="BS20" i="2"/>
  <c r="BP20" i="2"/>
  <c r="BO20" i="2"/>
  <c r="BK20" i="2"/>
  <c r="BJ20" i="2"/>
  <c r="BI20" i="2"/>
  <c r="BH20" i="2" s="1"/>
  <c r="BF20" i="2"/>
  <c r="BG20" i="2" s="1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O19" i="2"/>
  <c r="BK19" i="2"/>
  <c r="BL19" i="2" s="1"/>
  <c r="BJ19" i="2"/>
  <c r="BI19" i="2"/>
  <c r="BF19" i="2"/>
  <c r="BE19" i="2"/>
  <c r="BD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O62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U90" i="18"/>
  <c r="X75" i="18"/>
  <c r="F71" i="18"/>
  <c r="U66" i="18"/>
  <c r="I97" i="2"/>
  <c r="U93" i="2"/>
  <c r="X91" i="2"/>
  <c r="U82" i="2"/>
  <c r="I62" i="2"/>
  <c r="O54" i="2"/>
  <c r="O52" i="2"/>
  <c r="I41" i="18"/>
  <c r="O43" i="18"/>
  <c r="E1" i="2"/>
  <c r="U41" i="18"/>
  <c r="F32" i="18"/>
  <c r="R32" i="18"/>
  <c r="L42" i="18"/>
  <c r="L64" i="18"/>
  <c r="U49" i="18"/>
  <c r="L50" i="18"/>
  <c r="X46" i="18"/>
  <c r="U45" i="18"/>
  <c r="L46" i="18"/>
  <c r="I45" i="18"/>
  <c r="I49" i="18"/>
  <c r="O47" i="18"/>
  <c r="R48" i="2"/>
  <c r="AX1" i="12"/>
  <c r="O35" i="18"/>
  <c r="G1" i="2"/>
  <c r="J1" i="2" s="1"/>
  <c r="L27" i="2"/>
  <c r="F37" i="2"/>
  <c r="L97" i="2"/>
  <c r="O36" i="2"/>
  <c r="L39" i="2"/>
  <c r="I38" i="2"/>
  <c r="O98" i="2"/>
  <c r="F40" i="2"/>
  <c r="O40" i="2"/>
  <c r="F95" i="2"/>
  <c r="R24" i="18"/>
  <c r="O15" i="18"/>
  <c r="R78" i="18"/>
  <c r="L81" i="18"/>
  <c r="U34" i="2"/>
  <c r="L14" i="18"/>
  <c r="O39" i="18"/>
  <c r="I65" i="18"/>
  <c r="U68" i="18"/>
  <c r="I70" i="18"/>
  <c r="O72" i="18"/>
  <c r="I68" i="18"/>
  <c r="I61" i="18"/>
  <c r="O31" i="18"/>
  <c r="I33" i="18"/>
  <c r="X34" i="18"/>
  <c r="I37" i="18"/>
  <c r="U37" i="18"/>
  <c r="L38" i="18"/>
  <c r="X38" i="18"/>
  <c r="F44" i="18"/>
  <c r="R44" i="18"/>
  <c r="L65" i="18"/>
  <c r="F68" i="18"/>
  <c r="L69" i="18"/>
  <c r="F70" i="18"/>
  <c r="L71" i="18"/>
  <c r="R72" i="18"/>
  <c r="I72" i="18"/>
  <c r="U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R65" i="18"/>
  <c r="X66" i="18"/>
  <c r="R67" i="18"/>
  <c r="X70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O98" i="18"/>
  <c r="R86" i="18"/>
  <c r="L89" i="18"/>
  <c r="F90" i="18"/>
  <c r="L95" i="18"/>
  <c r="X82" i="18"/>
  <c r="L84" i="18"/>
  <c r="F87" i="18"/>
  <c r="L88" i="18"/>
  <c r="L92" i="18"/>
  <c r="F93" i="18"/>
  <c r="I25" i="18"/>
  <c r="U23" i="18"/>
  <c r="O23" i="18"/>
  <c r="X24" i="18"/>
  <c r="X35" i="2"/>
  <c r="R33" i="2"/>
  <c r="X98" i="2"/>
  <c r="R99" i="2"/>
  <c r="O69" i="2"/>
  <c r="L53" i="2"/>
  <c r="R49" i="2"/>
  <c r="X72" i="2"/>
  <c r="L76" i="2"/>
  <c r="F50" i="2"/>
  <c r="U50" i="2"/>
  <c r="X93" i="2"/>
  <c r="R53" i="2"/>
  <c r="R70" i="2"/>
  <c r="F57" i="2"/>
  <c r="U92" i="2"/>
  <c r="L94" i="2"/>
  <c r="I93" i="2"/>
  <c r="O27" i="2"/>
  <c r="U98" i="18"/>
  <c r="X96" i="18"/>
  <c r="O85" i="18"/>
  <c r="L22" i="18"/>
  <c r="F69" i="18"/>
  <c r="I92" i="18"/>
  <c r="I21" i="18"/>
  <c r="F74" i="2"/>
  <c r="X83" i="2"/>
  <c r="F53" i="2"/>
  <c r="R29" i="2"/>
  <c r="X67" i="2"/>
  <c r="U38" i="2"/>
  <c r="U92" i="18"/>
  <c r="I88" i="18"/>
  <c r="L26" i="18"/>
  <c r="U76" i="18"/>
  <c r="I63" i="2"/>
  <c r="I75" i="2"/>
  <c r="I71" i="2"/>
  <c r="L68" i="2"/>
  <c r="X64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U49" i="2"/>
  <c r="X84" i="2"/>
  <c r="F82" i="2"/>
  <c r="L54" i="2"/>
  <c r="O55" i="2"/>
  <c r="U87" i="2"/>
  <c r="I91" i="2"/>
  <c r="O80" i="2"/>
  <c r="O64" i="2"/>
  <c r="I70" i="2"/>
  <c r="O74" i="2"/>
  <c r="O85" i="2"/>
  <c r="F77" i="2"/>
  <c r="L71" i="2"/>
  <c r="O72" i="2"/>
  <c r="R92" i="2"/>
  <c r="L98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L25" i="18"/>
  <c r="O26" i="18"/>
  <c r="R27" i="18"/>
  <c r="F31" i="18"/>
  <c r="L57" i="18"/>
  <c r="L72" i="18"/>
  <c r="F72" i="18"/>
  <c r="X74" i="18"/>
  <c r="F39" i="18"/>
  <c r="U60" i="18"/>
  <c r="X67" i="18"/>
  <c r="I86" i="18"/>
  <c r="U87" i="18"/>
  <c r="R68" i="18"/>
  <c r="L74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U100" i="18"/>
  <c r="X78" i="18"/>
  <c r="U81" i="18"/>
  <c r="R84" i="18"/>
  <c r="X85" i="18"/>
  <c r="U88" i="18"/>
  <c r="R91" i="18"/>
  <c r="X92" i="18"/>
  <c r="U95" i="18"/>
  <c r="X99" i="18"/>
  <c r="R79" i="18"/>
  <c r="I81" i="18"/>
  <c r="O82" i="18"/>
  <c r="F84" i="18"/>
  <c r="X93" i="18"/>
  <c r="U96" i="18"/>
  <c r="O96" i="18"/>
  <c r="F98" i="18"/>
  <c r="F79" i="18"/>
  <c r="O83" i="18"/>
  <c r="U84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L97" i="18"/>
  <c r="O13" i="18"/>
  <c r="U32" i="18"/>
  <c r="O34" i="18"/>
  <c r="L77" i="18"/>
  <c r="R22" i="18"/>
  <c r="F61" i="2"/>
  <c r="X14" i="2"/>
  <c r="F16" i="2"/>
  <c r="L42" i="2"/>
  <c r="X42" i="2"/>
  <c r="O53" i="2"/>
  <c r="U74" i="2"/>
  <c r="F69" i="2"/>
  <c r="F24" i="2"/>
  <c r="L30" i="2"/>
  <c r="I45" i="2"/>
  <c r="R73" i="2"/>
  <c r="X22" i="2"/>
  <c r="O28" i="2"/>
  <c r="O11" i="2"/>
  <c r="I17" i="2"/>
  <c r="O95" i="2"/>
  <c r="X68" i="2"/>
  <c r="X48" i="2"/>
  <c r="I37" i="2"/>
  <c r="U41" i="2"/>
  <c r="L46" i="2"/>
  <c r="X56" i="2"/>
  <c r="U67" i="2"/>
  <c r="F58" i="2"/>
  <c r="L72" i="2"/>
  <c r="O61" i="2"/>
  <c r="L13" i="18"/>
  <c r="X21" i="18"/>
  <c r="X37" i="18"/>
  <c r="U44" i="18"/>
  <c r="X45" i="18"/>
  <c r="F63" i="18"/>
  <c r="F67" i="18"/>
  <c r="X69" i="18"/>
  <c r="X77" i="18"/>
  <c r="R99" i="18"/>
  <c r="R4" i="18"/>
  <c r="O11" i="18"/>
  <c r="F23" i="18"/>
  <c r="I28" i="18"/>
  <c r="L33" i="18"/>
  <c r="X33" i="18"/>
  <c r="R39" i="18"/>
  <c r="I40" i="18"/>
  <c r="R51" i="18"/>
  <c r="X57" i="18"/>
  <c r="O58" i="18"/>
  <c r="O74" i="18"/>
  <c r="I20" i="18"/>
  <c r="L29" i="18"/>
  <c r="O30" i="18"/>
  <c r="I36" i="18"/>
  <c r="F47" i="18"/>
  <c r="X53" i="18"/>
  <c r="I80" i="18"/>
  <c r="L21" i="18"/>
  <c r="X25" i="18"/>
  <c r="I32" i="18"/>
  <c r="O50" i="18"/>
  <c r="F77" i="18"/>
  <c r="I78" i="18"/>
  <c r="L79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F62" i="18"/>
  <c r="F66" i="18"/>
  <c r="R70" i="18"/>
  <c r="L12" i="18"/>
  <c r="X31" i="18"/>
  <c r="I67" i="18"/>
  <c r="U71" i="18"/>
  <c r="I14" i="18"/>
  <c r="R17" i="18"/>
  <c r="L23" i="18"/>
  <c r="L28" i="18"/>
  <c r="X32" i="18"/>
  <c r="F34" i="18"/>
  <c r="F42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L90" i="18"/>
  <c r="R92" i="18"/>
  <c r="X94" i="18"/>
  <c r="I97" i="18"/>
  <c r="O99" i="18"/>
  <c r="F74" i="18"/>
  <c r="I75" i="18"/>
  <c r="O87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F49" i="18"/>
  <c r="R49" i="18"/>
  <c r="I50" i="18"/>
  <c r="L51" i="18"/>
  <c r="O52" i="18"/>
  <c r="U54" i="18"/>
  <c r="X55" i="18"/>
  <c r="O56" i="18"/>
  <c r="F57" i="18"/>
  <c r="U58" i="18"/>
  <c r="L59" i="18"/>
  <c r="O60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O22" i="2"/>
  <c r="X25" i="2"/>
  <c r="F27" i="2"/>
  <c r="I28" i="2"/>
  <c r="U60" i="2"/>
  <c r="L61" i="2"/>
  <c r="F63" i="2"/>
  <c r="I64" i="2"/>
  <c r="U32" i="2"/>
  <c r="L33" i="2"/>
  <c r="O34" i="2"/>
  <c r="I36" i="2"/>
  <c r="X45" i="2"/>
  <c r="U53" i="2"/>
  <c r="I57" i="2"/>
  <c r="L58" i="2"/>
  <c r="X58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R84" i="2"/>
  <c r="U85" i="2"/>
  <c r="F88" i="2"/>
  <c r="I89" i="2"/>
  <c r="X20" i="2"/>
  <c r="F22" i="2"/>
  <c r="O25" i="2"/>
  <c r="R26" i="2"/>
  <c r="U27" i="2"/>
  <c r="X28" i="2"/>
  <c r="R30" i="2"/>
  <c r="X32" i="2"/>
  <c r="F34" i="2"/>
  <c r="L36" i="2"/>
  <c r="O37" i="2"/>
  <c r="X40" i="2"/>
  <c r="O45" i="2"/>
  <c r="I48" i="2"/>
  <c r="L49" i="2"/>
  <c r="O50" i="2"/>
  <c r="R51" i="2"/>
  <c r="I56" i="2"/>
  <c r="L57" i="2"/>
  <c r="R64" i="2"/>
  <c r="U65" i="2"/>
  <c r="F68" i="2"/>
  <c r="I69" i="2"/>
  <c r="L70" i="2"/>
  <c r="O71" i="2"/>
  <c r="R72" i="2"/>
  <c r="U73" i="2"/>
  <c r="X74" i="2"/>
  <c r="F76" i="2"/>
  <c r="I77" i="2"/>
  <c r="L78" i="2"/>
  <c r="O79" i="2"/>
  <c r="U81" i="2"/>
  <c r="X82" i="2"/>
  <c r="F84" i="2"/>
  <c r="I85" i="2"/>
  <c r="L86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L73" i="2"/>
  <c r="R75" i="2"/>
  <c r="U76" i="2"/>
  <c r="L77" i="2"/>
  <c r="X77" i="2"/>
  <c r="F79" i="2"/>
  <c r="I80" i="2"/>
  <c r="L81" i="2"/>
  <c r="O82" i="2"/>
  <c r="R83" i="2"/>
  <c r="U84" i="2"/>
  <c r="X85" i="2"/>
  <c r="I88" i="2"/>
  <c r="L89" i="2"/>
  <c r="O90" i="2"/>
  <c r="R91" i="2"/>
  <c r="I100" i="2"/>
  <c r="L92" i="2"/>
  <c r="O93" i="2"/>
  <c r="R94" i="2"/>
  <c r="F98" i="2"/>
  <c r="I99" i="2"/>
  <c r="R12" i="2"/>
  <c r="R20" i="2"/>
  <c r="O19" i="2"/>
  <c r="X6" i="2"/>
  <c r="I60" i="18"/>
  <c r="I9" i="2"/>
  <c r="F45" i="2"/>
  <c r="X47" i="2"/>
  <c r="BH53" i="2" l="1"/>
  <c r="I53" i="2"/>
  <c r="BC64" i="18"/>
  <c r="F64" i="18"/>
  <c r="O87" i="2"/>
  <c r="BW89" i="2"/>
  <c r="R89" i="2"/>
  <c r="CG29" i="18"/>
  <c r="X29" i="18"/>
  <c r="CG50" i="18"/>
  <c r="X50" i="18"/>
  <c r="BR35" i="2"/>
  <c r="O35" i="2"/>
  <c r="BR32" i="2"/>
  <c r="CA39" i="2"/>
  <c r="CB39" i="2"/>
  <c r="BR53" i="2"/>
  <c r="BH57" i="2"/>
  <c r="BV57" i="2"/>
  <c r="R57" i="2" s="1"/>
  <c r="BC60" i="2"/>
  <c r="CB66" i="2"/>
  <c r="BR72" i="2"/>
  <c r="BM79" i="2"/>
  <c r="BQ86" i="2"/>
  <c r="BR86" i="2" s="1"/>
  <c r="BC93" i="2"/>
  <c r="BM98" i="2"/>
  <c r="BR18" i="18"/>
  <c r="BQ27" i="18"/>
  <c r="O27" i="18" s="1"/>
  <c r="BR79" i="18"/>
  <c r="BV81" i="18"/>
  <c r="R81" i="18" s="1"/>
  <c r="BW81" i="18"/>
  <c r="BB94" i="2"/>
  <c r="F94" i="2" s="1"/>
  <c r="BM12" i="18"/>
  <c r="BH40" i="18"/>
  <c r="X42" i="18"/>
  <c r="CF51" i="18"/>
  <c r="X51" i="18" s="1"/>
  <c r="CG51" i="18"/>
  <c r="BC79" i="18"/>
  <c r="BQ79" i="18"/>
  <c r="O79" i="18" s="1"/>
  <c r="BR83" i="18"/>
  <c r="BG85" i="18"/>
  <c r="I85" i="18" s="1"/>
  <c r="BH89" i="18"/>
  <c r="BC91" i="18"/>
  <c r="BB91" i="18"/>
  <c r="F91" i="18" s="1"/>
  <c r="BR94" i="18"/>
  <c r="BQ94" i="18"/>
  <c r="O94" i="18" s="1"/>
  <c r="CK72" i="18"/>
  <c r="AP72" i="18" s="1"/>
  <c r="BR66" i="2"/>
  <c r="BC90" i="2"/>
  <c r="CB71" i="2"/>
  <c r="CG46" i="2"/>
  <c r="CG70" i="2"/>
  <c r="BM37" i="18"/>
  <c r="BR39" i="18"/>
  <c r="CF42" i="18"/>
  <c r="BQ71" i="18"/>
  <c r="O71" i="18" s="1"/>
  <c r="BQ78" i="18"/>
  <c r="O78" i="18" s="1"/>
  <c r="BR78" i="18"/>
  <c r="BM90" i="18"/>
  <c r="BM93" i="18"/>
  <c r="BL93" i="18"/>
  <c r="L93" i="18" s="1"/>
  <c r="I72" i="2"/>
  <c r="U52" i="2"/>
  <c r="U44" i="2"/>
  <c r="X55" i="2"/>
  <c r="BH23" i="2"/>
  <c r="BH28" i="2"/>
  <c r="BM49" i="2"/>
  <c r="BC59" i="2"/>
  <c r="BH61" i="2"/>
  <c r="CF81" i="2"/>
  <c r="X81" i="2" s="1"/>
  <c r="CG81" i="2"/>
  <c r="BQ87" i="2"/>
  <c r="CB95" i="2"/>
  <c r="BV96" i="2"/>
  <c r="R96" i="2" s="1"/>
  <c r="U95" i="2"/>
  <c r="I35" i="2"/>
  <c r="O83" i="2"/>
  <c r="F60" i="2"/>
  <c r="L21" i="2"/>
  <c r="AB72" i="18"/>
  <c r="L79" i="2"/>
  <c r="X75" i="2"/>
  <c r="BV23" i="2"/>
  <c r="R23" i="2" s="1"/>
  <c r="BR29" i="2"/>
  <c r="BL31" i="2"/>
  <c r="BM31" i="2" s="1"/>
  <c r="BH36" i="2"/>
  <c r="BQ39" i="2"/>
  <c r="O39" i="2" s="1"/>
  <c r="BM45" i="2"/>
  <c r="BR56" i="2"/>
  <c r="BM57" i="2"/>
  <c r="BM69" i="2"/>
  <c r="BM77" i="2"/>
  <c r="BH86" i="2"/>
  <c r="CG91" i="2"/>
  <c r="CA95" i="2"/>
  <c r="CG21" i="18"/>
  <c r="BR26" i="18"/>
  <c r="BL37" i="18"/>
  <c r="L37" i="18" s="1"/>
  <c r="BG54" i="18"/>
  <c r="I54" i="18" s="1"/>
  <c r="BB61" i="18"/>
  <c r="F61" i="18" s="1"/>
  <c r="CB62" i="18"/>
  <c r="CG69" i="18"/>
  <c r="CG78" i="18"/>
  <c r="BV80" i="18"/>
  <c r="R80" i="18" s="1"/>
  <c r="BC47" i="2"/>
  <c r="BB47" i="2"/>
  <c r="F47" i="2" s="1"/>
  <c r="F66" i="2"/>
  <c r="F87" i="2"/>
  <c r="I23" i="2"/>
  <c r="O42" i="2"/>
  <c r="U100" i="2"/>
  <c r="F33" i="2"/>
  <c r="I96" i="2"/>
  <c r="BR88" i="2"/>
  <c r="O88" i="2"/>
  <c r="CG18" i="18"/>
  <c r="CB24" i="18"/>
  <c r="CA24" i="18"/>
  <c r="U24" i="18" s="1"/>
  <c r="CF26" i="18"/>
  <c r="X26" i="18" s="1"/>
  <c r="CG26" i="18"/>
  <c r="BL49" i="18"/>
  <c r="L49" i="18" s="1"/>
  <c r="BB59" i="18"/>
  <c r="F59" i="18" s="1"/>
  <c r="CB89" i="18"/>
  <c r="BQ90" i="18"/>
  <c r="O90" i="18" s="1"/>
  <c r="BR90" i="18"/>
  <c r="BC99" i="18"/>
  <c r="BB99" i="18"/>
  <c r="F99" i="18" s="1"/>
  <c r="O32" i="2"/>
  <c r="BC27" i="2"/>
  <c r="BR27" i="2"/>
  <c r="BL28" i="2"/>
  <c r="L28" i="2" s="1"/>
  <c r="BH29" i="2"/>
  <c r="BM32" i="2"/>
  <c r="BH43" i="2"/>
  <c r="BC45" i="2"/>
  <c r="BM50" i="2"/>
  <c r="BM65" i="2"/>
  <c r="BR67" i="2"/>
  <c r="BW68" i="2"/>
  <c r="CB72" i="2"/>
  <c r="BW87" i="2"/>
  <c r="BM92" i="2"/>
  <c r="CF96" i="2"/>
  <c r="X96" i="2" s="1"/>
  <c r="CG96" i="2"/>
  <c r="BR59" i="18"/>
  <c r="BQ59" i="18"/>
  <c r="O59" i="18" s="1"/>
  <c r="BQ66" i="18"/>
  <c r="O66" i="18"/>
  <c r="CB85" i="18"/>
  <c r="CA89" i="18"/>
  <c r="U89" i="18" s="1"/>
  <c r="L87" i="2"/>
  <c r="I67" i="2"/>
  <c r="X10" i="18"/>
  <c r="L26" i="2"/>
  <c r="I46" i="2"/>
  <c r="BC19" i="2"/>
  <c r="CB32" i="2"/>
  <c r="BR36" i="2"/>
  <c r="CG45" i="2"/>
  <c r="BH48" i="2"/>
  <c r="BH56" i="2"/>
  <c r="CG58" i="2"/>
  <c r="BH62" i="2"/>
  <c r="BW73" i="2"/>
  <c r="BR80" i="2"/>
  <c r="BC85" i="2"/>
  <c r="BR85" i="2"/>
  <c r="BQ99" i="2"/>
  <c r="O99" i="2" s="1"/>
  <c r="BR99" i="2"/>
  <c r="BR28" i="18"/>
  <c r="BW44" i="18"/>
  <c r="CB65" i="18"/>
  <c r="CA65" i="18"/>
  <c r="U65" i="18" s="1"/>
  <c r="CA69" i="18"/>
  <c r="U69" i="18" s="1"/>
  <c r="CG81" i="18"/>
  <c r="BR85" i="18"/>
  <c r="BM24" i="2"/>
  <c r="BR28" i="2"/>
  <c r="BH34" i="2"/>
  <c r="BC37" i="2"/>
  <c r="BC41" i="2"/>
  <c r="BM60" i="2"/>
  <c r="BR61" i="2"/>
  <c r="BM84" i="2"/>
  <c r="CB41" i="2"/>
  <c r="CB45" i="2"/>
  <c r="BC27" i="18"/>
  <c r="BB27" i="18"/>
  <c r="F27" i="18" s="1"/>
  <c r="BQ28" i="18"/>
  <c r="O28" i="18" s="1"/>
  <c r="BL34" i="18"/>
  <c r="L34" i="18" s="1"/>
  <c r="BM34" i="18"/>
  <c r="BC39" i="18"/>
  <c r="BB48" i="18"/>
  <c r="BC48" i="18" s="1"/>
  <c r="BR51" i="18"/>
  <c r="O51" i="18"/>
  <c r="CB54" i="18"/>
  <c r="BW55" i="18"/>
  <c r="CG70" i="18"/>
  <c r="BC72" i="18"/>
  <c r="CF81" i="18"/>
  <c r="X81" i="18" s="1"/>
  <c r="BR19" i="2"/>
  <c r="BM36" i="2"/>
  <c r="BR38" i="2"/>
  <c r="BW67" i="2"/>
  <c r="CG72" i="2"/>
  <c r="BC79" i="2"/>
  <c r="CB79" i="2"/>
  <c r="BH80" i="2"/>
  <c r="CG83" i="2"/>
  <c r="BH89" i="2"/>
  <c r="BH94" i="2"/>
  <c r="BH97" i="2"/>
  <c r="BR98" i="2"/>
  <c r="CG98" i="2"/>
  <c r="BW53" i="2"/>
  <c r="CB34" i="2"/>
  <c r="CB50" i="2"/>
  <c r="CA25" i="18"/>
  <c r="U25" i="18" s="1"/>
  <c r="CB25" i="18"/>
  <c r="BH28" i="18"/>
  <c r="BH36" i="18"/>
  <c r="BR38" i="18"/>
  <c r="BM41" i="18"/>
  <c r="BL41" i="18"/>
  <c r="L41" i="18" s="1"/>
  <c r="BW52" i="18"/>
  <c r="BL53" i="18"/>
  <c r="L53" i="18" s="1"/>
  <c r="BM53" i="18"/>
  <c r="BR61" i="18"/>
  <c r="CB61" i="18"/>
  <c r="BW68" i="18"/>
  <c r="BM73" i="18"/>
  <c r="CB84" i="18"/>
  <c r="BW87" i="18"/>
  <c r="BV87" i="18"/>
  <c r="R87" i="18" s="1"/>
  <c r="BH100" i="18"/>
  <c r="BG100" i="18"/>
  <c r="I100" i="18" s="1"/>
  <c r="AZ7" i="18"/>
  <c r="A7" i="18" s="1"/>
  <c r="AX7" i="12" s="1"/>
  <c r="BC95" i="18"/>
  <c r="BH96" i="18"/>
  <c r="AZ3" i="2"/>
  <c r="A3" i="2" s="1"/>
  <c r="AW3" i="12" s="1"/>
  <c r="AZ3" i="18"/>
  <c r="A3" i="18" s="1"/>
  <c r="AX3" i="12" s="1"/>
  <c r="AZ5" i="18"/>
  <c r="A5" i="18" s="1"/>
  <c r="AX5" i="12" s="1"/>
  <c r="AZ5" i="2"/>
  <c r="A5" i="2" s="1"/>
  <c r="AW5" i="12" s="1"/>
  <c r="AZ4" i="2"/>
  <c r="A4" i="2" s="1"/>
  <c r="AW4" i="12" s="1"/>
  <c r="AZ4" i="18"/>
  <c r="A4" i="18" s="1"/>
  <c r="AX4" i="12" s="1"/>
  <c r="BR22" i="2"/>
  <c r="BC58" i="2"/>
  <c r="BM74" i="2"/>
  <c r="BH91" i="2"/>
  <c r="BW95" i="2"/>
  <c r="BR96" i="2"/>
  <c r="BM97" i="2"/>
  <c r="BM100" i="2"/>
  <c r="CG25" i="18"/>
  <c r="BH42" i="18"/>
  <c r="CG42" i="18"/>
  <c r="BQ48" i="18"/>
  <c r="O48" i="18" s="1"/>
  <c r="BR48" i="18"/>
  <c r="CA50" i="18"/>
  <c r="U50" i="18" s="1"/>
  <c r="BC52" i="18"/>
  <c r="CG54" i="18"/>
  <c r="BW62" i="18"/>
  <c r="CF62" i="18"/>
  <c r="X62" i="18" s="1"/>
  <c r="BH67" i="18"/>
  <c r="BH77" i="18"/>
  <c r="BH78" i="18"/>
  <c r="BW78" i="18"/>
  <c r="BR82" i="18"/>
  <c r="BH84" i="18"/>
  <c r="BG84" i="18"/>
  <c r="I84" i="18" s="1"/>
  <c r="AZ10" i="18"/>
  <c r="A10" i="18" s="1"/>
  <c r="AX10" i="12" s="1"/>
  <c r="BC34" i="18"/>
  <c r="CB40" i="18"/>
  <c r="CA40" i="18"/>
  <c r="U40" i="18" s="1"/>
  <c r="BC44" i="18"/>
  <c r="BH49" i="18"/>
  <c r="BW65" i="18"/>
  <c r="BQ70" i="18"/>
  <c r="O70" i="18" s="1"/>
  <c r="BR75" i="18"/>
  <c r="CF83" i="18"/>
  <c r="X83" i="18" s="1"/>
  <c r="CB87" i="18"/>
  <c r="CB88" i="18"/>
  <c r="BW91" i="18"/>
  <c r="BV95" i="18"/>
  <c r="R95" i="18" s="1"/>
  <c r="BM47" i="18"/>
  <c r="BW20" i="2"/>
  <c r="BW30" i="2"/>
  <c r="BC32" i="2"/>
  <c r="BR62" i="2"/>
  <c r="BR64" i="2"/>
  <c r="CB74" i="2"/>
  <c r="BR77" i="2"/>
  <c r="BC80" i="2"/>
  <c r="BM87" i="2"/>
  <c r="BH21" i="18"/>
  <c r="BB28" i="18"/>
  <c r="F28" i="18" s="1"/>
  <c r="BC28" i="18"/>
  <c r="CB32" i="18"/>
  <c r="CA33" i="18"/>
  <c r="U33" i="18" s="1"/>
  <c r="CB33" i="18"/>
  <c r="BR34" i="18"/>
  <c r="CB36" i="18"/>
  <c r="CG37" i="18"/>
  <c r="CB55" i="18"/>
  <c r="BV58" i="18"/>
  <c r="R58" i="18" s="1"/>
  <c r="BW60" i="18"/>
  <c r="BW61" i="18"/>
  <c r="CB66" i="18"/>
  <c r="CB68" i="18"/>
  <c r="BG69" i="18"/>
  <c r="I69" i="18" s="1"/>
  <c r="BH73" i="18"/>
  <c r="BM78" i="18"/>
  <c r="BL78" i="18"/>
  <c r="L78" i="18" s="1"/>
  <c r="BV83" i="18"/>
  <c r="R83" i="18" s="1"/>
  <c r="BW83" i="18"/>
  <c r="BQ88" i="18"/>
  <c r="O88" i="18" s="1"/>
  <c r="CK88" i="18" s="1"/>
  <c r="AP88" i="18" s="1"/>
  <c r="CB100" i="18"/>
  <c r="AZ6" i="2"/>
  <c r="A6" i="2" s="1"/>
  <c r="AW6" i="12" s="1"/>
  <c r="BC82" i="2"/>
  <c r="BC88" i="2"/>
  <c r="CB92" i="2"/>
  <c r="BR15" i="18"/>
  <c r="BC19" i="18"/>
  <c r="BH20" i="18"/>
  <c r="BW39" i="18"/>
  <c r="BW51" i="18"/>
  <c r="BC57" i="18"/>
  <c r="BM62" i="18"/>
  <c r="CB72" i="18"/>
  <c r="BC76" i="18"/>
  <c r="CG77" i="18"/>
  <c r="CG56" i="2"/>
  <c r="CG80" i="2"/>
  <c r="BM14" i="18"/>
  <c r="BM21" i="18"/>
  <c r="BW27" i="18"/>
  <c r="BM29" i="18"/>
  <c r="BR30" i="18"/>
  <c r="BR31" i="18"/>
  <c r="BR43" i="18"/>
  <c r="BH45" i="18"/>
  <c r="BH48" i="18"/>
  <c r="BH60" i="18"/>
  <c r="BW64" i="18"/>
  <c r="BC75" i="18"/>
  <c r="BM77" i="18"/>
  <c r="BW79" i="18"/>
  <c r="BR91" i="18"/>
  <c r="BH92" i="18"/>
  <c r="CG94" i="18"/>
  <c r="CB96" i="18"/>
  <c r="BR98" i="18"/>
  <c r="BM48" i="2"/>
  <c r="BM53" i="2"/>
  <c r="BR63" i="2"/>
  <c r="BH69" i="2"/>
  <c r="BR69" i="2"/>
  <c r="BM73" i="2"/>
  <c r="BR78" i="2"/>
  <c r="BH81" i="2"/>
  <c r="BM89" i="2"/>
  <c r="BC17" i="18"/>
  <c r="BR23" i="18"/>
  <c r="BW31" i="18"/>
  <c r="CG33" i="18"/>
  <c r="BH37" i="18"/>
  <c r="BH57" i="18"/>
  <c r="BC68" i="18"/>
  <c r="BR87" i="18"/>
  <c r="BW88" i="18"/>
  <c r="CG97" i="18"/>
  <c r="BW99" i="18"/>
  <c r="L19" i="2"/>
  <c r="BM19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I27" i="18"/>
  <c r="BH27" i="18"/>
  <c r="BQ29" i="18"/>
  <c r="BR29" i="18" s="1"/>
  <c r="CF30" i="18"/>
  <c r="CG30" i="18" s="1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 s="1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BQ54" i="18"/>
  <c r="O54" i="18" s="1"/>
  <c r="CK24" i="18"/>
  <c r="AP24" i="18" s="1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 s="1"/>
  <c r="AB28" i="18" s="1"/>
  <c r="BW2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BH18" i="18"/>
  <c r="CG19" i="18"/>
  <c r="CF28" i="18"/>
  <c r="X28" i="18" s="1"/>
  <c r="BB30" i="18"/>
  <c r="F30" i="18" s="1"/>
  <c r="BH31" i="18"/>
  <c r="BG31" i="18"/>
  <c r="I31" i="18" s="1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Q33" i="18"/>
  <c r="O33" i="18" s="1"/>
  <c r="BV34" i="18"/>
  <c r="R34" i="18" s="1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A48" i="18"/>
  <c r="U48" i="18" s="1"/>
  <c r="BW53" i="18"/>
  <c r="BV53" i="18"/>
  <c r="R53" i="18" s="1"/>
  <c r="CG55" i="18"/>
  <c r="CF58" i="18"/>
  <c r="X58" i="18" s="1"/>
  <c r="BG63" i="18"/>
  <c r="I63" i="18" s="1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BW36" i="18"/>
  <c r="CF36" i="18"/>
  <c r="X36" i="18" s="1"/>
  <c r="BQ37" i="18"/>
  <c r="O37" i="18" s="1"/>
  <c r="CB37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V47" i="18"/>
  <c r="R47" i="18" s="1"/>
  <c r="CK47" i="18" s="1"/>
  <c r="AP47" i="18" s="1"/>
  <c r="BB54" i="18"/>
  <c r="F54" i="18" s="1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F40" i="18"/>
  <c r="X40" i="18" s="1"/>
  <c r="BH41" i="18"/>
  <c r="BQ41" i="18"/>
  <c r="O41" i="18" s="1"/>
  <c r="BV43" i="18"/>
  <c r="R43" i="18" s="1"/>
  <c r="BB53" i="18"/>
  <c r="F53" i="18" s="1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F68" i="18"/>
  <c r="X68" i="18" s="1"/>
  <c r="AB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F59" i="18"/>
  <c r="X59" i="18" s="1"/>
  <c r="BM61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BC63" i="18"/>
  <c r="BV63" i="18"/>
  <c r="R63" i="18" s="1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F71" i="18"/>
  <c r="X71" i="18" s="1"/>
  <c r="CA82" i="18"/>
  <c r="U82" i="18" s="1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BC46" i="18"/>
  <c r="BW46" i="18"/>
  <c r="CG46" i="18"/>
  <c r="CA53" i="18"/>
  <c r="U53" i="18" s="1"/>
  <c r="BW54" i="18"/>
  <c r="BG55" i="18"/>
  <c r="I55" i="18" s="1"/>
  <c r="BV57" i="18"/>
  <c r="R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Q84" i="18"/>
  <c r="O84" i="18" s="1"/>
  <c r="CK84" i="18" s="1"/>
  <c r="AP84" i="18" s="1"/>
  <c r="BH61" i="18"/>
  <c r="BR63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BV50" i="18"/>
  <c r="R50" i="18" s="1"/>
  <c r="CA51" i="18"/>
  <c r="U51" i="18" s="1"/>
  <c r="BL55" i="18"/>
  <c r="L55" i="18" s="1"/>
  <c r="BB56" i="18"/>
  <c r="F56" i="18" s="1"/>
  <c r="BQ62" i="18"/>
  <c r="O62" i="18" s="1"/>
  <c r="CA64" i="18"/>
  <c r="U64" i="18" s="1"/>
  <c r="BL66" i="18"/>
  <c r="L66" i="18" s="1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A86" i="18"/>
  <c r="U86" i="18" s="1"/>
  <c r="BC90" i="18"/>
  <c r="BV90" i="18"/>
  <c r="R90" i="18" s="1"/>
  <c r="CB91" i="18"/>
  <c r="BC92" i="18"/>
  <c r="CG92" i="18"/>
  <c r="BC94" i="18"/>
  <c r="BR95" i="18"/>
  <c r="BG53" i="18"/>
  <c r="I53" i="18" s="1"/>
  <c r="CG53" i="18"/>
  <c r="CA57" i="18"/>
  <c r="U57" i="18" s="1"/>
  <c r="BR58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CB21" i="2"/>
  <c r="BL25" i="2"/>
  <c r="L25" i="2" s="1"/>
  <c r="BG26" i="2"/>
  <c r="I26" i="2" s="1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BL34" i="2"/>
  <c r="L34" i="2" s="1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V32" i="2"/>
  <c r="R32" i="2" s="1"/>
  <c r="CG35" i="2"/>
  <c r="BR40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B78" i="2"/>
  <c r="BC78" i="2" s="1"/>
  <c r="CA86" i="2"/>
  <c r="CB86" i="2" s="1"/>
  <c r="BG87" i="2"/>
  <c r="I87" i="2" s="1"/>
  <c r="BB96" i="2"/>
  <c r="F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L82" i="2"/>
  <c r="L82" i="2" s="1"/>
  <c r="BH83" i="2"/>
  <c r="BG95" i="2"/>
  <c r="BH95" i="2" s="1"/>
  <c r="CF76" i="2"/>
  <c r="X76" i="2" s="1"/>
  <c r="BW55" i="2"/>
  <c r="BG59" i="2"/>
  <c r="I59" i="2" s="1"/>
  <c r="BB62" i="2"/>
  <c r="F62" i="2" s="1"/>
  <c r="BC75" i="2"/>
  <c r="BL83" i="2"/>
  <c r="BM83" i="2" s="1"/>
  <c r="BG84" i="2"/>
  <c r="I84" i="2" s="1"/>
  <c r="BQ91" i="2"/>
  <c r="O91" i="2" s="1"/>
  <c r="BL93" i="2"/>
  <c r="L93" i="2" s="1"/>
  <c r="CF94" i="2"/>
  <c r="X94" i="2" s="1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W50" i="2" s="1"/>
  <c r="BC52" i="2"/>
  <c r="BB55" i="2"/>
  <c r="F55" i="2" s="1"/>
  <c r="BL55" i="2"/>
  <c r="BM55" i="2" s="1"/>
  <c r="BV58" i="2"/>
  <c r="BW58" i="2" s="1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F97" i="2"/>
  <c r="X97" i="2" s="1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CG19" i="2" s="1"/>
  <c r="BB21" i="2"/>
  <c r="BC21" i="2" s="1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R41" i="2" s="1"/>
  <c r="BL43" i="2"/>
  <c r="L43" i="2" s="1"/>
  <c r="CF44" i="2"/>
  <c r="CG44" i="2" s="1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B73" i="2"/>
  <c r="F73" i="2" s="1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F56" i="2" s="1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V82" i="2"/>
  <c r="BW82" i="2" s="1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F79" i="2"/>
  <c r="CG79" i="2" s="1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R71" i="2" s="1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B99" i="2"/>
  <c r="F99" i="2" s="1"/>
  <c r="BH55" i="2"/>
  <c r="CB59" i="2"/>
  <c r="BH63" i="2"/>
  <c r="CF63" i="2"/>
  <c r="CG63" i="2" s="1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V85" i="2"/>
  <c r="BW85" i="2" s="1"/>
  <c r="CG85" i="2"/>
  <c r="BL88" i="2"/>
  <c r="BG90" i="2"/>
  <c r="BH90" i="2" s="1"/>
  <c r="BR90" i="2"/>
  <c r="CF92" i="2"/>
  <c r="X92" i="2" s="1"/>
  <c r="CA94" i="2"/>
  <c r="U94" i="2" s="1"/>
  <c r="AB94" i="2" s="1"/>
  <c r="BQ97" i="2"/>
  <c r="O97" i="2" s="1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F3" i="2"/>
  <c r="AB42" i="2"/>
  <c r="F25" i="2"/>
  <c r="I66" i="2"/>
  <c r="U66" i="2"/>
  <c r="F75" i="2"/>
  <c r="O46" i="2"/>
  <c r="F51" i="2"/>
  <c r="U90" i="2"/>
  <c r="R4" i="2"/>
  <c r="I58" i="2"/>
  <c r="I74" i="2"/>
  <c r="U99" i="2"/>
  <c r="F11" i="2"/>
  <c r="R22" i="2"/>
  <c r="R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X29" i="2"/>
  <c r="I30" i="2"/>
  <c r="R38" i="2"/>
  <c r="U54" i="2"/>
  <c r="O78" i="2"/>
  <c r="F86" i="2"/>
  <c r="U86" i="2"/>
  <c r="L88" i="2"/>
  <c r="R98" i="2"/>
  <c r="X16" i="2"/>
  <c r="I22" i="2"/>
  <c r="U35" i="2"/>
  <c r="L67" i="2"/>
  <c r="O86" i="2"/>
  <c r="O33" i="2"/>
  <c r="R47" i="2"/>
  <c r="I52" i="2"/>
  <c r="O60" i="2"/>
  <c r="R61" i="2"/>
  <c r="U62" i="2"/>
  <c r="F67" i="2"/>
  <c r="L91" i="2"/>
  <c r="R39" i="2"/>
  <c r="I44" i="2"/>
  <c r="O76" i="2"/>
  <c r="R77" i="2"/>
  <c r="I78" i="2"/>
  <c r="R87" i="2"/>
  <c r="X41" i="2"/>
  <c r="X99" i="2"/>
  <c r="X100" i="2"/>
  <c r="X36" i="2"/>
  <c r="F78" i="2"/>
  <c r="L85" i="2"/>
  <c r="R85" i="2"/>
  <c r="I86" i="2"/>
  <c r="R95" i="2"/>
  <c r="I31" i="2"/>
  <c r="O38" i="2"/>
  <c r="F43" i="2"/>
  <c r="U45" i="2"/>
  <c r="X46" i="2"/>
  <c r="I49" i="2"/>
  <c r="L50" i="2"/>
  <c r="O51" i="2"/>
  <c r="R52" i="2"/>
  <c r="U55" i="2"/>
  <c r="R58" i="2"/>
  <c r="U59" i="2"/>
  <c r="L95" i="2"/>
  <c r="L83" i="2"/>
  <c r="X87" i="2"/>
  <c r="F97" i="2"/>
  <c r="L40" i="2"/>
  <c r="R42" i="2"/>
  <c r="CK42" i="2" s="1"/>
  <c r="AP42" i="2" s="1"/>
  <c r="U43" i="2"/>
  <c r="X44" i="2"/>
  <c r="F46" i="2"/>
  <c r="L48" i="2"/>
  <c r="O49" i="2"/>
  <c r="R50" i="2"/>
  <c r="U51" i="2"/>
  <c r="X52" i="2"/>
  <c r="U56" i="2"/>
  <c r="O57" i="2"/>
  <c r="F59" i="2"/>
  <c r="L59" i="2"/>
  <c r="X60" i="2"/>
  <c r="O65" i="2"/>
  <c r="U72" i="2"/>
  <c r="AB72" i="2" s="1"/>
  <c r="R74" i="2"/>
  <c r="R82" i="2"/>
  <c r="F89" i="2"/>
  <c r="I98" i="2"/>
  <c r="U75" i="2"/>
  <c r="U83" i="2"/>
  <c r="BC2" i="2"/>
  <c r="O23" i="2"/>
  <c r="X2" i="2"/>
  <c r="CB2" i="2"/>
  <c r="U2" i="2"/>
  <c r="O3" i="2"/>
  <c r="BL2" i="2"/>
  <c r="L2" i="2" s="1"/>
  <c r="A2" i="12" a="1"/>
  <c r="BR21" i="18" l="1"/>
  <c r="BM48" i="18"/>
  <c r="CK96" i="2"/>
  <c r="AP96" i="2" s="1"/>
  <c r="BH21" i="2"/>
  <c r="CG52" i="18"/>
  <c r="CG68" i="18"/>
  <c r="CK40" i="18"/>
  <c r="AP40" i="18" s="1"/>
  <c r="BW47" i="18"/>
  <c r="BC38" i="18"/>
  <c r="CG58" i="18"/>
  <c r="F48" i="18"/>
  <c r="CK48" i="18" s="1"/>
  <c r="AP48" i="18" s="1"/>
  <c r="BH54" i="18"/>
  <c r="BR71" i="18"/>
  <c r="L99" i="2"/>
  <c r="O84" i="2"/>
  <c r="AB62" i="2"/>
  <c r="X38" i="2"/>
  <c r="F21" i="2"/>
  <c r="U58" i="2"/>
  <c r="L15" i="2"/>
  <c r="CB94" i="2"/>
  <c r="BR97" i="2"/>
  <c r="BW71" i="2"/>
  <c r="CB46" i="2"/>
  <c r="CG62" i="2"/>
  <c r="BR94" i="2"/>
  <c r="BH41" i="2"/>
  <c r="BW98" i="18"/>
  <c r="BW66" i="18"/>
  <c r="AB50" i="18"/>
  <c r="BM67" i="18"/>
  <c r="BM83" i="18"/>
  <c r="AB45" i="18"/>
  <c r="CG71" i="18"/>
  <c r="BR64" i="18"/>
  <c r="AB58" i="18"/>
  <c r="CG59" i="18"/>
  <c r="BM58" i="18"/>
  <c r="CG49" i="18"/>
  <c r="BR40" i="18"/>
  <c r="X30" i="18"/>
  <c r="F55" i="18"/>
  <c r="BW95" i="18"/>
  <c r="BR70" i="18"/>
  <c r="AB88" i="18"/>
  <c r="BW80" i="18"/>
  <c r="AB28" i="2"/>
  <c r="X79" i="2"/>
  <c r="AB85" i="2"/>
  <c r="X24" i="2"/>
  <c r="AB27" i="2"/>
  <c r="BC56" i="2"/>
  <c r="BC73" i="2"/>
  <c r="BR48" i="2"/>
  <c r="CG97" i="2"/>
  <c r="AB84" i="2"/>
  <c r="BR43" i="2"/>
  <c r="CK57" i="2"/>
  <c r="AP57" i="2" s="1"/>
  <c r="O92" i="2"/>
  <c r="CK92" i="2" s="1"/>
  <c r="AP92" i="2" s="1"/>
  <c r="AB77" i="2"/>
  <c r="CK28" i="2"/>
  <c r="AP28" i="2" s="1"/>
  <c r="AB87" i="2"/>
  <c r="BM29" i="2"/>
  <c r="BR21" i="2"/>
  <c r="CB97" i="18"/>
  <c r="CK49" i="18"/>
  <c r="AP49" i="18" s="1"/>
  <c r="AB57" i="18"/>
  <c r="BM55" i="18"/>
  <c r="O29" i="18"/>
  <c r="AB29" i="18" s="1"/>
  <c r="BW58" i="18"/>
  <c r="BH69" i="18"/>
  <c r="CG62" i="18"/>
  <c r="BW23" i="2"/>
  <c r="BH85" i="18"/>
  <c r="BW57" i="2"/>
  <c r="CK68" i="18"/>
  <c r="AP68" i="18" s="1"/>
  <c r="BH26" i="2"/>
  <c r="BC59" i="18"/>
  <c r="CK76" i="2"/>
  <c r="AP76" i="2" s="1"/>
  <c r="CK60" i="2"/>
  <c r="AP60" i="2" s="1"/>
  <c r="R36" i="2"/>
  <c r="BC65" i="18"/>
  <c r="CB86" i="18"/>
  <c r="CK62" i="18"/>
  <c r="AP62" i="18" s="1"/>
  <c r="CG27" i="18"/>
  <c r="X63" i="2"/>
  <c r="U30" i="2"/>
  <c r="F65" i="2"/>
  <c r="CK27" i="2"/>
  <c r="AP27" i="2" s="1"/>
  <c r="CK94" i="2"/>
  <c r="AP94" i="2" s="1"/>
  <c r="BM82" i="2"/>
  <c r="BR24" i="2"/>
  <c r="BH93" i="18"/>
  <c r="CB57" i="18"/>
  <c r="BR84" i="18"/>
  <c r="BC73" i="18"/>
  <c r="BC54" i="18"/>
  <c r="CK36" i="18"/>
  <c r="AP36" i="18" s="1"/>
  <c r="CG65" i="18"/>
  <c r="CB48" i="18"/>
  <c r="BM27" i="18"/>
  <c r="BC14" i="18"/>
  <c r="BR24" i="18"/>
  <c r="BM32" i="18"/>
  <c r="CG83" i="18"/>
  <c r="CB69" i="18"/>
  <c r="BC99" i="2"/>
  <c r="BC62" i="2"/>
  <c r="CB36" i="2"/>
  <c r="BH90" i="18"/>
  <c r="CK46" i="18"/>
  <c r="AP46" i="18" s="1"/>
  <c r="R63" i="2"/>
  <c r="CK63" i="2" s="1"/>
  <c r="AP63" i="2" s="1"/>
  <c r="O41" i="2"/>
  <c r="F48" i="2"/>
  <c r="X95" i="2"/>
  <c r="I95" i="2"/>
  <c r="AB95" i="2" s="1"/>
  <c r="F15" i="2"/>
  <c r="AB15" i="2" s="1"/>
  <c r="BW28" i="2"/>
  <c r="CB82" i="18"/>
  <c r="CB64" i="18"/>
  <c r="BH22" i="18"/>
  <c r="I52" i="18"/>
  <c r="BR88" i="18"/>
  <c r="CB50" i="18"/>
  <c r="BM49" i="18"/>
  <c r="BC61" i="18"/>
  <c r="L31" i="2"/>
  <c r="BR27" i="18"/>
  <c r="AB19" i="18"/>
  <c r="L9" i="2"/>
  <c r="O6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CK34" i="2" s="1"/>
  <c r="AP34" i="2" s="1"/>
  <c r="L23" i="2"/>
  <c r="CK23" i="2" s="1"/>
  <c r="AP23" i="2" s="1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F38" i="2"/>
  <c r="AB38" i="2" s="1"/>
  <c r="U26" i="2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8" i="2"/>
  <c r="AP38" i="2" s="1"/>
  <c r="AB66" i="2"/>
  <c r="CK66" i="2"/>
  <c r="AP66" i="2" s="1"/>
  <c r="CK73" i="2"/>
  <c r="AP73" i="2" s="1"/>
  <c r="AB73" i="2"/>
  <c r="AB99" i="2"/>
  <c r="CK99" i="2"/>
  <c r="AP99" i="2" s="1"/>
  <c r="CK95" i="2"/>
  <c r="AP95" i="2" s="1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BS1" i="2"/>
  <c r="BO1" i="2"/>
  <c r="AB2" i="2"/>
  <c r="CK2" i="2"/>
  <c r="AP2" i="2" s="1"/>
  <c r="BM2" i="2"/>
  <c r="AB23" i="2" l="1"/>
  <c r="AB9" i="2"/>
  <c r="AB11" i="2"/>
  <c r="CK26" i="2"/>
  <c r="AP26" i="2" s="1"/>
  <c r="AB63" i="2"/>
  <c r="AB92" i="2"/>
  <c r="AB4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3" i="12" a="1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/>
  <c r="X1" i="2" l="1"/>
  <c r="CG1" i="2" s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D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AH8" i="12"/>
  <c r="J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V8" i="12"/>
  <c r="N8" i="12"/>
  <c r="S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I10" i="12" l="1"/>
  <c r="J10" i="12"/>
  <c r="AD10" i="12"/>
  <c r="R10" i="12" s="1"/>
  <c r="AG10" i="12"/>
  <c r="AF10" i="12"/>
  <c r="AQ10" i="12"/>
  <c r="AR10" i="12"/>
  <c r="AN10" i="12"/>
  <c r="AS10" i="12"/>
  <c r="AC10" i="12"/>
  <c r="E10" i="12"/>
  <c r="F10" i="12" s="1"/>
  <c r="Z10" i="12"/>
  <c r="AH10" i="12"/>
  <c r="AA10" i="12"/>
  <c r="AE10" i="12"/>
  <c r="AM10" i="12"/>
  <c r="AB10" i="12"/>
  <c r="AO10" i="12"/>
  <c r="Y10" i="12"/>
  <c r="AK10" i="12"/>
  <c r="AT10" i="12"/>
  <c r="C10" i="12"/>
  <c r="AL10" i="12"/>
  <c r="D10" i="12"/>
  <c r="S10" i="12" l="1"/>
  <c r="U10" i="12"/>
  <c r="T10" i="12"/>
  <c r="Q10" i="12"/>
  <c r="P10" i="12"/>
  <c r="V10" i="12"/>
  <c r="N10" i="12"/>
  <c r="W10" i="12" s="1"/>
  <c r="G10" i="12"/>
  <c r="H10" i="12" s="1"/>
  <c r="O10" i="12"/>
  <c r="AI10" i="12"/>
  <c r="M10" i="12"/>
  <c r="AU10" i="12"/>
  <c r="A11" i="12" a="1"/>
  <c r="A11" i="12" l="1"/>
  <c r="K11" i="12" l="1"/>
  <c r="L11" i="12" s="1"/>
  <c r="B11" i="12"/>
  <c r="AM11" i="12" s="1"/>
  <c r="AT11" i="12" l="1"/>
  <c r="E11" i="12"/>
  <c r="F11" i="12" s="1"/>
  <c r="AG11" i="12"/>
  <c r="Y11" i="12"/>
  <c r="AO11" i="12"/>
  <c r="AF11" i="12"/>
  <c r="AS11" i="12"/>
  <c r="AR11" i="12"/>
  <c r="AL11" i="12"/>
  <c r="AD11" i="12"/>
  <c r="AA11" i="12"/>
  <c r="O11" i="12" s="1"/>
  <c r="AQ11" i="12"/>
  <c r="Z11" i="12"/>
  <c r="AN11" i="12"/>
  <c r="AK11" i="12"/>
  <c r="J11" i="12"/>
  <c r="AH11" i="12"/>
  <c r="V11" i="12" s="1"/>
  <c r="AB11" i="12"/>
  <c r="I11" i="12"/>
  <c r="AE11" i="12"/>
  <c r="AP11" i="12"/>
  <c r="C11" i="12"/>
  <c r="D11" i="12"/>
  <c r="AC11" i="12"/>
  <c r="A12" i="12" a="1"/>
  <c r="Q11" i="12" l="1"/>
  <c r="G11" i="12"/>
  <c r="H11" i="12" s="1"/>
  <c r="U11" i="12"/>
  <c r="T11" i="12"/>
  <c r="S11" i="12"/>
  <c r="R11" i="12"/>
  <c r="P11" i="12"/>
  <c r="AI11" i="12"/>
  <c r="AU11" i="12"/>
  <c r="N11" i="12"/>
  <c r="M11" i="12"/>
  <c r="A12" i="12"/>
  <c r="W11" i="12" l="1"/>
  <c r="B12" i="12"/>
  <c r="AO12" i="12" s="1"/>
  <c r="K12" i="12"/>
  <c r="L12" i="12" s="1"/>
  <c r="AD12" i="12" l="1"/>
  <c r="AP12" i="12"/>
  <c r="AG12" i="12"/>
  <c r="AM12" i="12"/>
  <c r="AT12" i="12"/>
  <c r="AS12" i="12"/>
  <c r="AK12" i="12"/>
  <c r="J12" i="12"/>
  <c r="D12" i="12"/>
  <c r="AQ12" i="12"/>
  <c r="AE12" i="12"/>
  <c r="AA12" i="12"/>
  <c r="Z12" i="12"/>
  <c r="Y12" i="12"/>
  <c r="AC12" i="12"/>
  <c r="Q12" i="12" s="1"/>
  <c r="C12" i="12"/>
  <c r="AF12" i="12"/>
  <c r="AR12" i="12"/>
  <c r="E12" i="12"/>
  <c r="AL12" i="12"/>
  <c r="AN12" i="12"/>
  <c r="AB12" i="12"/>
  <c r="I12" i="12"/>
  <c r="AH12" i="12"/>
  <c r="A13" i="12" a="1"/>
  <c r="U12" i="12" l="1"/>
  <c r="O12" i="12"/>
  <c r="R12" i="12"/>
  <c r="M12" i="12"/>
  <c r="V12" i="12"/>
  <c r="S12" i="12"/>
  <c r="P12" i="12"/>
  <c r="AU12" i="12"/>
  <c r="T12" i="12"/>
  <c r="N12" i="12"/>
  <c r="G12" i="12"/>
  <c r="F12" i="12"/>
  <c r="AI12" i="12"/>
  <c r="A13" i="12"/>
  <c r="W12" i="12"/>
  <c r="H12" i="12" l="1"/>
  <c r="AN13" i="12"/>
  <c r="L13" i="12"/>
  <c r="K13" i="12"/>
  <c r="C13" i="12"/>
  <c r="AH13" i="12"/>
  <c r="AT13" i="12"/>
  <c r="AO13" i="12"/>
  <c r="AL13" i="12"/>
  <c r="I13" i="12"/>
  <c r="B13" i="12"/>
  <c r="AM13" i="12"/>
  <c r="AB13" i="12"/>
  <c r="P13" i="12" s="1"/>
  <c r="D13" i="12"/>
  <c r="AD13" i="12"/>
  <c r="AF13" i="12"/>
  <c r="T13" i="12" s="1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N13" i="12" l="1"/>
  <c r="U13" i="12"/>
  <c r="S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N14" i="12" l="1"/>
  <c r="P14" i="12"/>
  <c r="R14" i="12"/>
  <c r="V14" i="12"/>
  <c r="S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T16" i="12" s="1"/>
  <c r="AM16" i="12"/>
  <c r="AD16" i="12"/>
  <c r="AK16" i="12"/>
  <c r="I16" i="12"/>
  <c r="AN16" i="12"/>
  <c r="E16" i="12"/>
  <c r="AH16" i="12"/>
  <c r="V16" i="12" s="1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R16" i="12" l="1"/>
  <c r="P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V17" i="12" s="1"/>
  <c r="AE17" i="12"/>
  <c r="S17" i="12" s="1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T17" i="12" l="1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N18" i="12" s="1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V18" i="12" l="1"/>
  <c r="R18" i="12"/>
  <c r="T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R19" i="12" s="1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S19" i="12" l="1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P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O21" i="12" s="1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O22" i="12" s="1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N22" i="12" l="1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U26" i="12" s="1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R27" i="12" s="1"/>
  <c r="AG27" i="12"/>
  <c r="AS27" i="12"/>
  <c r="AH27" i="12"/>
  <c r="E27" i="12"/>
  <c r="AB27" i="12"/>
  <c r="AO27" i="12"/>
  <c r="A28" i="12" a="1"/>
  <c r="U27" i="12" l="1"/>
  <c r="Q27" i="12"/>
  <c r="T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V28" i="12" s="1"/>
  <c r="A29" i="12" a="1"/>
  <c r="U28" i="12" l="1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O29" i="12" s="1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P29" i="12" s="1"/>
  <c r="AR29" i="12"/>
  <c r="AT29" i="12"/>
  <c r="A30" i="12" a="1"/>
  <c r="Q29" i="12" l="1"/>
  <c r="R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N30" i="12" s="1"/>
  <c r="AG30" i="12"/>
  <c r="D30" i="12"/>
  <c r="AQ30" i="12"/>
  <c r="AR30" i="12"/>
  <c r="J30" i="12"/>
  <c r="A31" i="12" a="1"/>
  <c r="O30" i="12" l="1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O31" i="12" s="1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Q31" i="12" s="1"/>
  <c r="J31" i="12"/>
  <c r="AT31" i="12"/>
  <c r="AQ31" i="12"/>
  <c r="A32" i="12" a="1"/>
  <c r="S31" i="12" l="1"/>
  <c r="U31" i="12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U32" i="12" s="1"/>
  <c r="Z32" i="12"/>
  <c r="AM32" i="12"/>
  <c r="L32" i="12"/>
  <c r="AO32" i="12"/>
  <c r="AP32" i="12"/>
  <c r="A33" i="12" a="1"/>
  <c r="N32" i="12" l="1"/>
  <c r="P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N33" i="12" s="1"/>
  <c r="AB33" i="12"/>
  <c r="AA33" i="12"/>
  <c r="AF33" i="12"/>
  <c r="AP33" i="12"/>
  <c r="B33" i="12"/>
  <c r="AH33" i="12"/>
  <c r="V33" i="12" s="1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Q34" i="12" s="1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O34" i="12" l="1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P35" i="12" s="1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O35" i="12" s="1"/>
  <c r="A36" i="12" a="1"/>
  <c r="V35" i="12" l="1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V36" i="12" s="1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Q36" i="12" l="1"/>
  <c r="R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P38" i="12" l="1"/>
  <c r="N38" i="12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N40" i="12" s="1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U40" i="12" l="1"/>
  <c r="P40" i="12"/>
  <c r="Q40" i="12"/>
  <c r="V40" i="12"/>
  <c r="O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V41" i="12" s="1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T41" i="12" l="1"/>
  <c r="N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S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R44" i="12" s="1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Q44" i="12" l="1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V45" i="12" s="1"/>
  <c r="AS45" i="12"/>
  <c r="AF45" i="12"/>
  <c r="AO45" i="12"/>
  <c r="AQ45" i="12"/>
  <c r="E45" i="12"/>
  <c r="Y45" i="12"/>
  <c r="AT45" i="12"/>
  <c r="K45" i="12"/>
  <c r="AE45" i="12"/>
  <c r="AB45" i="12"/>
  <c r="P45" i="12" s="1"/>
  <c r="J45" i="12"/>
  <c r="AK45" i="12"/>
  <c r="Z45" i="12"/>
  <c r="AR45" i="12"/>
  <c r="AM45" i="12"/>
  <c r="AP45" i="12"/>
  <c r="AG45" i="12"/>
  <c r="A46" i="12" a="1"/>
  <c r="T45" i="12" l="1"/>
  <c r="U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U46" i="12" s="1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P46" i="12" l="1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Q47" i="12" l="1"/>
  <c r="U47" i="12"/>
  <c r="T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Q48" i="12" s="1"/>
  <c r="A49" i="12" a="1"/>
  <c r="U48" i="12" l="1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U49" i="12" s="1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P51" i="12" s="1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U51" i="12" l="1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S52" i="12" l="1"/>
  <c r="P52" i="12"/>
  <c r="T52" i="12"/>
  <c r="N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Q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V54" i="12" s="1"/>
  <c r="A55" i="12" a="1"/>
  <c r="P54" i="12" l="1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O57" i="12" l="1"/>
  <c r="R57" i="12"/>
  <c r="Q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U58" i="12" s="1"/>
  <c r="L58" i="12"/>
  <c r="AP58" i="12"/>
  <c r="E58" i="12"/>
  <c r="Z58" i="12"/>
  <c r="AO58" i="12"/>
  <c r="AH58" i="12"/>
  <c r="A59" i="12" a="1"/>
  <c r="P58" i="12" l="1"/>
  <c r="V58" i="12"/>
  <c r="Q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S59" i="12" s="1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P62" i="12" s="1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D63" i="12"/>
  <c r="B63" i="12"/>
  <c r="AE63" i="12"/>
  <c r="S63" i="12" s="1"/>
  <c r="I63" i="12"/>
  <c r="AR63" i="12"/>
  <c r="AH63" i="12"/>
  <c r="V63" i="12" s="1"/>
  <c r="A64" i="12" a="1"/>
  <c r="U63" i="12" l="1"/>
  <c r="Q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R65" i="12" s="1"/>
  <c r="A66" i="12" a="1"/>
  <c r="Q65" i="12" l="1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R66" i="12" s="1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U67" i="12" s="1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S67" i="12" l="1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P74" i="12" s="1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V76" i="12" s="1"/>
  <c r="AE76" i="12"/>
  <c r="Y76" i="12"/>
  <c r="K76" i="12"/>
  <c r="AR76" i="12"/>
  <c r="AF76" i="12"/>
  <c r="Z76" i="12"/>
  <c r="N76" i="12" s="1"/>
  <c r="A77" i="12" a="1"/>
  <c r="T76" i="12" l="1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R77" i="12" s="1"/>
  <c r="AR77" i="12"/>
  <c r="AC77" i="12"/>
  <c r="AK77" i="12"/>
  <c r="L77" i="12"/>
  <c r="K77" i="12"/>
  <c r="AP77" i="12"/>
  <c r="C77" i="12"/>
  <c r="AN77" i="12"/>
  <c r="AL77" i="12"/>
  <c r="AG77" i="12"/>
  <c r="U77" i="12" s="1"/>
  <c r="E77" i="12"/>
  <c r="D77" i="12"/>
  <c r="AF77" i="12"/>
  <c r="AO77" i="12"/>
  <c r="B77" i="12"/>
  <c r="A78" i="12" a="1"/>
  <c r="Q77" i="12" l="1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P80" i="12" s="1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T84" i="12"/>
  <c r="P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N85" i="12" s="1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AU85" i="12" l="1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T86" i="12" l="1"/>
  <c r="P86" i="12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N88" i="12" s="1"/>
  <c r="AA88" i="12"/>
  <c r="AE88" i="12"/>
  <c r="AR88" i="12"/>
  <c r="A89" i="12" a="1"/>
  <c r="O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R89" i="12" l="1"/>
  <c r="P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Q91" i="12" s="1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T91" i="12" l="1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P95" i="12" s="1"/>
  <c r="I95" i="12"/>
  <c r="AE95" i="12"/>
  <c r="AG95" i="12"/>
  <c r="AF95" i="12"/>
  <c r="D95" i="12"/>
  <c r="AA95" i="12"/>
  <c r="AP95" i="12"/>
  <c r="A96" i="12" a="1"/>
  <c r="O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U97" i="12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Q98" i="12" s="1"/>
  <c r="AD98" i="12"/>
  <c r="AG98" i="12"/>
  <c r="A99" i="12" a="1"/>
  <c r="T98" i="12" l="1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O100" i="12" s="1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U101" i="12" l="1"/>
  <c r="T101" i="12"/>
  <c r="R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N102" i="12" s="1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U102" i="12" l="1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T103" i="12" l="1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U105" i="12" s="1"/>
  <c r="A106" i="12" a="1"/>
  <c r="P105" i="12" l="1"/>
  <c r="N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R106" i="12" s="1"/>
  <c r="AF106" i="12"/>
  <c r="T106" i="12" s="1"/>
  <c r="AB106" i="12"/>
  <c r="P106" i="12" s="1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N106" i="12" l="1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S107" i="12" s="1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N107" i="12" s="1"/>
  <c r="I107" i="12"/>
  <c r="A108" i="12" a="1"/>
  <c r="O107" i="12" l="1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U108" i="12" s="1"/>
  <c r="AB108" i="12"/>
  <c r="AP108" i="12"/>
  <c r="AC108" i="12"/>
  <c r="Q108" i="12" s="1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P108" i="12" l="1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T109" i="12" s="1"/>
  <c r="A110" i="12" a="1"/>
  <c r="N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N110" i="12" s="1"/>
  <c r="AE110" i="12"/>
  <c r="E110" i="12"/>
  <c r="AP110" i="12"/>
  <c r="B110" i="12"/>
  <c r="AS110" i="12"/>
  <c r="C110" i="12"/>
  <c r="AA110" i="12"/>
  <c r="O110" i="12" s="1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U111" i="12" s="1"/>
  <c r="E111" i="12"/>
  <c r="L111" i="12"/>
  <c r="AT111" i="12"/>
  <c r="C111" i="12"/>
  <c r="AE111" i="12"/>
  <c r="A112" i="12" a="1"/>
  <c r="S111" i="12" l="1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Q115" i="12" s="1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R115" i="12" s="1"/>
  <c r="AG115" i="12"/>
  <c r="A116" i="12" a="1"/>
  <c r="S115" i="12" l="1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N117" i="12" s="1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Q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S119" i="12" l="1"/>
  <c r="N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N121" i="12" s="1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Q121" i="12" l="1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O122" i="12" s="1"/>
  <c r="AR122" i="12"/>
  <c r="AC122" i="12"/>
  <c r="AG122" i="12"/>
  <c r="AT122" i="12"/>
  <c r="AH122" i="12"/>
  <c r="J122" i="12"/>
  <c r="AS122" i="12"/>
  <c r="A123" i="12" a="1"/>
  <c r="Q122" i="12" l="1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P123" i="12" s="1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T126" i="12" s="1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R126" i="12" l="1"/>
  <c r="U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R127" i="12" s="1"/>
  <c r="AL127" i="12"/>
  <c r="AF127" i="12"/>
  <c r="AQ127" i="12"/>
  <c r="AE127" i="12"/>
  <c r="AR127" i="12"/>
  <c r="B127" i="12"/>
  <c r="A128" i="12" a="1"/>
  <c r="U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S129" i="12" l="1"/>
  <c r="T129" i="12"/>
  <c r="P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V133" i="12" l="1"/>
  <c r="N133" i="12"/>
  <c r="P133" i="12"/>
  <c r="R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S134" i="12" s="1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T135" i="12" s="1"/>
  <c r="Z135" i="12"/>
  <c r="L135" i="12"/>
  <c r="AM135" i="12"/>
  <c r="E135" i="12"/>
  <c r="AG135" i="12"/>
  <c r="U135" i="12" s="1"/>
  <c r="A136" i="12" a="1"/>
  <c r="O135" i="12" l="1"/>
  <c r="P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R137" i="12" s="1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P137" i="12" l="1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O138" i="12" s="1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S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Q140" i="12" s="1"/>
  <c r="K140" i="12"/>
  <c r="AB140" i="12"/>
  <c r="D140" i="12"/>
  <c r="Z140" i="12"/>
  <c r="AF140" i="12"/>
  <c r="AK140" i="12"/>
  <c r="A141" i="12" a="1"/>
  <c r="V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S141" i="12" s="1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Q141" i="12" l="1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T145" i="12" s="1"/>
  <c r="Y145" i="12"/>
  <c r="AA145" i="12"/>
  <c r="O145" i="12" s="1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N146" i="12" s="1"/>
  <c r="AG146" i="12"/>
  <c r="U146" i="12" s="1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Q149" i="12" s="1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U149" i="12" l="1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N151" i="12" s="1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P151" i="12" l="1"/>
  <c r="AU151" i="12"/>
  <c r="U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Q152" i="12" l="1"/>
  <c r="U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O153" i="12" l="1"/>
  <c r="P153" i="12"/>
  <c r="T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O154" i="12" s="1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Q154" i="12" l="1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R155" i="12" l="1"/>
  <c r="U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U157" i="12"/>
  <c r="V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S158" i="12" s="1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A159" i="12" l="1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U159" i="12" s="1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O159" i="12" l="1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P161" i="12" s="1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T162" i="12" s="1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S162" i="12" l="1"/>
  <c r="U162" i="12"/>
  <c r="P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R164" i="12" s="1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R166" i="12" l="1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S167" i="12" s="1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T168" i="12" s="1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Q168" i="12" l="1"/>
  <c r="V168" i="12"/>
  <c r="O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N170" i="12" l="1"/>
  <c r="Q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P172" i="12" s="1"/>
  <c r="A173" i="12" a="1"/>
  <c r="T172" i="12" l="1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R173" i="12" l="1"/>
  <c r="T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P174" i="12" l="1"/>
  <c r="Q174" i="12"/>
  <c r="O174" i="12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S175" i="12" s="1"/>
  <c r="AG175" i="12"/>
  <c r="U175" i="12" s="1"/>
  <c r="L175" i="12"/>
  <c r="AA175" i="12"/>
  <c r="AC175" i="12"/>
  <c r="Q175" i="12" s="1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T175" i="12" l="1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Q177" i="12" s="1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AG177" i="12"/>
  <c r="AH177" i="12"/>
  <c r="A178" i="12" a="1"/>
  <c r="N177" i="12" l="1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P179" i="12" s="1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V179" i="12" s="1"/>
  <c r="AS179" i="12"/>
  <c r="A180" i="12" a="1"/>
  <c r="N179" i="12" l="1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S180" i="12" s="1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Q180" i="12" s="1"/>
  <c r="C180" i="12"/>
  <c r="L180" i="12"/>
  <c r="A181" i="12" a="1"/>
  <c r="T180" i="12" l="1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Q183" i="12" s="1"/>
  <c r="AK183" i="12"/>
  <c r="L183" i="12"/>
  <c r="AN183" i="12"/>
  <c r="AR183" i="12"/>
  <c r="K183" i="12"/>
  <c r="AA183" i="12"/>
  <c r="O183" i="12" s="1"/>
  <c r="A184" i="12" a="1"/>
  <c r="N183" i="12" l="1"/>
  <c r="AU183" i="12"/>
  <c r="P183" i="12"/>
  <c r="V183" i="12"/>
  <c r="T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R184" i="12" s="1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T184" i="12" l="1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Q185" i="12" s="1"/>
  <c r="J185" i="12"/>
  <c r="AD185" i="12"/>
  <c r="AP185" i="12"/>
  <c r="AT185" i="12"/>
  <c r="AL185" i="12"/>
  <c r="AH185" i="12"/>
  <c r="V185" i="12" s="1"/>
  <c r="D185" i="12"/>
  <c r="AK185" i="12"/>
  <c r="Z185" i="12"/>
  <c r="N185" i="12" s="1"/>
  <c r="C185" i="12"/>
  <c r="K185" i="12"/>
  <c r="AA185" i="12"/>
  <c r="O185" i="12" s="1"/>
  <c r="AE185" i="12"/>
  <c r="E185" i="12"/>
  <c r="AS185" i="12"/>
  <c r="A186" i="12" a="1"/>
  <c r="P185" i="12" l="1"/>
  <c r="R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V186" i="12" l="1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R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N190" i="12" l="1"/>
  <c r="P190" i="12"/>
  <c r="S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P191" i="12" s="1"/>
  <c r="AD191" i="12"/>
  <c r="R191" i="12" s="1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Q191" i="12" l="1"/>
  <c r="N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R192" i="12" l="1"/>
  <c r="P192" i="12"/>
  <c r="S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T193" i="12" s="1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S193" i="12" l="1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P195" i="12" s="1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U195" i="12" l="1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R196" i="12" l="1"/>
  <c r="P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O199" i="12" s="1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R199" i="12" l="1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T201" i="12" s="1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N201" i="12" l="1"/>
  <c r="V201" i="12"/>
  <c r="S201" i="12"/>
  <c r="O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O203" i="12" l="1"/>
  <c r="U203" i="12"/>
  <c r="P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Q207" i="12" s="1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N207" i="12" l="1"/>
  <c r="R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U208" i="12" s="1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R208" i="12" l="1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P210" i="12" s="1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O211" i="12"/>
  <c r="Q211" i="12"/>
  <c r="P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N212" i="12" s="1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U212" i="12" l="1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U213" i="12" l="1"/>
  <c r="P213" i="12"/>
  <c r="V213" i="12"/>
  <c r="R213" i="12"/>
  <c r="N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T214" i="12" s="1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P214" i="12" l="1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O215" i="12" s="1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T215" i="12" l="1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O216" i="12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T217" i="12"/>
  <c r="P217" i="12"/>
  <c r="N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S218" i="12"/>
  <c r="T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N222" i="12" s="1"/>
  <c r="A223" i="12" a="1"/>
  <c r="S222" i="12" l="1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V223" i="12" s="1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O223" i="12" l="1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P227" i="12" s="1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P228" i="12" s="1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O228" i="12" s="1"/>
  <c r="AF228" i="12"/>
  <c r="AQ228" i="12"/>
  <c r="AL228" i="12"/>
  <c r="AK228" i="12"/>
  <c r="AT228" i="12"/>
  <c r="AC228" i="12"/>
  <c r="Z228" i="12"/>
  <c r="A229" i="12" a="1"/>
  <c r="N228" i="12" l="1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O229" i="12"/>
  <c r="V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Q230" i="12" s="1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S230" i="12" l="1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V231" i="12" s="1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S232" i="12" s="1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N232" i="12" l="1"/>
  <c r="Q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R237" i="12" l="1"/>
  <c r="T237" i="12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U238" i="12" s="1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T238" i="12" s="1"/>
  <c r="A239" i="12" a="1"/>
  <c r="Q238" i="12" l="1"/>
  <c r="N238" i="12"/>
  <c r="R238" i="12"/>
  <c r="V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V240" i="12" l="1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R241" i="12" s="1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U241" i="12" l="1"/>
  <c r="Q241" i="12"/>
  <c r="O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Q242" i="12" l="1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O243" i="12" s="1"/>
  <c r="B243" i="12"/>
  <c r="I243" i="12"/>
  <c r="J243" i="12"/>
  <c r="AB243" i="12"/>
  <c r="AL243" i="12"/>
  <c r="AK243" i="12"/>
  <c r="AR243" i="12"/>
  <c r="A244" i="12" a="1"/>
  <c r="N243" i="12" l="1"/>
  <c r="S243" i="12"/>
  <c r="R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V245" i="12" s="1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N245" i="12" l="1"/>
  <c r="Q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U246" i="12" l="1"/>
  <c r="N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V247" i="12" s="1"/>
  <c r="AS247" i="12"/>
  <c r="AK247" i="12"/>
  <c r="AP247" i="12"/>
  <c r="AG247" i="12"/>
  <c r="AO247" i="12"/>
  <c r="AN247" i="12"/>
  <c r="Z247" i="12"/>
  <c r="A248" i="12" a="1"/>
  <c r="N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P248" i="12" s="1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R248" i="12" l="1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T249" i="12" l="1"/>
  <c r="P249" i="12"/>
  <c r="R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U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A254" i="12" a="1"/>
  <c r="V253" i="12" l="1"/>
  <c r="O253" i="12"/>
  <c r="U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V254" i="12" s="1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O255" i="12" s="1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P255" i="12" s="1"/>
  <c r="L255" i="12"/>
  <c r="AC255" i="12"/>
  <c r="Q255" i="12" s="1"/>
  <c r="A256" i="12" a="1"/>
  <c r="U255" i="12" l="1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O256" i="12" s="1"/>
  <c r="AL256" i="12"/>
  <c r="AB256" i="12"/>
  <c r="P256" i="12" s="1"/>
  <c r="D256" i="12"/>
  <c r="A257" i="12" a="1"/>
  <c r="N256" i="12" l="1"/>
  <c r="S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N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Q259" i="12" s="1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S259" i="12" s="1"/>
  <c r="A260" i="12" a="1"/>
  <c r="U259" i="12" l="1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P260" i="12" s="1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U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O262" i="12" s="1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P262" i="12" l="1"/>
  <c r="Q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U263" i="12" s="1"/>
  <c r="C263" i="12"/>
  <c r="L263" i="12"/>
  <c r="I263" i="12"/>
  <c r="AC263" i="12"/>
  <c r="AF263" i="12"/>
  <c r="A264" i="12" a="1"/>
  <c r="P263" i="12" l="1"/>
  <c r="N263" i="12"/>
  <c r="V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V264" i="12" s="1"/>
  <c r="A265" i="12" a="1"/>
  <c r="R264" i="12" l="1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U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N266" i="12" s="1"/>
  <c r="AB266" i="12"/>
  <c r="AP266" i="12"/>
  <c r="B266" i="12"/>
  <c r="I266" i="12"/>
  <c r="AC266" i="12"/>
  <c r="A267" i="12" a="1"/>
  <c r="U266" i="12" l="1"/>
  <c r="R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O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Q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O270" i="12" l="1"/>
  <c r="S270" i="12"/>
  <c r="U270" i="12"/>
  <c r="N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P271" i="12" s="1"/>
  <c r="C271" i="12"/>
  <c r="AO271" i="12"/>
  <c r="AD271" i="12"/>
  <c r="D271" i="12"/>
  <c r="AM271" i="12"/>
  <c r="AS271" i="12"/>
  <c r="AH271" i="12"/>
  <c r="V271" i="12" s="1"/>
  <c r="A272" i="12" a="1"/>
  <c r="T271" i="12" l="1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Q272" i="12" s="1"/>
  <c r="E272" i="12"/>
  <c r="Y272" i="12"/>
  <c r="AH272" i="12"/>
  <c r="AE272" i="12"/>
  <c r="D272" i="12"/>
  <c r="AQ272" i="12"/>
  <c r="AD272" i="12"/>
  <c r="R272" i="12" s="1"/>
  <c r="L272" i="12"/>
  <c r="A273" i="12" a="1"/>
  <c r="V272" i="12" l="1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O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T274" i="12" s="1"/>
  <c r="A275" i="12" a="1"/>
  <c r="P274" i="12" l="1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U275" i="12" s="1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Q275" i="12" l="1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S276" i="12" s="1"/>
  <c r="Y276" i="12"/>
  <c r="C276" i="12"/>
  <c r="J276" i="12"/>
  <c r="Z276" i="12"/>
  <c r="AS276" i="12"/>
  <c r="AM276" i="12"/>
  <c r="L276" i="12"/>
  <c r="AT276" i="12"/>
  <c r="AC276" i="12"/>
  <c r="Q276" i="12" s="1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U276" i="12" l="1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V278" i="12" l="1"/>
  <c r="R278" i="12"/>
  <c r="O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N279" i="12" s="1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S279" i="12" s="1"/>
  <c r="A280" i="12" a="1"/>
  <c r="P279" i="12" l="1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R280" i="12"/>
  <c r="O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S282" i="12"/>
  <c r="P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S283" i="12"/>
  <c r="N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V284" i="12"/>
  <c r="R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S286" i="12" s="1"/>
  <c r="AK286" i="12"/>
  <c r="K286" i="12"/>
  <c r="Z286" i="12"/>
  <c r="AF286" i="12"/>
  <c r="Y286" i="12"/>
  <c r="AQ286" i="12"/>
  <c r="AO286" i="12"/>
  <c r="AL286" i="12"/>
  <c r="AC286" i="12"/>
  <c r="Q286" i="12" s="1"/>
  <c r="B286" i="12"/>
  <c r="AG286" i="12"/>
  <c r="D286" i="12"/>
  <c r="AT286" i="12"/>
  <c r="C286" i="12"/>
  <c r="AM286" i="12"/>
  <c r="A287" i="12" a="1"/>
  <c r="V286" i="12" l="1"/>
  <c r="AU286" i="12"/>
  <c r="O286" i="12"/>
  <c r="T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Q288" i="12" s="1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A289" i="12" a="1"/>
  <c r="U288" i="12" l="1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P289" i="12" s="1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N292" i="12" s="1"/>
  <c r="AD292" i="12"/>
  <c r="L292" i="12"/>
  <c r="AF292" i="12"/>
  <c r="J292" i="12"/>
  <c r="D292" i="12"/>
  <c r="AB292" i="12"/>
  <c r="A293" i="12" a="1"/>
  <c r="U292" i="12" l="1"/>
  <c r="R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Q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S295" i="12" s="1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T296" i="12" s="1"/>
  <c r="Y296" i="12"/>
  <c r="A297" i="12" a="1"/>
  <c r="N296" i="12" l="1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V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U298" i="12" s="1"/>
  <c r="D298" i="12"/>
  <c r="AH298" i="12"/>
  <c r="V298" i="12" s="1"/>
  <c r="A299" i="12" a="1"/>
  <c r="T298" i="12" l="1"/>
  <c r="N298" i="12"/>
  <c r="S298" i="12"/>
  <c r="Q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N299" i="12" l="1"/>
  <c r="V299" i="12"/>
  <c r="T299" i="12"/>
  <c r="O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N300" i="12" l="1"/>
  <c r="V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<sst xmlns="http://schemas.openxmlformats.org/spreadsheetml/2006/main" count="2356" uniqueCount="1424">
  <si>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</si>
  <si>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</si>
  <si>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</si>
  <si>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</si>
  <si>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</si>
  <si>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</si>
  <si>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</si>
  <si>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</si>
  <si>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</si>
  <si>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</si>
  <si>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</si>
  <si>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</si>
  <si>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</si>
  <si>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</si>
  <si>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</si>
  <si>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</si>
  <si>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</si>
  <si>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</si>
  <si>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</si>
  <si>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</si>
  <si>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</si>
  <si>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</si>
  <si>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</si>
  <si>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</si>
  <si>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</si>
  <si>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</si>
  <si>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</si>
  <si>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</si>
  <si>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</si>
  <si>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</si>
  <si>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</si>
  <si>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</si>
  <si>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</si>
  <si>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</si>
  <si>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</si>
  <si>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</si>
  <si>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</si>
  <si>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</si>
  <si>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</si>
  <si>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</si>
  <si>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</si>
  <si>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</si>
  <si>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</si>
  <si>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</si>
  <si>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</si>
  <si>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</si>
  <si>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</si>
  <si>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</si>
  <si>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</si>
  <si>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</si>
  <si>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</si>
  <si>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</si>
  <si>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</si>
  <si>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</si>
  <si>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</si>
  <si>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</si>
  <si>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</si>
  <si>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</si>
  <si>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</si>
  <si>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</si>
  <si>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</si>
  <si>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</si>
  <si>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</si>
  <si>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</si>
  <si>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</si>
  <si>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</si>
  <si>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</si>
  <si>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</si>
  <si>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</si>
  <si>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</si>
  <si>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</si>
  <si>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</si>
  <si>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</si>
  <si>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</si>
  <si>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</si>
  <si>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</si>
  <si>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</si>
  <si>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</si>
  <si>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</si>
  <si>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</si>
  <si>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</si>
  <si>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</si>
  <si>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</si>
  <si>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</si>
  <si>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</si>
  <si>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</si>
  <si>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</si>
  <si>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</si>
  <si>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</si>
  <si>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</si>
  <si>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</si>
  <si>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</si>
  <si>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</si>
  <si>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</si>
  <si>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</si>
  <si>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</si>
  <si>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</si>
  <si>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</si>
  <si>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</si>
  <si>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</si>
  <si>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</si>
  <si>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</si>
  <si>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</si>
  <si>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</si>
  <si>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</si>
  <si>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</si>
  <si>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</si>
  <si>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</si>
  <si>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</si>
  <si>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</si>
  <si>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</si>
  <si>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</si>
  <si>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</si>
  <si>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</si>
  <si>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</si>
  <si>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</si>
  <si>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</si>
  <si>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</si>
  <si>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</si>
  <si>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</si>
  <si>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</si>
  <si>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</si>
  <si>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</si>
  <si>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</si>
  <si>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</si>
  <si>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</si>
  <si>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</si>
  <si>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</si>
  <si>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</si>
  <si>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</si>
  <si>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</si>
  <si>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</si>
  <si>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</si>
  <si>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</si>
  <si>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</si>
  <si>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</si>
  <si>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</si>
  <si>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</si>
  <si>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</si>
  <si>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</si>
  <si>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</si>
  <si>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</si>
  <si>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</si>
  <si>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</si>
  <si>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</si>
  <si>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</si>
  <si>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</si>
  <si>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</si>
  <si>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</si>
  <si>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</si>
  <si>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</si>
  <si>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</si>
  <si>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</si>
  <si>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</si>
  <si>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</si>
  <si>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</si>
  <si>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</si>
  <si>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</si>
  <si>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</si>
  <si>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</si>
  <si>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</si>
  <si>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</si>
  <si>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</si>
  <si>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</si>
  <si>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</si>
  <si>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</si>
  <si>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</si>
  <si>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</si>
  <si>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</si>
  <si>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</si>
  <si>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</si>
  <si>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</si>
  <si>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</si>
  <si>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</si>
  <si>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</si>
  <si>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</si>
  <si>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</si>
  <si>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</si>
  <si>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</si>
  <si>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</si>
  <si>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</si>
  <si>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</si>
  <si>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</si>
  <si>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</si>
  <si>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</si>
  <si>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</si>
  <si>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</si>
  <si>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</si>
  <si>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</si>
  <si>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</si>
  <si>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</si>
  <si>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</si>
  <si>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</si>
  <si>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</si>
  <si>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</si>
  <si>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</si>
  <si>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</si>
  <si>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</si>
  <si>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</si>
  <si>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</si>
  <si>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</si>
  <si>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</si>
  <si>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</si>
  <si>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</si>
  <si>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</si>
  <si>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</si>
  <si>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</si>
  <si>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</si>
  <si>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</si>
  <si>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</si>
  <si>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</si>
  <si>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</si>
  <si>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</si>
  <si>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</si>
  <si>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</si>
  <si>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</si>
  <si>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</si>
  <si>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</si>
  <si>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</si>
  <si>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</si>
  <si>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</si>
  <si>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</si>
  <si>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</si>
  <si>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</si>
  <si>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</si>
  <si>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</si>
  <si>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</si>
  <si>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</si>
  <si>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</si>
  <si>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</si>
  <si>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</si>
  <si>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</si>
  <si>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</si>
  <si>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</si>
  <si>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</si>
  <si>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</si>
  <si>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</si>
  <si>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</si>
  <si>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</si>
  <si>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</si>
  <si>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</si>
  <si>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</si>
  <si>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</si>
  <si>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</si>
  <si>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</si>
  <si>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</si>
  <si>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</si>
  <si>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</si>
  <si>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</si>
  <si>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</si>
  <si>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</si>
  <si>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</si>
  <si>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</si>
  <si>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</si>
  <si>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</si>
  <si>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</si>
  <si>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</si>
  <si>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</si>
  <si>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</si>
  <si>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</si>
  <si>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</si>
  <si>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</si>
  <si>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</si>
  <si>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</si>
  <si>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</si>
  <si>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</si>
  <si>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</si>
  <si>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</si>
  <si>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</si>
  <si>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</si>
  <si>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</si>
  <si>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</si>
  <si>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</si>
  <si>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</si>
  <si>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</si>
  <si>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</si>
  <si>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</si>
  <si>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</si>
  <si>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</si>
  <si>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</si>
  <si>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</si>
  <si>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</si>
  <si>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</si>
  <si>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</si>
  <si>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</si>
  <si>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</si>
  <si>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</si>
  <si>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</si>
  <si>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</si>
  <si>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</si>
  <si>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</si>
  <si>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</si>
  <si>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</si>
  <si>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</si>
  <si>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</si>
  <si>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</si>
  <si>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</si>
  <si>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</si>
  <si>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</si>
  <si>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</si>
  <si>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</si>
  <si>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</si>
  <si>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</si>
  <si>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</si>
  <si>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</si>
  <si>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</si>
  <si>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</si>
  <si>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</si>
  <si>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</si>
  <si>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</si>
  <si>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</si>
  <si>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</si>
  <si>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</si>
  <si>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</si>
  <si>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</si>
  <si>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</si>
  <si>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</si>
  <si>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</si>
  <si>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</si>
  <si>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</si>
  <si>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</si>
  <si>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</si>
  <si>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</si>
  <si>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</si>
  <si>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</si>
  <si>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</si>
  <si>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</si>
  <si>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</si>
  <si>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</si>
  <si>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</si>
  <si>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</si>
  <si>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</si>
  <si>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</si>
  <si>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</si>
  <si>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</si>
  <si>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</si>
  <si>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</si>
  <si>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</si>
  <si>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</si>
  <si>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</si>
  <si>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</si>
  <si>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</si>
  <si>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</si>
  <si>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</si>
  <si>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</si>
  <si>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</si>
  <si>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</si>
  <si>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</si>
  <si>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</si>
  <si>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</si>
  <si>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</si>
  <si>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</si>
  <si>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</si>
  <si>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</si>
  <si>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</si>
  <si>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</si>
  <si>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</si>
  <si>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</si>
  <si>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</si>
  <si>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</si>
  <si>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</si>
  <si>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</si>
  <si>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</si>
  <si>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</si>
  <si>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</si>
  <si>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</si>
  <si>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</si>
  <si>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</si>
  <si>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</si>
  <si>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</si>
  <si>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</si>
  <si>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</si>
  <si>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</si>
  <si>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</si>
  <si>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</si>
  <si>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</si>
  <si>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</si>
  <si>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</si>
  <si>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</si>
  <si>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</si>
  <si>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</si>
  <si>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</si>
  <si>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</si>
  <si>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</si>
  <si>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</si>
  <si>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</si>
  <si>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</si>
  <si>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</si>
  <si>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</si>
  <si>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</si>
  <si>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</si>
  <si>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</si>
  <si>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</si>
  <si>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</si>
  <si>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</si>
  <si>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</si>
  <si>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</si>
  <si>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</si>
  <si>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</si>
  <si>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</si>
  <si>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</si>
  <si>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</si>
  <si>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</si>
  <si>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</si>
  <si>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</si>
  <si>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</si>
  <si>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</si>
  <si>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</si>
  <si>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</si>
  <si>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</si>
  <si>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</si>
  <si>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</si>
  <si>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</si>
  <si>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</si>
  <si>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</si>
  <si>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</si>
  <si>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</si>
  <si>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</si>
  <si>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</si>
  <si>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</si>
  <si>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</si>
  <si>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</si>
  <si>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</si>
  <si>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</si>
  <si>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</si>
  <si>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</si>
  <si>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</si>
  <si>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</si>
  <si>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</si>
  <si>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</si>
  <si>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</si>
  <si>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</si>
  <si>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</si>
  <si>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</si>
  <si>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</si>
  <si>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</si>
  <si>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</si>
  <si>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</si>
  <si>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</si>
  <si>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</si>
  <si>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</si>
  <si>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</si>
  <si>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</si>
  <si>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</si>
  <si>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</si>
  <si>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</si>
  <si>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</si>
  <si>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</si>
  <si>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</si>
  <si>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</si>
  <si>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</si>
  <si>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</si>
  <si>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</si>
  <si>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</si>
  <si>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</si>
  <si>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</si>
  <si>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</si>
  <si>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</si>
  <si>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</si>
  <si>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</si>
  <si>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</si>
  <si>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</si>
  <si>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</si>
  <si>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</si>
  <si>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</si>
  <si>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</si>
  <si>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</si>
  <si>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</si>
  <si>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</si>
  <si>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</si>
  <si>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</si>
  <si>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</si>
  <si>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</si>
  <si>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</si>
  <si>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</si>
  <si>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</si>
  <si>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</si>
  <si>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</si>
  <si>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</si>
  <si>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</si>
  <si>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</si>
  <si>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</si>
  <si>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</si>
  <si>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</si>
  <si>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</si>
  <si>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</si>
  <si>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</si>
  <si>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</si>
  <si>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</si>
  <si>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</si>
  <si>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</si>
  <si>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</si>
  <si>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</si>
  <si>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</si>
  <si>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</si>
  <si>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</si>
  <si>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</si>
  <si>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</si>
  <si>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</si>
  <si>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</si>
  <si>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</si>
  <si>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</si>
  <si>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</si>
  <si>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</si>
  <si>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</si>
  <si>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</si>
  <si>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</si>
  <si>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</si>
  <si>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</si>
  <si>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</si>
  <si>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</si>
  <si>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</si>
  <si>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</si>
  <si>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</si>
  <si>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</si>
  <si>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</si>
  <si>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</si>
  <si>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</si>
  <si>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</si>
  <si>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</si>
  <si>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</si>
  <si>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</si>
  <si>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</si>
  <si>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</si>
  <si>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</si>
  <si>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</si>
  <si>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</si>
  <si>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</si>
  <si>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</si>
  <si>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</si>
  <si>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</si>
  <si>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</si>
  <si>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</si>
  <si>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</si>
  <si>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</si>
  <si>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</si>
  <si>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</si>
  <si>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</si>
  <si>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</si>
  <si>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</si>
  <si>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</si>
  <si>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</si>
  <si>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</si>
  <si>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</si>
  <si>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</si>
  <si>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</si>
  <si>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</si>
  <si>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</si>
  <si>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</si>
  <si>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</si>
  <si>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</si>
  <si>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</si>
  <si>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</si>
  <si>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</si>
  <si>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</si>
  <si>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</si>
  <si>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</si>
  <si>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</si>
  <si>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</si>
  <si>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</si>
  <si>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</si>
  <si>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</si>
  <si>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</si>
  <si>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</si>
  <si>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</si>
  <si>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</si>
  <si>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</si>
  <si>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</si>
  <si>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</si>
  <si>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</si>
  <si>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</si>
  <si>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</si>
  <si>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</si>
  <si>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</si>
  <si>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</si>
  <si>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</si>
  <si>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</si>
  <si>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</si>
  <si>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</si>
  <si>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</si>
  <si>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</si>
  <si>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</si>
  <si>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</si>
  <si>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</si>
  <si>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</si>
  <si>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</si>
  <si>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</si>
  <si>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</si>
  <si>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</si>
  <si>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</si>
  <si>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</si>
  <si>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</si>
  <si>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</si>
  <si>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</si>
  <si>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</si>
  <si>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</si>
  <si>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</si>
  <si>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</si>
  <si>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</si>
  <si>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</si>
  <si>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</si>
  <si>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</si>
  <si>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</si>
  <si>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</si>
  <si>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</si>
  <si>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</si>
  <si>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</si>
  <si>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</si>
  <si>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</si>
  <si>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</si>
  <si>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</si>
  <si>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</si>
  <si>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</si>
  <si>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</si>
  <si>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</si>
  <si>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</si>
  <si>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</si>
  <si>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</si>
  <si>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</si>
  <si>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</si>
  <si>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</si>
  <si>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</si>
  <si>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</si>
  <si>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</si>
  <si>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</si>
  <si>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</si>
  <si>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</si>
  <si>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</si>
  <si>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</si>
  <si>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</si>
  <si>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</si>
  <si>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</si>
  <si>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</si>
  <si>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</si>
  <si>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</si>
  <si>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</si>
  <si>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</si>
  <si>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</si>
  <si>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</si>
  <si>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</si>
  <si>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</si>
  <si>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</si>
  <si>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</si>
  <si>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</si>
  <si>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</si>
  <si>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</si>
  <si>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</si>
  <si>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</si>
  <si>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</si>
  <si>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</si>
  <si>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</si>
  <si>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</si>
  <si>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</si>
  <si>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</si>
  <si>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</si>
  <si>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</si>
  <si>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</si>
  <si>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</si>
  <si>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</si>
  <si>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</si>
  <si>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</si>
  <si>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</si>
  <si>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</si>
  <si>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</si>
  <si>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</si>
  <si>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</si>
  <si>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</si>
  <si>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</si>
  <si>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</si>
  <si>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</si>
  <si>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</si>
  <si>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</si>
  <si>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</si>
  <si>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</si>
  <si>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</si>
  <si>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</si>
  <si>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</si>
  <si>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</si>
  <si>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</si>
  <si>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</si>
  <si>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</si>
  <si>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</si>
  <si>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</si>
  <si>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</si>
  <si>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</si>
  <si>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</si>
  <si>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</si>
  <si>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</si>
  <si>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</si>
  <si>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</si>
  <si>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</si>
  <si>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</si>
  <si>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</si>
  <si>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</si>
  <si>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</si>
  <si>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</si>
  <si>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</si>
  <si>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</si>
  <si>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</si>
  <si>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</si>
  <si>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</si>
  <si>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</si>
  <si>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</si>
  <si>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</si>
  <si>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</si>
  <si>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</si>
  <si>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</si>
  <si>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</si>
  <si>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</si>
  <si>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</si>
  <si>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</si>
  <si>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</si>
  <si>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</si>
  <si>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</si>
  <si>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</si>
  <si>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</si>
  <si>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</si>
  <si>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</si>
  <si>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</si>
  <si>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</si>
  <si>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</si>
  <si>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</si>
  <si>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</si>
  <si>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</si>
  <si>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</si>
  <si>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</si>
  <si>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</si>
  <si>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</si>
  <si>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</si>
  <si>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</si>
  <si>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</si>
  <si>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</si>
  <si>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</si>
  <si>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</si>
  <si>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</si>
  <si>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</si>
  <si>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</si>
  <si>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</si>
  <si>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</si>
  <si>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</si>
  <si>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</si>
  <si>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</si>
  <si>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</si>
  <si>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</si>
  <si>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</si>
  <si>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</si>
  <si>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</si>
  <si>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</si>
  <si>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</si>
  <si>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</si>
  <si>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</si>
  <si>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</si>
  <si>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</si>
  <si>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</si>
  <si>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</si>
  <si>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</si>
  <si>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</si>
  <si>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</si>
  <si>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</si>
  <si>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</si>
  <si>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</si>
  <si>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</si>
  <si>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</si>
  <si>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</si>
  <si>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</si>
  <si>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</si>
  <si>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</si>
  <si>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</si>
  <si>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</si>
  <si>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</si>
  <si>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</si>
  <si>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</si>
  <si>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</si>
  <si>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</si>
  <si>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</si>
  <si>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</si>
  <si>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</si>
  <si>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</si>
  <si>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</si>
  <si>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</si>
  <si>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</si>
  <si>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</si>
  <si>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</si>
  <si>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</si>
  <si>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</si>
  <si>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</si>
  <si>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</si>
  <si>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</si>
  <si>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</si>
  <si>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</si>
  <si>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</si>
  <si>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</si>
  <si>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</si>
  <si>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</si>
  <si>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</si>
  <si>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</si>
  <si>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</si>
  <si>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</si>
  <si>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</si>
  <si>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</si>
  <si>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</si>
  <si>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</si>
  <si>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</si>
  <si>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</si>
  <si>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</si>
  <si>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</si>
  <si>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</si>
  <si>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</si>
  <si>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</si>
  <si>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</si>
  <si>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</si>
  <si>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</si>
  <si>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</si>
  <si>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</si>
  <si>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</si>
  <si>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</si>
  <si>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</si>
  <si>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</si>
  <si>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</si>
  <si>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</si>
  <si>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</si>
  <si>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</si>
  <si>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</si>
  <si>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</si>
  <si>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</si>
  <si>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</si>
  <si>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</si>
  <si>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</si>
  <si>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</si>
  <si>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</si>
  <si>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</si>
  <si>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</si>
  <si>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</si>
  <si>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</si>
  <si>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</si>
  <si>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</si>
  <si>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</si>
  <si>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</si>
  <si>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</si>
  <si>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</si>
  <si>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</si>
  <si>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</si>
  <si>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</si>
  <si>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</si>
  <si>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</si>
  <si>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</si>
  <si>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</si>
  <si>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</si>
  <si>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</si>
  <si>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</si>
  <si>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</si>
  <si>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</si>
  <si>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</si>
  <si>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</si>
  <si>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</si>
  <si>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</si>
  <si>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</si>
  <si>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</si>
  <si>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</si>
  <si>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</si>
  <si>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</si>
  <si>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</si>
  <si>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</si>
  <si>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</si>
  <si>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</si>
  <si>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</si>
  <si>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</si>
  <si>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</si>
  <si>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</si>
  <si>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</si>
  <si>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</si>
  <si>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</si>
  <si>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</si>
  <si>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</si>
  <si>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</si>
  <si>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</si>
  <si>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</si>
  <si>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</si>
  <si>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</si>
  <si>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</si>
  <si>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</si>
  <si>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</si>
  <si>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</si>
  <si>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</si>
  <si>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</si>
  <si>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</si>
  <si>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</si>
  <si>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</si>
  <si>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</si>
  <si>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</si>
  <si>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</si>
  <si>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</si>
  <si>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</si>
  <si>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</si>
  <si>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</si>
  <si>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</si>
  <si>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</si>
  <si>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</si>
  <si>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</si>
  <si>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</si>
  <si>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</si>
  <si>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</si>
  <si>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</si>
  <si>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</si>
  <si>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</si>
  <si>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</si>
  <si>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</si>
  <si>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</si>
  <si>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</si>
  <si>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</si>
  <si>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</si>
  <si>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</si>
  <si>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</si>
  <si>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</si>
  <si>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</si>
  <si>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</si>
  <si>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</si>
  <si>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</si>
  <si>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</si>
  <si>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</si>
  <si>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</si>
  <si>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</si>
  <si>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</si>
  <si>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</si>
  <si>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</si>
  <si>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</si>
  <si>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</si>
  <si>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</si>
  <si>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</si>
  <si>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</si>
  <si>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</si>
  <si>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</si>
  <si>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</si>
  <si>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</si>
  <si>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</si>
  <si>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</si>
  <si>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</si>
  <si>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</si>
  <si>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</si>
  <si>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</si>
  <si>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</si>
  <si>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</si>
  <si>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</si>
  <si>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</si>
  <si>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</si>
  <si>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</si>
  <si>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</si>
  <si>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</si>
  <si>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</si>
  <si>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</si>
  <si>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</si>
  <si>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</si>
  <si>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</si>
  <si>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</si>
  <si>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</si>
  <si>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</si>
  <si>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</si>
  <si>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</si>
  <si>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</si>
  <si>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</si>
  <si>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</si>
  <si>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</si>
  <si>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</si>
  <si>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</si>
  <si>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</si>
  <si>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</si>
  <si>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</si>
  <si>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</si>
  <si>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</si>
  <si>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</si>
  <si>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</si>
  <si>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</si>
  <si>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</si>
  <si>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</si>
  <si>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</si>
  <si>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</si>
  <si>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</si>
  <si>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</si>
  <si>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</si>
  <si>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</si>
  <si>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</si>
  <si>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</si>
  <si>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</si>
  <si>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</si>
  <si>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</si>
  <si>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</si>
  <si>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</si>
  <si>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</si>
  <si>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</si>
  <si>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</si>
  <si>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</si>
  <si>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</si>
  <si>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</si>
  <si>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</si>
  <si>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</si>
  <si>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</si>
  <si>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</si>
  <si>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</si>
  <si>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</si>
  <si>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</si>
  <si>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</si>
  <si>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</si>
  <si>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</si>
  <si>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</si>
  <si>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</si>
  <si>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</si>
  <si>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</si>
  <si>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</si>
  <si>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</si>
  <si>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</si>
  <si>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</si>
  <si>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</si>
  <si>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</si>
  <si>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</si>
  <si>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</si>
  <si>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</si>
  <si>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</si>
  <si>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</si>
  <si>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</si>
  <si>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</si>
  <si>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</si>
  <si>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</si>
  <si>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</si>
  <si>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</si>
  <si>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</si>
  <si>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</si>
  <si>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</si>
  <si>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</si>
  <si>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</si>
  <si>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</si>
  <si>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</si>
  <si>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</si>
  <si>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</si>
  <si>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</si>
  <si>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</si>
  <si>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</si>
  <si>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</si>
  <si>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</si>
  <si>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</si>
  <si>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</si>
  <si>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</si>
  <si>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</si>
  <si>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</si>
  <si>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</si>
  <si>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</si>
  <si>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</si>
  <si>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</si>
  <si>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</si>
  <si>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</si>
  <si>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</si>
  <si>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</si>
  <si>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</si>
  <si>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</si>
  <si>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</si>
  <si>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</si>
  <si>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</si>
  <si>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</si>
  <si>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</si>
  <si>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</si>
  <si>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</si>
  <si>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</si>
  <si>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</si>
  <si>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</si>
  <si>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</si>
  <si>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</si>
  <si>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</si>
  <si>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</si>
  <si>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</si>
  <si>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</si>
  <si>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</si>
  <si>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</si>
  <si>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</si>
  <si>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</si>
  <si>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</si>
  <si>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</si>
  <si>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</si>
  <si>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</si>
  <si>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</si>
  <si>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</si>
  <si>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</si>
  <si>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</si>
  <si>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</si>
  <si>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</si>
  <si>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</si>
  <si>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</si>
  <si>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</si>
  <si>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</si>
  <si>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</si>
  <si>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</si>
  <si>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</si>
  <si>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</si>
  <si>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</si>
  <si>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</si>
  <si>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</si>
  <si>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</si>
  <si>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</si>
  <si>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</si>
  <si>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</si>
  <si>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</si>
  <si>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</si>
  <si>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</si>
  <si>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</si>
  <si>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</si>
  <si>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</si>
  <si>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</si>
  <si>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</si>
  <si>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</si>
  <si>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</si>
  <si>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</si>
  <si>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</si>
  <si>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</si>
  <si>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</si>
  <si>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</si>
  <si>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</si>
  <si>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</si>
  <si>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</si>
  <si>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</si>
  <si>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</si>
  <si>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</si>
  <si>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</si>
  <si>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</si>
  <si>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</si>
  <si>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</si>
  <si>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</si>
  <si>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</si>
  <si>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</si>
  <si>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</si>
  <si>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</si>
  <si>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</si>
  <si>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</si>
  <si>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</si>
  <si>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</si>
  <si>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</si>
  <si>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</si>
  <si>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</si>
  <si>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</si>
  <si>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</si>
  <si>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</si>
  <si>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</si>
  <si>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</si>
  <si>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</si>
  <si>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</si>
  <si>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</si>
  <si>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</si>
  <si>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</si>
  <si>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</si>
  <si>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</si>
  <si>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</si>
  <si>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</si>
  <si>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</si>
  <si>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</si>
  <si>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</si>
  <si>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</si>
  <si>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</si>
  <si>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</si>
  <si>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</si>
  <si>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</si>
  <si>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</si>
  <si>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</si>
  <si>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</si>
  <si>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</si>
  <si>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</si>
  <si>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</si>
  <si>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</si>
  <si>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</si>
  <si>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</si>
  <si>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</si>
  <si>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</si>
  <si>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</si>
  <si>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</si>
  <si>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</si>
  <si>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</si>
  <si>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</si>
  <si>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</si>
  <si>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</si>
  <si>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</si>
  <si>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</si>
  <si>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</si>
  <si>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</si>
  <si>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</si>
  <si>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</si>
  <si>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</si>
  <si>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</si>
  <si>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</si>
  <si>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</si>
  <si>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</si>
  <si>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</si>
  <si>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</si>
  <si>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</si>
  <si>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</si>
  <si>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</si>
  <si>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</si>
  <si>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</si>
  <si>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</si>
  <si>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</si>
  <si>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</si>
  <si>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</si>
  <si>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</si>
  <si>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</si>
  <si>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</si>
  <si>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</si>
  <si>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</si>
  <si>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</si>
  <si>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</si>
  <si>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</si>
  <si>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</si>
  <si>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</si>
  <si>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</si>
  <si>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</si>
  <si>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</si>
  <si>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</si>
  <si>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</si>
  <si>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</si>
  <si>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</si>
  <si>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</si>
  <si>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</si>
  <si>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</si>
  <si>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</si>
  <si>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</si>
  <si>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</si>
  <si>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</si>
  <si>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</si>
  <si>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</si>
  <si>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</si>
  <si>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</si>
  <si>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</si>
  <si>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</si>
  <si>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</si>
  <si>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</si>
  <si>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</si>
  <si>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</si>
  <si>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</si>
  <si>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</si>
  <si>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</si>
  <si>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</si>
  <si>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</si>
  <si>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</si>
  <si>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</si>
  <si>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</si>
  <si>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</si>
  <si>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</si>
  <si>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</si>
  <si>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</si>
  <si>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</si>
  <si>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</si>
  <si>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</si>
  <si>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</si>
  <si>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</si>
  <si>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</si>
  <si>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</si>
  <si>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</si>
  <si>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</si>
  <si>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</si>
  <si>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</si>
  <si>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</si>
  <si>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</si>
  <si>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</si>
  <si>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</si>
  <si>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</si>
  <si>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</si>
  <si>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</si>
  <si>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</si>
  <si>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</si>
  <si>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</si>
  <si>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</si>
  <si>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</si>
  <si>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</si>
  <si>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</si>
  <si>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</si>
  <si>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</si>
  <si>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</si>
  <si>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</si>
  <si>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</si>
  <si>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</si>
  <si>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</si>
  <si>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</si>
  <si>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</si>
  <si>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</si>
  <si>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</si>
  <si>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</si>
  <si>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</si>
  <si>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</si>
  <si>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</si>
  <si>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</si>
  <si>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</si>
  <si>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</si>
  <si>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</si>
  <si>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</si>
  <si>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</si>
  <si>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</si>
  <si>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</si>
  <si>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</si>
  <si>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</si>
  <si>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</si>
  <si>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</si>
  <si>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</si>
  <si>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</si>
  <si>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</si>
  <si>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</si>
  <si>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</si>
  <si>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</si>
  <si>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</si>
  <si>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</si>
  <si>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</si>
  <si>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</si>
  <si>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</si>
  <si>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</si>
  <si>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</si>
  <si>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</si>
  <si>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</si>
  <si>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</si>
  <si>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</si>
  <si>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</si>
  <si>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</si>
  <si>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</si>
  <si>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</si>
  <si>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</si>
  <si>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</si>
  <si>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</si>
  <si>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</si>
  <si>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</si>
  <si>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</si>
  <si>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</si>
  <si>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</si>
  <si>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</si>
  <si>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</si>
  <si>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</si>
  <si>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</si>
  <si>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</si>
  <si>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</si>
  <si>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</si>
  <si>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</si>
  <si>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</si>
  <si>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</si>
  <si>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</si>
  <si>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</si>
  <si>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</si>
  <si>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</si>
  <si>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</si>
  <si>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</si>
  <si>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</si>
  <si>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</si>
  <si>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</si>
  <si>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</si>
  <si>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</si>
  <si>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</si>
  <si>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</si>
  <si>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</si>
  <si>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</si>
  <si>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</si>
  <si>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</si>
  <si>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</si>
  <si>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</si>
  <si>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</si>
  <si>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</si>
  <si>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</si>
  <si>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</si>
  <si>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</si>
  <si>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</si>
  <si>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</si>
  <si>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</si>
  <si>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</si>
  <si>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</si>
  <si>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</si>
  <si>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</si>
  <si>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</si>
  <si>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</si>
  <si>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</si>
  <si>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</si>
  <si>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</si>
  <si>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</si>
  <si>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</si>
  <si>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</si>
  <si>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</si>
  <si>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</si>
  <si>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</si>
  <si>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</si>
  <si>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</si>
  <si>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</si>
  <si>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</si>
  <si>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</si>
  <si>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</si>
  <si>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</si>
  <si>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</si>
  <si>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</si>
  <si>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</si>
  <si>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</si>
  <si>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</si>
  <si>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</si>
  <si>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</si>
  <si>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</si>
  <si>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</si>
  <si>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</si>
  <si>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</si>
  <si>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</si>
  <si>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</si>
  <si>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</si>
  <si>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</si>
  <si>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</si>
  <si>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</si>
  <si>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</si>
  <si>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</si>
  <si>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</si>
  <si>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</si>
  <si>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</si>
  <si>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</si>
  <si>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</si>
  <si>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</si>
  <si>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</si>
  <si>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</si>
  <si>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QVB</t>
    <phoneticPr fontId="38" type="noConversion"/>
  </si>
  <si>
    <r>
      <rPr>
        <sz val="18"/>
        <color rgb="FF000000"/>
        <rFont val="Helvetica Neue"/>
        <family val="2"/>
      </rPr>
      <t>Jack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Liu</t>
    </r>
  </si>
  <si>
    <t>Olivia Hsieh</t>
    <phoneticPr fontId="2" type="noConversion"/>
  </si>
  <si>
    <r>
      <rPr>
        <sz val="18"/>
        <color rgb="FF000000"/>
        <rFont val="Helvetica Neue"/>
        <family val="2"/>
      </rPr>
      <t>Antonio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Zhang</t>
    </r>
  </si>
  <si>
    <r>
      <rPr>
        <sz val="18"/>
        <color rgb="FF000000"/>
        <rFont val="Helvetica Neue"/>
        <family val="2"/>
      </rPr>
      <t>Valeriia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Zhdanova</t>
    </r>
  </si>
  <si>
    <r>
      <rPr>
        <sz val="18"/>
        <color rgb="FF000000"/>
        <rFont val="Helvetica Neue"/>
        <family val="2"/>
      </rPr>
      <t>Aidan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Bui</t>
    </r>
  </si>
  <si>
    <r>
      <rPr>
        <sz val="18"/>
        <color rgb="FF000000"/>
        <rFont val="Helvetica Neue"/>
        <family val="2"/>
      </rPr>
      <t>Louis</t>
    </r>
    <r>
      <rPr>
        <sz val="18"/>
        <color rgb="FF000000"/>
        <rFont val="Helvetica Neue"/>
        <family val="2"/>
      </rPr>
      <t xml:space="preserve"> </t>
    </r>
    <r>
      <rPr>
        <sz val="18"/>
        <color rgb="FF000000"/>
        <rFont val="Helvetica Neue"/>
        <family val="2"/>
      </rPr>
      <t>Hoang</t>
    </r>
  </si>
  <si>
    <t>Iris zhong</t>
    <phoneticPr fontId="2" type="noConversion"/>
  </si>
  <si>
    <t>Alston cheng</t>
    <phoneticPr fontId="2" type="noConversion"/>
  </si>
  <si>
    <t>Tonya metachuchok</t>
    <phoneticPr fontId="2" type="noConversion"/>
  </si>
  <si>
    <t>jessica jessica</t>
    <phoneticPr fontId="2" type="noConversion"/>
  </si>
  <si>
    <r>
      <rPr>
        <sz val="20"/>
        <color rgb="FF000000"/>
        <rFont val="宋体"/>
        <family val="3"/>
        <charset val="134"/>
      </rPr>
      <t>年假</t>
    </r>
    <r>
      <rPr>
        <sz val="20"/>
        <color rgb="FF000000"/>
        <rFont val="Helvetica Neue"/>
        <family val="2"/>
      </rPr>
      <t>20h</t>
    </r>
    <phoneticPr fontId="2" type="noConversion"/>
  </si>
  <si>
    <r>
      <rPr>
        <sz val="20"/>
        <color rgb="FF000000"/>
        <rFont val="宋体"/>
        <family val="3"/>
        <charset val="134"/>
      </rPr>
      <t>排班</t>
    </r>
    <r>
      <rPr>
        <sz val="20"/>
        <color rgb="FF000000"/>
        <rFont val="Helvetica Neue"/>
        <family val="2"/>
      </rPr>
      <t>+1h</t>
    </r>
    <phoneticPr fontId="2" type="noConversion"/>
  </si>
  <si>
    <t>vinh hien 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</si>
</sst>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2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9"/>
      <name val="Helvetica Neue"/>
      <family val="2"/>
    </font>
    <font>
      <sz val="18"/>
      <color theme="1"/>
      <name val="&quot;Helvetica Neue&quot;"/>
    </font>
    <font>
      <sz val="20"/>
      <color rgb="FF000000"/>
      <name val="宋体"/>
      <family val="3"/>
      <charset val="134"/>
    </font>
    <font>
      <sz val="20"/>
      <color rgb="FF000000"/>
      <name val="Helvetica Neue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vertical="center" wrapText="1"/>
      <protection locked="0"/>
    </xf>
    <xf numFmtId="4" fontId="41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50" zoomScaleNormal="5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AD3" sqref="AD3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10012</v>
      </c>
      <c r="B2" s="73" t="s">
        <v>1410</v>
      </c>
      <c r="C2" s="88" t="s">
        <v>1411</v>
      </c>
      <c r="D2" s="84">
        <v>0.375</v>
      </c>
      <c r="E2" s="85">
        <v>0.70833333333333337</v>
      </c>
      <c r="F2" s="92">
        <f>BA2-BB2</f>
        <v>7.5</v>
      </c>
      <c r="G2" s="85">
        <v>0.5</v>
      </c>
      <c r="H2" s="85">
        <v>0.84375</v>
      </c>
      <c r="I2" s="92">
        <f>BF2-BG2</f>
        <v>7.75</v>
      </c>
      <c r="J2" s="85"/>
      <c r="K2" s="85"/>
      <c r="L2" s="92">
        <f>BK2-BL2</f>
        <v>0</v>
      </c>
      <c r="M2" s="85">
        <v>0.58333333333333337</v>
      </c>
      <c r="N2" s="84">
        <v>0.88194444444444442</v>
      </c>
      <c r="O2" s="92">
        <f>BP2-BQ2</f>
        <v>6.6666666666666652</v>
      </c>
      <c r="P2" s="84">
        <v>0.54166666666666663</v>
      </c>
      <c r="Q2" s="85">
        <v>0.84722222222222221</v>
      </c>
      <c r="R2" s="92">
        <f>BU2-BV2</f>
        <v>6.8333333333333339</v>
      </c>
      <c r="S2" s="84">
        <v>0.375</v>
      </c>
      <c r="T2" s="85">
        <v>0.70833333333333337</v>
      </c>
      <c r="U2" s="92">
        <f>BZ2-CA2</f>
        <v>7.5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36.25</v>
      </c>
      <c r="AC2" s="93"/>
      <c r="AD2" s="78">
        <v>1</v>
      </c>
      <c r="AE2" s="94">
        <f t="shared" ref="AE2:AE40" si="1">SUMIF($BC$1:$CI$1,AE$1,$BC2:$CI2)+AD2</f>
        <v>29.75</v>
      </c>
      <c r="AF2" s="77"/>
      <c r="AG2" s="94">
        <f t="shared" ref="AG2:AG40" si="2">SUMIF($BC$1:$CI$1,AG$1,$BC2:$CI2)+AF2</f>
        <v>7.5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5</v>
      </c>
      <c r="AQ2" s="77"/>
      <c r="AR2" s="77"/>
      <c r="AS2" s="77"/>
      <c r="AT2" s="44">
        <f>AE2+AG2+AI2+AK2+AM2+AO2+SUM(AQ2:AS2)</f>
        <v>37.25</v>
      </c>
      <c r="AU2" s="98" t="s">
        <v>1422</v>
      </c>
      <c r="AV2" s="5"/>
      <c r="AW2" s="5"/>
      <c r="AX2" s="5"/>
      <c r="AY2" s="5"/>
      <c r="AZ2" s="24">
        <f>VLOOKUP(C2,Employees!D:I,6,FALSE)</f>
        <v>10012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7.5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8.25</v>
      </c>
      <c r="BG2" s="5">
        <f>IF(BF2&gt;$AY$1,1,IF(BF2&gt;=$AX$1,0.5,0))</f>
        <v>0.5</v>
      </c>
      <c r="BH2" s="5">
        <f>BF2-BG2-BI2-BJ2</f>
        <v>7.75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7.1666666666666652</v>
      </c>
      <c r="BQ2" s="5">
        <f>IF(BP2&gt;$AY$1,1,IF(BP2&gt;=$AX$1,0.5,0))</f>
        <v>0.5</v>
      </c>
      <c r="BR2" s="5">
        <f>BP2-BQ2-BS2-BT2</f>
        <v>6.6666666666666652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7.3333333333333339</v>
      </c>
      <c r="BV2" s="5">
        <f>IF(BU2&gt;$AY$1,1,IF(BU2&gt;=$AX$1,0.5,0))</f>
        <v>0.5</v>
      </c>
      <c r="BW2" s="5">
        <f>BU2-BV2-BX2-BY2</f>
        <v>6.8333333333333339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</v>
      </c>
      <c r="CA2" s="5">
        <f>IF(BZ2&gt;$AY$1,1,IF(BZ2&gt;=$AX$1,0.5,0))</f>
        <v>0.5</v>
      </c>
      <c r="CB2" s="5">
        <f>BZ2-CA2-CC2-CD2</f>
        <v>7.5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10491</v>
      </c>
      <c r="B3" s="73" t="s">
        <v>23</v>
      </c>
      <c r="C3" s="97" t="s">
        <v>1412</v>
      </c>
      <c r="D3" s="84"/>
      <c r="E3" s="85"/>
      <c r="F3" s="92">
        <f t="shared" ref="F3:F69" si="15">BA3-BB3</f>
        <v>0</v>
      </c>
      <c r="G3" s="85"/>
      <c r="H3" s="85"/>
      <c r="I3" s="92">
        <f t="shared" ref="I3:I69" si="16">BF3-BG3</f>
        <v>0</v>
      </c>
      <c r="J3" s="85">
        <v>0.375</v>
      </c>
      <c r="K3" s="85">
        <v>0.70833333333333337</v>
      </c>
      <c r="L3" s="92">
        <f t="shared" ref="L3:L69" si="17">BK3-BL3</f>
        <v>7.5</v>
      </c>
      <c r="M3" s="85"/>
      <c r="N3" s="84"/>
      <c r="O3" s="92">
        <f t="shared" ref="O3:O69" si="18">BP3-BQ3</f>
        <v>0</v>
      </c>
      <c r="P3" s="84"/>
      <c r="Q3" s="85"/>
      <c r="R3" s="92">
        <f t="shared" ref="R3:R69" si="19">BU3-BV3</f>
        <v>0</v>
      </c>
      <c r="S3" s="85">
        <v>0.54166666666666663</v>
      </c>
      <c r="T3" s="85">
        <v>0.85069444444444442</v>
      </c>
      <c r="U3" s="92">
        <f t="shared" ref="U3:U69" si="20">BZ3-CA3</f>
        <v>6.916666666666667</v>
      </c>
      <c r="V3" s="85">
        <v>0.5</v>
      </c>
      <c r="W3" s="85">
        <v>0.84722222222222221</v>
      </c>
      <c r="X3" s="92">
        <f t="shared" ref="X3:X69" si="21">CE3-CF3</f>
        <v>7.8333333333333321</v>
      </c>
      <c r="Y3" s="92"/>
      <c r="Z3" s="92"/>
      <c r="AA3" s="92"/>
      <c r="AB3" s="92">
        <f t="shared" ref="AB3:AB69" si="22">SUM(F3,I3,L3,O3,R3,U3,X3)</f>
        <v>22.25</v>
      </c>
      <c r="AC3" s="93"/>
      <c r="AD3" s="78">
        <v>75.98</v>
      </c>
      <c r="AE3" s="94">
        <f t="shared" si="1"/>
        <v>83.48</v>
      </c>
      <c r="AF3" s="77"/>
      <c r="AG3" s="94">
        <f t="shared" si="2"/>
        <v>6.916666666666667</v>
      </c>
      <c r="AH3" s="78"/>
      <c r="AI3" s="94">
        <f t="shared" si="3"/>
        <v>7.8333333333333321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3</v>
      </c>
      <c r="AQ3" s="77"/>
      <c r="AR3" s="77"/>
      <c r="AS3" s="77"/>
      <c r="AT3" s="44">
        <f t="shared" ref="AT3:AT69" si="24">AE3+AG3+AI3+AK3+AM3+AO3+SUM(AQ3:AS3)</f>
        <v>98.23</v>
      </c>
      <c r="AU3" s="78"/>
      <c r="AV3" s="5"/>
      <c r="AW3" s="5"/>
      <c r="AX3" s="5"/>
      <c r="AY3" s="5"/>
      <c r="AZ3" s="24">
        <f>VLOOKUP(C3,Employees!D:I,6,FALSE)</f>
        <v>10491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8</v>
      </c>
      <c r="BL3" s="5">
        <f t="shared" ref="BL3:BL66" si="35">IF(BK3&gt;$AY$1,1,IF(BK3&gt;=$AX$1,0.5,0))</f>
        <v>0.5</v>
      </c>
      <c r="BM3" s="5">
        <f t="shared" ref="BM3:BM66" si="36">BK3-BL3-BN3-BO3</f>
        <v>7.5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7.416666666666667</v>
      </c>
      <c r="CA3" s="5">
        <f t="shared" ref="CA3:CA66" si="49">IF(BZ3&gt;$AY$1,1,IF(BZ3&gt;=$AX$1,0.5,0))</f>
        <v>0.5</v>
      </c>
      <c r="CB3" s="5">
        <f t="shared" ref="CB3:CB66" si="50">BZ3-CA3-CC3-CD3</f>
        <v>6.916666666666667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8.3333333333333321</v>
      </c>
      <c r="CF3" s="5">
        <f t="shared" ref="CF3:CF66" si="54">IF(CE3&gt;$AY$1,1,IF(CE3&gt;=$AX$1,0.5,0))</f>
        <v>0.5</v>
      </c>
      <c r="CG3" s="5">
        <f t="shared" ref="CG3:CG66" si="55">CE3-CF3-CH3-CI3</f>
        <v>7.8333333333333321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3</v>
      </c>
    </row>
    <row r="4" spans="1:89" ht="38" customHeight="1">
      <c r="A4" s="74">
        <f t="shared" si="0"/>
        <v>10051</v>
      </c>
      <c r="B4" s="73" t="s">
        <v>1410</v>
      </c>
      <c r="C4" s="88" t="s">
        <v>1413</v>
      </c>
      <c r="D4" s="85"/>
      <c r="E4" s="85"/>
      <c r="F4" s="92">
        <f t="shared" si="15"/>
        <v>0</v>
      </c>
      <c r="G4" s="85"/>
      <c r="H4" s="85"/>
      <c r="I4" s="92">
        <f t="shared" si="16"/>
        <v>0</v>
      </c>
      <c r="J4" s="85"/>
      <c r="K4" s="85"/>
      <c r="L4" s="92">
        <f t="shared" si="17"/>
        <v>0</v>
      </c>
      <c r="M4" s="85">
        <v>0.54166666666666663</v>
      </c>
      <c r="N4" s="85">
        <v>0.88194444444444442</v>
      </c>
      <c r="O4" s="92">
        <f t="shared" si="18"/>
        <v>7.6666666666666679</v>
      </c>
      <c r="P4" s="85"/>
      <c r="Q4" s="85"/>
      <c r="R4" s="92">
        <f t="shared" si="19"/>
        <v>0</v>
      </c>
      <c r="S4" s="85"/>
      <c r="T4" s="85"/>
      <c r="U4" s="92">
        <f t="shared" si="20"/>
        <v>0</v>
      </c>
      <c r="V4" s="85">
        <v>0.54166666666666663</v>
      </c>
      <c r="W4" s="85">
        <v>0.84722222222222221</v>
      </c>
      <c r="X4" s="92">
        <f t="shared" si="21"/>
        <v>6.8333333333333339</v>
      </c>
      <c r="Y4" s="92"/>
      <c r="Z4" s="92"/>
      <c r="AA4" s="92"/>
      <c r="AB4" s="92">
        <f t="shared" si="22"/>
        <v>14.500000000000002</v>
      </c>
      <c r="AC4" s="93"/>
      <c r="AD4" s="78"/>
      <c r="AE4" s="94">
        <f t="shared" si="1"/>
        <v>7.6666666666666679</v>
      </c>
      <c r="AF4" s="77"/>
      <c r="AG4" s="94">
        <f t="shared" si="2"/>
        <v>0</v>
      </c>
      <c r="AH4" s="78"/>
      <c r="AI4" s="94">
        <f t="shared" si="3"/>
        <v>6.8333333333333339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2</v>
      </c>
      <c r="AQ4" s="77"/>
      <c r="AR4" s="77">
        <v>20</v>
      </c>
      <c r="AS4" s="77"/>
      <c r="AT4" s="44">
        <f t="shared" si="24"/>
        <v>34.5</v>
      </c>
      <c r="AU4" s="98" t="s">
        <v>1421</v>
      </c>
      <c r="AV4" s="5"/>
      <c r="AW4" s="5"/>
      <c r="AX4" s="5"/>
      <c r="AY4" s="5"/>
      <c r="AZ4" s="24">
        <f>VLOOKUP(C4,Employees!D:I,6,FALSE)</f>
        <v>10051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8.1666666666666679</v>
      </c>
      <c r="BQ4" s="5">
        <f t="shared" si="40"/>
        <v>0.5</v>
      </c>
      <c r="BR4" s="5">
        <f t="shared" si="41"/>
        <v>7.6666666666666679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7.3333333333333339</v>
      </c>
      <c r="CF4" s="5">
        <f t="shared" si="54"/>
        <v>0.5</v>
      </c>
      <c r="CG4" s="5">
        <f t="shared" si="55"/>
        <v>6.8333333333333339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10187</v>
      </c>
      <c r="B5" s="73" t="s">
        <v>1410</v>
      </c>
      <c r="C5" s="88" t="s">
        <v>1414</v>
      </c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/>
      <c r="K5" s="85"/>
      <c r="L5" s="92">
        <f t="shared" si="17"/>
        <v>0</v>
      </c>
      <c r="M5" s="85"/>
      <c r="N5" s="85"/>
      <c r="O5" s="92">
        <f t="shared" si="18"/>
        <v>0</v>
      </c>
      <c r="P5" s="85"/>
      <c r="Q5" s="85"/>
      <c r="R5" s="92">
        <f t="shared" si="19"/>
        <v>0</v>
      </c>
      <c r="S5" s="85"/>
      <c r="T5" s="85"/>
      <c r="U5" s="92">
        <f t="shared" si="20"/>
        <v>0</v>
      </c>
      <c r="V5" s="85">
        <v>0.38541666666666669</v>
      </c>
      <c r="W5" s="85">
        <v>0.75</v>
      </c>
      <c r="X5" s="92">
        <f t="shared" si="21"/>
        <v>8.25</v>
      </c>
      <c r="Y5" s="92"/>
      <c r="Z5" s="92"/>
      <c r="AA5" s="92"/>
      <c r="AB5" s="92">
        <f t="shared" si="22"/>
        <v>8.25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8.25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1</v>
      </c>
      <c r="AQ5" s="77"/>
      <c r="AR5" s="77"/>
      <c r="AS5" s="77"/>
      <c r="AT5" s="44">
        <f t="shared" si="24"/>
        <v>8.25</v>
      </c>
      <c r="AU5" s="78"/>
      <c r="AV5" s="5"/>
      <c r="AW5" s="5"/>
      <c r="AX5" s="5"/>
      <c r="AY5" s="5"/>
      <c r="AZ5" s="24">
        <f>VLOOKUP(C5,Employees!D:I,6,FALSE)</f>
        <v>10187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8.75</v>
      </c>
      <c r="CF5" s="5">
        <f t="shared" si="54"/>
        <v>0.5</v>
      </c>
      <c r="CG5" s="5">
        <f t="shared" si="55"/>
        <v>8.25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10202</v>
      </c>
      <c r="B6" s="73" t="s">
        <v>1410</v>
      </c>
      <c r="C6" s="88" t="s">
        <v>1415</v>
      </c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85">
        <v>0.5</v>
      </c>
      <c r="N6" s="85">
        <v>0.70833333333333337</v>
      </c>
      <c r="O6" s="92">
        <f t="shared" si="18"/>
        <v>5.0000000000000009</v>
      </c>
      <c r="P6" s="85">
        <v>0.54166666666666663</v>
      </c>
      <c r="Q6" s="85">
        <v>0.75</v>
      </c>
      <c r="R6" s="92">
        <f t="shared" si="19"/>
        <v>5.0000000000000009</v>
      </c>
      <c r="S6" s="85"/>
      <c r="T6" s="85"/>
      <c r="U6" s="92">
        <f t="shared" si="20"/>
        <v>0</v>
      </c>
      <c r="V6" s="85"/>
      <c r="W6" s="85"/>
      <c r="X6" s="92">
        <f t="shared" si="21"/>
        <v>0</v>
      </c>
      <c r="Y6" s="92"/>
      <c r="Z6" s="92"/>
      <c r="AA6" s="92"/>
      <c r="AB6" s="92">
        <f t="shared" si="22"/>
        <v>10.000000000000002</v>
      </c>
      <c r="AC6" s="93"/>
      <c r="AD6" s="78"/>
      <c r="AE6" s="94">
        <f t="shared" si="1"/>
        <v>10.000000000000002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10.000000000000002</v>
      </c>
      <c r="AU6" s="78"/>
      <c r="AV6" s="5"/>
      <c r="AW6" s="5"/>
      <c r="AX6" s="5"/>
      <c r="AY6" s="5"/>
      <c r="AZ6" s="24">
        <f>VLOOKUP(C6,Employees!D:I,6,FALSE)</f>
        <v>10202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5.0000000000000009</v>
      </c>
      <c r="BQ6" s="5">
        <f t="shared" si="40"/>
        <v>0</v>
      </c>
      <c r="BR6" s="5">
        <f t="shared" si="41"/>
        <v>5.0000000000000009</v>
      </c>
      <c r="BS6" s="5">
        <f t="shared" si="42"/>
        <v>0</v>
      </c>
      <c r="BT6" s="5">
        <f t="shared" si="43"/>
        <v>0</v>
      </c>
      <c r="BU6" s="5">
        <f t="shared" si="44"/>
        <v>5.0000000000000009</v>
      </c>
      <c r="BV6" s="5">
        <f t="shared" si="45"/>
        <v>0</v>
      </c>
      <c r="BW6" s="5">
        <f t="shared" si="46"/>
        <v>5.0000000000000009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10267</v>
      </c>
      <c r="B7" s="73" t="s">
        <v>1410</v>
      </c>
      <c r="C7" s="88" t="s">
        <v>1416</v>
      </c>
      <c r="D7" s="84">
        <v>0.5</v>
      </c>
      <c r="E7" s="85">
        <v>0.83680555555555558</v>
      </c>
      <c r="F7" s="92">
        <f t="shared" si="15"/>
        <v>7.5833333333333339</v>
      </c>
      <c r="G7" s="85"/>
      <c r="H7" s="85"/>
      <c r="I7" s="92">
        <f t="shared" si="16"/>
        <v>0</v>
      </c>
      <c r="J7" s="85">
        <v>0.5</v>
      </c>
      <c r="K7" s="85">
        <v>0.84027777777777779</v>
      </c>
      <c r="L7" s="92">
        <f t="shared" si="17"/>
        <v>7.6666666666666679</v>
      </c>
      <c r="M7" s="84">
        <v>0.375</v>
      </c>
      <c r="N7" s="85">
        <v>0.75</v>
      </c>
      <c r="O7" s="92">
        <f t="shared" si="18"/>
        <v>8.5</v>
      </c>
      <c r="P7" s="84"/>
      <c r="Q7" s="85"/>
      <c r="R7" s="92">
        <f t="shared" si="19"/>
        <v>0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23.75</v>
      </c>
      <c r="AC7" s="93"/>
      <c r="AD7" s="78">
        <v>5.83</v>
      </c>
      <c r="AE7" s="94">
        <f t="shared" si="1"/>
        <v>29.58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3</v>
      </c>
      <c r="AQ7" s="77"/>
      <c r="AR7" s="77"/>
      <c r="AS7" s="77"/>
      <c r="AT7" s="44">
        <f t="shared" si="24"/>
        <v>29.58</v>
      </c>
      <c r="AU7" s="78"/>
      <c r="AV7" s="5"/>
      <c r="AW7" s="5"/>
      <c r="AX7" s="5"/>
      <c r="AY7" s="5"/>
      <c r="AZ7" s="24">
        <f>VLOOKUP(C7,Employees!D:I,6,FALSE)</f>
        <v>10267</v>
      </c>
      <c r="BA7" s="5">
        <f t="shared" si="25"/>
        <v>8.0833333333333339</v>
      </c>
      <c r="BB7" s="5">
        <f t="shared" si="26"/>
        <v>0.5</v>
      </c>
      <c r="BC7" s="5">
        <f t="shared" si="27"/>
        <v>7.5833333333333339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8.1666666666666679</v>
      </c>
      <c r="BL7" s="5">
        <f t="shared" si="35"/>
        <v>0.5</v>
      </c>
      <c r="BM7" s="5">
        <f t="shared" si="36"/>
        <v>7.6666666666666679</v>
      </c>
      <c r="BN7" s="5">
        <f t="shared" si="37"/>
        <v>0</v>
      </c>
      <c r="BO7" s="5">
        <f t="shared" si="38"/>
        <v>0</v>
      </c>
      <c r="BP7" s="5">
        <f t="shared" si="39"/>
        <v>9</v>
      </c>
      <c r="BQ7" s="5">
        <f t="shared" si="40"/>
        <v>0.5</v>
      </c>
      <c r="BR7" s="5">
        <f t="shared" si="41"/>
        <v>8.5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210433</v>
      </c>
      <c r="B8" s="73" t="s">
        <v>23</v>
      </c>
      <c r="C8" s="97" t="s">
        <v>1417</v>
      </c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84"/>
      <c r="K8" s="85"/>
      <c r="L8" s="92">
        <f t="shared" si="17"/>
        <v>0</v>
      </c>
      <c r="M8" s="85"/>
      <c r="N8" s="85"/>
      <c r="O8" s="92">
        <f t="shared" si="18"/>
        <v>0</v>
      </c>
      <c r="P8" s="84">
        <v>0.375</v>
      </c>
      <c r="Q8" s="85">
        <v>0.70833333333333337</v>
      </c>
      <c r="R8" s="92">
        <f t="shared" si="19"/>
        <v>7.5</v>
      </c>
      <c r="S8" s="84">
        <v>0.5</v>
      </c>
      <c r="T8" s="85">
        <v>0.85069444444444442</v>
      </c>
      <c r="U8" s="92">
        <f t="shared" si="20"/>
        <v>7.9166666666666661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15.416666666666666</v>
      </c>
      <c r="AC8" s="93"/>
      <c r="AD8" s="78"/>
      <c r="AE8" s="94">
        <f t="shared" si="1"/>
        <v>7.5</v>
      </c>
      <c r="AF8" s="77"/>
      <c r="AG8" s="94">
        <f t="shared" si="2"/>
        <v>7.9166666666666661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2</v>
      </c>
      <c r="AQ8" s="77"/>
      <c r="AR8" s="77"/>
      <c r="AS8" s="77"/>
      <c r="AT8" s="44">
        <f t="shared" si="24"/>
        <v>15.416666666666666</v>
      </c>
      <c r="AU8" s="78"/>
      <c r="AV8" s="5"/>
      <c r="AW8" s="5"/>
      <c r="AX8" s="5"/>
      <c r="AY8" s="5"/>
      <c r="AZ8" s="24">
        <f>VLOOKUP(C8,Employees!D:I,6,FALSE)</f>
        <v>210433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8</v>
      </c>
      <c r="BV8" s="5">
        <f t="shared" si="45"/>
        <v>0.5</v>
      </c>
      <c r="BW8" s="5">
        <f t="shared" si="46"/>
        <v>7.5</v>
      </c>
      <c r="BX8" s="5">
        <f t="shared" si="47"/>
        <v>0</v>
      </c>
      <c r="BY8" s="5">
        <f t="shared" si="11"/>
        <v>0</v>
      </c>
      <c r="BZ8" s="5">
        <f t="shared" si="48"/>
        <v>8.4166666666666661</v>
      </c>
      <c r="CA8" s="5">
        <f t="shared" si="49"/>
        <v>0.5</v>
      </c>
      <c r="CB8" s="5">
        <f t="shared" si="50"/>
        <v>7.9166666666666661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210445</v>
      </c>
      <c r="B9" s="73" t="s">
        <v>23</v>
      </c>
      <c r="C9" s="97" t="s">
        <v>1418</v>
      </c>
      <c r="D9" s="85">
        <v>0.54166666666666663</v>
      </c>
      <c r="E9" s="85">
        <v>0.83680555555555558</v>
      </c>
      <c r="F9" s="92">
        <f t="shared" si="15"/>
        <v>6.5833333333333348</v>
      </c>
      <c r="G9" s="85">
        <v>0.375</v>
      </c>
      <c r="H9" s="85">
        <v>0.70833333333333337</v>
      </c>
      <c r="I9" s="92">
        <f t="shared" si="16"/>
        <v>7.5</v>
      </c>
      <c r="J9" s="85">
        <v>0.54166666666666663</v>
      </c>
      <c r="K9" s="85">
        <v>0.84027777777777779</v>
      </c>
      <c r="L9" s="92">
        <f t="shared" si="17"/>
        <v>6.6666666666666679</v>
      </c>
      <c r="M9" s="84"/>
      <c r="N9" s="85"/>
      <c r="O9" s="92">
        <f t="shared" si="18"/>
        <v>0</v>
      </c>
      <c r="P9" s="85">
        <v>0.5</v>
      </c>
      <c r="Q9" s="85">
        <v>0.84722222222222221</v>
      </c>
      <c r="R9" s="92">
        <f t="shared" si="19"/>
        <v>7.8333333333333321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28.583333333333336</v>
      </c>
      <c r="AC9" s="93"/>
      <c r="AD9" s="78"/>
      <c r="AE9" s="94">
        <f t="shared" si="1"/>
        <v>28.583333333333336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4</v>
      </c>
      <c r="AQ9" s="77"/>
      <c r="AR9" s="77"/>
      <c r="AS9" s="77"/>
      <c r="AT9" s="44">
        <f t="shared" si="24"/>
        <v>28.583333333333336</v>
      </c>
      <c r="AU9" s="78"/>
      <c r="AV9" s="5"/>
      <c r="AW9" s="5"/>
      <c r="AX9" s="5"/>
      <c r="AY9" s="5"/>
      <c r="AZ9" s="24">
        <f>VLOOKUP(C9,Employees!D:I,6,FALSE)</f>
        <v>210445</v>
      </c>
      <c r="BA9" s="5">
        <f t="shared" si="25"/>
        <v>7.0833333333333348</v>
      </c>
      <c r="BB9" s="5">
        <f t="shared" si="26"/>
        <v>0.5</v>
      </c>
      <c r="BC9" s="5">
        <f t="shared" si="27"/>
        <v>6.5833333333333348</v>
      </c>
      <c r="BD9" s="5">
        <f t="shared" si="58"/>
        <v>0</v>
      </c>
      <c r="BE9" s="5">
        <f t="shared" si="28"/>
        <v>0</v>
      </c>
      <c r="BF9" s="5">
        <f t="shared" si="29"/>
        <v>8</v>
      </c>
      <c r="BG9" s="5">
        <f t="shared" si="30"/>
        <v>0.5</v>
      </c>
      <c r="BH9" s="5">
        <f t="shared" si="31"/>
        <v>7.5</v>
      </c>
      <c r="BI9" s="5">
        <f t="shared" si="32"/>
        <v>0</v>
      </c>
      <c r="BJ9" s="5">
        <f t="shared" si="33"/>
        <v>0</v>
      </c>
      <c r="BK9" s="5">
        <f t="shared" si="34"/>
        <v>7.1666666666666679</v>
      </c>
      <c r="BL9" s="5">
        <f t="shared" si="35"/>
        <v>0.5</v>
      </c>
      <c r="BM9" s="5">
        <f t="shared" si="36"/>
        <v>6.6666666666666679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8.3333333333333321</v>
      </c>
      <c r="BV9" s="5">
        <f t="shared" si="45"/>
        <v>0.5</v>
      </c>
      <c r="BW9" s="5">
        <f t="shared" si="46"/>
        <v>7.8333333333333321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4</v>
      </c>
    </row>
    <row r="10" spans="1:89" ht="38" customHeight="1">
      <c r="A10" s="74">
        <f t="shared" si="0"/>
        <v>210447</v>
      </c>
      <c r="B10" s="73" t="s">
        <v>23</v>
      </c>
      <c r="C10" s="97" t="s">
        <v>1419</v>
      </c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5">
        <v>0.54166666666666663</v>
      </c>
      <c r="T10" s="85">
        <v>0.75</v>
      </c>
      <c r="U10" s="92">
        <f t="shared" si="20"/>
        <v>5.0000000000000009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5.0000000000000009</v>
      </c>
      <c r="AC10" s="93"/>
      <c r="AD10" s="78"/>
      <c r="AE10" s="94">
        <f t="shared" si="1"/>
        <v>0</v>
      </c>
      <c r="AF10" s="77"/>
      <c r="AG10" s="94">
        <f t="shared" si="2"/>
        <v>5.0000000000000009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1</v>
      </c>
      <c r="AQ10" s="77"/>
      <c r="AR10" s="77"/>
      <c r="AS10" s="77"/>
      <c r="AT10" s="44">
        <f t="shared" si="24"/>
        <v>5.0000000000000009</v>
      </c>
      <c r="AU10" s="78"/>
      <c r="AV10" s="5"/>
      <c r="AW10" s="5"/>
      <c r="AX10" s="5"/>
      <c r="AY10" s="5"/>
      <c r="AZ10" s="24">
        <f>VLOOKUP(C10,Employees!D:I,6,FALSE)</f>
        <v>210447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5.0000000000000009</v>
      </c>
      <c r="CA10" s="5">
        <f t="shared" si="49"/>
        <v>0</v>
      </c>
      <c r="CB10" s="5">
        <f t="shared" si="50"/>
        <v>5.0000000000000009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210477</v>
      </c>
      <c r="B11" s="81" t="s">
        <v>23</v>
      </c>
      <c r="C11" s="86" t="s">
        <v>1420</v>
      </c>
      <c r="D11" s="85"/>
      <c r="E11" s="85"/>
      <c r="F11" s="92">
        <f t="shared" si="15"/>
        <v>0</v>
      </c>
      <c r="G11" s="85">
        <v>0.54166666666666663</v>
      </c>
      <c r="H11" s="85">
        <v>0.84375</v>
      </c>
      <c r="I11" s="92">
        <f t="shared" si="16"/>
        <v>6.7500000000000009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6.7500000000000009</v>
      </c>
      <c r="AC11" s="93"/>
      <c r="AD11" s="78"/>
      <c r="AE11" s="94">
        <f t="shared" si="1"/>
        <v>6.7500000000000009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1</v>
      </c>
      <c r="AQ11" s="77"/>
      <c r="AR11" s="77"/>
      <c r="AS11" s="77"/>
      <c r="AT11" s="44">
        <f t="shared" si="24"/>
        <v>6.7500000000000009</v>
      </c>
      <c r="AU11" s="78"/>
      <c r="AV11" s="5"/>
      <c r="AW11" s="5"/>
      <c r="AX11" s="5"/>
      <c r="AY11" s="5"/>
      <c r="AZ11" s="24">
        <f>VLOOKUP(C11,Employees!D:I,6,FALSE)</f>
        <v>210477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7.2500000000000009</v>
      </c>
      <c r="BG11" s="5">
        <f t="shared" si="30"/>
        <v>0.5</v>
      </c>
      <c r="BH11" s="5">
        <f t="shared" si="31"/>
        <v>6.7500000000000009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U8" sqref="AU8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10012</v>
      </c>
      <c r="B2" s="73" t="s">
        <v>1410</v>
      </c>
      <c r="C2" s="88" t="s">
        <v>1411</v>
      </c>
      <c r="D2" s="75">
        <v>0.37847222222222221</v>
      </c>
      <c r="E2" s="75">
        <v>0.70833333333333337</v>
      </c>
      <c r="F2" s="92">
        <f>BA2-BB2</f>
        <v>7.4166666666666679</v>
      </c>
      <c r="G2" s="76"/>
      <c r="H2" s="75"/>
      <c r="I2" s="92">
        <f>BF2-BG2</f>
        <v>0</v>
      </c>
      <c r="J2" s="75">
        <v>0.5625</v>
      </c>
      <c r="K2" s="76">
        <v>0.84375</v>
      </c>
      <c r="L2" s="92">
        <f>BK2-BL2</f>
        <v>6.25</v>
      </c>
      <c r="M2" s="75"/>
      <c r="N2" s="76"/>
      <c r="O2" s="92">
        <f>BP2-BQ2</f>
        <v>0</v>
      </c>
      <c r="P2" s="75">
        <v>0.5</v>
      </c>
      <c r="Q2" s="76">
        <v>0.84722222222222221</v>
      </c>
      <c r="R2" s="92">
        <f>BU2-BV2</f>
        <v>7.8333333333333321</v>
      </c>
      <c r="S2" s="75">
        <v>0.5</v>
      </c>
      <c r="T2" s="75">
        <v>0.84375</v>
      </c>
      <c r="U2" s="92">
        <f>BZ2-CA2</f>
        <v>7.75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29.25</v>
      </c>
      <c r="AC2" s="93"/>
      <c r="AD2" s="78">
        <v>1</v>
      </c>
      <c r="AE2" s="94">
        <f>SUMIF($BC$1:$CI$1,AE$1,$BC2:$CI2)+AD2</f>
        <v>22.5</v>
      </c>
      <c r="AF2" s="78"/>
      <c r="AG2" s="94">
        <f>SUMIF($BC$1:$CI$1,AG$1,$BC2:$CI2)+AF2</f>
        <v>7.75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4</v>
      </c>
      <c r="AQ2" s="77"/>
      <c r="AR2" s="77"/>
      <c r="AS2" s="77"/>
      <c r="AT2" s="63">
        <f>AE2+AG2+AI2+AK2+AM2+AO2+SUM(AQ2:AS2)</f>
        <v>30.25</v>
      </c>
      <c r="AU2" s="98" t="s">
        <v>1422</v>
      </c>
      <c r="AV2" s="5"/>
      <c r="AW2" s="5"/>
      <c r="AX2" s="5"/>
      <c r="AY2" s="5"/>
      <c r="AZ2" s="24">
        <f>VLOOKUP(C2,Employees!D:I,6,FALSE)</f>
        <v>10012</v>
      </c>
      <c r="BA2" s="5">
        <f>IF(ISBLANK(D2),0,(E2-D2)*24)</f>
        <v>7.9166666666666679</v>
      </c>
      <c r="BB2" s="5">
        <f>IF(BA2&gt;$AY$1,1,IF(BA2&gt;=$AX$1,0.5,0))</f>
        <v>0.5</v>
      </c>
      <c r="BC2" s="5">
        <f>BA2-BB2-BD2-BE2</f>
        <v>7.4166666666666679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6.75</v>
      </c>
      <c r="BL2" s="5">
        <f>IF(BK2&gt;$AY$1,1,IF(BK2&gt;=$AX$1,0.5,0))</f>
        <v>0.5</v>
      </c>
      <c r="BM2" s="5">
        <f>BK2-BL2-BN2-BO2</f>
        <v>6.25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8.3333333333333321</v>
      </c>
      <c r="BV2" s="5">
        <f>IF(BU2&gt;$AY$1,1,IF(BU2&gt;=$AX$1,0.5,0))</f>
        <v>0.5</v>
      </c>
      <c r="BW2" s="5">
        <f>BU2-BV2-BX2-BY2</f>
        <v>7.8333333333333321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8.25</v>
      </c>
      <c r="CA2" s="5">
        <f>IF(BZ2&gt;$AY$1,1,IF(BZ2&gt;=$AX$1,0.5,0))</f>
        <v>0.5</v>
      </c>
      <c r="CB2" s="5">
        <f>BZ2-CA2-CC2-CD2</f>
        <v>7.75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10491</v>
      </c>
      <c r="B3" s="73" t="s">
        <v>23</v>
      </c>
      <c r="C3" s="97" t="s">
        <v>1412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>
        <v>0.5</v>
      </c>
      <c r="K3" s="75">
        <v>0.84375</v>
      </c>
      <c r="L3" s="92">
        <f t="shared" ref="L3:L74" si="11">BK3-BL3</f>
        <v>7.75</v>
      </c>
      <c r="M3" s="75"/>
      <c r="N3" s="75"/>
      <c r="O3" s="92">
        <f t="shared" ref="O3:O74" si="12">BP3-BQ3</f>
        <v>0</v>
      </c>
      <c r="P3" s="85"/>
      <c r="Q3" s="85"/>
      <c r="R3" s="92">
        <f t="shared" ref="R3:R74" si="13">BU3-BV3</f>
        <v>0</v>
      </c>
      <c r="S3" s="85">
        <v>0.54166666666666663</v>
      </c>
      <c r="T3" s="85">
        <v>0.84375</v>
      </c>
      <c r="U3" s="92">
        <f t="shared" ref="U3:U74" si="14">BZ3-CA3</f>
        <v>6.7500000000000009</v>
      </c>
      <c r="V3" s="75">
        <v>0.5</v>
      </c>
      <c r="W3" s="75">
        <v>0.84722222222222221</v>
      </c>
      <c r="X3" s="92">
        <f t="shared" ref="X3:X74" si="15">CE3-CF3</f>
        <v>7.8333333333333321</v>
      </c>
      <c r="Y3" s="92"/>
      <c r="Z3" s="92"/>
      <c r="AA3" s="92"/>
      <c r="AB3" s="96">
        <f t="shared" ref="AB3:AB74" si="16">SUM(F3,I3,L3,O3,R3,U3,X3)</f>
        <v>22.333333333333332</v>
      </c>
      <c r="AC3" s="93"/>
      <c r="AD3" s="78"/>
      <c r="AE3" s="94">
        <f t="shared" ref="AE3:AE74" si="17">SUMIF($BC$1:$CI$1,AE$1,$BC3:$CI3)+AD3</f>
        <v>7.75</v>
      </c>
      <c r="AF3" s="78"/>
      <c r="AG3" s="94">
        <f t="shared" ref="AG3:AG74" si="18">SUMIF($BC$1:$CI$1,AG$1,$BC3:$CI3)+AF3</f>
        <v>6.7500000000000009</v>
      </c>
      <c r="AH3" s="78"/>
      <c r="AI3" s="94">
        <f t="shared" ref="AI3:AI74" si="19">SUMIF($BC$1:$CI$1,AI$1,$BC3:$CI3)+AH3</f>
        <v>7.8333333333333321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22.333333333333332</v>
      </c>
      <c r="AU3" s="78"/>
      <c r="AV3" s="5"/>
      <c r="AW3" s="5"/>
      <c r="AX3" s="5"/>
      <c r="AY3" s="5"/>
      <c r="AZ3" s="24">
        <f>VLOOKUP(C3,Employees!D:I,6,FALSE)</f>
        <v>10491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8.25</v>
      </c>
      <c r="BL3" s="5">
        <f t="shared" ref="BL3:BL66" si="36">IF(BK3&gt;$AY$1,1,IF(BK3&gt;=$AX$1,0.5,0))</f>
        <v>0.5</v>
      </c>
      <c r="BM3" s="5">
        <f t="shared" ref="BM3:BM66" si="37">BK3-BL3-BN3-BO3</f>
        <v>7.75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7.2500000000000009</v>
      </c>
      <c r="CA3" s="5">
        <f t="shared" ref="CA3:CA66" si="51">IF(BZ3&gt;$AY$1,1,IF(BZ3&gt;=$AX$1,0.5,0))</f>
        <v>0.5</v>
      </c>
      <c r="CB3" s="5">
        <f t="shared" ref="CB3:CB66" si="52">BZ3-CA3-CC3-CD3</f>
        <v>6.7500000000000009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8.3333333333333321</v>
      </c>
      <c r="CF3" s="5">
        <f t="shared" ref="CF3:CF66" si="56">IF(CE3&gt;$AY$1,1,IF(CE3&gt;=$AX$1,0.5,0))</f>
        <v>0.5</v>
      </c>
      <c r="CG3" s="5">
        <f t="shared" ref="CG3:CG66" si="57">CE3-CF3-CH3-CI3</f>
        <v>7.8333333333333321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10051</v>
      </c>
      <c r="B4" s="73" t="s">
        <v>1410</v>
      </c>
      <c r="C4" s="88" t="s">
        <v>1413</v>
      </c>
      <c r="D4" s="75"/>
      <c r="E4" s="75"/>
      <c r="F4" s="92">
        <f t="shared" si="9"/>
        <v>0</v>
      </c>
      <c r="G4" s="76">
        <v>0.5</v>
      </c>
      <c r="H4" s="76">
        <v>0.83680555555555558</v>
      </c>
      <c r="I4" s="92">
        <f t="shared" si="10"/>
        <v>7.5833333333333339</v>
      </c>
      <c r="J4" s="75">
        <v>0.375</v>
      </c>
      <c r="K4" s="75">
        <v>0.70833333333333337</v>
      </c>
      <c r="L4" s="92">
        <f t="shared" si="11"/>
        <v>7.5</v>
      </c>
      <c r="M4" s="75">
        <v>0.54166666666666663</v>
      </c>
      <c r="N4" s="75">
        <v>0.88541666666666663</v>
      </c>
      <c r="O4" s="92">
        <f t="shared" si="12"/>
        <v>7.75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>
        <v>0.54166666666666663</v>
      </c>
      <c r="W4" s="75">
        <v>0.84722222222222221</v>
      </c>
      <c r="X4" s="92">
        <f t="shared" si="15"/>
        <v>6.8333333333333339</v>
      </c>
      <c r="Y4" s="92"/>
      <c r="Z4" s="92"/>
      <c r="AA4" s="92"/>
      <c r="AB4" s="96">
        <f t="shared" si="16"/>
        <v>29.666666666666671</v>
      </c>
      <c r="AC4" s="93"/>
      <c r="AD4" s="78"/>
      <c r="AE4" s="94">
        <f t="shared" si="17"/>
        <v>22.833333333333336</v>
      </c>
      <c r="AF4" s="78"/>
      <c r="AG4" s="94">
        <f t="shared" si="18"/>
        <v>0</v>
      </c>
      <c r="AH4" s="78"/>
      <c r="AI4" s="94">
        <f t="shared" si="19"/>
        <v>6.8333333333333339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4</v>
      </c>
      <c r="AQ4" s="77"/>
      <c r="AR4" s="77"/>
      <c r="AS4" s="77"/>
      <c r="AT4" s="63">
        <f t="shared" si="24"/>
        <v>29.666666666666671</v>
      </c>
      <c r="AU4" s="78"/>
      <c r="AV4" s="5"/>
      <c r="AW4" s="5"/>
      <c r="AX4" s="5"/>
      <c r="AY4" s="5"/>
      <c r="AZ4" s="24">
        <f>VLOOKUP(C4,Employees!D:I,6,FALSE)</f>
        <v>10051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8.0833333333333339</v>
      </c>
      <c r="BG4" s="5">
        <f t="shared" si="31"/>
        <v>0.5</v>
      </c>
      <c r="BH4" s="5">
        <f t="shared" si="32"/>
        <v>7.5833333333333339</v>
      </c>
      <c r="BI4" s="5">
        <f t="shared" si="33"/>
        <v>0</v>
      </c>
      <c r="BJ4" s="5">
        <f t="shared" si="34"/>
        <v>0</v>
      </c>
      <c r="BK4" s="5">
        <f t="shared" si="35"/>
        <v>8</v>
      </c>
      <c r="BL4" s="5">
        <f t="shared" si="36"/>
        <v>0.5</v>
      </c>
      <c r="BM4" s="5">
        <f t="shared" si="37"/>
        <v>7.5</v>
      </c>
      <c r="BN4" s="5">
        <f t="shared" si="38"/>
        <v>0</v>
      </c>
      <c r="BO4" s="5">
        <f t="shared" si="39"/>
        <v>0</v>
      </c>
      <c r="BP4" s="5">
        <f t="shared" si="40"/>
        <v>8.25</v>
      </c>
      <c r="BQ4" s="5">
        <f t="shared" si="41"/>
        <v>0.5</v>
      </c>
      <c r="BR4" s="5">
        <f t="shared" si="42"/>
        <v>7.75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7.3333333333333339</v>
      </c>
      <c r="CF4" s="5">
        <f t="shared" si="56"/>
        <v>0.5</v>
      </c>
      <c r="CG4" s="5">
        <f t="shared" si="57"/>
        <v>6.8333333333333339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10187</v>
      </c>
      <c r="B5" s="73" t="s">
        <v>1410</v>
      </c>
      <c r="C5" s="88" t="s">
        <v>1414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>
        <v>0.375</v>
      </c>
      <c r="W5" s="76">
        <v>0.75</v>
      </c>
      <c r="X5" s="92">
        <f t="shared" si="15"/>
        <v>8.5</v>
      </c>
      <c r="Y5" s="92"/>
      <c r="Z5" s="92"/>
      <c r="AA5" s="92"/>
      <c r="AB5" s="96">
        <f t="shared" si="16"/>
        <v>8.5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8.5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1</v>
      </c>
      <c r="AQ5" s="77"/>
      <c r="AR5" s="77"/>
      <c r="AS5" s="77"/>
      <c r="AT5" s="63">
        <f t="shared" si="24"/>
        <v>8.5</v>
      </c>
      <c r="AU5" s="78"/>
      <c r="AV5" s="5"/>
      <c r="AW5" s="5"/>
      <c r="AX5" s="5"/>
      <c r="AY5" s="5"/>
      <c r="AZ5" s="24">
        <f>VLOOKUP(C5,Employees!D:I,6,FALSE)</f>
        <v>10187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9</v>
      </c>
      <c r="CF5" s="5">
        <f t="shared" si="56"/>
        <v>0.5</v>
      </c>
      <c r="CG5" s="5">
        <f t="shared" si="57"/>
        <v>8.5</v>
      </c>
      <c r="CH5" s="5">
        <f t="shared" si="58"/>
        <v>0</v>
      </c>
      <c r="CI5" s="5">
        <f t="shared" si="59"/>
        <v>0</v>
      </c>
      <c r="CJ5" s="5"/>
      <c r="CK5" s="4">
        <f t="shared" si="8"/>
        <v>1</v>
      </c>
    </row>
    <row r="6" spans="1:89" ht="47" customHeight="1">
      <c r="A6" s="74">
        <f t="shared" si="0"/>
        <v>10202</v>
      </c>
      <c r="B6" s="73" t="s">
        <v>1410</v>
      </c>
      <c r="C6" s="88" t="s">
        <v>1415</v>
      </c>
      <c r="D6" s="76">
        <v>0.54166666666666663</v>
      </c>
      <c r="E6" s="75">
        <v>0.84027777777777779</v>
      </c>
      <c r="F6" s="92">
        <f t="shared" si="9"/>
        <v>6.6666666666666679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>
        <v>0.5</v>
      </c>
      <c r="N6" s="76">
        <v>0.70833333333333337</v>
      </c>
      <c r="O6" s="92">
        <f t="shared" si="12"/>
        <v>5.0000000000000009</v>
      </c>
      <c r="P6" s="76">
        <v>0.54166666666666663</v>
      </c>
      <c r="Q6" s="75">
        <v>0.75</v>
      </c>
      <c r="R6" s="92">
        <f t="shared" si="13"/>
        <v>5.0000000000000009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16.666666666666668</v>
      </c>
      <c r="AC6" s="93"/>
      <c r="AD6" s="78"/>
      <c r="AE6" s="94">
        <f t="shared" si="17"/>
        <v>16.666666666666668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3</v>
      </c>
      <c r="AQ6" s="77"/>
      <c r="AR6" s="77"/>
      <c r="AS6" s="77"/>
      <c r="AT6" s="63">
        <f t="shared" si="24"/>
        <v>16.666666666666668</v>
      </c>
      <c r="AU6" s="78"/>
      <c r="AV6" s="5"/>
      <c r="AW6" s="5"/>
      <c r="AX6" s="5"/>
      <c r="AY6" s="5"/>
      <c r="AZ6" s="24">
        <f>VLOOKUP(C6,Employees!D:I,6,FALSE)</f>
        <v>10202</v>
      </c>
      <c r="BA6" s="5">
        <f t="shared" si="25"/>
        <v>7.1666666666666679</v>
      </c>
      <c r="BB6" s="5">
        <f t="shared" si="26"/>
        <v>0.5</v>
      </c>
      <c r="BC6" s="5">
        <f t="shared" si="27"/>
        <v>6.6666666666666679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5.0000000000000009</v>
      </c>
      <c r="BQ6" s="5">
        <f t="shared" si="41"/>
        <v>0</v>
      </c>
      <c r="BR6" s="5">
        <f t="shared" si="42"/>
        <v>5.0000000000000009</v>
      </c>
      <c r="BS6" s="5">
        <f t="shared" si="43"/>
        <v>0</v>
      </c>
      <c r="BT6" s="5">
        <f t="shared" si="44"/>
        <v>0</v>
      </c>
      <c r="BU6" s="5">
        <f t="shared" si="45"/>
        <v>5.0000000000000009</v>
      </c>
      <c r="BV6" s="5">
        <f t="shared" si="46"/>
        <v>0</v>
      </c>
      <c r="BW6" s="5">
        <f t="shared" si="47"/>
        <v>5.0000000000000009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10267</v>
      </c>
      <c r="B7" s="73" t="s">
        <v>1410</v>
      </c>
      <c r="C7" s="88" t="s">
        <v>1416</v>
      </c>
      <c r="D7" s="76">
        <v>0.5</v>
      </c>
      <c r="E7" s="76">
        <v>0.84027777777777779</v>
      </c>
      <c r="F7" s="92">
        <f t="shared" si="9"/>
        <v>7.6666666666666679</v>
      </c>
      <c r="G7" s="75">
        <v>0.375</v>
      </c>
      <c r="H7" s="75">
        <v>0.75</v>
      </c>
      <c r="I7" s="92">
        <f t="shared" si="10"/>
        <v>8.5</v>
      </c>
      <c r="J7" s="76"/>
      <c r="K7" s="76"/>
      <c r="L7" s="92">
        <f t="shared" si="11"/>
        <v>0</v>
      </c>
      <c r="M7" s="76">
        <v>0.375</v>
      </c>
      <c r="N7" s="76">
        <v>0.75</v>
      </c>
      <c r="O7" s="92">
        <f t="shared" si="12"/>
        <v>8.5</v>
      </c>
      <c r="P7" s="76"/>
      <c r="Q7" s="75"/>
      <c r="R7" s="92">
        <f t="shared" si="13"/>
        <v>0</v>
      </c>
      <c r="S7" s="76">
        <v>0.375</v>
      </c>
      <c r="T7" s="75">
        <v>0.75</v>
      </c>
      <c r="U7" s="92">
        <f t="shared" si="14"/>
        <v>8.5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33.166666666666671</v>
      </c>
      <c r="AC7" s="93"/>
      <c r="AD7" s="78"/>
      <c r="AE7" s="94">
        <f t="shared" si="17"/>
        <v>24.666666666666668</v>
      </c>
      <c r="AF7" s="77"/>
      <c r="AG7" s="94">
        <f t="shared" si="18"/>
        <v>8.5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4</v>
      </c>
      <c r="AQ7" s="77"/>
      <c r="AR7" s="77"/>
      <c r="AS7" s="77"/>
      <c r="AT7" s="63">
        <f t="shared" si="24"/>
        <v>33.166666666666671</v>
      </c>
      <c r="AU7" s="78"/>
      <c r="AV7" s="5"/>
      <c r="AW7" s="5"/>
      <c r="AX7" s="5"/>
      <c r="AY7" s="5"/>
      <c r="AZ7" s="24">
        <f>VLOOKUP(C7,Employees!D:I,6,FALSE)</f>
        <v>10267</v>
      </c>
      <c r="BA7" s="5">
        <f t="shared" si="25"/>
        <v>8.1666666666666679</v>
      </c>
      <c r="BB7" s="5">
        <f t="shared" si="26"/>
        <v>0.5</v>
      </c>
      <c r="BC7" s="5">
        <f t="shared" si="27"/>
        <v>7.6666666666666679</v>
      </c>
      <c r="BD7" s="5">
        <f t="shared" si="28"/>
        <v>0</v>
      </c>
      <c r="BE7" s="5">
        <f t="shared" si="29"/>
        <v>0</v>
      </c>
      <c r="BF7" s="5">
        <f t="shared" si="30"/>
        <v>9</v>
      </c>
      <c r="BG7" s="5">
        <f t="shared" si="31"/>
        <v>0.5</v>
      </c>
      <c r="BH7" s="5">
        <f t="shared" si="32"/>
        <v>8.5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9</v>
      </c>
      <c r="BQ7" s="5">
        <f t="shared" si="41"/>
        <v>0.5</v>
      </c>
      <c r="BR7" s="5">
        <f t="shared" si="42"/>
        <v>8.5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9</v>
      </c>
      <c r="CA7" s="5">
        <f t="shared" si="51"/>
        <v>0.5</v>
      </c>
      <c r="CB7" s="5">
        <f t="shared" si="52"/>
        <v>8.5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4</v>
      </c>
    </row>
    <row r="8" spans="1:89" ht="47" customHeight="1">
      <c r="A8" s="74">
        <f t="shared" si="0"/>
        <v>210433</v>
      </c>
      <c r="B8" s="73" t="s">
        <v>23</v>
      </c>
      <c r="C8" s="97" t="s">
        <v>1417</v>
      </c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>
        <f>VLOOKUP(C8,Employees!D:I,6,FALSE)</f>
        <v>210433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>
        <f t="shared" si="0"/>
        <v>210445</v>
      </c>
      <c r="B9" s="73" t="s">
        <v>23</v>
      </c>
      <c r="C9" s="97" t="s">
        <v>1418</v>
      </c>
      <c r="D9" s="76"/>
      <c r="E9" s="75"/>
      <c r="F9" s="92">
        <f t="shared" si="9"/>
        <v>0</v>
      </c>
      <c r="G9" s="76">
        <v>0.54166666666666663</v>
      </c>
      <c r="H9" s="76">
        <v>0.83680555555555558</v>
      </c>
      <c r="I9" s="92">
        <f t="shared" si="10"/>
        <v>6.5833333333333348</v>
      </c>
      <c r="J9" s="76"/>
      <c r="K9" s="76"/>
      <c r="L9" s="92">
        <f t="shared" si="11"/>
        <v>0</v>
      </c>
      <c r="M9" s="75">
        <v>0.58333333333333337</v>
      </c>
      <c r="N9" s="75">
        <v>0.88541666666666663</v>
      </c>
      <c r="O9" s="92">
        <f t="shared" si="12"/>
        <v>6.7499999999999982</v>
      </c>
      <c r="P9" s="76">
        <v>0.375</v>
      </c>
      <c r="Q9" s="75">
        <v>0.70833333333333337</v>
      </c>
      <c r="R9" s="92">
        <f t="shared" si="13"/>
        <v>7.5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20.833333333333332</v>
      </c>
      <c r="AC9" s="93"/>
      <c r="AD9" s="78"/>
      <c r="AE9" s="94">
        <f t="shared" si="17"/>
        <v>20.833333333333332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3</v>
      </c>
      <c r="AQ9" s="77"/>
      <c r="AR9" s="77"/>
      <c r="AS9" s="77"/>
      <c r="AT9" s="63">
        <f t="shared" si="24"/>
        <v>20.833333333333332</v>
      </c>
      <c r="AU9" s="78"/>
      <c r="AV9" s="5"/>
      <c r="AW9" s="5"/>
      <c r="AX9" s="5"/>
      <c r="AY9" s="5"/>
      <c r="AZ9" s="24">
        <f>VLOOKUP(C9,Employees!D:I,6,FALSE)</f>
        <v>210445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7.0833333333333348</v>
      </c>
      <c r="BG9" s="5">
        <f t="shared" si="31"/>
        <v>0.5</v>
      </c>
      <c r="BH9" s="5">
        <f t="shared" si="32"/>
        <v>6.5833333333333348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7.2499999999999982</v>
      </c>
      <c r="BQ9" s="5">
        <f t="shared" si="41"/>
        <v>0.5</v>
      </c>
      <c r="BR9" s="5">
        <f t="shared" si="42"/>
        <v>6.7499999999999982</v>
      </c>
      <c r="BS9" s="5">
        <f t="shared" si="43"/>
        <v>0</v>
      </c>
      <c r="BT9" s="5">
        <f t="shared" si="44"/>
        <v>0</v>
      </c>
      <c r="BU9" s="5">
        <f t="shared" si="45"/>
        <v>8</v>
      </c>
      <c r="BV9" s="5">
        <f t="shared" si="46"/>
        <v>0.5</v>
      </c>
      <c r="BW9" s="5">
        <f t="shared" si="47"/>
        <v>7.5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3</v>
      </c>
    </row>
    <row r="10" spans="1:89" ht="47" customHeight="1">
      <c r="A10" s="74">
        <f t="shared" si="0"/>
        <v>210447</v>
      </c>
      <c r="B10" s="73" t="s">
        <v>23</v>
      </c>
      <c r="C10" s="97" t="s">
        <v>1419</v>
      </c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>
        <f>VLOOKUP(C10,Employees!D:I,6,FALSE)</f>
        <v>210447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>
        <f t="shared" si="0"/>
        <v>10329</v>
      </c>
      <c r="B11" s="81" t="s">
        <v>23</v>
      </c>
      <c r="C11" s="86" t="s">
        <v>1423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>
        <v>0.54166666666666663</v>
      </c>
      <c r="Q11" s="75">
        <v>0.84722222222222221</v>
      </c>
      <c r="R11" s="92">
        <f t="shared" si="13"/>
        <v>6.8333333333333339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6.8333333333333339</v>
      </c>
      <c r="AC11" s="93"/>
      <c r="AD11" s="78"/>
      <c r="AE11" s="94">
        <f t="shared" si="17"/>
        <v>6.8333333333333339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1</v>
      </c>
      <c r="AQ11" s="77"/>
      <c r="AR11" s="77"/>
      <c r="AS11" s="77"/>
      <c r="AT11" s="63">
        <f t="shared" si="24"/>
        <v>6.8333333333333339</v>
      </c>
      <c r="AU11" s="78"/>
      <c r="AV11" s="5"/>
      <c r="AW11" s="5"/>
      <c r="AX11" s="5"/>
      <c r="AY11" s="5"/>
      <c r="AZ11" s="24">
        <f>VLOOKUP(C11,Employees!D:I,6,FALSE)</f>
        <v>10329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7.3333333333333339</v>
      </c>
      <c r="BV11" s="5">
        <f t="shared" si="46"/>
        <v>0.5</v>
      </c>
      <c r="BW11" s="5">
        <f t="shared" si="47"/>
        <v>6.8333333333333339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H1" zoomScale="120" zoomScaleNormal="120" workbookViewId="0">
      <selection activeCell="I7" sqref="I7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10012</v>
      </c>
      <c r="B2" s="28">
        <f ca="1">IF(A2=0,"",_xlfn.NUMBERVALUE(A2))</f>
        <v>10012</v>
      </c>
      <c r="C2" s="28" t="str">
        <f ca="1">IF($A2=0,"",VLOOKUP($B2,Employees!$A:$G,2,FALSE))</f>
        <v>Han</v>
      </c>
      <c r="D2" s="28" t="str">
        <f ca="1">IF($A2=0,"",VLOOKUP($B2,Employees!$A:$G,3,FALSE))</f>
        <v>Liu</v>
      </c>
      <c r="E2" s="26">
        <f ca="1">IF($A2=0,"",VLOOKUP($B2,Employees!$A:$G,5,FALSE))</f>
        <v>35102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QVB</v>
      </c>
      <c r="L2" s="13" t="str">
        <f ca="1">IF($A2=0,"",VLOOKUP(K2,Stores!A:B,2,0))</f>
        <v>Superb</v>
      </c>
      <c r="M2" s="14">
        <f t="shared" ref="M2" ca="1" si="0">Y2+AK2</f>
        <v>52.25</v>
      </c>
      <c r="N2" s="14">
        <f t="shared" ref="N2" ca="1" si="1">Z2+AL2</f>
        <v>15.25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67.5</v>
      </c>
      <c r="Y2" s="17">
        <f ca="1">IF($A2=0,0,SUMIF('Week 1 Roster'!$AZ:$AZ,$B2,'Week 1 Roster'!$AE:$AE))</f>
        <v>29.75</v>
      </c>
      <c r="Z2" s="17">
        <f ca="1">IF($A2=0,0,SUMIF('Week 1 Roster'!$AZ:$AZ,$B2,'Week 1 Roster'!$AG:$AG))</f>
        <v>7.5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37.25</v>
      </c>
      <c r="AK2" s="17">
        <f ca="1">IF($A2=0,0,SUMIF('Week 2 Roster'!$AZ:$AZ,$B2,'Week 2 Roster'!$AE:$AE))</f>
        <v>22.5</v>
      </c>
      <c r="AL2" s="17">
        <f ca="1">IF($A2=0,0,SUMIF('Week 2 Roster'!$AZ:$AZ,$B2,'Week 2 Roster'!$AG:$AG))</f>
        <v>7.75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30.25</v>
      </c>
      <c r="AV2" s="17"/>
      <c r="AW2" s="25">
        <f>'Week 1 Roster'!A2</f>
        <v>10012</v>
      </c>
      <c r="AX2" s="25">
        <f>'Week 2 Roster'!A2</f>
        <v>10012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10491</v>
      </c>
      <c r="B3" s="28">
        <f t="shared" ref="B3:B66" ca="1" si="9">IF(A3=0,"",_xlfn.NUMBERVALUE(A3))</f>
        <v>10491</v>
      </c>
      <c r="C3" s="28" t="str">
        <f ca="1">IF($A3=0,"",VLOOKUP($B3,Employees!$A:$G,2,FALSE))</f>
        <v>YUTING</v>
      </c>
      <c r="D3" s="28" t="str">
        <f ca="1">IF($A3=0,"",VLOOKUP($B3,Employees!$A:$G,3,FALSE))</f>
        <v>HSIEH</v>
      </c>
      <c r="E3" s="26">
        <f ca="1">IF($A3=0,"",VLOOKUP($B3,Employees!$A:$G,5,FALSE))</f>
        <v>0</v>
      </c>
      <c r="F3" s="13">
        <f ca="1">IF($E3="","",ROUNDDOWN(YEARFRAC($E3, 'Week 1 Roster'!$D$1-1, 1), 0))</f>
        <v>125</v>
      </c>
      <c r="G3" s="13">
        <f ca="1">IF($E3="","",ROUNDDOWN(YEARFRAC($E3, 'Week 1 Roster'!$D$1+14, 1), 0))</f>
        <v>125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QVB</v>
      </c>
      <c r="L3" s="13" t="str">
        <f ca="1">IF($A3=0,"",VLOOKUP(K3,Stores!A:B,2,0))</f>
        <v>Superb</v>
      </c>
      <c r="M3" s="14">
        <f t="shared" ref="M3:M66" ca="1" si="11">Y3+AK3</f>
        <v>91.23</v>
      </c>
      <c r="N3" s="14">
        <f t="shared" ref="N3:N66" ca="1" si="12">Z3+AL3</f>
        <v>13.666666666666668</v>
      </c>
      <c r="O3" s="14">
        <f t="shared" ref="O3:O66" ca="1" si="13">AA3+AM3</f>
        <v>15.666666666666664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6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120.56333333333333</v>
      </c>
      <c r="Y3" s="17">
        <f ca="1">IF($A3=0,0,SUMIF('Week 1 Roster'!$AZ:$AZ,$B3,'Week 1 Roster'!$AE:$AE))</f>
        <v>83.48</v>
      </c>
      <c r="Z3" s="17">
        <f ca="1">IF($A3=0,0,SUMIF('Week 1 Roster'!$AZ:$AZ,$B3,'Week 1 Roster'!$AG:$AG))</f>
        <v>6.916666666666667</v>
      </c>
      <c r="AA3" s="17">
        <f ca="1">IF($A3=0,0,SUMIF('Week 1 Roster'!$AZ:$AZ,$B3,'Week 1 Roster'!$AI:$AI))</f>
        <v>7.8333333333333321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98.23</v>
      </c>
      <c r="AK3" s="17">
        <f ca="1">IF($A3=0,0,SUMIF('Week 2 Roster'!$AZ:$AZ,$B3,'Week 2 Roster'!$AE:$AE))</f>
        <v>7.75</v>
      </c>
      <c r="AL3" s="17">
        <f ca="1">IF($A3=0,0,SUMIF('Week 2 Roster'!$AZ:$AZ,$B3,'Week 2 Roster'!$AG:$AG))</f>
        <v>6.7500000000000009</v>
      </c>
      <c r="AM3" s="17">
        <f ca="1">IF($A3=0,0,SUMIF('Week 2 Roster'!$AZ:$AZ,$B3,'Week 2 Roster'!$AI:$AI))</f>
        <v>7.8333333333333321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22.333333333333332</v>
      </c>
      <c r="AV3" s="17"/>
      <c r="AW3" s="25">
        <f>'Week 1 Roster'!A3</f>
        <v>10491</v>
      </c>
      <c r="AX3" s="25">
        <f>'Week 2 Roster'!A3</f>
        <v>10491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10051</v>
      </c>
      <c r="B4" s="28">
        <f t="shared" ca="1" si="9"/>
        <v>10051</v>
      </c>
      <c r="C4" s="28" t="str">
        <f ca="1">IF($A4=0,"",VLOOKUP($B4,Employees!$A:$G,2,FALSE))</f>
        <v>Yang</v>
      </c>
      <c r="D4" s="28" t="str">
        <f ca="1">IF($A4=0,"",VLOOKUP($B4,Employees!$A:$G,3,FALSE))</f>
        <v>Zhang</v>
      </c>
      <c r="E4" s="26">
        <f ca="1">IF($A4=0,"",VLOOKUP($B4,Employees!$A:$G,5,FALSE))</f>
        <v>35454</v>
      </c>
      <c r="F4" s="13">
        <f ca="1">IF($E4="","",ROUNDDOWN(YEARFRAC($E4, 'Week 1 Roster'!$D$1-1, 1), 0))</f>
        <v>28</v>
      </c>
      <c r="G4" s="13">
        <f ca="1">IF($E4="","",ROUNDDOWN(YEARFRAC($E4, 'Week 1 Roster'!$D$1+14, 1), 0))</f>
        <v>28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QVB</v>
      </c>
      <c r="L4" s="13" t="str">
        <f ca="1">IF($A4=0,"",VLOOKUP(K4,Stores!A:B,2,0))</f>
        <v>Superb</v>
      </c>
      <c r="M4" s="14">
        <f t="shared" ca="1" si="11"/>
        <v>30.500000000000004</v>
      </c>
      <c r="N4" s="14">
        <f t="shared" ca="1" si="12"/>
        <v>0</v>
      </c>
      <c r="O4" s="14">
        <f t="shared" ca="1" si="13"/>
        <v>13.666666666666668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6</v>
      </c>
      <c r="T4" s="14">
        <f t="shared" ca="1" si="18"/>
        <v>0</v>
      </c>
      <c r="U4" s="14">
        <f t="shared" ca="1" si="19"/>
        <v>20</v>
      </c>
      <c r="V4" s="14">
        <f t="shared" ca="1" si="20"/>
        <v>0</v>
      </c>
      <c r="W4" s="14">
        <f t="shared" ca="1" si="21"/>
        <v>64.166666666666671</v>
      </c>
      <c r="Y4" s="17">
        <f ca="1">IF($A4=0,0,SUMIF('Week 1 Roster'!$AZ:$AZ,$B4,'Week 1 Roster'!$AE:$AE))</f>
        <v>7.6666666666666679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6.8333333333333339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20</v>
      </c>
      <c r="AH4" s="17">
        <f ca="1">IF($A4=0,0,SUMIF('Week 1 Roster'!$AZ:$AZ,$B4,'Week 1 Roster'!$AS:$AS))</f>
        <v>0</v>
      </c>
      <c r="AI4" s="17">
        <f t="shared" ca="1" si="22"/>
        <v>34.5</v>
      </c>
      <c r="AK4" s="17">
        <f ca="1">IF($A4=0,0,SUMIF('Week 2 Roster'!$AZ:$AZ,$B4,'Week 2 Roster'!$AE:$AE))</f>
        <v>22.833333333333336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6.8333333333333339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29.666666666666671</v>
      </c>
      <c r="AV4" s="17"/>
      <c r="AW4" s="25">
        <f>'Week 1 Roster'!A4</f>
        <v>10051</v>
      </c>
      <c r="AX4" s="25">
        <f>'Week 2 Roster'!A4</f>
        <v>10051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10187</v>
      </c>
      <c r="B5" s="28">
        <f t="shared" ca="1" si="9"/>
        <v>10187</v>
      </c>
      <c r="C5" s="28" t="str">
        <f ca="1">IF($A5=0,"",VLOOKUP($B5,Employees!$A:$G,2,FALSE))</f>
        <v>Valeriia</v>
      </c>
      <c r="D5" s="28" t="str">
        <f ca="1">IF($A5=0,"",VLOOKUP($B5,Employees!$A:$G,3,FALSE))</f>
        <v>Zhdanova</v>
      </c>
      <c r="E5" s="26">
        <f ca="1">IF($A5=0,"",VLOOKUP($B5,Employees!$A:$G,5,FALSE))</f>
        <v>37836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QVB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16.75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16.75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8.25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8.25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8.5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8.5</v>
      </c>
      <c r="AV5" s="17"/>
      <c r="AW5" s="25">
        <f>'Week 1 Roster'!A5</f>
        <v>10187</v>
      </c>
      <c r="AX5" s="25">
        <f>'Week 2 Roster'!A5</f>
        <v>10187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10202</v>
      </c>
      <c r="B6" s="28">
        <f t="shared" ca="1" si="9"/>
        <v>10202</v>
      </c>
      <c r="C6" s="28" t="str">
        <f ca="1">IF($A6=0,"",VLOOKUP($B6,Employees!$A:$G,2,FALSE))</f>
        <v>Aidan</v>
      </c>
      <c r="D6" s="28" t="str">
        <f ca="1">IF($A6=0,"",VLOOKUP($B6,Employees!$A:$G,3,FALSE))</f>
        <v>Bui</v>
      </c>
      <c r="E6" s="26">
        <f ca="1">IF($A6=0,"",VLOOKUP($B6,Employees!$A:$G,5,FALSE))</f>
        <v>37730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GCM</v>
      </c>
      <c r="K6" s="13" t="str">
        <f ca="1">IF($A6=0,"",IF(ISNA(VLOOKUP(A6,'Week 1 Roster'!A:C,2,0)),VLOOKUP(A6,'Week 2 Roster'!A:C,2,0),VLOOKUP(A6,'Week 1 Roster'!A:C,2,0)))</f>
        <v>QVB</v>
      </c>
      <c r="L6" s="13" t="str">
        <f ca="1">IF($A6=0,"",VLOOKUP(K6,Stores!A:B,2,0))</f>
        <v>Superb</v>
      </c>
      <c r="M6" s="14">
        <f t="shared" ca="1" si="11"/>
        <v>26.666666666666671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26.666666666666671</v>
      </c>
      <c r="Y6" s="17">
        <f ca="1">IF($A6=0,0,SUMIF('Week 1 Roster'!$AZ:$AZ,$B6,'Week 1 Roster'!$AE:$AE))</f>
        <v>10.000000000000002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10.000000000000002</v>
      </c>
      <c r="AK6" s="17">
        <f ca="1">IF($A6=0,0,SUMIF('Week 2 Roster'!$AZ:$AZ,$B6,'Week 2 Roster'!$AE:$AE))</f>
        <v>16.666666666666668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16.666666666666668</v>
      </c>
      <c r="AV6" s="17"/>
      <c r="AW6" s="25">
        <f>'Week 1 Roster'!A6</f>
        <v>10202</v>
      </c>
      <c r="AX6" s="25">
        <f>'Week 2 Roster'!A6</f>
        <v>10202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10267</v>
      </c>
      <c r="B7" s="28">
        <f t="shared" ca="1" si="9"/>
        <v>10267</v>
      </c>
      <c r="C7" s="28" t="str">
        <f ca="1">IF($A7=0,"",VLOOKUP($B7,Employees!$A:$G,2,FALSE))</f>
        <v>Nhu</v>
      </c>
      <c r="D7" s="28" t="str">
        <f ca="1">IF($A7=0,"",VLOOKUP($B7,Employees!$A:$G,3,FALSE))</f>
        <v>Hoang</v>
      </c>
      <c r="E7" s="26">
        <f ca="1">IF($A7=0,"",VLOOKUP($B7,Employees!$A:$G,5,FALSE))</f>
        <v>37091</v>
      </c>
      <c r="F7" s="13">
        <f ca="1">IF($E7="","",ROUNDDOWN(YEARFRAC($E7, 'Week 1 Roster'!$D$1-1, 1), 0))</f>
        <v>24</v>
      </c>
      <c r="G7" s="13">
        <f ca="1">IF($E7="","",ROUNDDOWN(YEARFRAC($E7, 'Week 1 Roster'!$D$1+14, 1), 0))</f>
        <v>24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GCM</v>
      </c>
      <c r="K7" s="13" t="str">
        <f ca="1">IF($A7=0,"",IF(ISNA(VLOOKUP(A7,'Week 1 Roster'!A:C,2,0)),VLOOKUP(A7,'Week 2 Roster'!A:C,2,0),VLOOKUP(A7,'Week 1 Roster'!A:C,2,0)))</f>
        <v>QVB</v>
      </c>
      <c r="L7" s="13" t="str">
        <f ca="1">IF($A7=0,"",VLOOKUP(K7,Stores!A:B,2,0))</f>
        <v>Superb</v>
      </c>
      <c r="M7" s="14">
        <f t="shared" ca="1" si="11"/>
        <v>54.24666666666667</v>
      </c>
      <c r="N7" s="14">
        <f t="shared" ca="1" si="12"/>
        <v>8.5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7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62.74666666666667</v>
      </c>
      <c r="Y7" s="17">
        <f ca="1">IF($A7=0,0,SUMIF('Week 1 Roster'!$AZ:$AZ,$B7,'Week 1 Roster'!$AE:$AE))</f>
        <v>29.58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29.58</v>
      </c>
      <c r="AK7" s="17">
        <f ca="1">IF($A7=0,0,SUMIF('Week 2 Roster'!$AZ:$AZ,$B7,'Week 2 Roster'!$AE:$AE))</f>
        <v>24.666666666666668</v>
      </c>
      <c r="AL7" s="17">
        <f ca="1">IF($A7=0,0,SUMIF('Week 2 Roster'!$AZ:$AZ,$B7,'Week 2 Roster'!$AG:$AG))</f>
        <v>8.5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4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33.166666666666671</v>
      </c>
      <c r="AV7" s="17"/>
      <c r="AW7" s="25">
        <f>'Week 1 Roster'!A7</f>
        <v>10267</v>
      </c>
      <c r="AX7" s="25">
        <f>'Week 2 Roster'!A7</f>
        <v>10267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210433</v>
      </c>
      <c r="B8" s="28">
        <f t="shared" ca="1" si="9"/>
        <v>210433</v>
      </c>
      <c r="C8" s="28" t="str">
        <f ca="1">IF($A8=0,"",VLOOKUP($B8,Employees!$A:$G,2,FALSE))</f>
        <v>Jingwen</v>
      </c>
      <c r="D8" s="28" t="str">
        <f ca="1">IF($A8=0,"",VLOOKUP($B8,Employees!$A:$G,3,FALSE))</f>
        <v>Zhong</v>
      </c>
      <c r="E8" s="26">
        <f ca="1">IF($A8=0,"",VLOOKUP($B8,Employees!$A:$G,5,FALSE))</f>
        <v>37111</v>
      </c>
      <c r="F8" s="13">
        <f ca="1">IF($E8="","",ROUNDDOWN(YEARFRAC($E8, 'Week 1 Roster'!$D$1-1, 1), 0))</f>
        <v>24</v>
      </c>
      <c r="G8" s="13">
        <f ca="1">IF($E8="","",ROUNDDOWN(YEARFRAC($E8, 'Week 1 Roster'!$D$1+14, 1), 0))</f>
        <v>24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QVB</v>
      </c>
      <c r="L8" s="13" t="str">
        <f ca="1">IF($A8=0,"",VLOOKUP(K8,Stores!A:B,2,0))</f>
        <v>Superb</v>
      </c>
      <c r="M8" s="14">
        <f t="shared" ca="1" si="11"/>
        <v>7.5</v>
      </c>
      <c r="N8" s="14">
        <f t="shared" ca="1" si="12"/>
        <v>7.9166666666666661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2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15.416666666666666</v>
      </c>
      <c r="Y8" s="17">
        <f ca="1">IF($A8=0,0,SUMIF('Week 1 Roster'!$AZ:$AZ,$B8,'Week 1 Roster'!$AE:$AE))</f>
        <v>7.5</v>
      </c>
      <c r="Z8" s="17">
        <f ca="1">IF($A8=0,0,SUMIF('Week 1 Roster'!$AZ:$AZ,$B8,'Week 1 Roster'!$AG:$AG))</f>
        <v>7.9166666666666661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15.416666666666666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210433</v>
      </c>
      <c r="AX8" s="25">
        <f>'Week 2 Roster'!A8</f>
        <v>210433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210445</v>
      </c>
      <c r="B9" s="28">
        <f t="shared" ca="1" si="9"/>
        <v>210445</v>
      </c>
      <c r="C9" s="28" t="str">
        <f ca="1">IF($A9=0,"",VLOOKUP($B9,Employees!$A:$G,2,FALSE))</f>
        <v>Alston</v>
      </c>
      <c r="D9" s="28" t="str">
        <f ca="1">IF($A9=0,"",VLOOKUP($B9,Employees!$A:$G,3,FALSE))</f>
        <v>Cheng</v>
      </c>
      <c r="E9" s="26">
        <f ca="1">IF($A9=0,"",VLOOKUP($B9,Employees!$A:$G,5,FALSE))</f>
        <v>36717</v>
      </c>
      <c r="F9" s="13">
        <f ca="1">IF($E9="","",ROUNDDOWN(YEARFRAC($E9, 'Week 1 Roster'!$D$1-1, 1), 0))</f>
        <v>25</v>
      </c>
      <c r="G9" s="13">
        <f ca="1">IF($E9="","",ROUNDDOWN(YEARFRAC($E9, 'Week 1 Roster'!$D$1+14, 1), 0))</f>
        <v>25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QVB</v>
      </c>
      <c r="L9" s="13" t="str">
        <f ca="1">IF($A9=0,"",VLOOKUP(K9,Stores!A:B,2,0))</f>
        <v>Superb</v>
      </c>
      <c r="M9" s="14">
        <f t="shared" ca="1" si="11"/>
        <v>49.416666666666671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7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49.416666666666671</v>
      </c>
      <c r="Y9" s="17">
        <f ca="1">IF($A9=0,0,SUMIF('Week 1 Roster'!$AZ:$AZ,$B9,'Week 1 Roster'!$AE:$AE))</f>
        <v>28.583333333333336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4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28.583333333333336</v>
      </c>
      <c r="AK9" s="17">
        <f ca="1">IF($A9=0,0,SUMIF('Week 2 Roster'!$AZ:$AZ,$B9,'Week 2 Roster'!$AE:$AE))</f>
        <v>20.833333333333332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3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20.833333333333332</v>
      </c>
      <c r="AV9" s="17"/>
      <c r="AW9" s="25">
        <f>'Week 1 Roster'!A9</f>
        <v>210445</v>
      </c>
      <c r="AX9" s="25">
        <f>'Week 2 Roster'!A9</f>
        <v>210445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210447</v>
      </c>
      <c r="B10" s="28">
        <f t="shared" ca="1" si="9"/>
        <v>210447</v>
      </c>
      <c r="C10" s="28" t="str">
        <f ca="1">IF($A10=0,"",VLOOKUP($B10,Employees!$A:$G,2,FALSE))</f>
        <v>Tulyada</v>
      </c>
      <c r="D10" s="28" t="str">
        <f ca="1">IF($A10=0,"",VLOOKUP($B10,Employees!$A:$G,3,FALSE))</f>
        <v>Metachuchok</v>
      </c>
      <c r="E10" s="26">
        <f ca="1">IF($A10=0,"",VLOOKUP($B10,Employees!$A:$G,5,FALSE))</f>
        <v>33155</v>
      </c>
      <c r="F10" s="13">
        <f ca="1">IF($E10="","",ROUNDDOWN(YEARFRAC($E10, 'Week 1 Roster'!$D$1-1, 1), 0))</f>
        <v>35</v>
      </c>
      <c r="G10" s="13">
        <f ca="1">IF($E10="","",ROUNDDOWN(YEARFRAC($E10, 'Week 1 Roster'!$D$1+14, 1), 0))</f>
        <v>35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QVB</v>
      </c>
      <c r="L10" s="13" t="str">
        <f ca="1">IF($A10=0,"",VLOOKUP(K10,Stores!A:B,2,0))</f>
        <v>Superb</v>
      </c>
      <c r="M10" s="14">
        <f t="shared" ca="1" si="11"/>
        <v>0</v>
      </c>
      <c r="N10" s="14">
        <f t="shared" ca="1" si="12"/>
        <v>5.0000000000000009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5.0000000000000009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5.0000000000000009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5.0000000000000009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210447</v>
      </c>
      <c r="AX10" s="25">
        <f>'Week 2 Roster'!A10</f>
        <v>210447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210477</v>
      </c>
      <c r="B11" s="28">
        <f t="shared" ca="1" si="9"/>
        <v>210477</v>
      </c>
      <c r="C11" s="28" t="str">
        <f ca="1">IF($A11=0,"",VLOOKUP($B11,Employees!$A:$G,2,FALSE))</f>
        <v>Jessica</v>
      </c>
      <c r="D11" s="28" t="str">
        <f ca="1">IF($A11=0,"",VLOOKUP($B11,Employees!$A:$G,3,FALSE))</f>
        <v>Tata</v>
      </c>
      <c r="E11" s="26">
        <f ca="1">IF($A11=0,"",VLOOKUP($B11,Employees!$A:$G,5,FALSE))</f>
        <v>37437</v>
      </c>
      <c r="F11" s="13">
        <f ca="1">IF($E11="","",ROUNDDOWN(YEARFRAC($E11, 'Week 1 Roster'!$D$1-1, 1), 0))</f>
        <v>23</v>
      </c>
      <c r="G11" s="13">
        <f ca="1">IF($E11="","",ROUNDDOWN(YEARFRAC($E11, 'Week 1 Roster'!$D$1+14, 1), 0))</f>
        <v>23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QVB</v>
      </c>
      <c r="L11" s="13" t="str">
        <f ca="1">IF($A11=0,"",VLOOKUP(K11,Stores!A:B,2,0))</f>
        <v>Superb</v>
      </c>
      <c r="M11" s="14">
        <f t="shared" ca="1" si="11"/>
        <v>6.7500000000000009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6.7500000000000009</v>
      </c>
      <c r="Y11" s="17">
        <f ca="1">IF($A11=0,0,SUMIF('Week 1 Roster'!$AZ:$AZ,$B11,'Week 1 Roster'!$AE:$AE))</f>
        <v>6.7500000000000009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6.7500000000000009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210477</v>
      </c>
      <c r="AX11" s="25">
        <f>'Week 2 Roster'!A11</f>
        <v>10329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10329</v>
      </c>
      <c r="B12" s="28">
        <f t="shared" ca="1" si="9"/>
        <v>10329</v>
      </c>
      <c r="C12" s="28" t="str">
        <f ca="1">IF($A12=0,"",VLOOKUP($B12,Employees!$A:$G,2,FALSE))</f>
        <v>Vinh Hien</v>
      </c>
      <c r="D12" s="28" t="str">
        <f ca="1">IF($A12=0,"",VLOOKUP($B12,Employees!$A:$G,3,FALSE))</f>
        <v>Le</v>
      </c>
      <c r="E12" s="26">
        <f ca="1">IF($A12=0,"",VLOOKUP($B12,Employees!$A:$G,5,FALSE))</f>
        <v>37827</v>
      </c>
      <c r="F12" s="13">
        <f ca="1">IF($E12="","",ROUNDDOWN(YEARFRAC($E12, 'Week 1 Roster'!$D$1-1, 1), 0))</f>
        <v>22</v>
      </c>
      <c r="G12" s="13">
        <f ca="1">IF($E12="","",ROUNDDOWN(YEARFRAC($E12, 'Week 1 Roster'!$D$1+14, 1), 0))</f>
        <v>22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SS</v>
      </c>
      <c r="K12" s="13" t="str">
        <f ca="1">IF($A12=0,"",IF(ISNA(VLOOKUP(A12,'Week 1 Roster'!A:C,2,0)),VLOOKUP(A12,'Week 2 Roster'!A:C,2,0),VLOOKUP(A12,'Week 1 Roster'!A:C,2,0)))</f>
        <v>QVB</v>
      </c>
      <c r="L12" s="13" t="str">
        <f ca="1">IF($A12=0,"",VLOOKUP(K12,Stores!A:B,2,0))</f>
        <v>Superb</v>
      </c>
      <c r="M12" s="14">
        <f t="shared" ca="1" si="11"/>
        <v>6.8333333333333339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6.8333333333333339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6.8333333333333339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1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6.8333333333333339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80" zoomScale="186" zoomScaleNormal="186" workbookViewId="0">
      <selection activeCell="B498" sqref="B498"/>
    </sheetView>
  </sheetViews>
  <sheetFormatPr baseColWidth="10" defaultColWidth="10.83203125" defaultRowHeight="13"/>
  <cols>
    <col min="1" max="1" width="10.83203125" customWidth="1"/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0.832031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2025-11-10T05:03:40Z</dcterms:modified>
</cp:coreProperties>
</file>