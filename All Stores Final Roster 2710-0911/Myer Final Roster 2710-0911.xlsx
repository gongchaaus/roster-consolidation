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72D9969C-5EA0-EE4E-B963-E7DC2EE3F9F7}" xr6:coauthVersionLast="47" xr6:coauthVersionMax="47" xr10:uidLastSave="{00000000-0000-0000-0000-000000000000}"/>
  <bookViews>
    <workbookView xWindow="0" yWindow="740" windowWidth="28800" windowHeight="1580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AZ7" i="2" s="1"/>
  <c r="A7" i="2" s="1"/>
  <c r="AW7" i="12" s="1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AZ8" i="18" s="1"/>
  <c r="A8" i="18" s="1"/>
  <c r="AX8" i="12" s="1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 l="1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11" i="2" l="1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3" i="12" a="1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/>
  <c r="U2" i="12" l="1"/>
  <c r="T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D3" i="12"/>
  <c r="AE3" i="12"/>
  <c r="J3" i="12"/>
  <c r="Z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V8" i="12" l="1"/>
  <c r="S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H10" i="12"/>
  <c r="Z10" i="12"/>
  <c r="E10" i="12"/>
  <c r="AC10" i="12"/>
  <c r="AQ10" i="12"/>
  <c r="AR10" i="12"/>
  <c r="AF10" i="12"/>
  <c r="D10" i="12"/>
  <c r="AL10" i="12"/>
  <c r="C10" i="12"/>
  <c r="AT10" i="12"/>
  <c r="J10" i="12"/>
  <c r="Y10" i="12"/>
  <c r="I10" i="12"/>
  <c r="AB10" i="12"/>
  <c r="AM10" i="12"/>
  <c r="AG10" i="12" l="1"/>
  <c r="AD10" i="12"/>
  <c r="R10" i="12" s="1"/>
  <c r="AA10" i="12"/>
  <c r="O10" i="12" s="1"/>
  <c r="AE10" i="12"/>
  <c r="S10" i="12" s="1"/>
  <c r="AO10" i="12"/>
  <c r="Q10" i="12" s="1"/>
  <c r="AS10" i="12"/>
  <c r="U10" i="12" s="1"/>
  <c r="AK10" i="12"/>
  <c r="M10" i="12" s="1"/>
  <c r="AN10" i="12"/>
  <c r="P10" i="12" s="1"/>
  <c r="T10" i="12"/>
  <c r="V10" i="12"/>
  <c r="N10" i="12"/>
  <c r="F10" i="12"/>
  <c r="G10" i="12"/>
  <c r="AI10" i="12" l="1"/>
  <c r="AU10" i="12"/>
  <c r="W10" i="12"/>
  <c r="H10" i="12"/>
  <c r="A11" i="12" a="1"/>
  <c r="A11" i="12" l="1"/>
  <c r="K11" i="12" l="1"/>
  <c r="L11" i="12" s="1"/>
  <c r="B11" i="12"/>
  <c r="AM11" i="12" s="1"/>
  <c r="Y11" i="12"/>
  <c r="AG11" i="12"/>
  <c r="J11" i="12"/>
  <c r="AA11" i="12"/>
  <c r="AK11" i="12" l="1"/>
  <c r="AC11" i="12"/>
  <c r="AO11" i="12"/>
  <c r="AE11" i="12"/>
  <c r="S11" i="12" s="1"/>
  <c r="AF11" i="12"/>
  <c r="AL11" i="12"/>
  <c r="AT11" i="12"/>
  <c r="AB11" i="12"/>
  <c r="AS11" i="12"/>
  <c r="U11" i="12" s="1"/>
  <c r="AQ11" i="12"/>
  <c r="E11" i="12"/>
  <c r="F11" i="12" s="1"/>
  <c r="AP11" i="12"/>
  <c r="AR11" i="12"/>
  <c r="I11" i="12"/>
  <c r="AH11" i="12"/>
  <c r="D11" i="12"/>
  <c r="Z11" i="12"/>
  <c r="C11" i="12"/>
  <c r="AD11" i="12"/>
  <c r="AN11" i="12"/>
  <c r="O11" i="12"/>
  <c r="Q11" i="12"/>
  <c r="M11" i="12"/>
  <c r="A12" i="12" a="1"/>
  <c r="R11" i="12" l="1"/>
  <c r="P11" i="12"/>
  <c r="T11" i="12"/>
  <c r="G11" i="12"/>
  <c r="H11" i="12" s="1"/>
  <c r="N11" i="12"/>
  <c r="AU11" i="12"/>
  <c r="V11" i="12"/>
  <c r="AI11" i="12"/>
  <c r="A12" i="12"/>
  <c r="W11" i="12" l="1"/>
  <c r="L12" i="12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R12" i="12" l="1"/>
  <c r="P12" i="12"/>
  <c r="N12" i="12"/>
  <c r="S12" i="12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U13" i="12" s="1"/>
  <c r="J13" i="12"/>
  <c r="Z13" i="12"/>
  <c r="AQ13" i="12"/>
  <c r="AS13" i="12"/>
  <c r="AK13" i="12"/>
  <c r="AC13" i="12"/>
  <c r="P13" i="12" l="1"/>
  <c r="S13" i="12"/>
  <c r="N13" i="12"/>
  <c r="T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V14" i="12" s="1"/>
  <c r="AS14" i="12"/>
  <c r="AM14" i="12"/>
  <c r="J14" i="12"/>
  <c r="AN14" i="12"/>
  <c r="AA14" i="12"/>
  <c r="AP14" i="12"/>
  <c r="P14" i="12" l="1"/>
  <c r="R14" i="12"/>
  <c r="S14" i="12"/>
  <c r="N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N15" i="12" s="1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V15" i="12" l="1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T16" i="12" s="1"/>
  <c r="AM16" i="12"/>
  <c r="AD16" i="12"/>
  <c r="AK16" i="12"/>
  <c r="I16" i="12"/>
  <c r="AN16" i="12"/>
  <c r="E16" i="12"/>
  <c r="AH16" i="12"/>
  <c r="V16" i="12" s="1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P16" i="12" l="1"/>
  <c r="R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V17" i="12" s="1"/>
  <c r="AE17" i="12"/>
  <c r="S17" i="12" s="1"/>
  <c r="L17" i="12"/>
  <c r="AG17" i="12"/>
  <c r="AM17" i="12"/>
  <c r="AR17" i="12"/>
  <c r="C17" i="12"/>
  <c r="AD17" i="12"/>
  <c r="AF17" i="12"/>
  <c r="T17" i="12" s="1"/>
  <c r="AS17" i="12"/>
  <c r="AA17" i="12"/>
  <c r="Z17" i="12"/>
  <c r="D17" i="12"/>
  <c r="AC17" i="12"/>
  <c r="I17" i="12"/>
  <c r="AO17" i="12"/>
  <c r="E17" i="12"/>
  <c r="AP17" i="12"/>
  <c r="A18" i="12" a="1"/>
  <c r="N17" i="12" l="1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N18" i="12" s="1"/>
  <c r="AQ18" i="12"/>
  <c r="K18" i="12"/>
  <c r="E18" i="12"/>
  <c r="AE18" i="12"/>
  <c r="AR18" i="12"/>
  <c r="AN18" i="12"/>
  <c r="AK18" i="12"/>
  <c r="AS18" i="12"/>
  <c r="D18" i="12"/>
  <c r="AD18" i="12"/>
  <c r="R18" i="12" s="1"/>
  <c r="AA18" i="12"/>
  <c r="J18" i="12"/>
  <c r="AB18" i="12"/>
  <c r="AM18" i="12"/>
  <c r="AT18" i="12"/>
  <c r="AH18" i="12"/>
  <c r="L18" i="12"/>
  <c r="A19" i="12" a="1"/>
  <c r="V18" i="12" l="1"/>
  <c r="T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T19" i="12" l="1"/>
  <c r="R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R20" i="12" s="1"/>
  <c r="A21" i="12" a="1"/>
  <c r="P20" i="12" l="1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O21" i="12" s="1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T23" i="12" l="1"/>
  <c r="O23" i="12"/>
  <c r="S23" i="12"/>
  <c r="U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N25" i="12" l="1"/>
  <c r="T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U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R27" i="12" s="1"/>
  <c r="AG27" i="12"/>
  <c r="AS27" i="12"/>
  <c r="AH27" i="12"/>
  <c r="E27" i="12"/>
  <c r="AB27" i="12"/>
  <c r="AO27" i="12"/>
  <c r="A28" i="12" a="1"/>
  <c r="Q27" i="12" l="1"/>
  <c r="T27" i="12"/>
  <c r="U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U28" i="12" s="1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O29" i="12" s="1"/>
  <c r="AH29" i="12"/>
  <c r="AS29" i="12"/>
  <c r="AO29" i="12"/>
  <c r="AN29" i="12"/>
  <c r="I29" i="12"/>
  <c r="AL29" i="12"/>
  <c r="AE29" i="12"/>
  <c r="AD29" i="12"/>
  <c r="R29" i="12" s="1"/>
  <c r="C29" i="12"/>
  <c r="B29" i="12"/>
  <c r="K29" i="12"/>
  <c r="L29" i="12"/>
  <c r="AB29" i="12"/>
  <c r="AR29" i="12"/>
  <c r="AT29" i="12"/>
  <c r="A30" i="12" a="1"/>
  <c r="Q29" i="12" l="1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O31" i="12" s="1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V31" i="12" l="1"/>
  <c r="Q31" i="12"/>
  <c r="S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U32" i="12" l="1"/>
  <c r="P32" i="12"/>
  <c r="N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P33" i="12" l="1"/>
  <c r="N33" i="12"/>
  <c r="R33" i="12"/>
  <c r="V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V35" i="12" l="1"/>
  <c r="O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V36" i="12" s="1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O40" i="12" s="1"/>
  <c r="AH40" i="12"/>
  <c r="L40" i="12"/>
  <c r="AB40" i="12"/>
  <c r="AC40" i="12"/>
  <c r="AM40" i="12"/>
  <c r="AK40" i="12"/>
  <c r="AT40" i="12"/>
  <c r="Y40" i="12"/>
  <c r="A41" i="12" a="1"/>
  <c r="Q40" i="12" l="1"/>
  <c r="U40" i="12"/>
  <c r="V40" i="12"/>
  <c r="P40" i="12"/>
  <c r="N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T41" i="12"/>
  <c r="N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T43" i="12" s="1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U43" i="12" l="1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P45" i="12" s="1"/>
  <c r="J45" i="12"/>
  <c r="AK45" i="12"/>
  <c r="Z45" i="12"/>
  <c r="AR45" i="12"/>
  <c r="AM45" i="12"/>
  <c r="AP45" i="12"/>
  <c r="AG45" i="12"/>
  <c r="A46" i="12" a="1"/>
  <c r="T45" i="12" l="1"/>
  <c r="V45" i="12"/>
  <c r="U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P46" i="12" l="1"/>
  <c r="U46" i="12"/>
  <c r="T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AA47" i="12"/>
  <c r="K47" i="12"/>
  <c r="AB47" i="12"/>
  <c r="J47" i="12"/>
  <c r="AP47" i="12"/>
  <c r="A48" i="12" a="1"/>
  <c r="U47" i="12" l="1"/>
  <c r="Q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U48" i="12" l="1"/>
  <c r="Q48" i="12"/>
  <c r="T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V49" i="12"/>
  <c r="U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S52" i="12" s="1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T52" i="12" l="1"/>
  <c r="N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V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P54" i="12" s="1"/>
  <c r="AR54" i="12"/>
  <c r="AO54" i="12"/>
  <c r="AP54" i="12"/>
  <c r="K54" i="12"/>
  <c r="AM54" i="12"/>
  <c r="AF54" i="12"/>
  <c r="J54" i="12"/>
  <c r="C54" i="12"/>
  <c r="AH54" i="12"/>
  <c r="A55" i="12" a="1"/>
  <c r="V54" i="12" l="1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N55" i="12" s="1"/>
  <c r="K55" i="12"/>
  <c r="AD55" i="12"/>
  <c r="AR55" i="12"/>
  <c r="I55" i="12"/>
  <c r="Y55" i="12"/>
  <c r="AM55" i="12"/>
  <c r="A56" i="12" a="1"/>
  <c r="T55" i="12" l="1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R57" i="12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V58" i="12" s="1"/>
  <c r="A59" i="12" a="1"/>
  <c r="U58" i="12" l="1"/>
  <c r="Q58" i="12"/>
  <c r="P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T61" i="12" l="1"/>
  <c r="P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V63" i="12" l="1"/>
  <c r="Q63" i="12"/>
  <c r="U63" i="12"/>
  <c r="S63" i="12"/>
  <c r="N63" i="12"/>
  <c r="O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P65" i="12" s="1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R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S67" i="12" l="1"/>
  <c r="U67" i="12"/>
  <c r="V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S71" i="12" s="1"/>
  <c r="AL71" i="12"/>
  <c r="Y71" i="12"/>
  <c r="AK71" i="12"/>
  <c r="Z71" i="12"/>
  <c r="AB71" i="12"/>
  <c r="AQ71" i="12"/>
  <c r="I71" i="12"/>
  <c r="A72" i="12" a="1"/>
  <c r="A72" i="12" l="1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Q75" i="12" s="1"/>
  <c r="AF75" i="12"/>
  <c r="AD75" i="12"/>
  <c r="C75" i="12"/>
  <c r="AO75" i="12"/>
  <c r="AP75" i="12"/>
  <c r="Z75" i="12"/>
  <c r="N75" i="12" s="1"/>
  <c r="B75" i="12"/>
  <c r="AK75" i="12"/>
  <c r="E75" i="12"/>
  <c r="AM75" i="12"/>
  <c r="K75" i="12"/>
  <c r="D75" i="12"/>
  <c r="AG75" i="12"/>
  <c r="J75" i="12"/>
  <c r="AE75" i="12"/>
  <c r="AN75" i="12"/>
  <c r="AH75" i="12"/>
  <c r="V75" i="12" s="1"/>
  <c r="AQ75" i="12"/>
  <c r="Y75" i="12"/>
  <c r="I75" i="12"/>
  <c r="L75" i="12"/>
  <c r="AA75" i="12"/>
  <c r="W74" i="12"/>
  <c r="A76" i="12" a="1"/>
  <c r="R75" i="12" l="1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R77" i="12" l="1"/>
  <c r="U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O80" i="12" l="1"/>
  <c r="P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T82" i="12" s="1"/>
  <c r="AM82" i="12"/>
  <c r="A83" i="12" a="1"/>
  <c r="O82" i="12" l="1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T84" i="12" s="1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T86" i="12" l="1"/>
  <c r="P86" i="12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T89" i="12" s="1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R89" i="12" l="1"/>
  <c r="S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U90" i="12" l="1"/>
  <c r="N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P95" i="12" l="1"/>
  <c r="O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U97" i="12" s="1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V97" i="12" l="1"/>
  <c r="N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Q100" i="12" s="1"/>
  <c r="AS100" i="12"/>
  <c r="J100" i="12"/>
  <c r="Z100" i="12"/>
  <c r="AT100" i="12"/>
  <c r="AB100" i="12"/>
  <c r="D100" i="12"/>
  <c r="K100" i="12"/>
  <c r="A101" i="12" a="1"/>
  <c r="O100" i="12" l="1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U101" i="12" s="1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R101" i="12" l="1"/>
  <c r="V101" i="12"/>
  <c r="T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N102" i="12" l="1"/>
  <c r="U102" i="12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N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Q105" i="12" s="1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U105" i="12" s="1"/>
  <c r="A106" i="12" a="1"/>
  <c r="P105" i="12" l="1"/>
  <c r="S105" i="12"/>
  <c r="N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S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U108" i="12" s="1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O108" i="12" s="1"/>
  <c r="A109" i="12" a="1"/>
  <c r="Q108" i="12" l="1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Q109" i="12" l="1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O110" i="12" l="1"/>
  <c r="N110" i="12"/>
  <c r="P110" i="12"/>
  <c r="R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S111" i="12" l="1"/>
  <c r="V111" i="12"/>
  <c r="U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O114" i="12" s="1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P114" i="12" l="1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Q115" i="12" s="1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S115" i="12" l="1"/>
  <c r="R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N116" i="12" s="1"/>
  <c r="D116" i="12"/>
  <c r="B116" i="12"/>
  <c r="AE116" i="12"/>
  <c r="AH116" i="12"/>
  <c r="J116" i="12"/>
  <c r="E116" i="12"/>
  <c r="AS116" i="12"/>
  <c r="AC116" i="12"/>
  <c r="A117" i="12" a="1"/>
  <c r="T116" i="12" l="1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V117" i="12" s="1"/>
  <c r="AO117" i="12"/>
  <c r="I117" i="12"/>
  <c r="AB117" i="12"/>
  <c r="AE117" i="12"/>
  <c r="A118" i="12" a="1"/>
  <c r="Q117" i="12" l="1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S119" i="12" l="1"/>
  <c r="N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O122" i="12" s="1"/>
  <c r="AR122" i="12"/>
  <c r="AC122" i="12"/>
  <c r="AG122" i="12"/>
  <c r="AT122" i="12"/>
  <c r="AH122" i="12"/>
  <c r="J122" i="12"/>
  <c r="AS122" i="12"/>
  <c r="A123" i="12" a="1"/>
  <c r="Q122" i="12" l="1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V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U126" i="12" s="1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N126" i="12" l="1"/>
  <c r="T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P129" i="12" s="1"/>
  <c r="AF129" i="12"/>
  <c r="AL129" i="12"/>
  <c r="AA129" i="12"/>
  <c r="B129" i="12"/>
  <c r="AN129" i="12"/>
  <c r="L129" i="12"/>
  <c r="AS129" i="12"/>
  <c r="Y129" i="12"/>
  <c r="A130" i="12" a="1"/>
  <c r="T129" i="12" l="1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U131" i="12" s="1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P131" i="12" l="1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N133" i="12" l="1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P134" i="12" l="1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P135" i="12" l="1"/>
  <c r="S135" i="12"/>
  <c r="T135" i="12"/>
  <c r="U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R137" i="12" s="1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P145" i="12" l="1"/>
  <c r="T145" i="12"/>
  <c r="Q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Q146" i="12" s="1"/>
  <c r="L146" i="12"/>
  <c r="AD146" i="12"/>
  <c r="AH146" i="12"/>
  <c r="AT146" i="12"/>
  <c r="AQ146" i="12"/>
  <c r="AR146" i="12"/>
  <c r="B146" i="12"/>
  <c r="A147" i="12" a="1"/>
  <c r="N146" i="12" l="1"/>
  <c r="U146" i="12"/>
  <c r="R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N147" i="12" s="1"/>
  <c r="A148" i="12" a="1"/>
  <c r="P147" i="12" l="1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O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R151" i="12" l="1"/>
  <c r="N151" i="12"/>
  <c r="T151" i="12"/>
  <c r="AU151" i="12"/>
  <c r="U151" i="12"/>
  <c r="P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Q152" i="12" s="1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O153" i="12" l="1"/>
  <c r="N153" i="12"/>
  <c r="T153" i="12"/>
  <c r="P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P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V157" i="12" s="1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P161" i="12" s="1"/>
  <c r="AA161" i="12"/>
  <c r="AF161" i="12"/>
  <c r="AC161" i="12"/>
  <c r="D161" i="12"/>
  <c r="AD161" i="12"/>
  <c r="C161" i="12"/>
  <c r="AH161" i="12"/>
  <c r="AG161" i="12"/>
  <c r="U161" i="12" s="1"/>
  <c r="AT161" i="12"/>
  <c r="AL161" i="12"/>
  <c r="AS161" i="12"/>
  <c r="B161" i="12"/>
  <c r="AK161" i="12"/>
  <c r="AR161" i="12"/>
  <c r="A162" i="12" a="1"/>
  <c r="R161" i="12" l="1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S162" i="12" l="1"/>
  <c r="U162" i="12"/>
  <c r="T162" i="12"/>
  <c r="P162" i="12"/>
  <c r="Q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N163" i="12" s="1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P163" i="12" l="1"/>
  <c r="V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U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P166" i="12" s="1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R166" i="12" l="1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N167" i="12" s="1"/>
  <c r="AA167" i="12"/>
  <c r="AP167" i="12"/>
  <c r="E167" i="12"/>
  <c r="C167" i="12"/>
  <c r="AD167" i="12"/>
  <c r="AB167" i="12"/>
  <c r="A168" i="12" a="1"/>
  <c r="P167" i="12" l="1"/>
  <c r="S167" i="12"/>
  <c r="O167" i="12"/>
  <c r="R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T168" i="12" l="1"/>
  <c r="U168" i="12"/>
  <c r="O168" i="12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N170" i="12" s="1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T170" i="12" l="1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P174" i="12" s="1"/>
  <c r="E174" i="12"/>
  <c r="AE174" i="12"/>
  <c r="AK174" i="12"/>
  <c r="AQ174" i="12"/>
  <c r="AM174" i="12"/>
  <c r="B174" i="12"/>
  <c r="AC174" i="12"/>
  <c r="Q174" i="12" s="1"/>
  <c r="A175" i="12" a="1"/>
  <c r="O174" i="12" l="1"/>
  <c r="S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T175" i="12" l="1"/>
  <c r="U175" i="12"/>
  <c r="S175" i="12"/>
  <c r="Q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R177" i="12" s="1"/>
  <c r="C177" i="12"/>
  <c r="K177" i="12"/>
  <c r="AR177" i="12"/>
  <c r="AK177" i="12"/>
  <c r="L177" i="12"/>
  <c r="Z177" i="12"/>
  <c r="AG177" i="12"/>
  <c r="AH177" i="12"/>
  <c r="A178" i="12" a="1"/>
  <c r="O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P179" i="12" s="1"/>
  <c r="AM179" i="12"/>
  <c r="D179" i="12"/>
  <c r="L179" i="12"/>
  <c r="AG179" i="12"/>
  <c r="AP179" i="12"/>
  <c r="AA179" i="12"/>
  <c r="Y179" i="12"/>
  <c r="Z179" i="12"/>
  <c r="N179" i="12" s="1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Q180" i="12" s="1"/>
  <c r="C180" i="12"/>
  <c r="L180" i="12"/>
  <c r="A181" i="12" a="1"/>
  <c r="S180" i="12" l="1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Q183" i="12" s="1"/>
  <c r="AK183" i="12"/>
  <c r="L183" i="12"/>
  <c r="AN183" i="12"/>
  <c r="AR183" i="12"/>
  <c r="K183" i="12"/>
  <c r="AA183" i="12"/>
  <c r="A184" i="12" a="1"/>
  <c r="N183" i="12" l="1"/>
  <c r="V183" i="12"/>
  <c r="O183" i="12"/>
  <c r="P183" i="12"/>
  <c r="AU183" i="12"/>
  <c r="T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N185" i="12" l="1"/>
  <c r="O185" i="12"/>
  <c r="AU185" i="12"/>
  <c r="R185" i="12"/>
  <c r="V185" i="12"/>
  <c r="Q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R187" i="12" s="1"/>
  <c r="A188" i="12" a="1"/>
  <c r="V187" i="12" l="1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R189" i="12"/>
  <c r="S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R191" i="12" l="1"/>
  <c r="P191" i="12"/>
  <c r="N191" i="12"/>
  <c r="Q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I192" i="12"/>
  <c r="AQ192" i="12"/>
  <c r="AA192" i="12"/>
  <c r="AT192" i="12"/>
  <c r="E192" i="12"/>
  <c r="A193" i="12" a="1"/>
  <c r="S192" i="12" l="1"/>
  <c r="R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U195" i="12" l="1"/>
  <c r="S195" i="12"/>
  <c r="P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V196" i="12"/>
  <c r="R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U198" i="12" s="1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S198" i="12" l="1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N200" i="12" l="1"/>
  <c r="R200" i="12"/>
  <c r="S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O201" i="12" s="1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R203" i="12" l="1"/>
  <c r="O203" i="12"/>
  <c r="U203" i="12"/>
  <c r="P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R204" i="12"/>
  <c r="P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N207" i="12" l="1"/>
  <c r="R207" i="12"/>
  <c r="S207" i="12"/>
  <c r="Q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T210" i="12" s="1"/>
  <c r="A211" i="12" a="1"/>
  <c r="P210" i="12" l="1"/>
  <c r="O210" i="12"/>
  <c r="Q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P211" i="12" l="1"/>
  <c r="R211" i="12"/>
  <c r="O211" i="12"/>
  <c r="V211" i="12"/>
  <c r="Q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U213" i="12" s="1"/>
  <c r="I213" i="12"/>
  <c r="AD213" i="12"/>
  <c r="E213" i="12"/>
  <c r="AE213" i="12"/>
  <c r="L213" i="12"/>
  <c r="AB213" i="12"/>
  <c r="AA213" i="12"/>
  <c r="C213" i="12"/>
  <c r="A214" i="12" a="1"/>
  <c r="N213" i="12" l="1"/>
  <c r="O213" i="12"/>
  <c r="Q213" i="12"/>
  <c r="P213" i="12"/>
  <c r="V213" i="12"/>
  <c r="R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O215" i="12" s="1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T215" i="12" l="1"/>
  <c r="Q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O216" i="12" l="1"/>
  <c r="R216" i="12"/>
  <c r="V216" i="12"/>
  <c r="N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P217" i="12"/>
  <c r="N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S218" i="12" l="1"/>
  <c r="T218" i="12"/>
  <c r="V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N220" i="12" s="1"/>
  <c r="Y220" i="12"/>
  <c r="I220" i="12"/>
  <c r="AR220" i="12"/>
  <c r="AM220" i="12"/>
  <c r="AH220" i="12"/>
  <c r="L220" i="12"/>
  <c r="AQ220" i="12"/>
  <c r="A221" i="12" a="1"/>
  <c r="O220" i="12" l="1"/>
  <c r="Q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P222" i="12" l="1"/>
  <c r="U222" i="12"/>
  <c r="S222" i="12"/>
  <c r="N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V223" i="12" l="1"/>
  <c r="S223" i="12"/>
  <c r="U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O224" i="12" l="1"/>
  <c r="P224" i="12"/>
  <c r="Q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V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R231" i="12" s="1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N232" i="12"/>
  <c r="S232" i="12"/>
  <c r="Q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Q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O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S236" i="12" l="1"/>
  <c r="U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R237" i="12" l="1"/>
  <c r="P237" i="12"/>
  <c r="T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U238" i="12" s="1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T238" i="12" s="1"/>
  <c r="A239" i="12" a="1"/>
  <c r="V238" i="12" l="1"/>
  <c r="R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U239" i="12" l="1"/>
  <c r="S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O240" i="12" l="1"/>
  <c r="Q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A242" i="12" a="1"/>
  <c r="U241" i="12" l="1"/>
  <c r="Q241" i="12"/>
  <c r="R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AA243" i="12"/>
  <c r="O243" i="12" s="1"/>
  <c r="B243" i="12"/>
  <c r="I243" i="12"/>
  <c r="J243" i="12"/>
  <c r="AB243" i="12"/>
  <c r="AL243" i="12"/>
  <c r="AK243" i="12"/>
  <c r="AR243" i="12"/>
  <c r="A244" i="12" a="1"/>
  <c r="R243" i="12" l="1"/>
  <c r="S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V245" i="12" s="1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N245" i="12" l="1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N246" i="12" s="1"/>
  <c r="AO246" i="12"/>
  <c r="J246" i="12"/>
  <c r="AB246" i="12"/>
  <c r="P246" i="12" s="1"/>
  <c r="AC246" i="12"/>
  <c r="AS246" i="12"/>
  <c r="AA246" i="12"/>
  <c r="A247" i="12" a="1"/>
  <c r="U246" i="12" l="1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V247" i="12" s="1"/>
  <c r="AS247" i="12"/>
  <c r="AK247" i="12"/>
  <c r="AP247" i="12"/>
  <c r="AG247" i="12"/>
  <c r="AO247" i="12"/>
  <c r="AN247" i="12"/>
  <c r="Z247" i="12"/>
  <c r="N247" i="12" s="1"/>
  <c r="A248" i="12" a="1"/>
  <c r="P247" i="12" l="1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P249" i="12"/>
  <c r="T249" i="12"/>
  <c r="R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V251" i="12" s="1"/>
  <c r="AR251" i="12"/>
  <c r="B251" i="12"/>
  <c r="I251" i="12"/>
  <c r="AE251" i="12"/>
  <c r="AM251" i="12"/>
  <c r="AB251" i="12"/>
  <c r="AS251" i="12"/>
  <c r="E251" i="12"/>
  <c r="A252" i="12" a="1"/>
  <c r="AU251" i="12" l="1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A254" i="12" a="1"/>
  <c r="O253" i="12" l="1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V254" i="12" l="1"/>
  <c r="O254" i="12"/>
  <c r="U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P255" i="12"/>
  <c r="O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S256" i="12" s="1"/>
  <c r="B256" i="12"/>
  <c r="I256" i="12"/>
  <c r="AO256" i="12"/>
  <c r="AH256" i="12"/>
  <c r="Y256" i="12"/>
  <c r="AQ256" i="12"/>
  <c r="K256" i="12"/>
  <c r="Z256" i="12"/>
  <c r="N256" i="12" s="1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O256" i="12" l="1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U257" i="12" s="1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Q259" i="12" l="1"/>
  <c r="R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O262" i="12" s="1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S262" i="12" l="1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P263" i="12" l="1"/>
  <c r="N263" i="12"/>
  <c r="U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R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O267" i="12" s="1"/>
  <c r="AL267" i="12"/>
  <c r="AB267" i="12"/>
  <c r="D267" i="12"/>
  <c r="AN267" i="12"/>
  <c r="AF267" i="12"/>
  <c r="J267" i="12"/>
  <c r="AH267" i="12"/>
  <c r="AR267" i="12"/>
  <c r="Z267" i="12"/>
  <c r="A268" i="12" a="1"/>
  <c r="N267" i="12" l="1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N268" i="12" s="1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U269" i="12" s="1"/>
  <c r="A270" i="12" a="1"/>
  <c r="V269" i="12" l="1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A271" i="12" a="1"/>
  <c r="N270" i="12" l="1"/>
  <c r="R270" i="12"/>
  <c r="O270" i="12"/>
  <c r="S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P271" i="12" s="1"/>
  <c r="C271" i="12"/>
  <c r="AO271" i="12"/>
  <c r="AD271" i="12"/>
  <c r="D271" i="12"/>
  <c r="AM271" i="12"/>
  <c r="AS271" i="12"/>
  <c r="AH271" i="12"/>
  <c r="A272" i="12" a="1"/>
  <c r="U271" i="12" l="1"/>
  <c r="V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U273" i="12" s="1"/>
  <c r="D273" i="12"/>
  <c r="L273" i="12"/>
  <c r="AT273" i="12"/>
  <c r="AS273" i="12"/>
  <c r="AB273" i="12"/>
  <c r="AC273" i="12"/>
  <c r="Y273" i="12"/>
  <c r="A274" i="12" a="1"/>
  <c r="O273" i="12" l="1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Q274" i="12" l="1"/>
  <c r="P274" i="12"/>
  <c r="T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V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R278" i="12" s="1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U278" i="12" l="1"/>
  <c r="V278" i="12"/>
  <c r="O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N280" i="12" s="1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S282" i="12" l="1"/>
  <c r="R282" i="12"/>
  <c r="P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P283" i="12"/>
  <c r="N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N285" i="12" s="1"/>
  <c r="AS285" i="12"/>
  <c r="AT285" i="12"/>
  <c r="L285" i="12"/>
  <c r="AB285" i="12"/>
  <c r="AM285" i="12"/>
  <c r="I285" i="12"/>
  <c r="K285" i="12"/>
  <c r="A286" i="12" a="1"/>
  <c r="Q285" i="12" l="1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V286" i="12" s="1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Q286" i="12" l="1"/>
  <c r="S286" i="12"/>
  <c r="AU286" i="12"/>
  <c r="O286" i="12"/>
  <c r="T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Q288" i="12" s="1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U288" i="12" s="1"/>
  <c r="A289" i="12" a="1"/>
  <c r="T288" i="12" l="1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R289" i="12" s="1"/>
  <c r="L289" i="12"/>
  <c r="AR289" i="12"/>
  <c r="AH289" i="12"/>
  <c r="C289" i="12"/>
  <c r="Z289" i="12"/>
  <c r="AP289" i="12"/>
  <c r="AF289" i="12"/>
  <c r="AB289" i="12"/>
  <c r="P289" i="12" s="1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R290" i="12" l="1"/>
  <c r="T290" i="12"/>
  <c r="N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R292" i="12" l="1"/>
  <c r="N292" i="12"/>
  <c r="U292" i="12"/>
  <c r="Q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Q293" i="12"/>
  <c r="U293" i="12"/>
  <c r="O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S295" i="12" s="1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R295" i="12" l="1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T297" i="12" s="1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V297" i="12" s="1"/>
  <c r="A298" i="12" a="1"/>
  <c r="R297" i="12" l="1"/>
  <c r="U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N298" i="12" l="1"/>
  <c r="U298" i="12"/>
  <c r="V298" i="12"/>
  <c r="Q298" i="12"/>
  <c r="T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O300" i="12" s="1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V300" i="12" l="1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<sst xmlns="http://schemas.openxmlformats.org/spreadsheetml/2006/main" count="2361" uniqueCount="1420">
  <si>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</si>
  <si>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</si>
  <si>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</si>
  <si>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</si>
  <si>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</si>
  <si>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</si>
  <si>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</si>
  <si>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</si>
  <si>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</si>
  <si>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</si>
  <si>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</si>
  <si>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</si>
  <si>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</si>
  <si>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</si>
  <si>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</si>
  <si>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</si>
  <si>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</si>
  <si>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</si>
  <si>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</si>
  <si>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</si>
  <si>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</si>
  <si>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</si>
  <si>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</si>
  <si>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</si>
  <si>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</si>
  <si>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</si>
  <si>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</si>
  <si>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</si>
  <si>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</si>
  <si>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</si>
  <si>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</si>
  <si>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</si>
  <si>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</si>
  <si>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</si>
  <si>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</si>
  <si>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</si>
  <si>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</si>
  <si>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</si>
  <si>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</si>
  <si>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</si>
  <si>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</si>
  <si>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</si>
  <si>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</si>
  <si>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</si>
  <si>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</si>
  <si>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</si>
  <si>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</si>
  <si>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</si>
  <si>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</si>
  <si>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</si>
  <si>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</si>
  <si>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</si>
  <si>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</si>
  <si>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</si>
  <si>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</si>
  <si>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</si>
  <si>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</si>
  <si>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</si>
  <si>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</si>
  <si>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</si>
  <si>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</si>
  <si>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</si>
  <si>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</si>
  <si>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</si>
  <si>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</si>
  <si>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</si>
  <si>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</si>
  <si>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</si>
  <si>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</si>
  <si>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</si>
  <si>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</si>
  <si>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</si>
  <si>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</si>
  <si>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</si>
  <si>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</si>
  <si>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</si>
  <si>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</si>
  <si>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</si>
  <si>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</si>
  <si>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</si>
  <si>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</si>
  <si>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</si>
  <si>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</si>
  <si>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</si>
  <si>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</si>
  <si>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</si>
  <si>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</si>
  <si>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</si>
  <si>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</si>
  <si>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</si>
  <si>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</si>
  <si>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</si>
  <si>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</si>
  <si>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</si>
  <si>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</si>
  <si>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</si>
  <si>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</si>
  <si>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</si>
  <si>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</si>
  <si>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</si>
  <si>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</si>
  <si>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</si>
  <si>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</si>
  <si>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</si>
  <si>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</si>
  <si>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</si>
  <si>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</si>
  <si>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</si>
  <si>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</si>
  <si>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</si>
  <si>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</si>
  <si>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</si>
  <si>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</si>
  <si>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</si>
  <si>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</si>
  <si>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</si>
  <si>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</si>
  <si>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</si>
  <si>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</si>
  <si>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</si>
  <si>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</si>
  <si>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</si>
  <si>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</si>
  <si>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</si>
  <si>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</si>
  <si>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</si>
  <si>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</si>
  <si>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</si>
  <si>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</si>
  <si>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</si>
  <si>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</si>
  <si>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</si>
  <si>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</si>
  <si>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</si>
  <si>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</si>
  <si>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</si>
  <si>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</si>
  <si>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</si>
  <si>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</si>
  <si>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</si>
  <si>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</si>
  <si>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</si>
  <si>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</si>
  <si>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</si>
  <si>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</si>
  <si>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</si>
  <si>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</si>
  <si>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</si>
  <si>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</si>
  <si>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</si>
  <si>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</si>
  <si>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</si>
  <si>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</si>
  <si>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</si>
  <si>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</si>
  <si>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</si>
  <si>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</si>
  <si>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</si>
  <si>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</si>
  <si>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</si>
  <si>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</si>
  <si>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</si>
  <si>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</si>
  <si>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</si>
  <si>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</si>
  <si>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</si>
  <si>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</si>
  <si>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</si>
  <si>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</si>
  <si>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</si>
  <si>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</si>
  <si>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</si>
  <si>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</si>
  <si>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</si>
  <si>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</si>
  <si>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</si>
  <si>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</si>
  <si>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</si>
  <si>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</si>
  <si>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</si>
  <si>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</si>
  <si>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</si>
  <si>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</si>
  <si>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</si>
  <si>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</si>
  <si>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</si>
  <si>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</si>
  <si>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</si>
  <si>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</si>
  <si>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</si>
  <si>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</si>
  <si>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</si>
  <si>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</si>
  <si>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</si>
  <si>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</si>
  <si>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</si>
  <si>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</si>
  <si>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</si>
  <si>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</si>
  <si>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</si>
  <si>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</si>
  <si>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</si>
  <si>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</si>
  <si>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</si>
  <si>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</si>
  <si>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</si>
  <si>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</si>
  <si>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</si>
  <si>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</si>
  <si>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</si>
  <si>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</si>
  <si>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</si>
  <si>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</si>
  <si>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</si>
  <si>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</si>
  <si>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</si>
  <si>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</si>
  <si>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</si>
  <si>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</si>
  <si>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</si>
  <si>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</si>
  <si>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</si>
  <si>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</si>
  <si>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</si>
  <si>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</si>
  <si>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</si>
  <si>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</si>
  <si>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</si>
  <si>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</si>
  <si>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</si>
  <si>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</si>
  <si>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</si>
  <si>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</si>
  <si>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</si>
  <si>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</si>
  <si>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</si>
  <si>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</si>
  <si>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</si>
  <si>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</si>
  <si>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</si>
  <si>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</si>
  <si>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</si>
  <si>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</si>
  <si>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</si>
  <si>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</si>
  <si>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</si>
  <si>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</si>
  <si>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</si>
  <si>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</si>
  <si>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</si>
  <si>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</si>
  <si>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</si>
  <si>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</si>
  <si>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</si>
  <si>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</si>
  <si>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</si>
  <si>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</si>
  <si>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</si>
  <si>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</si>
  <si>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</si>
  <si>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</si>
  <si>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</si>
  <si>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</si>
  <si>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</si>
  <si>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</si>
  <si>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</si>
  <si>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</si>
  <si>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</si>
  <si>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</si>
  <si>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</si>
  <si>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</si>
  <si>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</si>
  <si>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</si>
  <si>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</si>
  <si>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</si>
  <si>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</si>
  <si>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</si>
  <si>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</si>
  <si>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</si>
  <si>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</si>
  <si>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</si>
  <si>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</si>
  <si>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</si>
  <si>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</si>
  <si>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</si>
  <si>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</si>
  <si>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</si>
  <si>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</si>
  <si>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</si>
  <si>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</si>
  <si>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</si>
  <si>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</si>
  <si>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</si>
  <si>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</si>
  <si>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</si>
  <si>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</si>
  <si>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</si>
  <si>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</si>
  <si>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</si>
  <si>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</si>
  <si>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</si>
  <si>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</si>
  <si>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</si>
  <si>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</si>
  <si>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</si>
  <si>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</si>
  <si>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</si>
  <si>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</si>
  <si>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</si>
  <si>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</si>
  <si>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</si>
  <si>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</si>
  <si>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</si>
  <si>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</si>
  <si>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</si>
  <si>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</si>
  <si>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</si>
  <si>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</si>
  <si>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</si>
  <si>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</si>
  <si>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</si>
  <si>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</si>
  <si>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</si>
  <si>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</si>
  <si>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</si>
  <si>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</si>
  <si>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</si>
  <si>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</si>
  <si>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</si>
  <si>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</si>
  <si>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</si>
  <si>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</si>
  <si>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</si>
  <si>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</si>
  <si>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</si>
  <si>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</si>
  <si>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</si>
  <si>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</si>
  <si>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</si>
  <si>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</si>
  <si>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</si>
  <si>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</si>
  <si>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</si>
  <si>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</si>
  <si>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</si>
  <si>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</si>
  <si>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</si>
  <si>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</si>
  <si>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</si>
  <si>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</si>
  <si>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</si>
  <si>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</si>
  <si>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</si>
  <si>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</si>
  <si>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</si>
  <si>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</si>
  <si>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</si>
  <si>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</si>
  <si>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</si>
  <si>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</si>
  <si>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</si>
  <si>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</si>
  <si>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</si>
  <si>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</si>
  <si>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</si>
  <si>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</si>
  <si>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</si>
  <si>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</si>
  <si>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</si>
  <si>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</si>
  <si>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</si>
  <si>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</si>
  <si>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</si>
  <si>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</si>
  <si>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</si>
  <si>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</si>
  <si>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</si>
  <si>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</si>
  <si>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</si>
  <si>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</si>
  <si>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</si>
  <si>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</si>
  <si>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</si>
  <si>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</si>
  <si>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</si>
  <si>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</si>
  <si>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</si>
  <si>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</si>
  <si>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</si>
  <si>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</si>
  <si>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</si>
  <si>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</si>
  <si>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</si>
  <si>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</si>
  <si>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</si>
  <si>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</si>
  <si>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</si>
  <si>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</si>
  <si>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</si>
  <si>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</si>
  <si>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</si>
  <si>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</si>
  <si>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</si>
  <si>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</si>
  <si>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</si>
  <si>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</si>
  <si>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</si>
  <si>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</si>
  <si>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</si>
  <si>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</si>
  <si>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</si>
  <si>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</si>
  <si>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</si>
  <si>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</si>
  <si>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</si>
  <si>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</si>
  <si>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</si>
  <si>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</si>
  <si>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</si>
  <si>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</si>
  <si>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</si>
  <si>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</si>
  <si>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</si>
  <si>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</si>
  <si>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</si>
  <si>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</si>
  <si>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</si>
  <si>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</si>
  <si>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</si>
  <si>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</si>
  <si>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</si>
  <si>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</si>
  <si>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</si>
  <si>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</si>
  <si>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</si>
  <si>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</si>
  <si>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</si>
  <si>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</si>
  <si>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</si>
  <si>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</si>
  <si>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</si>
  <si>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</si>
  <si>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</si>
  <si>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</si>
  <si>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</si>
  <si>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</si>
  <si>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</si>
  <si>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</si>
  <si>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</si>
  <si>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</si>
  <si>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</si>
  <si>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</si>
  <si>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</si>
  <si>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</si>
  <si>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</si>
  <si>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</si>
  <si>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</si>
  <si>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</si>
  <si>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</si>
  <si>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</si>
  <si>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</si>
  <si>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</si>
  <si>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</si>
  <si>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</si>
  <si>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</si>
  <si>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</si>
  <si>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</si>
  <si>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</si>
  <si>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</si>
  <si>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</si>
  <si>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</si>
  <si>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</si>
  <si>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</si>
  <si>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</si>
  <si>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</si>
  <si>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</si>
  <si>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</si>
  <si>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</si>
  <si>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</si>
  <si>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</si>
  <si>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</si>
  <si>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</si>
  <si>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</si>
  <si>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</si>
  <si>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</si>
  <si>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</si>
  <si>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</si>
  <si>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</si>
  <si>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</si>
  <si>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</si>
  <si>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</si>
  <si>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</si>
  <si>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</si>
  <si>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</si>
  <si>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</si>
  <si>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</si>
  <si>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</si>
  <si>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</si>
  <si>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</si>
  <si>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</si>
  <si>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</si>
  <si>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</si>
  <si>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</si>
  <si>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</si>
  <si>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</si>
  <si>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</si>
  <si>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</si>
  <si>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</si>
  <si>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</si>
  <si>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</si>
  <si>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</si>
  <si>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</si>
  <si>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</si>
  <si>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</si>
  <si>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</si>
  <si>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</si>
  <si>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</si>
  <si>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</si>
  <si>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</si>
  <si>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</si>
  <si>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</si>
  <si>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</si>
  <si>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</si>
  <si>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</si>
  <si>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</si>
  <si>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</si>
  <si>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</si>
  <si>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</si>
  <si>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</si>
  <si>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</si>
  <si>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</si>
  <si>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</si>
  <si>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</si>
  <si>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</si>
  <si>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</si>
  <si>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</si>
  <si>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</si>
  <si>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</si>
  <si>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</si>
  <si>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</si>
  <si>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</si>
  <si>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</si>
  <si>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</si>
  <si>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</si>
  <si>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</si>
  <si>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</si>
  <si>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</si>
  <si>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</si>
  <si>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</si>
  <si>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</si>
  <si>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</si>
  <si>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</si>
  <si>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</si>
  <si>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</si>
  <si>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</si>
  <si>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</si>
  <si>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</si>
  <si>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</si>
  <si>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</si>
  <si>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</si>
  <si>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</si>
  <si>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</si>
  <si>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</si>
  <si>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</si>
  <si>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</si>
  <si>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</si>
  <si>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</si>
  <si>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</si>
  <si>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</si>
  <si>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</si>
  <si>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</si>
  <si>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</si>
  <si>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</si>
  <si>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</si>
  <si>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</si>
  <si>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</si>
  <si>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</si>
  <si>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</si>
  <si>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</si>
  <si>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</si>
  <si>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</si>
  <si>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</si>
  <si>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</si>
  <si>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</si>
  <si>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</si>
  <si>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</si>
  <si>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</si>
  <si>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</si>
  <si>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</si>
  <si>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</si>
  <si>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</si>
  <si>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</si>
  <si>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</si>
  <si>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</si>
  <si>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</si>
  <si>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</si>
  <si>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</si>
  <si>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</si>
  <si>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</si>
  <si>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</si>
  <si>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</si>
  <si>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</si>
  <si>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</si>
  <si>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</si>
  <si>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</si>
  <si>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</si>
  <si>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</si>
  <si>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</si>
  <si>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</si>
  <si>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</si>
  <si>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</si>
  <si>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</si>
  <si>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</si>
  <si>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</si>
  <si>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</si>
  <si>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</si>
  <si>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</si>
  <si>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</si>
  <si>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</si>
  <si>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</si>
  <si>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</si>
  <si>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</si>
  <si>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</si>
  <si>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</si>
  <si>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</si>
  <si>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</si>
  <si>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</si>
  <si>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</si>
  <si>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</si>
  <si>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</si>
  <si>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</si>
  <si>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</si>
  <si>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</si>
  <si>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</si>
  <si>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</si>
  <si>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</si>
  <si>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</si>
  <si>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</si>
  <si>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</si>
  <si>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</si>
  <si>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</si>
  <si>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</si>
  <si>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</si>
  <si>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</si>
  <si>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</si>
  <si>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</si>
  <si>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</si>
  <si>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</si>
  <si>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</si>
  <si>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</si>
  <si>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</si>
  <si>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</si>
  <si>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</si>
  <si>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</si>
  <si>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</si>
  <si>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</si>
  <si>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</si>
  <si>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</si>
  <si>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</si>
  <si>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</si>
  <si>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</si>
  <si>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</si>
  <si>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</si>
  <si>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</si>
  <si>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</si>
  <si>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</si>
  <si>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</si>
  <si>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</si>
  <si>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</si>
  <si>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</si>
  <si>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</si>
  <si>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</si>
  <si>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</si>
  <si>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</si>
  <si>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</si>
  <si>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</si>
  <si>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</si>
  <si>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</si>
  <si>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</si>
  <si>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</si>
  <si>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</si>
  <si>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</si>
  <si>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</si>
  <si>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</si>
  <si>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</si>
  <si>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</si>
  <si>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</si>
  <si>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</si>
  <si>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</si>
  <si>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</si>
  <si>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</si>
  <si>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</si>
  <si>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</si>
  <si>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</si>
  <si>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</si>
  <si>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</si>
  <si>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</si>
  <si>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</si>
  <si>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</si>
  <si>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</si>
  <si>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</si>
  <si>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</si>
  <si>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</si>
  <si>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</si>
  <si>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</si>
  <si>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</si>
  <si>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</si>
  <si>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</si>
  <si>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</si>
  <si>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</si>
  <si>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</si>
  <si>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</si>
  <si>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</si>
  <si>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</si>
  <si>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</si>
  <si>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</si>
  <si>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</si>
  <si>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</si>
  <si>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</si>
  <si>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</si>
  <si>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</si>
  <si>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</si>
  <si>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</si>
  <si>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</si>
  <si>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</si>
  <si>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</si>
  <si>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</si>
  <si>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</si>
  <si>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</si>
  <si>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</si>
  <si>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</si>
  <si>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</si>
  <si>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</si>
  <si>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</si>
  <si>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</si>
  <si>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</si>
  <si>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</si>
  <si>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</si>
  <si>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</si>
  <si>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</si>
  <si>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</si>
  <si>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</si>
  <si>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</si>
  <si>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</si>
  <si>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</si>
  <si>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</si>
  <si>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</si>
  <si>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</si>
  <si>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</si>
  <si>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</si>
  <si>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</si>
  <si>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</si>
  <si>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</si>
  <si>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</si>
  <si>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</si>
  <si>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</si>
  <si>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</si>
  <si>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</si>
  <si>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</si>
  <si>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</si>
  <si>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</si>
  <si>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</si>
  <si>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</si>
  <si>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</si>
  <si>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</si>
  <si>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</si>
  <si>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</si>
  <si>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</si>
  <si>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</si>
  <si>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</si>
  <si>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</si>
  <si>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</si>
  <si>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</si>
  <si>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</si>
  <si>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</si>
  <si>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</si>
  <si>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</si>
  <si>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</si>
  <si>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</si>
  <si>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</si>
  <si>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</si>
  <si>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</si>
  <si>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</si>
  <si>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</si>
  <si>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</si>
  <si>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</si>
  <si>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</si>
  <si>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</si>
  <si>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</si>
  <si>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</si>
  <si>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</si>
  <si>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</si>
  <si>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</si>
  <si>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</si>
  <si>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</si>
  <si>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</si>
  <si>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</si>
  <si>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</si>
  <si>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</si>
  <si>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</si>
  <si>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</si>
  <si>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</si>
  <si>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</si>
  <si>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</si>
  <si>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</si>
  <si>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</si>
  <si>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</si>
  <si>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</si>
  <si>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</si>
  <si>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</si>
  <si>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</si>
  <si>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</si>
  <si>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</si>
  <si>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</si>
  <si>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</si>
  <si>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</si>
  <si>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</si>
  <si>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</si>
  <si>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</si>
  <si>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</si>
  <si>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</si>
  <si>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</si>
  <si>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</si>
  <si>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</si>
  <si>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</si>
  <si>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</si>
  <si>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</si>
  <si>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</si>
  <si>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</si>
  <si>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</si>
  <si>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</si>
  <si>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</si>
  <si>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</si>
  <si>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</si>
  <si>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</si>
  <si>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</si>
  <si>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</si>
  <si>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</si>
  <si>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</si>
  <si>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</si>
  <si>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</si>
  <si>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</si>
  <si>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</si>
  <si>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</si>
  <si>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</si>
  <si>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</si>
  <si>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</si>
  <si>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</si>
  <si>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</si>
  <si>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</si>
  <si>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</si>
  <si>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</si>
  <si>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</si>
  <si>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</si>
  <si>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</si>
  <si>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</si>
  <si>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</si>
  <si>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</si>
  <si>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</si>
  <si>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</si>
  <si>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</si>
  <si>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</si>
  <si>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</si>
  <si>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</si>
  <si>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</si>
  <si>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</si>
  <si>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</si>
  <si>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</si>
  <si>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</si>
  <si>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</si>
  <si>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</si>
  <si>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</si>
  <si>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</si>
  <si>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</si>
  <si>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</si>
  <si>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</si>
  <si>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</si>
  <si>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</si>
  <si>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</si>
  <si>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</si>
  <si>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</si>
  <si>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</si>
  <si>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</si>
  <si>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</si>
  <si>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</si>
  <si>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</si>
  <si>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</si>
  <si>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</si>
  <si>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</si>
  <si>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</si>
  <si>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</si>
  <si>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</si>
  <si>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</si>
  <si>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</si>
  <si>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</si>
  <si>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</si>
  <si>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</si>
  <si>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</si>
  <si>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</si>
  <si>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</si>
  <si>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</si>
  <si>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</si>
  <si>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</si>
  <si>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</si>
  <si>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</si>
  <si>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</si>
  <si>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</si>
  <si>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</si>
  <si>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</si>
  <si>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</si>
  <si>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</si>
  <si>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</si>
  <si>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</si>
  <si>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</si>
  <si>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</si>
  <si>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</si>
  <si>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</si>
  <si>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</si>
  <si>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</si>
  <si>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</si>
  <si>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</si>
  <si>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</si>
  <si>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</si>
  <si>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</si>
  <si>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</si>
  <si>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</si>
  <si>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</si>
  <si>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</si>
  <si>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</si>
  <si>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</si>
  <si>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</si>
  <si>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</si>
  <si>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</si>
  <si>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</si>
  <si>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</si>
  <si>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</si>
  <si>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</si>
  <si>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</si>
  <si>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</si>
  <si>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</si>
  <si>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</si>
  <si>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</si>
  <si>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</si>
  <si>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</si>
  <si>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</si>
  <si>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</si>
  <si>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</si>
  <si>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</si>
  <si>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</si>
  <si>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</si>
  <si>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</si>
  <si>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</si>
  <si>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</si>
  <si>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</si>
  <si>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</si>
  <si>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</si>
  <si>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</si>
  <si>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</si>
  <si>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</si>
  <si>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</si>
  <si>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</si>
  <si>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</si>
  <si>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</si>
  <si>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</si>
  <si>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</si>
  <si>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</si>
  <si>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</si>
  <si>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</si>
  <si>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</si>
  <si>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</si>
  <si>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</si>
  <si>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</si>
  <si>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</si>
  <si>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</si>
  <si>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</si>
  <si>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</si>
  <si>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</si>
  <si>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</si>
  <si>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</si>
  <si>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</si>
  <si>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</si>
  <si>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</si>
  <si>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</si>
  <si>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</si>
  <si>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</si>
  <si>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</si>
  <si>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</si>
  <si>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</si>
  <si>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</si>
  <si>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</si>
  <si>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</si>
  <si>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</si>
  <si>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</si>
  <si>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</si>
  <si>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</si>
  <si>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</si>
  <si>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</si>
  <si>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</si>
  <si>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</si>
  <si>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</si>
  <si>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</si>
  <si>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</si>
  <si>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</si>
  <si>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</si>
  <si>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</si>
  <si>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</si>
  <si>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</si>
  <si>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</si>
  <si>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</si>
  <si>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</si>
  <si>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</si>
  <si>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</si>
  <si>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</si>
  <si>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</si>
  <si>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</si>
  <si>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</si>
  <si>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</si>
  <si>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</si>
  <si>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</si>
  <si>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</si>
  <si>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</si>
  <si>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</si>
  <si>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</si>
  <si>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</si>
  <si>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</si>
  <si>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</si>
  <si>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</si>
  <si>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</si>
  <si>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</si>
  <si>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</si>
  <si>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</si>
  <si>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</si>
  <si>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</si>
  <si>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</si>
  <si>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</si>
  <si>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</si>
  <si>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</si>
  <si>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</si>
  <si>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</si>
  <si>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</si>
  <si>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</si>
  <si>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</si>
  <si>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</si>
  <si>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</si>
  <si>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</si>
  <si>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</si>
  <si>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</si>
  <si>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</si>
  <si>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</si>
  <si>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</si>
  <si>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</si>
  <si>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</si>
  <si>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</si>
  <si>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</si>
  <si>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</si>
  <si>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</si>
  <si>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</si>
  <si>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</si>
  <si>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</si>
  <si>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</si>
  <si>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</si>
  <si>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</si>
  <si>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</si>
  <si>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</si>
  <si>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</si>
  <si>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</si>
  <si>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</si>
  <si>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</si>
  <si>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</si>
  <si>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</si>
  <si>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</si>
  <si>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</si>
  <si>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</si>
  <si>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</si>
  <si>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</si>
  <si>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</si>
  <si>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</si>
  <si>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</si>
  <si>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</si>
  <si>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</si>
  <si>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</si>
  <si>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</si>
  <si>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</si>
  <si>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</si>
  <si>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</si>
  <si>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</si>
  <si>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</si>
  <si>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</si>
  <si>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</si>
  <si>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</si>
  <si>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</si>
  <si>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</si>
  <si>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</si>
  <si>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</si>
  <si>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</si>
  <si>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</si>
  <si>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</si>
  <si>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</si>
  <si>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</si>
  <si>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</si>
  <si>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</si>
  <si>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</si>
  <si>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</si>
  <si>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</si>
  <si>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</si>
  <si>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</si>
  <si>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</si>
  <si>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</si>
  <si>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</si>
  <si>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</si>
  <si>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</si>
  <si>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</si>
  <si>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</si>
  <si>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</si>
  <si>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</si>
  <si>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</si>
  <si>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</si>
  <si>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</si>
  <si>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</si>
  <si>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</si>
  <si>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</si>
  <si>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</si>
  <si>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</si>
  <si>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</si>
  <si>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</si>
  <si>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</si>
  <si>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</si>
  <si>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</si>
  <si>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</si>
  <si>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</si>
  <si>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</si>
  <si>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</si>
  <si>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</si>
  <si>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</si>
  <si>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</si>
  <si>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</si>
  <si>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</si>
  <si>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</si>
  <si>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</si>
  <si>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</si>
  <si>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</si>
  <si>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</si>
  <si>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</si>
  <si>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</si>
  <si>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</si>
  <si>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</si>
  <si>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</si>
  <si>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</si>
  <si>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</si>
  <si>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</si>
  <si>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</si>
  <si>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</si>
  <si>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</si>
  <si>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</si>
  <si>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</si>
  <si>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</si>
  <si>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</si>
  <si>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</si>
  <si>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</si>
  <si>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</si>
  <si>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</si>
  <si>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</si>
  <si>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</si>
  <si>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</si>
  <si>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</si>
  <si>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</si>
  <si>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</si>
  <si>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</si>
  <si>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</si>
  <si>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</si>
  <si>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</si>
  <si>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</si>
  <si>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</si>
  <si>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</si>
  <si>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</si>
  <si>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</si>
  <si>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</si>
  <si>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</si>
  <si>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</si>
  <si>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</si>
  <si>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</si>
  <si>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</si>
  <si>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</si>
  <si>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</si>
  <si>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</si>
  <si>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</si>
  <si>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</si>
  <si>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</si>
  <si>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</si>
  <si>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</si>
  <si>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</si>
  <si>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</si>
  <si>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</si>
  <si>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</si>
  <si>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</si>
  <si>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</si>
  <si>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</si>
  <si>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</si>
  <si>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</si>
  <si>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</si>
  <si>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</si>
  <si>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</si>
  <si>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</si>
  <si>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</si>
  <si>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</si>
  <si>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</si>
  <si>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</si>
  <si>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</si>
  <si>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</si>
  <si>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</si>
  <si>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</si>
  <si>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</si>
  <si>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</si>
  <si>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</si>
  <si>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</si>
  <si>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</si>
  <si>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</si>
  <si>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</si>
  <si>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</si>
  <si>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</si>
  <si>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</si>
  <si>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</si>
  <si>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</si>
  <si>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</si>
  <si>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</si>
  <si>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</si>
  <si>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</si>
  <si>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</si>
  <si>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</si>
  <si>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</si>
  <si>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</si>
  <si>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</si>
  <si>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</si>
  <si>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</si>
  <si>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</si>
  <si>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</si>
  <si>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</si>
  <si>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</si>
  <si>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</si>
  <si>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</si>
  <si>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</si>
  <si>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</si>
  <si>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</si>
  <si>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</si>
  <si>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</si>
  <si>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</si>
  <si>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</si>
  <si>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</si>
  <si>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</si>
  <si>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</si>
  <si>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</si>
  <si>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</si>
  <si>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</si>
  <si>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</si>
  <si>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</si>
  <si>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</si>
  <si>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</si>
  <si>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</si>
  <si>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</si>
  <si>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</si>
  <si>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</si>
  <si>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</si>
  <si>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</si>
  <si>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</si>
  <si>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</si>
  <si>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</si>
  <si>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</si>
  <si>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</si>
  <si>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</si>
  <si>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</si>
  <si>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</si>
  <si>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</si>
  <si>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</si>
  <si>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</si>
  <si>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</si>
  <si>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</si>
  <si>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</si>
  <si>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</si>
  <si>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</si>
  <si>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</si>
  <si>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</si>
  <si>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</si>
  <si>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</si>
  <si>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</si>
  <si>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</si>
  <si>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</si>
  <si>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</si>
  <si>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</si>
  <si>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</si>
  <si>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</si>
  <si>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</si>
  <si>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</si>
  <si>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</si>
  <si>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</si>
  <si>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</si>
  <si>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</si>
  <si>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</si>
  <si>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</si>
  <si>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</si>
  <si>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</si>
  <si>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</si>
  <si>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</si>
  <si>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</si>
  <si>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</si>
  <si>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</si>
  <si>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</si>
  <si>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</si>
  <si>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</si>
  <si>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</si>
  <si>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</si>
  <si>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</si>
  <si>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</si>
  <si>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</si>
  <si>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</si>
  <si>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</si>
  <si>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</si>
  <si>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</si>
  <si>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</si>
  <si>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</si>
  <si>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</si>
  <si>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</si>
  <si>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</si>
  <si>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</si>
  <si>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</si>
  <si>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</si>
  <si>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</si>
  <si>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</si>
  <si>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</si>
  <si>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</si>
  <si>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</si>
  <si>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</si>
  <si>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</si>
  <si>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</si>
  <si>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</si>
  <si>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</si>
  <si>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</si>
  <si>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</si>
  <si>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</si>
  <si>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</si>
  <si>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</si>
  <si>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</si>
  <si>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</si>
  <si>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</si>
  <si>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</si>
  <si>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</si>
  <si>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</si>
  <si>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</si>
  <si>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</si>
  <si>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</si>
  <si>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</si>
  <si>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</si>
  <si>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</si>
  <si>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</si>
  <si>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</si>
  <si>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</si>
  <si>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</si>
  <si>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</si>
  <si>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</si>
  <si>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</si>
  <si>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</si>
  <si>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</si>
  <si>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</si>
  <si>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</si>
  <si>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</si>
  <si>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</si>
  <si>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</si>
  <si>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</si>
  <si>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</si>
  <si>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</si>
  <si>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</si>
  <si>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</si>
  <si>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</si>
  <si>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</si>
  <si>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</si>
  <si>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</si>
  <si>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</si>
  <si>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</si>
  <si>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</si>
  <si>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</si>
  <si>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</si>
  <si>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</si>
  <si>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</si>
  <si>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</si>
  <si>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</si>
  <si>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</si>
  <si>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</si>
  <si>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</si>
  <si>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</si>
  <si>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</si>
  <si>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</si>
  <si>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</si>
  <si>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</si>
  <si>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</si>
  <si>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</si>
  <si>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</si>
  <si>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</si>
  <si>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</si>
  <si>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</si>
  <si>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</si>
  <si>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</si>
  <si>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</si>
  <si>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</si>
  <si>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</si>
  <si>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</si>
  <si>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</si>
  <si>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</si>
  <si>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</si>
  <si>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</si>
  <si>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</si>
  <si>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</si>
  <si>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Olivia Hsieh</t>
  </si>
  <si>
    <t>Anna Luc</t>
  </si>
  <si>
    <t>no break on mon</t>
  </si>
  <si>
    <t>no break on fri</t>
  </si>
  <si>
    <t>no break on sun</t>
  </si>
  <si>
    <t>1h roster, 1h stocktake</t>
  </si>
  <si>
    <t>no break for 13:30-19:00 shift</t>
  </si>
  <si>
    <t>sick</t>
  </si>
  <si>
    <t>Thuy</t>
  </si>
  <si>
    <t>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</si>
</sst>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7" zoomScaleNormal="60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D12" sqref="AD12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10040</v>
      </c>
      <c r="B2" s="81" t="s">
        <v>46</v>
      </c>
      <c r="C2" s="92" t="s">
        <v>404</v>
      </c>
      <c r="D2" s="84"/>
      <c r="E2" s="85"/>
      <c r="F2" s="93">
        <f>BA2-BB2</f>
        <v>0</v>
      </c>
      <c r="G2" s="85"/>
      <c r="H2" s="85"/>
      <c r="I2" s="93">
        <f>BF2-BG2</f>
        <v>0</v>
      </c>
      <c r="J2" s="85"/>
      <c r="K2" s="85"/>
      <c r="L2" s="93">
        <f>BK2-BL2</f>
        <v>0</v>
      </c>
      <c r="M2" s="85"/>
      <c r="N2" s="84"/>
      <c r="O2" s="93">
        <f>BP2-BQ2</f>
        <v>0</v>
      </c>
      <c r="P2" s="84"/>
      <c r="Q2" s="85"/>
      <c r="R2" s="93">
        <f>BU2-BV2</f>
        <v>0</v>
      </c>
      <c r="S2" s="85">
        <v>0.45833333333333331</v>
      </c>
      <c r="T2" s="85">
        <v>0.80208333333333337</v>
      </c>
      <c r="U2" s="93">
        <f>BZ2-CA2</f>
        <v>7.7500000000000018</v>
      </c>
      <c r="V2" s="85"/>
      <c r="W2" s="85"/>
      <c r="X2" s="93">
        <f>CE2-CF2</f>
        <v>0</v>
      </c>
      <c r="Y2" s="93"/>
      <c r="Z2" s="93"/>
      <c r="AA2" s="93"/>
      <c r="AB2" s="93">
        <f>SUM(F2,I2,L2,O2,R2,U2,X2)</f>
        <v>7.7500000000000018</v>
      </c>
      <c r="AC2" s="94"/>
      <c r="AD2" s="78">
        <v>6.68</v>
      </c>
      <c r="AE2" s="95">
        <f t="shared" ref="AE2:AE40" si="1">SUMIF($BC$1:$CI$1,AE$1,$BC2:$CI2)+AD2</f>
        <v>6.68</v>
      </c>
      <c r="AF2" s="77"/>
      <c r="AG2" s="95">
        <f t="shared" ref="AG2:AG40" si="2">SUMIF($BC$1:$CI$1,AG$1,$BC2:$CI2)+AF2</f>
        <v>7.7500000000000018</v>
      </c>
      <c r="AH2" s="78"/>
      <c r="AI2" s="95">
        <f t="shared" ref="AI2:AI40" si="3">SUMIF($BC$1:$CI$1,AI$1,$BC2:$CI2)+AH2</f>
        <v>0</v>
      </c>
      <c r="AJ2" s="77"/>
      <c r="AK2" s="95">
        <f t="shared" ref="AK2:AK40" si="4">SUMIF($BC$1:$CI$1,AK$1,$BC2:$CI2)+AJ2</f>
        <v>0</v>
      </c>
      <c r="AL2" s="77"/>
      <c r="AM2" s="95">
        <f t="shared" ref="AM2:AM40" si="5">SUMIF($BC$1:$CI$1,AM$1,$BC2:$CI2)+AL2</f>
        <v>0</v>
      </c>
      <c r="AN2" s="77"/>
      <c r="AO2" s="95">
        <f t="shared" ref="AO2:AO40" si="6">SUMIF($BC$1:$CI$1,AO$1,$BC2:$CI2)+AN2</f>
        <v>0</v>
      </c>
      <c r="AP2" s="96">
        <f>CK2</f>
        <v>1</v>
      </c>
      <c r="AQ2" s="77"/>
      <c r="AR2" s="77"/>
      <c r="AS2" s="77"/>
      <c r="AT2" s="44">
        <f>AE2+AG2+AI2+AK2+AM2+AO2+SUM(AQ2:AS2)</f>
        <v>14.430000000000001</v>
      </c>
      <c r="AU2" s="78" t="s">
        <v>1415</v>
      </c>
      <c r="AV2" s="5"/>
      <c r="AW2" s="5"/>
      <c r="AX2" s="5"/>
      <c r="AY2" s="5"/>
      <c r="AZ2" s="24">
        <f>VLOOKUP(C2,Employees!D:I,6,FALSE)</f>
        <v>10040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8.2500000000000018</v>
      </c>
      <c r="CA2" s="5">
        <f>IF(BZ2&gt;$AY$1,1,IF(BZ2&gt;=$AX$1,0.5,0))</f>
        <v>0.5</v>
      </c>
      <c r="CB2" s="5">
        <f>BZ2-CA2-CC2-CD2</f>
        <v>7.7500000000000018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1</v>
      </c>
    </row>
    <row r="3" spans="1:89" ht="38" customHeight="1">
      <c r="A3" s="74">
        <f t="shared" si="0"/>
        <v>10334</v>
      </c>
      <c r="B3" s="81" t="s">
        <v>46</v>
      </c>
      <c r="C3" s="92" t="s">
        <v>928</v>
      </c>
      <c r="D3" s="84">
        <v>0.375</v>
      </c>
      <c r="E3" s="85">
        <v>0.64583333333333337</v>
      </c>
      <c r="F3" s="93">
        <f t="shared" ref="F3:F69" si="15">BA3-BB3</f>
        <v>6.0000000000000009</v>
      </c>
      <c r="G3" s="85">
        <v>0.5</v>
      </c>
      <c r="H3" s="85">
        <v>0.79166666666666663</v>
      </c>
      <c r="I3" s="93">
        <f t="shared" ref="I3:I69" si="16">BF3-BG3</f>
        <v>6.4999999999999991</v>
      </c>
      <c r="J3" s="85"/>
      <c r="K3" s="85"/>
      <c r="L3" s="93">
        <f t="shared" ref="L3:L69" si="17">BK3-BL3</f>
        <v>0</v>
      </c>
      <c r="M3" s="85"/>
      <c r="N3" s="84"/>
      <c r="O3" s="93">
        <f t="shared" ref="O3:O69" si="18">BP3-BQ3</f>
        <v>0</v>
      </c>
      <c r="P3" s="84"/>
      <c r="Q3" s="85"/>
      <c r="R3" s="93">
        <f t="shared" ref="R3:R69" si="19">BU3-BV3</f>
        <v>0</v>
      </c>
      <c r="S3" s="85">
        <v>0.37708333333333338</v>
      </c>
      <c r="T3" s="85">
        <v>0.70833333333333337</v>
      </c>
      <c r="U3" s="93">
        <f t="shared" ref="U3:U69" si="20">BZ3-CA3</f>
        <v>7.4499999999999993</v>
      </c>
      <c r="V3" s="85">
        <v>0.56805555555555554</v>
      </c>
      <c r="W3" s="85">
        <v>0.79166666666666663</v>
      </c>
      <c r="X3" s="93">
        <f t="shared" ref="X3:X69" si="21">CE3-CF3</f>
        <v>5.3666666666666663</v>
      </c>
      <c r="Y3" s="93"/>
      <c r="Z3" s="93"/>
      <c r="AA3" s="93"/>
      <c r="AB3" s="93">
        <f t="shared" ref="AB3:AB69" si="22">SUM(F3,I3,L3,O3,R3,U3,X3)</f>
        <v>25.316666666666666</v>
      </c>
      <c r="AC3" s="94"/>
      <c r="AD3" s="78"/>
      <c r="AE3" s="95">
        <f t="shared" si="1"/>
        <v>12.5</v>
      </c>
      <c r="AF3" s="77"/>
      <c r="AG3" s="95">
        <f t="shared" si="2"/>
        <v>7.4499999999999993</v>
      </c>
      <c r="AH3" s="78">
        <v>0.5</v>
      </c>
      <c r="AI3" s="95">
        <f t="shared" si="3"/>
        <v>5.8666666666666663</v>
      </c>
      <c r="AJ3" s="77"/>
      <c r="AK3" s="95">
        <f t="shared" si="4"/>
        <v>0</v>
      </c>
      <c r="AL3" s="77"/>
      <c r="AM3" s="95">
        <f t="shared" si="5"/>
        <v>0</v>
      </c>
      <c r="AN3" s="77"/>
      <c r="AO3" s="95">
        <f t="shared" si="6"/>
        <v>0</v>
      </c>
      <c r="AP3" s="96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25.816666666666666</v>
      </c>
      <c r="AU3" s="78" t="s">
        <v>1414</v>
      </c>
      <c r="AV3" s="5"/>
      <c r="AW3" s="5"/>
      <c r="AX3" s="5"/>
      <c r="AY3" s="5"/>
      <c r="AZ3" s="24">
        <f>VLOOKUP(C3,Employees!D:I,6,FALSE)</f>
        <v>10334</v>
      </c>
      <c r="BA3" s="5">
        <f t="shared" ref="BA3:BA66" si="25">IF(ISBLANK(D3),0,(E3-D3)*24)</f>
        <v>6.5000000000000009</v>
      </c>
      <c r="BB3" s="5">
        <f t="shared" ref="BB3:BB66" si="26">IF(BA3&gt;$AY$1,1,IF(BA3&gt;=$AX$1,0.5,0))</f>
        <v>0.5</v>
      </c>
      <c r="BC3" s="5">
        <f t="shared" ref="BC3:BC66" si="27">BA3-BB3-BD3-BE3</f>
        <v>6.0000000000000009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6.9999999999999991</v>
      </c>
      <c r="BG3" s="5">
        <f t="shared" ref="BG3:BG66" si="30">IF(BF3&gt;$AY$1,1,IF(BF3&gt;=$AX$1,0.5,0))</f>
        <v>0.5</v>
      </c>
      <c r="BH3" s="5">
        <f t="shared" ref="BH3:BH66" si="31">BF3-BG3-BI3-BJ3</f>
        <v>6.4999999999999991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7.9499999999999993</v>
      </c>
      <c r="CA3" s="5">
        <f t="shared" ref="CA3:CA66" si="49">IF(BZ3&gt;$AY$1,1,IF(BZ3&gt;=$AX$1,0.5,0))</f>
        <v>0.5</v>
      </c>
      <c r="CB3" s="5">
        <f t="shared" ref="CB3:CB66" si="50">BZ3-CA3-CC3-CD3</f>
        <v>7.4499999999999993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5.3666666666666663</v>
      </c>
      <c r="CF3" s="5">
        <f t="shared" ref="CF3:CF66" si="54">IF(CE3&gt;$AY$1,1,IF(CE3&gt;=$AX$1,0.5,0))</f>
        <v>0</v>
      </c>
      <c r="CG3" s="5">
        <f t="shared" ref="CG3:CG66" si="55">CE3-CF3-CH3-CI3</f>
        <v>5.3666666666666663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10382</v>
      </c>
      <c r="B4" s="81" t="s">
        <v>46</v>
      </c>
      <c r="C4" s="86" t="s">
        <v>1054</v>
      </c>
      <c r="D4" s="85"/>
      <c r="E4" s="85"/>
      <c r="F4" s="93">
        <f t="shared" si="15"/>
        <v>0</v>
      </c>
      <c r="G4" s="85"/>
      <c r="H4" s="85"/>
      <c r="I4" s="93">
        <f t="shared" si="16"/>
        <v>0</v>
      </c>
      <c r="J4" s="85">
        <v>0.37708333333333338</v>
      </c>
      <c r="K4" s="85">
        <v>0.66666666666666663</v>
      </c>
      <c r="L4" s="93">
        <f t="shared" si="17"/>
        <v>6.4499999999999975</v>
      </c>
      <c r="M4" s="85">
        <v>0.58333333333333337</v>
      </c>
      <c r="N4" s="85">
        <v>0.89583333333333337</v>
      </c>
      <c r="O4" s="93">
        <f t="shared" si="18"/>
        <v>7</v>
      </c>
      <c r="P4" s="85">
        <v>0.375</v>
      </c>
      <c r="Q4" s="85">
        <v>0.64583333333333337</v>
      </c>
      <c r="R4" s="93">
        <f t="shared" si="19"/>
        <v>6.0000000000000009</v>
      </c>
      <c r="S4" s="85"/>
      <c r="T4" s="85"/>
      <c r="U4" s="93">
        <f t="shared" si="20"/>
        <v>0</v>
      </c>
      <c r="V4" s="85">
        <v>0.45833333333333331</v>
      </c>
      <c r="W4" s="85">
        <v>0.79166666666666663</v>
      </c>
      <c r="X4" s="93">
        <f t="shared" si="21"/>
        <v>7.5</v>
      </c>
      <c r="Y4" s="93"/>
      <c r="Z4" s="93"/>
      <c r="AA4" s="93"/>
      <c r="AB4" s="93">
        <f t="shared" si="22"/>
        <v>26.95</v>
      </c>
      <c r="AC4" s="94"/>
      <c r="AD4" s="78"/>
      <c r="AE4" s="95">
        <f t="shared" si="1"/>
        <v>19.45</v>
      </c>
      <c r="AF4" s="77"/>
      <c r="AG4" s="95">
        <f t="shared" si="2"/>
        <v>0</v>
      </c>
      <c r="AH4" s="78"/>
      <c r="AI4" s="95">
        <f t="shared" si="3"/>
        <v>7.5</v>
      </c>
      <c r="AJ4" s="77"/>
      <c r="AK4" s="95">
        <f t="shared" si="4"/>
        <v>0</v>
      </c>
      <c r="AL4" s="77"/>
      <c r="AM4" s="95">
        <f t="shared" si="5"/>
        <v>0</v>
      </c>
      <c r="AN4" s="77"/>
      <c r="AO4" s="95">
        <f t="shared" si="6"/>
        <v>0</v>
      </c>
      <c r="AP4" s="96">
        <f t="shared" si="23"/>
        <v>4</v>
      </c>
      <c r="AQ4" s="77"/>
      <c r="AR4" s="77"/>
      <c r="AS4" s="77"/>
      <c r="AT4" s="44">
        <f t="shared" si="24"/>
        <v>26.95</v>
      </c>
      <c r="AU4" s="78"/>
      <c r="AV4" s="5"/>
      <c r="AW4" s="5"/>
      <c r="AX4" s="5"/>
      <c r="AY4" s="5"/>
      <c r="AZ4" s="24">
        <f>VLOOKUP(C4,Employees!D:I,6,FALSE)</f>
        <v>10382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6.9499999999999975</v>
      </c>
      <c r="BL4" s="5">
        <f t="shared" si="35"/>
        <v>0.5</v>
      </c>
      <c r="BM4" s="5">
        <f t="shared" si="36"/>
        <v>6.4499999999999975</v>
      </c>
      <c r="BN4" s="5">
        <f t="shared" si="37"/>
        <v>0</v>
      </c>
      <c r="BO4" s="5">
        <f t="shared" si="38"/>
        <v>0</v>
      </c>
      <c r="BP4" s="5">
        <f t="shared" si="39"/>
        <v>7.5</v>
      </c>
      <c r="BQ4" s="5">
        <f t="shared" si="40"/>
        <v>0.5</v>
      </c>
      <c r="BR4" s="5">
        <f t="shared" si="41"/>
        <v>7</v>
      </c>
      <c r="BS4" s="5">
        <f t="shared" si="42"/>
        <v>0</v>
      </c>
      <c r="BT4" s="5">
        <f t="shared" si="43"/>
        <v>0</v>
      </c>
      <c r="BU4" s="5">
        <f t="shared" si="44"/>
        <v>6.5000000000000009</v>
      </c>
      <c r="BV4" s="5">
        <f t="shared" si="45"/>
        <v>0.5</v>
      </c>
      <c r="BW4" s="5">
        <f t="shared" si="46"/>
        <v>6.0000000000000009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8</v>
      </c>
      <c r="CF4" s="5">
        <f t="shared" si="54"/>
        <v>0.5</v>
      </c>
      <c r="CG4" s="5">
        <f t="shared" si="55"/>
        <v>7.5</v>
      </c>
      <c r="CH4" s="5">
        <f t="shared" si="56"/>
        <v>0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10250</v>
      </c>
      <c r="B5" s="81" t="s">
        <v>46</v>
      </c>
      <c r="C5" s="86" t="s">
        <v>713</v>
      </c>
      <c r="D5" s="85">
        <v>0.5</v>
      </c>
      <c r="E5" s="85">
        <v>0.79166666666666663</v>
      </c>
      <c r="F5" s="93">
        <f t="shared" si="15"/>
        <v>6.4999999999999991</v>
      </c>
      <c r="G5" s="85"/>
      <c r="H5" s="85"/>
      <c r="I5" s="93">
        <f t="shared" si="16"/>
        <v>0</v>
      </c>
      <c r="J5" s="85">
        <v>0.53472222222222221</v>
      </c>
      <c r="K5" s="85">
        <v>0.78680555555555554</v>
      </c>
      <c r="L5" s="93">
        <f t="shared" si="17"/>
        <v>5.55</v>
      </c>
      <c r="M5" s="85"/>
      <c r="N5" s="85"/>
      <c r="O5" s="93">
        <f t="shared" si="18"/>
        <v>0</v>
      </c>
      <c r="P5" s="85"/>
      <c r="Q5" s="85"/>
      <c r="R5" s="93">
        <f t="shared" si="19"/>
        <v>0</v>
      </c>
      <c r="S5" s="85"/>
      <c r="T5" s="85"/>
      <c r="U5" s="93">
        <f t="shared" si="20"/>
        <v>0</v>
      </c>
      <c r="V5" s="85">
        <v>0.375</v>
      </c>
      <c r="W5" s="85">
        <v>0.70833333333333337</v>
      </c>
      <c r="X5" s="93">
        <f t="shared" si="21"/>
        <v>7.5</v>
      </c>
      <c r="Y5" s="93"/>
      <c r="Z5" s="93"/>
      <c r="AA5" s="93"/>
      <c r="AB5" s="93">
        <f t="shared" si="22"/>
        <v>19.549999999999997</v>
      </c>
      <c r="AC5" s="94"/>
      <c r="AD5" s="78"/>
      <c r="AE5" s="95">
        <f t="shared" si="1"/>
        <v>12.049999999999999</v>
      </c>
      <c r="AF5" s="77"/>
      <c r="AG5" s="95">
        <f t="shared" si="2"/>
        <v>0</v>
      </c>
      <c r="AH5" s="78"/>
      <c r="AI5" s="95">
        <f t="shared" si="3"/>
        <v>7.5</v>
      </c>
      <c r="AJ5" s="77"/>
      <c r="AK5" s="95">
        <f t="shared" si="4"/>
        <v>0</v>
      </c>
      <c r="AL5" s="77"/>
      <c r="AM5" s="95">
        <f t="shared" si="5"/>
        <v>0</v>
      </c>
      <c r="AN5" s="77"/>
      <c r="AO5" s="95">
        <f t="shared" si="6"/>
        <v>0</v>
      </c>
      <c r="AP5" s="96">
        <f t="shared" si="23"/>
        <v>3</v>
      </c>
      <c r="AQ5" s="77"/>
      <c r="AR5" s="77"/>
      <c r="AS5" s="77"/>
      <c r="AT5" s="44">
        <f t="shared" si="24"/>
        <v>19.549999999999997</v>
      </c>
      <c r="AU5" s="78"/>
      <c r="AV5" s="5"/>
      <c r="AW5" s="5"/>
      <c r="AX5" s="5"/>
      <c r="AY5" s="5"/>
      <c r="AZ5" s="24">
        <f>VLOOKUP(C5,Employees!D:I,6,FALSE)</f>
        <v>10250</v>
      </c>
      <c r="BA5" s="5">
        <f t="shared" si="25"/>
        <v>6.9999999999999991</v>
      </c>
      <c r="BB5" s="5">
        <f t="shared" si="26"/>
        <v>0.5</v>
      </c>
      <c r="BC5" s="5">
        <f t="shared" si="27"/>
        <v>6.4999999999999991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6.05</v>
      </c>
      <c r="BL5" s="5">
        <f t="shared" si="35"/>
        <v>0.5</v>
      </c>
      <c r="BM5" s="5">
        <f t="shared" si="36"/>
        <v>5.55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8</v>
      </c>
      <c r="CF5" s="5">
        <f t="shared" si="54"/>
        <v>0.5</v>
      </c>
      <c r="CG5" s="5">
        <f t="shared" si="55"/>
        <v>7.5</v>
      </c>
      <c r="CH5" s="5">
        <f t="shared" si="56"/>
        <v>0</v>
      </c>
      <c r="CI5" s="5">
        <f t="shared" si="57"/>
        <v>0</v>
      </c>
      <c r="CJ5" s="5"/>
      <c r="CK5" s="4">
        <f t="shared" si="14"/>
        <v>3</v>
      </c>
    </row>
    <row r="6" spans="1:89" ht="38" customHeight="1">
      <c r="A6" s="74">
        <f t="shared" si="0"/>
        <v>210441</v>
      </c>
      <c r="B6" s="81" t="s">
        <v>46</v>
      </c>
      <c r="C6" s="86" t="s">
        <v>1205</v>
      </c>
      <c r="D6" s="85">
        <v>0.5625</v>
      </c>
      <c r="E6" s="85">
        <v>0.79166666666666663</v>
      </c>
      <c r="F6" s="93">
        <f t="shared" si="15"/>
        <v>4.9999999999999991</v>
      </c>
      <c r="G6" s="85">
        <v>0.56874999999999998</v>
      </c>
      <c r="H6" s="85">
        <v>0.79166666666666663</v>
      </c>
      <c r="I6" s="93">
        <f t="shared" si="16"/>
        <v>5.35</v>
      </c>
      <c r="J6" s="85">
        <v>0.5625</v>
      </c>
      <c r="K6" s="85">
        <v>0.78749999999999998</v>
      </c>
      <c r="L6" s="93">
        <f t="shared" si="17"/>
        <v>5.3999999999999995</v>
      </c>
      <c r="M6" s="85"/>
      <c r="N6" s="85"/>
      <c r="O6" s="93">
        <f t="shared" si="18"/>
        <v>0</v>
      </c>
      <c r="P6" s="85"/>
      <c r="Q6" s="85"/>
      <c r="R6" s="93">
        <f t="shared" si="19"/>
        <v>0</v>
      </c>
      <c r="S6" s="85"/>
      <c r="T6" s="85"/>
      <c r="U6" s="93">
        <f t="shared" si="20"/>
        <v>0</v>
      </c>
      <c r="V6" s="85"/>
      <c r="W6" s="85"/>
      <c r="X6" s="93">
        <f t="shared" si="21"/>
        <v>0</v>
      </c>
      <c r="Y6" s="93"/>
      <c r="Z6" s="93"/>
      <c r="AA6" s="93"/>
      <c r="AB6" s="93">
        <f t="shared" si="22"/>
        <v>15.749999999999996</v>
      </c>
      <c r="AC6" s="94"/>
      <c r="AD6" s="78">
        <v>0.5</v>
      </c>
      <c r="AE6" s="95">
        <f t="shared" si="1"/>
        <v>16.249999999999996</v>
      </c>
      <c r="AF6" s="77"/>
      <c r="AG6" s="95">
        <f t="shared" si="2"/>
        <v>0</v>
      </c>
      <c r="AH6" s="78"/>
      <c r="AI6" s="95">
        <f t="shared" si="3"/>
        <v>0</v>
      </c>
      <c r="AJ6" s="77"/>
      <c r="AK6" s="95">
        <f t="shared" si="4"/>
        <v>0</v>
      </c>
      <c r="AL6" s="77"/>
      <c r="AM6" s="95">
        <f t="shared" si="5"/>
        <v>0</v>
      </c>
      <c r="AN6" s="77"/>
      <c r="AO6" s="95">
        <f t="shared" si="6"/>
        <v>0</v>
      </c>
      <c r="AP6" s="96">
        <f t="shared" si="23"/>
        <v>3</v>
      </c>
      <c r="AQ6" s="77"/>
      <c r="AR6" s="77"/>
      <c r="AS6" s="77"/>
      <c r="AT6" s="44">
        <f t="shared" si="24"/>
        <v>16.249999999999996</v>
      </c>
      <c r="AU6" s="78" t="s">
        <v>1412</v>
      </c>
      <c r="AV6" s="5"/>
      <c r="AW6" s="5"/>
      <c r="AX6" s="5"/>
      <c r="AY6" s="5"/>
      <c r="AZ6" s="24">
        <f>VLOOKUP(C6,Employees!D:I,6,FALSE)</f>
        <v>210441</v>
      </c>
      <c r="BA6" s="5">
        <f t="shared" si="25"/>
        <v>5.4999999999999991</v>
      </c>
      <c r="BB6" s="5">
        <f t="shared" si="26"/>
        <v>0.5</v>
      </c>
      <c r="BC6" s="5">
        <f t="shared" si="27"/>
        <v>4.9999999999999991</v>
      </c>
      <c r="BD6" s="5">
        <f t="shared" si="58"/>
        <v>0</v>
      </c>
      <c r="BE6" s="5">
        <f t="shared" si="28"/>
        <v>0</v>
      </c>
      <c r="BF6" s="5">
        <f t="shared" si="29"/>
        <v>5.35</v>
      </c>
      <c r="BG6" s="5">
        <f t="shared" si="30"/>
        <v>0</v>
      </c>
      <c r="BH6" s="5">
        <f t="shared" si="31"/>
        <v>5.35</v>
      </c>
      <c r="BI6" s="5">
        <f t="shared" si="32"/>
        <v>0</v>
      </c>
      <c r="BJ6" s="5">
        <f t="shared" si="33"/>
        <v>0</v>
      </c>
      <c r="BK6" s="5">
        <f t="shared" si="34"/>
        <v>5.3999999999999995</v>
      </c>
      <c r="BL6" s="5">
        <f t="shared" si="35"/>
        <v>0</v>
      </c>
      <c r="BM6" s="5">
        <f t="shared" si="36"/>
        <v>5.3999999999999995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10491</v>
      </c>
      <c r="B7" s="81" t="s">
        <v>46</v>
      </c>
      <c r="C7" s="86" t="s">
        <v>1410</v>
      </c>
      <c r="D7" s="84"/>
      <c r="E7" s="85"/>
      <c r="F7" s="93">
        <f t="shared" si="15"/>
        <v>0</v>
      </c>
      <c r="G7" s="85"/>
      <c r="H7" s="85"/>
      <c r="I7" s="93">
        <f t="shared" si="16"/>
        <v>0</v>
      </c>
      <c r="J7" s="85"/>
      <c r="K7" s="85"/>
      <c r="L7" s="93">
        <f t="shared" si="17"/>
        <v>0</v>
      </c>
      <c r="M7" s="84">
        <v>0.375</v>
      </c>
      <c r="N7" s="85">
        <v>0.66666666666666663</v>
      </c>
      <c r="O7" s="93">
        <f t="shared" si="18"/>
        <v>6.4999999999999991</v>
      </c>
      <c r="P7" s="84">
        <v>0.5</v>
      </c>
      <c r="Q7" s="85">
        <v>0.79513888888888884</v>
      </c>
      <c r="R7" s="93">
        <f t="shared" si="19"/>
        <v>6.5833333333333321</v>
      </c>
      <c r="S7" s="84"/>
      <c r="T7" s="85"/>
      <c r="U7" s="93">
        <f t="shared" si="20"/>
        <v>0</v>
      </c>
      <c r="V7" s="85"/>
      <c r="W7" s="85"/>
      <c r="X7" s="93">
        <f t="shared" si="21"/>
        <v>0</v>
      </c>
      <c r="Y7" s="93"/>
      <c r="Z7" s="93"/>
      <c r="AA7" s="93"/>
      <c r="AB7" s="93">
        <f t="shared" si="22"/>
        <v>13.083333333333332</v>
      </c>
      <c r="AC7" s="94"/>
      <c r="AD7" s="78"/>
      <c r="AE7" s="95">
        <f t="shared" si="1"/>
        <v>13.083333333333332</v>
      </c>
      <c r="AF7" s="77"/>
      <c r="AG7" s="95">
        <f t="shared" si="2"/>
        <v>0</v>
      </c>
      <c r="AH7" s="77"/>
      <c r="AI7" s="95">
        <f t="shared" si="3"/>
        <v>0</v>
      </c>
      <c r="AJ7" s="77"/>
      <c r="AK7" s="95">
        <f t="shared" si="4"/>
        <v>0</v>
      </c>
      <c r="AL7" s="77"/>
      <c r="AM7" s="95">
        <f t="shared" si="5"/>
        <v>0</v>
      </c>
      <c r="AN7" s="77"/>
      <c r="AO7" s="95">
        <f t="shared" si="6"/>
        <v>0</v>
      </c>
      <c r="AP7" s="96">
        <f t="shared" si="23"/>
        <v>2</v>
      </c>
      <c r="AQ7" s="77"/>
      <c r="AR7" s="77"/>
      <c r="AS7" s="77"/>
      <c r="AT7" s="44">
        <f t="shared" si="24"/>
        <v>13.083333333333332</v>
      </c>
      <c r="AU7" s="78"/>
      <c r="AV7" s="5"/>
      <c r="AW7" s="5"/>
      <c r="AX7" s="5"/>
      <c r="AY7" s="5"/>
      <c r="AZ7" s="24">
        <f>VLOOKUP(C7,Employees!D:I,6,FALSE)</f>
        <v>10491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6.9999999999999991</v>
      </c>
      <c r="BQ7" s="5">
        <f t="shared" si="40"/>
        <v>0.5</v>
      </c>
      <c r="BR7" s="5">
        <f t="shared" si="41"/>
        <v>6.4999999999999991</v>
      </c>
      <c r="BS7" s="5">
        <f t="shared" si="42"/>
        <v>0</v>
      </c>
      <c r="BT7" s="5">
        <f t="shared" si="43"/>
        <v>0</v>
      </c>
      <c r="BU7" s="5">
        <f t="shared" si="44"/>
        <v>7.0833333333333321</v>
      </c>
      <c r="BV7" s="5">
        <f t="shared" si="45"/>
        <v>0.5</v>
      </c>
      <c r="BW7" s="5">
        <f t="shared" si="46"/>
        <v>6.5833333333333321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4">
        <f t="shared" si="0"/>
        <v>210506</v>
      </c>
      <c r="B8" s="81" t="s">
        <v>46</v>
      </c>
      <c r="C8" s="86" t="s">
        <v>1383</v>
      </c>
      <c r="D8" s="84"/>
      <c r="E8" s="85"/>
      <c r="F8" s="93">
        <f t="shared" si="15"/>
        <v>0</v>
      </c>
      <c r="G8" s="85">
        <v>0.375</v>
      </c>
      <c r="H8" s="85">
        <v>0.64444444444444449</v>
      </c>
      <c r="I8" s="93">
        <f t="shared" si="16"/>
        <v>5.9666666666666677</v>
      </c>
      <c r="J8" s="84"/>
      <c r="K8" s="85"/>
      <c r="L8" s="93">
        <f t="shared" si="17"/>
        <v>0</v>
      </c>
      <c r="M8" s="85">
        <v>0.5</v>
      </c>
      <c r="N8" s="85">
        <v>0.79166666666666663</v>
      </c>
      <c r="O8" s="93">
        <f t="shared" si="18"/>
        <v>6.4999999999999991</v>
      </c>
      <c r="P8" s="84">
        <v>0.5625</v>
      </c>
      <c r="Q8" s="85">
        <v>0.79513888888888884</v>
      </c>
      <c r="R8" s="93">
        <f t="shared" si="19"/>
        <v>5.0833333333333321</v>
      </c>
      <c r="S8" s="84"/>
      <c r="T8" s="85"/>
      <c r="U8" s="93">
        <f t="shared" si="20"/>
        <v>0</v>
      </c>
      <c r="V8" s="85"/>
      <c r="W8" s="85"/>
      <c r="X8" s="93">
        <f t="shared" si="21"/>
        <v>0</v>
      </c>
      <c r="Y8" s="93"/>
      <c r="Z8" s="93"/>
      <c r="AA8" s="93"/>
      <c r="AB8" s="93">
        <f t="shared" si="22"/>
        <v>17.549999999999997</v>
      </c>
      <c r="AC8" s="94"/>
      <c r="AD8" s="78">
        <v>0.5</v>
      </c>
      <c r="AE8" s="95">
        <f t="shared" si="1"/>
        <v>18.049999999999997</v>
      </c>
      <c r="AF8" s="77"/>
      <c r="AG8" s="95">
        <f t="shared" si="2"/>
        <v>0</v>
      </c>
      <c r="AH8" s="77"/>
      <c r="AI8" s="95">
        <f t="shared" si="3"/>
        <v>0</v>
      </c>
      <c r="AJ8" s="77"/>
      <c r="AK8" s="95">
        <f t="shared" si="4"/>
        <v>0</v>
      </c>
      <c r="AL8" s="77"/>
      <c r="AM8" s="95">
        <f t="shared" si="5"/>
        <v>0</v>
      </c>
      <c r="AN8" s="77"/>
      <c r="AO8" s="95">
        <f t="shared" si="6"/>
        <v>0</v>
      </c>
      <c r="AP8" s="96">
        <f t="shared" si="23"/>
        <v>3</v>
      </c>
      <c r="AQ8" s="77"/>
      <c r="AR8" s="77"/>
      <c r="AS8" s="77"/>
      <c r="AT8" s="44">
        <f t="shared" si="24"/>
        <v>18.049999999999997</v>
      </c>
      <c r="AU8" s="78" t="s">
        <v>1413</v>
      </c>
      <c r="AV8" s="5"/>
      <c r="AW8" s="5"/>
      <c r="AX8" s="5"/>
      <c r="AY8" s="5"/>
      <c r="AZ8" s="24">
        <f>VLOOKUP(C8,Employees!D:I,6,FALSE)</f>
        <v>210506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6.4666666666666677</v>
      </c>
      <c r="BG8" s="5">
        <f t="shared" si="30"/>
        <v>0.5</v>
      </c>
      <c r="BH8" s="5">
        <f t="shared" si="31"/>
        <v>5.9666666666666677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6.9999999999999991</v>
      </c>
      <c r="BQ8" s="5">
        <f t="shared" si="40"/>
        <v>0.5</v>
      </c>
      <c r="BR8" s="5">
        <f t="shared" si="41"/>
        <v>6.4999999999999991</v>
      </c>
      <c r="BS8" s="5">
        <f t="shared" si="42"/>
        <v>0</v>
      </c>
      <c r="BT8" s="5">
        <f t="shared" si="43"/>
        <v>0</v>
      </c>
      <c r="BU8" s="5">
        <f t="shared" si="44"/>
        <v>5.5833333333333321</v>
      </c>
      <c r="BV8" s="5">
        <f t="shared" si="45"/>
        <v>0.5</v>
      </c>
      <c r="BW8" s="5">
        <f t="shared" si="46"/>
        <v>5.0833333333333321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3</v>
      </c>
    </row>
    <row r="9" spans="1:89" ht="38" customHeight="1">
      <c r="A9" s="74">
        <f t="shared" si="0"/>
        <v>10090</v>
      </c>
      <c r="B9" s="81" t="s">
        <v>46</v>
      </c>
      <c r="C9" s="86" t="s">
        <v>152</v>
      </c>
      <c r="D9" s="85"/>
      <c r="E9" s="85"/>
      <c r="F9" s="93">
        <f t="shared" si="15"/>
        <v>0</v>
      </c>
      <c r="G9" s="85"/>
      <c r="H9" s="85"/>
      <c r="I9" s="93">
        <f t="shared" si="16"/>
        <v>0</v>
      </c>
      <c r="J9" s="85"/>
      <c r="K9" s="85"/>
      <c r="L9" s="93">
        <f t="shared" si="17"/>
        <v>0</v>
      </c>
      <c r="M9" s="84"/>
      <c r="N9" s="85"/>
      <c r="O9" s="93">
        <f t="shared" si="18"/>
        <v>0</v>
      </c>
      <c r="P9" s="85"/>
      <c r="Q9" s="85"/>
      <c r="R9" s="93">
        <f t="shared" si="19"/>
        <v>0</v>
      </c>
      <c r="S9" s="84">
        <v>0.58333333333333337</v>
      </c>
      <c r="T9" s="85">
        <v>0.80208333333333337</v>
      </c>
      <c r="U9" s="93">
        <f t="shared" si="20"/>
        <v>5.25</v>
      </c>
      <c r="V9" s="85"/>
      <c r="W9" s="85"/>
      <c r="X9" s="93">
        <f t="shared" si="21"/>
        <v>0</v>
      </c>
      <c r="Y9" s="93"/>
      <c r="Z9" s="93"/>
      <c r="AA9" s="93"/>
      <c r="AB9" s="93">
        <f t="shared" si="22"/>
        <v>5.25</v>
      </c>
      <c r="AC9" s="94"/>
      <c r="AD9" s="78"/>
      <c r="AE9" s="95">
        <f t="shared" si="1"/>
        <v>0</v>
      </c>
      <c r="AF9" s="77"/>
      <c r="AG9" s="95">
        <f t="shared" si="2"/>
        <v>5.25</v>
      </c>
      <c r="AH9" s="77"/>
      <c r="AI9" s="95">
        <f t="shared" si="3"/>
        <v>0</v>
      </c>
      <c r="AJ9" s="77"/>
      <c r="AK9" s="95">
        <f t="shared" si="4"/>
        <v>0</v>
      </c>
      <c r="AL9" s="77"/>
      <c r="AM9" s="95">
        <f t="shared" si="5"/>
        <v>0</v>
      </c>
      <c r="AN9" s="77"/>
      <c r="AO9" s="95">
        <f t="shared" si="6"/>
        <v>0</v>
      </c>
      <c r="AP9" s="96">
        <f t="shared" si="23"/>
        <v>1</v>
      </c>
      <c r="AQ9" s="77"/>
      <c r="AR9" s="77"/>
      <c r="AS9" s="77"/>
      <c r="AT9" s="44">
        <f t="shared" si="24"/>
        <v>5.25</v>
      </c>
      <c r="AU9" s="78"/>
      <c r="AV9" s="5"/>
      <c r="AW9" s="5"/>
      <c r="AX9" s="5"/>
      <c r="AY9" s="5"/>
      <c r="AZ9" s="24">
        <f>VLOOKUP(C9,Employees!D:I,6,FALSE)</f>
        <v>10090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5.25</v>
      </c>
      <c r="CA9" s="5">
        <f t="shared" si="49"/>
        <v>0</v>
      </c>
      <c r="CB9" s="5">
        <f t="shared" si="50"/>
        <v>5.25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3">
        <f t="shared" si="15"/>
        <v>0</v>
      </c>
      <c r="G10" s="85"/>
      <c r="H10" s="85"/>
      <c r="I10" s="93">
        <f t="shared" si="16"/>
        <v>0</v>
      </c>
      <c r="J10" s="84"/>
      <c r="K10" s="85"/>
      <c r="L10" s="93">
        <f t="shared" si="17"/>
        <v>0</v>
      </c>
      <c r="M10" s="85"/>
      <c r="N10" s="85"/>
      <c r="O10" s="93">
        <f t="shared" si="18"/>
        <v>0</v>
      </c>
      <c r="P10" s="85"/>
      <c r="Q10" s="85"/>
      <c r="R10" s="93">
        <f t="shared" si="19"/>
        <v>0</v>
      </c>
      <c r="S10" s="84"/>
      <c r="T10" s="85"/>
      <c r="U10" s="93">
        <f t="shared" si="20"/>
        <v>0</v>
      </c>
      <c r="V10" s="85"/>
      <c r="W10" s="85"/>
      <c r="X10" s="93">
        <f t="shared" si="21"/>
        <v>0</v>
      </c>
      <c r="Y10" s="93"/>
      <c r="Z10" s="93"/>
      <c r="AA10" s="93"/>
      <c r="AB10" s="93">
        <f t="shared" si="22"/>
        <v>0</v>
      </c>
      <c r="AC10" s="94"/>
      <c r="AD10" s="78"/>
      <c r="AE10" s="95">
        <f t="shared" si="1"/>
        <v>0</v>
      </c>
      <c r="AF10" s="77"/>
      <c r="AG10" s="95">
        <f t="shared" si="2"/>
        <v>0</v>
      </c>
      <c r="AH10" s="77"/>
      <c r="AI10" s="95">
        <f t="shared" si="3"/>
        <v>0</v>
      </c>
      <c r="AJ10" s="77"/>
      <c r="AK10" s="95">
        <f t="shared" si="4"/>
        <v>0</v>
      </c>
      <c r="AL10" s="77"/>
      <c r="AM10" s="95">
        <f t="shared" si="5"/>
        <v>0</v>
      </c>
      <c r="AN10" s="77"/>
      <c r="AO10" s="95">
        <f t="shared" si="6"/>
        <v>0</v>
      </c>
      <c r="AP10" s="96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3">
        <f t="shared" si="15"/>
        <v>0</v>
      </c>
      <c r="G11" s="85"/>
      <c r="H11" s="85"/>
      <c r="I11" s="93">
        <f t="shared" si="16"/>
        <v>0</v>
      </c>
      <c r="J11" s="84"/>
      <c r="K11" s="85"/>
      <c r="L11" s="93">
        <f t="shared" si="17"/>
        <v>0</v>
      </c>
      <c r="M11" s="85"/>
      <c r="N11" s="85"/>
      <c r="O11" s="93">
        <f t="shared" si="18"/>
        <v>0</v>
      </c>
      <c r="P11" s="84"/>
      <c r="Q11" s="85"/>
      <c r="R11" s="93">
        <f t="shared" si="19"/>
        <v>0</v>
      </c>
      <c r="S11" s="75"/>
      <c r="T11" s="75"/>
      <c r="U11" s="93">
        <f t="shared" si="20"/>
        <v>0</v>
      </c>
      <c r="V11" s="84"/>
      <c r="W11" s="85"/>
      <c r="X11" s="93">
        <f t="shared" si="21"/>
        <v>0</v>
      </c>
      <c r="Y11" s="93"/>
      <c r="Z11" s="93"/>
      <c r="AA11" s="93"/>
      <c r="AB11" s="93">
        <f t="shared" si="22"/>
        <v>0</v>
      </c>
      <c r="AC11" s="94"/>
      <c r="AD11" s="78"/>
      <c r="AE11" s="95">
        <f t="shared" si="1"/>
        <v>0</v>
      </c>
      <c r="AF11" s="77"/>
      <c r="AG11" s="95">
        <f t="shared" si="2"/>
        <v>0</v>
      </c>
      <c r="AH11" s="77"/>
      <c r="AI11" s="95">
        <f t="shared" si="3"/>
        <v>0</v>
      </c>
      <c r="AJ11" s="77"/>
      <c r="AK11" s="95">
        <f t="shared" si="4"/>
        <v>0</v>
      </c>
      <c r="AL11" s="77"/>
      <c r="AM11" s="95">
        <f t="shared" si="5"/>
        <v>0</v>
      </c>
      <c r="AN11" s="77"/>
      <c r="AO11" s="95">
        <f t="shared" si="6"/>
        <v>0</v>
      </c>
      <c r="AP11" s="96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3">
        <f t="shared" si="15"/>
        <v>0</v>
      </c>
      <c r="G12" s="85"/>
      <c r="H12" s="85"/>
      <c r="I12" s="93">
        <f t="shared" si="16"/>
        <v>0</v>
      </c>
      <c r="J12" s="76"/>
      <c r="K12" s="75"/>
      <c r="L12" s="93">
        <f t="shared" si="17"/>
        <v>0</v>
      </c>
      <c r="M12" s="85"/>
      <c r="N12" s="85"/>
      <c r="O12" s="93">
        <f t="shared" si="18"/>
        <v>0</v>
      </c>
      <c r="P12" s="75"/>
      <c r="Q12" s="75"/>
      <c r="R12" s="93">
        <f t="shared" si="19"/>
        <v>0</v>
      </c>
      <c r="S12" s="75"/>
      <c r="T12" s="75"/>
      <c r="U12" s="93">
        <f t="shared" si="20"/>
        <v>0</v>
      </c>
      <c r="V12" s="75"/>
      <c r="W12" s="75"/>
      <c r="X12" s="93">
        <f t="shared" si="21"/>
        <v>0</v>
      </c>
      <c r="Y12" s="93"/>
      <c r="Z12" s="93"/>
      <c r="AA12" s="93"/>
      <c r="AB12" s="93">
        <f t="shared" si="22"/>
        <v>0</v>
      </c>
      <c r="AC12" s="94"/>
      <c r="AD12" s="78"/>
      <c r="AE12" s="95">
        <f t="shared" si="1"/>
        <v>0</v>
      </c>
      <c r="AF12" s="77"/>
      <c r="AG12" s="95">
        <f t="shared" si="2"/>
        <v>0</v>
      </c>
      <c r="AH12" s="77"/>
      <c r="AI12" s="95">
        <f t="shared" si="3"/>
        <v>0</v>
      </c>
      <c r="AJ12" s="77"/>
      <c r="AK12" s="95">
        <f t="shared" si="4"/>
        <v>0</v>
      </c>
      <c r="AL12" s="77"/>
      <c r="AM12" s="95">
        <f t="shared" si="5"/>
        <v>0</v>
      </c>
      <c r="AN12" s="77"/>
      <c r="AO12" s="95">
        <f t="shared" si="6"/>
        <v>0</v>
      </c>
      <c r="AP12" s="96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3">
        <f t="shared" si="15"/>
        <v>0</v>
      </c>
      <c r="G13" s="85"/>
      <c r="H13" s="84"/>
      <c r="I13" s="93">
        <f t="shared" si="16"/>
        <v>0</v>
      </c>
      <c r="J13" s="76"/>
      <c r="K13" s="75"/>
      <c r="L13" s="93">
        <f t="shared" si="17"/>
        <v>0</v>
      </c>
      <c r="M13" s="85"/>
      <c r="N13" s="84"/>
      <c r="O13" s="93">
        <f t="shared" si="18"/>
        <v>0</v>
      </c>
      <c r="P13" s="75"/>
      <c r="Q13" s="75"/>
      <c r="R13" s="93">
        <f t="shared" si="19"/>
        <v>0</v>
      </c>
      <c r="S13" s="75"/>
      <c r="T13" s="75"/>
      <c r="U13" s="93">
        <f t="shared" si="20"/>
        <v>0</v>
      </c>
      <c r="V13" s="75"/>
      <c r="W13" s="75"/>
      <c r="X13" s="93">
        <f t="shared" si="21"/>
        <v>0</v>
      </c>
      <c r="Y13" s="93"/>
      <c r="Z13" s="93"/>
      <c r="AA13" s="93"/>
      <c r="AB13" s="93">
        <f t="shared" si="22"/>
        <v>0</v>
      </c>
      <c r="AC13" s="94"/>
      <c r="AD13" s="78"/>
      <c r="AE13" s="95">
        <f t="shared" si="1"/>
        <v>0</v>
      </c>
      <c r="AF13" s="77"/>
      <c r="AG13" s="95">
        <f t="shared" si="2"/>
        <v>0</v>
      </c>
      <c r="AH13" s="77"/>
      <c r="AI13" s="95">
        <f t="shared" si="3"/>
        <v>0</v>
      </c>
      <c r="AJ13" s="77"/>
      <c r="AK13" s="95">
        <f t="shared" si="4"/>
        <v>0</v>
      </c>
      <c r="AL13" s="77"/>
      <c r="AM13" s="95">
        <f t="shared" si="5"/>
        <v>0</v>
      </c>
      <c r="AN13" s="77"/>
      <c r="AO13" s="95">
        <f t="shared" si="6"/>
        <v>0</v>
      </c>
      <c r="AP13" s="96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3">
        <f t="shared" si="15"/>
        <v>0</v>
      </c>
      <c r="G14" s="85"/>
      <c r="H14" s="85"/>
      <c r="I14" s="93">
        <f t="shared" si="16"/>
        <v>0</v>
      </c>
      <c r="J14" s="76"/>
      <c r="K14" s="75"/>
      <c r="L14" s="93">
        <f t="shared" si="17"/>
        <v>0</v>
      </c>
      <c r="M14" s="75"/>
      <c r="N14" s="75"/>
      <c r="O14" s="93">
        <f t="shared" si="18"/>
        <v>0</v>
      </c>
      <c r="P14" s="75"/>
      <c r="Q14" s="75"/>
      <c r="R14" s="93">
        <f t="shared" si="19"/>
        <v>0</v>
      </c>
      <c r="S14" s="75"/>
      <c r="T14" s="75"/>
      <c r="U14" s="93">
        <f t="shared" si="20"/>
        <v>0</v>
      </c>
      <c r="V14" s="75"/>
      <c r="W14" s="75"/>
      <c r="X14" s="93">
        <f t="shared" si="21"/>
        <v>0</v>
      </c>
      <c r="Y14" s="93"/>
      <c r="Z14" s="93"/>
      <c r="AA14" s="93"/>
      <c r="AB14" s="93">
        <f t="shared" si="22"/>
        <v>0</v>
      </c>
      <c r="AC14" s="94"/>
      <c r="AD14" s="77"/>
      <c r="AE14" s="95">
        <f t="shared" si="1"/>
        <v>0</v>
      </c>
      <c r="AF14" s="77"/>
      <c r="AG14" s="95">
        <f t="shared" si="2"/>
        <v>0</v>
      </c>
      <c r="AH14" s="77"/>
      <c r="AI14" s="95">
        <f t="shared" si="3"/>
        <v>0</v>
      </c>
      <c r="AJ14" s="77"/>
      <c r="AK14" s="95">
        <f t="shared" si="4"/>
        <v>0</v>
      </c>
      <c r="AL14" s="77"/>
      <c r="AM14" s="95">
        <f t="shared" si="5"/>
        <v>0</v>
      </c>
      <c r="AN14" s="77"/>
      <c r="AO14" s="95">
        <f t="shared" si="6"/>
        <v>0</v>
      </c>
      <c r="AP14" s="96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3">
        <f t="shared" si="15"/>
        <v>0</v>
      </c>
      <c r="G15" s="75"/>
      <c r="H15" s="75"/>
      <c r="I15" s="93">
        <f t="shared" si="16"/>
        <v>0</v>
      </c>
      <c r="J15" s="76"/>
      <c r="K15" s="75"/>
      <c r="L15" s="93">
        <f t="shared" si="17"/>
        <v>0</v>
      </c>
      <c r="M15" s="75"/>
      <c r="N15" s="75"/>
      <c r="O15" s="93">
        <f t="shared" si="18"/>
        <v>0</v>
      </c>
      <c r="P15" s="75"/>
      <c r="Q15" s="75"/>
      <c r="R15" s="93">
        <f t="shared" si="19"/>
        <v>0</v>
      </c>
      <c r="S15" s="75"/>
      <c r="T15" s="75"/>
      <c r="U15" s="93">
        <f t="shared" si="20"/>
        <v>0</v>
      </c>
      <c r="V15" s="75"/>
      <c r="W15" s="75"/>
      <c r="X15" s="93">
        <f t="shared" si="21"/>
        <v>0</v>
      </c>
      <c r="Y15" s="93"/>
      <c r="Z15" s="93"/>
      <c r="AA15" s="93"/>
      <c r="AB15" s="93">
        <f t="shared" si="22"/>
        <v>0</v>
      </c>
      <c r="AC15" s="94"/>
      <c r="AD15" s="77"/>
      <c r="AE15" s="95">
        <f t="shared" si="1"/>
        <v>0</v>
      </c>
      <c r="AF15" s="77"/>
      <c r="AG15" s="95">
        <f t="shared" si="2"/>
        <v>0</v>
      </c>
      <c r="AH15" s="77"/>
      <c r="AI15" s="95">
        <f t="shared" si="3"/>
        <v>0</v>
      </c>
      <c r="AJ15" s="77"/>
      <c r="AK15" s="95">
        <f t="shared" si="4"/>
        <v>0</v>
      </c>
      <c r="AL15" s="77"/>
      <c r="AM15" s="95">
        <f t="shared" si="5"/>
        <v>0</v>
      </c>
      <c r="AN15" s="77"/>
      <c r="AO15" s="95">
        <f t="shared" si="6"/>
        <v>0</v>
      </c>
      <c r="AP15" s="96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3">
        <f t="shared" si="15"/>
        <v>0</v>
      </c>
      <c r="G16" s="75"/>
      <c r="H16" s="75"/>
      <c r="I16" s="93">
        <f t="shared" si="16"/>
        <v>0</v>
      </c>
      <c r="J16" s="76"/>
      <c r="K16" s="75"/>
      <c r="L16" s="93">
        <f t="shared" si="17"/>
        <v>0</v>
      </c>
      <c r="M16" s="75"/>
      <c r="N16" s="75"/>
      <c r="O16" s="93">
        <f t="shared" si="18"/>
        <v>0</v>
      </c>
      <c r="P16" s="75"/>
      <c r="Q16" s="75"/>
      <c r="R16" s="93">
        <f t="shared" si="19"/>
        <v>0</v>
      </c>
      <c r="S16" s="75"/>
      <c r="T16" s="75"/>
      <c r="U16" s="93">
        <f t="shared" si="20"/>
        <v>0</v>
      </c>
      <c r="V16" s="75"/>
      <c r="W16" s="75"/>
      <c r="X16" s="93">
        <f t="shared" si="21"/>
        <v>0</v>
      </c>
      <c r="Y16" s="93"/>
      <c r="Z16" s="93"/>
      <c r="AA16" s="93"/>
      <c r="AB16" s="93">
        <f t="shared" si="22"/>
        <v>0</v>
      </c>
      <c r="AC16" s="94"/>
      <c r="AD16" s="77"/>
      <c r="AE16" s="95">
        <f t="shared" si="1"/>
        <v>0</v>
      </c>
      <c r="AF16" s="77"/>
      <c r="AG16" s="95">
        <f t="shared" si="2"/>
        <v>0</v>
      </c>
      <c r="AH16" s="77"/>
      <c r="AI16" s="95">
        <f t="shared" si="3"/>
        <v>0</v>
      </c>
      <c r="AJ16" s="77"/>
      <c r="AK16" s="95">
        <f t="shared" si="4"/>
        <v>0</v>
      </c>
      <c r="AL16" s="77"/>
      <c r="AM16" s="95">
        <f t="shared" si="5"/>
        <v>0</v>
      </c>
      <c r="AN16" s="77"/>
      <c r="AO16" s="95">
        <f t="shared" si="6"/>
        <v>0</v>
      </c>
      <c r="AP16" s="96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3">
        <f t="shared" si="15"/>
        <v>0</v>
      </c>
      <c r="G17" s="75"/>
      <c r="H17" s="75"/>
      <c r="I17" s="93">
        <f t="shared" si="16"/>
        <v>0</v>
      </c>
      <c r="J17" s="76"/>
      <c r="K17" s="75"/>
      <c r="L17" s="93">
        <f t="shared" si="17"/>
        <v>0</v>
      </c>
      <c r="M17" s="75"/>
      <c r="N17" s="75"/>
      <c r="O17" s="93">
        <f t="shared" si="18"/>
        <v>0</v>
      </c>
      <c r="P17" s="75"/>
      <c r="Q17" s="75"/>
      <c r="R17" s="93">
        <f t="shared" si="19"/>
        <v>0</v>
      </c>
      <c r="S17" s="75"/>
      <c r="T17" s="75"/>
      <c r="U17" s="93">
        <f t="shared" si="20"/>
        <v>0</v>
      </c>
      <c r="V17" s="75"/>
      <c r="W17" s="75"/>
      <c r="X17" s="93">
        <f t="shared" si="21"/>
        <v>0</v>
      </c>
      <c r="Y17" s="93"/>
      <c r="Z17" s="93"/>
      <c r="AA17" s="93"/>
      <c r="AB17" s="93">
        <f t="shared" si="22"/>
        <v>0</v>
      </c>
      <c r="AC17" s="94"/>
      <c r="AD17" s="77"/>
      <c r="AE17" s="95">
        <f t="shared" si="1"/>
        <v>0</v>
      </c>
      <c r="AF17" s="77"/>
      <c r="AG17" s="95">
        <f t="shared" si="2"/>
        <v>0</v>
      </c>
      <c r="AH17" s="77"/>
      <c r="AI17" s="95">
        <f t="shared" si="3"/>
        <v>0</v>
      </c>
      <c r="AJ17" s="77"/>
      <c r="AK17" s="95">
        <f t="shared" si="4"/>
        <v>0</v>
      </c>
      <c r="AL17" s="77"/>
      <c r="AM17" s="95">
        <f t="shared" si="5"/>
        <v>0</v>
      </c>
      <c r="AN17" s="77"/>
      <c r="AO17" s="95">
        <f t="shared" si="6"/>
        <v>0</v>
      </c>
      <c r="AP17" s="96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3">
        <f t="shared" si="15"/>
        <v>0</v>
      </c>
      <c r="G18" s="75"/>
      <c r="H18" s="75"/>
      <c r="I18" s="93">
        <f t="shared" si="16"/>
        <v>0</v>
      </c>
      <c r="J18" s="76"/>
      <c r="K18" s="75"/>
      <c r="L18" s="93">
        <f t="shared" si="17"/>
        <v>0</v>
      </c>
      <c r="M18" s="75"/>
      <c r="N18" s="75"/>
      <c r="O18" s="93">
        <f t="shared" si="18"/>
        <v>0</v>
      </c>
      <c r="P18" s="75"/>
      <c r="Q18" s="75"/>
      <c r="R18" s="93">
        <f t="shared" si="19"/>
        <v>0</v>
      </c>
      <c r="S18" s="75"/>
      <c r="T18" s="75"/>
      <c r="U18" s="93">
        <f t="shared" si="20"/>
        <v>0</v>
      </c>
      <c r="V18" s="75"/>
      <c r="W18" s="75"/>
      <c r="X18" s="93">
        <f t="shared" si="21"/>
        <v>0</v>
      </c>
      <c r="Y18" s="93"/>
      <c r="Z18" s="93"/>
      <c r="AA18" s="93"/>
      <c r="AB18" s="93">
        <f t="shared" si="22"/>
        <v>0</v>
      </c>
      <c r="AC18" s="94"/>
      <c r="AD18" s="77"/>
      <c r="AE18" s="95">
        <f t="shared" si="1"/>
        <v>0</v>
      </c>
      <c r="AF18" s="77"/>
      <c r="AG18" s="95">
        <f t="shared" si="2"/>
        <v>0</v>
      </c>
      <c r="AH18" s="77"/>
      <c r="AI18" s="95">
        <f t="shared" si="3"/>
        <v>0</v>
      </c>
      <c r="AJ18" s="77"/>
      <c r="AK18" s="95">
        <f t="shared" si="4"/>
        <v>0</v>
      </c>
      <c r="AL18" s="77"/>
      <c r="AM18" s="95">
        <f t="shared" si="5"/>
        <v>0</v>
      </c>
      <c r="AN18" s="77"/>
      <c r="AO18" s="95">
        <f t="shared" si="6"/>
        <v>0</v>
      </c>
      <c r="AP18" s="96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3">
        <f t="shared" si="15"/>
        <v>0</v>
      </c>
      <c r="G19" s="75"/>
      <c r="H19" s="75"/>
      <c r="I19" s="93">
        <f t="shared" si="16"/>
        <v>0</v>
      </c>
      <c r="J19" s="76"/>
      <c r="K19" s="75"/>
      <c r="L19" s="93">
        <f t="shared" si="17"/>
        <v>0</v>
      </c>
      <c r="M19" s="75"/>
      <c r="N19" s="75"/>
      <c r="O19" s="93">
        <f t="shared" si="18"/>
        <v>0</v>
      </c>
      <c r="P19" s="75"/>
      <c r="Q19" s="75"/>
      <c r="R19" s="93">
        <f t="shared" si="19"/>
        <v>0</v>
      </c>
      <c r="S19" s="75"/>
      <c r="T19" s="75"/>
      <c r="U19" s="93">
        <f t="shared" si="20"/>
        <v>0</v>
      </c>
      <c r="V19" s="75"/>
      <c r="W19" s="75"/>
      <c r="X19" s="93">
        <f t="shared" si="21"/>
        <v>0</v>
      </c>
      <c r="Y19" s="93"/>
      <c r="Z19" s="93"/>
      <c r="AA19" s="93"/>
      <c r="AB19" s="93">
        <f t="shared" si="22"/>
        <v>0</v>
      </c>
      <c r="AC19" s="94"/>
      <c r="AD19" s="77"/>
      <c r="AE19" s="95">
        <f t="shared" si="1"/>
        <v>0</v>
      </c>
      <c r="AF19" s="77"/>
      <c r="AG19" s="95">
        <f t="shared" si="2"/>
        <v>0</v>
      </c>
      <c r="AH19" s="77"/>
      <c r="AI19" s="95">
        <f t="shared" si="3"/>
        <v>0</v>
      </c>
      <c r="AJ19" s="77"/>
      <c r="AK19" s="95">
        <f t="shared" si="4"/>
        <v>0</v>
      </c>
      <c r="AL19" s="77"/>
      <c r="AM19" s="95">
        <f t="shared" si="5"/>
        <v>0</v>
      </c>
      <c r="AN19" s="77"/>
      <c r="AO19" s="95">
        <f t="shared" si="6"/>
        <v>0</v>
      </c>
      <c r="AP19" s="96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3">
        <f t="shared" si="15"/>
        <v>0</v>
      </c>
      <c r="G20" s="75"/>
      <c r="H20" s="75"/>
      <c r="I20" s="93">
        <f t="shared" si="16"/>
        <v>0</v>
      </c>
      <c r="J20" s="76"/>
      <c r="K20" s="75"/>
      <c r="L20" s="93">
        <f t="shared" si="17"/>
        <v>0</v>
      </c>
      <c r="M20" s="75"/>
      <c r="N20" s="75"/>
      <c r="O20" s="93">
        <f t="shared" si="18"/>
        <v>0</v>
      </c>
      <c r="P20" s="75"/>
      <c r="Q20" s="75"/>
      <c r="R20" s="93">
        <f t="shared" si="19"/>
        <v>0</v>
      </c>
      <c r="S20" s="75"/>
      <c r="T20" s="75"/>
      <c r="U20" s="93">
        <f t="shared" si="20"/>
        <v>0</v>
      </c>
      <c r="V20" s="75"/>
      <c r="W20" s="75"/>
      <c r="X20" s="93">
        <f t="shared" si="21"/>
        <v>0</v>
      </c>
      <c r="Y20" s="93"/>
      <c r="Z20" s="93"/>
      <c r="AA20" s="93"/>
      <c r="AB20" s="93">
        <f t="shared" si="22"/>
        <v>0</v>
      </c>
      <c r="AC20" s="94"/>
      <c r="AD20" s="77"/>
      <c r="AE20" s="95">
        <f t="shared" si="1"/>
        <v>0</v>
      </c>
      <c r="AF20" s="77"/>
      <c r="AG20" s="95">
        <f t="shared" si="2"/>
        <v>0</v>
      </c>
      <c r="AH20" s="77"/>
      <c r="AI20" s="95">
        <f t="shared" si="3"/>
        <v>0</v>
      </c>
      <c r="AJ20" s="77"/>
      <c r="AK20" s="95">
        <f t="shared" si="4"/>
        <v>0</v>
      </c>
      <c r="AL20" s="77"/>
      <c r="AM20" s="95">
        <f t="shared" si="5"/>
        <v>0</v>
      </c>
      <c r="AN20" s="77"/>
      <c r="AO20" s="95">
        <f t="shared" si="6"/>
        <v>0</v>
      </c>
      <c r="AP20" s="96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3">
        <f t="shared" ref="F21:F29" si="59">BA21-BB21</f>
        <v>0</v>
      </c>
      <c r="G21" s="75"/>
      <c r="H21" s="75"/>
      <c r="I21" s="93">
        <f t="shared" ref="I21:I29" si="60">BF21-BG21</f>
        <v>0</v>
      </c>
      <c r="J21" s="76"/>
      <c r="K21" s="75"/>
      <c r="L21" s="93">
        <f t="shared" ref="L21:L29" si="61">BK21-BL21</f>
        <v>0</v>
      </c>
      <c r="M21" s="75"/>
      <c r="N21" s="75"/>
      <c r="O21" s="93">
        <f t="shared" ref="O21:O29" si="62">BP21-BQ21</f>
        <v>0</v>
      </c>
      <c r="P21" s="75"/>
      <c r="Q21" s="75"/>
      <c r="R21" s="93">
        <f t="shared" ref="R21:R29" si="63">BU21-BV21</f>
        <v>0</v>
      </c>
      <c r="S21" s="75"/>
      <c r="T21" s="75"/>
      <c r="U21" s="93">
        <f t="shared" ref="U21:U29" si="64">BZ21-CA21</f>
        <v>0</v>
      </c>
      <c r="V21" s="75"/>
      <c r="W21" s="75"/>
      <c r="X21" s="93">
        <f t="shared" ref="X21:X29" si="65">CE21-CF21</f>
        <v>0</v>
      </c>
      <c r="Y21" s="93"/>
      <c r="Z21" s="93"/>
      <c r="AA21" s="93"/>
      <c r="AB21" s="93">
        <f t="shared" ref="AB21:AB29" si="66">SUM(F21,I21,L21,O21,R21,U21,X21)</f>
        <v>0</v>
      </c>
      <c r="AC21" s="94"/>
      <c r="AD21" s="77"/>
      <c r="AE21" s="95">
        <f t="shared" ref="AE21:AE29" si="67">SUMIF($BC$1:$CI$1,AE$1,$BC21:$CI21)+AD21</f>
        <v>0</v>
      </c>
      <c r="AF21" s="77"/>
      <c r="AG21" s="95">
        <f t="shared" ref="AG21:AG29" si="68">SUMIF($BC$1:$CI$1,AG$1,$BC21:$CI21)+AF21</f>
        <v>0</v>
      </c>
      <c r="AH21" s="77"/>
      <c r="AI21" s="95">
        <f t="shared" ref="AI21:AI29" si="69">SUMIF($BC$1:$CI$1,AI$1,$BC21:$CI21)+AH21</f>
        <v>0</v>
      </c>
      <c r="AJ21" s="77"/>
      <c r="AK21" s="95">
        <f t="shared" ref="AK21:AK29" si="70">SUMIF($BC$1:$CI$1,AK$1,$BC21:$CI21)+AJ21</f>
        <v>0</v>
      </c>
      <c r="AL21" s="77"/>
      <c r="AM21" s="95">
        <f t="shared" ref="AM21:AM29" si="71">SUMIF($BC$1:$CI$1,AM$1,$BC21:$CI21)+AL21</f>
        <v>0</v>
      </c>
      <c r="AN21" s="77"/>
      <c r="AO21" s="95">
        <f t="shared" ref="AO21:AO29" si="72">SUMIF($BC$1:$CI$1,AO$1,$BC21:$CI21)+AN21</f>
        <v>0</v>
      </c>
      <c r="AP21" s="96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3">
        <f t="shared" si="59"/>
        <v>0</v>
      </c>
      <c r="G22" s="75"/>
      <c r="H22" s="75"/>
      <c r="I22" s="93">
        <f t="shared" si="60"/>
        <v>0</v>
      </c>
      <c r="J22" s="76"/>
      <c r="K22" s="75"/>
      <c r="L22" s="93">
        <f t="shared" si="61"/>
        <v>0</v>
      </c>
      <c r="M22" s="75"/>
      <c r="N22" s="75"/>
      <c r="O22" s="93">
        <f t="shared" si="62"/>
        <v>0</v>
      </c>
      <c r="P22" s="75"/>
      <c r="Q22" s="75"/>
      <c r="R22" s="93">
        <f t="shared" si="63"/>
        <v>0</v>
      </c>
      <c r="S22" s="75"/>
      <c r="T22" s="75"/>
      <c r="U22" s="93">
        <f t="shared" si="64"/>
        <v>0</v>
      </c>
      <c r="V22" s="75"/>
      <c r="W22" s="75"/>
      <c r="X22" s="93">
        <f t="shared" si="65"/>
        <v>0</v>
      </c>
      <c r="Y22" s="93"/>
      <c r="Z22" s="93"/>
      <c r="AA22" s="93"/>
      <c r="AB22" s="93">
        <f t="shared" si="66"/>
        <v>0</v>
      </c>
      <c r="AC22" s="94"/>
      <c r="AD22" s="77"/>
      <c r="AE22" s="95">
        <f t="shared" si="67"/>
        <v>0</v>
      </c>
      <c r="AF22" s="77"/>
      <c r="AG22" s="95">
        <f t="shared" si="68"/>
        <v>0</v>
      </c>
      <c r="AH22" s="77"/>
      <c r="AI22" s="95">
        <f t="shared" si="69"/>
        <v>0</v>
      </c>
      <c r="AJ22" s="77"/>
      <c r="AK22" s="95">
        <f t="shared" si="70"/>
        <v>0</v>
      </c>
      <c r="AL22" s="77"/>
      <c r="AM22" s="95">
        <f t="shared" si="71"/>
        <v>0</v>
      </c>
      <c r="AN22" s="77"/>
      <c r="AO22" s="95">
        <f t="shared" si="72"/>
        <v>0</v>
      </c>
      <c r="AP22" s="96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3">
        <f t="shared" si="59"/>
        <v>0</v>
      </c>
      <c r="G23" s="75"/>
      <c r="H23" s="75"/>
      <c r="I23" s="93">
        <f t="shared" si="60"/>
        <v>0</v>
      </c>
      <c r="J23" s="76"/>
      <c r="K23" s="75"/>
      <c r="L23" s="93">
        <f t="shared" si="61"/>
        <v>0</v>
      </c>
      <c r="M23" s="75"/>
      <c r="N23" s="75"/>
      <c r="O23" s="93">
        <f t="shared" si="62"/>
        <v>0</v>
      </c>
      <c r="P23" s="75"/>
      <c r="Q23" s="75"/>
      <c r="R23" s="93">
        <f t="shared" si="63"/>
        <v>0</v>
      </c>
      <c r="S23" s="75"/>
      <c r="T23" s="75"/>
      <c r="U23" s="93">
        <f t="shared" si="64"/>
        <v>0</v>
      </c>
      <c r="V23" s="75"/>
      <c r="W23" s="75"/>
      <c r="X23" s="93">
        <f t="shared" si="65"/>
        <v>0</v>
      </c>
      <c r="Y23" s="93"/>
      <c r="Z23" s="93"/>
      <c r="AA23" s="93"/>
      <c r="AB23" s="93">
        <f t="shared" si="66"/>
        <v>0</v>
      </c>
      <c r="AC23" s="94"/>
      <c r="AD23" s="77"/>
      <c r="AE23" s="95">
        <f t="shared" si="67"/>
        <v>0</v>
      </c>
      <c r="AF23" s="77"/>
      <c r="AG23" s="95">
        <f t="shared" si="68"/>
        <v>0</v>
      </c>
      <c r="AH23" s="77"/>
      <c r="AI23" s="95">
        <f t="shared" si="69"/>
        <v>0</v>
      </c>
      <c r="AJ23" s="77"/>
      <c r="AK23" s="95">
        <f t="shared" si="70"/>
        <v>0</v>
      </c>
      <c r="AL23" s="77"/>
      <c r="AM23" s="95">
        <f t="shared" si="71"/>
        <v>0</v>
      </c>
      <c r="AN23" s="77"/>
      <c r="AO23" s="95">
        <f t="shared" si="72"/>
        <v>0</v>
      </c>
      <c r="AP23" s="96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3">
        <f t="shared" si="59"/>
        <v>0</v>
      </c>
      <c r="G24" s="75"/>
      <c r="H24" s="75"/>
      <c r="I24" s="93">
        <f t="shared" si="60"/>
        <v>0</v>
      </c>
      <c r="J24" s="76"/>
      <c r="K24" s="75"/>
      <c r="L24" s="93">
        <f t="shared" si="61"/>
        <v>0</v>
      </c>
      <c r="M24" s="75"/>
      <c r="N24" s="75"/>
      <c r="O24" s="93">
        <f t="shared" si="62"/>
        <v>0</v>
      </c>
      <c r="P24" s="75"/>
      <c r="Q24" s="75"/>
      <c r="R24" s="93">
        <f t="shared" si="63"/>
        <v>0</v>
      </c>
      <c r="S24" s="75"/>
      <c r="T24" s="75"/>
      <c r="U24" s="93">
        <f t="shared" si="64"/>
        <v>0</v>
      </c>
      <c r="V24" s="75"/>
      <c r="W24" s="75"/>
      <c r="X24" s="93">
        <f t="shared" si="65"/>
        <v>0</v>
      </c>
      <c r="Y24" s="93"/>
      <c r="Z24" s="93"/>
      <c r="AA24" s="93"/>
      <c r="AB24" s="93">
        <f t="shared" si="66"/>
        <v>0</v>
      </c>
      <c r="AC24" s="94"/>
      <c r="AD24" s="77"/>
      <c r="AE24" s="95">
        <f t="shared" si="67"/>
        <v>0</v>
      </c>
      <c r="AF24" s="77"/>
      <c r="AG24" s="95">
        <f t="shared" si="68"/>
        <v>0</v>
      </c>
      <c r="AH24" s="77"/>
      <c r="AI24" s="95">
        <f t="shared" si="69"/>
        <v>0</v>
      </c>
      <c r="AJ24" s="77"/>
      <c r="AK24" s="95">
        <f t="shared" si="70"/>
        <v>0</v>
      </c>
      <c r="AL24" s="77"/>
      <c r="AM24" s="95">
        <f t="shared" si="71"/>
        <v>0</v>
      </c>
      <c r="AN24" s="77"/>
      <c r="AO24" s="95">
        <f t="shared" si="72"/>
        <v>0</v>
      </c>
      <c r="AP24" s="96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3">
        <f t="shared" si="59"/>
        <v>0</v>
      </c>
      <c r="G25" s="75"/>
      <c r="H25" s="75"/>
      <c r="I25" s="93">
        <f t="shared" si="60"/>
        <v>0</v>
      </c>
      <c r="J25" s="76"/>
      <c r="K25" s="75"/>
      <c r="L25" s="93">
        <f t="shared" si="61"/>
        <v>0</v>
      </c>
      <c r="M25" s="75"/>
      <c r="N25" s="75"/>
      <c r="O25" s="93">
        <f t="shared" si="62"/>
        <v>0</v>
      </c>
      <c r="P25" s="75"/>
      <c r="Q25" s="75"/>
      <c r="R25" s="93">
        <f t="shared" si="63"/>
        <v>0</v>
      </c>
      <c r="S25" s="75"/>
      <c r="T25" s="75"/>
      <c r="U25" s="93">
        <f t="shared" si="64"/>
        <v>0</v>
      </c>
      <c r="V25" s="75"/>
      <c r="W25" s="75"/>
      <c r="X25" s="93">
        <f t="shared" si="65"/>
        <v>0</v>
      </c>
      <c r="Y25" s="93"/>
      <c r="Z25" s="93"/>
      <c r="AA25" s="93"/>
      <c r="AB25" s="93">
        <f t="shared" si="66"/>
        <v>0</v>
      </c>
      <c r="AC25" s="94"/>
      <c r="AD25" s="77"/>
      <c r="AE25" s="95">
        <f t="shared" si="67"/>
        <v>0</v>
      </c>
      <c r="AF25" s="77"/>
      <c r="AG25" s="95">
        <f t="shared" si="68"/>
        <v>0</v>
      </c>
      <c r="AH25" s="77"/>
      <c r="AI25" s="95">
        <f t="shared" si="69"/>
        <v>0</v>
      </c>
      <c r="AJ25" s="77"/>
      <c r="AK25" s="95">
        <f t="shared" si="70"/>
        <v>0</v>
      </c>
      <c r="AL25" s="77"/>
      <c r="AM25" s="95">
        <f t="shared" si="71"/>
        <v>0</v>
      </c>
      <c r="AN25" s="77"/>
      <c r="AO25" s="95">
        <f t="shared" si="72"/>
        <v>0</v>
      </c>
      <c r="AP25" s="96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3">
        <f t="shared" si="59"/>
        <v>0</v>
      </c>
      <c r="G26" s="75"/>
      <c r="H26" s="75"/>
      <c r="I26" s="93">
        <f t="shared" si="60"/>
        <v>0</v>
      </c>
      <c r="J26" s="76"/>
      <c r="K26" s="75"/>
      <c r="L26" s="93">
        <f t="shared" si="61"/>
        <v>0</v>
      </c>
      <c r="M26" s="75"/>
      <c r="N26" s="75"/>
      <c r="O26" s="93">
        <f t="shared" si="62"/>
        <v>0</v>
      </c>
      <c r="P26" s="75"/>
      <c r="Q26" s="75"/>
      <c r="R26" s="93">
        <f t="shared" si="63"/>
        <v>0</v>
      </c>
      <c r="S26" s="75"/>
      <c r="T26" s="75"/>
      <c r="U26" s="93">
        <f t="shared" si="64"/>
        <v>0</v>
      </c>
      <c r="V26" s="75"/>
      <c r="W26" s="75"/>
      <c r="X26" s="93">
        <f t="shared" si="65"/>
        <v>0</v>
      </c>
      <c r="Y26" s="93"/>
      <c r="Z26" s="93"/>
      <c r="AA26" s="93"/>
      <c r="AB26" s="93">
        <f t="shared" si="66"/>
        <v>0</v>
      </c>
      <c r="AC26" s="94"/>
      <c r="AD26" s="77"/>
      <c r="AE26" s="95">
        <f t="shared" si="67"/>
        <v>0</v>
      </c>
      <c r="AF26" s="77"/>
      <c r="AG26" s="95">
        <f t="shared" si="68"/>
        <v>0</v>
      </c>
      <c r="AH26" s="77"/>
      <c r="AI26" s="95">
        <f t="shared" si="69"/>
        <v>0</v>
      </c>
      <c r="AJ26" s="77"/>
      <c r="AK26" s="95">
        <f t="shared" si="70"/>
        <v>0</v>
      </c>
      <c r="AL26" s="77"/>
      <c r="AM26" s="95">
        <f t="shared" si="71"/>
        <v>0</v>
      </c>
      <c r="AN26" s="77"/>
      <c r="AO26" s="95">
        <f t="shared" si="72"/>
        <v>0</v>
      </c>
      <c r="AP26" s="96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3">
        <f t="shared" si="59"/>
        <v>0</v>
      </c>
      <c r="G27" s="75"/>
      <c r="H27" s="75"/>
      <c r="I27" s="93">
        <f t="shared" si="60"/>
        <v>0</v>
      </c>
      <c r="J27" s="76"/>
      <c r="K27" s="75"/>
      <c r="L27" s="93">
        <f t="shared" si="61"/>
        <v>0</v>
      </c>
      <c r="M27" s="75"/>
      <c r="N27" s="75"/>
      <c r="O27" s="93">
        <f t="shared" si="62"/>
        <v>0</v>
      </c>
      <c r="P27" s="75"/>
      <c r="Q27" s="75"/>
      <c r="R27" s="93">
        <f t="shared" si="63"/>
        <v>0</v>
      </c>
      <c r="S27" s="75"/>
      <c r="T27" s="75"/>
      <c r="U27" s="93">
        <f t="shared" si="64"/>
        <v>0</v>
      </c>
      <c r="V27" s="75"/>
      <c r="W27" s="75"/>
      <c r="X27" s="93">
        <f t="shared" si="65"/>
        <v>0</v>
      </c>
      <c r="Y27" s="93"/>
      <c r="Z27" s="93"/>
      <c r="AA27" s="93"/>
      <c r="AB27" s="93">
        <f t="shared" si="66"/>
        <v>0</v>
      </c>
      <c r="AC27" s="94"/>
      <c r="AD27" s="77"/>
      <c r="AE27" s="95">
        <f t="shared" si="67"/>
        <v>0</v>
      </c>
      <c r="AF27" s="77"/>
      <c r="AG27" s="95">
        <f t="shared" si="68"/>
        <v>0</v>
      </c>
      <c r="AH27" s="77"/>
      <c r="AI27" s="95">
        <f t="shared" si="69"/>
        <v>0</v>
      </c>
      <c r="AJ27" s="77"/>
      <c r="AK27" s="95">
        <f t="shared" si="70"/>
        <v>0</v>
      </c>
      <c r="AL27" s="77"/>
      <c r="AM27" s="95">
        <f t="shared" si="71"/>
        <v>0</v>
      </c>
      <c r="AN27" s="77"/>
      <c r="AO27" s="95">
        <f t="shared" si="72"/>
        <v>0</v>
      </c>
      <c r="AP27" s="96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3">
        <f t="shared" si="59"/>
        <v>0</v>
      </c>
      <c r="G28" s="75"/>
      <c r="H28" s="75"/>
      <c r="I28" s="93">
        <f t="shared" si="60"/>
        <v>0</v>
      </c>
      <c r="J28" s="76"/>
      <c r="K28" s="75"/>
      <c r="L28" s="93">
        <f t="shared" si="61"/>
        <v>0</v>
      </c>
      <c r="M28" s="75"/>
      <c r="N28" s="75"/>
      <c r="O28" s="93">
        <f t="shared" si="62"/>
        <v>0</v>
      </c>
      <c r="P28" s="75"/>
      <c r="Q28" s="75"/>
      <c r="R28" s="93">
        <f t="shared" si="63"/>
        <v>0</v>
      </c>
      <c r="S28" s="75"/>
      <c r="T28" s="75"/>
      <c r="U28" s="93">
        <f t="shared" si="64"/>
        <v>0</v>
      </c>
      <c r="V28" s="75"/>
      <c r="W28" s="75"/>
      <c r="X28" s="93">
        <f t="shared" si="65"/>
        <v>0</v>
      </c>
      <c r="Y28" s="93"/>
      <c r="Z28" s="93"/>
      <c r="AA28" s="93"/>
      <c r="AB28" s="93">
        <f t="shared" si="66"/>
        <v>0</v>
      </c>
      <c r="AC28" s="94"/>
      <c r="AD28" s="77"/>
      <c r="AE28" s="95">
        <f t="shared" si="67"/>
        <v>0</v>
      </c>
      <c r="AF28" s="77"/>
      <c r="AG28" s="95">
        <f t="shared" si="68"/>
        <v>0</v>
      </c>
      <c r="AH28" s="77"/>
      <c r="AI28" s="95">
        <f t="shared" si="69"/>
        <v>0</v>
      </c>
      <c r="AJ28" s="77"/>
      <c r="AK28" s="95">
        <f t="shared" si="70"/>
        <v>0</v>
      </c>
      <c r="AL28" s="77"/>
      <c r="AM28" s="95">
        <f t="shared" si="71"/>
        <v>0</v>
      </c>
      <c r="AN28" s="77"/>
      <c r="AO28" s="95">
        <f t="shared" si="72"/>
        <v>0</v>
      </c>
      <c r="AP28" s="96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3">
        <f t="shared" si="59"/>
        <v>0</v>
      </c>
      <c r="G29" s="75"/>
      <c r="H29" s="75"/>
      <c r="I29" s="93">
        <f t="shared" si="60"/>
        <v>0</v>
      </c>
      <c r="J29" s="76"/>
      <c r="K29" s="75"/>
      <c r="L29" s="93">
        <f t="shared" si="61"/>
        <v>0</v>
      </c>
      <c r="M29" s="75"/>
      <c r="N29" s="75"/>
      <c r="O29" s="93">
        <f t="shared" si="62"/>
        <v>0</v>
      </c>
      <c r="P29" s="75"/>
      <c r="Q29" s="75"/>
      <c r="R29" s="93">
        <f t="shared" si="63"/>
        <v>0</v>
      </c>
      <c r="S29" s="75"/>
      <c r="T29" s="75"/>
      <c r="U29" s="93">
        <f t="shared" si="64"/>
        <v>0</v>
      </c>
      <c r="V29" s="75"/>
      <c r="W29" s="75"/>
      <c r="X29" s="93">
        <f t="shared" si="65"/>
        <v>0</v>
      </c>
      <c r="Y29" s="93"/>
      <c r="Z29" s="93"/>
      <c r="AA29" s="93"/>
      <c r="AB29" s="93">
        <f t="shared" si="66"/>
        <v>0</v>
      </c>
      <c r="AC29" s="94"/>
      <c r="AD29" s="77"/>
      <c r="AE29" s="95">
        <f t="shared" si="67"/>
        <v>0</v>
      </c>
      <c r="AF29" s="77"/>
      <c r="AG29" s="95">
        <f t="shared" si="68"/>
        <v>0</v>
      </c>
      <c r="AH29" s="77"/>
      <c r="AI29" s="95">
        <f t="shared" si="69"/>
        <v>0</v>
      </c>
      <c r="AJ29" s="77"/>
      <c r="AK29" s="95">
        <f t="shared" si="70"/>
        <v>0</v>
      </c>
      <c r="AL29" s="77"/>
      <c r="AM29" s="95">
        <f t="shared" si="71"/>
        <v>0</v>
      </c>
      <c r="AN29" s="77"/>
      <c r="AO29" s="95">
        <f t="shared" si="72"/>
        <v>0</v>
      </c>
      <c r="AP29" s="96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3">
        <f t="shared" si="15"/>
        <v>0</v>
      </c>
      <c r="G30" s="75"/>
      <c r="H30" s="75"/>
      <c r="I30" s="93">
        <f t="shared" si="16"/>
        <v>0</v>
      </c>
      <c r="J30" s="76"/>
      <c r="K30" s="75"/>
      <c r="L30" s="93">
        <f t="shared" si="17"/>
        <v>0</v>
      </c>
      <c r="M30" s="75"/>
      <c r="N30" s="75"/>
      <c r="O30" s="93">
        <f t="shared" si="18"/>
        <v>0</v>
      </c>
      <c r="P30" s="75"/>
      <c r="Q30" s="75"/>
      <c r="R30" s="93">
        <f t="shared" si="19"/>
        <v>0</v>
      </c>
      <c r="S30" s="75"/>
      <c r="T30" s="75"/>
      <c r="U30" s="93">
        <f t="shared" si="20"/>
        <v>0</v>
      </c>
      <c r="V30" s="75"/>
      <c r="W30" s="75"/>
      <c r="X30" s="93">
        <f t="shared" si="21"/>
        <v>0</v>
      </c>
      <c r="Y30" s="93"/>
      <c r="Z30" s="93"/>
      <c r="AA30" s="93"/>
      <c r="AB30" s="93">
        <f t="shared" si="22"/>
        <v>0</v>
      </c>
      <c r="AC30" s="94"/>
      <c r="AD30" s="77"/>
      <c r="AE30" s="95">
        <f t="shared" si="1"/>
        <v>0</v>
      </c>
      <c r="AF30" s="77"/>
      <c r="AG30" s="95">
        <f t="shared" si="2"/>
        <v>0</v>
      </c>
      <c r="AH30" s="77"/>
      <c r="AI30" s="95">
        <f t="shared" si="3"/>
        <v>0</v>
      </c>
      <c r="AJ30" s="77"/>
      <c r="AK30" s="95">
        <f t="shared" si="4"/>
        <v>0</v>
      </c>
      <c r="AL30" s="77"/>
      <c r="AM30" s="95">
        <f t="shared" si="5"/>
        <v>0</v>
      </c>
      <c r="AN30" s="77"/>
      <c r="AO30" s="95">
        <f t="shared" si="6"/>
        <v>0</v>
      </c>
      <c r="AP30" s="96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3">
        <f t="shared" si="15"/>
        <v>0</v>
      </c>
      <c r="G31" s="75"/>
      <c r="H31" s="75"/>
      <c r="I31" s="93">
        <f t="shared" si="16"/>
        <v>0</v>
      </c>
      <c r="J31" s="76"/>
      <c r="K31" s="75"/>
      <c r="L31" s="93">
        <f t="shared" si="17"/>
        <v>0</v>
      </c>
      <c r="M31" s="75"/>
      <c r="N31" s="75"/>
      <c r="O31" s="93">
        <f t="shared" si="18"/>
        <v>0</v>
      </c>
      <c r="P31" s="75"/>
      <c r="Q31" s="75"/>
      <c r="R31" s="93">
        <f t="shared" si="19"/>
        <v>0</v>
      </c>
      <c r="S31" s="75"/>
      <c r="T31" s="75"/>
      <c r="U31" s="93">
        <f t="shared" si="20"/>
        <v>0</v>
      </c>
      <c r="V31" s="75"/>
      <c r="W31" s="75"/>
      <c r="X31" s="93">
        <f t="shared" si="21"/>
        <v>0</v>
      </c>
      <c r="Y31" s="93"/>
      <c r="Z31" s="93"/>
      <c r="AA31" s="93"/>
      <c r="AB31" s="93">
        <f t="shared" si="22"/>
        <v>0</v>
      </c>
      <c r="AC31" s="94"/>
      <c r="AD31" s="77"/>
      <c r="AE31" s="95">
        <f t="shared" si="1"/>
        <v>0</v>
      </c>
      <c r="AF31" s="77"/>
      <c r="AG31" s="95">
        <f t="shared" si="2"/>
        <v>0</v>
      </c>
      <c r="AH31" s="77"/>
      <c r="AI31" s="95">
        <f t="shared" si="3"/>
        <v>0</v>
      </c>
      <c r="AJ31" s="77"/>
      <c r="AK31" s="95">
        <f t="shared" si="4"/>
        <v>0</v>
      </c>
      <c r="AL31" s="77"/>
      <c r="AM31" s="95">
        <f t="shared" si="5"/>
        <v>0</v>
      </c>
      <c r="AN31" s="77"/>
      <c r="AO31" s="95">
        <f t="shared" si="6"/>
        <v>0</v>
      </c>
      <c r="AP31" s="96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3">
        <f t="shared" si="15"/>
        <v>0</v>
      </c>
      <c r="G32" s="75"/>
      <c r="H32" s="75"/>
      <c r="I32" s="93">
        <f t="shared" si="16"/>
        <v>0</v>
      </c>
      <c r="J32" s="76"/>
      <c r="K32" s="75"/>
      <c r="L32" s="93">
        <f t="shared" si="17"/>
        <v>0</v>
      </c>
      <c r="M32" s="75"/>
      <c r="N32" s="75"/>
      <c r="O32" s="93">
        <f t="shared" si="18"/>
        <v>0</v>
      </c>
      <c r="P32" s="75"/>
      <c r="Q32" s="75"/>
      <c r="R32" s="93">
        <f t="shared" si="19"/>
        <v>0</v>
      </c>
      <c r="S32" s="75"/>
      <c r="T32" s="75"/>
      <c r="U32" s="93">
        <f t="shared" si="20"/>
        <v>0</v>
      </c>
      <c r="V32" s="75"/>
      <c r="W32" s="75"/>
      <c r="X32" s="93">
        <f t="shared" si="21"/>
        <v>0</v>
      </c>
      <c r="Y32" s="93"/>
      <c r="Z32" s="93"/>
      <c r="AA32" s="93"/>
      <c r="AB32" s="93">
        <f t="shared" si="22"/>
        <v>0</v>
      </c>
      <c r="AC32" s="94"/>
      <c r="AD32" s="77"/>
      <c r="AE32" s="95">
        <f t="shared" si="1"/>
        <v>0</v>
      </c>
      <c r="AF32" s="77"/>
      <c r="AG32" s="95">
        <f t="shared" si="2"/>
        <v>0</v>
      </c>
      <c r="AH32" s="77"/>
      <c r="AI32" s="95">
        <f t="shared" si="3"/>
        <v>0</v>
      </c>
      <c r="AJ32" s="77"/>
      <c r="AK32" s="95">
        <f t="shared" si="4"/>
        <v>0</v>
      </c>
      <c r="AL32" s="77"/>
      <c r="AM32" s="95">
        <f t="shared" si="5"/>
        <v>0</v>
      </c>
      <c r="AN32" s="77"/>
      <c r="AO32" s="95">
        <f t="shared" si="6"/>
        <v>0</v>
      </c>
      <c r="AP32" s="96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3">
        <f t="shared" si="15"/>
        <v>0</v>
      </c>
      <c r="G33" s="75"/>
      <c r="H33" s="75"/>
      <c r="I33" s="93">
        <f t="shared" si="16"/>
        <v>0</v>
      </c>
      <c r="J33" s="76"/>
      <c r="K33" s="75"/>
      <c r="L33" s="93">
        <f t="shared" si="17"/>
        <v>0</v>
      </c>
      <c r="M33" s="75"/>
      <c r="N33" s="75"/>
      <c r="O33" s="93">
        <f t="shared" si="18"/>
        <v>0</v>
      </c>
      <c r="P33" s="75"/>
      <c r="Q33" s="75"/>
      <c r="R33" s="93">
        <f t="shared" si="19"/>
        <v>0</v>
      </c>
      <c r="S33" s="75"/>
      <c r="T33" s="75"/>
      <c r="U33" s="93">
        <f t="shared" si="20"/>
        <v>0</v>
      </c>
      <c r="V33" s="75"/>
      <c r="W33" s="75"/>
      <c r="X33" s="93">
        <f t="shared" si="21"/>
        <v>0</v>
      </c>
      <c r="Y33" s="93"/>
      <c r="Z33" s="93"/>
      <c r="AA33" s="93"/>
      <c r="AB33" s="93">
        <f t="shared" si="22"/>
        <v>0</v>
      </c>
      <c r="AC33" s="94"/>
      <c r="AD33" s="77"/>
      <c r="AE33" s="95">
        <f t="shared" si="1"/>
        <v>0</v>
      </c>
      <c r="AF33" s="77"/>
      <c r="AG33" s="95">
        <f t="shared" si="2"/>
        <v>0</v>
      </c>
      <c r="AH33" s="77"/>
      <c r="AI33" s="95">
        <f t="shared" si="3"/>
        <v>0</v>
      </c>
      <c r="AJ33" s="77"/>
      <c r="AK33" s="95">
        <f t="shared" si="4"/>
        <v>0</v>
      </c>
      <c r="AL33" s="77"/>
      <c r="AM33" s="95">
        <f t="shared" si="5"/>
        <v>0</v>
      </c>
      <c r="AN33" s="77"/>
      <c r="AO33" s="95">
        <f t="shared" si="6"/>
        <v>0</v>
      </c>
      <c r="AP33" s="96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3">
        <f t="shared" si="15"/>
        <v>0</v>
      </c>
      <c r="G34" s="75"/>
      <c r="H34" s="75"/>
      <c r="I34" s="93">
        <f t="shared" si="16"/>
        <v>0</v>
      </c>
      <c r="J34" s="76"/>
      <c r="K34" s="75"/>
      <c r="L34" s="93">
        <f t="shared" si="17"/>
        <v>0</v>
      </c>
      <c r="M34" s="75"/>
      <c r="N34" s="75"/>
      <c r="O34" s="93">
        <f t="shared" si="18"/>
        <v>0</v>
      </c>
      <c r="P34" s="75"/>
      <c r="Q34" s="75"/>
      <c r="R34" s="93">
        <f t="shared" si="19"/>
        <v>0</v>
      </c>
      <c r="S34" s="75"/>
      <c r="T34" s="75"/>
      <c r="U34" s="93">
        <f t="shared" si="20"/>
        <v>0</v>
      </c>
      <c r="V34" s="75"/>
      <c r="W34" s="75"/>
      <c r="X34" s="93">
        <f t="shared" si="21"/>
        <v>0</v>
      </c>
      <c r="Y34" s="93"/>
      <c r="Z34" s="93"/>
      <c r="AA34" s="93"/>
      <c r="AB34" s="93">
        <f t="shared" si="22"/>
        <v>0</v>
      </c>
      <c r="AC34" s="94"/>
      <c r="AD34" s="77"/>
      <c r="AE34" s="95">
        <f t="shared" si="1"/>
        <v>0</v>
      </c>
      <c r="AF34" s="77"/>
      <c r="AG34" s="95">
        <f t="shared" si="2"/>
        <v>0</v>
      </c>
      <c r="AH34" s="77"/>
      <c r="AI34" s="95">
        <f t="shared" si="3"/>
        <v>0</v>
      </c>
      <c r="AJ34" s="77"/>
      <c r="AK34" s="95">
        <f t="shared" si="4"/>
        <v>0</v>
      </c>
      <c r="AL34" s="77"/>
      <c r="AM34" s="95">
        <f t="shared" si="5"/>
        <v>0</v>
      </c>
      <c r="AN34" s="77"/>
      <c r="AO34" s="95">
        <f t="shared" si="6"/>
        <v>0</v>
      </c>
      <c r="AP34" s="96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3">
        <f t="shared" si="15"/>
        <v>0</v>
      </c>
      <c r="G35" s="75"/>
      <c r="H35" s="75"/>
      <c r="I35" s="93">
        <f t="shared" si="16"/>
        <v>0</v>
      </c>
      <c r="J35" s="76"/>
      <c r="K35" s="75"/>
      <c r="L35" s="93">
        <f t="shared" si="17"/>
        <v>0</v>
      </c>
      <c r="M35" s="75"/>
      <c r="N35" s="75"/>
      <c r="O35" s="93">
        <f t="shared" si="18"/>
        <v>0</v>
      </c>
      <c r="P35" s="75"/>
      <c r="Q35" s="75"/>
      <c r="R35" s="93">
        <f t="shared" si="19"/>
        <v>0</v>
      </c>
      <c r="S35" s="75"/>
      <c r="T35" s="75"/>
      <c r="U35" s="93">
        <f t="shared" si="20"/>
        <v>0</v>
      </c>
      <c r="V35" s="75"/>
      <c r="W35" s="75"/>
      <c r="X35" s="93">
        <f t="shared" si="21"/>
        <v>0</v>
      </c>
      <c r="Y35" s="93"/>
      <c r="Z35" s="93"/>
      <c r="AA35" s="93"/>
      <c r="AB35" s="93">
        <f t="shared" si="22"/>
        <v>0</v>
      </c>
      <c r="AC35" s="94"/>
      <c r="AD35" s="77"/>
      <c r="AE35" s="95">
        <f t="shared" si="1"/>
        <v>0</v>
      </c>
      <c r="AF35" s="77"/>
      <c r="AG35" s="95">
        <f t="shared" si="2"/>
        <v>0</v>
      </c>
      <c r="AH35" s="77"/>
      <c r="AI35" s="95">
        <f t="shared" si="3"/>
        <v>0</v>
      </c>
      <c r="AJ35" s="77"/>
      <c r="AK35" s="95">
        <f t="shared" si="4"/>
        <v>0</v>
      </c>
      <c r="AL35" s="77"/>
      <c r="AM35" s="95">
        <f t="shared" si="5"/>
        <v>0</v>
      </c>
      <c r="AN35" s="77"/>
      <c r="AO35" s="95">
        <f t="shared" si="6"/>
        <v>0</v>
      </c>
      <c r="AP35" s="96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3">
        <f t="shared" si="15"/>
        <v>0</v>
      </c>
      <c r="G36" s="75"/>
      <c r="H36" s="75"/>
      <c r="I36" s="93">
        <f t="shared" si="16"/>
        <v>0</v>
      </c>
      <c r="J36" s="76"/>
      <c r="K36" s="75"/>
      <c r="L36" s="93">
        <f t="shared" si="17"/>
        <v>0</v>
      </c>
      <c r="M36" s="75"/>
      <c r="N36" s="75"/>
      <c r="O36" s="93">
        <f t="shared" si="18"/>
        <v>0</v>
      </c>
      <c r="P36" s="75"/>
      <c r="Q36" s="75"/>
      <c r="R36" s="93">
        <f t="shared" si="19"/>
        <v>0</v>
      </c>
      <c r="S36" s="75"/>
      <c r="T36" s="75"/>
      <c r="U36" s="93">
        <f t="shared" si="20"/>
        <v>0</v>
      </c>
      <c r="V36" s="75"/>
      <c r="W36" s="75"/>
      <c r="X36" s="93">
        <f t="shared" si="21"/>
        <v>0</v>
      </c>
      <c r="Y36" s="93"/>
      <c r="Z36" s="93"/>
      <c r="AA36" s="93"/>
      <c r="AB36" s="93">
        <f t="shared" si="22"/>
        <v>0</v>
      </c>
      <c r="AC36" s="94"/>
      <c r="AD36" s="77"/>
      <c r="AE36" s="95">
        <f t="shared" si="1"/>
        <v>0</v>
      </c>
      <c r="AF36" s="77"/>
      <c r="AG36" s="95">
        <f t="shared" si="2"/>
        <v>0</v>
      </c>
      <c r="AH36" s="77"/>
      <c r="AI36" s="95">
        <f t="shared" si="3"/>
        <v>0</v>
      </c>
      <c r="AJ36" s="77"/>
      <c r="AK36" s="95">
        <f t="shared" si="4"/>
        <v>0</v>
      </c>
      <c r="AL36" s="77"/>
      <c r="AM36" s="95">
        <f t="shared" si="5"/>
        <v>0</v>
      </c>
      <c r="AN36" s="77"/>
      <c r="AO36" s="95">
        <f t="shared" si="6"/>
        <v>0</v>
      </c>
      <c r="AP36" s="96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F8" sqref="AF8"/>
    </sheetView>
  </sheetViews>
  <sheetFormatPr baseColWidth="10" defaultColWidth="14.5" defaultRowHeight="15" customHeight="1"/>
  <cols>
    <col min="1" max="1" width="24.1640625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10040</v>
      </c>
      <c r="B2" s="81" t="s">
        <v>46</v>
      </c>
      <c r="C2" s="92" t="s">
        <v>404</v>
      </c>
      <c r="D2" s="75"/>
      <c r="E2" s="75"/>
      <c r="F2" s="93">
        <f>BA2-BB2</f>
        <v>0</v>
      </c>
      <c r="G2" s="75">
        <v>0.4597222222222222</v>
      </c>
      <c r="H2" s="76">
        <v>0.78472222222222221</v>
      </c>
      <c r="I2" s="93">
        <f>BF2-BG2</f>
        <v>7.3000000000000007</v>
      </c>
      <c r="J2" s="75">
        <v>0.39583333333333331</v>
      </c>
      <c r="K2" s="76">
        <v>0.64583333333333337</v>
      </c>
      <c r="L2" s="93">
        <f>BK2-BL2</f>
        <v>5.5000000000000018</v>
      </c>
      <c r="M2" s="75"/>
      <c r="N2" s="76"/>
      <c r="O2" s="93">
        <f>BP2-BQ2</f>
        <v>0</v>
      </c>
      <c r="P2" s="75">
        <v>0.37986111111111115</v>
      </c>
      <c r="Q2" s="76">
        <v>0.70833333333333337</v>
      </c>
      <c r="R2" s="93">
        <f>BU2-BV2</f>
        <v>7.3833333333333329</v>
      </c>
      <c r="S2" s="75">
        <v>0.37916666666666665</v>
      </c>
      <c r="T2" s="75">
        <v>0.70833333333333337</v>
      </c>
      <c r="U2" s="93">
        <f>BZ2-CA2</f>
        <v>7.4000000000000012</v>
      </c>
      <c r="V2" s="75"/>
      <c r="W2" s="76"/>
      <c r="X2" s="93">
        <f>CE2-CF2</f>
        <v>0</v>
      </c>
      <c r="Y2" s="93"/>
      <c r="Z2" s="93"/>
      <c r="AA2" s="93"/>
      <c r="AB2" s="97">
        <f>SUM(F2,I2,L2,O2,R2,U2,X2)</f>
        <v>27.583333333333339</v>
      </c>
      <c r="AC2" s="94"/>
      <c r="AD2" s="78">
        <v>1</v>
      </c>
      <c r="AE2" s="95">
        <f>SUMIF($BC$1:$CI$1,AE$1,$BC2:$CI2)+AD2</f>
        <v>21.183333333333337</v>
      </c>
      <c r="AF2" s="78"/>
      <c r="AG2" s="95">
        <f>SUMIF($BC$1:$CI$1,AG$1,$BC2:$CI2)+AF2</f>
        <v>7.4000000000000012</v>
      </c>
      <c r="AH2" s="78"/>
      <c r="AI2" s="95">
        <f>SUMIF($BC$1:$CI$1,AI$1,$BC2:$CI2)+AH2</f>
        <v>0</v>
      </c>
      <c r="AJ2" s="77"/>
      <c r="AK2" s="95">
        <f>SUMIF($BC$1:$CI$1,AK$1,$BC2:$CI2)+AJ2</f>
        <v>0</v>
      </c>
      <c r="AL2" s="78"/>
      <c r="AM2" s="95">
        <f>SUMIF($BC$1:$CI$1,AM$1,$BC2:$CI2)+AL2</f>
        <v>0</v>
      </c>
      <c r="AN2" s="77"/>
      <c r="AO2" s="95">
        <f>SUMIF($BC$1:$CI$1,AO$1,$BC2:$CI2)+AN2</f>
        <v>0</v>
      </c>
      <c r="AP2" s="96">
        <f>CK2</f>
        <v>4</v>
      </c>
      <c r="AQ2" s="77"/>
      <c r="AR2" s="77"/>
      <c r="AS2" s="77"/>
      <c r="AT2" s="63">
        <f>AE2+AG2+AI2+AK2+AM2+AO2+SUM(AQ2:AS2)</f>
        <v>28.583333333333339</v>
      </c>
      <c r="AU2" s="78"/>
      <c r="AV2" s="5"/>
      <c r="AW2" s="5"/>
      <c r="AX2" s="5"/>
      <c r="AY2" s="5"/>
      <c r="AZ2" s="24">
        <f>VLOOKUP(C2,Employees!D:I,6,FALSE)</f>
        <v>10040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7.8000000000000007</v>
      </c>
      <c r="BG2" s="5">
        <f>IF(BF2&gt;$AY$1,1,IF(BF2&gt;=$AX$1,0.5,0))</f>
        <v>0.5</v>
      </c>
      <c r="BH2" s="5">
        <f>BF2-BG2-BI2-BJ2</f>
        <v>7.3000000000000007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6.0000000000000018</v>
      </c>
      <c r="BL2" s="5">
        <f>IF(BK2&gt;$AY$1,1,IF(BK2&gt;=$AX$1,0.5,0))</f>
        <v>0.5</v>
      </c>
      <c r="BM2" s="5">
        <f>BK2-BL2-BN2-BO2</f>
        <v>5.5000000000000018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7.8833333333333329</v>
      </c>
      <c r="BV2" s="5">
        <f>IF(BU2&gt;$AY$1,1,IF(BU2&gt;=$AX$1,0.5,0))</f>
        <v>0.5</v>
      </c>
      <c r="BW2" s="5">
        <f>BU2-BV2-BX2-BY2</f>
        <v>7.3833333333333329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7.9000000000000012</v>
      </c>
      <c r="CA2" s="5">
        <f>IF(BZ2&gt;$AY$1,1,IF(BZ2&gt;=$AX$1,0.5,0))</f>
        <v>0.5</v>
      </c>
      <c r="CB2" s="5">
        <f>BZ2-CA2-CC2-CD2</f>
        <v>7.4000000000000012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10334</v>
      </c>
      <c r="B3" s="81" t="s">
        <v>46</v>
      </c>
      <c r="C3" s="92" t="s">
        <v>928</v>
      </c>
      <c r="D3" s="75">
        <v>0.375</v>
      </c>
      <c r="E3" s="75">
        <v>0.61458333333333337</v>
      </c>
      <c r="F3" s="93">
        <f t="shared" ref="F3:F74" si="9">BA3-BB3</f>
        <v>5.2500000000000009</v>
      </c>
      <c r="G3" s="75">
        <v>0.56388888888888888</v>
      </c>
      <c r="H3" s="75">
        <v>0.78472222222222221</v>
      </c>
      <c r="I3" s="93">
        <f t="shared" ref="I3:I74" si="10">BF3-BG3</f>
        <v>5.3</v>
      </c>
      <c r="J3" s="75"/>
      <c r="K3" s="75"/>
      <c r="L3" s="93">
        <f t="shared" ref="L3:L74" si="11">BK3-BL3</f>
        <v>0</v>
      </c>
      <c r="M3" s="75"/>
      <c r="N3" s="75"/>
      <c r="O3" s="93">
        <f t="shared" ref="O3:O74" si="12">BP3-BQ3</f>
        <v>0</v>
      </c>
      <c r="P3" s="85"/>
      <c r="Q3" s="85"/>
      <c r="R3" s="93">
        <f t="shared" ref="R3:R74" si="13">BU3-BV3</f>
        <v>0</v>
      </c>
      <c r="S3" s="85">
        <v>0.5625</v>
      </c>
      <c r="T3" s="85">
        <v>0.77083333333333337</v>
      </c>
      <c r="U3" s="93">
        <f t="shared" ref="U3:U74" si="14">BZ3-CA3</f>
        <v>5.0000000000000009</v>
      </c>
      <c r="V3" s="75">
        <v>0.375</v>
      </c>
      <c r="W3" s="75">
        <v>0.70833333333333337</v>
      </c>
      <c r="X3" s="93">
        <f t="shared" ref="X3:X74" si="15">CE3-CF3</f>
        <v>7.5</v>
      </c>
      <c r="Y3" s="93"/>
      <c r="Z3" s="93"/>
      <c r="AA3" s="93"/>
      <c r="AB3" s="97">
        <f t="shared" ref="AB3:AB74" si="16">SUM(F3,I3,L3,O3,R3,U3,X3)</f>
        <v>23.05</v>
      </c>
      <c r="AC3" s="94"/>
      <c r="AD3" s="78">
        <v>0.5</v>
      </c>
      <c r="AE3" s="95">
        <f t="shared" ref="AE3:AE74" si="17">SUMIF($BC$1:$CI$1,AE$1,$BC3:$CI3)+AD3</f>
        <v>11.05</v>
      </c>
      <c r="AF3" s="78"/>
      <c r="AG3" s="95">
        <f t="shared" ref="AG3:AG74" si="18">SUMIF($BC$1:$CI$1,AG$1,$BC3:$CI3)+AF3</f>
        <v>5.0000000000000009</v>
      </c>
      <c r="AH3" s="78"/>
      <c r="AI3" s="95">
        <f t="shared" ref="AI3:AI74" si="19">SUMIF($BC$1:$CI$1,AI$1,$BC3:$CI3)+AH3</f>
        <v>7.5</v>
      </c>
      <c r="AJ3" s="77"/>
      <c r="AK3" s="95">
        <f t="shared" ref="AK3:AK74" si="20">SUMIF($BC$1:$CI$1,AK$1,$BC3:$CI3)+AJ3</f>
        <v>0</v>
      </c>
      <c r="AL3" s="78"/>
      <c r="AM3" s="95">
        <f t="shared" ref="AM3:AM74" si="21">SUMIF($BC$1:$CI$1,AM$1,$BC3:$CI3)+AL3</f>
        <v>0</v>
      </c>
      <c r="AN3" s="77"/>
      <c r="AO3" s="95">
        <f t="shared" ref="AO3:AO74" si="22">SUMIF($BC$1:$CI$1,AO$1,$BC3:$CI3)+AN3</f>
        <v>0</v>
      </c>
      <c r="AP3" s="96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23.55</v>
      </c>
      <c r="AU3" s="78" t="s">
        <v>1412</v>
      </c>
      <c r="AV3" s="5"/>
      <c r="AW3" s="5"/>
      <c r="AX3" s="5"/>
      <c r="AY3" s="5"/>
      <c r="AZ3" s="24">
        <f>VLOOKUP(C3,Employees!D:I,6,FALSE)</f>
        <v>10334</v>
      </c>
      <c r="BA3" s="5">
        <f t="shared" ref="BA3:BA66" si="25">IF(ISBLANK(D3),0,(E3-D3)*24)</f>
        <v>5.7500000000000009</v>
      </c>
      <c r="BB3" s="5">
        <f t="shared" ref="BB3:BB66" si="26">IF(BA3&gt;$AY$1,1,IF(BA3&gt;=$AX$1,0.5,0))</f>
        <v>0.5</v>
      </c>
      <c r="BC3" s="5">
        <f t="shared" ref="BC3:BC66" si="27">BA3-BB3-BD3-BE3</f>
        <v>5.2500000000000009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5.3</v>
      </c>
      <c r="BG3" s="5">
        <f t="shared" ref="BG3:BG66" si="31">IF(BF3&gt;$AY$1,1,IF(BF3&gt;=$AX$1,0.5,0))</f>
        <v>0</v>
      </c>
      <c r="BH3" s="5">
        <f t="shared" ref="BH3:BH66" si="32">BF3-BG3-BI3-BJ3</f>
        <v>5.3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5.0000000000000009</v>
      </c>
      <c r="CA3" s="5">
        <f t="shared" ref="CA3:CA66" si="51">IF(BZ3&gt;$AY$1,1,IF(BZ3&gt;=$AX$1,0.5,0))</f>
        <v>0</v>
      </c>
      <c r="CB3" s="5">
        <f t="shared" ref="CB3:CB66" si="52">BZ3-CA3-CC3-CD3</f>
        <v>5.0000000000000009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8</v>
      </c>
      <c r="CF3" s="5">
        <f t="shared" ref="CF3:CF66" si="56">IF(CE3&gt;$AY$1,1,IF(CE3&gt;=$AX$1,0.5,0))</f>
        <v>0.5</v>
      </c>
      <c r="CG3" s="5">
        <f t="shared" ref="CG3:CG66" si="57">CE3-CF3-CH3-CI3</f>
        <v>7.5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10382</v>
      </c>
      <c r="B4" s="81" t="s">
        <v>46</v>
      </c>
      <c r="C4" s="86" t="s">
        <v>1054</v>
      </c>
      <c r="D4" s="75"/>
      <c r="E4" s="75"/>
      <c r="F4" s="93">
        <f t="shared" si="9"/>
        <v>0</v>
      </c>
      <c r="G4" s="75"/>
      <c r="H4" s="75"/>
      <c r="I4" s="93">
        <f t="shared" si="10"/>
        <v>0</v>
      </c>
      <c r="J4" s="75"/>
      <c r="K4" s="75"/>
      <c r="L4" s="93">
        <f t="shared" si="11"/>
        <v>0</v>
      </c>
      <c r="M4" s="75"/>
      <c r="N4" s="75"/>
      <c r="O4" s="93">
        <f t="shared" si="12"/>
        <v>0</v>
      </c>
      <c r="P4" s="75"/>
      <c r="Q4" s="75"/>
      <c r="R4" s="93">
        <f t="shared" si="13"/>
        <v>0</v>
      </c>
      <c r="S4" s="75"/>
      <c r="T4" s="75"/>
      <c r="U4" s="93">
        <f t="shared" si="14"/>
        <v>0</v>
      </c>
      <c r="V4" s="75"/>
      <c r="W4" s="75"/>
      <c r="X4" s="93">
        <f t="shared" si="15"/>
        <v>0</v>
      </c>
      <c r="Y4" s="93"/>
      <c r="Z4" s="93"/>
      <c r="AA4" s="93"/>
      <c r="AB4" s="97">
        <f t="shared" si="16"/>
        <v>0</v>
      </c>
      <c r="AC4" s="94"/>
      <c r="AD4" s="78"/>
      <c r="AE4" s="95">
        <f t="shared" si="17"/>
        <v>0</v>
      </c>
      <c r="AF4" s="78"/>
      <c r="AG4" s="95">
        <f t="shared" si="18"/>
        <v>0</v>
      </c>
      <c r="AH4" s="78"/>
      <c r="AI4" s="95">
        <f t="shared" si="19"/>
        <v>0</v>
      </c>
      <c r="AJ4" s="77"/>
      <c r="AK4" s="95">
        <f t="shared" si="20"/>
        <v>0</v>
      </c>
      <c r="AL4" s="78"/>
      <c r="AM4" s="95">
        <f t="shared" si="21"/>
        <v>0</v>
      </c>
      <c r="AN4" s="77"/>
      <c r="AO4" s="95">
        <f t="shared" si="22"/>
        <v>0</v>
      </c>
      <c r="AP4" s="96">
        <f t="shared" si="23"/>
        <v>0</v>
      </c>
      <c r="AQ4" s="77">
        <v>20</v>
      </c>
      <c r="AR4" s="77"/>
      <c r="AS4" s="77"/>
      <c r="AT4" s="63">
        <f t="shared" si="24"/>
        <v>20</v>
      </c>
      <c r="AU4" s="78" t="s">
        <v>1417</v>
      </c>
      <c r="AV4" s="5"/>
      <c r="AW4" s="5"/>
      <c r="AX4" s="5"/>
      <c r="AY4" s="5"/>
      <c r="AZ4" s="24">
        <f>VLOOKUP(C4,Employees!D:I,6,FALSE)</f>
        <v>10382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>
        <f t="shared" si="0"/>
        <v>10250</v>
      </c>
      <c r="B5" s="81" t="s">
        <v>46</v>
      </c>
      <c r="C5" s="86" t="s">
        <v>713</v>
      </c>
      <c r="D5" s="76"/>
      <c r="E5" s="75"/>
      <c r="F5" s="93">
        <f t="shared" si="9"/>
        <v>0</v>
      </c>
      <c r="G5" s="75"/>
      <c r="H5" s="76"/>
      <c r="I5" s="93">
        <f t="shared" si="10"/>
        <v>0</v>
      </c>
      <c r="J5" s="76">
        <v>0.5</v>
      </c>
      <c r="K5" s="76">
        <v>0.79166666666666663</v>
      </c>
      <c r="L5" s="93">
        <f t="shared" si="11"/>
        <v>6.4999999999999991</v>
      </c>
      <c r="M5" s="75">
        <v>0.58333333333333337</v>
      </c>
      <c r="N5" s="75">
        <v>0.8930555555555556</v>
      </c>
      <c r="O5" s="93">
        <f t="shared" si="12"/>
        <v>6.9333333333333336</v>
      </c>
      <c r="P5" s="75"/>
      <c r="Q5" s="75"/>
      <c r="R5" s="93">
        <f t="shared" si="13"/>
        <v>0</v>
      </c>
      <c r="S5" s="76"/>
      <c r="T5" s="75"/>
      <c r="U5" s="93">
        <f t="shared" si="14"/>
        <v>0</v>
      </c>
      <c r="V5" s="75"/>
      <c r="W5" s="76"/>
      <c r="X5" s="93">
        <f t="shared" si="15"/>
        <v>0</v>
      </c>
      <c r="Y5" s="93"/>
      <c r="Z5" s="93"/>
      <c r="AA5" s="93"/>
      <c r="AB5" s="97">
        <f t="shared" si="16"/>
        <v>13.433333333333334</v>
      </c>
      <c r="AC5" s="94"/>
      <c r="AD5" s="78"/>
      <c r="AE5" s="95">
        <f t="shared" si="17"/>
        <v>13.433333333333334</v>
      </c>
      <c r="AF5" s="78"/>
      <c r="AG5" s="95">
        <f t="shared" si="18"/>
        <v>0</v>
      </c>
      <c r="AH5" s="78"/>
      <c r="AI5" s="95">
        <f t="shared" si="19"/>
        <v>0</v>
      </c>
      <c r="AJ5" s="77"/>
      <c r="AK5" s="95">
        <f t="shared" si="20"/>
        <v>0</v>
      </c>
      <c r="AL5" s="78"/>
      <c r="AM5" s="95">
        <f t="shared" si="21"/>
        <v>0</v>
      </c>
      <c r="AN5" s="77"/>
      <c r="AO5" s="95">
        <f t="shared" si="22"/>
        <v>0</v>
      </c>
      <c r="AP5" s="96">
        <f t="shared" si="23"/>
        <v>2</v>
      </c>
      <c r="AQ5" s="77"/>
      <c r="AR5" s="77"/>
      <c r="AS5" s="77"/>
      <c r="AT5" s="63">
        <f t="shared" si="24"/>
        <v>13.433333333333334</v>
      </c>
      <c r="AU5" s="78"/>
      <c r="AV5" s="5"/>
      <c r="AW5" s="5"/>
      <c r="AX5" s="5"/>
      <c r="AY5" s="5"/>
      <c r="AZ5" s="24">
        <f>VLOOKUP(C5,Employees!D:I,6,FALSE)</f>
        <v>10250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6.9999999999999991</v>
      </c>
      <c r="BL5" s="5">
        <f t="shared" si="36"/>
        <v>0.5</v>
      </c>
      <c r="BM5" s="5">
        <f t="shared" si="37"/>
        <v>6.4999999999999991</v>
      </c>
      <c r="BN5" s="5">
        <f t="shared" si="38"/>
        <v>0</v>
      </c>
      <c r="BO5" s="5">
        <f t="shared" si="39"/>
        <v>0</v>
      </c>
      <c r="BP5" s="5">
        <f t="shared" si="40"/>
        <v>7.4333333333333336</v>
      </c>
      <c r="BQ5" s="5">
        <f t="shared" si="41"/>
        <v>0.5</v>
      </c>
      <c r="BR5" s="5">
        <f t="shared" si="42"/>
        <v>6.9333333333333336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210441</v>
      </c>
      <c r="B6" s="81" t="s">
        <v>46</v>
      </c>
      <c r="C6" s="86" t="s">
        <v>1205</v>
      </c>
      <c r="D6" s="76">
        <v>0.5625</v>
      </c>
      <c r="E6" s="75">
        <v>0.79513888888888884</v>
      </c>
      <c r="F6" s="93">
        <f t="shared" si="9"/>
        <v>5.0833333333333321</v>
      </c>
      <c r="G6" s="75"/>
      <c r="H6" s="76"/>
      <c r="I6" s="93">
        <f t="shared" si="10"/>
        <v>0</v>
      </c>
      <c r="J6" s="76"/>
      <c r="K6" s="76"/>
      <c r="L6" s="93">
        <f t="shared" si="11"/>
        <v>0</v>
      </c>
      <c r="M6" s="76"/>
      <c r="N6" s="76"/>
      <c r="O6" s="93">
        <f t="shared" si="12"/>
        <v>0</v>
      </c>
      <c r="P6" s="76">
        <v>0.5625</v>
      </c>
      <c r="Q6" s="75">
        <v>0.79166666666666663</v>
      </c>
      <c r="R6" s="93">
        <f t="shared" si="13"/>
        <v>4.9999999999999991</v>
      </c>
      <c r="S6" s="75">
        <v>0.58333333333333337</v>
      </c>
      <c r="T6" s="75">
        <v>0.78819444444444453</v>
      </c>
      <c r="U6" s="93">
        <f t="shared" si="14"/>
        <v>4.9166666666666679</v>
      </c>
      <c r="V6" s="75">
        <v>0.56458333333333333</v>
      </c>
      <c r="W6" s="76">
        <v>0.79166666666666663</v>
      </c>
      <c r="X6" s="93">
        <f t="shared" si="15"/>
        <v>5.4499999999999993</v>
      </c>
      <c r="Y6" s="93"/>
      <c r="Z6" s="93"/>
      <c r="AA6" s="93"/>
      <c r="AB6" s="97">
        <f t="shared" si="16"/>
        <v>20.45</v>
      </c>
      <c r="AC6" s="94"/>
      <c r="AD6" s="78">
        <v>1</v>
      </c>
      <c r="AE6" s="95">
        <f t="shared" si="17"/>
        <v>11.083333333333332</v>
      </c>
      <c r="AF6" s="78"/>
      <c r="AG6" s="95">
        <f t="shared" si="18"/>
        <v>4.9166666666666679</v>
      </c>
      <c r="AH6" s="78">
        <v>0.5</v>
      </c>
      <c r="AI6" s="95">
        <f t="shared" si="19"/>
        <v>5.9499999999999993</v>
      </c>
      <c r="AJ6" s="77"/>
      <c r="AK6" s="95">
        <f t="shared" si="20"/>
        <v>0</v>
      </c>
      <c r="AL6" s="78"/>
      <c r="AM6" s="95">
        <f t="shared" si="21"/>
        <v>0</v>
      </c>
      <c r="AN6" s="77"/>
      <c r="AO6" s="95">
        <f t="shared" si="22"/>
        <v>0</v>
      </c>
      <c r="AP6" s="96">
        <f t="shared" si="23"/>
        <v>4</v>
      </c>
      <c r="AQ6" s="77"/>
      <c r="AR6" s="77"/>
      <c r="AS6" s="77"/>
      <c r="AT6" s="63">
        <f t="shared" si="24"/>
        <v>21.95</v>
      </c>
      <c r="AU6" s="78" t="s">
        <v>1416</v>
      </c>
      <c r="AV6" s="5"/>
      <c r="AW6" s="5"/>
      <c r="AX6" s="5"/>
      <c r="AY6" s="5"/>
      <c r="AZ6" s="24">
        <f>VLOOKUP(C6,Employees!D:I,6,FALSE)</f>
        <v>210441</v>
      </c>
      <c r="BA6" s="5">
        <f t="shared" si="25"/>
        <v>5.5833333333333321</v>
      </c>
      <c r="BB6" s="5">
        <f t="shared" si="26"/>
        <v>0.5</v>
      </c>
      <c r="BC6" s="5">
        <f t="shared" si="27"/>
        <v>5.0833333333333321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5.4999999999999991</v>
      </c>
      <c r="BV6" s="5">
        <f t="shared" si="46"/>
        <v>0.5</v>
      </c>
      <c r="BW6" s="5">
        <f t="shared" si="47"/>
        <v>4.9999999999999991</v>
      </c>
      <c r="BX6" s="5">
        <f t="shared" si="48"/>
        <v>0</v>
      </c>
      <c r="BY6" s="5">
        <f t="shared" si="49"/>
        <v>0</v>
      </c>
      <c r="BZ6" s="5">
        <f t="shared" si="50"/>
        <v>4.9166666666666679</v>
      </c>
      <c r="CA6" s="5">
        <f t="shared" si="51"/>
        <v>0</v>
      </c>
      <c r="CB6" s="5">
        <f t="shared" si="52"/>
        <v>4.9166666666666679</v>
      </c>
      <c r="CC6" s="5">
        <f t="shared" si="53"/>
        <v>0</v>
      </c>
      <c r="CD6" s="5">
        <f t="shared" si="54"/>
        <v>0</v>
      </c>
      <c r="CE6" s="5">
        <f t="shared" si="55"/>
        <v>5.4499999999999993</v>
      </c>
      <c r="CF6" s="5">
        <f t="shared" si="56"/>
        <v>0</v>
      </c>
      <c r="CG6" s="5">
        <f t="shared" si="57"/>
        <v>5.4499999999999993</v>
      </c>
      <c r="CH6" s="5">
        <f t="shared" si="58"/>
        <v>0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>
        <f t="shared" si="0"/>
        <v>210506</v>
      </c>
      <c r="B7" s="81" t="s">
        <v>46</v>
      </c>
      <c r="C7" s="86" t="s">
        <v>1383</v>
      </c>
      <c r="D7" s="76"/>
      <c r="E7" s="76"/>
      <c r="F7" s="93">
        <f t="shared" si="9"/>
        <v>0</v>
      </c>
      <c r="G7" s="76"/>
      <c r="H7" s="76"/>
      <c r="I7" s="93">
        <f t="shared" si="10"/>
        <v>0</v>
      </c>
      <c r="J7" s="76">
        <v>0.5625</v>
      </c>
      <c r="K7" s="76">
        <v>0.79166666666666663</v>
      </c>
      <c r="L7" s="93">
        <f t="shared" si="11"/>
        <v>4.9999999999999991</v>
      </c>
      <c r="M7" s="76">
        <v>0.5</v>
      </c>
      <c r="N7" s="76">
        <v>0.79166666666666663</v>
      </c>
      <c r="O7" s="93">
        <f t="shared" si="12"/>
        <v>6.4999999999999991</v>
      </c>
      <c r="P7" s="76"/>
      <c r="Q7" s="75"/>
      <c r="R7" s="93">
        <f t="shared" si="13"/>
        <v>0</v>
      </c>
      <c r="S7" s="76"/>
      <c r="T7" s="75"/>
      <c r="U7" s="93">
        <f t="shared" si="14"/>
        <v>0</v>
      </c>
      <c r="V7" s="75"/>
      <c r="W7" s="76"/>
      <c r="X7" s="93">
        <f t="shared" si="15"/>
        <v>0</v>
      </c>
      <c r="Y7" s="93"/>
      <c r="Z7" s="93"/>
      <c r="AA7" s="93"/>
      <c r="AB7" s="97">
        <f t="shared" si="16"/>
        <v>11.499999999999998</v>
      </c>
      <c r="AC7" s="94"/>
      <c r="AD7" s="78">
        <v>0.5</v>
      </c>
      <c r="AE7" s="95">
        <f t="shared" si="17"/>
        <v>11.999999999999998</v>
      </c>
      <c r="AF7" s="77"/>
      <c r="AG7" s="95">
        <f t="shared" si="18"/>
        <v>0</v>
      </c>
      <c r="AH7" s="78"/>
      <c r="AI7" s="95">
        <f t="shared" si="19"/>
        <v>0</v>
      </c>
      <c r="AJ7" s="77"/>
      <c r="AK7" s="95">
        <f t="shared" si="20"/>
        <v>0</v>
      </c>
      <c r="AL7" s="78"/>
      <c r="AM7" s="95">
        <f t="shared" si="21"/>
        <v>0</v>
      </c>
      <c r="AN7" s="77"/>
      <c r="AO7" s="95">
        <f t="shared" si="22"/>
        <v>0</v>
      </c>
      <c r="AP7" s="96">
        <f t="shared" si="23"/>
        <v>2</v>
      </c>
      <c r="AQ7" s="77"/>
      <c r="AR7" s="77"/>
      <c r="AS7" s="77"/>
      <c r="AT7" s="63">
        <f t="shared" si="24"/>
        <v>11.999999999999998</v>
      </c>
      <c r="AU7" s="78" t="s">
        <v>1416</v>
      </c>
      <c r="AV7" s="5"/>
      <c r="AW7" s="5"/>
      <c r="AX7" s="5"/>
      <c r="AY7" s="5"/>
      <c r="AZ7" s="24">
        <f>VLOOKUP(C7,Employees!D:I,6,FALSE)</f>
        <v>210506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5.4999999999999991</v>
      </c>
      <c r="BL7" s="5">
        <f t="shared" si="36"/>
        <v>0.5</v>
      </c>
      <c r="BM7" s="5">
        <f t="shared" si="37"/>
        <v>4.9999999999999991</v>
      </c>
      <c r="BN7" s="5">
        <f t="shared" si="38"/>
        <v>0</v>
      </c>
      <c r="BO7" s="5">
        <f t="shared" si="39"/>
        <v>0</v>
      </c>
      <c r="BP7" s="5">
        <f t="shared" si="40"/>
        <v>6.9999999999999991</v>
      </c>
      <c r="BQ7" s="5">
        <f t="shared" si="41"/>
        <v>0.5</v>
      </c>
      <c r="BR7" s="5">
        <f t="shared" si="42"/>
        <v>6.4999999999999991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>
        <f t="shared" si="0"/>
        <v>210516</v>
      </c>
      <c r="B8" s="81" t="s">
        <v>46</v>
      </c>
      <c r="C8" s="86" t="s">
        <v>1411</v>
      </c>
      <c r="D8" s="76">
        <v>0.375</v>
      </c>
      <c r="E8" s="76">
        <v>0.79513888888888884</v>
      </c>
      <c r="F8" s="93">
        <f t="shared" si="9"/>
        <v>9.0833333333333321</v>
      </c>
      <c r="G8" s="76">
        <v>0.375</v>
      </c>
      <c r="H8" s="75">
        <v>0.64583333333333337</v>
      </c>
      <c r="I8" s="93">
        <f t="shared" si="10"/>
        <v>6.0000000000000009</v>
      </c>
      <c r="J8" s="76"/>
      <c r="K8" s="75"/>
      <c r="L8" s="93">
        <f t="shared" si="11"/>
        <v>0</v>
      </c>
      <c r="M8" s="76"/>
      <c r="N8" s="75"/>
      <c r="O8" s="93">
        <f t="shared" si="12"/>
        <v>0</v>
      </c>
      <c r="P8" s="76"/>
      <c r="Q8" s="76"/>
      <c r="R8" s="93">
        <f t="shared" si="13"/>
        <v>0</v>
      </c>
      <c r="S8" s="76"/>
      <c r="T8" s="76"/>
      <c r="U8" s="93">
        <f t="shared" si="14"/>
        <v>0</v>
      </c>
      <c r="V8" s="76"/>
      <c r="W8" s="76"/>
      <c r="X8" s="93">
        <f t="shared" si="15"/>
        <v>0</v>
      </c>
      <c r="Y8" s="93"/>
      <c r="Z8" s="93"/>
      <c r="AA8" s="93"/>
      <c r="AB8" s="97">
        <f t="shared" si="16"/>
        <v>15.083333333333332</v>
      </c>
      <c r="AC8" s="94"/>
      <c r="AD8" s="78"/>
      <c r="AE8" s="95">
        <f t="shared" si="17"/>
        <v>15.083333333333332</v>
      </c>
      <c r="AF8" s="77"/>
      <c r="AG8" s="95">
        <f t="shared" si="18"/>
        <v>0</v>
      </c>
      <c r="AH8" s="78"/>
      <c r="AI8" s="95">
        <f t="shared" si="19"/>
        <v>0</v>
      </c>
      <c r="AJ8" s="77"/>
      <c r="AK8" s="95">
        <f t="shared" si="20"/>
        <v>0</v>
      </c>
      <c r="AL8" s="78"/>
      <c r="AM8" s="95">
        <f t="shared" si="21"/>
        <v>0</v>
      </c>
      <c r="AN8" s="77"/>
      <c r="AO8" s="95">
        <f t="shared" si="22"/>
        <v>0</v>
      </c>
      <c r="AP8" s="96">
        <f t="shared" si="23"/>
        <v>2</v>
      </c>
      <c r="AQ8" s="77"/>
      <c r="AR8" s="77"/>
      <c r="AS8" s="77"/>
      <c r="AT8" s="63">
        <f t="shared" si="24"/>
        <v>15.083333333333332</v>
      </c>
      <c r="AU8" s="78"/>
      <c r="AV8" s="5"/>
      <c r="AW8" s="5"/>
      <c r="AX8" s="5"/>
      <c r="AY8" s="5"/>
      <c r="AZ8" s="24">
        <f>VLOOKUP(C8,Employees!D:I,6,FALSE)</f>
        <v>210516</v>
      </c>
      <c r="BA8" s="5">
        <f t="shared" si="25"/>
        <v>10.083333333333332</v>
      </c>
      <c r="BB8" s="5">
        <f t="shared" si="26"/>
        <v>1</v>
      </c>
      <c r="BC8" s="5">
        <f t="shared" si="27"/>
        <v>9.0833333333333321</v>
      </c>
      <c r="BD8" s="5">
        <f t="shared" si="28"/>
        <v>0</v>
      </c>
      <c r="BE8" s="5">
        <f t="shared" si="29"/>
        <v>0</v>
      </c>
      <c r="BF8" s="5">
        <f t="shared" si="30"/>
        <v>6.5000000000000009</v>
      </c>
      <c r="BG8" s="5">
        <f t="shared" si="31"/>
        <v>0.5</v>
      </c>
      <c r="BH8" s="5">
        <f t="shared" si="32"/>
        <v>6.0000000000000009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2</v>
      </c>
    </row>
    <row r="9" spans="1:89" ht="47" customHeight="1">
      <c r="A9" s="74">
        <f t="shared" si="0"/>
        <v>10090</v>
      </c>
      <c r="B9" s="81" t="s">
        <v>46</v>
      </c>
      <c r="C9" s="86" t="s">
        <v>152</v>
      </c>
      <c r="D9" s="76"/>
      <c r="E9" s="75"/>
      <c r="F9" s="93">
        <f t="shared" si="9"/>
        <v>0</v>
      </c>
      <c r="G9" s="75"/>
      <c r="H9" s="76"/>
      <c r="I9" s="93">
        <f t="shared" si="10"/>
        <v>0</v>
      </c>
      <c r="J9" s="76"/>
      <c r="K9" s="76"/>
      <c r="L9" s="93">
        <f t="shared" si="11"/>
        <v>0</v>
      </c>
      <c r="M9" s="75"/>
      <c r="N9" s="75"/>
      <c r="O9" s="93">
        <f t="shared" si="12"/>
        <v>0</v>
      </c>
      <c r="P9" s="76"/>
      <c r="Q9" s="75"/>
      <c r="R9" s="93">
        <f t="shared" si="13"/>
        <v>0</v>
      </c>
      <c r="S9" s="76">
        <v>0.5</v>
      </c>
      <c r="T9" s="75">
        <v>0.78819444444444453</v>
      </c>
      <c r="U9" s="93">
        <f t="shared" si="14"/>
        <v>6.4166666666666687</v>
      </c>
      <c r="V9" s="75"/>
      <c r="W9" s="76"/>
      <c r="X9" s="93">
        <f t="shared" si="15"/>
        <v>0</v>
      </c>
      <c r="Y9" s="93"/>
      <c r="Z9" s="93"/>
      <c r="AA9" s="93"/>
      <c r="AB9" s="97">
        <f t="shared" si="16"/>
        <v>6.4166666666666687</v>
      </c>
      <c r="AC9" s="94"/>
      <c r="AD9" s="78"/>
      <c r="AE9" s="95">
        <f t="shared" si="17"/>
        <v>0</v>
      </c>
      <c r="AF9" s="77"/>
      <c r="AG9" s="95">
        <f t="shared" si="18"/>
        <v>6.4166666666666687</v>
      </c>
      <c r="AH9" s="78"/>
      <c r="AI9" s="95">
        <f t="shared" si="19"/>
        <v>0</v>
      </c>
      <c r="AJ9" s="77"/>
      <c r="AK9" s="95">
        <f t="shared" si="20"/>
        <v>0</v>
      </c>
      <c r="AL9" s="78"/>
      <c r="AM9" s="95">
        <f t="shared" si="21"/>
        <v>0</v>
      </c>
      <c r="AN9" s="77"/>
      <c r="AO9" s="95">
        <f t="shared" si="22"/>
        <v>0</v>
      </c>
      <c r="AP9" s="96">
        <f t="shared" si="23"/>
        <v>1</v>
      </c>
      <c r="AQ9" s="77"/>
      <c r="AR9" s="77"/>
      <c r="AS9" s="77"/>
      <c r="AT9" s="63">
        <f t="shared" si="24"/>
        <v>6.4166666666666687</v>
      </c>
      <c r="AU9" s="78"/>
      <c r="AV9" s="5"/>
      <c r="AW9" s="5"/>
      <c r="AX9" s="5"/>
      <c r="AY9" s="5"/>
      <c r="AZ9" s="24">
        <f>VLOOKUP(C9,Employees!D:I,6,FALSE)</f>
        <v>10090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6.9166666666666687</v>
      </c>
      <c r="CA9" s="5">
        <f t="shared" si="51"/>
        <v>0.5</v>
      </c>
      <c r="CB9" s="5">
        <f t="shared" si="52"/>
        <v>6.4166666666666687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>
        <f t="shared" si="0"/>
        <v>10491</v>
      </c>
      <c r="B10" s="81" t="s">
        <v>46</v>
      </c>
      <c r="C10" s="86" t="s">
        <v>1410</v>
      </c>
      <c r="D10" s="76"/>
      <c r="E10" s="75"/>
      <c r="F10" s="93">
        <f t="shared" si="9"/>
        <v>0</v>
      </c>
      <c r="G10" s="75"/>
      <c r="H10" s="76"/>
      <c r="I10" s="93">
        <f t="shared" si="10"/>
        <v>0</v>
      </c>
      <c r="J10" s="76"/>
      <c r="K10" s="76"/>
      <c r="L10" s="93">
        <f t="shared" si="11"/>
        <v>0</v>
      </c>
      <c r="M10" s="75">
        <v>0.375</v>
      </c>
      <c r="N10" s="75">
        <v>0.66666666666666663</v>
      </c>
      <c r="O10" s="93">
        <f t="shared" si="12"/>
        <v>6.4999999999999991</v>
      </c>
      <c r="P10" s="76">
        <v>0.45833333333333331</v>
      </c>
      <c r="Q10" s="75">
        <v>0.79166666666666663</v>
      </c>
      <c r="R10" s="93">
        <f t="shared" si="13"/>
        <v>7.5</v>
      </c>
      <c r="S10" s="76"/>
      <c r="T10" s="75"/>
      <c r="U10" s="93">
        <f t="shared" si="14"/>
        <v>0</v>
      </c>
      <c r="V10" s="75"/>
      <c r="W10" s="76"/>
      <c r="X10" s="93">
        <f t="shared" si="15"/>
        <v>0</v>
      </c>
      <c r="Y10" s="93"/>
      <c r="Z10" s="93"/>
      <c r="AA10" s="93"/>
      <c r="AB10" s="97">
        <f t="shared" si="16"/>
        <v>14</v>
      </c>
      <c r="AC10" s="94"/>
      <c r="AD10" s="78"/>
      <c r="AE10" s="95">
        <f t="shared" si="17"/>
        <v>14</v>
      </c>
      <c r="AF10" s="77"/>
      <c r="AG10" s="95">
        <f t="shared" si="18"/>
        <v>0</v>
      </c>
      <c r="AH10" s="78"/>
      <c r="AI10" s="95">
        <f t="shared" si="19"/>
        <v>0</v>
      </c>
      <c r="AJ10" s="77"/>
      <c r="AK10" s="95">
        <f t="shared" si="20"/>
        <v>0</v>
      </c>
      <c r="AL10" s="78"/>
      <c r="AM10" s="95">
        <f t="shared" si="21"/>
        <v>0</v>
      </c>
      <c r="AN10" s="77"/>
      <c r="AO10" s="95">
        <f t="shared" si="22"/>
        <v>0</v>
      </c>
      <c r="AP10" s="96">
        <f t="shared" si="23"/>
        <v>2</v>
      </c>
      <c r="AQ10" s="77"/>
      <c r="AR10" s="77"/>
      <c r="AS10" s="77"/>
      <c r="AT10" s="63">
        <f t="shared" si="24"/>
        <v>14</v>
      </c>
      <c r="AU10" s="78"/>
      <c r="AV10" s="5"/>
      <c r="AW10" s="5"/>
      <c r="AX10" s="5"/>
      <c r="AY10" s="5"/>
      <c r="AZ10" s="24">
        <f>VLOOKUP(C10,Employees!D:I,6,FALSE)</f>
        <v>10491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6.9999999999999991</v>
      </c>
      <c r="BQ10" s="5">
        <f t="shared" si="41"/>
        <v>0.5</v>
      </c>
      <c r="BR10" s="5">
        <f t="shared" si="42"/>
        <v>6.4999999999999991</v>
      </c>
      <c r="BS10" s="5">
        <f t="shared" si="43"/>
        <v>0</v>
      </c>
      <c r="BT10" s="5">
        <f t="shared" si="44"/>
        <v>0</v>
      </c>
      <c r="BU10" s="5">
        <f t="shared" si="45"/>
        <v>8</v>
      </c>
      <c r="BV10" s="5">
        <f t="shared" si="46"/>
        <v>0.5</v>
      </c>
      <c r="BW10" s="5">
        <f t="shared" si="47"/>
        <v>7.5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2</v>
      </c>
    </row>
    <row r="11" spans="1:89" ht="47" customHeight="1">
      <c r="A11" s="74">
        <f t="shared" si="0"/>
        <v>210420</v>
      </c>
      <c r="B11" s="81" t="s">
        <v>46</v>
      </c>
      <c r="C11" s="86" t="s">
        <v>1154</v>
      </c>
      <c r="D11" s="76"/>
      <c r="E11" s="75"/>
      <c r="F11" s="93">
        <f t="shared" si="9"/>
        <v>0</v>
      </c>
      <c r="G11" s="75"/>
      <c r="H11" s="76"/>
      <c r="I11" s="93">
        <f t="shared" si="10"/>
        <v>0</v>
      </c>
      <c r="J11" s="76"/>
      <c r="K11" s="76"/>
      <c r="L11" s="93">
        <f t="shared" si="11"/>
        <v>0</v>
      </c>
      <c r="M11" s="75"/>
      <c r="N11" s="75"/>
      <c r="O11" s="93">
        <f t="shared" si="12"/>
        <v>0</v>
      </c>
      <c r="P11" s="76"/>
      <c r="Q11" s="75"/>
      <c r="R11" s="93">
        <f t="shared" si="13"/>
        <v>0</v>
      </c>
      <c r="S11" s="76"/>
      <c r="T11" s="75"/>
      <c r="U11" s="93">
        <f t="shared" si="14"/>
        <v>0</v>
      </c>
      <c r="V11" s="75">
        <v>0.45833333333333331</v>
      </c>
      <c r="W11" s="76">
        <v>0.79166666666666663</v>
      </c>
      <c r="X11" s="93">
        <f t="shared" si="15"/>
        <v>7.5</v>
      </c>
      <c r="Y11" s="93"/>
      <c r="Z11" s="93"/>
      <c r="AA11" s="93"/>
      <c r="AB11" s="97">
        <f t="shared" si="16"/>
        <v>7.5</v>
      </c>
      <c r="AC11" s="94"/>
      <c r="AD11" s="78"/>
      <c r="AE11" s="95">
        <f t="shared" si="17"/>
        <v>0</v>
      </c>
      <c r="AF11" s="77"/>
      <c r="AG11" s="95">
        <f t="shared" si="18"/>
        <v>0</v>
      </c>
      <c r="AH11" s="78"/>
      <c r="AI11" s="95">
        <f t="shared" si="19"/>
        <v>7.5</v>
      </c>
      <c r="AJ11" s="77"/>
      <c r="AK11" s="95">
        <f t="shared" si="20"/>
        <v>0</v>
      </c>
      <c r="AL11" s="78"/>
      <c r="AM11" s="95">
        <f t="shared" si="21"/>
        <v>0</v>
      </c>
      <c r="AN11" s="77"/>
      <c r="AO11" s="95">
        <f t="shared" si="22"/>
        <v>0</v>
      </c>
      <c r="AP11" s="96">
        <f t="shared" si="23"/>
        <v>1</v>
      </c>
      <c r="AQ11" s="77"/>
      <c r="AR11" s="77"/>
      <c r="AS11" s="77"/>
      <c r="AT11" s="63">
        <f t="shared" si="24"/>
        <v>7.5</v>
      </c>
      <c r="AU11" s="78"/>
      <c r="AV11" s="5"/>
      <c r="AW11" s="5"/>
      <c r="AX11" s="5"/>
      <c r="AY11" s="5"/>
      <c r="AZ11" s="24">
        <f>VLOOKUP(C11,Employees!D:I,6,FALSE)</f>
        <v>210420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8</v>
      </c>
      <c r="CF11" s="5">
        <f t="shared" si="56"/>
        <v>0.5</v>
      </c>
      <c r="CG11" s="5">
        <f t="shared" si="57"/>
        <v>7.5</v>
      </c>
      <c r="CH11" s="5">
        <f t="shared" si="58"/>
        <v>0</v>
      </c>
      <c r="CI11" s="5">
        <f t="shared" si="59"/>
        <v>0</v>
      </c>
      <c r="CJ11" s="5"/>
      <c r="CK11" s="4">
        <f t="shared" si="8"/>
        <v>1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3">
        <f t="shared" si="9"/>
        <v>0</v>
      </c>
      <c r="G12" s="75"/>
      <c r="H12" s="76"/>
      <c r="I12" s="93">
        <f t="shared" si="10"/>
        <v>0</v>
      </c>
      <c r="J12" s="76"/>
      <c r="K12" s="76"/>
      <c r="L12" s="93">
        <f t="shared" si="11"/>
        <v>0</v>
      </c>
      <c r="M12" s="75"/>
      <c r="N12" s="75"/>
      <c r="O12" s="93">
        <f t="shared" si="12"/>
        <v>0</v>
      </c>
      <c r="P12" s="76"/>
      <c r="Q12" s="75"/>
      <c r="R12" s="93">
        <f t="shared" si="13"/>
        <v>0</v>
      </c>
      <c r="S12" s="76"/>
      <c r="T12" s="75"/>
      <c r="U12" s="93">
        <f t="shared" si="14"/>
        <v>0</v>
      </c>
      <c r="V12" s="75"/>
      <c r="W12" s="76"/>
      <c r="X12" s="93">
        <f t="shared" si="15"/>
        <v>0</v>
      </c>
      <c r="Y12" s="93"/>
      <c r="Z12" s="93"/>
      <c r="AA12" s="93"/>
      <c r="AB12" s="97">
        <f t="shared" si="16"/>
        <v>0</v>
      </c>
      <c r="AC12" s="94"/>
      <c r="AD12" s="78"/>
      <c r="AE12" s="95">
        <f t="shared" si="17"/>
        <v>0</v>
      </c>
      <c r="AF12" s="77"/>
      <c r="AG12" s="95">
        <f t="shared" si="18"/>
        <v>0</v>
      </c>
      <c r="AH12" s="77"/>
      <c r="AI12" s="95">
        <f t="shared" si="19"/>
        <v>0</v>
      </c>
      <c r="AJ12" s="77"/>
      <c r="AK12" s="95">
        <f t="shared" si="20"/>
        <v>0</v>
      </c>
      <c r="AL12" s="78"/>
      <c r="AM12" s="95">
        <f t="shared" si="21"/>
        <v>0</v>
      </c>
      <c r="AN12" s="77"/>
      <c r="AO12" s="95">
        <f t="shared" si="22"/>
        <v>0</v>
      </c>
      <c r="AP12" s="96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3">
        <f t="shared" si="9"/>
        <v>0</v>
      </c>
      <c r="G13" s="75"/>
      <c r="H13" s="76"/>
      <c r="I13" s="93">
        <f t="shared" si="10"/>
        <v>0</v>
      </c>
      <c r="J13" s="76"/>
      <c r="K13" s="76"/>
      <c r="L13" s="93">
        <f t="shared" si="11"/>
        <v>0</v>
      </c>
      <c r="M13" s="75"/>
      <c r="N13" s="75"/>
      <c r="O13" s="93">
        <f t="shared" si="12"/>
        <v>0</v>
      </c>
      <c r="P13" s="76"/>
      <c r="Q13" s="75"/>
      <c r="R13" s="93">
        <f t="shared" si="13"/>
        <v>0</v>
      </c>
      <c r="S13" s="76"/>
      <c r="T13" s="75"/>
      <c r="U13" s="93">
        <f t="shared" si="14"/>
        <v>0</v>
      </c>
      <c r="V13" s="75"/>
      <c r="W13" s="76"/>
      <c r="X13" s="93">
        <f t="shared" si="15"/>
        <v>0</v>
      </c>
      <c r="Y13" s="93"/>
      <c r="Z13" s="93"/>
      <c r="AA13" s="93"/>
      <c r="AB13" s="97">
        <f t="shared" si="16"/>
        <v>0</v>
      </c>
      <c r="AC13" s="94"/>
      <c r="AD13" s="77"/>
      <c r="AE13" s="95">
        <f t="shared" si="17"/>
        <v>0</v>
      </c>
      <c r="AF13" s="77"/>
      <c r="AG13" s="95">
        <f t="shared" si="18"/>
        <v>0</v>
      </c>
      <c r="AH13" s="77"/>
      <c r="AI13" s="95">
        <f t="shared" si="19"/>
        <v>0</v>
      </c>
      <c r="AJ13" s="77"/>
      <c r="AK13" s="95">
        <f t="shared" si="20"/>
        <v>0</v>
      </c>
      <c r="AL13" s="78"/>
      <c r="AM13" s="95">
        <f t="shared" si="21"/>
        <v>0</v>
      </c>
      <c r="AN13" s="77"/>
      <c r="AO13" s="95">
        <f t="shared" si="22"/>
        <v>0</v>
      </c>
      <c r="AP13" s="96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3">
        <f t="shared" si="9"/>
        <v>0</v>
      </c>
      <c r="G14" s="75"/>
      <c r="H14" s="76"/>
      <c r="I14" s="93">
        <f t="shared" si="10"/>
        <v>0</v>
      </c>
      <c r="J14" s="76"/>
      <c r="K14" s="76"/>
      <c r="L14" s="93">
        <f t="shared" si="11"/>
        <v>0</v>
      </c>
      <c r="M14" s="75"/>
      <c r="N14" s="75"/>
      <c r="O14" s="93">
        <f t="shared" si="12"/>
        <v>0</v>
      </c>
      <c r="P14" s="76"/>
      <c r="Q14" s="75"/>
      <c r="R14" s="93">
        <f t="shared" si="13"/>
        <v>0</v>
      </c>
      <c r="S14" s="76"/>
      <c r="T14" s="75"/>
      <c r="U14" s="93">
        <f t="shared" si="14"/>
        <v>0</v>
      </c>
      <c r="V14" s="75"/>
      <c r="W14" s="76"/>
      <c r="X14" s="93">
        <f t="shared" si="15"/>
        <v>0</v>
      </c>
      <c r="Y14" s="93"/>
      <c r="Z14" s="93"/>
      <c r="AA14" s="93"/>
      <c r="AB14" s="97">
        <f t="shared" si="16"/>
        <v>0</v>
      </c>
      <c r="AC14" s="94"/>
      <c r="AD14" s="77"/>
      <c r="AE14" s="95">
        <f t="shared" si="17"/>
        <v>0</v>
      </c>
      <c r="AF14" s="77"/>
      <c r="AG14" s="95">
        <f t="shared" si="18"/>
        <v>0</v>
      </c>
      <c r="AH14" s="77"/>
      <c r="AI14" s="95">
        <f t="shared" si="19"/>
        <v>0</v>
      </c>
      <c r="AJ14" s="77"/>
      <c r="AK14" s="95">
        <f t="shared" si="20"/>
        <v>0</v>
      </c>
      <c r="AL14" s="78"/>
      <c r="AM14" s="95">
        <f t="shared" si="21"/>
        <v>0</v>
      </c>
      <c r="AN14" s="77"/>
      <c r="AO14" s="95">
        <f t="shared" si="22"/>
        <v>0</v>
      </c>
      <c r="AP14" s="96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3">
        <f t="shared" si="9"/>
        <v>0</v>
      </c>
      <c r="G15" s="75"/>
      <c r="H15" s="76"/>
      <c r="I15" s="93">
        <f t="shared" si="10"/>
        <v>0</v>
      </c>
      <c r="J15" s="76"/>
      <c r="K15" s="76"/>
      <c r="L15" s="93">
        <f t="shared" si="11"/>
        <v>0</v>
      </c>
      <c r="M15" s="75"/>
      <c r="N15" s="75"/>
      <c r="O15" s="93">
        <f t="shared" si="12"/>
        <v>0</v>
      </c>
      <c r="P15" s="76"/>
      <c r="Q15" s="75"/>
      <c r="R15" s="93">
        <f t="shared" si="13"/>
        <v>0</v>
      </c>
      <c r="S15" s="76"/>
      <c r="T15" s="75"/>
      <c r="U15" s="93">
        <f t="shared" si="14"/>
        <v>0</v>
      </c>
      <c r="V15" s="75"/>
      <c r="W15" s="76"/>
      <c r="X15" s="93">
        <f t="shared" si="15"/>
        <v>0</v>
      </c>
      <c r="Y15" s="93"/>
      <c r="Z15" s="93"/>
      <c r="AA15" s="93"/>
      <c r="AB15" s="97">
        <f t="shared" si="16"/>
        <v>0</v>
      </c>
      <c r="AC15" s="94"/>
      <c r="AD15" s="77"/>
      <c r="AE15" s="95">
        <f t="shared" si="17"/>
        <v>0</v>
      </c>
      <c r="AF15" s="77"/>
      <c r="AG15" s="95">
        <f t="shared" si="18"/>
        <v>0</v>
      </c>
      <c r="AH15" s="77"/>
      <c r="AI15" s="95">
        <f t="shared" si="19"/>
        <v>0</v>
      </c>
      <c r="AJ15" s="77"/>
      <c r="AK15" s="95">
        <f t="shared" si="20"/>
        <v>0</v>
      </c>
      <c r="AL15" s="78"/>
      <c r="AM15" s="95">
        <f t="shared" si="21"/>
        <v>0</v>
      </c>
      <c r="AN15" s="77"/>
      <c r="AO15" s="95">
        <f t="shared" si="22"/>
        <v>0</v>
      </c>
      <c r="AP15" s="96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3">
        <f t="shared" si="9"/>
        <v>0</v>
      </c>
      <c r="G16" s="75"/>
      <c r="H16" s="76"/>
      <c r="I16" s="93">
        <f>BF16-BG16</f>
        <v>0</v>
      </c>
      <c r="J16" s="76"/>
      <c r="K16" s="76"/>
      <c r="L16" s="93">
        <f t="shared" si="11"/>
        <v>0</v>
      </c>
      <c r="M16" s="75"/>
      <c r="N16" s="75"/>
      <c r="O16" s="93">
        <f t="shared" si="12"/>
        <v>0</v>
      </c>
      <c r="P16" s="76"/>
      <c r="Q16" s="75"/>
      <c r="R16" s="93">
        <f t="shared" si="13"/>
        <v>0</v>
      </c>
      <c r="S16" s="76"/>
      <c r="T16" s="75"/>
      <c r="U16" s="93">
        <f t="shared" si="14"/>
        <v>0</v>
      </c>
      <c r="V16" s="75"/>
      <c r="W16" s="76"/>
      <c r="X16" s="93">
        <f t="shared" si="15"/>
        <v>0</v>
      </c>
      <c r="Y16" s="93"/>
      <c r="Z16" s="93"/>
      <c r="AA16" s="93"/>
      <c r="AB16" s="97">
        <f t="shared" si="16"/>
        <v>0</v>
      </c>
      <c r="AC16" s="94"/>
      <c r="AD16" s="77"/>
      <c r="AE16" s="95">
        <f t="shared" si="17"/>
        <v>0</v>
      </c>
      <c r="AF16" s="77"/>
      <c r="AG16" s="95">
        <f t="shared" si="18"/>
        <v>0</v>
      </c>
      <c r="AH16" s="77"/>
      <c r="AI16" s="95">
        <f t="shared" si="19"/>
        <v>0</v>
      </c>
      <c r="AJ16" s="77"/>
      <c r="AK16" s="95">
        <f t="shared" si="20"/>
        <v>0</v>
      </c>
      <c r="AL16" s="78"/>
      <c r="AM16" s="95">
        <f t="shared" si="21"/>
        <v>0</v>
      </c>
      <c r="AN16" s="77"/>
      <c r="AO16" s="95">
        <f t="shared" si="22"/>
        <v>0</v>
      </c>
      <c r="AP16" s="96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3">
        <f t="shared" si="9"/>
        <v>0</v>
      </c>
      <c r="G17" s="75"/>
      <c r="H17" s="76"/>
      <c r="I17" s="93">
        <f t="shared" si="10"/>
        <v>0</v>
      </c>
      <c r="J17" s="76"/>
      <c r="K17" s="76"/>
      <c r="L17" s="93">
        <f t="shared" si="11"/>
        <v>0</v>
      </c>
      <c r="M17" s="75"/>
      <c r="N17" s="75"/>
      <c r="O17" s="93">
        <f t="shared" si="12"/>
        <v>0</v>
      </c>
      <c r="P17" s="76"/>
      <c r="Q17" s="75"/>
      <c r="R17" s="93">
        <f t="shared" si="13"/>
        <v>0</v>
      </c>
      <c r="S17" s="76"/>
      <c r="T17" s="75"/>
      <c r="U17" s="93">
        <f t="shared" si="14"/>
        <v>0</v>
      </c>
      <c r="V17" s="75"/>
      <c r="W17" s="76"/>
      <c r="X17" s="93">
        <f t="shared" si="15"/>
        <v>0</v>
      </c>
      <c r="Y17" s="93"/>
      <c r="Z17" s="93"/>
      <c r="AA17" s="93"/>
      <c r="AB17" s="97">
        <f t="shared" si="16"/>
        <v>0</v>
      </c>
      <c r="AC17" s="94"/>
      <c r="AD17" s="77"/>
      <c r="AE17" s="95">
        <f t="shared" si="17"/>
        <v>0</v>
      </c>
      <c r="AF17" s="77"/>
      <c r="AG17" s="95">
        <f t="shared" si="18"/>
        <v>0</v>
      </c>
      <c r="AH17" s="77"/>
      <c r="AI17" s="95">
        <f t="shared" si="19"/>
        <v>0</v>
      </c>
      <c r="AJ17" s="77"/>
      <c r="AK17" s="95">
        <f t="shared" si="20"/>
        <v>0</v>
      </c>
      <c r="AL17" s="78"/>
      <c r="AM17" s="95">
        <f t="shared" si="21"/>
        <v>0</v>
      </c>
      <c r="AN17" s="77"/>
      <c r="AO17" s="95">
        <f t="shared" si="22"/>
        <v>0</v>
      </c>
      <c r="AP17" s="96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3">
        <f t="shared" si="9"/>
        <v>0</v>
      </c>
      <c r="G18" s="75"/>
      <c r="H18" s="76"/>
      <c r="I18" s="93">
        <f t="shared" si="10"/>
        <v>0</v>
      </c>
      <c r="J18" s="76"/>
      <c r="K18" s="76"/>
      <c r="L18" s="93">
        <f t="shared" si="11"/>
        <v>0</v>
      </c>
      <c r="M18" s="75"/>
      <c r="N18" s="75"/>
      <c r="O18" s="93">
        <f t="shared" si="12"/>
        <v>0</v>
      </c>
      <c r="P18" s="76"/>
      <c r="Q18" s="75"/>
      <c r="R18" s="93">
        <f t="shared" si="13"/>
        <v>0</v>
      </c>
      <c r="S18" s="76"/>
      <c r="T18" s="75"/>
      <c r="U18" s="93">
        <f t="shared" si="14"/>
        <v>0</v>
      </c>
      <c r="V18" s="75"/>
      <c r="W18" s="76"/>
      <c r="X18" s="93">
        <f t="shared" si="15"/>
        <v>0</v>
      </c>
      <c r="Y18" s="93"/>
      <c r="Z18" s="93"/>
      <c r="AA18" s="93"/>
      <c r="AB18" s="97">
        <f t="shared" si="16"/>
        <v>0</v>
      </c>
      <c r="AC18" s="94"/>
      <c r="AD18" s="77"/>
      <c r="AE18" s="95">
        <f t="shared" si="17"/>
        <v>0</v>
      </c>
      <c r="AF18" s="77"/>
      <c r="AG18" s="95">
        <f t="shared" si="18"/>
        <v>0</v>
      </c>
      <c r="AH18" s="77"/>
      <c r="AI18" s="95">
        <f t="shared" si="19"/>
        <v>0</v>
      </c>
      <c r="AJ18" s="77"/>
      <c r="AK18" s="95">
        <f t="shared" si="20"/>
        <v>0</v>
      </c>
      <c r="AL18" s="78"/>
      <c r="AM18" s="95">
        <f t="shared" si="21"/>
        <v>0</v>
      </c>
      <c r="AN18" s="77"/>
      <c r="AO18" s="95">
        <f t="shared" si="22"/>
        <v>0</v>
      </c>
      <c r="AP18" s="96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3">
        <f t="shared" si="9"/>
        <v>0</v>
      </c>
      <c r="G19" s="75"/>
      <c r="H19" s="76"/>
      <c r="I19" s="93">
        <f t="shared" si="10"/>
        <v>0</v>
      </c>
      <c r="J19" s="76"/>
      <c r="K19" s="76"/>
      <c r="L19" s="93">
        <f t="shared" si="11"/>
        <v>0</v>
      </c>
      <c r="M19" s="75"/>
      <c r="N19" s="75"/>
      <c r="O19" s="93">
        <f t="shared" si="12"/>
        <v>0</v>
      </c>
      <c r="P19" s="76"/>
      <c r="Q19" s="75"/>
      <c r="R19" s="93">
        <f t="shared" si="13"/>
        <v>0</v>
      </c>
      <c r="S19" s="76"/>
      <c r="T19" s="75"/>
      <c r="U19" s="93">
        <f t="shared" si="14"/>
        <v>0</v>
      </c>
      <c r="V19" s="75"/>
      <c r="W19" s="76"/>
      <c r="X19" s="93">
        <f t="shared" si="15"/>
        <v>0</v>
      </c>
      <c r="Y19" s="93"/>
      <c r="Z19" s="93"/>
      <c r="AA19" s="93"/>
      <c r="AB19" s="97">
        <f t="shared" si="16"/>
        <v>0</v>
      </c>
      <c r="AC19" s="94"/>
      <c r="AD19" s="77"/>
      <c r="AE19" s="95">
        <f t="shared" si="17"/>
        <v>0</v>
      </c>
      <c r="AF19" s="77"/>
      <c r="AG19" s="95">
        <f t="shared" si="18"/>
        <v>0</v>
      </c>
      <c r="AH19" s="77"/>
      <c r="AI19" s="95">
        <f t="shared" si="19"/>
        <v>0</v>
      </c>
      <c r="AJ19" s="77"/>
      <c r="AK19" s="95">
        <f t="shared" si="20"/>
        <v>0</v>
      </c>
      <c r="AL19" s="78"/>
      <c r="AM19" s="95">
        <f t="shared" si="21"/>
        <v>0</v>
      </c>
      <c r="AN19" s="77"/>
      <c r="AO19" s="95">
        <f t="shared" si="22"/>
        <v>0</v>
      </c>
      <c r="AP19" s="96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3">
        <f t="shared" si="9"/>
        <v>0</v>
      </c>
      <c r="G20" s="75"/>
      <c r="H20" s="76"/>
      <c r="I20" s="93">
        <f t="shared" si="10"/>
        <v>0</v>
      </c>
      <c r="J20" s="76"/>
      <c r="K20" s="76"/>
      <c r="L20" s="93">
        <f t="shared" si="11"/>
        <v>0</v>
      </c>
      <c r="M20" s="75"/>
      <c r="N20" s="75"/>
      <c r="O20" s="93">
        <f t="shared" si="12"/>
        <v>0</v>
      </c>
      <c r="P20" s="76"/>
      <c r="Q20" s="75"/>
      <c r="R20" s="93">
        <f t="shared" si="13"/>
        <v>0</v>
      </c>
      <c r="S20" s="76"/>
      <c r="T20" s="75"/>
      <c r="U20" s="93">
        <f t="shared" si="14"/>
        <v>0</v>
      </c>
      <c r="V20" s="75"/>
      <c r="W20" s="76"/>
      <c r="X20" s="93">
        <f t="shared" si="15"/>
        <v>0</v>
      </c>
      <c r="Y20" s="93"/>
      <c r="Z20" s="93"/>
      <c r="AA20" s="93"/>
      <c r="AB20" s="97">
        <f t="shared" si="16"/>
        <v>0</v>
      </c>
      <c r="AC20" s="94"/>
      <c r="AD20" s="77"/>
      <c r="AE20" s="95">
        <f t="shared" si="17"/>
        <v>0</v>
      </c>
      <c r="AF20" s="77"/>
      <c r="AG20" s="95">
        <f t="shared" si="18"/>
        <v>0</v>
      </c>
      <c r="AH20" s="77"/>
      <c r="AI20" s="95">
        <f t="shared" si="19"/>
        <v>0</v>
      </c>
      <c r="AJ20" s="77"/>
      <c r="AK20" s="95">
        <f t="shared" si="20"/>
        <v>0</v>
      </c>
      <c r="AL20" s="78"/>
      <c r="AM20" s="95">
        <f t="shared" si="21"/>
        <v>0</v>
      </c>
      <c r="AN20" s="77"/>
      <c r="AO20" s="95">
        <f t="shared" si="22"/>
        <v>0</v>
      </c>
      <c r="AP20" s="96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3">
        <f t="shared" ref="F21:F29" si="60">BA21-BB21</f>
        <v>0</v>
      </c>
      <c r="G21" s="75"/>
      <c r="H21" s="76"/>
      <c r="I21" s="93">
        <f t="shared" ref="I21:I29" si="61">BF21-BG21</f>
        <v>0</v>
      </c>
      <c r="J21" s="76"/>
      <c r="K21" s="76"/>
      <c r="L21" s="93">
        <f t="shared" ref="L21:L29" si="62">BK21-BL21</f>
        <v>0</v>
      </c>
      <c r="M21" s="75"/>
      <c r="N21" s="75"/>
      <c r="O21" s="93">
        <f t="shared" ref="O21:O29" si="63">BP21-BQ21</f>
        <v>0</v>
      </c>
      <c r="P21" s="76"/>
      <c r="Q21" s="75"/>
      <c r="R21" s="93">
        <f t="shared" ref="R21:R29" si="64">BU21-BV21</f>
        <v>0</v>
      </c>
      <c r="S21" s="76"/>
      <c r="T21" s="76"/>
      <c r="U21" s="93">
        <f t="shared" ref="U21:U29" si="65">BZ21-CA21</f>
        <v>0</v>
      </c>
      <c r="V21" s="75"/>
      <c r="W21" s="76"/>
      <c r="X21" s="93">
        <f t="shared" ref="X21:X29" si="66">CE21-CF21</f>
        <v>0</v>
      </c>
      <c r="Y21" s="93"/>
      <c r="Z21" s="93"/>
      <c r="AA21" s="93"/>
      <c r="AB21" s="97">
        <f t="shared" ref="AB21:AB29" si="67">SUM(F21,I21,L21,O21,R21,U21,X21)</f>
        <v>0</v>
      </c>
      <c r="AC21" s="94"/>
      <c r="AD21" s="77"/>
      <c r="AE21" s="95">
        <f t="shared" ref="AE21:AE29" si="68">SUMIF($BC$1:$CI$1,AE$1,$BC21:$CI21)+AD21</f>
        <v>0</v>
      </c>
      <c r="AF21" s="77"/>
      <c r="AG21" s="95">
        <f t="shared" ref="AG21:AG29" si="69">SUMIF($BC$1:$CI$1,AG$1,$BC21:$CI21)+AF21</f>
        <v>0</v>
      </c>
      <c r="AH21" s="77"/>
      <c r="AI21" s="95">
        <f t="shared" ref="AI21:AI29" si="70">SUMIF($BC$1:$CI$1,AI$1,$BC21:$CI21)+AH21</f>
        <v>0</v>
      </c>
      <c r="AJ21" s="77"/>
      <c r="AK21" s="95">
        <f t="shared" ref="AK21:AK29" si="71">SUMIF($BC$1:$CI$1,AK$1,$BC21:$CI21)+AJ21</f>
        <v>0</v>
      </c>
      <c r="AL21" s="78"/>
      <c r="AM21" s="95">
        <f t="shared" ref="AM21:AM29" si="72">SUMIF($BC$1:$CI$1,AM$1,$BC21:$CI21)+AL21</f>
        <v>0</v>
      </c>
      <c r="AN21" s="77"/>
      <c r="AO21" s="95">
        <f t="shared" ref="AO21:AO29" si="73">SUMIF($BC$1:$CI$1,AO$1,$BC21:$CI21)+AN21</f>
        <v>0</v>
      </c>
      <c r="AP21" s="96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3">
        <f t="shared" si="60"/>
        <v>0</v>
      </c>
      <c r="G22" s="75"/>
      <c r="H22" s="76"/>
      <c r="I22" s="93">
        <f t="shared" si="61"/>
        <v>0</v>
      </c>
      <c r="J22" s="76"/>
      <c r="K22" s="76"/>
      <c r="L22" s="93">
        <f t="shared" si="62"/>
        <v>0</v>
      </c>
      <c r="M22" s="75"/>
      <c r="N22" s="75"/>
      <c r="O22" s="93">
        <f t="shared" si="63"/>
        <v>0</v>
      </c>
      <c r="P22" s="76"/>
      <c r="Q22" s="75"/>
      <c r="R22" s="93">
        <f t="shared" si="64"/>
        <v>0</v>
      </c>
      <c r="S22" s="76"/>
      <c r="T22" s="76"/>
      <c r="U22" s="93">
        <f t="shared" si="65"/>
        <v>0</v>
      </c>
      <c r="V22" s="75"/>
      <c r="W22" s="76"/>
      <c r="X22" s="93">
        <f t="shared" si="66"/>
        <v>0</v>
      </c>
      <c r="Y22" s="93"/>
      <c r="Z22" s="93"/>
      <c r="AA22" s="93"/>
      <c r="AB22" s="97">
        <f t="shared" si="67"/>
        <v>0</v>
      </c>
      <c r="AC22" s="94"/>
      <c r="AD22" s="77"/>
      <c r="AE22" s="95">
        <f t="shared" si="68"/>
        <v>0</v>
      </c>
      <c r="AF22" s="77"/>
      <c r="AG22" s="95">
        <f t="shared" si="69"/>
        <v>0</v>
      </c>
      <c r="AH22" s="77"/>
      <c r="AI22" s="95">
        <f t="shared" si="70"/>
        <v>0</v>
      </c>
      <c r="AJ22" s="77"/>
      <c r="AK22" s="95">
        <f t="shared" si="71"/>
        <v>0</v>
      </c>
      <c r="AL22" s="78"/>
      <c r="AM22" s="95">
        <f t="shared" si="72"/>
        <v>0</v>
      </c>
      <c r="AN22" s="77"/>
      <c r="AO22" s="95">
        <f t="shared" si="73"/>
        <v>0</v>
      </c>
      <c r="AP22" s="96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3">
        <f t="shared" si="60"/>
        <v>0</v>
      </c>
      <c r="G23" s="75"/>
      <c r="H23" s="76"/>
      <c r="I23" s="93">
        <f t="shared" si="61"/>
        <v>0</v>
      </c>
      <c r="J23" s="76"/>
      <c r="K23" s="76"/>
      <c r="L23" s="93">
        <f t="shared" si="62"/>
        <v>0</v>
      </c>
      <c r="M23" s="75"/>
      <c r="N23" s="75"/>
      <c r="O23" s="93">
        <f t="shared" si="63"/>
        <v>0</v>
      </c>
      <c r="P23" s="76"/>
      <c r="Q23" s="75"/>
      <c r="R23" s="93">
        <f t="shared" si="64"/>
        <v>0</v>
      </c>
      <c r="S23" s="76"/>
      <c r="T23" s="76"/>
      <c r="U23" s="93">
        <f t="shared" si="65"/>
        <v>0</v>
      </c>
      <c r="V23" s="75"/>
      <c r="W23" s="76"/>
      <c r="X23" s="93">
        <f t="shared" si="66"/>
        <v>0</v>
      </c>
      <c r="Y23" s="93"/>
      <c r="Z23" s="93"/>
      <c r="AA23" s="93"/>
      <c r="AB23" s="97">
        <f t="shared" si="67"/>
        <v>0</v>
      </c>
      <c r="AC23" s="94"/>
      <c r="AD23" s="77"/>
      <c r="AE23" s="95">
        <f t="shared" si="68"/>
        <v>0</v>
      </c>
      <c r="AF23" s="77"/>
      <c r="AG23" s="95">
        <f t="shared" si="69"/>
        <v>0</v>
      </c>
      <c r="AH23" s="77"/>
      <c r="AI23" s="95">
        <f t="shared" si="70"/>
        <v>0</v>
      </c>
      <c r="AJ23" s="77"/>
      <c r="AK23" s="95">
        <f t="shared" si="71"/>
        <v>0</v>
      </c>
      <c r="AL23" s="78"/>
      <c r="AM23" s="95">
        <f t="shared" si="72"/>
        <v>0</v>
      </c>
      <c r="AN23" s="77"/>
      <c r="AO23" s="95">
        <f t="shared" si="73"/>
        <v>0</v>
      </c>
      <c r="AP23" s="96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3">
        <f t="shared" si="60"/>
        <v>0</v>
      </c>
      <c r="G24" s="75"/>
      <c r="H24" s="76"/>
      <c r="I24" s="93">
        <f t="shared" si="61"/>
        <v>0</v>
      </c>
      <c r="J24" s="76"/>
      <c r="K24" s="76"/>
      <c r="L24" s="93">
        <f t="shared" si="62"/>
        <v>0</v>
      </c>
      <c r="M24" s="75"/>
      <c r="N24" s="75"/>
      <c r="O24" s="93">
        <f t="shared" si="63"/>
        <v>0</v>
      </c>
      <c r="P24" s="76"/>
      <c r="Q24" s="76"/>
      <c r="R24" s="93">
        <f t="shared" si="64"/>
        <v>0</v>
      </c>
      <c r="S24" s="76"/>
      <c r="T24" s="76"/>
      <c r="U24" s="93">
        <f t="shared" si="65"/>
        <v>0</v>
      </c>
      <c r="V24" s="75"/>
      <c r="W24" s="76"/>
      <c r="X24" s="93">
        <f t="shared" si="66"/>
        <v>0</v>
      </c>
      <c r="Y24" s="93"/>
      <c r="Z24" s="93"/>
      <c r="AA24" s="93"/>
      <c r="AB24" s="97">
        <f t="shared" si="67"/>
        <v>0</v>
      </c>
      <c r="AC24" s="94"/>
      <c r="AD24" s="77"/>
      <c r="AE24" s="95">
        <f t="shared" si="68"/>
        <v>0</v>
      </c>
      <c r="AF24" s="77"/>
      <c r="AG24" s="95">
        <f t="shared" si="69"/>
        <v>0</v>
      </c>
      <c r="AH24" s="77"/>
      <c r="AI24" s="95">
        <f t="shared" si="70"/>
        <v>0</v>
      </c>
      <c r="AJ24" s="77"/>
      <c r="AK24" s="95">
        <f t="shared" si="71"/>
        <v>0</v>
      </c>
      <c r="AL24" s="78"/>
      <c r="AM24" s="95">
        <f t="shared" si="72"/>
        <v>0</v>
      </c>
      <c r="AN24" s="77"/>
      <c r="AO24" s="95">
        <f t="shared" si="73"/>
        <v>0</v>
      </c>
      <c r="AP24" s="96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3">
        <f t="shared" si="60"/>
        <v>0</v>
      </c>
      <c r="G25" s="75"/>
      <c r="H25" s="76"/>
      <c r="I25" s="93">
        <f t="shared" si="61"/>
        <v>0</v>
      </c>
      <c r="J25" s="76"/>
      <c r="K25" s="76"/>
      <c r="L25" s="93">
        <f t="shared" si="62"/>
        <v>0</v>
      </c>
      <c r="M25" s="75"/>
      <c r="N25" s="75"/>
      <c r="O25" s="93">
        <f t="shared" si="63"/>
        <v>0</v>
      </c>
      <c r="P25" s="76"/>
      <c r="Q25" s="76"/>
      <c r="R25" s="93">
        <f t="shared" si="64"/>
        <v>0</v>
      </c>
      <c r="S25" s="76"/>
      <c r="T25" s="76"/>
      <c r="U25" s="93">
        <f t="shared" si="65"/>
        <v>0</v>
      </c>
      <c r="V25" s="75"/>
      <c r="W25" s="76"/>
      <c r="X25" s="93">
        <f t="shared" si="66"/>
        <v>0</v>
      </c>
      <c r="Y25" s="93"/>
      <c r="Z25" s="93"/>
      <c r="AA25" s="93"/>
      <c r="AB25" s="97">
        <f t="shared" si="67"/>
        <v>0</v>
      </c>
      <c r="AC25" s="94"/>
      <c r="AD25" s="77"/>
      <c r="AE25" s="95">
        <f t="shared" si="68"/>
        <v>0</v>
      </c>
      <c r="AF25" s="77"/>
      <c r="AG25" s="95">
        <f t="shared" si="69"/>
        <v>0</v>
      </c>
      <c r="AH25" s="77"/>
      <c r="AI25" s="95">
        <f t="shared" si="70"/>
        <v>0</v>
      </c>
      <c r="AJ25" s="77"/>
      <c r="AK25" s="95">
        <f t="shared" si="71"/>
        <v>0</v>
      </c>
      <c r="AL25" s="78"/>
      <c r="AM25" s="95">
        <f t="shared" si="72"/>
        <v>0</v>
      </c>
      <c r="AN25" s="77"/>
      <c r="AO25" s="95">
        <f t="shared" si="73"/>
        <v>0</v>
      </c>
      <c r="AP25" s="96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3">
        <f t="shared" si="60"/>
        <v>0</v>
      </c>
      <c r="G26" s="75"/>
      <c r="H26" s="76"/>
      <c r="I26" s="93">
        <f t="shared" si="61"/>
        <v>0</v>
      </c>
      <c r="J26" s="76"/>
      <c r="K26" s="76"/>
      <c r="L26" s="93">
        <f t="shared" si="62"/>
        <v>0</v>
      </c>
      <c r="M26" s="75"/>
      <c r="N26" s="75"/>
      <c r="O26" s="93">
        <f t="shared" si="63"/>
        <v>0</v>
      </c>
      <c r="P26" s="76"/>
      <c r="Q26" s="76"/>
      <c r="R26" s="93">
        <f t="shared" si="64"/>
        <v>0</v>
      </c>
      <c r="S26" s="76"/>
      <c r="T26" s="76"/>
      <c r="U26" s="93">
        <f t="shared" si="65"/>
        <v>0</v>
      </c>
      <c r="V26" s="75"/>
      <c r="W26" s="76"/>
      <c r="X26" s="93">
        <f t="shared" si="66"/>
        <v>0</v>
      </c>
      <c r="Y26" s="93"/>
      <c r="Z26" s="93"/>
      <c r="AA26" s="93"/>
      <c r="AB26" s="97">
        <f t="shared" si="67"/>
        <v>0</v>
      </c>
      <c r="AC26" s="94"/>
      <c r="AD26" s="77"/>
      <c r="AE26" s="95">
        <f t="shared" si="68"/>
        <v>0</v>
      </c>
      <c r="AF26" s="77"/>
      <c r="AG26" s="95">
        <f t="shared" si="69"/>
        <v>0</v>
      </c>
      <c r="AH26" s="77"/>
      <c r="AI26" s="95">
        <f t="shared" si="70"/>
        <v>0</v>
      </c>
      <c r="AJ26" s="77"/>
      <c r="AK26" s="95">
        <f t="shared" si="71"/>
        <v>0</v>
      </c>
      <c r="AL26" s="78"/>
      <c r="AM26" s="95">
        <f t="shared" si="72"/>
        <v>0</v>
      </c>
      <c r="AN26" s="77"/>
      <c r="AO26" s="95">
        <f t="shared" si="73"/>
        <v>0</v>
      </c>
      <c r="AP26" s="96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3">
        <f t="shared" si="60"/>
        <v>0</v>
      </c>
      <c r="G27" s="75"/>
      <c r="H27" s="76"/>
      <c r="I27" s="93">
        <f t="shared" si="61"/>
        <v>0</v>
      </c>
      <c r="J27" s="76"/>
      <c r="K27" s="76"/>
      <c r="L27" s="93">
        <f t="shared" si="62"/>
        <v>0</v>
      </c>
      <c r="M27" s="75"/>
      <c r="N27" s="75"/>
      <c r="O27" s="93">
        <f t="shared" si="63"/>
        <v>0</v>
      </c>
      <c r="P27" s="76"/>
      <c r="Q27" s="76"/>
      <c r="R27" s="93">
        <f t="shared" si="64"/>
        <v>0</v>
      </c>
      <c r="S27" s="76"/>
      <c r="T27" s="76"/>
      <c r="U27" s="93">
        <f t="shared" si="65"/>
        <v>0</v>
      </c>
      <c r="V27" s="75"/>
      <c r="W27" s="76"/>
      <c r="X27" s="93">
        <f t="shared" si="66"/>
        <v>0</v>
      </c>
      <c r="Y27" s="93"/>
      <c r="Z27" s="93"/>
      <c r="AA27" s="93"/>
      <c r="AB27" s="97">
        <f t="shared" si="67"/>
        <v>0</v>
      </c>
      <c r="AC27" s="94"/>
      <c r="AD27" s="77"/>
      <c r="AE27" s="95">
        <f t="shared" si="68"/>
        <v>0</v>
      </c>
      <c r="AF27" s="77"/>
      <c r="AG27" s="95">
        <f t="shared" si="69"/>
        <v>0</v>
      </c>
      <c r="AH27" s="77"/>
      <c r="AI27" s="95">
        <f t="shared" si="70"/>
        <v>0</v>
      </c>
      <c r="AJ27" s="77"/>
      <c r="AK27" s="95">
        <f t="shared" si="71"/>
        <v>0</v>
      </c>
      <c r="AL27" s="78"/>
      <c r="AM27" s="95">
        <f t="shared" si="72"/>
        <v>0</v>
      </c>
      <c r="AN27" s="77"/>
      <c r="AO27" s="95">
        <f t="shared" si="73"/>
        <v>0</v>
      </c>
      <c r="AP27" s="96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3">
        <f t="shared" si="60"/>
        <v>0</v>
      </c>
      <c r="G28" s="75"/>
      <c r="H28" s="76"/>
      <c r="I28" s="93">
        <f t="shared" si="61"/>
        <v>0</v>
      </c>
      <c r="J28" s="76"/>
      <c r="K28" s="76"/>
      <c r="L28" s="93">
        <f t="shared" si="62"/>
        <v>0</v>
      </c>
      <c r="M28" s="75"/>
      <c r="N28" s="75"/>
      <c r="O28" s="93">
        <f t="shared" si="63"/>
        <v>0</v>
      </c>
      <c r="P28" s="76"/>
      <c r="Q28" s="76"/>
      <c r="R28" s="93">
        <f t="shared" si="64"/>
        <v>0</v>
      </c>
      <c r="S28" s="76"/>
      <c r="T28" s="76"/>
      <c r="U28" s="93">
        <f t="shared" si="65"/>
        <v>0</v>
      </c>
      <c r="V28" s="75"/>
      <c r="W28" s="76"/>
      <c r="X28" s="93">
        <f t="shared" si="66"/>
        <v>0</v>
      </c>
      <c r="Y28" s="93"/>
      <c r="Z28" s="93"/>
      <c r="AA28" s="93"/>
      <c r="AB28" s="97">
        <f t="shared" si="67"/>
        <v>0</v>
      </c>
      <c r="AC28" s="94"/>
      <c r="AD28" s="77"/>
      <c r="AE28" s="95">
        <f t="shared" si="68"/>
        <v>0</v>
      </c>
      <c r="AF28" s="77"/>
      <c r="AG28" s="95">
        <f t="shared" si="69"/>
        <v>0</v>
      </c>
      <c r="AH28" s="77"/>
      <c r="AI28" s="95">
        <f t="shared" si="70"/>
        <v>0</v>
      </c>
      <c r="AJ28" s="77"/>
      <c r="AK28" s="95">
        <f t="shared" si="71"/>
        <v>0</v>
      </c>
      <c r="AL28" s="78"/>
      <c r="AM28" s="95">
        <f t="shared" si="72"/>
        <v>0</v>
      </c>
      <c r="AN28" s="77"/>
      <c r="AO28" s="95">
        <f t="shared" si="73"/>
        <v>0</v>
      </c>
      <c r="AP28" s="96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3">
        <f t="shared" si="60"/>
        <v>0</v>
      </c>
      <c r="G29" s="75"/>
      <c r="H29" s="76"/>
      <c r="I29" s="93">
        <f t="shared" si="61"/>
        <v>0</v>
      </c>
      <c r="J29" s="76"/>
      <c r="K29" s="76"/>
      <c r="L29" s="93">
        <f t="shared" si="62"/>
        <v>0</v>
      </c>
      <c r="M29" s="75"/>
      <c r="N29" s="75"/>
      <c r="O29" s="93">
        <f t="shared" si="63"/>
        <v>0</v>
      </c>
      <c r="P29" s="76"/>
      <c r="Q29" s="76"/>
      <c r="R29" s="93">
        <f t="shared" si="64"/>
        <v>0</v>
      </c>
      <c r="S29" s="76"/>
      <c r="T29" s="76"/>
      <c r="U29" s="93">
        <f t="shared" si="65"/>
        <v>0</v>
      </c>
      <c r="V29" s="75"/>
      <c r="W29" s="76"/>
      <c r="X29" s="93">
        <f t="shared" si="66"/>
        <v>0</v>
      </c>
      <c r="Y29" s="93"/>
      <c r="Z29" s="93"/>
      <c r="AA29" s="93"/>
      <c r="AB29" s="97">
        <f t="shared" si="67"/>
        <v>0</v>
      </c>
      <c r="AC29" s="94"/>
      <c r="AD29" s="77"/>
      <c r="AE29" s="95">
        <f t="shared" si="68"/>
        <v>0</v>
      </c>
      <c r="AF29" s="77"/>
      <c r="AG29" s="95">
        <f t="shared" si="69"/>
        <v>0</v>
      </c>
      <c r="AH29" s="77"/>
      <c r="AI29" s="95">
        <f t="shared" si="70"/>
        <v>0</v>
      </c>
      <c r="AJ29" s="77"/>
      <c r="AK29" s="95">
        <f t="shared" si="71"/>
        <v>0</v>
      </c>
      <c r="AL29" s="78"/>
      <c r="AM29" s="95">
        <f t="shared" si="72"/>
        <v>0</v>
      </c>
      <c r="AN29" s="77"/>
      <c r="AO29" s="95">
        <f t="shared" si="73"/>
        <v>0</v>
      </c>
      <c r="AP29" s="96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3">
        <f t="shared" si="9"/>
        <v>0</v>
      </c>
      <c r="G30" s="75"/>
      <c r="H30" s="76"/>
      <c r="I30" s="93">
        <f t="shared" si="10"/>
        <v>0</v>
      </c>
      <c r="J30" s="76"/>
      <c r="K30" s="76"/>
      <c r="L30" s="93">
        <f t="shared" si="11"/>
        <v>0</v>
      </c>
      <c r="M30" s="75"/>
      <c r="N30" s="75"/>
      <c r="O30" s="93">
        <f t="shared" si="12"/>
        <v>0</v>
      </c>
      <c r="P30" s="76"/>
      <c r="Q30" s="76"/>
      <c r="R30" s="93">
        <f t="shared" si="13"/>
        <v>0</v>
      </c>
      <c r="S30" s="76"/>
      <c r="T30" s="76"/>
      <c r="U30" s="93">
        <f t="shared" si="14"/>
        <v>0</v>
      </c>
      <c r="V30" s="75"/>
      <c r="W30" s="76"/>
      <c r="X30" s="93">
        <f t="shared" si="15"/>
        <v>0</v>
      </c>
      <c r="Y30" s="93"/>
      <c r="Z30" s="93"/>
      <c r="AA30" s="93"/>
      <c r="AB30" s="97">
        <f t="shared" si="16"/>
        <v>0</v>
      </c>
      <c r="AC30" s="94"/>
      <c r="AD30" s="77"/>
      <c r="AE30" s="95">
        <f t="shared" si="17"/>
        <v>0</v>
      </c>
      <c r="AF30" s="77"/>
      <c r="AG30" s="95">
        <f t="shared" si="18"/>
        <v>0</v>
      </c>
      <c r="AH30" s="77"/>
      <c r="AI30" s="95">
        <f t="shared" si="19"/>
        <v>0</v>
      </c>
      <c r="AJ30" s="77"/>
      <c r="AK30" s="95">
        <f t="shared" si="20"/>
        <v>0</v>
      </c>
      <c r="AL30" s="78"/>
      <c r="AM30" s="95">
        <f t="shared" si="21"/>
        <v>0</v>
      </c>
      <c r="AN30" s="77"/>
      <c r="AO30" s="95">
        <f t="shared" si="22"/>
        <v>0</v>
      </c>
      <c r="AP30" s="96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3">
        <f t="shared" si="9"/>
        <v>0</v>
      </c>
      <c r="G31" s="75"/>
      <c r="H31" s="76"/>
      <c r="I31" s="93">
        <f t="shared" si="10"/>
        <v>0</v>
      </c>
      <c r="J31" s="76"/>
      <c r="K31" s="76"/>
      <c r="L31" s="93">
        <f t="shared" si="11"/>
        <v>0</v>
      </c>
      <c r="M31" s="75"/>
      <c r="N31" s="75"/>
      <c r="O31" s="93">
        <f t="shared" si="12"/>
        <v>0</v>
      </c>
      <c r="P31" s="76"/>
      <c r="Q31" s="76"/>
      <c r="R31" s="93">
        <f t="shared" si="13"/>
        <v>0</v>
      </c>
      <c r="S31" s="76"/>
      <c r="T31" s="76"/>
      <c r="U31" s="93">
        <f t="shared" si="14"/>
        <v>0</v>
      </c>
      <c r="V31" s="75"/>
      <c r="W31" s="76"/>
      <c r="X31" s="93">
        <f t="shared" si="15"/>
        <v>0</v>
      </c>
      <c r="Y31" s="93"/>
      <c r="Z31" s="93"/>
      <c r="AA31" s="93"/>
      <c r="AB31" s="97">
        <f t="shared" si="16"/>
        <v>0</v>
      </c>
      <c r="AC31" s="94"/>
      <c r="AD31" s="77"/>
      <c r="AE31" s="95">
        <f t="shared" si="17"/>
        <v>0</v>
      </c>
      <c r="AF31" s="77"/>
      <c r="AG31" s="95">
        <f t="shared" si="18"/>
        <v>0</v>
      </c>
      <c r="AH31" s="77"/>
      <c r="AI31" s="95">
        <f t="shared" si="19"/>
        <v>0</v>
      </c>
      <c r="AJ31" s="77"/>
      <c r="AK31" s="95">
        <f t="shared" si="20"/>
        <v>0</v>
      </c>
      <c r="AL31" s="78"/>
      <c r="AM31" s="95">
        <f t="shared" si="21"/>
        <v>0</v>
      </c>
      <c r="AN31" s="77"/>
      <c r="AO31" s="95">
        <f t="shared" si="22"/>
        <v>0</v>
      </c>
      <c r="AP31" s="96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3">
        <f t="shared" ref="F32" si="76">BA32-BB32</f>
        <v>0</v>
      </c>
      <c r="G32" s="75"/>
      <c r="H32" s="76"/>
      <c r="I32" s="93">
        <f t="shared" ref="I32" si="77">BF32-BG32</f>
        <v>0</v>
      </c>
      <c r="J32" s="76"/>
      <c r="K32" s="76"/>
      <c r="L32" s="93">
        <f t="shared" ref="L32" si="78">BK32-BL32</f>
        <v>0</v>
      </c>
      <c r="M32" s="75"/>
      <c r="N32" s="75"/>
      <c r="O32" s="93">
        <f t="shared" ref="O32" si="79">BP32-BQ32</f>
        <v>0</v>
      </c>
      <c r="P32" s="76"/>
      <c r="Q32" s="76"/>
      <c r="R32" s="93">
        <f t="shared" ref="R32" si="80">BU32-BV32</f>
        <v>0</v>
      </c>
      <c r="S32" s="76"/>
      <c r="T32" s="76"/>
      <c r="U32" s="93">
        <f t="shared" ref="U32" si="81">BZ32-CA32</f>
        <v>0</v>
      </c>
      <c r="V32" s="75"/>
      <c r="W32" s="76"/>
      <c r="X32" s="93">
        <f t="shared" ref="X32" si="82">CE32-CF32</f>
        <v>0</v>
      </c>
      <c r="Y32" s="93"/>
      <c r="Z32" s="93"/>
      <c r="AA32" s="93"/>
      <c r="AB32" s="97">
        <f t="shared" ref="AB32" si="83">SUM(F32,I32,L32,O32,R32,U32,X32)</f>
        <v>0</v>
      </c>
      <c r="AC32" s="94"/>
      <c r="AD32" s="77"/>
      <c r="AE32" s="95">
        <f t="shared" ref="AE32" si="84">SUMIF($BC$1:$CI$1,AE$1,$BC32:$CI32)+AD32</f>
        <v>0</v>
      </c>
      <c r="AF32" s="77"/>
      <c r="AG32" s="95">
        <f t="shared" ref="AG32" si="85">SUMIF($BC$1:$CI$1,AG$1,$BC32:$CI32)+AF32</f>
        <v>0</v>
      </c>
      <c r="AH32" s="77"/>
      <c r="AI32" s="95">
        <f t="shared" ref="AI32" si="86">SUMIF($BC$1:$CI$1,AI$1,$BC32:$CI32)+AH32</f>
        <v>0</v>
      </c>
      <c r="AJ32" s="77"/>
      <c r="AK32" s="95">
        <f t="shared" ref="AK32" si="87">SUMIF($BC$1:$CI$1,AK$1,$BC32:$CI32)+AJ32</f>
        <v>0</v>
      </c>
      <c r="AL32" s="78"/>
      <c r="AM32" s="95">
        <f t="shared" ref="AM32" si="88">SUMIF($BC$1:$CI$1,AM$1,$BC32:$CI32)+AL32</f>
        <v>0</v>
      </c>
      <c r="AN32" s="77"/>
      <c r="AO32" s="95">
        <f t="shared" ref="AO32" si="89">SUMIF($BC$1:$CI$1,AO$1,$BC32:$CI32)+AN32</f>
        <v>0</v>
      </c>
      <c r="AP32" s="96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3">
        <f t="shared" si="9"/>
        <v>0</v>
      </c>
      <c r="G33" s="75"/>
      <c r="H33" s="76"/>
      <c r="I33" s="93">
        <f t="shared" si="10"/>
        <v>0</v>
      </c>
      <c r="J33" s="76"/>
      <c r="K33" s="75"/>
      <c r="L33" s="93">
        <f t="shared" si="11"/>
        <v>0</v>
      </c>
      <c r="M33" s="76"/>
      <c r="N33" s="75"/>
      <c r="O33" s="93">
        <f t="shared" si="12"/>
        <v>0</v>
      </c>
      <c r="P33" s="76"/>
      <c r="Q33" s="75"/>
      <c r="R33" s="93">
        <f t="shared" si="13"/>
        <v>0</v>
      </c>
      <c r="S33" s="76"/>
      <c r="T33" s="76"/>
      <c r="U33" s="93">
        <f t="shared" si="14"/>
        <v>0</v>
      </c>
      <c r="V33" s="75"/>
      <c r="W33" s="76"/>
      <c r="X33" s="93">
        <f t="shared" si="15"/>
        <v>0</v>
      </c>
      <c r="Y33" s="93"/>
      <c r="Z33" s="93"/>
      <c r="AA33" s="93"/>
      <c r="AB33" s="97">
        <f t="shared" si="16"/>
        <v>0</v>
      </c>
      <c r="AC33" s="94"/>
      <c r="AD33" s="77"/>
      <c r="AE33" s="95">
        <f t="shared" si="17"/>
        <v>0</v>
      </c>
      <c r="AF33" s="77"/>
      <c r="AG33" s="95">
        <f t="shared" si="18"/>
        <v>0</v>
      </c>
      <c r="AH33" s="77"/>
      <c r="AI33" s="95">
        <f t="shared" si="19"/>
        <v>0</v>
      </c>
      <c r="AJ33" s="77"/>
      <c r="AK33" s="95">
        <f t="shared" si="20"/>
        <v>0</v>
      </c>
      <c r="AL33" s="78"/>
      <c r="AM33" s="95">
        <f t="shared" si="21"/>
        <v>0</v>
      </c>
      <c r="AN33" s="77"/>
      <c r="AO33" s="95">
        <f t="shared" si="22"/>
        <v>0</v>
      </c>
      <c r="AP33" s="96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3">
        <f t="shared" si="9"/>
        <v>0</v>
      </c>
      <c r="G34" s="75"/>
      <c r="H34" s="76"/>
      <c r="I34" s="93">
        <f t="shared" si="10"/>
        <v>0</v>
      </c>
      <c r="J34" s="76"/>
      <c r="K34" s="76"/>
      <c r="L34" s="93">
        <f t="shared" si="11"/>
        <v>0</v>
      </c>
      <c r="M34" s="75"/>
      <c r="N34" s="75"/>
      <c r="O34" s="93">
        <f t="shared" si="12"/>
        <v>0</v>
      </c>
      <c r="P34" s="76"/>
      <c r="Q34" s="76"/>
      <c r="R34" s="93">
        <f t="shared" si="13"/>
        <v>0</v>
      </c>
      <c r="S34" s="76"/>
      <c r="T34" s="76"/>
      <c r="U34" s="93">
        <f t="shared" si="14"/>
        <v>0</v>
      </c>
      <c r="V34" s="75"/>
      <c r="W34" s="76"/>
      <c r="X34" s="93">
        <f t="shared" si="15"/>
        <v>0</v>
      </c>
      <c r="Y34" s="93"/>
      <c r="Z34" s="93"/>
      <c r="AA34" s="93"/>
      <c r="AB34" s="97">
        <f t="shared" si="16"/>
        <v>0</v>
      </c>
      <c r="AC34" s="94"/>
      <c r="AD34" s="77"/>
      <c r="AE34" s="95">
        <f t="shared" si="17"/>
        <v>0</v>
      </c>
      <c r="AF34" s="77"/>
      <c r="AG34" s="95">
        <f t="shared" si="18"/>
        <v>0</v>
      </c>
      <c r="AH34" s="77"/>
      <c r="AI34" s="95">
        <f t="shared" si="19"/>
        <v>0</v>
      </c>
      <c r="AJ34" s="77"/>
      <c r="AK34" s="95">
        <f t="shared" si="20"/>
        <v>0</v>
      </c>
      <c r="AL34" s="78"/>
      <c r="AM34" s="95">
        <f t="shared" si="21"/>
        <v>0</v>
      </c>
      <c r="AN34" s="77"/>
      <c r="AO34" s="95">
        <f t="shared" si="22"/>
        <v>0</v>
      </c>
      <c r="AP34" s="96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3">
        <f t="shared" si="9"/>
        <v>0</v>
      </c>
      <c r="G35" s="75"/>
      <c r="H35" s="76"/>
      <c r="I35" s="93">
        <f t="shared" si="10"/>
        <v>0</v>
      </c>
      <c r="J35" s="76"/>
      <c r="K35" s="76"/>
      <c r="L35" s="93">
        <f t="shared" si="11"/>
        <v>0</v>
      </c>
      <c r="M35" s="75"/>
      <c r="N35" s="75"/>
      <c r="O35" s="93">
        <f t="shared" si="12"/>
        <v>0</v>
      </c>
      <c r="P35" s="76"/>
      <c r="Q35" s="76"/>
      <c r="R35" s="93">
        <f t="shared" si="13"/>
        <v>0</v>
      </c>
      <c r="S35" s="76"/>
      <c r="T35" s="76"/>
      <c r="U35" s="93">
        <f t="shared" si="14"/>
        <v>0</v>
      </c>
      <c r="V35" s="75"/>
      <c r="W35" s="76"/>
      <c r="X35" s="93">
        <f t="shared" si="15"/>
        <v>0</v>
      </c>
      <c r="Y35" s="93"/>
      <c r="Z35" s="93"/>
      <c r="AA35" s="93"/>
      <c r="AB35" s="97">
        <f t="shared" si="16"/>
        <v>0</v>
      </c>
      <c r="AC35" s="94"/>
      <c r="AD35" s="77"/>
      <c r="AE35" s="95">
        <f t="shared" si="17"/>
        <v>0</v>
      </c>
      <c r="AF35" s="77"/>
      <c r="AG35" s="95">
        <f t="shared" si="18"/>
        <v>0</v>
      </c>
      <c r="AH35" s="77"/>
      <c r="AI35" s="95">
        <f t="shared" si="19"/>
        <v>0</v>
      </c>
      <c r="AJ35" s="77"/>
      <c r="AK35" s="95">
        <f t="shared" si="20"/>
        <v>0</v>
      </c>
      <c r="AL35" s="78"/>
      <c r="AM35" s="95">
        <f t="shared" si="21"/>
        <v>0</v>
      </c>
      <c r="AN35" s="77"/>
      <c r="AO35" s="95">
        <f t="shared" si="22"/>
        <v>0</v>
      </c>
      <c r="AP35" s="96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E15" sqref="E15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10040</v>
      </c>
      <c r="B2" s="28">
        <f ca="1">IF(A2=0,"",_xlfn.NUMBERVALUE(A2))</f>
        <v>10040</v>
      </c>
      <c r="C2" s="28" t="str">
        <f ca="1">IF($A2=0,"",VLOOKUP($B2,Employees!$A:$G,2,FALSE))</f>
        <v>Tran Thu Hang</v>
      </c>
      <c r="D2" s="28" t="str">
        <f ca="1">IF($A2=0,"",VLOOKUP($B2,Employees!$A:$G,3,FALSE))</f>
        <v>Vu</v>
      </c>
      <c r="E2" s="26">
        <f ca="1">IF($A2=0,"",VLOOKUP($B2,Employees!$A:$G,5,FALSE))</f>
        <v>37068</v>
      </c>
      <c r="F2" s="13">
        <f ca="1">IF($E2="","",ROUNDDOWN(YEARFRAC($E2, 'Week 1 Roster'!$D$1-1, 1), 0))</f>
        <v>24</v>
      </c>
      <c r="G2" s="13">
        <f ca="1">IF($E2="","",ROUNDDOWN(YEARFRAC($E2, 'Week 1 Roster'!$D$1+14, 1), 0))</f>
        <v>24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Myer</v>
      </c>
      <c r="L2" s="13" t="str">
        <f ca="1">IF($A2=0,"",VLOOKUP(K2,Stores!A:B,2,0))</f>
        <v>Superb</v>
      </c>
      <c r="M2" s="14">
        <f t="shared" ref="M2" ca="1" si="0">Y2+AK2</f>
        <v>27.863333333333337</v>
      </c>
      <c r="N2" s="14">
        <f t="shared" ref="N2" ca="1" si="1">Z2+AL2</f>
        <v>15.150000000000002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5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43.013333333333335</v>
      </c>
      <c r="Y2" s="17">
        <f ca="1">IF($A2=0,0,SUMIF('Week 1 Roster'!$AZ:$AZ,$B2,'Week 1 Roster'!$AE:$AE))</f>
        <v>6.68</v>
      </c>
      <c r="Z2" s="17">
        <f ca="1">IF($A2=0,0,SUMIF('Week 1 Roster'!$AZ:$AZ,$B2,'Week 1 Roster'!$AG:$AG))</f>
        <v>7.7500000000000018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1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14.430000000000001</v>
      </c>
      <c r="AK2" s="17">
        <f ca="1">IF($A2=0,0,SUMIF('Week 2 Roster'!$AZ:$AZ,$B2,'Week 2 Roster'!$AE:$AE))</f>
        <v>21.183333333333337</v>
      </c>
      <c r="AL2" s="17">
        <f ca="1">IF($A2=0,0,SUMIF('Week 2 Roster'!$AZ:$AZ,$B2,'Week 2 Roster'!$AG:$AG))</f>
        <v>7.4000000000000012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28.583333333333339</v>
      </c>
      <c r="AV2" s="17"/>
      <c r="AW2" s="25">
        <f>'Week 1 Roster'!A2</f>
        <v>10040</v>
      </c>
      <c r="AX2" s="25">
        <f>'Week 2 Roster'!A2</f>
        <v>10040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10334</v>
      </c>
      <c r="B3" s="28">
        <f t="shared" ref="B3:B66" ca="1" si="9">IF(A3=0,"",_xlfn.NUMBERVALUE(A3))</f>
        <v>10334</v>
      </c>
      <c r="C3" s="28" t="str">
        <f ca="1">IF($A3=0,"",VLOOKUP($B3,Employees!$A:$G,2,FALSE))</f>
        <v>Huy Tien</v>
      </c>
      <c r="D3" s="28" t="str">
        <f ca="1">IF($A3=0,"",VLOOKUP($B3,Employees!$A:$G,3,FALSE))</f>
        <v>Phan</v>
      </c>
      <c r="E3" s="26">
        <f ca="1">IF($A3=0,"",VLOOKUP($B3,Employees!$A:$G,5,FALSE))</f>
        <v>37684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Myer</v>
      </c>
      <c r="L3" s="13" t="str">
        <f ca="1">IF($A3=0,"",VLOOKUP(K3,Stores!A:B,2,0))</f>
        <v>Superb</v>
      </c>
      <c r="M3" s="14">
        <f t="shared" ref="M3:M66" ca="1" si="11">Y3+AK3</f>
        <v>23.55</v>
      </c>
      <c r="N3" s="14">
        <f t="shared" ref="N3:N66" ca="1" si="12">Z3+AL3</f>
        <v>12.45</v>
      </c>
      <c r="O3" s="14">
        <f t="shared" ref="O3:O66" ca="1" si="13">AA3+AM3</f>
        <v>13.366666666666667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8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49.366666666666667</v>
      </c>
      <c r="Y3" s="17">
        <f ca="1">IF($A3=0,0,SUMIF('Week 1 Roster'!$AZ:$AZ,$B3,'Week 1 Roster'!$AE:$AE))</f>
        <v>12.5</v>
      </c>
      <c r="Z3" s="17">
        <f ca="1">IF($A3=0,0,SUMIF('Week 1 Roster'!$AZ:$AZ,$B3,'Week 1 Roster'!$AG:$AG))</f>
        <v>7.4499999999999993</v>
      </c>
      <c r="AA3" s="17">
        <f ca="1">IF($A3=0,0,SUMIF('Week 1 Roster'!$AZ:$AZ,$B3,'Week 1 Roster'!$AI:$AI))</f>
        <v>5.8666666666666663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25.816666666666666</v>
      </c>
      <c r="AK3" s="17">
        <f ca="1">IF($A3=0,0,SUMIF('Week 2 Roster'!$AZ:$AZ,$B3,'Week 2 Roster'!$AE:$AE))</f>
        <v>11.05</v>
      </c>
      <c r="AL3" s="17">
        <f ca="1">IF($A3=0,0,SUMIF('Week 2 Roster'!$AZ:$AZ,$B3,'Week 2 Roster'!$AG:$AG))</f>
        <v>5.0000000000000009</v>
      </c>
      <c r="AM3" s="17">
        <f ca="1">IF($A3=0,0,SUMIF('Week 2 Roster'!$AZ:$AZ,$B3,'Week 2 Roster'!$AI:$AI))</f>
        <v>7.5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23.55</v>
      </c>
      <c r="AV3" s="17"/>
      <c r="AW3" s="25">
        <f>'Week 1 Roster'!A3</f>
        <v>10334</v>
      </c>
      <c r="AX3" s="25">
        <f>'Week 2 Roster'!A3</f>
        <v>10334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10382</v>
      </c>
      <c r="B4" s="28">
        <f t="shared" ca="1" si="9"/>
        <v>10382</v>
      </c>
      <c r="C4" s="28" t="str">
        <f ca="1">IF($A4=0,"",VLOOKUP($B4,Employees!$A:$G,2,FALSE))</f>
        <v>Vi Viet Hoang</v>
      </c>
      <c r="D4" s="28" t="str">
        <f ca="1">IF($A4=0,"",VLOOKUP($B4,Employees!$A:$G,3,FALSE))</f>
        <v>Ngo</v>
      </c>
      <c r="E4" s="26">
        <f ca="1">IF($A4=0,"",VLOOKUP($B4,Employees!$A:$G,5,FALSE))</f>
        <v>37906</v>
      </c>
      <c r="F4" s="13">
        <f ca="1">IF($E4="","",ROUNDDOWN(YEARFRAC($E4, 'Week 1 Roster'!$D$1-1, 1), 0))</f>
        <v>22</v>
      </c>
      <c r="G4" s="13">
        <f ca="1">IF($E4="","",ROUNDDOWN(YEARFRAC($E4, 'Week 1 Roster'!$D$1+14, 1), 0))</f>
        <v>22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Myer</v>
      </c>
      <c r="L4" s="13" t="str">
        <f ca="1">IF($A4=0,"",VLOOKUP(K4,Stores!A:B,2,0))</f>
        <v>Superb</v>
      </c>
      <c r="M4" s="14">
        <f t="shared" ca="1" si="11"/>
        <v>19.45</v>
      </c>
      <c r="N4" s="14">
        <f t="shared" ca="1" si="12"/>
        <v>0</v>
      </c>
      <c r="O4" s="14">
        <f t="shared" ca="1" si="13"/>
        <v>7.5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4</v>
      </c>
      <c r="T4" s="14">
        <f t="shared" ca="1" si="18"/>
        <v>20</v>
      </c>
      <c r="U4" s="14">
        <f t="shared" ca="1" si="19"/>
        <v>0</v>
      </c>
      <c r="V4" s="14">
        <f t="shared" ca="1" si="20"/>
        <v>0</v>
      </c>
      <c r="W4" s="14">
        <f t="shared" ca="1" si="21"/>
        <v>46.95</v>
      </c>
      <c r="Y4" s="17">
        <f ca="1">IF($A4=0,0,SUMIF('Week 1 Roster'!$AZ:$AZ,$B4,'Week 1 Roster'!$AE:$AE))</f>
        <v>19.45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7.5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4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26.95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20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20</v>
      </c>
      <c r="AV4" s="17"/>
      <c r="AW4" s="25">
        <f>'Week 1 Roster'!A4</f>
        <v>10382</v>
      </c>
      <c r="AX4" s="25">
        <f>'Week 2 Roster'!A4</f>
        <v>10382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10250</v>
      </c>
      <c r="B5" s="28">
        <f t="shared" ca="1" si="9"/>
        <v>10250</v>
      </c>
      <c r="C5" s="28" t="str">
        <f ca="1">IF($A5=0,"",VLOOKUP($B5,Employees!$A:$G,2,FALSE))</f>
        <v>Amy</v>
      </c>
      <c r="D5" s="28" t="str">
        <f ca="1">IF($A5=0,"",VLOOKUP($B5,Employees!$A:$G,3,FALSE))</f>
        <v>Hou</v>
      </c>
      <c r="E5" s="26">
        <f ca="1">IF($A5=0,"",VLOOKUP($B5,Employees!$A:$G,5,FALSE))</f>
        <v>38325</v>
      </c>
      <c r="F5" s="13">
        <f ca="1">IF($E5="","",ROUNDDOWN(YEARFRAC($E5, 'Week 1 Roster'!$D$1-1, 1), 0))</f>
        <v>20</v>
      </c>
      <c r="G5" s="13">
        <f ca="1">IF($E5="","",ROUNDDOWN(YEARFRAC($E5, 'Week 1 Roster'!$D$1+14, 1), 0))</f>
        <v>20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Myer</v>
      </c>
      <c r="L5" s="13" t="str">
        <f ca="1">IF($A5=0,"",VLOOKUP(K5,Stores!A:B,2,0))</f>
        <v>Superb</v>
      </c>
      <c r="M5" s="14">
        <f t="shared" ca="1" si="11"/>
        <v>25.483333333333334</v>
      </c>
      <c r="N5" s="14">
        <f t="shared" ca="1" si="12"/>
        <v>0</v>
      </c>
      <c r="O5" s="14">
        <f t="shared" ca="1" si="13"/>
        <v>7.5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5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32.983333333333334</v>
      </c>
      <c r="Y5" s="17">
        <f ca="1">IF($A5=0,0,SUMIF('Week 1 Roster'!$AZ:$AZ,$B5,'Week 1 Roster'!$AE:$AE))</f>
        <v>12.049999999999999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7.5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3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19.549999999999997</v>
      </c>
      <c r="AK5" s="17">
        <f ca="1">IF($A5=0,0,SUMIF('Week 2 Roster'!$AZ:$AZ,$B5,'Week 2 Roster'!$AE:$AE))</f>
        <v>13.433333333333334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13.433333333333334</v>
      </c>
      <c r="AV5" s="17"/>
      <c r="AW5" s="25">
        <f>'Week 1 Roster'!A5</f>
        <v>10250</v>
      </c>
      <c r="AX5" s="25">
        <f>'Week 2 Roster'!A5</f>
        <v>10250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210441</v>
      </c>
      <c r="B6" s="28">
        <f t="shared" ca="1" si="9"/>
        <v>210441</v>
      </c>
      <c r="C6" s="28" t="str">
        <f ca="1">IF($A6=0,"",VLOOKUP($B6,Employees!$A:$G,2,FALSE))</f>
        <v>Sai Nyan Lin</v>
      </c>
      <c r="D6" s="28" t="str">
        <f ca="1">IF($A6=0,"",VLOOKUP($B6,Employees!$A:$G,3,FALSE))</f>
        <v>Htut</v>
      </c>
      <c r="E6" s="26">
        <f ca="1">IF($A6=0,"",VLOOKUP($B6,Employees!$A:$G,5,FALSE))</f>
        <v>38219</v>
      </c>
      <c r="F6" s="13">
        <f ca="1">IF($E6="","",ROUNDDOWN(YEARFRAC($E6, 'Week 1 Roster'!$D$1-1, 1), 0))</f>
        <v>21</v>
      </c>
      <c r="G6" s="13">
        <f ca="1">IF($E6="","",ROUNDDOWN(YEARFRAC($E6, 'Week 1 Roster'!$D$1+14, 1), 0))</f>
        <v>21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Myer</v>
      </c>
      <c r="L6" s="13" t="str">
        <f ca="1">IF($A6=0,"",VLOOKUP(K6,Stores!A:B,2,0))</f>
        <v>Superb</v>
      </c>
      <c r="M6" s="14">
        <f t="shared" ca="1" si="11"/>
        <v>27.333333333333329</v>
      </c>
      <c r="N6" s="14">
        <f t="shared" ca="1" si="12"/>
        <v>4.9166666666666679</v>
      </c>
      <c r="O6" s="14">
        <f t="shared" ca="1" si="13"/>
        <v>5.9499999999999993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7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38.200000000000003</v>
      </c>
      <c r="Y6" s="17">
        <f ca="1">IF($A6=0,0,SUMIF('Week 1 Roster'!$AZ:$AZ,$B6,'Week 1 Roster'!$AE:$AE))</f>
        <v>16.249999999999996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16.249999999999996</v>
      </c>
      <c r="AK6" s="17">
        <f ca="1">IF($A6=0,0,SUMIF('Week 2 Roster'!$AZ:$AZ,$B6,'Week 2 Roster'!$AE:$AE))</f>
        <v>11.083333333333332</v>
      </c>
      <c r="AL6" s="17">
        <f ca="1">IF($A6=0,0,SUMIF('Week 2 Roster'!$AZ:$AZ,$B6,'Week 2 Roster'!$AG:$AG))</f>
        <v>4.9166666666666679</v>
      </c>
      <c r="AM6" s="17">
        <f ca="1">IF($A6=0,0,SUMIF('Week 2 Roster'!$AZ:$AZ,$B6,'Week 2 Roster'!$AI:$AI))</f>
        <v>5.9499999999999993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21.95</v>
      </c>
      <c r="AV6" s="17"/>
      <c r="AW6" s="25">
        <f>'Week 1 Roster'!A6</f>
        <v>210441</v>
      </c>
      <c r="AX6" s="25">
        <f>'Week 2 Roster'!A6</f>
        <v>210441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10491</v>
      </c>
      <c r="B7" s="28">
        <f t="shared" ca="1" si="9"/>
        <v>10491</v>
      </c>
      <c r="C7" s="28" t="str">
        <f ca="1">IF($A7=0,"",VLOOKUP($B7,Employees!$A:$G,2,FALSE))</f>
        <v>YUTING</v>
      </c>
      <c r="D7" s="28" t="str">
        <f ca="1">IF($A7=0,"",VLOOKUP($B7,Employees!$A:$G,3,FALSE))</f>
        <v>HSIEH</v>
      </c>
      <c r="E7" s="26">
        <f ca="1">IF($A7=0,"",VLOOKUP($B7,Employees!$A:$G,5,FALSE))</f>
        <v>0</v>
      </c>
      <c r="F7" s="13">
        <f ca="1">IF($E7="","",ROUNDDOWN(YEARFRAC($E7, 'Week 1 Roster'!$D$1-1, 1), 0))</f>
        <v>125</v>
      </c>
      <c r="G7" s="13">
        <f ca="1">IF($E7="","",ROUNDDOWN(YEARFRAC($E7, 'Week 1 Roster'!$D$1+14, 1), 0))</f>
        <v>125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Myer</v>
      </c>
      <c r="L7" s="13" t="str">
        <f ca="1">IF($A7=0,"",VLOOKUP(K7,Stores!A:B,2,0))</f>
        <v>Superb</v>
      </c>
      <c r="M7" s="14">
        <f t="shared" ca="1" si="11"/>
        <v>27.083333333333332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4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27.083333333333332</v>
      </c>
      <c r="Y7" s="17">
        <f ca="1">IF($A7=0,0,SUMIF('Week 1 Roster'!$AZ:$AZ,$B7,'Week 1 Roster'!$AE:$AE))</f>
        <v>13.083333333333332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13.083333333333332</v>
      </c>
      <c r="AK7" s="17">
        <f ca="1">IF($A7=0,0,SUMIF('Week 2 Roster'!$AZ:$AZ,$B7,'Week 2 Roster'!$AE:$AE))</f>
        <v>14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2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14</v>
      </c>
      <c r="AV7" s="17"/>
      <c r="AW7" s="25">
        <f>'Week 1 Roster'!A7</f>
        <v>10491</v>
      </c>
      <c r="AX7" s="25">
        <f>'Week 2 Roster'!A7</f>
        <v>210506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210506</v>
      </c>
      <c r="B8" s="28">
        <f t="shared" ca="1" si="9"/>
        <v>210506</v>
      </c>
      <c r="C8" s="28" t="str">
        <f ca="1">IF($A8=0,"",VLOOKUP($B8,Employees!$A:$G,2,FALSE))</f>
        <v>Theresa</v>
      </c>
      <c r="D8" s="28" t="str">
        <f ca="1">IF($A8=0,"",VLOOKUP($B8,Employees!$A:$G,3,FALSE))</f>
        <v>Josephine</v>
      </c>
      <c r="E8" s="26">
        <f ca="1">IF($A8=0,"",VLOOKUP($B8,Employees!$A:$G,5,FALSE))</f>
        <v>37805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Myer</v>
      </c>
      <c r="L8" s="13" t="str">
        <f ca="1">IF($A8=0,"",VLOOKUP(K8,Stores!A:B,2,0))</f>
        <v>Superb</v>
      </c>
      <c r="M8" s="14">
        <f t="shared" ca="1" si="11"/>
        <v>30.049999999999997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5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30.049999999999997</v>
      </c>
      <c r="Y8" s="17">
        <f ca="1">IF($A8=0,0,SUMIF('Week 1 Roster'!$AZ:$AZ,$B8,'Week 1 Roster'!$AE:$AE))</f>
        <v>18.049999999999997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3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18.049999999999997</v>
      </c>
      <c r="AK8" s="17">
        <f ca="1">IF($A8=0,0,SUMIF('Week 2 Roster'!$AZ:$AZ,$B8,'Week 2 Roster'!$AE:$AE))</f>
        <v>11.999999999999998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2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11.999999999999998</v>
      </c>
      <c r="AV8" s="17"/>
      <c r="AW8" s="25">
        <f>'Week 1 Roster'!A8</f>
        <v>210506</v>
      </c>
      <c r="AX8" s="25">
        <f>'Week 2 Roster'!A8</f>
        <v>210516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210516</v>
      </c>
      <c r="B9" s="28">
        <f t="shared" ca="1" si="9"/>
        <v>210516</v>
      </c>
      <c r="C9" s="28" t="str">
        <f ca="1">IF($A9=0,"",VLOOKUP($B9,Employees!$A:$G,2,FALSE))</f>
        <v>Thuy</v>
      </c>
      <c r="D9" s="28" t="str">
        <f ca="1">IF($A9=0,"",VLOOKUP($B9,Employees!$A:$G,3,FALSE))</f>
        <v>Luc</v>
      </c>
      <c r="E9" s="26">
        <f ca="1">IF($A9=0,"",VLOOKUP($B9,Employees!$A:$G,5,FALSE))</f>
        <v>37772</v>
      </c>
      <c r="F9" s="13">
        <f ca="1">IF($E9="","",ROUNDDOWN(YEARFRAC($E9, 'Week 1 Roster'!$D$1-1, 1), 0))</f>
        <v>22</v>
      </c>
      <c r="G9" s="13">
        <f ca="1">IF($E9="","",ROUNDDOWN(YEARFRAC($E9, 'Week 1 Roster'!$D$1+14, 1), 0))</f>
        <v>22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Myer</v>
      </c>
      <c r="L9" s="13" t="str">
        <f ca="1">IF($A9=0,"",VLOOKUP(K9,Stores!A:B,2,0))</f>
        <v>Superb</v>
      </c>
      <c r="M9" s="14">
        <f t="shared" ca="1" si="11"/>
        <v>15.083333333333332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15.083333333333332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15.083333333333332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2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15.083333333333332</v>
      </c>
      <c r="AV9" s="17"/>
      <c r="AW9" s="25">
        <f>'Week 1 Roster'!A9</f>
        <v>10090</v>
      </c>
      <c r="AX9" s="25">
        <f>'Week 2 Roster'!A9</f>
        <v>10090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10090</v>
      </c>
      <c r="B10" s="28">
        <f t="shared" ca="1" si="9"/>
        <v>10090</v>
      </c>
      <c r="C10" s="28" t="str">
        <f ca="1">IF($A10=0,"",VLOOKUP($B10,Employees!$A:$G,2,FALSE))</f>
        <v>Hsin-Yi</v>
      </c>
      <c r="D10" s="28" t="str">
        <f ca="1">IF($A10=0,"",VLOOKUP($B10,Employees!$A:$G,3,FALSE))</f>
        <v>CHIANG</v>
      </c>
      <c r="E10" s="26">
        <f ca="1">IF($A10=0,"",VLOOKUP($B10,Employees!$A:$G,5,FALSE))</f>
        <v>33945</v>
      </c>
      <c r="F10" s="13">
        <f ca="1">IF($E10="","",ROUNDDOWN(YEARFRAC($E10, 'Week 1 Roster'!$D$1-1, 1), 0))</f>
        <v>32</v>
      </c>
      <c r="G10" s="13">
        <f ca="1">IF($E10="","",ROUNDDOWN(YEARFRAC($E10, 'Week 1 Roster'!$D$1+14, 1), 0))</f>
        <v>32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HL</v>
      </c>
      <c r="K10" s="13" t="str">
        <f ca="1">IF($A10=0,"",IF(ISNA(VLOOKUP(A10,'Week 1 Roster'!A:C,2,0)),VLOOKUP(A10,'Week 2 Roster'!A:C,2,0),VLOOKUP(A10,'Week 1 Roster'!A:C,2,0)))</f>
        <v>Myer</v>
      </c>
      <c r="L10" s="13" t="str">
        <f ca="1">IF($A10=0,"",VLOOKUP(K10,Stores!A:B,2,0))</f>
        <v>Superb</v>
      </c>
      <c r="M10" s="14">
        <f t="shared" ca="1" si="11"/>
        <v>0</v>
      </c>
      <c r="N10" s="14">
        <f t="shared" ca="1" si="12"/>
        <v>11.666666666666668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2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11.666666666666668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5.25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5.25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6.4166666666666687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1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6.4166666666666687</v>
      </c>
      <c r="AV10" s="17"/>
      <c r="AW10" s="25" t="str">
        <f>'Week 1 Roster'!A10</f>
        <v/>
      </c>
      <c r="AX10" s="25">
        <f>'Week 2 Roster'!A10</f>
        <v>10491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210420</v>
      </c>
      <c r="B11" s="28">
        <f t="shared" ca="1" si="9"/>
        <v>210420</v>
      </c>
      <c r="C11" s="28" t="str">
        <f ca="1">IF($A11=0,"",VLOOKUP($B11,Employees!$A:$G,2,FALSE))</f>
        <v>Yuxuan</v>
      </c>
      <c r="D11" s="28" t="str">
        <f ca="1">IF($A11=0,"",VLOOKUP($B11,Employees!$A:$G,3,FALSE))</f>
        <v>Wang</v>
      </c>
      <c r="E11" s="26">
        <f ca="1">IF($A11=0,"",VLOOKUP($B11,Employees!$A:$G,5,FALSE))</f>
        <v>37909</v>
      </c>
      <c r="F11" s="13">
        <f ca="1">IF($E11="","",ROUNDDOWN(YEARFRAC($E11, 'Week 1 Roster'!$D$1-1, 1), 0))</f>
        <v>22</v>
      </c>
      <c r="G11" s="13">
        <f ca="1">IF($E11="","",ROUNDDOWN(YEARFRAC($E11, 'Week 1 Roster'!$D$1+14, 1), 0))</f>
        <v>22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Myer</v>
      </c>
      <c r="L11" s="13" t="str">
        <f ca="1">IF($A11=0,"",VLOOKUP(K11,Stores!A:B,2,0))</f>
        <v>Superb</v>
      </c>
      <c r="M11" s="14">
        <f t="shared" ca="1" si="11"/>
        <v>0</v>
      </c>
      <c r="N11" s="14">
        <f t="shared" ca="1" si="12"/>
        <v>0</v>
      </c>
      <c r="O11" s="14">
        <f t="shared" ca="1" si="13"/>
        <v>7.5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7.5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7.5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1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7.5</v>
      </c>
      <c r="AV11" s="17"/>
      <c r="AW11" s="25" t="str">
        <f>'Week 1 Roster'!A11</f>
        <v/>
      </c>
      <c r="AX11" s="25">
        <f>'Week 2 Roster'!A11</f>
        <v>210420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88" zoomScale="125" zoomScaleNormal="186" workbookViewId="0">
      <selection activeCell="E496" sqref="E496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A517" s="2">
        <v>210516</v>
      </c>
      <c r="B517" s="67" t="s">
        <v>1418</v>
      </c>
      <c r="C517" s="67" t="s">
        <v>1419</v>
      </c>
      <c r="D517" s="67" t="s">
        <v>1411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topLeftCell="A19"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topLeftCell="A26"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2025-11-10T04:54:30Z</dcterms:modified>
</cp:coreProperties>
</file>